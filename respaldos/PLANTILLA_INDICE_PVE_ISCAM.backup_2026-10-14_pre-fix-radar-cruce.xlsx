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STRUMENTO_2_PREGUNTAS" sheetId="2" state="visible" r:id="rId2"/>
    <sheet xmlns:r="http://schemas.openxmlformats.org/officeDocument/2006/relationships" name="ISCAM_Score" sheetId="3" state="visible" r:id="rId3"/>
    <sheet xmlns:r="http://schemas.openxmlformats.org/officeDocument/2006/relationships" name="PONDERADORES" sheetId="4" state="visible" r:id="rId4"/>
    <sheet xmlns:r="http://schemas.openxmlformats.org/officeDocument/2006/relationships" name="MATRIZ_174" sheetId="5" state="visible" r:id="rId5"/>
    <sheet xmlns:r="http://schemas.openxmlformats.org/officeDocument/2006/relationships" name="PREGUNTAS_PROXY" sheetId="6" state="visible" r:id="rId6"/>
    <sheet xmlns:r="http://schemas.openxmlformats.org/officeDocument/2006/relationships" name="SCORECARDS" sheetId="7" state="visible" r:id="rId7"/>
    <sheet xmlns:r="http://schemas.openxmlformats.org/officeDocument/2006/relationships" name="RADAR_BRECHAS" sheetId="8" state="visible" r:id="rId8"/>
  </sheets>
  <definedNames>
    <definedName name="_xlnm._FilterDatabase" localSheetId="1" hidden="1">'INSTRUMENTO_2_PREGUNTAS'!$A$2:$H$121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3"/>
    </font>
    <font>
      <name val="Calibri"/>
      <i val="1"/>
      <sz val="9"/>
    </font>
    <font>
      <name val="Calibri"/>
      <b val="1"/>
      <color rgb="FFFFFFFF"/>
      <sz val="10"/>
    </font>
    <font>
      <name val="Calibri"/>
      <i val="1"/>
      <color rgb="FF999999"/>
      <sz val="11"/>
    </font>
    <font>
      <name val="Calibri"/>
      <b val="1"/>
      <color rgb="FFFFFFFF"/>
      <sz val="11"/>
    </font>
    <font>
      <name val="Calibri"/>
      <i val="1"/>
      <sz val="8"/>
    </font>
    <font>
      <name val="Calibri"/>
      <b val="1"/>
      <color rgb="FF1F4E79"/>
      <sz val="11"/>
    </font>
    <font>
      <b val="1"/>
      <color rgb="00FFFFFF"/>
      <sz val="13"/>
    </font>
    <font>
      <b val="1"/>
      <color rgb="001F3864"/>
      <sz val="10"/>
    </font>
    <font>
      <sz val="9"/>
    </font>
    <font>
      <b val="1"/>
      <sz val="9"/>
    </font>
    <font>
      <i val="1"/>
      <color rgb="00595959"/>
      <sz val="9"/>
    </font>
    <font>
      <b val="1"/>
      <color rgb="001F3864"/>
      <sz val="11"/>
    </font>
    <font>
      <b val="1"/>
      <sz val="10"/>
    </font>
    <font>
      <sz val="10"/>
    </font>
  </fonts>
  <fills count="2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9DC3E6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203864"/>
      </patternFill>
    </fill>
    <fill>
      <patternFill patternType="solid">
        <fgColor rgb="FF843C0C"/>
      </patternFill>
    </fill>
    <fill>
      <patternFill patternType="solid">
        <fgColor rgb="FF7B1818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FF9900"/>
      </patternFill>
    </fill>
    <fill>
      <patternFill patternType="solid">
        <fgColor rgb="FF00B0F0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164" fontId="1" fillId="16" borderId="1" applyAlignment="1" pivotButton="0" quotePrefix="0" xfId="0">
      <alignment horizontal="center" vertical="center" wrapText="1"/>
    </xf>
    <xf numFmtId="164" fontId="1" fillId="17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1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center" vertical="center" wrapText="1"/>
    </xf>
    <xf numFmtId="164" fontId="1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18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0" borderId="0" pivotButton="0" quotePrefix="0" xfId="0"/>
    <xf numFmtId="0" fontId="9" fillId="20" borderId="0" applyAlignment="1" pivotButton="0" quotePrefix="0" xfId="0">
      <alignment vertical="center"/>
    </xf>
    <xf numFmtId="0" fontId="10" fillId="21" borderId="6" applyAlignment="1" pivotButton="0" quotePrefix="0" xfId="0">
      <alignment vertical="center" wrapText="1"/>
    </xf>
    <xf numFmtId="0" fontId="11" fillId="0" borderId="6" applyAlignment="1" pivotButton="0" quotePrefix="0" xfId="0">
      <alignment vertical="top" wrapText="1"/>
    </xf>
    <xf numFmtId="0" fontId="12" fillId="0" borderId="6" applyAlignment="1" pivotButton="0" quotePrefix="0" xfId="0">
      <alignment vertical="top" wrapText="1"/>
    </xf>
    <xf numFmtId="0" fontId="11" fillId="22" borderId="6" applyAlignment="1" pivotButton="0" quotePrefix="0" xfId="0">
      <alignment vertical="top" wrapText="1"/>
    </xf>
    <xf numFmtId="0" fontId="12" fillId="22" borderId="6" applyAlignment="1" pivotButton="0" quotePrefix="0" xfId="0">
      <alignment vertical="top" wrapText="1"/>
    </xf>
    <xf numFmtId="0" fontId="11" fillId="23" borderId="6" applyAlignment="1" pivotButton="0" quotePrefix="0" xfId="0">
      <alignment vertical="top" wrapText="1"/>
    </xf>
    <xf numFmtId="0" fontId="12" fillId="23" borderId="6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0" fillId="21" borderId="6" pivotButton="0" quotePrefix="0" xfId="0"/>
    <xf numFmtId="0" fontId="15" fillId="0" borderId="6" pivotButton="0" quotePrefix="0" xfId="0"/>
    <xf numFmtId="0" fontId="16" fillId="0" borderId="6" pivotButton="0" quotePrefix="0" xfId="0"/>
    <xf numFmtId="164" fontId="16" fillId="0" borderId="6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opLeftCell="A5" workbookViewId="0">
      <selection activeCell="A1" sqref="A1:H1"/>
    </sheetView>
  </sheetViews>
  <sheetFormatPr baseColWidth="10" defaultColWidth="8.88671875" defaultRowHeight="14.4"/>
  <cols>
    <col width="20" customWidth="1" style="37" min="1" max="1"/>
    <col width="22" customWidth="1" style="37" min="2" max="8"/>
  </cols>
  <sheetData>
    <row r="1" ht="31.95" customHeight="1" s="37">
      <c r="A1" t="inlineStr">
        <is>
          <t>PLANTILLA ÍNDICE PVE — PACTO VERDE EUROPEO</t>
        </is>
      </c>
    </row>
    <row r="2" ht="22.05" customHeight="1" s="37">
      <c r="A2" t="inlineStr">
        <is>
          <t>Clasificación de preparación y vulnerabilidad de cooperativas café y cacao ante el EUDR / Pacto Verde Europeo</t>
        </is>
      </c>
    </row>
    <row r="4" ht="18" customHeight="1" s="37">
      <c r="A4" t="inlineStr">
        <is>
          <t>PROPÓSITO</t>
        </is>
      </c>
    </row>
    <row r="5"/>
    <row r="7" ht="18" customHeight="1" s="37">
      <c r="A7" t="inlineStr">
        <is>
          <t>CÓMO FUNCIONA</t>
        </is>
      </c>
    </row>
    <row r="8"/>
    <row r="10" ht="18" customHeight="1" s="37">
      <c r="A10" t="inlineStr">
        <is>
          <t>FLUJO DE USO</t>
        </is>
      </c>
    </row>
    <row r="11">
      <c r="A11" t="inlineStr">
        <is>
          <t>Paso 1</t>
        </is>
      </c>
      <c r="B11" t="inlineStr">
        <is>
          <t>Revisar PONDERADORES — los pesos son editables en celdas amarillas</t>
        </is>
      </c>
    </row>
    <row r="12">
      <c r="A12" t="inlineStr">
        <is>
          <t>Paso 2</t>
        </is>
      </c>
      <c r="B12" t="inlineStr">
        <is>
          <t>Ir a MATRIZ_174 — verificar/actualizar FOB, país destino, certificaciones</t>
        </is>
      </c>
    </row>
    <row r="13">
      <c r="A13" t="inlineStr">
        <is>
          <t>Paso 3</t>
        </is>
      </c>
      <c r="B13" t="inlineStr">
        <is>
          <t>Para cada organización con FOB UE &gt; 0, completar PREGUNTAS_PROXY usando llamada telefónica o visita de 30 min</t>
        </is>
      </c>
    </row>
    <row r="14">
      <c r="A14" t="inlineStr">
        <is>
          <t>Paso 4</t>
        </is>
      </c>
      <c r="B14" t="inlineStr">
        <is>
          <t>Revisar SCORECARDS — el semáforo se actualiza automáticamente</t>
        </is>
      </c>
    </row>
    <row r="15">
      <c r="A15" t="inlineStr">
        <is>
          <t>Paso 5</t>
        </is>
      </c>
      <c r="B15" t="inlineStr">
        <is>
          <t>Usar RADAR_BRECHAS para comparación por departamento</t>
        </is>
      </c>
    </row>
    <row r="17" ht="18" customHeight="1" s="37">
      <c r="A17" t="inlineStr">
        <is>
          <t>SEMÁFORO</t>
        </is>
      </c>
    </row>
    <row r="18">
      <c r="A18" t="inlineStr">
        <is>
          <t>🔴 Crítico (0–33)</t>
        </is>
      </c>
      <c r="B18" t="inlineStr">
        <is>
          <t>La cooperativa no puede generar la declaración EUDR. Riesgo de rechazo en frontera UE desde dic 2026.</t>
        </is>
      </c>
    </row>
    <row r="19">
      <c r="A19" t="inlineStr">
        <is>
          <t>🟡 Vulnerable (34–66)</t>
        </is>
      </c>
      <c r="B19" t="inlineStr">
        <is>
          <t>Tiene infraestructura parcial pero incompleta. Necesita inversión en geolocalización y proceso.</t>
        </is>
      </c>
    </row>
    <row r="20">
      <c r="A20" t="inlineStr">
        <is>
          <t>🟢 Preparado (67–100)</t>
        </is>
      </c>
      <c r="B20" t="inlineStr">
        <is>
          <t>Cumple los requisitos mínimos. Requiere monitoreo de actualización.</t>
        </is>
      </c>
    </row>
    <row r="22" ht="18" customHeight="1" s="37">
      <c r="A22" t="inlineStr">
        <is>
          <t>NOTAS IMPORTANTES</t>
        </is>
      </c>
    </row>
    <row r="23"/>
    <row r="24"/>
    <row r="25"/>
    <row r="26"/>
    <row r="27"/>
  </sheetData>
  <mergeCells count="22">
    <mergeCell ref="A24:H24"/>
    <mergeCell ref="B15:H15"/>
    <mergeCell ref="A1:H1"/>
    <mergeCell ref="B20:H20"/>
    <mergeCell ref="A7:H7"/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37" min="1" max="1"/>
    <col width="10" customWidth="1" style="37" min="2" max="2"/>
    <col width="30" customWidth="1" style="37" min="3" max="3"/>
    <col width="60" customWidth="1" style="37" min="4" max="4"/>
    <col width="22" customWidth="1" style="37" min="5" max="5"/>
    <col width="55" customWidth="1" style="37" min="6" max="6"/>
    <col width="45" customWidth="1" style="37" min="7" max="7"/>
    <col width="16" customWidth="1" style="37" min="8" max="8"/>
  </cols>
  <sheetData>
    <row r="1" ht="24" customHeight="1" s="37">
      <c r="A1" s="46" t="inlineStr">
        <is>
          <t>INSTRUMENTO 2 (v0.4, 119 preguntas) — Correspondencia pregunta → destino en esta plantilla</t>
        </is>
      </c>
    </row>
    <row r="2" ht="28" customHeight="1" s="37">
      <c r="A2" s="47" t="inlineStr">
        <is>
          <t>Sección</t>
        </is>
      </c>
      <c r="B2" s="47" t="inlineStr">
        <is>
          <t>ID</t>
        </is>
      </c>
      <c r="C2" s="47" t="inlineStr">
        <is>
          <t>Bloque / Dimensión</t>
        </is>
      </c>
      <c r="D2" s="47" t="inlineStr">
        <is>
          <t>Pregunta</t>
        </is>
      </c>
      <c r="E2" s="47" t="inlineStr">
        <is>
          <t>Tipo de campo</t>
        </is>
      </c>
      <c r="F2" s="47" t="inlineStr">
        <is>
          <t>Opciones</t>
        </is>
      </c>
      <c r="G2" s="47" t="inlineStr">
        <is>
          <t>Destino en esta plantilla</t>
        </is>
      </c>
      <c r="H2" s="47" t="inlineStr">
        <is>
          <t>Nota</t>
        </is>
      </c>
    </row>
    <row r="3">
      <c r="A3" s="48" t="inlineStr">
        <is>
          <t>Sección 0 — Metadata de campo</t>
        </is>
      </c>
      <c r="B3" s="49" t="inlineStr">
        <is>
          <t>M1</t>
        </is>
      </c>
      <c r="C3" s="48" t="inlineStr">
        <is>
          <t>Bloque 0 — Ficha de identificación</t>
        </is>
      </c>
      <c r="D3" s="48" t="inlineStr">
        <is>
          <t>Fecha</t>
        </is>
      </c>
      <c r="E3" s="48" t="inlineStr">
        <is>
          <t>—</t>
        </is>
      </c>
      <c r="F3" s="48" t="inlineStr">
        <is>
          <t>—</t>
        </is>
      </c>
      <c r="G3" s="48" t="inlineStr">
        <is>
          <t>Google Sheet de respuestas, col. D (`fecha_aplicacion`)</t>
        </is>
      </c>
      <c r="H3" s="48" t="inlineStr"/>
    </row>
    <row r="4">
      <c r="A4" s="48" t="inlineStr">
        <is>
          <t>Sección 0 — Metadata de campo</t>
        </is>
      </c>
      <c r="B4" s="49" t="inlineStr">
        <is>
          <t>M2</t>
        </is>
      </c>
      <c r="C4" s="48" t="inlineStr">
        <is>
          <t>Bloque 0 — Ficha de identificación</t>
        </is>
      </c>
      <c r="D4" s="48" t="inlineStr">
        <is>
          <t>Respuesta corta</t>
        </is>
      </c>
      <c r="E4" s="48" t="inlineStr">
        <is>
          <t>—</t>
        </is>
      </c>
      <c r="F4" s="48" t="inlineStr">
        <is>
          <t>—</t>
        </is>
      </c>
      <c r="G4" s="48" t="inlineStr">
        <is>
          <t>Google Sheet de respuestas, col. E (`encuestador`)</t>
        </is>
      </c>
      <c r="H4" s="48" t="inlineStr"/>
    </row>
    <row r="5">
      <c r="A5" s="48" t="inlineStr">
        <is>
          <t>Sección 0 — Metadata de campo</t>
        </is>
      </c>
      <c r="B5" s="49" t="inlineStr">
        <is>
          <t>M3</t>
        </is>
      </c>
      <c r="C5" s="48" t="inlineStr">
        <is>
          <t>Bloque 0 — Ficha de identificación</t>
        </is>
      </c>
      <c r="D5" s="48" t="inlineStr">
        <is>
          <t>Lista desplegable</t>
        </is>
      </c>
      <c r="E5" s="48" t="inlineStr">
        <is>
          <t>Google Form directo / Piggyback GIZ / Piggyback SAFE / Piggyback MIDAGRI / Evento gremial / Otro</t>
        </is>
      </c>
      <c r="F5" s="48" t="inlineStr">
        <is>
          <t>—</t>
        </is>
      </c>
      <c r="G5" s="48" t="inlineStr">
        <is>
          <t>Google Sheet de respuestas, col. F (`canal_aplicacion`)</t>
        </is>
      </c>
      <c r="H5" s="48" t="inlineStr"/>
    </row>
    <row r="6">
      <c r="A6" s="48" t="inlineStr">
        <is>
          <t>Sección 1 — Bloque 0: Ficha de identificación</t>
        </is>
      </c>
      <c r="B6" s="49" t="inlineStr">
        <is>
          <t>B0.1</t>
        </is>
      </c>
      <c r="C6" s="48" t="inlineStr">
        <is>
          <t>Bloque 0 — Ficha de identificación</t>
        </is>
      </c>
      <c r="D6" s="48" t="inlineStr">
        <is>
          <t>Nombre de la cooperativa / razón social</t>
        </is>
      </c>
      <c r="E6" s="48" t="inlineStr">
        <is>
          <t>Respuesta corta</t>
        </is>
      </c>
      <c r="F6" s="48" t="inlineStr">
        <is>
          <t>—</t>
        </is>
      </c>
      <c r="G6" s="48" t="inlineStr">
        <is>
          <t>`MATRIZ_174!B` (Razón Social)</t>
        </is>
      </c>
      <c r="H6" s="48" t="inlineStr"/>
    </row>
    <row r="7">
      <c r="A7" s="48" t="inlineStr">
        <is>
          <t>Sección 1 — Bloque 0: Ficha de identificación</t>
        </is>
      </c>
      <c r="B7" s="49" t="inlineStr">
        <is>
          <t>B0.2</t>
        </is>
      </c>
      <c r="C7" s="48" t="inlineStr">
        <is>
          <t>Bloque 0 — Ficha de identificación</t>
        </is>
      </c>
      <c r="D7" s="48" t="inlineStr">
        <is>
          <t>RUC</t>
        </is>
      </c>
      <c r="E7" s="48" t="inlineStr">
        <is>
          <t>Respuesta corta (validación: regex 11 dígitos si el Form lo permite)</t>
        </is>
      </c>
      <c r="F7" s="48" t="inlineStr">
        <is>
          <t>—</t>
        </is>
      </c>
      <c r="G7" s="48" t="inlineStr">
        <is>
          <t>`MATRIZ_174!A` · `ISCAM_Score!A` · `SCORECARDS!A` — clave de join</t>
        </is>
      </c>
      <c r="H7" s="48" t="inlineStr"/>
    </row>
    <row r="8">
      <c r="A8" s="48" t="inlineStr">
        <is>
          <t>Sección 1 — Bloque 0: Ficha de identificación</t>
        </is>
      </c>
      <c r="B8" s="49" t="inlineStr">
        <is>
          <t>B0.3</t>
        </is>
      </c>
      <c r="C8" s="48" t="inlineStr">
        <is>
          <t>Bloque 0 — Ficha de identificación</t>
        </is>
      </c>
      <c r="D8" s="48" t="inlineStr">
        <is>
          <t>Producto(s) exportado(s) (café, cacao, madera, otro — indique código SA si lo conoce)</t>
        </is>
      </c>
      <c r="E8" s="48" t="inlineStr">
        <is>
          <t>Párrafo</t>
        </is>
      </c>
      <c r="F8" s="48" t="inlineStr">
        <is>
          <t>—</t>
        </is>
      </c>
      <c r="G8" s="48" t="inlineStr">
        <is>
          <t>`MATRIZ_174!D` (Producto)</t>
        </is>
      </c>
      <c r="H8" s="48" t="inlineStr"/>
    </row>
    <row r="9">
      <c r="A9" s="48" t="inlineStr">
        <is>
          <t>Sección 1 — Bloque 0: Ficha de identificación</t>
        </is>
      </c>
      <c r="B9" s="49" t="inlineStr">
        <is>
          <t>B0.4</t>
        </is>
      </c>
      <c r="C9" s="48" t="inlineStr">
        <is>
          <t>Bloque 0 — Ficha de identificación</t>
        </is>
      </c>
      <c r="D9" s="48" t="inlineStr">
        <is>
          <t>N.º de socios productores y hectáreas totales asociadas (indique ambos: "N.º socios: ___ / Hectáreas: ___")</t>
        </is>
      </c>
      <c r="E9" s="48" t="inlineStr">
        <is>
          <t>Párrafo</t>
        </is>
      </c>
      <c r="F9" s="48" t="inlineStr">
        <is>
          <t>—</t>
        </is>
      </c>
      <c r="G9" s="48" t="inlineStr">
        <is>
          <t>`MATRIZ_174!Q` (N.° socios) + `R` (Ha)</t>
        </is>
      </c>
      <c r="H9" s="48" t="inlineStr"/>
    </row>
    <row r="10">
      <c r="A10" s="48" t="inlineStr">
        <is>
          <t>Sección 1 — Bloque 0: Ficha de identificación</t>
        </is>
      </c>
      <c r="B10" s="49" t="inlineStr">
        <is>
          <t>B0.5</t>
        </is>
      </c>
      <c r="C10" s="48" t="inlineStr">
        <is>
          <t>Bloque 0 — Ficha de identificación</t>
        </is>
      </c>
      <c r="D10" s="48" t="inlineStr">
        <is>
          <t>¿Exporta directamente a la Unión Europea o a través de un tercero?</t>
        </is>
      </c>
      <c r="E10" s="48" t="inlineStr">
        <is>
          <t>Opción múltiple</t>
        </is>
      </c>
      <c r="F10" s="48" t="inlineStr">
        <is>
          <t>Directamente / A través de un tercero</t>
        </is>
      </c>
      <c r="G10" s="48" t="inlineStr">
        <is>
          <t>`MATRIZ_174!G` (Exporta SI/NO)</t>
        </is>
      </c>
      <c r="H10" s="48" t="inlineStr"/>
    </row>
    <row r="11">
      <c r="A11" s="48" t="inlineStr">
        <is>
          <t>Sección 1 — Bloque 0: Ficha de identificación</t>
        </is>
      </c>
      <c r="B11" s="49" t="inlineStr">
        <is>
          <t>B0.6</t>
        </is>
      </c>
      <c r="C11" s="48" t="inlineStr">
        <is>
          <t>Bloque 0 — Ficha de identificación</t>
        </is>
      </c>
      <c r="D11" s="48" t="inlineStr">
        <is>
          <t>Si respondió "a través de un tercero": ¿quién es el comprador que sí exporta a la UE? (deje en blanco si no aplica)</t>
        </is>
      </c>
      <c r="E11" s="48" t="inlineStr">
        <is>
          <t>Respuesta corta (opcional)</t>
        </is>
      </c>
      <c r="F11" s="48" t="inlineStr">
        <is>
          <t>—</t>
        </is>
      </c>
      <c r="G11" s="48" t="inlineStr">
        <is>
          <t>Sin destino en la plantilla — registro de auditoría</t>
        </is>
      </c>
      <c r="H11" s="48" t="inlineStr"/>
    </row>
    <row r="12">
      <c r="A12" s="48" t="inlineStr">
        <is>
          <t>Sección 1 — Bloque 0: Ficha de identificación</t>
        </is>
      </c>
      <c r="B12" s="49" t="inlineStr">
        <is>
          <t>B0.7</t>
        </is>
      </c>
      <c r="C12" s="48" t="inlineStr">
        <is>
          <t>Bloque 0 — Ficha de identificación</t>
        </is>
      </c>
      <c r="D12" s="48" t="inlineStr">
        <is>
          <t>Volumen anual aproximado destinado a la UE, como % del total exportado</t>
        </is>
      </c>
      <c r="E12" s="48" t="inlineStr">
        <is>
          <t>Respuesta corta (validación numérica 0-100)</t>
        </is>
      </c>
      <c r="F12" s="48" t="inlineStr">
        <is>
          <t>—</t>
        </is>
      </c>
      <c r="G12" s="48" t="inlineStr">
        <is>
          <t>`MATRIZ_174!M` (% UE/FOB) — validación cruzada</t>
        </is>
      </c>
      <c r="H12" s="48" t="inlineStr"/>
    </row>
    <row r="13">
      <c r="A13" s="50" t="inlineStr">
        <is>
          <t>Sección 1 — Bloque 0: Ficha de identificación</t>
        </is>
      </c>
      <c r="B13" s="51" t="inlineStr">
        <is>
          <t>B0.8</t>
        </is>
      </c>
      <c r="C13" s="50" t="inlineStr">
        <is>
          <t>Bloque 0 — Ficha de identificación</t>
        </is>
      </c>
      <c r="D13" s="50" t="inlineStr">
        <is>
          <t>Destino(s) de sus exportaciones, marcando primero el principal — incluya destinos fuera de la UE</t>
        </is>
      </c>
      <c r="E13" s="50" t="inlineStr">
        <is>
          <t>Casillas de verificación</t>
        </is>
      </c>
      <c r="F13" s="50" t="inlineStr">
        <is>
          <t>Alemania / Bélgica / Países Bajos / Francia / Italia / España / Suecia / Dinamarca / Estados Unidos / Japón / China / Otro (especificar)</t>
        </is>
      </c>
      <c r="G13" s="50" t="inlineStr">
        <is>
          <t>Proxy `destino_principal` (D7); validación vs. DUAs</t>
        </is>
      </c>
      <c r="H13" s="50" t="inlineStr">
        <is>
          <t>v0.4 — modificada</t>
        </is>
      </c>
    </row>
    <row r="14">
      <c r="A14" s="48" t="inlineStr">
        <is>
          <t>Sección 1 — Bloque 0: Ficha de identificación</t>
        </is>
      </c>
      <c r="B14" s="49" t="inlineStr">
        <is>
          <t>B0.9</t>
        </is>
      </c>
      <c r="C14" s="48" t="inlineStr">
        <is>
          <t>Bloque 0 — Ficha de identificación</t>
        </is>
      </c>
      <c r="D14" s="48" t="inlineStr">
        <is>
          <t>Certificaciones voluntarias vigentes</t>
        </is>
      </c>
      <c r="E14" s="48" t="inlineStr">
        <is>
          <t>Casillas de verificación</t>
        </is>
      </c>
      <c r="F14" s="48" t="inlineStr">
        <is>
          <t>Rainforest Alliance / Fairtrade / Orgánico / UTZ / Otra / Ninguna</t>
        </is>
      </c>
      <c r="G14" s="48" t="inlineStr">
        <is>
          <t>`MATRIZ_174!H`/`I` → `O` (Score Cert)</t>
        </is>
      </c>
      <c r="H14" s="48" t="inlineStr"/>
    </row>
    <row r="15">
      <c r="A15" s="48" t="inlineStr">
        <is>
          <t>Sección 1 — Bloque 0: Ficha de identificación</t>
        </is>
      </c>
      <c r="B15" s="49" t="inlineStr">
        <is>
          <t>B0.10</t>
        </is>
      </c>
      <c r="C15" s="48" t="inlineStr">
        <is>
          <t>Bloque 0 — Ficha de identificación</t>
        </is>
      </c>
      <c r="D15" s="48" t="inlineStr">
        <is>
          <t>¿Las parcelas de los socios están concentradas en un solo distrito, repartidas en varios distritos de una misma provincia, o dispersas en varias provincias/regiones?</t>
        </is>
      </c>
      <c r="E15" s="48" t="inlineStr">
        <is>
          <t>Opción múltiple</t>
        </is>
      </c>
      <c r="F15" s="48" t="inlineStr">
        <is>
          <t>Un solo distrito / Varios distritos, misma provincia / Varias provincias o regiones</t>
        </is>
      </c>
      <c r="G15" s="48" t="inlineStr">
        <is>
          <t>Insumo IV3 — `ISCAM_Score!W`</t>
        </is>
      </c>
      <c r="H15" s="48" t="inlineStr"/>
    </row>
    <row r="16">
      <c r="A16" s="48" t="inlineStr">
        <is>
          <t>Sección 1 — Bloque 0: Ficha de identificación</t>
        </is>
      </c>
      <c r="B16" s="49" t="inlineStr">
        <is>
          <t>B0.11</t>
        </is>
      </c>
      <c r="C16" s="48" t="inlineStr">
        <is>
          <t>Bloque 0 — Ficha de identificación</t>
        </is>
      </c>
      <c r="D16" s="48" t="inlineStr">
        <is>
          <t>Distancia aproximada entre las parcelas más alejadas de los socios y el centro de acopio o planta de procesamiento más cercano</t>
        </is>
      </c>
      <c r="E16" s="48" t="inlineStr">
        <is>
          <t>Opción múltiple</t>
        </is>
      </c>
      <c r="F16" s="48" t="inlineStr">
        <is>
          <t>Menos de 5 km / Entre 5 y 20 km / Entre 20 y 50 km / Más de 50 km / No se ha medido</t>
        </is>
      </c>
      <c r="G16" s="48" t="inlineStr">
        <is>
          <t>Insumo IV3 — `ISCAM_Score!W`</t>
        </is>
      </c>
      <c r="H16" s="48" t="inlineStr"/>
    </row>
    <row r="17">
      <c r="A17" s="48" t="inlineStr">
        <is>
          <t>Sección 1 — Bloque 0: Ficha de identificación</t>
        </is>
      </c>
      <c r="B17" s="49" t="inlineStr">
        <is>
          <t>B0.12</t>
        </is>
      </c>
      <c r="C17" s="48" t="inlineStr">
        <is>
          <t>Bloque 0 — Ficha de identificación</t>
        </is>
      </c>
      <c r="D17" s="48" t="inlineStr">
        <is>
          <t>% de mujeres en la directiva/consejo directivo</t>
        </is>
      </c>
      <c r="E17" s="48" t="inlineStr">
        <is>
          <t>Respuesta corta (validación numérica 0-100)</t>
        </is>
      </c>
      <c r="F17" s="48" t="inlineStr">
        <is>
          <t>—</t>
        </is>
      </c>
      <c r="G17" s="48" t="inlineStr">
        <is>
          <t>Insumo IV5 — `ISCAM_Score!Y`</t>
        </is>
      </c>
      <c r="H17" s="48" t="inlineStr"/>
    </row>
    <row r="18">
      <c r="A18" s="48" t="inlineStr">
        <is>
          <t>Sección 1 — Bloque 0: Ficha de identificación</t>
        </is>
      </c>
      <c r="B18" s="49" t="inlineStr">
        <is>
          <t>B0.13</t>
        </is>
      </c>
      <c r="C18" s="48" t="inlineStr">
        <is>
          <t>Bloque 0 — Ficha de identificación</t>
        </is>
      </c>
      <c r="D18" s="48" t="inlineStr">
        <is>
          <t>¿Qué porcentaje aproximado de los socios productores opera en zonas clasificadas como de riesgo alto o muy alto de deforestación según el Mapa de Deforestación del MINAM o Global Forest Watch?</t>
        </is>
      </c>
      <c r="E18" s="48" t="inlineStr">
        <is>
          <t>Opción múltiple</t>
        </is>
      </c>
      <c r="F18" s="48" t="inlineStr">
        <is>
          <t>Menos del 10% / Entre 10% y 30% / Entre 30% y 60% / Más del 60% / No se ha evaluado</t>
        </is>
      </c>
      <c r="G18" s="48" t="inlineStr">
        <is>
          <t>Insumo IV3/IP3 — `ISCAM_Score!W`/`R`</t>
        </is>
      </c>
      <c r="H18" s="48" t="inlineStr"/>
    </row>
    <row r="19">
      <c r="A19" s="48" t="inlineStr">
        <is>
          <t>Sección 1 — Bloque 0: Ficha de identificación</t>
        </is>
      </c>
      <c r="B19" s="49" t="inlineStr">
        <is>
          <t>B0.14</t>
        </is>
      </c>
      <c r="C19" s="48" t="inlineStr">
        <is>
          <t>Bloque 0 — Ficha de identificación</t>
        </is>
      </c>
      <c r="D19" s="48" t="inlineStr">
        <is>
          <t>¿La cooperativa tiene capacidad técnica de verificación directa en campo —personal o prestataire con formación agronómica— para supervisar las prácticas de los socios en sus parcelas de forma periódica?</t>
        </is>
      </c>
      <c r="E19" s="48" t="inlineStr">
        <is>
          <t>Opción múltiple</t>
        </is>
      </c>
      <c r="F19" s="48" t="inlineStr">
        <is>
          <t>No tiene capacidad de verificación / Parcial, cubre menos de la mitad de los socios / Parcial, cubre más de la mitad / Sí, capacidad suficiente para visitas periódicas a todos los socios</t>
        </is>
      </c>
      <c r="G19" s="48" t="inlineStr">
        <is>
          <t>Insumo IV3/IP3 — `ISCAM_Score!W`/`R`</t>
        </is>
      </c>
      <c r="H19" s="48" t="inlineStr"/>
    </row>
    <row r="20">
      <c r="A20" s="52" t="inlineStr">
        <is>
          <t>Sección 1 — Bloque 0: Ficha de identificación</t>
        </is>
      </c>
      <c r="B20" s="53" t="inlineStr">
        <is>
          <t>B0.15</t>
        </is>
      </c>
      <c r="C20" s="52" t="inlineStr">
        <is>
          <t>Bloque 0 — Ficha de identificación</t>
        </is>
      </c>
      <c r="D20" s="52" t="inlineStr">
        <is>
          <t>Tipo de organización</t>
        </is>
      </c>
      <c r="E20" s="52" t="inlineStr">
        <is>
          <t>Opción múltiple</t>
        </is>
      </c>
      <c r="F20" s="52" t="inlineStr">
        <is>
          <t>Asociación / Cooperativa agraria / Cooperativa de servicios / Central o federación de cooperativas / Empresa / Otro (especificar)</t>
        </is>
      </c>
      <c r="G20" s="52" t="inlineStr">
        <is>
          <t>`MATRIZ_174!P` (Tipo org.)</t>
        </is>
      </c>
      <c r="H20" s="52" t="inlineStr">
        <is>
          <t>v0.4 — nueva</t>
        </is>
      </c>
    </row>
    <row r="21">
      <c r="A21" s="52" t="inlineStr">
        <is>
          <t>Sección 1 — Bloque 0: Ficha de identificación</t>
        </is>
      </c>
      <c r="B21" s="53" t="inlineStr">
        <is>
          <t>B0.16</t>
        </is>
      </c>
      <c r="C21" s="52" t="inlineStr">
        <is>
          <t>Bloque 0 — Ficha de identificación</t>
        </is>
      </c>
      <c r="D21" s="52" t="inlineStr">
        <is>
          <t>Departamento (y provincia) donde está registrada la sede de la organización</t>
        </is>
      </c>
      <c r="E21" s="52" t="inlineStr">
        <is>
          <t>Respuesta corta</t>
        </is>
      </c>
      <c r="F21" s="52" t="inlineStr">
        <is>
          <t>—</t>
        </is>
      </c>
      <c r="G21" s="52" t="inlineStr">
        <is>
          <t>`MATRIZ_174!C` (Depto) — validación SUNAT</t>
        </is>
      </c>
      <c r="H21" s="52" t="inlineStr">
        <is>
          <t>v0.4 — nueva</t>
        </is>
      </c>
    </row>
    <row r="22">
      <c r="A22" s="52" t="inlineStr">
        <is>
          <t>Sección 1 — Bloque 0: Ficha de identificación</t>
        </is>
      </c>
      <c r="B22" s="53" t="inlineStr">
        <is>
          <t>B0.17</t>
        </is>
      </c>
      <c r="C22" s="52" t="inlineStr">
        <is>
          <t>Bloque 0 — Ficha de identificación</t>
        </is>
      </c>
      <c r="D22" s="52" t="inlineStr">
        <is>
          <t>¿La organización está inscrita en el RNCA (Registro Nacional de Cooperativas Agrarias)?</t>
        </is>
      </c>
      <c r="E22" s="52" t="inlineStr">
        <is>
          <t>Opción múltiple</t>
        </is>
      </c>
      <c r="F22" s="52" t="inlineStr">
        <is>
          <t>Sí / En trámite / No / No aplica (no es cooperativa agraria)</t>
        </is>
      </c>
      <c r="G22" s="52" t="inlineStr">
        <is>
          <t>Insumo IV2 — `ISCAM_Score!V`; proxy `rnca`</t>
        </is>
      </c>
      <c r="H22" s="52" t="inlineStr">
        <is>
          <t>v0.4 — nueva</t>
        </is>
      </c>
    </row>
    <row r="23">
      <c r="A23" s="48" t="inlineStr">
        <is>
          <t>Sección 2 — Bloque P: Variables de Performance</t>
        </is>
      </c>
      <c r="B23" s="49" t="inlineStr">
        <is>
          <t>P1</t>
        </is>
      </c>
      <c r="C23" s="48" t="inlineStr">
        <is>
          <t>Bloque P — Performance comercial</t>
        </is>
      </c>
      <c r="D23" s="48" t="inlineStr">
        <is>
          <t>Volumen exportado a la Unión Europea en el último año (especifique unidad —kg o toneladas— y producto si exporta ambos)</t>
        </is>
      </c>
      <c r="E23" s="48" t="inlineStr">
        <is>
          <t>Párrafo</t>
        </is>
      </c>
      <c r="F23" s="48" t="inlineStr">
        <is>
          <t>—</t>
        </is>
      </c>
      <c r="G23" s="48" t="inlineStr">
        <is>
          <t>Insumo IV1 — `ISCAM_Score!U`</t>
        </is>
      </c>
      <c r="H23" s="48" t="inlineStr"/>
    </row>
    <row r="24">
      <c r="A24" s="48" t="inlineStr">
        <is>
          <t>Sección 2 — Bloque P: Variables de Performance</t>
        </is>
      </c>
      <c r="B24" s="49" t="inlineStr">
        <is>
          <t>P1b</t>
        </is>
      </c>
      <c r="C24" s="48" t="inlineStr">
        <is>
          <t>Bloque P — Performance comercial</t>
        </is>
      </c>
      <c r="D24" s="48" t="inlineStr">
        <is>
          <t>Volumen TOTAL exportado a todos los destinos (UE y no UE) en el último año, mismo producto y misma unidad que la pregunta anterior</t>
        </is>
      </c>
      <c r="E24" s="48" t="inlineStr">
        <is>
          <t>Párrafo</t>
        </is>
      </c>
      <c r="F24" s="48" t="inlineStr">
        <is>
          <t>—</t>
        </is>
      </c>
      <c r="G24" s="48" t="inlineStr">
        <is>
          <t>Insumo IV1 — `ISCAM_Score!U`</t>
        </is>
      </c>
      <c r="H24" s="48" t="inlineStr"/>
    </row>
    <row r="25">
      <c r="A25" s="48" t="inlineStr">
        <is>
          <t>Sección 2 — Bloque P: Variables de Performance</t>
        </is>
      </c>
      <c r="B25" s="49" t="inlineStr">
        <is>
          <t>P2</t>
        </is>
      </c>
      <c r="C25" s="48" t="inlineStr">
        <is>
          <t>Bloque P — Performance comercial</t>
        </is>
      </c>
      <c r="D25" s="48" t="inlineStr">
        <is>
          <t>Volumen exportado a la Unión Europea hace 3 años, mismo producto (kg o toneladas)</t>
        </is>
      </c>
      <c r="E25" s="48" t="inlineStr">
        <is>
          <t>Párrafo</t>
        </is>
      </c>
      <c r="F25" s="48" t="inlineStr">
        <is>
          <t>—</t>
        </is>
      </c>
      <c r="G25" s="48" t="inlineStr">
        <is>
          <t>No puntúa (retrospectivo)</t>
        </is>
      </c>
      <c r="H25" s="48" t="inlineStr"/>
    </row>
    <row r="26">
      <c r="A26" s="48" t="inlineStr">
        <is>
          <t>Sección 2 — Bloque P: Variables de Performance</t>
        </is>
      </c>
      <c r="B26" s="49" t="inlineStr">
        <is>
          <t>P3</t>
        </is>
      </c>
      <c r="C26" s="48" t="inlineStr">
        <is>
          <t>Bloque P — Performance comercial</t>
        </is>
      </c>
      <c r="D26" s="48" t="inlineStr">
        <is>
          <t>Ingreso total generado por ventas de exportación a la UE en el último año (especifique moneda: S/ o USD)</t>
        </is>
      </c>
      <c r="E26" s="48" t="inlineStr">
        <is>
          <t>Párrafo</t>
        </is>
      </c>
      <c r="F26" s="48" t="inlineStr">
        <is>
          <t>—</t>
        </is>
      </c>
      <c r="G26" s="48" t="inlineStr">
        <is>
          <t>Insumo IV1 — `ISCAM_Score!U`; deriva PVE P2</t>
        </is>
      </c>
      <c r="H26" s="48" t="inlineStr"/>
    </row>
    <row r="27">
      <c r="A27" s="48" t="inlineStr">
        <is>
          <t>Sección 2 — Bloque P: Variables de Performance</t>
        </is>
      </c>
      <c r="B27" s="49" t="inlineStr">
        <is>
          <t>P4</t>
        </is>
      </c>
      <c r="C27" s="48" t="inlineStr">
        <is>
          <t>Bloque P — Performance comercial</t>
        </is>
      </c>
      <c r="D27" s="48" t="inlineStr">
        <is>
          <t>N.º de compradores/clientes europeos activos actualmente</t>
        </is>
      </c>
      <c r="E27" s="48" t="inlineStr">
        <is>
          <t>Respuesta corta (numérica)</t>
        </is>
      </c>
      <c r="F27" s="48" t="inlineStr">
        <is>
          <t>—</t>
        </is>
      </c>
      <c r="G27" s="48" t="inlineStr">
        <is>
          <t>Insumo IV1 — `ISCAM_Score!U`</t>
        </is>
      </c>
      <c r="H27" s="48" t="inlineStr"/>
    </row>
    <row r="28">
      <c r="A28" s="48" t="inlineStr">
        <is>
          <t>Sección 2 — Bloque P: Variables de Performance</t>
        </is>
      </c>
      <c r="B28" s="49" t="inlineStr">
        <is>
          <t>P5</t>
        </is>
      </c>
      <c r="C28" s="48" t="inlineStr">
        <is>
          <t>Bloque P — Performance comercial</t>
        </is>
      </c>
      <c r="D28" s="48" t="inlineStr">
        <is>
          <t>N.º de compradores/clientes europeos activos hace 3 años</t>
        </is>
      </c>
      <c r="E28" s="48" t="inlineStr">
        <is>
          <t>Respuesta corta (numérica)</t>
        </is>
      </c>
      <c r="F28" s="48" t="inlineStr">
        <is>
          <t>—</t>
        </is>
      </c>
      <c r="G28" s="48" t="inlineStr">
        <is>
          <t>No puntúa (retrospectivo)</t>
        </is>
      </c>
      <c r="H28" s="48" t="inlineStr"/>
    </row>
    <row r="29">
      <c r="A29" s="48" t="inlineStr">
        <is>
          <t>Sección 2 — Bloque P: Variables de Performance</t>
        </is>
      </c>
      <c r="B29" s="49" t="inlineStr">
        <is>
          <t>P6</t>
        </is>
      </c>
      <c r="C29" s="48" t="inlineStr">
        <is>
          <t>Bloque P — Performance comercial</t>
        </is>
      </c>
      <c r="D29" s="48" t="inlineStr">
        <is>
          <t>Precio promedio pagado al socio productor por kg/quintal en el último año (especifique S/ o USD)</t>
        </is>
      </c>
      <c r="E29" s="48" t="inlineStr">
        <is>
          <t>Respuesta corta</t>
        </is>
      </c>
      <c r="F29" s="48" t="inlineStr">
        <is>
          <t>—</t>
        </is>
      </c>
      <c r="G29" s="48" t="inlineStr">
        <is>
          <t>Derivada `var_precio_socio`</t>
        </is>
      </c>
      <c r="H29" s="48" t="inlineStr"/>
    </row>
    <row r="30">
      <c r="A30" s="48" t="inlineStr">
        <is>
          <t>Sección 2 — Bloque P: Variables de Performance</t>
        </is>
      </c>
      <c r="B30" s="49" t="inlineStr">
        <is>
          <t>P7</t>
        </is>
      </c>
      <c r="C30" s="48" t="inlineStr">
        <is>
          <t>Bloque P — Performance comercial</t>
        </is>
      </c>
      <c r="D30" s="48" t="inlineStr">
        <is>
          <t>Precio promedio pagado al socio productor por kg/quintal hace 3 años</t>
        </is>
      </c>
      <c r="E30" s="48" t="inlineStr">
        <is>
          <t>Respuesta corta</t>
        </is>
      </c>
      <c r="F30" s="48" t="inlineStr">
        <is>
          <t>—</t>
        </is>
      </c>
      <c r="G30" s="48" t="inlineStr">
        <is>
          <t>Derivada `var_precio_socio`</t>
        </is>
      </c>
      <c r="H30" s="48" t="inlineStr"/>
    </row>
    <row r="31">
      <c r="A31" s="48" t="inlineStr">
        <is>
          <t>Sección 2 — Bloque P: Variables de Performance</t>
        </is>
      </c>
      <c r="B31" s="49" t="inlineStr">
        <is>
          <t>P8</t>
        </is>
      </c>
      <c r="C31" s="48" t="inlineStr">
        <is>
          <t>Bloque P — Performance comercial</t>
        </is>
      </c>
      <c r="D31" s="48" t="inlineStr">
        <is>
          <t>¿Ha tenido algún lote rechazado u observado por un comprador europeo por motivos de trazabilidad/deforestación en los últimos 2 años?</t>
        </is>
      </c>
      <c r="E31" s="48" t="inlineStr">
        <is>
          <t>Opción múltiple</t>
        </is>
      </c>
      <c r="F31" s="48" t="inlineStr">
        <is>
          <t>Sí / No / No sabe</t>
        </is>
      </c>
      <c r="G31" s="48" t="inlineStr">
        <is>
          <t>Proxy `reg_rechazos` (D5)</t>
        </is>
      </c>
      <c r="H31" s="48" t="inlineStr"/>
    </row>
    <row r="32">
      <c r="A32" s="48" t="inlineStr">
        <is>
          <t>Sección 2 — Bloque P: Variables de Performance</t>
        </is>
      </c>
      <c r="B32" s="49" t="inlineStr">
        <is>
          <t>P9</t>
        </is>
      </c>
      <c r="C32" s="48" t="inlineStr">
        <is>
          <t>Bloque P — Performance comercial</t>
        </is>
      </c>
      <c r="D32" s="48" t="inlineStr">
        <is>
          <t>Si la respuesta anterior fue "Sí": N.º aproximado de lotes rechazados u observados (deje en blanco si no aplica)</t>
        </is>
      </c>
      <c r="E32" s="48" t="inlineStr">
        <is>
          <t>Respuesta corta (opcional)</t>
        </is>
      </c>
      <c r="F32" s="48" t="inlineStr">
        <is>
          <t>—</t>
        </is>
      </c>
      <c r="G32" s="48" t="inlineStr">
        <is>
          <t>Detalle de P8 — no puntúa</t>
        </is>
      </c>
      <c r="H32" s="48" t="inlineStr"/>
    </row>
    <row r="33">
      <c r="A33" s="48" t="inlineStr">
        <is>
          <t>Sección 2 — Bloque P: Variables de Performance</t>
        </is>
      </c>
      <c r="B33" s="49" t="inlineStr">
        <is>
          <t>P10</t>
        </is>
      </c>
      <c r="C33" s="48" t="inlineStr">
        <is>
          <t>Bloque P — Performance comercial</t>
        </is>
      </c>
      <c r="D33" s="48" t="inlineStr">
        <is>
          <t>¿Ha perdido algún contrato o comprador europeo en los últimos 2 años por motivos de cumplimiento (EUDR u otro requisito de sostenibilidad del comprador)?</t>
        </is>
      </c>
      <c r="E33" s="48" t="inlineStr">
        <is>
          <t>Opción múltiple</t>
        </is>
      </c>
      <c r="F33" s="48" t="inlineStr">
        <is>
          <t>Sí / No / No sabe</t>
        </is>
      </c>
      <c r="G33" s="48" t="inlineStr">
        <is>
          <t>Proxy presión PV del comprador (D7)</t>
        </is>
      </c>
      <c r="H33" s="48" t="inlineStr"/>
    </row>
    <row r="34">
      <c r="A34" s="48" t="inlineStr">
        <is>
          <t>Sección 2 — Bloque P: Variables de Performance</t>
        </is>
      </c>
      <c r="B34" s="49" t="inlineStr">
        <is>
          <t>P11</t>
        </is>
      </c>
      <c r="C34" s="48" t="inlineStr">
        <is>
          <t>Bloque P — Performance comercial</t>
        </is>
      </c>
      <c r="D34" s="48" t="inlineStr">
        <is>
          <t>% del volumen total exportado en el último año que cuenta con trazabilidad completa verificada hasta la parcela de origen (0-100%)</t>
        </is>
      </c>
      <c r="E34" s="48" t="inlineStr">
        <is>
          <t>Respuesta corta (validación numérica 0-100)</t>
        </is>
      </c>
      <c r="F34" s="48" t="inlineStr">
        <is>
          <t>—</t>
        </is>
      </c>
      <c r="G34" s="48" t="inlineStr">
        <is>
          <t>`MATRIZ_174!AK` (P11 — Score trazabilidad)</t>
        </is>
      </c>
      <c r="H34" s="48" t="inlineStr"/>
    </row>
    <row r="35">
      <c r="A35" s="48" t="inlineStr">
        <is>
          <t>Sección 2 — Bloque P: Variables de Performance</t>
        </is>
      </c>
      <c r="B35" s="49" t="inlineStr">
        <is>
          <t>P12</t>
        </is>
      </c>
      <c r="C35" s="48" t="inlineStr">
        <is>
          <t>Bloque P — Performance comercial</t>
        </is>
      </c>
      <c r="D35" s="48" t="inlineStr">
        <is>
          <t>N.º de años consecutivos exportando a la Unión Europea, contando el año actual</t>
        </is>
      </c>
      <c r="E35" s="48" t="inlineStr">
        <is>
          <t>Respuesta corta (numérica)</t>
        </is>
      </c>
      <c r="F35" s="48" t="inlineStr">
        <is>
          <t>—</t>
        </is>
      </c>
      <c r="G35" s="48" t="inlineStr">
        <is>
          <t>Validación externa — no puntúa</t>
        </is>
      </c>
      <c r="H35" s="48" t="inlineStr"/>
    </row>
    <row r="36">
      <c r="A36" s="48" t="inlineStr">
        <is>
          <t>Sección 2 — Bloque P: Variables de Performance</t>
        </is>
      </c>
      <c r="B36" s="49" t="inlineStr">
        <is>
          <t>P13</t>
        </is>
      </c>
      <c r="C36" s="48" t="inlineStr">
        <is>
          <t>Bloque P — Performance comercial</t>
        </is>
      </c>
      <c r="D36" s="48" t="inlineStr">
        <is>
          <t>¿Algún comprador europeo ha exigido formalmente, en los últimos 2 años, información sobre huella de carbono, LMR de pesticidas u otro requisito de sostenibilidad más allá del EUDR?</t>
        </is>
      </c>
      <c r="E36" s="48" t="inlineStr">
        <is>
          <t>Opción múltiple</t>
        </is>
      </c>
      <c r="F36" s="48" t="inlineStr">
        <is>
          <t>No / Sí, de forma verbal o informal / Sí, como cuestionario de proveedor o documentación formal / Sí, como cláusula contractual o condición de pago</t>
        </is>
      </c>
      <c r="G36" s="48" t="inlineStr">
        <is>
          <t>Proxy presión PV del comprador (D7)</t>
        </is>
      </c>
      <c r="H36" s="48" t="inlineStr"/>
    </row>
    <row r="37">
      <c r="A37" s="48" t="inlineStr">
        <is>
          <t>Sección 2 — Bloque P: Variables de Performance</t>
        </is>
      </c>
      <c r="B37" s="49" t="inlineStr">
        <is>
          <t>P14</t>
        </is>
      </c>
      <c r="C37" s="48" t="inlineStr">
        <is>
          <t>Bloque P — Performance comercial</t>
        </is>
      </c>
      <c r="D37" s="48" t="inlineStr">
        <is>
          <t>¿La cooperativa ha accedido o intentado acceder a financiamiento verde, crédito de impacto o fondos condicionados a criterios de sostenibilidad del Pacto Verde en los últimos 2 años?</t>
        </is>
      </c>
      <c r="E37" s="48" t="inlineStr">
        <is>
          <t>Opción múltiple</t>
        </is>
      </c>
      <c r="F37" s="48" t="inlineStr">
        <is>
          <t>No ha intentado / Lo intentó pero no cumplió los criterios / Sí, recibió financiamiento verde / No sabe si aplica a su caso</t>
        </is>
      </c>
      <c r="G37" s="48" t="inlineStr">
        <is>
          <t>Proxy financiamiento verde (D9)</t>
        </is>
      </c>
      <c r="H37" s="48" t="inlineStr"/>
    </row>
    <row r="38">
      <c r="A38" s="48" t="inlineStr">
        <is>
          <t>Sección 3 — D1: Clasificación regulatoria</t>
        </is>
      </c>
      <c r="B38" s="49" t="inlineStr">
        <is>
          <t>D1.1</t>
        </is>
      </c>
      <c r="C38" s="48" t="inlineStr">
        <is>
          <t>D1 — Clasificación regulatoria</t>
        </is>
      </c>
      <c r="D38" s="48" t="inlineStr">
        <is>
          <t>¿La cooperativa introduce el producto directamente en el mercado de la UE bajo su propio nombre?</t>
        </is>
      </c>
      <c r="E38" s="48" t="inlineStr">
        <is>
          <t>Opción múltiple</t>
        </is>
      </c>
      <c r="F38" s="48" t="inlineStr">
        <is>
          <t>Sí / No</t>
        </is>
      </c>
      <c r="G38" s="48" t="inlineStr">
        <is>
          <t>`ISCAM_Score!E` (D1) — codificación 0/33/66/100</t>
        </is>
      </c>
      <c r="H38" s="48" t="inlineStr"/>
    </row>
    <row r="39">
      <c r="A39" s="48" t="inlineStr">
        <is>
          <t>Sección 3 — D1: Clasificación regulatoria</t>
        </is>
      </c>
      <c r="B39" s="49" t="inlineStr">
        <is>
          <t>D1.2</t>
        </is>
      </c>
      <c r="C39" s="48" t="inlineStr">
        <is>
          <t>D1 — Clasificación regulatoria</t>
        </is>
      </c>
      <c r="D39" s="48" t="inlineStr">
        <is>
          <t>¿Transforma el producto (trilla, tostado, fermentado, aserrío) antes de venderlo?</t>
        </is>
      </c>
      <c r="E39" s="48" t="inlineStr">
        <is>
          <t>Opción múltiple</t>
        </is>
      </c>
      <c r="F39" s="48" t="inlineStr">
        <is>
          <t>Transforma / No transforma</t>
        </is>
      </c>
      <c r="G39" s="48" t="inlineStr">
        <is>
          <t>`ISCAM_Score!E` (D1) — contexto de rol</t>
        </is>
      </c>
      <c r="H39" s="48" t="inlineStr"/>
    </row>
    <row r="40">
      <c r="A40" s="48" t="inlineStr">
        <is>
          <t>Sección 3 — D1: Clasificación regulatoria</t>
        </is>
      </c>
      <c r="B40" s="49" t="inlineStr">
        <is>
          <t>D1.3</t>
        </is>
      </c>
      <c r="C40" s="48" t="inlineStr">
        <is>
          <t>D1 — Clasificación regulatoria</t>
        </is>
      </c>
      <c r="D40" s="48" t="inlineStr">
        <is>
          <t>¿Sabe con certeza qué rol le corresponde (operador, operador posterior, comerciante, micro/pequeño operador primario)?</t>
        </is>
      </c>
      <c r="E40" s="48" t="inlineStr">
        <is>
          <t>Opción múltiple</t>
        </is>
      </c>
      <c r="F40" s="48" t="inlineStr">
        <is>
          <t>Sí con certeza / Idea aproximada / No sabe</t>
        </is>
      </c>
      <c r="G40" s="48" t="inlineStr">
        <is>
          <t>`ISCAM_Score!E` (D1)</t>
        </is>
      </c>
      <c r="H40" s="48" t="inlineStr"/>
    </row>
    <row r="41">
      <c r="A41" s="48" t="inlineStr">
        <is>
          <t>Sección 3 — D1: Clasificación regulatoria</t>
        </is>
      </c>
      <c r="B41" s="49" t="inlineStr">
        <is>
          <t>D1.4</t>
        </is>
      </c>
      <c r="C41" s="48" t="inlineStr">
        <is>
          <t>D1 — Clasificación regulatoria</t>
        </is>
      </c>
      <c r="D41" s="48" t="inlineStr">
        <is>
          <t>¿Cumple los umbrales de microempresa/pequeña empresa (Directiva 2013/34/UE)?</t>
        </is>
      </c>
      <c r="E41" s="48" t="inlineStr">
        <is>
          <t>Opción múltiple</t>
        </is>
      </c>
      <c r="F41" s="48" t="inlineStr">
        <is>
          <t>Sí / No / No sabe</t>
        </is>
      </c>
      <c r="G41" s="48" t="inlineStr">
        <is>
          <t>`ISCAM_Score!E` (D1)</t>
        </is>
      </c>
      <c r="H41" s="48" t="inlineStr"/>
    </row>
    <row r="42">
      <c r="A42" s="52" t="inlineStr">
        <is>
          <t>Sección 3 — D1: Clasificación regulatoria</t>
        </is>
      </c>
      <c r="B42" s="53" t="inlineStr">
        <is>
          <t>D1.3a</t>
        </is>
      </c>
      <c r="C42" s="52" t="inlineStr">
        <is>
          <t>D1 — Clasificación regulatoria</t>
        </is>
      </c>
      <c r="D42" s="52" t="inlineStr">
        <is>
          <t>*(Rama: solo si D1.3 = "Sí con certeza" o "Idea aproximada")* ¿Cuál es el rol que le corresponde a la organización?</t>
        </is>
      </c>
      <c r="E42" s="52" t="inlineStr">
        <is>
          <t>Opción múltiple</t>
        </is>
      </c>
      <c r="F42" s="52" t="inlineStr">
        <is>
          <t>Operador / Operador posterior / Comerciante / Micro o pequeño operador primario / No sabe</t>
        </is>
      </c>
      <c r="G42" s="52" t="inlineStr">
        <is>
          <t>`ISCAM_Score!E` (D1)</t>
        </is>
      </c>
      <c r="H42" s="52" t="inlineStr">
        <is>
          <t>v0.4 — nueva</t>
        </is>
      </c>
    </row>
    <row r="43">
      <c r="A43" s="48" t="inlineStr">
        <is>
          <t>Sección 4 — D2: Trazabilidad y geolocalización</t>
        </is>
      </c>
      <c r="B43" s="49" t="inlineStr">
        <is>
          <t>D2.5</t>
        </is>
      </c>
      <c r="C43" s="48" t="inlineStr">
        <is>
          <t>D2 — Trazabilidad y geolocalización</t>
        </is>
      </c>
      <c r="D43" s="48" t="inlineStr">
        <is>
          <t>¿Existe registro de geolocalización (GPS/polígono) por parcela de socio?</t>
        </is>
      </c>
      <c r="E43" s="48" t="inlineStr">
        <is>
          <t>Escala lineal 0-4</t>
        </is>
      </c>
      <c r="F43" s="48" t="inlineStr">
        <is>
          <t>0 = No existe/No sabe … 4 = Implementado y verificado/auditado</t>
        </is>
      </c>
      <c r="G43" s="48" t="inlineStr">
        <is>
          <t>`ISCAM_Score!F` vía `SCORECARDS!H` (D2)</t>
        </is>
      </c>
      <c r="H43" s="48" t="inlineStr"/>
    </row>
    <row r="44">
      <c r="A44" s="48" t="inlineStr">
        <is>
          <t>Sección 4 — D2: Trazabilidad y geolocalización</t>
        </is>
      </c>
      <c r="B44" s="49" t="inlineStr">
        <is>
          <t>D2.6</t>
        </is>
      </c>
      <c r="C44" s="48" t="inlineStr">
        <is>
          <t>D2 — Trazabilidad y geolocalización</t>
        </is>
      </c>
      <c r="D44" s="48" t="inlineStr">
        <is>
          <t>% de socios con parcela geolocalizada</t>
        </is>
      </c>
      <c r="E44" s="48" t="inlineStr">
        <is>
          <t>Respuesta corta (validación numérica 0-100)</t>
        </is>
      </c>
      <c r="F44" s="48" t="inlineStr">
        <is>
          <t>—</t>
        </is>
      </c>
      <c r="G44" s="48" t="inlineStr">
        <is>
          <t>`ISCAM_Score!F` vía `SCORECARDS!H` (D2)</t>
        </is>
      </c>
      <c r="H44" s="48" t="inlineStr"/>
    </row>
    <row r="45">
      <c r="A45" s="48" t="inlineStr">
        <is>
          <t>Sección 4 — D2: Trazabilidad y geolocalización</t>
        </is>
      </c>
      <c r="B45" s="49" t="inlineStr">
        <is>
          <t>D2.7</t>
        </is>
      </c>
      <c r="C45" s="48" t="inlineStr">
        <is>
          <t>D2 — Trazabilidad y geolocalización</t>
        </is>
      </c>
      <c r="D45" s="48" t="inlineStr">
        <is>
          <t>¿El sistema vincula un lote exportado con la(s) parcela(s) específica(s)?</t>
        </is>
      </c>
      <c r="E45" s="48" t="inlineStr">
        <is>
          <t>Escala lineal 0-4</t>
        </is>
      </c>
      <c r="F45" s="48" t="inlineStr">
        <is>
          <t>Misma leyenda que D2.5</t>
        </is>
      </c>
      <c r="G45" s="48" t="inlineStr">
        <is>
          <t>`ISCAM_Score!F` vía `SCORECARDS!H` (D2)</t>
        </is>
      </c>
      <c r="H45" s="48" t="inlineStr"/>
    </row>
    <row r="46">
      <c r="A46" s="48" t="inlineStr">
        <is>
          <t>Sección 4 — D2: Trazabilidad y geolocalización</t>
        </is>
      </c>
      <c r="B46" s="49" t="inlineStr">
        <is>
          <t>D2.8</t>
        </is>
      </c>
      <c r="C46" s="48" t="inlineStr">
        <is>
          <t>D2 — Trazabilidad y geolocalización</t>
        </is>
      </c>
      <c r="D46" s="48" t="inlineStr">
        <is>
          <t>¿Quién levantó la información de geolocalización?</t>
        </is>
      </c>
      <c r="E46" s="48" t="inlineStr">
        <is>
          <t>Opción múltiple</t>
        </is>
      </c>
      <c r="F46" s="48" t="inlineStr">
        <is>
          <t>Técnico propio / Consultor / Proyecto de cooperación / Socio por su cuenta / No se ha levantado</t>
        </is>
      </c>
      <c r="G46" s="48" t="inlineStr">
        <is>
          <t>`ISCAM_Score!F` vía `SCORECARDS!H` (D2)</t>
        </is>
      </c>
      <c r="H46" s="48" t="inlineStr"/>
    </row>
    <row r="47">
      <c r="A47" s="48" t="inlineStr">
        <is>
          <t>Sección 4 — D2: Trazabilidad y geolocalización</t>
        </is>
      </c>
      <c r="B47" s="49" t="inlineStr">
        <is>
          <t>D2.9</t>
        </is>
      </c>
      <c r="C47" s="48" t="inlineStr">
        <is>
          <t>D2 — Trazabilidad y geolocalización</t>
        </is>
      </c>
      <c r="D47" s="48" t="inlineStr">
        <is>
          <t>Frecuencia de actualización de la geolocalización</t>
        </is>
      </c>
      <c r="E47" s="48" t="inlineStr">
        <is>
          <t>Opción múltiple</t>
        </is>
      </c>
      <c r="F47" s="48" t="inlineStr">
        <is>
          <t>Nunca / Al ingreso del socio / Anual / Por cosecha</t>
        </is>
      </c>
      <c r="G47" s="48" t="inlineStr">
        <is>
          <t>`ISCAM_Score!F` vía `SCORECARDS!H` (D2)</t>
        </is>
      </c>
      <c r="H47" s="48" t="inlineStr"/>
    </row>
    <row r="48">
      <c r="A48" s="48" t="inlineStr">
        <is>
          <t>Sección 4 — D2: Trazabilidad y geolocalización</t>
        </is>
      </c>
      <c r="B48" s="49" t="inlineStr">
        <is>
          <t>D2.10</t>
        </is>
      </c>
      <c r="C48" s="48" t="inlineStr">
        <is>
          <t>D2 — Trazabilidad y geolocalización</t>
        </is>
      </c>
      <c r="D48" s="48" t="inlineStr">
        <is>
          <t>¿Existe algún punto en el proceso de acopio o beneficio donde se mezclan físicamente lotes de distinto origen sin registro de qué parcelas los componen?</t>
        </is>
      </c>
      <c r="E48" s="48" t="inlineStr">
        <is>
          <t>Opción múltiple</t>
        </is>
      </c>
      <c r="F48" s="48" t="inlineStr">
        <is>
          <t>Sí, se mezclan sin control / Se mezclan pero con registro de origen / No, se mantiene segregación física completa</t>
        </is>
      </c>
      <c r="G48" s="48" t="inlineStr">
        <is>
          <t>`ISCAM_Score!F` (D2) + bandera `SCORECARDS!AD`</t>
        </is>
      </c>
      <c r="H48" s="48" t="inlineStr"/>
    </row>
    <row r="49">
      <c r="A49" s="52" t="inlineStr">
        <is>
          <t>Sección 4 — D2: Trazabilidad y geolocalización</t>
        </is>
      </c>
      <c r="B49" s="53" t="inlineStr">
        <is>
          <t>D2.5a</t>
        </is>
      </c>
      <c r="C49" s="52" t="inlineStr">
        <is>
          <t>D2 — Trazabilidad y geolocalización</t>
        </is>
      </c>
      <c r="D49" s="52" t="inlineStr">
        <is>
          <t>¿Qué porcentaje aproximado del volumen exportado proviene de proveedores externos (productores que no son socios de la cooperativa)?</t>
        </is>
      </c>
      <c r="E49" s="52" t="inlineStr">
        <is>
          <t>Opción múltiple</t>
        </is>
      </c>
      <c r="F49" s="52" t="inlineStr">
        <is>
          <t>0%, todo proviene de socios / Menos del 10% / Entre 10% y 30% / Más del 30% / No se ha cuantificado</t>
        </is>
      </c>
      <c r="G49" s="52" t="inlineStr">
        <is>
          <t>`ISCAM_Score!F` vía `SCORECARDS!H` (D2)</t>
        </is>
      </c>
      <c r="H49" s="52" t="inlineStr">
        <is>
          <t>v0.4 — nueva</t>
        </is>
      </c>
    </row>
    <row r="50">
      <c r="A50" s="52" t="inlineStr">
        <is>
          <t>Sección 4 — D2: Trazabilidad y geolocalización</t>
        </is>
      </c>
      <c r="B50" s="53" t="inlineStr">
        <is>
          <t>D2.5b</t>
        </is>
      </c>
      <c r="C50" s="52" t="inlineStr">
        <is>
          <t>D2 — Trazabilidad y geolocalización</t>
        </is>
      </c>
      <c r="D50" s="52" t="inlineStr">
        <is>
          <t>*(Rama: solo si D2.5a ≠ "0%, todo proviene de socios" y ≠ "No se ha cuantificado")* Si compra a proveedores externos: ¿se registra el nombre, la cantidad y el origen (parcela o zona) de cada proveedor externo?</t>
        </is>
      </c>
      <c r="E50" s="52" t="inlineStr">
        <is>
          <t>Opción múltiple</t>
        </is>
      </c>
      <c r="F50" s="52" t="inlineStr">
        <is>
          <t>Sí, verificado con georreferencia / Sí, pero sin georreferencia / Solo nombre y cantidad / No se registra / No aplica</t>
        </is>
      </c>
      <c r="G50" s="52" t="inlineStr">
        <is>
          <t>`ISCAM_Score!F` (D2) + bandera</t>
        </is>
      </c>
      <c r="H50" s="52" t="inlineStr">
        <is>
          <t>v0.4 — nueva</t>
        </is>
      </c>
    </row>
    <row r="51">
      <c r="A51" s="48" t="inlineStr">
        <is>
          <t>Sección 5 — D3: Legalidad de la producción</t>
        </is>
      </c>
      <c r="B51" s="49" t="inlineStr">
        <is>
          <t>D3.11</t>
        </is>
      </c>
      <c r="C51" s="48" t="inlineStr">
        <is>
          <t>D3 — Legalidad de la producción</t>
        </is>
      </c>
      <c r="D51" s="48" t="inlineStr">
        <is>
          <t>% de socios con título de propiedad o posesión reconocida legalmente</t>
        </is>
      </c>
      <c r="E51" s="48" t="inlineStr">
        <is>
          <t>Respuesta corta (validación numérica 0-100)</t>
        </is>
      </c>
      <c r="F51" s="48" t="inlineStr">
        <is>
          <t>—</t>
        </is>
      </c>
      <c r="G51" s="48" t="inlineStr">
        <is>
          <t>`ISCAM_Score!G` (D3)</t>
        </is>
      </c>
      <c r="H51" s="48" t="inlineStr"/>
    </row>
    <row r="52">
      <c r="A52" s="50" t="inlineStr">
        <is>
          <t>Sección 5 — D3: Legalidad de la producción</t>
        </is>
      </c>
      <c r="B52" s="51" t="inlineStr">
        <is>
          <t>D3.12</t>
        </is>
      </c>
      <c r="C52" s="50" t="inlineStr">
        <is>
          <t>D3 — Legalidad de la producción</t>
        </is>
      </c>
      <c r="D52" s="50" t="inlineStr">
        <is>
          <t>¿Hay parcelas superpuestas a áreas naturales protegidas o su zona de amortiguamiento, reservas comunales o territorios indígenas sin sanear?</t>
        </is>
      </c>
      <c r="E52" s="50" t="inlineStr">
        <is>
          <t>Opción múltiple</t>
        </is>
      </c>
      <c r="F52" s="50" t="inlineStr">
        <is>
          <t>Sí, extensa / Sí, puntual / Sí, en área natural protegida o zona de amortiguamiento / No verificado / No, ninguna</t>
        </is>
      </c>
      <c r="G52" s="50" t="inlineStr">
        <is>
          <t>`ISCAM_Score!G` (D3)</t>
        </is>
      </c>
      <c r="H52" s="50" t="inlineStr">
        <is>
          <t>v0.4 — modificada</t>
        </is>
      </c>
    </row>
    <row r="53">
      <c r="A53" s="48" t="inlineStr">
        <is>
          <t>Sección 5 — D3: Legalidad de la producción</t>
        </is>
      </c>
      <c r="B53" s="49" t="inlineStr">
        <is>
          <t>D3.13</t>
        </is>
      </c>
      <c r="C53" s="48" t="inlineStr">
        <is>
          <t>D3 — Legalidad de la producción</t>
        </is>
      </c>
      <c r="D53" s="48" t="inlineStr">
        <is>
          <t>¿Se verifica cumplimiento laboral (no trabajo infantil, seguridad social) a nivel de finca?</t>
        </is>
      </c>
      <c r="E53" s="48" t="inlineStr">
        <is>
          <t>Escala lineal 0-4</t>
        </is>
      </c>
      <c r="F53" s="48" t="inlineStr">
        <is>
          <t>Misma leyenda que D2.5</t>
        </is>
      </c>
      <c r="G53" s="48" t="inlineStr">
        <is>
          <t>`ISCAM_Score!G` (D3)</t>
        </is>
      </c>
      <c r="H53" s="48" t="inlineStr"/>
    </row>
    <row r="54">
      <c r="A54" s="48" t="inlineStr">
        <is>
          <t>Sección 5 — D3: Legalidad de la producción</t>
        </is>
      </c>
      <c r="B54" s="49" t="inlineStr">
        <is>
          <t>D3.14</t>
        </is>
      </c>
      <c r="C54" s="48" t="inlineStr">
        <is>
          <t>D3 — Legalidad de la producción</t>
        </is>
      </c>
      <c r="D54" s="48" t="inlineStr">
        <is>
          <t>¿Alguna parcela de socios se ubica en una zona de desarrollo alternativo (ex-cultivo de coca) o con antecedentes de conflicto social/territorial?</t>
        </is>
      </c>
      <c r="E54" s="48" t="inlineStr">
        <is>
          <t>Opción múltiple</t>
        </is>
      </c>
      <c r="F54" s="48" t="inlineStr">
        <is>
          <t>Sí / No / No verificado</t>
        </is>
      </c>
      <c r="G54" s="48" t="inlineStr">
        <is>
          <t>`ISCAM_Score!G` (D3)</t>
        </is>
      </c>
      <c r="H54" s="48" t="inlineStr"/>
    </row>
    <row r="55">
      <c r="A55" s="48" t="inlineStr">
        <is>
          <t>Sección 5 — D3: Legalidad de la producción</t>
        </is>
      </c>
      <c r="B55" s="49" t="inlineStr">
        <is>
          <t>D3.14a</t>
        </is>
      </c>
      <c r="C55" s="48" t="inlineStr">
        <is>
          <t>D3 — Legalidad de la producción</t>
        </is>
      </c>
      <c r="D55" s="48" t="inlineStr">
        <is>
          <t>¿Los socios cuentan con autorización de uso de agua para su actividad productiva, cuando corresponde?</t>
        </is>
      </c>
      <c r="E55" s="48" t="inlineStr">
        <is>
          <t>Opción múltiple</t>
        </is>
      </c>
      <c r="F55" s="48" t="inlineStr">
        <is>
          <t>Sí, todas las fuentes verificadas / Parcialmente / No / No aplica</t>
        </is>
      </c>
      <c r="G55" s="48" t="inlineStr">
        <is>
          <t>`ISCAM_Score!G` (D3)</t>
        </is>
      </c>
      <c r="H55" s="48" t="inlineStr"/>
    </row>
    <row r="56">
      <c r="A56" s="48" t="inlineStr">
        <is>
          <t>Sección 5 — D3: Legalidad de la producción</t>
        </is>
      </c>
      <c r="B56" s="49" t="inlineStr">
        <is>
          <t>D3.14b</t>
        </is>
      </c>
      <c r="C56" s="48" t="inlineStr">
        <is>
          <t>D3 — Legalidad de la producción</t>
        </is>
      </c>
      <c r="D56" s="48" t="inlineStr">
        <is>
          <t>¿El tratamiento de aguas residuales del beneficio/procesamiento cumple con lo exigido por la autoridad ambiental?</t>
        </is>
      </c>
      <c r="E56" s="48" t="inlineStr">
        <is>
          <t>Opción múltiple</t>
        </is>
      </c>
      <c r="F56" s="48" t="inlineStr">
        <is>
          <t>Siempre / A veces / No / No aplica</t>
        </is>
      </c>
      <c r="G56" s="48" t="inlineStr">
        <is>
          <t>`ISCAM_Score!G` (D3)</t>
        </is>
      </c>
      <c r="H56" s="48" t="inlineStr"/>
    </row>
    <row r="57">
      <c r="A57" s="48" t="inlineStr">
        <is>
          <t>Sección 5 — D3: Legalidad de la producción</t>
        </is>
      </c>
      <c r="B57" s="49" t="inlineStr">
        <is>
          <t>D3.14c</t>
        </is>
      </c>
      <c r="C57" s="48" t="inlineStr">
        <is>
          <t>D3 — Legalidad de la producción</t>
        </is>
      </c>
      <c r="D57" s="48" t="inlineStr">
        <is>
          <t>¿Alguna parcela de socios se encuentra dentro de la faja marginal de un río, quebrada, lago o laguna?</t>
        </is>
      </c>
      <c r="E57" s="48" t="inlineStr">
        <is>
          <t>Opción múltiple</t>
        </is>
      </c>
      <c r="F57" s="48" t="inlineStr">
        <is>
          <t>Sí / No / No sabe</t>
        </is>
      </c>
      <c r="G57" s="48" t="inlineStr">
        <is>
          <t>`ISCAM_Score!G` (D3)</t>
        </is>
      </c>
      <c r="H57" s="48" t="inlineStr"/>
    </row>
    <row r="58">
      <c r="A58" s="48" t="inlineStr">
        <is>
          <t>Sección 5 — D3: Legalidad de la producción</t>
        </is>
      </c>
      <c r="B58" s="49" t="inlineStr">
        <is>
          <t>D3.14d</t>
        </is>
      </c>
      <c r="C58" s="48" t="inlineStr">
        <is>
          <t>D3 — Legalidad de la producción</t>
        </is>
      </c>
      <c r="D58" s="48" t="inlineStr">
        <is>
          <t>En las parcelas de los socios y en el inmueble donde opera la cooperativa, ¿existe algún derecho de terceros (carga, embargo, servidumbre, usufructo, arrendamiento o derecho de uso consuetudinario) que condicione o restrinja el uso de la tierra para cultivar café o cacao, o el derecho de la cooperativa a operar en esa finca?</t>
        </is>
      </c>
      <c r="E58" s="48" t="inlineStr">
        <is>
          <t>Opción múltiple</t>
        </is>
      </c>
      <c r="F58" s="48" t="inlineStr">
        <is>
          <t>No existe ningún derecho de terceros / Existe, pero está registrado y no restringe el uso / Existe un acuerdo documentado con el titular o con la autoridad que legitima el uso, aunque la cooperativa o el socio no tenga título formal / Existe usufructo, arrendamiento o carga sin acuerdo que lo resuelva / Se han invocado derechos de uso tradicional o consuetudinarios por una comunidad o pueblo indígena sin proceso de acuerdo / No verificado</t>
        </is>
      </c>
      <c r="G58" s="48" t="inlineStr">
        <is>
          <t>`ISCAM_Score!G` (D3)</t>
        </is>
      </c>
      <c r="H58" s="48" t="inlineStr"/>
    </row>
    <row r="59">
      <c r="A59" s="48" t="inlineStr">
        <is>
          <t>Sección 5 — D3: Legalidad de la producción</t>
        </is>
      </c>
      <c r="B59" s="49" t="inlineStr">
        <is>
          <t>D3.14e</t>
        </is>
      </c>
      <c r="C59" s="48" t="inlineStr">
        <is>
          <t>D3 — Legalidad de la producción</t>
        </is>
      </c>
      <c r="D59" s="48" t="inlineStr">
        <is>
          <t>¿La cooperativa y sus socios están al día en sus obligaciones tributarias, aduaneras y comerciales vinculadas a la actividad exportadora?</t>
        </is>
      </c>
      <c r="E59" s="48" t="inlineStr">
        <is>
          <t>Opción múltiple</t>
        </is>
      </c>
      <c r="F59" s="48" t="inlineStr">
        <is>
          <t>Sí, verificado / Parcialmente / No verificado / No sabe</t>
        </is>
      </c>
      <c r="G59" s="48" t="inlineStr">
        <is>
          <t>`ISCAM_Score!G` (D3)</t>
        </is>
      </c>
      <c r="H59" s="48" t="inlineStr"/>
    </row>
    <row r="60">
      <c r="A60" s="48" t="inlineStr">
        <is>
          <t>Sección 5 — D3: Legalidad de la producción</t>
        </is>
      </c>
      <c r="B60" s="49" t="inlineStr">
        <is>
          <t>D3.14f</t>
        </is>
      </c>
      <c r="C60" s="48" t="inlineStr">
        <is>
          <t>D3 — Legalidad de la producción</t>
        </is>
      </c>
      <c r="D60" s="48" t="inlineStr">
        <is>
          <t>¿Existen políticas o mecanismos internos contra la corrupción (código de conducta, canal de denuncias) aplicables a la cadena de abastecimiento?</t>
        </is>
      </c>
      <c r="E60" s="48" t="inlineStr">
        <is>
          <t>Opción múltiple</t>
        </is>
      </c>
      <c r="F60" s="48" t="inlineStr">
        <is>
          <t>Sí, formalizado / Informal / No existe</t>
        </is>
      </c>
      <c r="G60" s="48" t="inlineStr">
        <is>
          <t>`ISCAM_Score!G` (D3)</t>
        </is>
      </c>
      <c r="H60" s="48" t="inlineStr"/>
    </row>
    <row r="61">
      <c r="A61" s="48" t="inlineStr">
        <is>
          <t>Sección 5 — D3: Legalidad de la producción</t>
        </is>
      </c>
      <c r="B61" s="49" t="inlineStr">
        <is>
          <t>D3.14g</t>
        </is>
      </c>
      <c r="C61" s="48" t="inlineStr">
        <is>
          <t>D3 — Legalidad de la producción</t>
        </is>
      </c>
      <c r="D61" s="48" t="inlineStr">
        <is>
          <t>Cuando corresponde (parcelas de socios en territorio de comunidades indígenas, nativas o campesinas), ¿se ha realizado un proceso de Consentimiento Libre, Previo e Informado (CLPI)?</t>
        </is>
      </c>
      <c r="E61" s="48" t="inlineStr">
        <is>
          <t>Opción múltiple</t>
        </is>
      </c>
      <c r="F61" s="48" t="inlineStr">
        <is>
          <t>Sí, proceso documentado / Aplica pero no se ha realizado / No aplica, no hay territorios de este tipo / No sabe</t>
        </is>
      </c>
      <c r="G61" s="48" t="inlineStr">
        <is>
          <t>`ISCAM_Score!G` (D3)</t>
        </is>
      </c>
      <c r="H61" s="48" t="inlineStr"/>
    </row>
    <row r="62">
      <c r="A62" s="52" t="inlineStr">
        <is>
          <t>Sección 5 — D3: Legalidad de la producción</t>
        </is>
      </c>
      <c r="B62" s="53" t="inlineStr">
        <is>
          <t>D3.14h</t>
        </is>
      </c>
      <c r="C62" s="52" t="inlineStr">
        <is>
          <t>D3 — Legalidad de la producción</t>
        </is>
      </c>
      <c r="D62" s="52" t="inlineStr">
        <is>
          <t>¿La organización cuenta con autorizaciones ambientales vigentes para su planta y actividad (EIA, DIA, certificación forestal o certificado de habilitación, según corresponda)?</t>
        </is>
      </c>
      <c r="E62" s="52" t="inlineStr">
        <is>
          <t>Opción múltiple</t>
        </is>
      </c>
      <c r="F62" s="52" t="inlineStr">
        <is>
          <t>Sí, vigentes y verificadas / Parcial, alguna falta o está vencida / No / No aplica (sin actividad que la requiera)</t>
        </is>
      </c>
      <c r="G62" s="52" t="inlineStr">
        <is>
          <t>`ISCAM_Score!G` (D3)</t>
        </is>
      </c>
      <c r="H62" s="52" t="inlineStr">
        <is>
          <t>v0.4 — nueva</t>
        </is>
      </c>
    </row>
    <row r="63">
      <c r="A63" s="52" t="inlineStr">
        <is>
          <t>Sección 5 — D3: Legalidad de la producción</t>
        </is>
      </c>
      <c r="B63" s="53" t="inlineStr">
        <is>
          <t>D3.14i</t>
        </is>
      </c>
      <c r="C63" s="52" t="inlineStr">
        <is>
          <t>D3 — Legalidad de la producción</t>
        </is>
      </c>
      <c r="D63" s="52" t="inlineStr">
        <is>
          <t>¿Existe algún proceso sancionador vigente de OEFA, SINEFA u otra autoridad ambiental contra la organización o sus socios?</t>
        </is>
      </c>
      <c r="E63" s="52" t="inlineStr">
        <is>
          <t>Opción múltiple</t>
        </is>
      </c>
      <c r="F63" s="52" t="inlineStr">
        <is>
          <t>Sí, vigente y sin resolver / Sí, en proceso de resolución / No / No sabe</t>
        </is>
      </c>
      <c r="G63" s="52" t="inlineStr">
        <is>
          <t>`MATRIZ_174!U` (D3) + bandera `ISCAM_Score!AD` + IV4 (`X`)</t>
        </is>
      </c>
      <c r="H63" s="52" t="inlineStr">
        <is>
          <t>v0.4 — nueva</t>
        </is>
      </c>
    </row>
    <row r="64">
      <c r="A64" s="50" t="inlineStr">
        <is>
          <t>Sección 6 — D4: Riesgo de deforestación</t>
        </is>
      </c>
      <c r="B64" s="51" t="inlineStr">
        <is>
          <t>D4.15</t>
        </is>
      </c>
      <c r="C64" s="50" t="inlineStr">
        <is>
          <t>D4 — Riesgo de deforestación</t>
        </is>
      </c>
      <c r="D64" s="50" t="inlineStr">
        <is>
          <t>¿Se verificó cambio de uso de suelo posterior al 31 de diciembre de 2020 mediante cruce de las parcelas con mapas de deforestación (GEOSERFOR/PNCB o Global Forest Watch)?</t>
        </is>
      </c>
      <c r="E64" s="50" t="inlineStr">
        <is>
          <t>Opción múltiple</t>
        </is>
      </c>
      <c r="F64" s="50" t="inlineStr">
        <is>
          <t>No verificado / Verificación parcial / Verificado sin hallazgos / Casos detectados sin resolver / Verificado sistemáticamente y documentado</t>
        </is>
      </c>
      <c r="G64" s="50" t="inlineStr">
        <is>
          <t>`ISCAM_Score!H` (D4)</t>
        </is>
      </c>
      <c r="H64" s="50" t="inlineStr">
        <is>
          <t>v0.4 — modificada</t>
        </is>
      </c>
    </row>
    <row r="65">
      <c r="A65" s="48" t="inlineStr">
        <is>
          <t>Sección 6 — D4: Riesgo de deforestación</t>
        </is>
      </c>
      <c r="B65" s="49" t="inlineStr">
        <is>
          <t>D4.16</t>
        </is>
      </c>
      <c r="C65" s="48" t="inlineStr">
        <is>
          <t>D4 — Riesgo de deforestación</t>
        </is>
      </c>
      <c r="D65" s="48" t="inlineStr">
        <is>
          <t>¿Usa herramientas de monitoreo satelital (Global Forest Watch, plataformas nacionales)?</t>
        </is>
      </c>
      <c r="E65" s="48" t="inlineStr">
        <is>
          <t>Escala lineal 0-4</t>
        </is>
      </c>
      <c r="F65" s="48" t="inlineStr">
        <is>
          <t>Misma leyenda que D2.5</t>
        </is>
      </c>
      <c r="G65" s="48" t="inlineStr">
        <is>
          <t>`ISCAM_Score!H` (D4)</t>
        </is>
      </c>
      <c r="H65" s="48" t="inlineStr"/>
    </row>
    <row r="66">
      <c r="A66" s="48" t="inlineStr">
        <is>
          <t>Sección 6 — D4: Riesgo de deforestación</t>
        </is>
      </c>
      <c r="B66" s="49" t="inlineStr">
        <is>
          <t>D4.17</t>
        </is>
      </c>
      <c r="C66" s="48" t="inlineStr">
        <is>
          <t>D4 — Riesgo de deforestación</t>
        </is>
      </c>
      <c r="D66" s="48" t="inlineStr">
        <is>
          <t>¿Conoce la clasificación de riesgo (bajo/estándar/alto) de su zona?</t>
        </is>
      </c>
      <c r="E66" s="48" t="inlineStr">
        <is>
          <t>Opción múltiple</t>
        </is>
      </c>
      <c r="F66" s="48" t="inlineStr">
        <is>
          <t>Sí documentado / Idea aproximada / No sabe</t>
        </is>
      </c>
      <c r="G66" s="48" t="inlineStr">
        <is>
          <t>`ISCAM_Score!H` (D4)</t>
        </is>
      </c>
      <c r="H66" s="48" t="inlineStr"/>
    </row>
    <row r="67">
      <c r="A67" s="52" t="inlineStr">
        <is>
          <t>Sección 6 — D4: Riesgo de deforestación</t>
        </is>
      </c>
      <c r="B67" s="53" t="inlineStr">
        <is>
          <t>D4.15a</t>
        </is>
      </c>
      <c r="C67" s="52" t="inlineStr">
        <is>
          <t>D4 — Riesgo de deforestación</t>
        </is>
      </c>
      <c r="D67" s="52" t="inlineStr">
        <is>
          <t>¿Se han detectado alertas activas de deforestación en parcelas de socios de la organización (GEOSERFOR, PNCB o Global Forest Watch)?</t>
        </is>
      </c>
      <c r="E67" s="52" t="inlineStr">
        <is>
          <t>Opción múltiple</t>
        </is>
      </c>
      <c r="F67" s="52" t="inlineStr">
        <is>
          <t>Sí, detectadas y sin resolver / Sí, detectadas y mitigadas o aclaradas / No se han detectado / No se monitorea</t>
        </is>
      </c>
      <c r="G67" s="52" t="inlineStr">
        <is>
          <t>`ISCAM_Score!H` (D4) + IP2 (`Q`) + bandera</t>
        </is>
      </c>
      <c r="H67" s="52" t="inlineStr">
        <is>
          <t>v0.4 — nueva</t>
        </is>
      </c>
    </row>
    <row r="68">
      <c r="A68" s="48" t="inlineStr">
        <is>
          <t>Sección 7 — D5: Sistema interno de diligencia debida</t>
        </is>
      </c>
      <c r="B68" s="49" t="inlineStr">
        <is>
          <t>D5.18</t>
        </is>
      </c>
      <c r="C68" s="48" t="inlineStr">
        <is>
          <t>D5 — Diligencia debida</t>
        </is>
      </c>
      <c r="D68" s="48" t="inlineStr">
        <is>
          <t>¿Existe procedimiento escrito de diligencia debida?</t>
        </is>
      </c>
      <c r="E68" s="48" t="inlineStr">
        <is>
          <t>Escala lineal 0-4</t>
        </is>
      </c>
      <c r="F68" s="48" t="inlineStr">
        <is>
          <t>Misma leyenda que D2.5</t>
        </is>
      </c>
      <c r="G68" s="48" t="inlineStr">
        <is>
          <t>`ISCAM_Score!I` vía `SCORECARDS!I` (D5)</t>
        </is>
      </c>
      <c r="H68" s="48" t="inlineStr"/>
    </row>
    <row r="69">
      <c r="A69" s="48" t="inlineStr">
        <is>
          <t>Sección 7 — D5: Sistema interno de diligencia debida</t>
        </is>
      </c>
      <c r="B69" s="49" t="inlineStr">
        <is>
          <t>D5.18a</t>
        </is>
      </c>
      <c r="C69" s="48" t="inlineStr">
        <is>
          <t>D5 — Diligencia debida</t>
        </is>
      </c>
      <c r="D69" s="48" t="inlineStr">
        <is>
          <t>¿Existe una política de deforestación formal y escrita (distinta del procedimiento operativo), con objetivos, metas medibles y plazos (ej. compromiso de "cero deforestación" a una fecha determinada)?</t>
        </is>
      </c>
      <c r="E69" s="48" t="inlineStr">
        <is>
          <t>Escala lineal 0-4</t>
        </is>
      </c>
      <c r="F69" s="48" t="inlineStr">
        <is>
          <t>Misma leyenda que D2.5</t>
        </is>
      </c>
      <c r="G69" s="48" t="inlineStr">
        <is>
          <t>`ISCAM_Score!I` vía `SCORECARDS!I` (D5)</t>
        </is>
      </c>
      <c r="H69" s="48" t="inlineStr"/>
    </row>
    <row r="70">
      <c r="A70" s="48" t="inlineStr">
        <is>
          <t>Sección 7 — D5: Sistema interno de diligencia debida</t>
        </is>
      </c>
      <c r="B70" s="49" t="inlineStr">
        <is>
          <t>D5.18b</t>
        </is>
      </c>
      <c r="C70" s="48" t="inlineStr">
        <is>
          <t>D5 — Diligencia debida</t>
        </is>
      </c>
      <c r="D70" s="48" t="inlineStr">
        <is>
          <t>¿La cooperativa prioriza sus riesgos de deforestación con algún criterio de probabilidad e impacto (aunque sea informal), o los atiende sin un orden definido?</t>
        </is>
      </c>
      <c r="E70" s="48" t="inlineStr">
        <is>
          <t>Opción múltiple</t>
        </is>
      </c>
      <c r="F70" s="48" t="inlineStr">
        <is>
          <t>No se prioriza, se atiende lo que surge / Priorización informal, sin criterio escrito / Priorización estructurada con matriz probabilidad×impacto o similar</t>
        </is>
      </c>
      <c r="G70" s="48" t="inlineStr">
        <is>
          <t>`ISCAM_Score!I` vía `SCORECARDS!I` (D5)</t>
        </is>
      </c>
      <c r="H70" s="48" t="inlineStr"/>
    </row>
    <row r="71">
      <c r="A71" s="48" t="inlineStr">
        <is>
          <t>Sección 7 — D5: Sistema interno de diligencia debida</t>
        </is>
      </c>
      <c r="B71" s="49" t="inlineStr">
        <is>
          <t>D5.19</t>
        </is>
      </c>
      <c r="C71" s="48" t="inlineStr">
        <is>
          <t>D5 — Diligencia debida</t>
        </is>
      </c>
      <c r="D71" s="48" t="inlineStr">
        <is>
          <t>¿Ha elaborado o participado en una declaración de diligencia debida / simplificada?</t>
        </is>
      </c>
      <c r="E71" s="48" t="inlineStr">
        <is>
          <t>Opción múltiple</t>
        </is>
      </c>
      <c r="F71" s="48" t="inlineStr">
        <is>
          <t>No sabe qué es / No pero lo entiende / En proceso / Presentada y aceptada</t>
        </is>
      </c>
      <c r="G71" s="48" t="inlineStr">
        <is>
          <t>`ISCAM_Score!I` vía `SCORECARDS!I` (D5)</t>
        </is>
      </c>
      <c r="H71" s="48" t="inlineStr"/>
    </row>
    <row r="72">
      <c r="A72" s="48" t="inlineStr">
        <is>
          <t>Sección 7 — D5: Sistema interno de diligencia debida</t>
        </is>
      </c>
      <c r="B72" s="49" t="inlineStr">
        <is>
          <t>D5.19a</t>
        </is>
      </c>
      <c r="C72" s="48" t="inlineStr">
        <is>
          <t>D5 — Diligencia debida</t>
        </is>
      </c>
      <c r="D72" s="48" t="inlineStr">
        <is>
          <t>Del plan de gestión de riesgos de la cooperativa (si existe), marque los componentes que incluye explícitamente</t>
        </is>
      </c>
      <c r="E72" s="48" t="inlineStr">
        <is>
          <t>Casillas de verificación</t>
        </is>
      </c>
      <c r="F72" s="48" t="inlineStr">
        <is>
          <t>Plazos definidos / Recursos (humanos o financieros) asignados / Responsables designados / Procedimientos de consulta con socios y comunidades / Sistema de seguimiento y monitoreo / Protocolo ante incumplimiento de un socio / Atención diferenciada a productoras mujeres</t>
        </is>
      </c>
      <c r="G72" s="48" t="inlineStr">
        <is>
          <t>`ISCAM_Score!I` vía `SCORECARDS!I` (D5)</t>
        </is>
      </c>
      <c r="H72" s="48" t="inlineStr"/>
    </row>
    <row r="73">
      <c r="A73" s="48" t="inlineStr">
        <is>
          <t>Sección 7 — D5: Sistema interno de diligencia debida</t>
        </is>
      </c>
      <c r="B73" s="49" t="inlineStr">
        <is>
          <t>D5.20</t>
        </is>
      </c>
      <c r="C73" s="48" t="inlineStr">
        <is>
          <t>D5 — Diligencia debida</t>
        </is>
      </c>
      <c r="D73" s="48" t="inlineStr">
        <is>
          <t>¿Existe responsable designado para el cumplimiento EUDR?</t>
        </is>
      </c>
      <c r="E73" s="48" t="inlineStr">
        <is>
          <t>Opción múltiple</t>
        </is>
      </c>
      <c r="F73" s="48" t="inlineStr">
        <is>
          <t>No / Función adicional / Dedicado</t>
        </is>
      </c>
      <c r="G73" s="48" t="inlineStr">
        <is>
          <t>`ISCAM_Score!I` vía `SCORECARDS!I` (D5)</t>
        </is>
      </c>
      <c r="H73" s="48" t="inlineStr"/>
    </row>
    <row r="74">
      <c r="A74" s="48" t="inlineStr">
        <is>
          <t>Sección 7 — D5: Sistema interno de diligencia debida</t>
        </is>
      </c>
      <c r="B74" s="49" t="inlineStr">
        <is>
          <t>D5.21</t>
        </is>
      </c>
      <c r="C74" s="48" t="inlineStr">
        <is>
          <t>D5 — Diligencia debida</t>
        </is>
      </c>
      <c r="D74" s="48" t="inlineStr">
        <is>
          <t>¿Capacitación formal en los últimos 12 meses?</t>
        </is>
      </c>
      <c r="E74" s="48" t="inlineStr">
        <is>
          <t>Opción múltiple</t>
        </is>
      </c>
      <c r="F74" s="48" t="inlineStr">
        <is>
          <t>No / Hace más de 12 meses / Sí, reciente</t>
        </is>
      </c>
      <c r="G74" s="48" t="inlineStr">
        <is>
          <t>`ISCAM_Score!I` vía `SCORECARDS!I` (D5)</t>
        </is>
      </c>
      <c r="H74" s="48" t="inlineStr"/>
    </row>
    <row r="75">
      <c r="A75" s="48" t="inlineStr">
        <is>
          <t>Sección 7 — D5: Sistema interno de diligencia debida</t>
        </is>
      </c>
      <c r="B75" s="49" t="inlineStr">
        <is>
          <t>D5.21a</t>
        </is>
      </c>
      <c r="C75" s="48" t="inlineStr">
        <is>
          <t>D5 — Diligencia debida</t>
        </is>
      </c>
      <c r="D75" s="48" t="inlineStr">
        <is>
          <t>¿El plan de gestión de riesgos se revisa con una frecuencia definida (ej. anual, por campaña)?</t>
        </is>
      </c>
      <c r="E75" s="48" t="inlineStr">
        <is>
          <t>Opción múltiple</t>
        </is>
      </c>
      <c r="F75" s="48" t="inlineStr">
        <is>
          <t>No hay revisión definida / Revisión reactiva, sin frecuencia fija / Revisión periódica definida</t>
        </is>
      </c>
      <c r="G75" s="48" t="inlineStr">
        <is>
          <t>`ISCAM_Score!I` vía `SCORECARDS!I` (D5)</t>
        </is>
      </c>
      <c r="H75" s="48" t="inlineStr"/>
    </row>
    <row r="76">
      <c r="A76" s="48" t="inlineStr">
        <is>
          <t>Sección 7 — D5: Sistema interno de diligencia debida</t>
        </is>
      </c>
      <c r="B76" s="49" t="inlineStr">
        <is>
          <t>D5.21b</t>
        </is>
      </c>
      <c r="C76" s="48" t="inlineStr">
        <is>
          <t>D5 — Diligencia debida</t>
        </is>
      </c>
      <c r="D76" s="48" t="inlineStr">
        <is>
          <t>¿La cooperativa elabora y comunica un reporte de debida diligencia con indicadores (ej. % de producto trazado hasta finca, N.º de alertas tempranas detectadas, N.º de productores capacitados)?</t>
        </is>
      </c>
      <c r="E76" s="48" t="inlineStr">
        <is>
          <t>Opción múltiple</t>
        </is>
      </c>
      <c r="F76" s="48" t="inlineStr">
        <is>
          <t>No / Sí, uso interno solamente / Sí, interno y compartido con compradores u otras partes interesadas</t>
        </is>
      </c>
      <c r="G76" s="48" t="inlineStr">
        <is>
          <t>`ISCAM_Score!I` vía `SCORECARDS!I` (D5)</t>
        </is>
      </c>
      <c r="H76" s="48" t="inlineStr"/>
    </row>
    <row r="77">
      <c r="A77" s="50" t="inlineStr">
        <is>
          <t>Sección 8 — D6: Capacidad organizacional y digital</t>
        </is>
      </c>
      <c r="B77" s="51" t="inlineStr">
        <is>
          <t>D6.22</t>
        </is>
      </c>
      <c r="C77" s="50" t="inlineStr">
        <is>
          <t>D6 — Capacidad organizacional y digital</t>
        </is>
      </c>
      <c r="D77" s="50" t="inlineStr">
        <is>
          <t>Presupuesto asignado al cumplimiento EUDR</t>
        </is>
      </c>
      <c r="E77" s="50" t="inlineStr">
        <is>
          <t>Opción múltiple</t>
        </is>
      </c>
      <c r="F77" s="50" t="inlineStr">
        <is>
          <t>No / Parcial, solo actividades de cumplimiento / Parcial, incluye tecnología y datos / Sí, con partida explícita para tecnología y datos</t>
        </is>
      </c>
      <c r="G77" s="50" t="inlineStr">
        <is>
          <t>`ISCAM_Score!J` vía `SCORECARDS!J` (D6)</t>
        </is>
      </c>
      <c r="H77" s="50" t="inlineStr">
        <is>
          <t>v0.4 — modificada</t>
        </is>
      </c>
    </row>
    <row r="78">
      <c r="A78" s="48" t="inlineStr">
        <is>
          <t>Sección 8 — D6: Capacidad organizacional y digital</t>
        </is>
      </c>
      <c r="B78" s="49" t="inlineStr">
        <is>
          <t>D6.22a</t>
        </is>
      </c>
      <c r="C78" s="48" t="inlineStr">
        <is>
          <t>D6 — Capacidad organizacional y digital</t>
        </is>
      </c>
      <c r="D78" s="48" t="inlineStr">
        <is>
          <t>¿La cooperativa cuenta con una base de datos o sistema centralizado (digital o no) que permite vincular a cada socio proveedor con sus parcelas geolocalizadas, los lotes que ha entregado y su volumen?</t>
        </is>
      </c>
      <c r="E78" s="48" t="inlineStr">
        <is>
          <t>Opción múltiple</t>
        </is>
      </c>
      <c r="F78" s="48" t="inlineStr">
        <is>
          <t>No existe / Existe en papel desorganizado / Existe digital pero sin vínculos entre tablas / Existe digital con vínculos actualizados entre socio-parcela-lote</t>
        </is>
      </c>
      <c r="G78" s="48" t="inlineStr">
        <is>
          <t>`ISCAM_Score!J` vía `SCORECARDS!J` (D6)</t>
        </is>
      </c>
      <c r="H78" s="48" t="inlineStr"/>
    </row>
    <row r="79">
      <c r="A79" s="48" t="inlineStr">
        <is>
          <t>Sección 8 — D6: Capacidad organizacional y digital</t>
        </is>
      </c>
      <c r="B79" s="49" t="inlineStr">
        <is>
          <t>D6.22b</t>
        </is>
      </c>
      <c r="C79" s="48" t="inlineStr">
        <is>
          <t>D6 — Capacidad organizacional y digital</t>
        </is>
      </c>
      <c r="D79" s="48" t="inlineStr">
        <is>
          <t>*(Rama: solo si D6.22a ≠ "No existe" y ≠ "Existe en papel desorganizado")* ¿Qué tipo de sistema digital utiliza?</t>
        </is>
      </c>
      <c r="E79" s="48" t="inlineStr">
        <is>
          <t>Opción múltiple</t>
        </is>
      </c>
      <c r="F79" s="48" t="inlineStr">
        <is>
          <t>Excel o Access básico / Software especializado de trazabilidad (ChainPoint, Teia, BQuant, otro) / Sistema web propio o de tercero / Base de datos personalizada con soporte técnico regular</t>
        </is>
      </c>
      <c r="G79" s="48" t="inlineStr">
        <is>
          <t>`ISCAM_Score!J` vía `SCORECARDS!J` (D6)</t>
        </is>
      </c>
      <c r="H79" s="48" t="inlineStr"/>
    </row>
    <row r="80">
      <c r="A80" s="48" t="inlineStr">
        <is>
          <t>Sección 8 — D6: Capacidad organizacional y digital</t>
        </is>
      </c>
      <c r="B80" s="49" t="inlineStr">
        <is>
          <t>D6.23</t>
        </is>
      </c>
      <c r="C80" s="48" t="inlineStr">
        <is>
          <t>D6 — Capacidad organizacional y digital</t>
        </is>
      </c>
      <c r="D80" s="48" t="inlineStr">
        <is>
          <t>Digitalización de registros</t>
        </is>
      </c>
      <c r="E80" s="48" t="inlineStr">
        <is>
          <t>Opción múltiple</t>
        </is>
      </c>
      <c r="F80" s="48" t="inlineStr">
        <is>
          <t>Papel / Mixto / Digital</t>
        </is>
      </c>
      <c r="G80" s="48" t="inlineStr">
        <is>
          <t>`ISCAM_Score!J` vía `SCORECARDS!J` (D6)</t>
        </is>
      </c>
      <c r="H80" s="48" t="inlineStr"/>
    </row>
    <row r="81">
      <c r="A81" s="48" t="inlineStr">
        <is>
          <t>Sección 8 — D6: Capacidad organizacional y digital</t>
        </is>
      </c>
      <c r="B81" s="49" t="inlineStr">
        <is>
          <t>D6.24</t>
        </is>
      </c>
      <c r="C81" s="48" t="inlineStr">
        <is>
          <t>D6 — Capacidad organizacional y digital</t>
        </is>
      </c>
      <c r="D81" s="48" t="inlineStr">
        <is>
          <t>Conectividad a internet</t>
        </is>
      </c>
      <c r="E81" s="48" t="inlineStr">
        <is>
          <t>Opción múltiple</t>
        </is>
      </c>
      <c r="F81" s="48" t="inlineStr">
        <is>
          <t>No hay / Limitada / Confiable</t>
        </is>
      </c>
      <c r="G81" s="48" t="inlineStr">
        <is>
          <t>`ISCAM_Score!J` vía `SCORECARDS!J` (D6)</t>
        </is>
      </c>
      <c r="H81" s="48" t="inlineStr"/>
    </row>
    <row r="82">
      <c r="A82" s="48" t="inlineStr">
        <is>
          <t>Sección 8 — D6: Capacidad organizacional y digital</t>
        </is>
      </c>
      <c r="B82" s="49" t="inlineStr">
        <is>
          <t>D6.25</t>
        </is>
      </c>
      <c r="C82" s="48" t="inlineStr">
        <is>
          <t>D6 — Capacidad organizacional y digital</t>
        </is>
      </c>
      <c r="D82" s="48" t="inlineStr">
        <is>
          <t>¿Ha gestionado apoyo externo para adecuarse?</t>
        </is>
      </c>
      <c r="E82" s="48" t="inlineStr">
        <is>
          <t>Opción múltiple</t>
        </is>
      </c>
      <c r="F82" s="48" t="inlineStr">
        <is>
          <t>No y lo necesita / No lo cree necesario / Sí en el pasado / Sí activo</t>
        </is>
      </c>
      <c r="G82" s="48" t="inlineStr">
        <is>
          <t>`ISCAM_Score!J` vía `SCORECARDS!J` (D6)</t>
        </is>
      </c>
      <c r="H82" s="48" t="inlineStr"/>
    </row>
    <row r="83">
      <c r="A83" s="48" t="inlineStr">
        <is>
          <t>Sección 8 — D6: Capacidad organizacional y digital</t>
        </is>
      </c>
      <c r="B83" s="49" t="inlineStr">
        <is>
          <t>D6.25a</t>
        </is>
      </c>
      <c r="C83" s="48" t="inlineStr">
        <is>
          <t>D6 — Capacidad organizacional y digital</t>
        </is>
      </c>
      <c r="D83" s="48" t="inlineStr">
        <is>
          <t>¿Los registros documentales de la cooperativa (actas, contratos con socios, guías de transporte, certificados, reportes de trazabilidad) se almacenan de forma segura —digital con respaldo o física en archivo— con capacidad de ser recuperados en menos de 48 horas si se pierden los originales?</t>
        </is>
      </c>
      <c r="E83" s="48" t="inlineStr">
        <is>
          <t>Opción múltiple</t>
        </is>
      </c>
      <c r="F83" s="48" t="inlineStr">
        <is>
          <t>No existe política de respaldo / Parcial, solo los más críticos / Sí, con respaldo definido pero no probado / Sí, con protocolo probado periódicamente</t>
        </is>
      </c>
      <c r="G83" s="48" t="inlineStr">
        <is>
          <t>`ISCAM_Score!J` vía `SCORECARDS!J` (D6)</t>
        </is>
      </c>
      <c r="H83" s="48" t="inlineStr"/>
    </row>
    <row r="84">
      <c r="A84" s="48" t="inlineStr">
        <is>
          <t>Sección 8 — D6: Capacidad organizacional y digital</t>
        </is>
      </c>
      <c r="B84" s="49" t="inlineStr">
        <is>
          <t>D6.25b</t>
        </is>
      </c>
      <c r="C84" s="48" t="inlineStr">
        <is>
          <t>D6 — Capacidad organizacional y digital</t>
        </is>
      </c>
      <c r="D84" s="48" t="inlineStr">
        <is>
          <t>*(Rama: solo si D6.25a = "Sí, con respaldo definido pero no probado" o "Sí, con protocolo probado")* ¿El protocolo fue diseñado internamente o con apoyo externo? ¿Cuándo se probó por última vez?</t>
        </is>
      </c>
      <c r="E84" s="48" t="inlineStr">
        <is>
          <t>Opción múltiple</t>
        </is>
      </c>
      <c r="F84" s="48" t="inlineStr">
        <is>
          <t>Diseñado internamente / Con apoyo de ONG o programa / Con apoyo de consultoría o proveedor IT / Nunca se ha probado / Probado hace más de 12 meses / Probado en los últimos 12 meses</t>
        </is>
      </c>
      <c r="G84" s="48" t="inlineStr">
        <is>
          <t>`ISCAM_Score!J` vía `SCORECARDS!J` (D6)</t>
        </is>
      </c>
      <c r="H84" s="48" t="inlineStr"/>
    </row>
    <row r="85">
      <c r="A85" s="52" t="inlineStr">
        <is>
          <t>Sección 8 — D6: Capacidad organizacional y digital</t>
        </is>
      </c>
      <c r="B85" s="53" t="inlineStr">
        <is>
          <t>D6.22c</t>
        </is>
      </c>
      <c r="C85" s="52" t="inlineStr">
        <is>
          <t>D6 — Capacidad organizacional y digital</t>
        </is>
      </c>
      <c r="D85" s="52" t="inlineStr">
        <is>
          <t>¿Hay personal asignado a la gestión de datos y trazabilidad (aunque sea a medio tiempo)?</t>
        </is>
      </c>
      <c r="E85" s="52" t="inlineStr">
        <is>
          <t>Opción múltiple</t>
        </is>
      </c>
      <c r="F85" s="52" t="inlineStr">
        <is>
          <t>Sí, personal dedicado / Parcial, como función adicional / No / No sabe</t>
        </is>
      </c>
      <c r="G85" s="52" t="inlineStr">
        <is>
          <t>`ISCAM_Score!J` vía `SCORECARDS!J` (D6)</t>
        </is>
      </c>
      <c r="H85" s="52" t="inlineStr">
        <is>
          <t>v0.4 — nueva</t>
        </is>
      </c>
    </row>
    <row r="86">
      <c r="A86" s="48" t="inlineStr">
        <is>
          <t>Sección 9 — D7: Cadena de valor</t>
        </is>
      </c>
      <c r="B86" s="49" t="inlineStr">
        <is>
          <t>D7.26</t>
        </is>
      </c>
      <c r="C86" s="48" t="inlineStr">
        <is>
          <t>D7 — Cadena de valor / presión comprador</t>
        </is>
      </c>
      <c r="D86" s="48" t="inlineStr">
        <is>
          <t>¿El comprador ha exigido formalmente geolocalización/diligencia debida?</t>
        </is>
      </c>
      <c r="E86" s="48" t="inlineStr">
        <is>
          <t>Opción múltiple</t>
        </is>
      </c>
      <c r="F86" s="48" t="inlineStr">
        <is>
          <t>Aún no / Informalmente / Formalmente por escrito</t>
        </is>
      </c>
      <c r="G86" s="48" t="inlineStr">
        <is>
          <t>`ISCAM_Score!K` (D7)</t>
        </is>
      </c>
      <c r="H86" s="48" t="inlineStr"/>
    </row>
    <row r="87">
      <c r="A87" s="48" t="inlineStr">
        <is>
          <t>Sección 9 — D7: Cadena de valor</t>
        </is>
      </c>
      <c r="B87" s="49" t="inlineStr">
        <is>
          <t>D7.27</t>
        </is>
      </c>
      <c r="C87" s="48" t="inlineStr">
        <is>
          <t>D7 — Cadena de valor / presión comprador</t>
        </is>
      </c>
      <c r="D87" s="48" t="inlineStr">
        <is>
          <t>¿El comprador ofrece financiamiento/asistencia técnica condicionada al cumplimiento?</t>
        </is>
      </c>
      <c r="E87" s="48" t="inlineStr">
        <is>
          <t>Opción múltiple</t>
        </is>
      </c>
      <c r="F87" s="48" t="inlineStr">
        <is>
          <t>Sí / No</t>
        </is>
      </c>
      <c r="G87" s="48" t="inlineStr">
        <is>
          <t>`ISCAM_Score!K` (D7)</t>
        </is>
      </c>
      <c r="H87" s="48" t="inlineStr"/>
    </row>
    <row r="88">
      <c r="A88" s="48" t="inlineStr">
        <is>
          <t>Sección 9 — D7: Cadena de valor</t>
        </is>
      </c>
      <c r="B88" s="49" t="inlineStr">
        <is>
          <t>D7.28</t>
        </is>
      </c>
      <c r="C88" s="48" t="inlineStr">
        <is>
          <t>D7 — Cadena de valor / presión comprador</t>
        </is>
      </c>
      <c r="D88" s="48" t="inlineStr">
        <is>
          <t>Riesgo percibido de perder el contrato si no cumple a tiempo</t>
        </is>
      </c>
      <c r="E88" s="48" t="inlineStr">
        <is>
          <t>Opción múltiple</t>
        </is>
      </c>
      <c r="F88" s="48" t="inlineStr">
        <is>
          <t>No sabe / Bajo / Medio / Alto</t>
        </is>
      </c>
      <c r="G88" s="48" t="inlineStr">
        <is>
          <t>`ISCAM_Score!K` (D7)</t>
        </is>
      </c>
      <c r="H88" s="48" t="inlineStr"/>
    </row>
    <row r="89">
      <c r="A89" s="48" t="inlineStr">
        <is>
          <t>Sección 9 — D7: Cadena de valor</t>
        </is>
      </c>
      <c r="B89" s="49" t="inlineStr">
        <is>
          <t>D7.28b</t>
        </is>
      </c>
      <c r="C89" s="48" t="inlineStr">
        <is>
          <t>D7 — Cadena de valor / presión comprador</t>
        </is>
      </c>
      <c r="D89" s="48" t="inlineStr">
        <is>
          <t>¿El comprador europeo ha comunicado que sus propias obligaciones (EUDR, CSRD, CSDDD u otra) implican requisitos adicionales sobre la cadena de suministro más allá de la geolocalización?</t>
        </is>
      </c>
      <c r="E89" s="48" t="inlineStr">
        <is>
          <t>Opción múltiple</t>
        </is>
      </c>
      <c r="F89" s="48" t="inlineStr">
        <is>
          <t>No ha mencionado nada / Lo ha mencionado verbalmente sin requisito formal / Sí, ha enviado documentación o cuestionario de proveedores / Sí, lo ha formalizado como cláusula contractual</t>
        </is>
      </c>
      <c r="G89" s="48" t="inlineStr">
        <is>
          <t>`ISCAM_Score!K` (D7)</t>
        </is>
      </c>
      <c r="H89" s="48" t="inlineStr"/>
    </row>
    <row r="90">
      <c r="A90" s="48" t="inlineStr">
        <is>
          <t>Sección 9 — D7: Cadena de valor</t>
        </is>
      </c>
      <c r="B90" s="49" t="inlineStr">
        <is>
          <t>D7.28c</t>
        </is>
      </c>
      <c r="C90" s="48" t="inlineStr">
        <is>
          <t>D7 — Cadena de valor / presión comprador</t>
        </is>
      </c>
      <c r="D90" s="48" t="inlineStr">
        <is>
          <t>*(Rama: solo si D7.28b = "Sí, ha enviado documentación" o "Sí, lo ha formalizado como cláusula")* ¿Qué tipo de documentación ha enviado o solicitado el comprador? ¿Cubre solo a la cooperativa o también a sus proveedores?</t>
        </is>
      </c>
      <c r="E90" s="48" t="inlineStr">
        <is>
          <t>Opción múltiple</t>
        </is>
      </c>
      <c r="F90" s="48" t="inlineStr">
        <is>
          <t>Cuestionario de autoevaluación / Guía de diligencia debida propia del comprador / Plantilla de trazabilidad (lotes, volúmenes, GPS) / Evaluación de riesgo de deforestación / Requisito de certificación de terceros (Fairtrade, Rainforest, orgánica) / Solo cubre a la cooperativa / Cubre también a los proveedores directos / Cubre hasta proveedores de segundo nivel</t>
        </is>
      </c>
      <c r="G90" s="48" t="inlineStr">
        <is>
          <t>`ISCAM_Score!K` (D7)</t>
        </is>
      </c>
      <c r="H90" s="48" t="inlineStr"/>
    </row>
    <row r="91">
      <c r="A91" s="52" t="inlineStr">
        <is>
          <t>Sección 9 — D7: Cadena de valor</t>
        </is>
      </c>
      <c r="B91" s="53" t="inlineStr">
        <is>
          <t>D7.26a</t>
        </is>
      </c>
      <c r="C91" s="52" t="inlineStr">
        <is>
          <t>D7 — Cadena de valor / presión comprador</t>
        </is>
      </c>
      <c r="D91" s="52" t="inlineStr">
        <is>
          <t>¿El comprador principal (primera mano) es una empresa de la Unión Europea o está sujeto a la Directiva de diligencia debida empresarial (CSDDD)?</t>
        </is>
      </c>
      <c r="E91" s="52" t="inlineStr">
        <is>
          <t>Opción múltiple</t>
        </is>
      </c>
      <c r="F91" s="52" t="inlineStr">
        <is>
          <t>Sí, empresa de la UE / No es de la UE pero está sujeto a CSDDD / No / No sabe</t>
        </is>
      </c>
      <c r="G91" s="52" t="inlineStr">
        <is>
          <t>`ISCAM_Score!K` (D7) + IV1 (`U`)</t>
        </is>
      </c>
      <c r="H91" s="52" t="inlineStr">
        <is>
          <t>v0.4 — nueva</t>
        </is>
      </c>
    </row>
    <row r="92">
      <c r="A92" s="52" t="inlineStr">
        <is>
          <t>Sección 9 — D7: Cadena de valor</t>
        </is>
      </c>
      <c r="B92" s="53" t="inlineStr">
        <is>
          <t>D7.26b</t>
        </is>
      </c>
      <c r="C92" s="52" t="inlineStr">
        <is>
          <t>D7 — Cadena de valor / presión comprador</t>
        </is>
      </c>
      <c r="D92" s="52" t="inlineStr">
        <is>
          <t>¿Existe contrato o acuerdo escrito con el comprador principal que incluya cláusula de debida diligencia, geolocalización o trazabilidad?</t>
        </is>
      </c>
      <c r="E92" s="52" t="inlineStr">
        <is>
          <t>Opción múltiple</t>
        </is>
      </c>
      <c r="F92" s="52" t="inlineStr">
        <is>
          <t>Sí, con cláusula explícita EUDR o equivalente / Sí, pero sin cláusula específica / No hay contrato escrito / No sabe</t>
        </is>
      </c>
      <c r="G92" s="52" t="inlineStr">
        <is>
          <t>`ISCAM_Score!K` (D7) + PRESION (`PONDERADORES!A16`)</t>
        </is>
      </c>
      <c r="H92" s="52" t="inlineStr">
        <is>
          <t>v0.4 — nueva</t>
        </is>
      </c>
    </row>
    <row r="93">
      <c r="A93" s="48" t="inlineStr">
        <is>
          <t>Sección 10 — D8: Gobernanza y participación de socios</t>
        </is>
      </c>
      <c r="B93" s="49" t="inlineStr">
        <is>
          <t>D8.29</t>
        </is>
      </c>
      <c r="C93" s="48" t="inlineStr">
        <is>
          <t>D8 — Gobernanza y participación</t>
        </is>
      </c>
      <c r="D93" s="48" t="inlineStr">
        <is>
          <t>¿Se han realizado asambleas o reuniones informativas sobre el EUDR dirigidas a los socios (no solo a la directiva)?</t>
        </is>
      </c>
      <c r="E93" s="48" t="inlineStr">
        <is>
          <t>Escala lineal 0-4</t>
        </is>
      </c>
      <c r="F93" s="48" t="inlineStr">
        <is>
          <t>Misma leyenda que D2.5</t>
        </is>
      </c>
      <c r="G93" s="48" t="inlineStr">
        <is>
          <t>`ISCAM_Score!L` (D8)</t>
        </is>
      </c>
      <c r="H93" s="48" t="inlineStr"/>
    </row>
    <row r="94">
      <c r="A94" s="48" t="inlineStr">
        <is>
          <t>Sección 10 — D8: Gobernanza y participación de socios</t>
        </is>
      </c>
      <c r="B94" s="49" t="inlineStr">
        <is>
          <t>D8.30</t>
        </is>
      </c>
      <c r="C94" s="48" t="inlineStr">
        <is>
          <t>D8 — Gobernanza y participación</t>
        </is>
      </c>
      <c r="D94" s="48" t="inlineStr">
        <is>
          <t>% estimado de socios que entienden, al menos en términos generales, por qué se les pide geolocalización/documentación</t>
        </is>
      </c>
      <c r="E94" s="48" t="inlineStr">
        <is>
          <t>Respuesta corta (validación numérica 0-100)</t>
        </is>
      </c>
      <c r="F94" s="48" t="inlineStr">
        <is>
          <t>—</t>
        </is>
      </c>
      <c r="G94" s="48" t="inlineStr">
        <is>
          <t>`ISCAM_Score!L` (D8)</t>
        </is>
      </c>
      <c r="H94" s="48" t="inlineStr"/>
    </row>
    <row r="95">
      <c r="A95" s="48" t="inlineStr">
        <is>
          <t>Sección 10 — D8: Gobernanza y participación de socios</t>
        </is>
      </c>
      <c r="B95" s="49" t="inlineStr">
        <is>
          <t>D8.31</t>
        </is>
      </c>
      <c r="C95" s="48" t="inlineStr">
        <is>
          <t>D8 — Gobernanza y participación</t>
        </is>
      </c>
      <c r="D95" s="48" t="inlineStr">
        <is>
          <t>¿Existe algún mecanismo interno (incentivo o condición) para que los socios entreguen su información de parcela?</t>
        </is>
      </c>
      <c r="E95" s="48" t="inlineStr">
        <is>
          <t>Opción múltiple</t>
        </is>
      </c>
      <c r="F95" s="48" t="inlineStr">
        <is>
          <t>No existe / Se pide informalmente / Es requisito formal para vender a la cooperativa</t>
        </is>
      </c>
      <c r="G95" s="48" t="inlineStr">
        <is>
          <t>`ISCAM_Score!L` (D8)</t>
        </is>
      </c>
      <c r="H95" s="48" t="inlineStr"/>
    </row>
    <row r="96">
      <c r="A96" s="48" t="inlineStr">
        <is>
          <t>Sección 10 — D8: Gobernanza y participación de socios</t>
        </is>
      </c>
      <c r="B96" s="49" t="inlineStr">
        <is>
          <t>D8.32</t>
        </is>
      </c>
      <c r="C96" s="48" t="inlineStr">
        <is>
          <t>D8 — Gobernanza y participación</t>
        </is>
      </c>
      <c r="D96" s="48" t="inlineStr">
        <is>
          <t>Rotación de la directiva en los últimos 2 años</t>
        </is>
      </c>
      <c r="E96" s="48" t="inlineStr">
        <is>
          <t>Opción múltiple</t>
        </is>
      </c>
      <c r="F96" s="48" t="inlineStr">
        <is>
          <t>Alta / Moderada / Baja/estable</t>
        </is>
      </c>
      <c r="G96" s="48" t="inlineStr">
        <is>
          <t>`ISCAM_Score!L` (D8)</t>
        </is>
      </c>
      <c r="H96" s="48" t="inlineStr"/>
    </row>
    <row r="97">
      <c r="A97" s="48" t="inlineStr">
        <is>
          <t>Sección 11 — D9: Sostenibilidad económica del cumplimiento</t>
        </is>
      </c>
      <c r="B97" s="49" t="inlineStr">
        <is>
          <t>D9.33</t>
        </is>
      </c>
      <c r="C97" s="48" t="inlineStr">
        <is>
          <t>D9 — Sostenibilidad económica</t>
        </is>
      </c>
      <c r="D97" s="48" t="inlineStr">
        <is>
          <t>Estimación del costo total de adecuación (geolocalización, saneamiento, sistemas, capacitación) frente al presupuesto anual de la cooperativa</t>
        </is>
      </c>
      <c r="E97" s="48" t="inlineStr">
        <is>
          <t>Opción múltiple</t>
        </is>
      </c>
      <c r="F97" s="48" t="inlineStr">
        <is>
          <t>Costo mayor al 10% del presupuesto anual / Entre 3-10% / Menor al 3% / No se ha estimado</t>
        </is>
      </c>
      <c r="G97" s="48" t="inlineStr">
        <is>
          <t>`ISCAM_Score!M` (D9)</t>
        </is>
      </c>
      <c r="H97" s="48" t="inlineStr"/>
    </row>
    <row r="98">
      <c r="A98" s="50" t="inlineStr">
        <is>
          <t>Sección 11 — D9: Sostenibilidad económica del cumplimiento</t>
        </is>
      </c>
      <c r="B98" s="51" t="inlineStr">
        <is>
          <t>D9.34</t>
        </is>
      </c>
      <c r="C98" s="50" t="inlineStr">
        <is>
          <t>D9 — Sostenibilidad económica</t>
        </is>
      </c>
      <c r="D98" s="50" t="inlineStr">
        <is>
          <t>¿Cómo ha financiado (o financiaría) la organización la adecuación al EUDR?</t>
        </is>
      </c>
      <c r="E98" s="50" t="inlineStr">
        <is>
          <t>Opción múltiple</t>
        </is>
      </c>
      <c r="F98" s="50" t="inlineStr">
        <is>
          <t>Con crédito o endeudamiento / Con recursos propios / Existe fuente de financiamiento identificada (verde, cooperación o programa público), aún no ejecutada / No ha sido necesario / No sabe</t>
        </is>
      </c>
      <c r="G98" s="50" t="inlineStr">
        <is>
          <t>`ISCAM_Score!M` (D9)</t>
        </is>
      </c>
      <c r="H98" s="50" t="inlineStr">
        <is>
          <t>v0.4 — modificada</t>
        </is>
      </c>
    </row>
    <row r="99">
      <c r="A99" s="48" t="inlineStr">
        <is>
          <t>Sección 11 — D9: Sostenibilidad económica del cumplimiento</t>
        </is>
      </c>
      <c r="B99" s="49" t="inlineStr">
        <is>
          <t>D9.35</t>
        </is>
      </c>
      <c r="C99" s="48" t="inlineStr">
        <is>
          <t>D9 — Sostenibilidad económica</t>
        </is>
      </c>
      <c r="D99" s="48" t="inlineStr">
        <is>
          <t>¿Existe riesgo de que el costo de adecuación se traslade a un menor precio pagado al socio productor?</t>
        </is>
      </c>
      <c r="E99" s="48" t="inlineStr">
        <is>
          <t>Opción múltiple</t>
        </is>
      </c>
      <c r="F99" s="48" t="inlineStr">
        <is>
          <t>Sí, ya ha ocurrido / Es un riesgo latente / No aplica / No se ha evaluado</t>
        </is>
      </c>
      <c r="G99" s="48" t="inlineStr">
        <is>
          <t>`ISCAM_Score!M` (D9)</t>
        </is>
      </c>
      <c r="H99" s="48" t="inlineStr"/>
    </row>
    <row r="100">
      <c r="A100" s="48" t="inlineStr">
        <is>
          <t>Sección 12 — D10: Confusión entre certificación voluntaria y cumplimiento EUDR</t>
        </is>
      </c>
      <c r="B100" s="49" t="inlineStr">
        <is>
          <t>D10.36</t>
        </is>
      </c>
      <c r="C100" s="48" t="inlineStr">
        <is>
          <t>D10 — Confusión certificación/EUDR</t>
        </is>
      </c>
      <c r="D100" s="48" t="inlineStr">
        <is>
          <t>¿La cooperativa cree que su certificación vigente (Rainforest Alliance, Fairtrade, Orgánico, etc.) ya cubre las obligaciones del EUDR?</t>
        </is>
      </c>
      <c r="E100" s="48" t="inlineStr">
        <is>
          <t>Opción múltiple</t>
        </is>
      </c>
      <c r="F100" s="48" t="inlineStr">
        <is>
          <t>Sí, totalmente / Sí, en parte / No, sabe que son cosas distintas / No tiene certificación</t>
        </is>
      </c>
      <c r="G100" s="48" t="inlineStr">
        <is>
          <t>`ISCAM_Score!N` (D10) — bandera, no promedia</t>
        </is>
      </c>
      <c r="H100" s="48" t="inlineStr"/>
    </row>
    <row r="101">
      <c r="A101" s="48" t="inlineStr">
        <is>
          <t>Sección 12 — D10: Confusión entre certificación voluntaria y cumplimiento EUDR</t>
        </is>
      </c>
      <c r="B101" s="49" t="inlineStr">
        <is>
          <t>D10.37</t>
        </is>
      </c>
      <c r="C101" s="48" t="inlineStr">
        <is>
          <t>D10 — Confusión certificación/EUDR</t>
        </is>
      </c>
      <c r="D101" s="48" t="inlineStr">
        <is>
          <t>¿Algún proveedor o consultor le ha ofrecido una "certificación EUDR" como producto?</t>
        </is>
      </c>
      <c r="E101" s="48" t="inlineStr">
        <is>
          <t>Opción múltiple</t>
        </is>
      </c>
      <c r="F101" s="48" t="inlineStr">
        <is>
          <t>Sí / No</t>
        </is>
      </c>
      <c r="G101" s="48" t="inlineStr">
        <is>
          <t>`ISCAM_Score!N` (D10) — bandera, no promedia</t>
        </is>
      </c>
      <c r="H101" s="48" t="inlineStr"/>
    </row>
    <row r="102">
      <c r="A102" s="52" t="inlineStr">
        <is>
          <t>Sección 12 — D10: Confusión entre certificación voluntaria y cumplimiento EUDR</t>
        </is>
      </c>
      <c r="B102" s="53" t="inlineStr">
        <is>
          <t>D10.36a</t>
        </is>
      </c>
      <c r="C102" s="52" t="inlineStr">
        <is>
          <t>D10 — Confusión certificación/EUDR</t>
        </is>
      </c>
      <c r="D102" s="52" t="inlineStr">
        <is>
          <t>¿La organización ha recibido asesoría específica sobre el EUDR (a diferencia de asesoría genérica de sostenibilidad)?</t>
        </is>
      </c>
      <c r="E102" s="52" t="inlineStr">
        <is>
          <t>Opción múltiple</t>
        </is>
      </c>
      <c r="F102" s="52" t="inlineStr">
        <is>
          <t>Sí, asesoría especializada en EUDR / Solo asesoría genérica de sostenibilidad / No ha recibido asesoría / No sabe</t>
        </is>
      </c>
      <c r="G102" s="52" t="inlineStr">
        <is>
          <t>`ISCAM_Score!N` (D10) — bandera, no promedia</t>
        </is>
      </c>
      <c r="H102" s="52" t="inlineStr">
        <is>
          <t>v0.4 — nueva</t>
        </is>
      </c>
    </row>
    <row r="103">
      <c r="A103" s="48" t="inlineStr">
        <is>
          <t>Sección 13 — D11: Ecosistema de apoyo externo</t>
        </is>
      </c>
      <c r="B103" s="49" t="inlineStr">
        <is>
          <t>D11.38</t>
        </is>
      </c>
      <c r="C103" s="48" t="inlineStr">
        <is>
          <t>D11 — Ecosistema de apoyo externo</t>
        </is>
      </c>
      <c r="D103" s="48" t="inlineStr">
        <is>
          <t>Marque los actores con los que la cooperativa ya tiene contacto o apoyo activo</t>
        </is>
      </c>
      <c r="E103" s="48" t="inlineStr">
        <is>
          <t>Casillas de verificación</t>
        </is>
      </c>
      <c r="F103" s="48" t="inlineStr">
        <is>
          <t>SERFOR (legalidad forestal) / PNCB-MINAM (monitoreo satelital) / MIDAGRI o programa regional de café-cacao / Gobierno regional (catastro/saneamiento) / Cooperación internacional (GIZ, USAID, UE, ONG) / Junta Nacional del Café, APPCACAO u otro gremio / Ninguno</t>
        </is>
      </c>
      <c r="G103" s="48" t="inlineStr">
        <is>
          <t>`ISCAM_Score!O` (D11) — mapeo</t>
        </is>
      </c>
      <c r="H103" s="48" t="inlineStr"/>
    </row>
    <row r="104">
      <c r="A104" s="48" t="inlineStr">
        <is>
          <t>Sección 13 — D11: Ecosistema de apoyo externo</t>
        </is>
      </c>
      <c r="B104" s="49" t="inlineStr">
        <is>
          <t>D11.39</t>
        </is>
      </c>
      <c r="C104" s="48" t="inlineStr">
        <is>
          <t>D11 — Ecosistema de apoyo externo</t>
        </is>
      </c>
      <c r="D104" s="48" t="inlineStr">
        <is>
          <t>De los actores no marcados en la pregunta anterior, ¿cuáles conoce pero no ha contactado, y por qué?</t>
        </is>
      </c>
      <c r="E104" s="48" t="inlineStr">
        <is>
          <t>Párrafo</t>
        </is>
      </c>
      <c r="F104" s="48" t="inlineStr">
        <is>
          <t>—</t>
        </is>
      </c>
      <c r="G104" s="48" t="inlineStr">
        <is>
          <t>`ISCAM_Score!O` (D11) — mapeo</t>
        </is>
      </c>
      <c r="H104" s="48" t="inlineStr"/>
    </row>
    <row r="105">
      <c r="A105" s="52" t="inlineStr">
        <is>
          <t>Sección 13 — D11: Ecosistema de apoyo externo</t>
        </is>
      </c>
      <c r="B105" s="53" t="inlineStr">
        <is>
          <t>D11.39a</t>
        </is>
      </c>
      <c r="C105" s="52" t="inlineStr">
        <is>
          <t>D11 — Ecosistema de apoyo externo</t>
        </is>
      </c>
      <c r="D105" s="52" t="inlineStr">
        <is>
          <t>¿La organización está inscrita en una plataforma de trazabilidad del sector (APPCACAO, Junta Nacional del Café u otra equivalente)?</t>
        </is>
      </c>
      <c r="E105" s="52" t="inlineStr">
        <is>
          <t>Opción múltiple</t>
        </is>
      </c>
      <c r="F105" s="52" t="inlineStr">
        <is>
          <t>Sí / En proceso de inscripción / No / No conoce la plataforma</t>
        </is>
      </c>
      <c r="G105" s="52" t="inlineStr">
        <is>
          <t>`ISCAM_Score!O` (D11) — mapeo</t>
        </is>
      </c>
      <c r="H105" s="52" t="inlineStr">
        <is>
          <t>v0.4 — nueva</t>
        </is>
      </c>
    </row>
    <row r="106">
      <c r="A106" s="52" t="inlineStr">
        <is>
          <t>Sección 14 — D12–D15: Pacto Verde europeo (alimentan ISA-PV, 30% de ISA-Completo)</t>
        </is>
      </c>
      <c r="B106" s="53" t="inlineStr">
        <is>
          <t>D12.42</t>
        </is>
      </c>
      <c r="C106" s="52" t="inlineStr">
        <is>
          <t>D12 — Huella de carbono (Pacto Verde)</t>
        </is>
      </c>
      <c r="D106" s="52" t="inlineStr">
        <is>
          <t>¿La organización mide o ha calculado la huella de carbono de su actividad productiva y de procesamiento (alcance 1 y 2)?</t>
        </is>
      </c>
      <c r="E106" s="52" t="inlineStr">
        <is>
          <t>Opción múltiple</t>
        </is>
      </c>
      <c r="F106" s="52" t="inlineStr">
        <is>
          <t>No mide (0) / Registra insumos o mide parcialmente, en curso (1) / Calculada y verificada por tercero (2)</t>
        </is>
      </c>
      <c r="G106" s="52" t="inlineStr">
        <is>
          <t>`MATRIZ_174!W` → `ISCAM_Score!AE` → `AI` (ISA-PV) → 30% de `AL`</t>
        </is>
      </c>
      <c r="H106" s="52" t="inlineStr">
        <is>
          <t>v0.4 — nueva</t>
        </is>
      </c>
    </row>
    <row r="107">
      <c r="A107" s="52" t="inlineStr">
        <is>
          <t>Sección 14 — D12–D15: Pacto Verde europeo (alimentan ISA-PV, 30% de ISA-Completo)</t>
        </is>
      </c>
      <c r="B107" s="53" t="inlineStr">
        <is>
          <t>D13.45</t>
        </is>
      </c>
      <c r="C107" s="52" t="inlineStr">
        <is>
          <t>D13 — Reporte de sostenibilidad (Pacto Verde)</t>
        </is>
      </c>
      <c r="D107" s="52" t="inlineStr">
        <is>
          <t>¿La organización elabora y publica un reporte de sostenibilidad con información de su desempeño ambiental y social?</t>
        </is>
      </c>
      <c r="E107" s="52" t="inlineStr">
        <is>
          <t>Opción múltiple</t>
        </is>
      </c>
      <c r="F107" s="52" t="inlineStr">
        <is>
          <t>No (0) / En preparación (1) / Publicado (2)</t>
        </is>
      </c>
      <c r="G107" s="52" t="inlineStr">
        <is>
          <t>`MATRIZ_174!X` → `ISCAM_Score!AF` → `AI` (ISA-PV)</t>
        </is>
      </c>
      <c r="H107" s="52" t="inlineStr">
        <is>
          <t>v0.4 — nueva</t>
        </is>
      </c>
    </row>
    <row r="108">
      <c r="A108" s="52" t="inlineStr">
        <is>
          <t>Sección 14 — D12–D15: Pacto Verde europeo (alimentan ISA-PV, 30% de ISA-Completo)</t>
        </is>
      </c>
      <c r="B108" s="53" t="inlineStr">
        <is>
          <t>D14.51</t>
        </is>
      </c>
      <c r="C108" s="52" t="inlineStr">
        <is>
          <t>D14 — Economía circular (Pacto Verde)</t>
        </is>
      </c>
      <c r="D108" s="52" t="inlineStr">
        <is>
          <t>¿La organización gestiona los residuos y subproductos del beneficio (compostaje, reutilización de agua, aprovechamiento de pulpa o cáscara, u otras prácticas de economía circular)?</t>
        </is>
      </c>
      <c r="E108" s="52" t="inlineStr">
        <is>
          <t>Opción múltiple</t>
        </is>
      </c>
      <c r="F108" s="52" t="inlineStr">
        <is>
          <t>No (0) / En transición, prácticas aisladas (1) / Avanzado, procesos establecidos (2)</t>
        </is>
      </c>
      <c r="G108" s="52" t="inlineStr">
        <is>
          <t>`MATRIZ_174!Y` → `ISCAM_Score!AG` → `AI` (ISA-PV)</t>
        </is>
      </c>
      <c r="H108" s="52" t="inlineStr">
        <is>
          <t>v0.4 — nueva</t>
        </is>
      </c>
    </row>
    <row r="109">
      <c r="A109" s="52" t="inlineStr">
        <is>
          <t>Sección 14 — D12–D15: Pacto Verde europeo (alimentan ISA-PV, 30% de ISA-Completo)</t>
        </is>
      </c>
      <c r="B109" s="53" t="inlineStr">
        <is>
          <t>D15.58</t>
        </is>
      </c>
      <c r="C109" s="52" t="inlineStr">
        <is>
          <t>D15 — Fitosanitario / LMR (Pacto Verde)</t>
        </is>
      </c>
      <c r="D109" s="52" t="inlineStr">
        <is>
          <t>¿La organización monitorea residuos de plaguicidas (LMR) en su producto para asegurar el cumplimiento de los límites de la Unión Europea?</t>
        </is>
      </c>
      <c r="E109" s="52" t="inlineStr">
        <is>
          <t>Opción múltiple</t>
        </is>
      </c>
      <c r="F109" s="52" t="inlineStr">
        <is>
          <t>No verificado (0) / En monitoreo interno (1) / Cumple límites UE verificado (2)</t>
        </is>
      </c>
      <c r="G109" s="52" t="inlineStr">
        <is>
          <t>`MATRIZ_174!Z` → `ISCAM_Score!AH` → `AI` (ISA-PV)</t>
        </is>
      </c>
      <c r="H109" s="52" t="inlineStr">
        <is>
          <t>v0.4 — nueva</t>
        </is>
      </c>
    </row>
    <row r="110">
      <c r="A110" s="52" t="inlineStr">
        <is>
          <t>Sección 15 — PPWR: Envases y packaging (Reglamento europeo de envases)</t>
        </is>
      </c>
      <c r="B110" s="53" t="inlineStr">
        <is>
          <t>PP1</t>
        </is>
      </c>
      <c r="C110" s="52" t="inlineStr">
        <is>
          <t>PPWR — Envases y packaging</t>
        </is>
      </c>
      <c r="D110" s="52" t="inlineStr">
        <is>
          <t>¿Qué tipo de sacos de exportación utiliza principalmente?</t>
        </is>
      </c>
      <c r="E110" s="52" t="inlineStr">
        <is>
          <t>Opción múltiple</t>
        </is>
      </c>
      <c r="F110" s="52" t="inlineStr">
        <is>
          <t>Yute reutilizable / Yute nuevo de un solo uso / Big-bag o saco plástico / Saco de papel / Otro (especificar)</t>
        </is>
      </c>
      <c r="G110" s="52" t="inlineStr">
        <is>
          <t>`SCORECARDS!M` (PPWR) + `PONDERADORES!A18`; proxy `tipo_saco`</t>
        </is>
      </c>
      <c r="H110" s="52" t="inlineStr">
        <is>
          <t>v0.4 — nueva</t>
        </is>
      </c>
    </row>
    <row r="111">
      <c r="A111" s="52" t="inlineStr">
        <is>
          <t>Sección 15 — PPWR: Envases y packaging (Reglamento europeo de envases)</t>
        </is>
      </c>
      <c r="B111" s="53" t="inlineStr">
        <is>
          <t>PP2</t>
        </is>
      </c>
      <c r="C111" s="52" t="inlineStr">
        <is>
          <t>PPWR — Envases y packaging</t>
        </is>
      </c>
      <c r="D111" s="52" t="inlineStr">
        <is>
          <t>¿Los sacos de exportación tienen certificación FSC o equivalente?</t>
        </is>
      </c>
      <c r="E111" s="52" t="inlineStr">
        <is>
          <t>Opción múltiple</t>
        </is>
      </c>
      <c r="F111" s="52" t="inlineStr">
        <is>
          <t>Sí / No / No sabe</t>
        </is>
      </c>
      <c r="G111" s="52" t="inlineStr">
        <is>
          <t>`SCORECARDS!M` (PPWR) + `PONDERADORES!A18`; proxy `fsc`</t>
        </is>
      </c>
      <c r="H111" s="52" t="inlineStr">
        <is>
          <t>v0.4 — nueva</t>
        </is>
      </c>
    </row>
    <row r="112">
      <c r="A112" s="52" t="inlineStr">
        <is>
          <t>Sección 16 — Bloque R: Indicadores PVE (columnas P1–P14 de `MATRIZ_174`)</t>
        </is>
      </c>
      <c r="B112" s="53" t="inlineStr">
        <is>
          <t>R1</t>
        </is>
      </c>
      <c r="C112" s="52" t="inlineStr">
        <is>
          <t>Bloque R — Indicadores PVE</t>
        </is>
      </c>
      <c r="D112" s="52" t="inlineStr">
        <is>
          <t>¿Qué porcentaje aproximado de sus socios productores tiene acceso a crédito formal, fondo rotatorio o programa de financiamiento?</t>
        </is>
      </c>
      <c r="E112" s="52" t="inlineStr">
        <is>
          <t>Respuesta corta (validación numérica 0-100)</t>
        </is>
      </c>
      <c r="F112" s="52" t="inlineStr">
        <is>
          <t>—</t>
        </is>
      </c>
      <c r="G112" s="52" t="inlineStr">
        <is>
          <t>`MATRIZ_174!AC` (P3) → `AO` (P_Global)</t>
        </is>
      </c>
      <c r="H112" s="52" t="inlineStr">
        <is>
          <t>v0.4 — nueva</t>
        </is>
      </c>
    </row>
    <row r="113">
      <c r="A113" s="52" t="inlineStr">
        <is>
          <t>Sección 16 — Bloque R: Indicadores PVE (columnas P1–P14 de `MATRIZ_174`)</t>
        </is>
      </c>
      <c r="B113" s="53" t="inlineStr">
        <is>
          <t>R2</t>
        </is>
      </c>
      <c r="C113" s="52" t="inlineStr">
        <is>
          <t>Bloque R — Indicadores PVE</t>
        </is>
      </c>
      <c r="D113" s="52" t="inlineStr">
        <is>
          <t>¿Qué porcentaje de los socios productores trabajadores está formalizado (contrato, planilla o aportación a seguridad social)?</t>
        </is>
      </c>
      <c r="E113" s="52" t="inlineStr">
        <is>
          <t>Respuesta corta (validación numérica 0-100)</t>
        </is>
      </c>
      <c r="F113" s="52" t="inlineStr">
        <is>
          <t>—</t>
        </is>
      </c>
      <c r="G113" s="52" t="inlineStr">
        <is>
          <t>`MATRIZ_174!AE` (P5) → `AO`</t>
        </is>
      </c>
      <c r="H113" s="52" t="inlineStr">
        <is>
          <t>v0.4 — nueva</t>
        </is>
      </c>
    </row>
    <row r="114">
      <c r="A114" s="52" t="inlineStr">
        <is>
          <t>Sección 16 — Bloque R: Indicadores PVE (columnas P1–P14 de `MATRIZ_174`)</t>
        </is>
      </c>
      <c r="B114" s="53" t="inlineStr">
        <is>
          <t>R3</t>
        </is>
      </c>
      <c r="C114" s="52" t="inlineStr">
        <is>
          <t>Bloque R — Indicadores PVE</t>
        </is>
      </c>
      <c r="D114" s="52" t="inlineStr">
        <is>
          <t>¿Cuántas capacitaciones técnicas recibe en promedio cada socio productor al año?</t>
        </is>
      </c>
      <c r="E114" s="52" t="inlineStr">
        <is>
          <t>Respuesta corta (numérica)</t>
        </is>
      </c>
      <c r="F114" s="52" t="inlineStr">
        <is>
          <t>—</t>
        </is>
      </c>
      <c r="G114" s="52" t="inlineStr">
        <is>
          <t>`MATRIZ_174!AF` (P6) → `AO`</t>
        </is>
      </c>
      <c r="H114" s="52" t="inlineStr">
        <is>
          <t>v0.4 — nueva</t>
        </is>
      </c>
    </row>
    <row r="115">
      <c r="A115" s="52" t="inlineStr">
        <is>
          <t>Sección 16 — Bloque R: Indicadores PVE (columnas P1–P14 de `MATRIZ_174`)</t>
        </is>
      </c>
      <c r="B115" s="53" t="inlineStr">
        <is>
          <t>R4</t>
        </is>
      </c>
      <c r="C115" s="52" t="inlineStr">
        <is>
          <t>Bloque R — Indicadores PVE</t>
        </is>
      </c>
      <c r="D115" s="52" t="inlineStr">
        <is>
          <t>¿Qué porcentaje de los socios que tenía hace 3 años siguen activos entregando producto a la organización?</t>
        </is>
      </c>
      <c r="E115" s="52" t="inlineStr">
        <is>
          <t>Respuesta corta (validación numérica 0-100)</t>
        </is>
      </c>
      <c r="F115" s="52" t="inlineStr">
        <is>
          <t>—</t>
        </is>
      </c>
      <c r="G115" s="52" t="inlineStr">
        <is>
          <t>`MATRIZ_174!AG` (P7) → `AO`</t>
        </is>
      </c>
      <c r="H115" s="52" t="inlineStr">
        <is>
          <t>v0.4 — nueva</t>
        </is>
      </c>
    </row>
    <row r="116">
      <c r="A116" s="52" t="inlineStr">
        <is>
          <t>Sección 16 — Bloque R: Indicadores PVE (columnas P1–P14 de `MATRIZ_174`)</t>
        </is>
      </c>
      <c r="B116" s="53" t="inlineStr">
        <is>
          <t>R5</t>
        </is>
      </c>
      <c r="C116" s="52" t="inlineStr">
        <is>
          <t>Bloque R — Indicadores PVE</t>
        </is>
      </c>
      <c r="D116" s="52" t="inlineStr">
        <is>
          <t>¿Qué porcentaje del ingreso total de la organización proviene de productos distintos del café o cacao?</t>
        </is>
      </c>
      <c r="E116" s="52" t="inlineStr">
        <is>
          <t>Respuesta corta (validación numérica 0-100)</t>
        </is>
      </c>
      <c r="F116" s="52" t="inlineStr">
        <is>
          <t>—</t>
        </is>
      </c>
      <c r="G116" s="52" t="inlineStr">
        <is>
          <t>`MATRIZ_174!AH` (P8) → `AO`</t>
        </is>
      </c>
      <c r="H116" s="52" t="inlineStr">
        <is>
          <t>v0.4 — nueva</t>
        </is>
      </c>
    </row>
    <row r="117">
      <c r="A117" s="52" t="inlineStr">
        <is>
          <t>Sección 16 — Bloque R: Indicadores PVE (columnas P1–P14 de `MATRIZ_174`)</t>
        </is>
      </c>
      <c r="B117" s="53" t="inlineStr">
        <is>
          <t>R6</t>
        </is>
      </c>
      <c r="C117" s="52" t="inlineStr">
        <is>
          <t>Bloque R — Indicadores PVE</t>
        </is>
      </c>
      <c r="D117" s="52" t="inlineStr">
        <is>
          <t>¿Qué porcentaje de su volumen se comercializa en mercados premium o con prima (certificado, especial, single origin u otro)?</t>
        </is>
      </c>
      <c r="E117" s="52" t="inlineStr">
        <is>
          <t>Respuesta corta (validación numérica 0-100)</t>
        </is>
      </c>
      <c r="F117" s="52" t="inlineStr">
        <is>
          <t>—</t>
        </is>
      </c>
      <c r="G117" s="52" t="inlineStr">
        <is>
          <t>`MATRIZ_174!AI` (P9) → `AO`</t>
        </is>
      </c>
      <c r="H117" s="52" t="inlineStr">
        <is>
          <t>v0.4 — nueva</t>
        </is>
      </c>
    </row>
    <row r="118">
      <c r="A118" s="52" t="inlineStr">
        <is>
          <t>Sección 16 — Bloque R: Indicadores PVE (columnas P1–P14 de `MATRIZ_174`)</t>
        </is>
      </c>
      <c r="B118" s="53" t="inlineStr">
        <is>
          <t>R7</t>
        </is>
      </c>
      <c r="C118" s="52" t="inlineStr">
        <is>
          <t>Bloque R — Indicadores PVE</t>
        </is>
      </c>
      <c r="D118" s="52" t="inlineStr">
        <is>
          <t>¿Cuánto invirtió la organización en adecuación al EUDR en el último año? (especifique moneda: S/ o USD)</t>
        </is>
      </c>
      <c r="E118" s="52" t="inlineStr">
        <is>
          <t>Respuesta corta</t>
        </is>
      </c>
      <c r="F118" s="52" t="inlineStr">
        <is>
          <t>—</t>
        </is>
      </c>
      <c r="G118" s="52" t="inlineStr">
        <is>
          <t>`MATRIZ_174!AJ` (P10) → `AO`</t>
        </is>
      </c>
      <c r="H118" s="52" t="inlineStr">
        <is>
          <t>v0.4 — nueva</t>
        </is>
      </c>
    </row>
    <row r="119">
      <c r="A119" s="52" t="inlineStr">
        <is>
          <t>Sección 16 — Bloque R: Indicadores PVE (columnas P1–P14 de `MATRIZ_174`)</t>
        </is>
      </c>
      <c r="B119" s="53" t="inlineStr">
        <is>
          <t>R8</t>
        </is>
      </c>
      <c r="C119" s="52" t="inlineStr">
        <is>
          <t>Bloque R — Indicadores PVE</t>
        </is>
      </c>
      <c r="D119" s="52" t="inlineStr">
        <is>
          <t>¿Qué porcentaje de los reclamos o quejas formales de socios presentados en los últimos 2 años fueron resueltos?</t>
        </is>
      </c>
      <c r="E119" s="52" t="inlineStr">
        <is>
          <t>Respuesta corta (validación numérica 0-100)</t>
        </is>
      </c>
      <c r="F119" s="52" t="inlineStr">
        <is>
          <t>—</t>
        </is>
      </c>
      <c r="G119" s="52" t="inlineStr">
        <is>
          <t>`MATRIZ_174!AL` (P12) → `AO`</t>
        </is>
      </c>
      <c r="H119" s="52" t="inlineStr">
        <is>
          <t>v0.4 — nueva</t>
        </is>
      </c>
    </row>
    <row r="120">
      <c r="A120" s="52" t="inlineStr">
        <is>
          <t>Sección 16 — Bloque R: Indicadores PVE (columnas P1–P14 de `MATRIZ_174`)</t>
        </is>
      </c>
      <c r="B120" s="53" t="inlineStr">
        <is>
          <t>R9</t>
        </is>
      </c>
      <c r="C120" s="52" t="inlineStr">
        <is>
          <t>Bloque R — Indicadores PVE</t>
        </is>
      </c>
      <c r="D120" s="52" t="inlineStr">
        <is>
          <t>¿Qué porcentaje de la energía que consume la organización (sede y planta de procesamiento) proviene de fuentes renovables?</t>
        </is>
      </c>
      <c r="E120" s="52" t="inlineStr">
        <is>
          <t>Respuesta corta (validación numérica 0-100)</t>
        </is>
      </c>
      <c r="F120" s="52" t="inlineStr">
        <is>
          <t>—</t>
        </is>
      </c>
      <c r="G120" s="52" t="inlineStr">
        <is>
          <t>`MATRIZ_174!AM` (P13) → `AO`</t>
        </is>
      </c>
      <c r="H120" s="52" t="inlineStr">
        <is>
          <t>v0.4 — nueva</t>
        </is>
      </c>
    </row>
    <row r="121">
      <c r="A121" s="52" t="inlineStr">
        <is>
          <t>Sección 16 — Bloque R: Indicadores PVE (columnas P1–P14 de `MATRIZ_174`)</t>
        </is>
      </c>
      <c r="B121" s="53" t="inlineStr">
        <is>
          <t>R10</t>
        </is>
      </c>
      <c r="C121" s="52" t="inlineStr">
        <is>
          <t>Bloque R — Indicadores PVE</t>
        </is>
      </c>
      <c r="D121" s="52" t="inlineStr">
        <is>
          <t>¿Qué porcentaje de los residuos y subproductos del beneficio se gestionan con tratamiento (compostaje, reciclaje, biogás u otro)?</t>
        </is>
      </c>
      <c r="E121" s="52" t="inlineStr">
        <is>
          <t>Respuesta corta (validación numérica 0-100)</t>
        </is>
      </c>
      <c r="F121" s="52" t="inlineStr">
        <is>
          <t>—</t>
        </is>
      </c>
      <c r="G121" s="52" t="inlineStr">
        <is>
          <t>`MATRIZ_174!AN` (P14) → `AO`</t>
        </is>
      </c>
      <c r="H121" s="52" t="inlineStr">
        <is>
          <t>v0.4 — nueva</t>
        </is>
      </c>
    </row>
    <row r="123" ht="42" customHeight="1" s="37">
      <c r="A123" s="54" t="inlineStr">
        <is>
          <t>Notas: verde = pregunta nueva en v0.4 (30); amarillo = modificada en v0.4 (5). Columnas `MATRIZ_174`, `ISCAM_Score`, `SCORECARDS` y `PONDERADORES` son hojas de este mismo libro. Las 17 columnas D12–D15 no listadas como activas esperan la evaluación de comprensibilidad del técnico de campo (ver `DOC_TRABAJO_Instrumento2_ISCAM_v2.md` §10.2). Fuente: `Instrumentos\Texto para Google Form - Instrumento 2.md`.</t>
        </is>
      </c>
    </row>
  </sheetData>
  <autoFilter ref="A2:H121"/>
  <mergeCells count="2">
    <mergeCell ref="A123:H1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:AL1"/>
    </sheetView>
  </sheetViews>
  <sheetFormatPr baseColWidth="10" defaultColWidth="8.88671875" defaultRowHeight="14.4"/>
  <cols>
    <col width="14" customWidth="1" style="37" min="1" max="1"/>
    <col width="30" customWidth="1" style="37" min="2" max="2"/>
    <col width="12" customWidth="1" style="37" min="3" max="3"/>
    <col width="16" customWidth="1" style="37" min="4" max="4"/>
    <col width="13" customWidth="1" style="37" min="5" max="25"/>
    <col width="17" customWidth="1" style="37" min="26" max="28"/>
    <col width="22" customWidth="1" style="37" min="29" max="29"/>
    <col width="20" customWidth="1" style="37" min="30" max="30"/>
    <col width="13" customWidth="1" style="37" min="31" max="38"/>
  </cols>
  <sheetData>
    <row r="1" ht="30" customHeight="1" s="37">
      <c r="A1" s="38" t="inlineStr">
        <is>
          <t>ISCAM — ISA-Completo = 0.70×ISA-EUDR + 0.30×ISA-PV  |  IP × IV → RE  |  Café y Cacao Perú — 174 organizaciones</t>
        </is>
      </c>
    </row>
    <row r="2" ht="22.05" customHeight="1" s="37">
      <c r="A2" s="43" t="inlineStr">
        <is>
          <t>ISA-Completo = 0.70×ISA-EUDR + 0.30×ISA-PV   |   ISA-EUDR = 0.875×Núcleo(D1–D7, geom.) + 0.125×Extendido(D8–D9, arit.)   |   ISA-PV = Promedio(D12:D15)   |   IP = Promedio(IP1..IP5)   |   IV = Promedio(IV1..IV5)   |   RE = IV×(1−IP/100)   |   Corte 2×2: 50</t>
        </is>
      </c>
    </row>
    <row r="3" ht="54" customHeight="1" s="37">
      <c r="A3" s="1" t="inlineStr">
        <is>
          <t>RUC</t>
        </is>
      </c>
      <c r="B3" s="1" t="inlineStr">
        <is>
          <t>Razón Social</t>
        </is>
      </c>
      <c r="C3" s="1" t="inlineStr">
        <is>
          <t>Depto</t>
        </is>
      </c>
      <c r="D3" s="1" t="inlineStr">
        <is>
          <t>FOB UE USD</t>
        </is>
      </c>
      <c r="E3" s="2" t="inlineStr">
        <is>
          <t>D1 — Clasific.
Regulatoria</t>
        </is>
      </c>
      <c r="F3" s="3" t="inlineStr">
        <is>
          <t>D2 — Trazabilidad
(SCORECARDS H)</t>
        </is>
      </c>
      <c r="G3" s="3" t="inlineStr">
        <is>
          <t>D3 — Legalidad
(OSCE/Neon)</t>
        </is>
      </c>
      <c r="H3" s="2" t="inlineStr">
        <is>
          <t>D4 — Deforestación
Cero</t>
        </is>
      </c>
      <c r="I3" s="3" t="inlineStr">
        <is>
          <t>D5 — Diligencia
Debida</t>
        </is>
      </c>
      <c r="J3" s="3" t="inlineStr">
        <is>
          <t>D6 — Capacidad
Digital</t>
        </is>
      </c>
      <c r="K3" s="2" t="inlineStr">
        <is>
          <t>D7 — Presión
Comprador</t>
        </is>
      </c>
      <c r="L3" s="2" t="inlineStr">
        <is>
          <t>D8 — Gobernanza</t>
        </is>
      </c>
      <c r="M3" s="2" t="inlineStr">
        <is>
          <t>D9 — Riesgo
Financiero</t>
        </is>
      </c>
      <c r="N3" s="2" t="inlineStr">
        <is>
          <t>D10 — Certificac.</t>
        </is>
      </c>
      <c r="O3" s="2" t="inlineStr">
        <is>
          <t>D11 — Ecosistema
(inventario, no promedia)</t>
        </is>
      </c>
      <c r="P3" s="4" t="inlineStr">
        <is>
          <t>IP1
Trazabilidad
D2</t>
        </is>
      </c>
      <c r="Q3" s="4" t="inlineStr">
        <is>
          <t>IP2
√(D3×D4)</t>
        </is>
      </c>
      <c r="R3" s="4" t="inlineStr">
        <is>
          <t>IP3
(D5+D6+D8)/3</t>
        </is>
      </c>
      <c r="S3" s="4" t="inlineStr">
        <is>
          <t>IP4
(D6+D2)/2</t>
        </is>
      </c>
      <c r="T3" s="4" t="inlineStr">
        <is>
          <t>IP5
(D7+D9+Cert)/3</t>
        </is>
      </c>
      <c r="U3" s="5" t="inlineStr">
        <is>
          <t>IV1
Exposición UE
(% FOB UE)</t>
        </is>
      </c>
      <c r="V3" s="5" t="inlineStr">
        <is>
          <t>IV2
D1 (base=50)</t>
        </is>
      </c>
      <c r="W3" s="5" t="inlineStr">
        <is>
          <t>IV3
Parcela ha/socio
(sin dato→65)</t>
        </is>
      </c>
      <c r="X3" s="5" t="inlineStr">
        <is>
          <t>IV4
Cert=0? → 70:30</t>
        </is>
      </c>
      <c r="Y3" s="5" t="inlineStr">
        <is>
          <t>IV5
Tipo Asoc → 65:40</t>
        </is>
      </c>
      <c r="Z3" s="6" t="inlineStr">
        <is>
          <t>IP
Preparación</t>
        </is>
      </c>
      <c r="AA3" s="7" t="inlineStr">
        <is>
          <t>IV
Vulnerabilidad</t>
        </is>
      </c>
      <c r="AB3" s="8" t="inlineStr">
        <is>
          <t>RE
Exclusión</t>
        </is>
      </c>
      <c r="AC3" s="9" t="inlineStr">
        <is>
          <t>Tipología
2×2 ISCAM</t>
        </is>
      </c>
      <c r="AD3" s="8" t="inlineStr">
        <is>
          <t>Banderas
Duras</t>
        </is>
      </c>
      <c r="AE3" s="10" t="inlineStr">
        <is>
          <t>D12
Huella Carbono</t>
        </is>
      </c>
      <c r="AF3" s="10" t="inlineStr">
        <is>
          <t>D13
Reporte Sostenib.</t>
        </is>
      </c>
      <c r="AG3" s="10" t="inlineStr">
        <is>
          <t>D14
Economía Circular</t>
        </is>
      </c>
      <c r="AH3" s="10" t="inlineStr">
        <is>
          <t>D15
Fitosanitario</t>
        </is>
      </c>
      <c r="AI3" s="11" t="inlineStr">
        <is>
          <t>ISA-PV
Promedio D12:D15</t>
        </is>
      </c>
      <c r="AJ3" s="12" t="inlineStr">
        <is>
          <t>P_Global
Promedio P1:P14</t>
        </is>
      </c>
      <c r="AK3" s="4" t="inlineStr">
        <is>
          <t>ISA-EUDR
Geom.D1–D7
+ Arit.D8–D9</t>
        </is>
      </c>
      <c r="AL3" s="6" t="inlineStr">
        <is>
          <t>ISA-Completo
0.70×EUDR
+0.30×PV</t>
        </is>
      </c>
    </row>
    <row r="4" ht="16.05" customHeight="1" s="37">
      <c r="A4" s="13" t="inlineStr">
        <is>
          <t>20118578415</t>
        </is>
      </c>
      <c r="B4" s="14" t="inlineStr">
        <is>
          <t>CENT.DE COOP.AGR. CAF.VALLES SANDIA LTDA</t>
        </is>
      </c>
      <c r="C4" s="13" t="inlineStr">
        <is>
          <t>PUNO</t>
        </is>
      </c>
      <c r="D4" s="15" t="n">
        <v>2553623.31</v>
      </c>
      <c r="E4" s="16" t="n">
        <v>0</v>
      </c>
      <c r="F4" s="17">
        <f>IFERROR(SCORECARDS!H3,"")</f>
        <v/>
      </c>
      <c r="G4" s="17">
        <f>IFERROR(MATRIZ_174!U3,0)</f>
        <v/>
      </c>
      <c r="H4" s="16" t="n">
        <v>0</v>
      </c>
      <c r="I4" s="17">
        <f>IFERROR(SCORECARDS!I3,"")</f>
        <v/>
      </c>
      <c r="J4" s="17">
        <f>IFERROR(SCORECARDS!J3,"")</f>
        <v/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7">
        <f>IFERROR(F4,0)</f>
        <v/>
      </c>
      <c r="Q4" s="17">
        <f>IFERROR(SQRT(G4*H4),0)</f>
        <v/>
      </c>
      <c r="R4" s="17">
        <f>IFERROR((I4+J4+L4)/3,0)</f>
        <v/>
      </c>
      <c r="S4" s="17">
        <f>IFERROR((J4+F4)/2,0)</f>
        <v/>
      </c>
      <c r="T4" s="17">
        <f>IFERROR((K4+M4+MATRIZ_174!O3)/3,0)</f>
        <v/>
      </c>
      <c r="U4" s="18">
        <f>IFERROR(MIN(100,ROUND(MATRIZ_174!M3,1)),0)</f>
        <v/>
      </c>
      <c r="V4" s="18">
        <f>IFERROR(IF(E4=0,50,E4),0)</f>
        <v/>
      </c>
      <c r="W4" s="18">
        <f>IFERROR(IF(MATRIZ_174!R3=0,65,IF(MATRIZ_174!R3/MATRIZ_174!Q3&gt;=2,35,IF(MATRIZ_174!R3/MATRIZ_174!Q3&gt;=0.5,50,65))),65)</f>
        <v/>
      </c>
      <c r="X4" s="18">
        <f>IF(MATRIZ_174!O3=0,70,30)</f>
        <v/>
      </c>
      <c r="Y4" s="18">
        <f>IF(OR(MATRIZ_174!P3="ASOCIACION",MATRIZ_174!P3="PENDIENTE"),65,40)</f>
        <v/>
      </c>
      <c r="Z4" s="19">
        <f>IFERROR(ROUND(AVERAGE(P4,Q4,R4,S4,T4),1),0)</f>
        <v/>
      </c>
      <c r="AA4" s="20">
        <f>IFERROR(ROUND(AVERAGE(U4,V4,W4,X4,Y4),1),0)</f>
        <v/>
      </c>
      <c r="AB4" s="21">
        <f>IFERROR(ROUND(AA4*(1-Z4/100),1),0)</f>
        <v/>
      </c>
      <c r="AC4" s="13">
        <f>IF(AND(Z4&gt;=50,AA4&lt;50),"🟢  Resilientes",IF(AND(Z4&gt;=50,AA4&gt;=50),"🟠  Expuestas Adaptables",IF(AND(Z4&lt;50,AA4&lt;50),"⬜  Riesgo Latente","🔴  Riesgo Crítico")))</f>
        <v/>
      </c>
      <c r="AD4" s="13">
        <f>IF(G4=0,"🚫  Inh. vigente OSCE","")</f>
        <v/>
      </c>
      <c r="AE4" s="22">
        <f>IFERROR(MATRIZ_174!W3,0)</f>
        <v/>
      </c>
      <c r="AF4" s="22">
        <f>IFERROR(MATRIZ_174!X3,0)</f>
        <v/>
      </c>
      <c r="AG4" s="22">
        <f>IFERROR(MATRIZ_174!Y3,0)</f>
        <v/>
      </c>
      <c r="AH4" s="22">
        <f>IFERROR(MATRIZ_174!Z3,0)</f>
        <v/>
      </c>
      <c r="AI4" s="17">
        <f>IFERROR(MATRIZ_174!AP3,"N/A")</f>
        <v/>
      </c>
      <c r="AJ4" s="17">
        <f>IFERROR(MATRIZ_174!AO3,"N/A")</f>
        <v/>
      </c>
      <c r="AK4" s="23">
        <f>IFERROR(ROUND(POWER((E4*F4*G4*H4*I4*J4*K4),1/7)*0.875+((L4+M4)/2)*0.125,1),"N/A")</f>
        <v/>
      </c>
      <c r="AL4" s="24">
        <f>IFERROR(IF(OR(AK4="N/A",AI4="N/A"),"N/A",ROUND(0.7*AK4+0.3*AI4*100,1)),"N/A")</f>
        <v/>
      </c>
    </row>
    <row r="5" ht="16.05" customHeight="1" s="37">
      <c r="A5" s="13" t="inlineStr">
        <is>
          <t>20129156083</t>
        </is>
      </c>
      <c r="B5" s="14" t="inlineStr">
        <is>
          <t>COOP AGRARIA CAFET VALLE RIO APURIMAC</t>
        </is>
      </c>
      <c r="C5" s="13" t="inlineStr">
        <is>
          <t>AYACUCHO</t>
        </is>
      </c>
      <c r="D5" s="15" t="n">
        <v>0</v>
      </c>
      <c r="E5" s="16" t="n">
        <v>0</v>
      </c>
      <c r="F5" s="17">
        <f>IFERROR(SCORECARDS!H4,"")</f>
        <v/>
      </c>
      <c r="G5" s="17">
        <f>IFERROR(MATRIZ_174!U4,0)</f>
        <v/>
      </c>
      <c r="H5" s="16" t="n">
        <v>0</v>
      </c>
      <c r="I5" s="17">
        <f>IFERROR(SCORECARDS!I4,"")</f>
        <v/>
      </c>
      <c r="J5" s="17">
        <f>IFERROR(SCORECARDS!J4,"")</f>
        <v/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7">
        <f>IFERROR(F5,0)</f>
        <v/>
      </c>
      <c r="Q5" s="17">
        <f>IFERROR(SQRT(G5*H5),0)</f>
        <v/>
      </c>
      <c r="R5" s="17">
        <f>IFERROR((I5+J5+L5)/3,0)</f>
        <v/>
      </c>
      <c r="S5" s="17">
        <f>IFERROR((J5+F5)/2,0)</f>
        <v/>
      </c>
      <c r="T5" s="17">
        <f>IFERROR((K5+M5+MATRIZ_174!O4)/3,0)</f>
        <v/>
      </c>
      <c r="U5" s="18">
        <f>IFERROR(MIN(100,ROUND(MATRIZ_174!M4,1)),0)</f>
        <v/>
      </c>
      <c r="V5" s="18">
        <f>IFERROR(IF(E5=0,50,E5),0)</f>
        <v/>
      </c>
      <c r="W5" s="18">
        <f>IFERROR(IF(MATRIZ_174!R4=0,65,IF(MATRIZ_174!R4/MATRIZ_174!Q4&gt;=2,35,IF(MATRIZ_174!R4/MATRIZ_174!Q4&gt;=0.5,50,65))),65)</f>
        <v/>
      </c>
      <c r="X5" s="18">
        <f>IF(MATRIZ_174!O4=0,70,30)</f>
        <v/>
      </c>
      <c r="Y5" s="18">
        <f>IF(OR(MATRIZ_174!P4="ASOCIACION",MATRIZ_174!P4="PENDIENTE"),65,40)</f>
        <v/>
      </c>
      <c r="Z5" s="19">
        <f>IFERROR(ROUND(AVERAGE(P5,Q5,R5,S5,T5),1),0)</f>
        <v/>
      </c>
      <c r="AA5" s="20">
        <f>IFERROR(ROUND(AVERAGE(U5,V5,W5,X5,Y5),1),0)</f>
        <v/>
      </c>
      <c r="AB5" s="21">
        <f>IFERROR(ROUND(AA5*(1-Z5/100),1),0)</f>
        <v/>
      </c>
      <c r="AC5" s="13">
        <f>IF(AND(Z5&gt;=50,AA5&lt;50),"🟢  Resilientes",IF(AND(Z5&gt;=50,AA5&gt;=50),"🟠  Expuestas Adaptables",IF(AND(Z5&lt;50,AA5&lt;50),"⬜  Riesgo Latente","🔴  Riesgo Crítico")))</f>
        <v/>
      </c>
      <c r="AD5" s="13">
        <f>IF(G5=0,"🚫  Inh. vigente OSCE","")</f>
        <v/>
      </c>
      <c r="AE5" s="22">
        <f>IFERROR(MATRIZ_174!W4,0)</f>
        <v/>
      </c>
      <c r="AF5" s="22">
        <f>IFERROR(MATRIZ_174!X4,0)</f>
        <v/>
      </c>
      <c r="AG5" s="22">
        <f>IFERROR(MATRIZ_174!Y4,0)</f>
        <v/>
      </c>
      <c r="AH5" s="22">
        <f>IFERROR(MATRIZ_174!Z4,0)</f>
        <v/>
      </c>
      <c r="AI5" s="17">
        <f>IFERROR(MATRIZ_174!AP4,"N/A")</f>
        <v/>
      </c>
      <c r="AJ5" s="17">
        <f>IFERROR(MATRIZ_174!AO4,"N/A")</f>
        <v/>
      </c>
      <c r="AK5" s="23">
        <f>IFERROR(ROUND(POWER((E5*F5*G5*H5*I5*J5*K5),1/7)*0.875+((L5+M5)/2)*0.125,1),"N/A")</f>
        <v/>
      </c>
      <c r="AL5" s="24">
        <f>IFERROR(IF(OR(AK5="N/A",AI5="N/A"),"N/A",ROUND(0.7*AK5+0.3*AI5*100,1)),"N/A")</f>
        <v/>
      </c>
    </row>
    <row r="6" ht="16.05" customHeight="1" s="37">
      <c r="A6" s="13" t="inlineStr">
        <is>
          <t>20129529530</t>
        </is>
      </c>
      <c r="B6" s="14" t="inlineStr">
        <is>
          <t>COOP AGRARIA CAFETALERA SATIPO LTDA</t>
        </is>
      </c>
      <c r="C6" s="13" t="inlineStr">
        <is>
          <t>JUNIN</t>
        </is>
      </c>
      <c r="D6" s="15" t="n">
        <v>4801984.06</v>
      </c>
      <c r="E6" s="16" t="n">
        <v>0</v>
      </c>
      <c r="F6" s="17">
        <f>IFERROR(SCORECARDS!H5,"")</f>
        <v/>
      </c>
      <c r="G6" s="17">
        <f>IFERROR(MATRIZ_174!U5,0)</f>
        <v/>
      </c>
      <c r="H6" s="16" t="n">
        <v>0</v>
      </c>
      <c r="I6" s="17">
        <f>IFERROR(SCORECARDS!I5,"")</f>
        <v/>
      </c>
      <c r="J6" s="17">
        <f>IFERROR(SCORECARDS!J5,"")</f>
        <v/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7">
        <f>IFERROR(F6,0)</f>
        <v/>
      </c>
      <c r="Q6" s="17">
        <f>IFERROR(SQRT(G6*H6),0)</f>
        <v/>
      </c>
      <c r="R6" s="17">
        <f>IFERROR((I6+J6+L6)/3,0)</f>
        <v/>
      </c>
      <c r="S6" s="17">
        <f>IFERROR((J6+F6)/2,0)</f>
        <v/>
      </c>
      <c r="T6" s="17">
        <f>IFERROR((K6+M6+MATRIZ_174!O5)/3,0)</f>
        <v/>
      </c>
      <c r="U6" s="18">
        <f>IFERROR(MIN(100,ROUND(MATRIZ_174!M5,1)),0)</f>
        <v/>
      </c>
      <c r="V6" s="18">
        <f>IFERROR(IF(E6=0,50,E6),0)</f>
        <v/>
      </c>
      <c r="W6" s="18">
        <f>IFERROR(IF(MATRIZ_174!R5=0,65,IF(MATRIZ_174!R5/MATRIZ_174!Q5&gt;=2,35,IF(MATRIZ_174!R5/MATRIZ_174!Q5&gt;=0.5,50,65))),65)</f>
        <v/>
      </c>
      <c r="X6" s="18">
        <f>IF(MATRIZ_174!O5=0,70,30)</f>
        <v/>
      </c>
      <c r="Y6" s="18">
        <f>IF(OR(MATRIZ_174!P5="ASOCIACION",MATRIZ_174!P5="PENDIENTE"),65,40)</f>
        <v/>
      </c>
      <c r="Z6" s="19">
        <f>IFERROR(ROUND(AVERAGE(P6,Q6,R6,S6,T6),1),0)</f>
        <v/>
      </c>
      <c r="AA6" s="20">
        <f>IFERROR(ROUND(AVERAGE(U6,V6,W6,X6,Y6),1),0)</f>
        <v/>
      </c>
      <c r="AB6" s="21">
        <f>IFERROR(ROUND(AA6*(1-Z6/100),1),0)</f>
        <v/>
      </c>
      <c r="AC6" s="13">
        <f>IF(AND(Z6&gt;=50,AA6&lt;50),"🟢  Resilientes",IF(AND(Z6&gt;=50,AA6&gt;=50),"🟠  Expuestas Adaptables",IF(AND(Z6&lt;50,AA6&lt;50),"⬜  Riesgo Latente","🔴  Riesgo Crítico")))</f>
        <v/>
      </c>
      <c r="AD6" s="13">
        <f>IF(G6=0,"🚫  Inh. vigente OSCE","")</f>
        <v/>
      </c>
      <c r="AE6" s="22">
        <f>IFERROR(MATRIZ_174!W5,0)</f>
        <v/>
      </c>
      <c r="AF6" s="22">
        <f>IFERROR(MATRIZ_174!X5,0)</f>
        <v/>
      </c>
      <c r="AG6" s="22">
        <f>IFERROR(MATRIZ_174!Y5,0)</f>
        <v/>
      </c>
      <c r="AH6" s="22">
        <f>IFERROR(MATRIZ_174!Z5,0)</f>
        <v/>
      </c>
      <c r="AI6" s="17">
        <f>IFERROR(MATRIZ_174!AP5,"N/A")</f>
        <v/>
      </c>
      <c r="AJ6" s="17">
        <f>IFERROR(MATRIZ_174!AO5,"N/A")</f>
        <v/>
      </c>
      <c r="AK6" s="23">
        <f>IFERROR(ROUND(POWER((E6*F6*G6*H6*I6*J6*K6),1/7)*0.875+((L6+M6)/2)*0.125,1),"N/A")</f>
        <v/>
      </c>
      <c r="AL6" s="24">
        <f>IFERROR(IF(OR(AK6="N/A",AI6="N/A"),"N/A",ROUND(0.7*AK6+0.3*AI6*100,1)),"N/A")</f>
        <v/>
      </c>
    </row>
    <row r="7" ht="16.05" customHeight="1" s="37">
      <c r="A7" s="13" t="inlineStr">
        <is>
          <t>20132489824</t>
        </is>
      </c>
      <c r="B7" s="14" t="inlineStr">
        <is>
          <t>COOPERATIVA AGRARIA CAFETALERA CHANCAMAYO LTDA. N° 008-B-VII</t>
        </is>
      </c>
      <c r="C7" s="13" t="inlineStr">
        <is>
          <t>CUSCO</t>
        </is>
      </c>
      <c r="D7" s="15" t="n">
        <v>0</v>
      </c>
      <c r="E7" s="16" t="n">
        <v>0</v>
      </c>
      <c r="F7" s="17">
        <f>IFERROR(SCORECARDS!H6,"")</f>
        <v/>
      </c>
      <c r="G7" s="17">
        <f>IFERROR(MATRIZ_174!U6,0)</f>
        <v/>
      </c>
      <c r="H7" s="16" t="n">
        <v>0</v>
      </c>
      <c r="I7" s="17">
        <f>IFERROR(SCORECARDS!I6,"")</f>
        <v/>
      </c>
      <c r="J7" s="17">
        <f>IFERROR(SCORECARDS!J6,"")</f>
        <v/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7">
        <f>IFERROR(F7,0)</f>
        <v/>
      </c>
      <c r="Q7" s="17">
        <f>IFERROR(SQRT(G7*H7),0)</f>
        <v/>
      </c>
      <c r="R7" s="17">
        <f>IFERROR((I7+J7+L7)/3,0)</f>
        <v/>
      </c>
      <c r="S7" s="17">
        <f>IFERROR((J7+F7)/2,0)</f>
        <v/>
      </c>
      <c r="T7" s="17">
        <f>IFERROR((K7+M7+MATRIZ_174!O6)/3,0)</f>
        <v/>
      </c>
      <c r="U7" s="18">
        <f>IFERROR(MIN(100,ROUND(MATRIZ_174!M6,1)),0)</f>
        <v/>
      </c>
      <c r="V7" s="18">
        <f>IFERROR(IF(E7=0,50,E7),0)</f>
        <v/>
      </c>
      <c r="W7" s="18">
        <f>IFERROR(IF(MATRIZ_174!R6=0,65,IF(MATRIZ_174!R6/MATRIZ_174!Q6&gt;=2,35,IF(MATRIZ_174!R6/MATRIZ_174!Q6&gt;=0.5,50,65))),65)</f>
        <v/>
      </c>
      <c r="X7" s="18">
        <f>IF(MATRIZ_174!O6=0,70,30)</f>
        <v/>
      </c>
      <c r="Y7" s="18">
        <f>IF(OR(MATRIZ_174!P6="ASOCIACION",MATRIZ_174!P6="PENDIENTE"),65,40)</f>
        <v/>
      </c>
      <c r="Z7" s="19">
        <f>IFERROR(ROUND(AVERAGE(P7,Q7,R7,S7,T7),1),0)</f>
        <v/>
      </c>
      <c r="AA7" s="20">
        <f>IFERROR(ROUND(AVERAGE(U7,V7,W7,X7,Y7),1),0)</f>
        <v/>
      </c>
      <c r="AB7" s="21">
        <f>IFERROR(ROUND(AA7*(1-Z7/100),1),0)</f>
        <v/>
      </c>
      <c r="AC7" s="13">
        <f>IF(AND(Z7&gt;=50,AA7&lt;50),"🟢  Resilientes",IF(AND(Z7&gt;=50,AA7&gt;=50),"🟠  Expuestas Adaptables",IF(AND(Z7&lt;50,AA7&lt;50),"⬜  Riesgo Latente","🔴  Riesgo Crítico")))</f>
        <v/>
      </c>
      <c r="AD7" s="13">
        <f>IF(G7=0,"🚫  Inh. vigente OSCE","")</f>
        <v/>
      </c>
      <c r="AE7" s="22">
        <f>IFERROR(MATRIZ_174!W6,0)</f>
        <v/>
      </c>
      <c r="AF7" s="22">
        <f>IFERROR(MATRIZ_174!X6,0)</f>
        <v/>
      </c>
      <c r="AG7" s="22">
        <f>IFERROR(MATRIZ_174!Y6,0)</f>
        <v/>
      </c>
      <c r="AH7" s="22">
        <f>IFERROR(MATRIZ_174!Z6,0)</f>
        <v/>
      </c>
      <c r="AI7" s="17">
        <f>IFERROR(MATRIZ_174!AP6,"N/A")</f>
        <v/>
      </c>
      <c r="AJ7" s="17">
        <f>IFERROR(MATRIZ_174!AO6,"N/A")</f>
        <v/>
      </c>
      <c r="AK7" s="23">
        <f>IFERROR(ROUND(POWER((E7*F7*G7*H7*I7*J7*K7),1/7)*0.875+((L7+M7)/2)*0.125,1),"N/A")</f>
        <v/>
      </c>
      <c r="AL7" s="24">
        <f>IFERROR(IF(OR(AK7="N/A",AI7="N/A"),"N/A",ROUND(0.7*AK7+0.3*AI7*100,1)),"N/A")</f>
        <v/>
      </c>
    </row>
    <row r="8" ht="16.05" customHeight="1" s="37">
      <c r="A8" s="13" t="inlineStr">
        <is>
          <t>20132505455</t>
        </is>
      </c>
      <c r="B8" s="14" t="inlineStr">
        <is>
          <t>COOPERATIVA AGRARIA CAFETALERA AGUILAYOC LTDA. 084</t>
        </is>
      </c>
      <c r="C8" s="13" t="inlineStr">
        <is>
          <t>CUSCO</t>
        </is>
      </c>
      <c r="D8" s="15" t="n">
        <v>0</v>
      </c>
      <c r="E8" s="16" t="n">
        <v>0</v>
      </c>
      <c r="F8" s="17">
        <f>IFERROR(SCORECARDS!H7,"")</f>
        <v/>
      </c>
      <c r="G8" s="17">
        <f>IFERROR(MATRIZ_174!U7,0)</f>
        <v/>
      </c>
      <c r="H8" s="16" t="n">
        <v>0</v>
      </c>
      <c r="I8" s="17">
        <f>IFERROR(SCORECARDS!I7,"")</f>
        <v/>
      </c>
      <c r="J8" s="17">
        <f>IFERROR(SCORECARDS!J7,"")</f>
        <v/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7">
        <f>IFERROR(F8,0)</f>
        <v/>
      </c>
      <c r="Q8" s="17">
        <f>IFERROR(SQRT(G8*H8),0)</f>
        <v/>
      </c>
      <c r="R8" s="17">
        <f>IFERROR((I8+J8+L8)/3,0)</f>
        <v/>
      </c>
      <c r="S8" s="17">
        <f>IFERROR((J8+F8)/2,0)</f>
        <v/>
      </c>
      <c r="T8" s="17">
        <f>IFERROR((K8+M8+MATRIZ_174!O7)/3,0)</f>
        <v/>
      </c>
      <c r="U8" s="18">
        <f>IFERROR(MIN(100,ROUND(MATRIZ_174!M7,1)),0)</f>
        <v/>
      </c>
      <c r="V8" s="18">
        <f>IFERROR(IF(E8=0,50,E8),0)</f>
        <v/>
      </c>
      <c r="W8" s="18">
        <f>IFERROR(IF(MATRIZ_174!R7=0,65,IF(MATRIZ_174!R7/MATRIZ_174!Q7&gt;=2,35,IF(MATRIZ_174!R7/MATRIZ_174!Q7&gt;=0.5,50,65))),65)</f>
        <v/>
      </c>
      <c r="X8" s="18">
        <f>IF(MATRIZ_174!O7=0,70,30)</f>
        <v/>
      </c>
      <c r="Y8" s="18">
        <f>IF(OR(MATRIZ_174!P7="ASOCIACION",MATRIZ_174!P7="PENDIENTE"),65,40)</f>
        <v/>
      </c>
      <c r="Z8" s="19">
        <f>IFERROR(ROUND(AVERAGE(P8,Q8,R8,S8,T8),1),0)</f>
        <v/>
      </c>
      <c r="AA8" s="20">
        <f>IFERROR(ROUND(AVERAGE(U8,V8,W8,X8,Y8),1),0)</f>
        <v/>
      </c>
      <c r="AB8" s="21">
        <f>IFERROR(ROUND(AA8*(1-Z8/100),1),0)</f>
        <v/>
      </c>
      <c r="AC8" s="13">
        <f>IF(AND(Z8&gt;=50,AA8&lt;50),"🟢  Resilientes",IF(AND(Z8&gt;=50,AA8&gt;=50),"🟠  Expuestas Adaptables",IF(AND(Z8&lt;50,AA8&lt;50),"⬜  Riesgo Latente","🔴  Riesgo Crítico")))</f>
        <v/>
      </c>
      <c r="AD8" s="13">
        <f>IF(G8=0,"🚫  Inh. vigente OSCE","")</f>
        <v/>
      </c>
      <c r="AE8" s="22">
        <f>IFERROR(MATRIZ_174!W7,0)</f>
        <v/>
      </c>
      <c r="AF8" s="22">
        <f>IFERROR(MATRIZ_174!X7,0)</f>
        <v/>
      </c>
      <c r="AG8" s="22">
        <f>IFERROR(MATRIZ_174!Y7,0)</f>
        <v/>
      </c>
      <c r="AH8" s="22">
        <f>IFERROR(MATRIZ_174!Z7,0)</f>
        <v/>
      </c>
      <c r="AI8" s="17">
        <f>IFERROR(MATRIZ_174!AP7,"N/A")</f>
        <v/>
      </c>
      <c r="AJ8" s="17">
        <f>IFERROR(MATRIZ_174!AO7,"N/A")</f>
        <v/>
      </c>
      <c r="AK8" s="23">
        <f>IFERROR(ROUND(POWER((E8*F8*G8*H8*I8*J8*K8),1/7)*0.875+((L8+M8)/2)*0.125,1),"N/A")</f>
        <v/>
      </c>
      <c r="AL8" s="24">
        <f>IFERROR(IF(OR(AK8="N/A",AI8="N/A"),"N/A",ROUND(0.7*AK8+0.3*AI8*100,1)),"N/A")</f>
        <v/>
      </c>
    </row>
    <row r="9" ht="16.05" customHeight="1" s="37">
      <c r="A9" s="13" t="inlineStr">
        <is>
          <t>20132509795</t>
        </is>
      </c>
      <c r="B9" s="14" t="inlineStr">
        <is>
          <t>COOPERATIVA AGRARIA CAFETALERA JOSE OLAYA LTDA N° 252</t>
        </is>
      </c>
      <c r="C9" s="13" t="inlineStr">
        <is>
          <t>CUSCO</t>
        </is>
      </c>
      <c r="D9" s="15" t="n">
        <v>1238541.75</v>
      </c>
      <c r="E9" s="16" t="n">
        <v>0</v>
      </c>
      <c r="F9" s="17">
        <f>IFERROR(SCORECARDS!H8,"")</f>
        <v/>
      </c>
      <c r="G9" s="17">
        <f>IFERROR(MATRIZ_174!U8,0)</f>
        <v/>
      </c>
      <c r="H9" s="16" t="n">
        <v>0</v>
      </c>
      <c r="I9" s="17">
        <f>IFERROR(SCORECARDS!I8,"")</f>
        <v/>
      </c>
      <c r="J9" s="17">
        <f>IFERROR(SCORECARDS!J8,"")</f>
        <v/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7">
        <f>IFERROR(F9,0)</f>
        <v/>
      </c>
      <c r="Q9" s="17">
        <f>IFERROR(SQRT(G9*H9),0)</f>
        <v/>
      </c>
      <c r="R9" s="17">
        <f>IFERROR((I9+J9+L9)/3,0)</f>
        <v/>
      </c>
      <c r="S9" s="17">
        <f>IFERROR((J9+F9)/2,0)</f>
        <v/>
      </c>
      <c r="T9" s="17">
        <f>IFERROR((K9+M9+MATRIZ_174!O8)/3,0)</f>
        <v/>
      </c>
      <c r="U9" s="18">
        <f>IFERROR(MIN(100,ROUND(MATRIZ_174!M8,1)),0)</f>
        <v/>
      </c>
      <c r="V9" s="18">
        <f>IFERROR(IF(E9=0,50,E9),0)</f>
        <v/>
      </c>
      <c r="W9" s="18">
        <f>IFERROR(IF(MATRIZ_174!R8=0,65,IF(MATRIZ_174!R8/MATRIZ_174!Q8&gt;=2,35,IF(MATRIZ_174!R8/MATRIZ_174!Q8&gt;=0.5,50,65))),65)</f>
        <v/>
      </c>
      <c r="X9" s="18">
        <f>IF(MATRIZ_174!O8=0,70,30)</f>
        <v/>
      </c>
      <c r="Y9" s="18">
        <f>IF(OR(MATRIZ_174!P8="ASOCIACION",MATRIZ_174!P8="PENDIENTE"),65,40)</f>
        <v/>
      </c>
      <c r="Z9" s="19">
        <f>IFERROR(ROUND(AVERAGE(P9,Q9,R9,S9,T9),1),0)</f>
        <v/>
      </c>
      <c r="AA9" s="20">
        <f>IFERROR(ROUND(AVERAGE(U9,V9,W9,X9,Y9),1),0)</f>
        <v/>
      </c>
      <c r="AB9" s="21">
        <f>IFERROR(ROUND(AA9*(1-Z9/100),1),0)</f>
        <v/>
      </c>
      <c r="AC9" s="13">
        <f>IF(AND(Z9&gt;=50,AA9&lt;50),"🟢  Resilientes",IF(AND(Z9&gt;=50,AA9&gt;=50),"🟠  Expuestas Adaptables",IF(AND(Z9&lt;50,AA9&lt;50),"⬜  Riesgo Latente","🔴  Riesgo Crítico")))</f>
        <v/>
      </c>
      <c r="AD9" s="13">
        <f>IF(G9=0,"🚫  Inh. vigente OSCE","")</f>
        <v/>
      </c>
      <c r="AE9" s="22">
        <f>IFERROR(MATRIZ_174!W8,0)</f>
        <v/>
      </c>
      <c r="AF9" s="22">
        <f>IFERROR(MATRIZ_174!X8,0)</f>
        <v/>
      </c>
      <c r="AG9" s="22">
        <f>IFERROR(MATRIZ_174!Y8,0)</f>
        <v/>
      </c>
      <c r="AH9" s="22">
        <f>IFERROR(MATRIZ_174!Z8,0)</f>
        <v/>
      </c>
      <c r="AI9" s="17">
        <f>IFERROR(MATRIZ_174!AP8,"N/A")</f>
        <v/>
      </c>
      <c r="AJ9" s="17">
        <f>IFERROR(MATRIZ_174!AO8,"N/A")</f>
        <v/>
      </c>
      <c r="AK9" s="23">
        <f>IFERROR(ROUND(POWER((E9*F9*G9*H9*I9*J9*K9),1/7)*0.875+((L9+M9)/2)*0.125,1),"N/A")</f>
        <v/>
      </c>
      <c r="AL9" s="24">
        <f>IFERROR(IF(OR(AK9="N/A",AI9="N/A"),"N/A",ROUND(0.7*AK9+0.3*AI9*100,1)),"N/A")</f>
        <v/>
      </c>
    </row>
    <row r="10" ht="16.05" customHeight="1" s="37">
      <c r="A10" s="13" t="inlineStr">
        <is>
          <t>20132509876</t>
        </is>
      </c>
      <c r="B10" s="14" t="inlineStr">
        <is>
          <t>COOPERATIVA AGRARIA CAFETALERA MARANURA LTDA. 129</t>
        </is>
      </c>
      <c r="C10" s="13" t="inlineStr">
        <is>
          <t>CUSCO</t>
        </is>
      </c>
      <c r="D10" s="15" t="n">
        <v>0</v>
      </c>
      <c r="E10" s="16" t="n">
        <v>0</v>
      </c>
      <c r="F10" s="17">
        <f>IFERROR(SCORECARDS!H9,"")</f>
        <v/>
      </c>
      <c r="G10" s="17">
        <f>IFERROR(MATRIZ_174!U9,0)</f>
        <v/>
      </c>
      <c r="H10" s="16" t="n">
        <v>0</v>
      </c>
      <c r="I10" s="17">
        <f>IFERROR(SCORECARDS!I9,"")</f>
        <v/>
      </c>
      <c r="J10" s="17">
        <f>IFERROR(SCORECARDS!J9,"")</f>
        <v/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7">
        <f>IFERROR(F10,0)</f>
        <v/>
      </c>
      <c r="Q10" s="17">
        <f>IFERROR(SQRT(G10*H10),0)</f>
        <v/>
      </c>
      <c r="R10" s="17">
        <f>IFERROR((I10+J10+L10)/3,0)</f>
        <v/>
      </c>
      <c r="S10" s="17">
        <f>IFERROR((J10+F10)/2,0)</f>
        <v/>
      </c>
      <c r="T10" s="17">
        <f>IFERROR((K10+M10+MATRIZ_174!O9)/3,0)</f>
        <v/>
      </c>
      <c r="U10" s="18">
        <f>IFERROR(MIN(100,ROUND(MATRIZ_174!M9,1)),0)</f>
        <v/>
      </c>
      <c r="V10" s="18">
        <f>IFERROR(IF(E10=0,50,E10),0)</f>
        <v/>
      </c>
      <c r="W10" s="18">
        <f>IFERROR(IF(MATRIZ_174!R9=0,65,IF(MATRIZ_174!R9/MATRIZ_174!Q9&gt;=2,35,IF(MATRIZ_174!R9/MATRIZ_174!Q9&gt;=0.5,50,65))),65)</f>
        <v/>
      </c>
      <c r="X10" s="18">
        <f>IF(MATRIZ_174!O9=0,70,30)</f>
        <v/>
      </c>
      <c r="Y10" s="18">
        <f>IF(OR(MATRIZ_174!P9="ASOCIACION",MATRIZ_174!P9="PENDIENTE"),65,40)</f>
        <v/>
      </c>
      <c r="Z10" s="19">
        <f>IFERROR(ROUND(AVERAGE(P10,Q10,R10,S10,T10),1),0)</f>
        <v/>
      </c>
      <c r="AA10" s="20">
        <f>IFERROR(ROUND(AVERAGE(U10,V10,W10,X10,Y10),1),0)</f>
        <v/>
      </c>
      <c r="AB10" s="21">
        <f>IFERROR(ROUND(AA10*(1-Z10/100),1),0)</f>
        <v/>
      </c>
      <c r="AC10" s="13">
        <f>IF(AND(Z10&gt;=50,AA10&lt;50),"🟢  Resilientes",IF(AND(Z10&gt;=50,AA10&gt;=50),"🟠  Expuestas Adaptables",IF(AND(Z10&lt;50,AA10&lt;50),"⬜  Riesgo Latente","🔴  Riesgo Crítico")))</f>
        <v/>
      </c>
      <c r="AD10" s="13">
        <f>IF(G10=0,"🚫  Inh. vigente OSCE","")</f>
        <v/>
      </c>
      <c r="AE10" s="22">
        <f>IFERROR(MATRIZ_174!W9,0)</f>
        <v/>
      </c>
      <c r="AF10" s="22">
        <f>IFERROR(MATRIZ_174!X9,0)</f>
        <v/>
      </c>
      <c r="AG10" s="22">
        <f>IFERROR(MATRIZ_174!Y9,0)</f>
        <v/>
      </c>
      <c r="AH10" s="22">
        <f>IFERROR(MATRIZ_174!Z9,0)</f>
        <v/>
      </c>
      <c r="AI10" s="17">
        <f>IFERROR(MATRIZ_174!AP9,"N/A")</f>
        <v/>
      </c>
      <c r="AJ10" s="17">
        <f>IFERROR(MATRIZ_174!AO9,"N/A")</f>
        <v/>
      </c>
      <c r="AK10" s="23">
        <f>IFERROR(ROUND(POWER((E10*F10*G10*H10*I10*J10*K10),1/7)*0.875+((L10+M10)/2)*0.125,1),"N/A")</f>
        <v/>
      </c>
      <c r="AL10" s="24">
        <f>IFERROR(IF(OR(AK10="N/A",AI10="N/A"),"N/A",ROUND(0.7*AK10+0.3*AI10*100,1)),"N/A")</f>
        <v/>
      </c>
    </row>
    <row r="11" ht="16.05" customHeight="1" s="37">
      <c r="A11" s="13" t="inlineStr">
        <is>
          <t>20132517119</t>
        </is>
      </c>
      <c r="B11" s="14" t="inlineStr">
        <is>
          <t>COOPERATIVA AGRARIA CAFETALERA MATEO PUMACAHUA LTDA N° 185</t>
        </is>
      </c>
      <c r="C11" s="13" t="inlineStr">
        <is>
          <t>CUSCO</t>
        </is>
      </c>
      <c r="D11" s="15" t="n">
        <v>0</v>
      </c>
      <c r="E11" s="16" t="n">
        <v>0</v>
      </c>
      <c r="F11" s="17">
        <f>IFERROR(SCORECARDS!H10,"")</f>
        <v/>
      </c>
      <c r="G11" s="17">
        <f>IFERROR(MATRIZ_174!U10,0)</f>
        <v/>
      </c>
      <c r="H11" s="16" t="n">
        <v>0</v>
      </c>
      <c r="I11" s="17">
        <f>IFERROR(SCORECARDS!I10,"")</f>
        <v/>
      </c>
      <c r="J11" s="17">
        <f>IFERROR(SCORECARDS!J10,"")</f>
        <v/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7">
        <f>IFERROR(F11,0)</f>
        <v/>
      </c>
      <c r="Q11" s="17">
        <f>IFERROR(SQRT(G11*H11),0)</f>
        <v/>
      </c>
      <c r="R11" s="17">
        <f>IFERROR((I11+J11+L11)/3,0)</f>
        <v/>
      </c>
      <c r="S11" s="17">
        <f>IFERROR((J11+F11)/2,0)</f>
        <v/>
      </c>
      <c r="T11" s="17">
        <f>IFERROR((K11+M11+MATRIZ_174!O10)/3,0)</f>
        <v/>
      </c>
      <c r="U11" s="18">
        <f>IFERROR(MIN(100,ROUND(MATRIZ_174!M10,1)),0)</f>
        <v/>
      </c>
      <c r="V11" s="18">
        <f>IFERROR(IF(E11=0,50,E11),0)</f>
        <v/>
      </c>
      <c r="W11" s="18">
        <f>IFERROR(IF(MATRIZ_174!R10=0,65,IF(MATRIZ_174!R10/MATRIZ_174!Q10&gt;=2,35,IF(MATRIZ_174!R10/MATRIZ_174!Q10&gt;=0.5,50,65))),65)</f>
        <v/>
      </c>
      <c r="X11" s="18">
        <f>IF(MATRIZ_174!O10=0,70,30)</f>
        <v/>
      </c>
      <c r="Y11" s="18">
        <f>IF(OR(MATRIZ_174!P10="ASOCIACION",MATRIZ_174!P10="PENDIENTE"),65,40)</f>
        <v/>
      </c>
      <c r="Z11" s="19">
        <f>IFERROR(ROUND(AVERAGE(P11,Q11,R11,S11,T11),1),0)</f>
        <v/>
      </c>
      <c r="AA11" s="20">
        <f>IFERROR(ROUND(AVERAGE(U11,V11,W11,X11,Y11),1),0)</f>
        <v/>
      </c>
      <c r="AB11" s="21">
        <f>IFERROR(ROUND(AA11*(1-Z11/100),1),0)</f>
        <v/>
      </c>
      <c r="AC11" s="13">
        <f>IF(AND(Z11&gt;=50,AA11&lt;50),"🟢  Resilientes",IF(AND(Z11&gt;=50,AA11&gt;=50),"🟠  Expuestas Adaptables",IF(AND(Z11&lt;50,AA11&lt;50),"⬜  Riesgo Latente","🔴  Riesgo Crítico")))</f>
        <v/>
      </c>
      <c r="AD11" s="13">
        <f>IF(G11=0,"🚫  Inh. vigente OSCE","")</f>
        <v/>
      </c>
      <c r="AE11" s="22">
        <f>IFERROR(MATRIZ_174!W10,0)</f>
        <v/>
      </c>
      <c r="AF11" s="22">
        <f>IFERROR(MATRIZ_174!X10,0)</f>
        <v/>
      </c>
      <c r="AG11" s="22">
        <f>IFERROR(MATRIZ_174!Y10,0)</f>
        <v/>
      </c>
      <c r="AH11" s="22">
        <f>IFERROR(MATRIZ_174!Z10,0)</f>
        <v/>
      </c>
      <c r="AI11" s="17">
        <f>IFERROR(MATRIZ_174!AP10,"N/A")</f>
        <v/>
      </c>
      <c r="AJ11" s="17">
        <f>IFERROR(MATRIZ_174!AO10,"N/A")</f>
        <v/>
      </c>
      <c r="AK11" s="23">
        <f>IFERROR(ROUND(POWER((E11*F11*G11*H11*I11*J11*K11),1/7)*0.875+((L11+M11)/2)*0.125,1),"N/A")</f>
        <v/>
      </c>
      <c r="AL11" s="24">
        <f>IFERROR(IF(OR(AK11="N/A",AI11="N/A"),"N/A",ROUND(0.7*AK11+0.3*AI11*100,1)),"N/A")</f>
        <v/>
      </c>
    </row>
    <row r="12" ht="16.05" customHeight="1" s="37">
      <c r="A12" s="13" t="inlineStr">
        <is>
          <t>20136201132</t>
        </is>
      </c>
      <c r="B12" s="14" t="inlineStr">
        <is>
          <t>COOPERATIVA AGRARIA CAFETALERA ALTO URUBAMBA LTDA N° 239</t>
        </is>
      </c>
      <c r="C12" s="13" t="inlineStr">
        <is>
          <t>CUSCO</t>
        </is>
      </c>
      <c r="D12" s="15" t="n">
        <v>0</v>
      </c>
      <c r="E12" s="16" t="n">
        <v>0</v>
      </c>
      <c r="F12" s="17">
        <f>IFERROR(SCORECARDS!H11,"")</f>
        <v/>
      </c>
      <c r="G12" s="17">
        <f>IFERROR(MATRIZ_174!U11,0)</f>
        <v/>
      </c>
      <c r="H12" s="16" t="n">
        <v>0</v>
      </c>
      <c r="I12" s="17">
        <f>IFERROR(SCORECARDS!I11,"")</f>
        <v/>
      </c>
      <c r="J12" s="17">
        <f>IFERROR(SCORECARDS!J11,"")</f>
        <v/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7">
        <f>IFERROR(F12,0)</f>
        <v/>
      </c>
      <c r="Q12" s="17">
        <f>IFERROR(SQRT(G12*H12),0)</f>
        <v/>
      </c>
      <c r="R12" s="17">
        <f>IFERROR((I12+J12+L12)/3,0)</f>
        <v/>
      </c>
      <c r="S12" s="17">
        <f>IFERROR((J12+F12)/2,0)</f>
        <v/>
      </c>
      <c r="T12" s="17">
        <f>IFERROR((K12+M12+MATRIZ_174!O11)/3,0)</f>
        <v/>
      </c>
      <c r="U12" s="18">
        <f>IFERROR(MIN(100,ROUND(MATRIZ_174!M11,1)),0)</f>
        <v/>
      </c>
      <c r="V12" s="18">
        <f>IFERROR(IF(E12=0,50,E12),0)</f>
        <v/>
      </c>
      <c r="W12" s="18">
        <f>IFERROR(IF(MATRIZ_174!R11=0,65,IF(MATRIZ_174!R11/MATRIZ_174!Q11&gt;=2,35,IF(MATRIZ_174!R11/MATRIZ_174!Q11&gt;=0.5,50,65))),65)</f>
        <v/>
      </c>
      <c r="X12" s="18">
        <f>IF(MATRIZ_174!O11=0,70,30)</f>
        <v/>
      </c>
      <c r="Y12" s="18">
        <f>IF(OR(MATRIZ_174!P11="ASOCIACION",MATRIZ_174!P11="PENDIENTE"),65,40)</f>
        <v/>
      </c>
      <c r="Z12" s="19">
        <f>IFERROR(ROUND(AVERAGE(P12,Q12,R12,S12,T12),1),0)</f>
        <v/>
      </c>
      <c r="AA12" s="20">
        <f>IFERROR(ROUND(AVERAGE(U12,V12,W12,X12,Y12),1),0)</f>
        <v/>
      </c>
      <c r="AB12" s="21">
        <f>IFERROR(ROUND(AA12*(1-Z12/100),1),0)</f>
        <v/>
      </c>
      <c r="AC12" s="13">
        <f>IF(AND(Z12&gt;=50,AA12&lt;50),"🟢  Resilientes",IF(AND(Z12&gt;=50,AA12&gt;=50),"🟠  Expuestas Adaptables",IF(AND(Z12&lt;50,AA12&lt;50),"⬜  Riesgo Latente","🔴  Riesgo Crítico")))</f>
        <v/>
      </c>
      <c r="AD12" s="13">
        <f>IF(G12=0,"🚫  Inh. vigente OSCE","")</f>
        <v/>
      </c>
      <c r="AE12" s="22">
        <f>IFERROR(MATRIZ_174!W11,0)</f>
        <v/>
      </c>
      <c r="AF12" s="22">
        <f>IFERROR(MATRIZ_174!X11,0)</f>
        <v/>
      </c>
      <c r="AG12" s="22">
        <f>IFERROR(MATRIZ_174!Y11,0)</f>
        <v/>
      </c>
      <c r="AH12" s="22">
        <f>IFERROR(MATRIZ_174!Z11,0)</f>
        <v/>
      </c>
      <c r="AI12" s="17">
        <f>IFERROR(MATRIZ_174!AP11,"N/A")</f>
        <v/>
      </c>
      <c r="AJ12" s="17">
        <f>IFERROR(MATRIZ_174!AO11,"N/A")</f>
        <v/>
      </c>
      <c r="AK12" s="23">
        <f>IFERROR(ROUND(POWER((E12*F12*G12*H12*I12*J12*K12),1/7)*0.875+((L12+M12)/2)*0.125,1),"N/A")</f>
        <v/>
      </c>
      <c r="AL12" s="24">
        <f>IFERROR(IF(OR(AK12="N/A",AI12="N/A"),"N/A",ROUND(0.7*AK12+0.3*AI12*100,1)),"N/A")</f>
        <v/>
      </c>
    </row>
    <row r="13" ht="16.05" customHeight="1" s="37">
      <c r="A13" s="13" t="inlineStr">
        <is>
          <t>20136201213</t>
        </is>
      </c>
      <c r="B13" s="14" t="inlineStr">
        <is>
          <t xml:space="preserve">CENTRAL DE COOPERATIVAS AGRARIAS CAFETALERAS COCLA LTDA. N° </t>
        </is>
      </c>
      <c r="C13" s="13" t="inlineStr">
        <is>
          <t>CUSCO</t>
        </is>
      </c>
      <c r="D13" s="15" t="n">
        <v>894391.27</v>
      </c>
      <c r="E13" s="16" t="n">
        <v>0</v>
      </c>
      <c r="F13" s="17">
        <f>IFERROR(SCORECARDS!H12,"")</f>
        <v/>
      </c>
      <c r="G13" s="17">
        <f>IFERROR(MATRIZ_174!U12,0)</f>
        <v/>
      </c>
      <c r="H13" s="16" t="n">
        <v>0</v>
      </c>
      <c r="I13" s="17">
        <f>IFERROR(SCORECARDS!I12,"")</f>
        <v/>
      </c>
      <c r="J13" s="17">
        <f>IFERROR(SCORECARDS!J12,"")</f>
        <v/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7">
        <f>IFERROR(F13,0)</f>
        <v/>
      </c>
      <c r="Q13" s="17">
        <f>IFERROR(SQRT(G13*H13),0)</f>
        <v/>
      </c>
      <c r="R13" s="17">
        <f>IFERROR((I13+J13+L13)/3,0)</f>
        <v/>
      </c>
      <c r="S13" s="17">
        <f>IFERROR((J13+F13)/2,0)</f>
        <v/>
      </c>
      <c r="T13" s="17">
        <f>IFERROR((K13+M13+MATRIZ_174!O12)/3,0)</f>
        <v/>
      </c>
      <c r="U13" s="18">
        <f>IFERROR(MIN(100,ROUND(MATRIZ_174!M12,1)),0)</f>
        <v/>
      </c>
      <c r="V13" s="18">
        <f>IFERROR(IF(E13=0,50,E13),0)</f>
        <v/>
      </c>
      <c r="W13" s="18">
        <f>IFERROR(IF(MATRIZ_174!R12=0,65,IF(MATRIZ_174!R12/MATRIZ_174!Q12&gt;=2,35,IF(MATRIZ_174!R12/MATRIZ_174!Q12&gt;=0.5,50,65))),65)</f>
        <v/>
      </c>
      <c r="X13" s="18">
        <f>IF(MATRIZ_174!O12=0,70,30)</f>
        <v/>
      </c>
      <c r="Y13" s="18">
        <f>IF(OR(MATRIZ_174!P12="ASOCIACION",MATRIZ_174!P12="PENDIENTE"),65,40)</f>
        <v/>
      </c>
      <c r="Z13" s="19">
        <f>IFERROR(ROUND(AVERAGE(P13,Q13,R13,S13,T13),1),0)</f>
        <v/>
      </c>
      <c r="AA13" s="20">
        <f>IFERROR(ROUND(AVERAGE(U13,V13,W13,X13,Y13),1),0)</f>
        <v/>
      </c>
      <c r="AB13" s="21">
        <f>IFERROR(ROUND(AA13*(1-Z13/100),1),0)</f>
        <v/>
      </c>
      <c r="AC13" s="13">
        <f>IF(AND(Z13&gt;=50,AA13&lt;50),"🟢  Resilientes",IF(AND(Z13&gt;=50,AA13&gt;=50),"🟠  Expuestas Adaptables",IF(AND(Z13&lt;50,AA13&lt;50),"⬜  Riesgo Latente","🔴  Riesgo Crítico")))</f>
        <v/>
      </c>
      <c r="AD13" s="13">
        <f>IF(G13=0,"🚫  Inh. vigente OSCE","")</f>
        <v/>
      </c>
      <c r="AE13" s="22">
        <f>IFERROR(MATRIZ_174!W12,0)</f>
        <v/>
      </c>
      <c r="AF13" s="22">
        <f>IFERROR(MATRIZ_174!X12,0)</f>
        <v/>
      </c>
      <c r="AG13" s="22">
        <f>IFERROR(MATRIZ_174!Y12,0)</f>
        <v/>
      </c>
      <c r="AH13" s="22">
        <f>IFERROR(MATRIZ_174!Z12,0)</f>
        <v/>
      </c>
      <c r="AI13" s="17">
        <f>IFERROR(MATRIZ_174!AP12,"N/A")</f>
        <v/>
      </c>
      <c r="AJ13" s="17">
        <f>IFERROR(MATRIZ_174!AO12,"N/A")</f>
        <v/>
      </c>
      <c r="AK13" s="23">
        <f>IFERROR(ROUND(POWER((E13*F13*G13*H13*I13*J13*K13),1/7)*0.875+((L13+M13)/2)*0.125,1),"N/A")</f>
        <v/>
      </c>
      <c r="AL13" s="24">
        <f>IFERROR(IF(OR(AK13="N/A",AI13="N/A"),"N/A",ROUND(0.7*AK13+0.3*AI13*100,1)),"N/A")</f>
        <v/>
      </c>
    </row>
    <row r="14" ht="16.05" customHeight="1" s="37">
      <c r="A14" s="13" t="inlineStr">
        <is>
          <t>20140292657</t>
        </is>
      </c>
      <c r="B14" s="14" t="inlineStr">
        <is>
          <t>COOPERATIVA AGRARIA CAFETALERA CCOCHAPAMPA LTDA.</t>
        </is>
      </c>
      <c r="C14" s="13" t="inlineStr">
        <is>
          <t>CUSCO</t>
        </is>
      </c>
      <c r="D14" s="15" t="n">
        <v>0</v>
      </c>
      <c r="E14" s="16" t="n">
        <v>0</v>
      </c>
      <c r="F14" s="17">
        <f>IFERROR(SCORECARDS!H13,"")</f>
        <v/>
      </c>
      <c r="G14" s="17">
        <f>IFERROR(MATRIZ_174!U13,0)</f>
        <v/>
      </c>
      <c r="H14" s="16" t="n">
        <v>0</v>
      </c>
      <c r="I14" s="17">
        <f>IFERROR(SCORECARDS!I13,"")</f>
        <v/>
      </c>
      <c r="J14" s="17">
        <f>IFERROR(SCORECARDS!J13,"")</f>
        <v/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7">
        <f>IFERROR(F14,0)</f>
        <v/>
      </c>
      <c r="Q14" s="17">
        <f>IFERROR(SQRT(G14*H14),0)</f>
        <v/>
      </c>
      <c r="R14" s="17">
        <f>IFERROR((I14+J14+L14)/3,0)</f>
        <v/>
      </c>
      <c r="S14" s="17">
        <f>IFERROR((J14+F14)/2,0)</f>
        <v/>
      </c>
      <c r="T14" s="17">
        <f>IFERROR((K14+M14+MATRIZ_174!O13)/3,0)</f>
        <v/>
      </c>
      <c r="U14" s="18">
        <f>IFERROR(MIN(100,ROUND(MATRIZ_174!M13,1)),0)</f>
        <v/>
      </c>
      <c r="V14" s="18">
        <f>IFERROR(IF(E14=0,50,E14),0)</f>
        <v/>
      </c>
      <c r="W14" s="18">
        <f>IFERROR(IF(MATRIZ_174!R13=0,65,IF(MATRIZ_174!R13/MATRIZ_174!Q13&gt;=2,35,IF(MATRIZ_174!R13/MATRIZ_174!Q13&gt;=0.5,50,65))),65)</f>
        <v/>
      </c>
      <c r="X14" s="18">
        <f>IF(MATRIZ_174!O13=0,70,30)</f>
        <v/>
      </c>
      <c r="Y14" s="18">
        <f>IF(OR(MATRIZ_174!P13="ASOCIACION",MATRIZ_174!P13="PENDIENTE"),65,40)</f>
        <v/>
      </c>
      <c r="Z14" s="19">
        <f>IFERROR(ROUND(AVERAGE(P14,Q14,R14,S14,T14),1),0)</f>
        <v/>
      </c>
      <c r="AA14" s="20">
        <f>IFERROR(ROUND(AVERAGE(U14,V14,W14,X14,Y14),1),0)</f>
        <v/>
      </c>
      <c r="AB14" s="21">
        <f>IFERROR(ROUND(AA14*(1-Z14/100),1),0)</f>
        <v/>
      </c>
      <c r="AC14" s="13">
        <f>IF(AND(Z14&gt;=50,AA14&lt;50),"🟢  Resilientes",IF(AND(Z14&gt;=50,AA14&gt;=50),"🟠  Expuestas Adaptables",IF(AND(Z14&lt;50,AA14&lt;50),"⬜  Riesgo Latente","🔴  Riesgo Crítico")))</f>
        <v/>
      </c>
      <c r="AD14" s="13">
        <f>IF(G14=0,"🚫  Inh. vigente OSCE","")</f>
        <v/>
      </c>
      <c r="AE14" s="22">
        <f>IFERROR(MATRIZ_174!W13,0)</f>
        <v/>
      </c>
      <c r="AF14" s="22">
        <f>IFERROR(MATRIZ_174!X13,0)</f>
        <v/>
      </c>
      <c r="AG14" s="22">
        <f>IFERROR(MATRIZ_174!Y13,0)</f>
        <v/>
      </c>
      <c r="AH14" s="22">
        <f>IFERROR(MATRIZ_174!Z13,0)</f>
        <v/>
      </c>
      <c r="AI14" s="17">
        <f>IFERROR(MATRIZ_174!AP13,"N/A")</f>
        <v/>
      </c>
      <c r="AJ14" s="17">
        <f>IFERROR(MATRIZ_174!AO13,"N/A")</f>
        <v/>
      </c>
      <c r="AK14" s="23">
        <f>IFERROR(ROUND(POWER((E14*F14*G14*H14*I14*J14*K14),1/7)*0.875+((L14+M14)/2)*0.125,1),"N/A")</f>
        <v/>
      </c>
      <c r="AL14" s="24">
        <f>IFERROR(IF(OR(AK14="N/A",AI14="N/A"),"N/A",ROUND(0.7*AK14+0.3*AI14*100,1)),"N/A")</f>
        <v/>
      </c>
    </row>
    <row r="15" ht="16.05" customHeight="1" s="37">
      <c r="A15" s="13" t="inlineStr">
        <is>
          <t>20143692010</t>
        </is>
      </c>
      <c r="B15" s="14" t="inlineStr">
        <is>
          <t>COOPERATIVA AGRARIA EL QUINACHO LTDA. N° 078</t>
        </is>
      </c>
      <c r="C15" s="13" t="inlineStr">
        <is>
          <t>AYACUCHO</t>
        </is>
      </c>
      <c r="D15" s="15" t="n">
        <v>2015347.33</v>
      </c>
      <c r="E15" s="16" t="n">
        <v>0</v>
      </c>
      <c r="F15" s="17">
        <f>IFERROR(SCORECARDS!H14,"")</f>
        <v/>
      </c>
      <c r="G15" s="17">
        <f>IFERROR(MATRIZ_174!U14,0)</f>
        <v/>
      </c>
      <c r="H15" s="16" t="n">
        <v>0</v>
      </c>
      <c r="I15" s="17">
        <f>IFERROR(SCORECARDS!I14,"")</f>
        <v/>
      </c>
      <c r="J15" s="17">
        <f>IFERROR(SCORECARDS!J14,"")</f>
        <v/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7">
        <f>IFERROR(F15,0)</f>
        <v/>
      </c>
      <c r="Q15" s="17">
        <f>IFERROR(SQRT(G15*H15),0)</f>
        <v/>
      </c>
      <c r="R15" s="17">
        <f>IFERROR((I15+J15+L15)/3,0)</f>
        <v/>
      </c>
      <c r="S15" s="17">
        <f>IFERROR((J15+F15)/2,0)</f>
        <v/>
      </c>
      <c r="T15" s="17">
        <f>IFERROR((K15+M15+MATRIZ_174!O14)/3,0)</f>
        <v/>
      </c>
      <c r="U15" s="18">
        <f>IFERROR(MIN(100,ROUND(MATRIZ_174!M14,1)),0)</f>
        <v/>
      </c>
      <c r="V15" s="18">
        <f>IFERROR(IF(E15=0,50,E15),0)</f>
        <v/>
      </c>
      <c r="W15" s="18">
        <f>IFERROR(IF(MATRIZ_174!R14=0,65,IF(MATRIZ_174!R14/MATRIZ_174!Q14&gt;=2,35,IF(MATRIZ_174!R14/MATRIZ_174!Q14&gt;=0.5,50,65))),65)</f>
        <v/>
      </c>
      <c r="X15" s="18">
        <f>IF(MATRIZ_174!O14=0,70,30)</f>
        <v/>
      </c>
      <c r="Y15" s="18">
        <f>IF(OR(MATRIZ_174!P14="ASOCIACION",MATRIZ_174!P14="PENDIENTE"),65,40)</f>
        <v/>
      </c>
      <c r="Z15" s="19">
        <f>IFERROR(ROUND(AVERAGE(P15,Q15,R15,S15,T15),1),0)</f>
        <v/>
      </c>
      <c r="AA15" s="20">
        <f>IFERROR(ROUND(AVERAGE(U15,V15,W15,X15,Y15),1),0)</f>
        <v/>
      </c>
      <c r="AB15" s="21">
        <f>IFERROR(ROUND(AA15*(1-Z15/100),1),0)</f>
        <v/>
      </c>
      <c r="AC15" s="13">
        <f>IF(AND(Z15&gt;=50,AA15&lt;50),"🟢  Resilientes",IF(AND(Z15&gt;=50,AA15&gt;=50),"🟠  Expuestas Adaptables",IF(AND(Z15&lt;50,AA15&lt;50),"⬜  Riesgo Latente","🔴  Riesgo Crítico")))</f>
        <v/>
      </c>
      <c r="AD15" s="13">
        <f>IF(G15=0,"🚫  Inh. vigente OSCE","")</f>
        <v/>
      </c>
      <c r="AE15" s="22">
        <f>IFERROR(MATRIZ_174!W14,0)</f>
        <v/>
      </c>
      <c r="AF15" s="22">
        <f>IFERROR(MATRIZ_174!X14,0)</f>
        <v/>
      </c>
      <c r="AG15" s="22">
        <f>IFERROR(MATRIZ_174!Y14,0)</f>
        <v/>
      </c>
      <c r="AH15" s="22">
        <f>IFERROR(MATRIZ_174!Z14,0)</f>
        <v/>
      </c>
      <c r="AI15" s="17">
        <f>IFERROR(MATRIZ_174!AP14,"N/A")</f>
        <v/>
      </c>
      <c r="AJ15" s="17">
        <f>IFERROR(MATRIZ_174!AO14,"N/A")</f>
        <v/>
      </c>
      <c r="AK15" s="23">
        <f>IFERROR(ROUND(POWER((E15*F15*G15*H15*I15*J15*K15),1/7)*0.875+((L15+M15)/2)*0.125,1),"N/A")</f>
        <v/>
      </c>
      <c r="AL15" s="24">
        <f>IFERROR(IF(OR(AK15="N/A",AI15="N/A"),"N/A",ROUND(0.7*AK15+0.3*AI15*100,1)),"N/A")</f>
        <v/>
      </c>
    </row>
    <row r="16" ht="16.05" customHeight="1" s="37">
      <c r="A16" s="13" t="inlineStr">
        <is>
          <t>20145484597</t>
        </is>
      </c>
      <c r="B16" s="14" t="inlineStr">
        <is>
          <t>COOPERATIVA AGRARIA CAFETALERA SAN IGNACIO LTDA.</t>
        </is>
      </c>
      <c r="C16" s="13" t="inlineStr">
        <is>
          <t>PUNO</t>
        </is>
      </c>
      <c r="D16" s="15" t="n">
        <v>0</v>
      </c>
      <c r="E16" s="16" t="n">
        <v>0</v>
      </c>
      <c r="F16" s="17">
        <f>IFERROR(SCORECARDS!H15,"")</f>
        <v/>
      </c>
      <c r="G16" s="17">
        <f>IFERROR(MATRIZ_174!U15,0)</f>
        <v/>
      </c>
      <c r="H16" s="16" t="n">
        <v>0</v>
      </c>
      <c r="I16" s="17">
        <f>IFERROR(SCORECARDS!I15,"")</f>
        <v/>
      </c>
      <c r="J16" s="17">
        <f>IFERROR(SCORECARDS!J15,"")</f>
        <v/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7">
        <f>IFERROR(F16,0)</f>
        <v/>
      </c>
      <c r="Q16" s="17">
        <f>IFERROR(SQRT(G16*H16),0)</f>
        <v/>
      </c>
      <c r="R16" s="17">
        <f>IFERROR((I16+J16+L16)/3,0)</f>
        <v/>
      </c>
      <c r="S16" s="17">
        <f>IFERROR((J16+F16)/2,0)</f>
        <v/>
      </c>
      <c r="T16" s="17">
        <f>IFERROR((K16+M16+MATRIZ_174!O15)/3,0)</f>
        <v/>
      </c>
      <c r="U16" s="18">
        <f>IFERROR(MIN(100,ROUND(MATRIZ_174!M15,1)),0)</f>
        <v/>
      </c>
      <c r="V16" s="18">
        <f>IFERROR(IF(E16=0,50,E16),0)</f>
        <v/>
      </c>
      <c r="W16" s="18">
        <f>IFERROR(IF(MATRIZ_174!R15=0,65,IF(MATRIZ_174!R15/MATRIZ_174!Q15&gt;=2,35,IF(MATRIZ_174!R15/MATRIZ_174!Q15&gt;=0.5,50,65))),65)</f>
        <v/>
      </c>
      <c r="X16" s="18">
        <f>IF(MATRIZ_174!O15=0,70,30)</f>
        <v/>
      </c>
      <c r="Y16" s="18">
        <f>IF(OR(MATRIZ_174!P15="ASOCIACION",MATRIZ_174!P15="PENDIENTE"),65,40)</f>
        <v/>
      </c>
      <c r="Z16" s="19">
        <f>IFERROR(ROUND(AVERAGE(P16,Q16,R16,S16,T16),1),0)</f>
        <v/>
      </c>
      <c r="AA16" s="20">
        <f>IFERROR(ROUND(AVERAGE(U16,V16,W16,X16,Y16),1),0)</f>
        <v/>
      </c>
      <c r="AB16" s="21">
        <f>IFERROR(ROUND(AA16*(1-Z16/100),1),0)</f>
        <v/>
      </c>
      <c r="AC16" s="13">
        <f>IF(AND(Z16&gt;=50,AA16&lt;50),"🟢  Resilientes",IF(AND(Z16&gt;=50,AA16&gt;=50),"🟠  Expuestas Adaptables",IF(AND(Z16&lt;50,AA16&lt;50),"⬜  Riesgo Latente","🔴  Riesgo Crítico")))</f>
        <v/>
      </c>
      <c r="AD16" s="13">
        <f>IF(G16=0,"🚫  Inh. vigente OSCE","")</f>
        <v/>
      </c>
      <c r="AE16" s="22">
        <f>IFERROR(MATRIZ_174!W15,0)</f>
        <v/>
      </c>
      <c r="AF16" s="22">
        <f>IFERROR(MATRIZ_174!X15,0)</f>
        <v/>
      </c>
      <c r="AG16" s="22">
        <f>IFERROR(MATRIZ_174!Y15,0)</f>
        <v/>
      </c>
      <c r="AH16" s="22">
        <f>IFERROR(MATRIZ_174!Z15,0)</f>
        <v/>
      </c>
      <c r="AI16" s="17">
        <f>IFERROR(MATRIZ_174!AP15,"N/A")</f>
        <v/>
      </c>
      <c r="AJ16" s="17">
        <f>IFERROR(MATRIZ_174!AO15,"N/A")</f>
        <v/>
      </c>
      <c r="AK16" s="23">
        <f>IFERROR(ROUND(POWER((E16*F16*G16*H16*I16*J16*K16),1/7)*0.875+((L16+M16)/2)*0.125,1),"N/A")</f>
        <v/>
      </c>
      <c r="AL16" s="24">
        <f>IFERROR(IF(OR(AK16="N/A",AI16="N/A"),"N/A",ROUND(0.7*AK16+0.3*AI16*100,1)),"N/A")</f>
        <v/>
      </c>
    </row>
    <row r="17" ht="16.05" customHeight="1" s="37">
      <c r="A17" s="13" t="inlineStr">
        <is>
          <t>20146696041</t>
        </is>
      </c>
      <c r="B17" s="14" t="inlineStr">
        <is>
          <t>COOP AGRARIA CAFET JOSE GABRIEL CONDORCA</t>
        </is>
      </c>
      <c r="C17" s="13" t="inlineStr">
        <is>
          <t>PIURA</t>
        </is>
      </c>
      <c r="D17" s="15" t="n">
        <v>0</v>
      </c>
      <c r="E17" s="16" t="n">
        <v>0</v>
      </c>
      <c r="F17" s="17">
        <f>IFERROR(SCORECARDS!H16,"")</f>
        <v/>
      </c>
      <c r="G17" s="17">
        <f>IFERROR(MATRIZ_174!U16,0)</f>
        <v/>
      </c>
      <c r="H17" s="16" t="n">
        <v>0</v>
      </c>
      <c r="I17" s="17">
        <f>IFERROR(SCORECARDS!I16,"")</f>
        <v/>
      </c>
      <c r="J17" s="17">
        <f>IFERROR(SCORECARDS!J16,"")</f>
        <v/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7">
        <f>IFERROR(F17,0)</f>
        <v/>
      </c>
      <c r="Q17" s="17">
        <f>IFERROR(SQRT(G17*H17),0)</f>
        <v/>
      </c>
      <c r="R17" s="17">
        <f>IFERROR((I17+J17+L17)/3,0)</f>
        <v/>
      </c>
      <c r="S17" s="17">
        <f>IFERROR((J17+F17)/2,0)</f>
        <v/>
      </c>
      <c r="T17" s="17">
        <f>IFERROR((K17+M17+MATRIZ_174!O16)/3,0)</f>
        <v/>
      </c>
      <c r="U17" s="18">
        <f>IFERROR(MIN(100,ROUND(MATRIZ_174!M16,1)),0)</f>
        <v/>
      </c>
      <c r="V17" s="18">
        <f>IFERROR(IF(E17=0,50,E17),0)</f>
        <v/>
      </c>
      <c r="W17" s="18">
        <f>IFERROR(IF(MATRIZ_174!R16=0,65,IF(MATRIZ_174!R16/MATRIZ_174!Q16&gt;=2,35,IF(MATRIZ_174!R16/MATRIZ_174!Q16&gt;=0.5,50,65))),65)</f>
        <v/>
      </c>
      <c r="X17" s="18">
        <f>IF(MATRIZ_174!O16=0,70,30)</f>
        <v/>
      </c>
      <c r="Y17" s="18">
        <f>IF(OR(MATRIZ_174!P16="ASOCIACION",MATRIZ_174!P16="PENDIENTE"),65,40)</f>
        <v/>
      </c>
      <c r="Z17" s="19">
        <f>IFERROR(ROUND(AVERAGE(P17,Q17,R17,S17,T17),1),0)</f>
        <v/>
      </c>
      <c r="AA17" s="20">
        <f>IFERROR(ROUND(AVERAGE(U17,V17,W17,X17,Y17),1),0)</f>
        <v/>
      </c>
      <c r="AB17" s="21">
        <f>IFERROR(ROUND(AA17*(1-Z17/100),1),0)</f>
        <v/>
      </c>
      <c r="AC17" s="13">
        <f>IF(AND(Z17&gt;=50,AA17&lt;50),"🟢  Resilientes",IF(AND(Z17&gt;=50,AA17&gt;=50),"🟠  Expuestas Adaptables",IF(AND(Z17&lt;50,AA17&lt;50),"⬜  Riesgo Latente","🔴  Riesgo Crítico")))</f>
        <v/>
      </c>
      <c r="AD17" s="13">
        <f>IF(G17=0,"🚫  Inh. vigente OSCE","")</f>
        <v/>
      </c>
      <c r="AE17" s="22">
        <f>IFERROR(MATRIZ_174!W16,0)</f>
        <v/>
      </c>
      <c r="AF17" s="22">
        <f>IFERROR(MATRIZ_174!X16,0)</f>
        <v/>
      </c>
      <c r="AG17" s="22">
        <f>IFERROR(MATRIZ_174!Y16,0)</f>
        <v/>
      </c>
      <c r="AH17" s="22">
        <f>IFERROR(MATRIZ_174!Z16,0)</f>
        <v/>
      </c>
      <c r="AI17" s="17">
        <f>IFERROR(MATRIZ_174!AP16,"N/A")</f>
        <v/>
      </c>
      <c r="AJ17" s="17">
        <f>IFERROR(MATRIZ_174!AO16,"N/A")</f>
        <v/>
      </c>
      <c r="AK17" s="23">
        <f>IFERROR(ROUND(POWER((E17*F17*G17*H17*I17*J17*K17),1/7)*0.875+((L17+M17)/2)*0.125,1),"N/A")</f>
        <v/>
      </c>
      <c r="AL17" s="24">
        <f>IFERROR(IF(OR(AK17="N/A",AI17="N/A"),"N/A",ROUND(0.7*AK17+0.3*AI17*100,1)),"N/A")</f>
        <v/>
      </c>
    </row>
    <row r="18" ht="16.05" customHeight="1" s="37">
      <c r="A18" s="13" t="inlineStr">
        <is>
          <t>20147443120</t>
        </is>
      </c>
      <c r="B18" s="14" t="inlineStr">
        <is>
          <t>COOPERATIVA AGRARIA CAFETALERA TIRIJUAY PAVAYOC LTDA 013-B-V</t>
        </is>
      </c>
      <c r="C18" s="13" t="inlineStr">
        <is>
          <t>CUSCO</t>
        </is>
      </c>
      <c r="D18" s="15" t="n">
        <v>0</v>
      </c>
      <c r="E18" s="16" t="n">
        <v>0</v>
      </c>
      <c r="F18" s="17">
        <f>IFERROR(SCORECARDS!H17,"")</f>
        <v/>
      </c>
      <c r="G18" s="17">
        <f>IFERROR(MATRIZ_174!U17,0)</f>
        <v/>
      </c>
      <c r="H18" s="16" t="n">
        <v>0</v>
      </c>
      <c r="I18" s="17">
        <f>IFERROR(SCORECARDS!I17,"")</f>
        <v/>
      </c>
      <c r="J18" s="17">
        <f>IFERROR(SCORECARDS!J17,"")</f>
        <v/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7">
        <f>IFERROR(F18,0)</f>
        <v/>
      </c>
      <c r="Q18" s="17">
        <f>IFERROR(SQRT(G18*H18),0)</f>
        <v/>
      </c>
      <c r="R18" s="17">
        <f>IFERROR((I18+J18+L18)/3,0)</f>
        <v/>
      </c>
      <c r="S18" s="17">
        <f>IFERROR((J18+F18)/2,0)</f>
        <v/>
      </c>
      <c r="T18" s="17">
        <f>IFERROR((K18+M18+MATRIZ_174!O17)/3,0)</f>
        <v/>
      </c>
      <c r="U18" s="18">
        <f>IFERROR(MIN(100,ROUND(MATRIZ_174!M17,1)),0)</f>
        <v/>
      </c>
      <c r="V18" s="18">
        <f>IFERROR(IF(E18=0,50,E18),0)</f>
        <v/>
      </c>
      <c r="W18" s="18">
        <f>IFERROR(IF(MATRIZ_174!R17=0,65,IF(MATRIZ_174!R17/MATRIZ_174!Q17&gt;=2,35,IF(MATRIZ_174!R17/MATRIZ_174!Q17&gt;=0.5,50,65))),65)</f>
        <v/>
      </c>
      <c r="X18" s="18">
        <f>IF(MATRIZ_174!O17=0,70,30)</f>
        <v/>
      </c>
      <c r="Y18" s="18">
        <f>IF(OR(MATRIZ_174!P17="ASOCIACION",MATRIZ_174!P17="PENDIENTE"),65,40)</f>
        <v/>
      </c>
      <c r="Z18" s="19">
        <f>IFERROR(ROUND(AVERAGE(P18,Q18,R18,S18,T18),1),0)</f>
        <v/>
      </c>
      <c r="AA18" s="20">
        <f>IFERROR(ROUND(AVERAGE(U18,V18,W18,X18,Y18),1),0)</f>
        <v/>
      </c>
      <c r="AB18" s="21">
        <f>IFERROR(ROUND(AA18*(1-Z18/100),1),0)</f>
        <v/>
      </c>
      <c r="AC18" s="13">
        <f>IF(AND(Z18&gt;=50,AA18&lt;50),"🟢  Resilientes",IF(AND(Z18&gt;=50,AA18&gt;=50),"🟠  Expuestas Adaptables",IF(AND(Z18&lt;50,AA18&lt;50),"⬜  Riesgo Latente","🔴  Riesgo Crítico")))</f>
        <v/>
      </c>
      <c r="AD18" s="13">
        <f>IF(G18=0,"🚫  Inh. vigente OSCE","")</f>
        <v/>
      </c>
      <c r="AE18" s="22">
        <f>IFERROR(MATRIZ_174!W17,0)</f>
        <v/>
      </c>
      <c r="AF18" s="22">
        <f>IFERROR(MATRIZ_174!X17,0)</f>
        <v/>
      </c>
      <c r="AG18" s="22">
        <f>IFERROR(MATRIZ_174!Y17,0)</f>
        <v/>
      </c>
      <c r="AH18" s="22">
        <f>IFERROR(MATRIZ_174!Z17,0)</f>
        <v/>
      </c>
      <c r="AI18" s="17">
        <f>IFERROR(MATRIZ_174!AP17,"N/A")</f>
        <v/>
      </c>
      <c r="AJ18" s="17">
        <f>IFERROR(MATRIZ_174!AO17,"N/A")</f>
        <v/>
      </c>
      <c r="AK18" s="23">
        <f>IFERROR(ROUND(POWER((E18*F18*G18*H18*I18*J18*K18),1/7)*0.875+((L18+M18)/2)*0.125,1),"N/A")</f>
        <v/>
      </c>
      <c r="AL18" s="24">
        <f>IFERROR(IF(OR(AK18="N/A",AI18="N/A"),"N/A",ROUND(0.7*AK18+0.3*AI18*100,1)),"N/A")</f>
        <v/>
      </c>
    </row>
    <row r="19" ht="16.05" customHeight="1" s="37">
      <c r="A19" s="13" t="inlineStr">
        <is>
          <t>20166786861</t>
        </is>
      </c>
      <c r="B19" s="14" t="inlineStr">
        <is>
          <t>COMITE CENTRAL DE PRODUCTORES AGROPECUARIOS DE SAN ALEJANDRO</t>
        </is>
      </c>
      <c r="C19" s="13" t="inlineStr">
        <is>
          <t>UCAYALI</t>
        </is>
      </c>
      <c r="D19" s="15" t="n">
        <v>0</v>
      </c>
      <c r="E19" s="16" t="n">
        <v>0</v>
      </c>
      <c r="F19" s="17">
        <f>IFERROR(SCORECARDS!H18,"")</f>
        <v/>
      </c>
      <c r="G19" s="17">
        <f>IFERROR(MATRIZ_174!U18,0)</f>
        <v/>
      </c>
      <c r="H19" s="16" t="n">
        <v>0</v>
      </c>
      <c r="I19" s="17">
        <f>IFERROR(SCORECARDS!I18,"")</f>
        <v/>
      </c>
      <c r="J19" s="17">
        <f>IFERROR(SCORECARDS!J18,"")</f>
        <v/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7">
        <f>IFERROR(F19,0)</f>
        <v/>
      </c>
      <c r="Q19" s="17">
        <f>IFERROR(SQRT(G19*H19),0)</f>
        <v/>
      </c>
      <c r="R19" s="17">
        <f>IFERROR((I19+J19+L19)/3,0)</f>
        <v/>
      </c>
      <c r="S19" s="17">
        <f>IFERROR((J19+F19)/2,0)</f>
        <v/>
      </c>
      <c r="T19" s="17">
        <f>IFERROR((K19+M19+MATRIZ_174!O18)/3,0)</f>
        <v/>
      </c>
      <c r="U19" s="18">
        <f>IFERROR(MIN(100,ROUND(MATRIZ_174!M18,1)),0)</f>
        <v/>
      </c>
      <c r="V19" s="18">
        <f>IFERROR(IF(E19=0,50,E19),0)</f>
        <v/>
      </c>
      <c r="W19" s="18">
        <f>IFERROR(IF(MATRIZ_174!R18=0,65,IF(MATRIZ_174!R18/MATRIZ_174!Q18&gt;=2,35,IF(MATRIZ_174!R18/MATRIZ_174!Q18&gt;=0.5,50,65))),65)</f>
        <v/>
      </c>
      <c r="X19" s="18">
        <f>IF(MATRIZ_174!O18=0,70,30)</f>
        <v/>
      </c>
      <c r="Y19" s="18">
        <f>IF(OR(MATRIZ_174!P18="ASOCIACION",MATRIZ_174!P18="PENDIENTE"),65,40)</f>
        <v/>
      </c>
      <c r="Z19" s="19">
        <f>IFERROR(ROUND(AVERAGE(P19,Q19,R19,S19,T19),1),0)</f>
        <v/>
      </c>
      <c r="AA19" s="20">
        <f>IFERROR(ROUND(AVERAGE(U19,V19,W19,X19,Y19),1),0)</f>
        <v/>
      </c>
      <c r="AB19" s="21">
        <f>IFERROR(ROUND(AA19*(1-Z19/100),1),0)</f>
        <v/>
      </c>
      <c r="AC19" s="13">
        <f>IF(AND(Z19&gt;=50,AA19&lt;50),"🟢  Resilientes",IF(AND(Z19&gt;=50,AA19&gt;=50),"🟠  Expuestas Adaptables",IF(AND(Z19&lt;50,AA19&lt;50),"⬜  Riesgo Latente","🔴  Riesgo Crítico")))</f>
        <v/>
      </c>
      <c r="AD19" s="13">
        <f>IF(G19=0,"🚫  Inh. vigente OSCE","")</f>
        <v/>
      </c>
      <c r="AE19" s="22">
        <f>IFERROR(MATRIZ_174!W18,0)</f>
        <v/>
      </c>
      <c r="AF19" s="22">
        <f>IFERROR(MATRIZ_174!X18,0)</f>
        <v/>
      </c>
      <c r="AG19" s="22">
        <f>IFERROR(MATRIZ_174!Y18,0)</f>
        <v/>
      </c>
      <c r="AH19" s="22">
        <f>IFERROR(MATRIZ_174!Z18,0)</f>
        <v/>
      </c>
      <c r="AI19" s="17">
        <f>IFERROR(MATRIZ_174!AP18,"N/A")</f>
        <v/>
      </c>
      <c r="AJ19" s="17">
        <f>IFERROR(MATRIZ_174!AO18,"N/A")</f>
        <v/>
      </c>
      <c r="AK19" s="23">
        <f>IFERROR(ROUND(POWER((E19*F19*G19*H19*I19*J19*K19),1/7)*0.875+((L19+M19)/2)*0.125,1),"N/A")</f>
        <v/>
      </c>
      <c r="AL19" s="24">
        <f>IFERROR(IF(OR(AK19="N/A",AI19="N/A"),"N/A",ROUND(0.7*AK19+0.3*AI19*100,1)),"N/A")</f>
        <v/>
      </c>
    </row>
    <row r="20" ht="16.05" customHeight="1" s="37">
      <c r="A20" s="13" t="inlineStr">
        <is>
          <t>20170142773</t>
        </is>
      </c>
      <c r="B20" s="14" t="inlineStr">
        <is>
          <t>COOPERATIVA AGRARIA CAFETALERA BAGUA GRANDE LIMITADA</t>
        </is>
      </c>
      <c r="C20" s="13" t="inlineStr">
        <is>
          <t>AMAZONAS</t>
        </is>
      </c>
      <c r="D20" s="15" t="n">
        <v>4535378.44</v>
      </c>
      <c r="E20" s="16" t="n">
        <v>0</v>
      </c>
      <c r="F20" s="17">
        <f>IFERROR(SCORECARDS!H19,"")</f>
        <v/>
      </c>
      <c r="G20" s="17">
        <f>IFERROR(MATRIZ_174!U19,0)</f>
        <v/>
      </c>
      <c r="H20" s="16" t="n">
        <v>0</v>
      </c>
      <c r="I20" s="17">
        <f>IFERROR(SCORECARDS!I19,"")</f>
        <v/>
      </c>
      <c r="J20" s="17">
        <f>IFERROR(SCORECARDS!J19,"")</f>
        <v/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7">
        <f>IFERROR(F20,0)</f>
        <v/>
      </c>
      <c r="Q20" s="17">
        <f>IFERROR(SQRT(G20*H20),0)</f>
        <v/>
      </c>
      <c r="R20" s="17">
        <f>IFERROR((I20+J20+L20)/3,0)</f>
        <v/>
      </c>
      <c r="S20" s="17">
        <f>IFERROR((J20+F20)/2,0)</f>
        <v/>
      </c>
      <c r="T20" s="17">
        <f>IFERROR((K20+M20+MATRIZ_174!O19)/3,0)</f>
        <v/>
      </c>
      <c r="U20" s="18">
        <f>IFERROR(MIN(100,ROUND(MATRIZ_174!M19,1)),0)</f>
        <v/>
      </c>
      <c r="V20" s="18">
        <f>IFERROR(IF(E20=0,50,E20),0)</f>
        <v/>
      </c>
      <c r="W20" s="18">
        <f>IFERROR(IF(MATRIZ_174!R19=0,65,IF(MATRIZ_174!R19/MATRIZ_174!Q19&gt;=2,35,IF(MATRIZ_174!R19/MATRIZ_174!Q19&gt;=0.5,50,65))),65)</f>
        <v/>
      </c>
      <c r="X20" s="18">
        <f>IF(MATRIZ_174!O19=0,70,30)</f>
        <v/>
      </c>
      <c r="Y20" s="18">
        <f>IF(OR(MATRIZ_174!P19="ASOCIACION",MATRIZ_174!P19="PENDIENTE"),65,40)</f>
        <v/>
      </c>
      <c r="Z20" s="19">
        <f>IFERROR(ROUND(AVERAGE(P20,Q20,R20,S20,T20),1),0)</f>
        <v/>
      </c>
      <c r="AA20" s="20">
        <f>IFERROR(ROUND(AVERAGE(U20,V20,W20,X20,Y20),1),0)</f>
        <v/>
      </c>
      <c r="AB20" s="21">
        <f>IFERROR(ROUND(AA20*(1-Z20/100),1),0)</f>
        <v/>
      </c>
      <c r="AC20" s="13">
        <f>IF(AND(Z20&gt;=50,AA20&lt;50),"🟢  Resilientes",IF(AND(Z20&gt;=50,AA20&gt;=50),"🟠  Expuestas Adaptables",IF(AND(Z20&lt;50,AA20&lt;50),"⬜  Riesgo Latente","🔴  Riesgo Crítico")))</f>
        <v/>
      </c>
      <c r="AD20" s="13">
        <f>IF(G20=0,"🚫  Inh. vigente OSCE","")</f>
        <v/>
      </c>
      <c r="AE20" s="22">
        <f>IFERROR(MATRIZ_174!W19,0)</f>
        <v/>
      </c>
      <c r="AF20" s="22">
        <f>IFERROR(MATRIZ_174!X19,0)</f>
        <v/>
      </c>
      <c r="AG20" s="22">
        <f>IFERROR(MATRIZ_174!Y19,0)</f>
        <v/>
      </c>
      <c r="AH20" s="22">
        <f>IFERROR(MATRIZ_174!Z19,0)</f>
        <v/>
      </c>
      <c r="AI20" s="17">
        <f>IFERROR(MATRIZ_174!AP19,"N/A")</f>
        <v/>
      </c>
      <c r="AJ20" s="17">
        <f>IFERROR(MATRIZ_174!AO19,"N/A")</f>
        <v/>
      </c>
      <c r="AK20" s="23">
        <f>IFERROR(ROUND(POWER((E20*F20*G20*H20*I20*J20*K20),1/7)*0.875+((L20+M20)/2)*0.125,1),"N/A")</f>
        <v/>
      </c>
      <c r="AL20" s="24">
        <f>IFERROR(IF(OR(AK20="N/A",AI20="N/A"),"N/A",ROUND(0.7*AK20+0.3*AI20*100,1)),"N/A")</f>
        <v/>
      </c>
    </row>
    <row r="21" ht="16.05" customHeight="1" s="37">
      <c r="A21" s="13" t="inlineStr">
        <is>
          <t>20200880448</t>
        </is>
      </c>
      <c r="B21" s="14" t="inlineStr">
        <is>
          <t>COOPERATIVA AGRARIA CAFETALERA JORGE CHAVEZ LTDA</t>
        </is>
      </c>
      <c r="C21" s="13" t="inlineStr">
        <is>
          <t>CUSCO</t>
        </is>
      </c>
      <c r="D21" s="15" t="n">
        <v>0</v>
      </c>
      <c r="E21" s="16" t="n">
        <v>0</v>
      </c>
      <c r="F21" s="17">
        <f>IFERROR(SCORECARDS!H20,"")</f>
        <v/>
      </c>
      <c r="G21" s="17">
        <f>IFERROR(MATRIZ_174!U20,0)</f>
        <v/>
      </c>
      <c r="H21" s="16" t="n">
        <v>0</v>
      </c>
      <c r="I21" s="17">
        <f>IFERROR(SCORECARDS!I20,"")</f>
        <v/>
      </c>
      <c r="J21" s="17">
        <f>IFERROR(SCORECARDS!J20,"")</f>
        <v/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7">
        <f>IFERROR(F21,0)</f>
        <v/>
      </c>
      <c r="Q21" s="17">
        <f>IFERROR(SQRT(G21*H21),0)</f>
        <v/>
      </c>
      <c r="R21" s="17">
        <f>IFERROR((I21+J21+L21)/3,0)</f>
        <v/>
      </c>
      <c r="S21" s="17">
        <f>IFERROR((J21+F21)/2,0)</f>
        <v/>
      </c>
      <c r="T21" s="17">
        <f>IFERROR((K21+M21+MATRIZ_174!O20)/3,0)</f>
        <v/>
      </c>
      <c r="U21" s="18">
        <f>IFERROR(MIN(100,ROUND(MATRIZ_174!M20,1)),0)</f>
        <v/>
      </c>
      <c r="V21" s="18">
        <f>IFERROR(IF(E21=0,50,E21),0)</f>
        <v/>
      </c>
      <c r="W21" s="18">
        <f>IFERROR(IF(MATRIZ_174!R20=0,65,IF(MATRIZ_174!R20/MATRIZ_174!Q20&gt;=2,35,IF(MATRIZ_174!R20/MATRIZ_174!Q20&gt;=0.5,50,65))),65)</f>
        <v/>
      </c>
      <c r="X21" s="18">
        <f>IF(MATRIZ_174!O20=0,70,30)</f>
        <v/>
      </c>
      <c r="Y21" s="18">
        <f>IF(OR(MATRIZ_174!P20="ASOCIACION",MATRIZ_174!P20="PENDIENTE"),65,40)</f>
        <v/>
      </c>
      <c r="Z21" s="19">
        <f>IFERROR(ROUND(AVERAGE(P21,Q21,R21,S21,T21),1),0)</f>
        <v/>
      </c>
      <c r="AA21" s="20">
        <f>IFERROR(ROUND(AVERAGE(U21,V21,W21,X21,Y21),1),0)</f>
        <v/>
      </c>
      <c r="AB21" s="21">
        <f>IFERROR(ROUND(AA21*(1-Z21/100),1),0)</f>
        <v/>
      </c>
      <c r="AC21" s="13">
        <f>IF(AND(Z21&gt;=50,AA21&lt;50),"🟢  Resilientes",IF(AND(Z21&gt;=50,AA21&gt;=50),"🟠  Expuestas Adaptables",IF(AND(Z21&lt;50,AA21&lt;50),"⬜  Riesgo Latente","🔴  Riesgo Crítico")))</f>
        <v/>
      </c>
      <c r="AD21" s="13">
        <f>IF(G21=0,"🚫  Inh. vigente OSCE","")</f>
        <v/>
      </c>
      <c r="AE21" s="22">
        <f>IFERROR(MATRIZ_174!W20,0)</f>
        <v/>
      </c>
      <c r="AF21" s="22">
        <f>IFERROR(MATRIZ_174!X20,0)</f>
        <v/>
      </c>
      <c r="AG21" s="22">
        <f>IFERROR(MATRIZ_174!Y20,0)</f>
        <v/>
      </c>
      <c r="AH21" s="22">
        <f>IFERROR(MATRIZ_174!Z20,0)</f>
        <v/>
      </c>
      <c r="AI21" s="17">
        <f>IFERROR(MATRIZ_174!AP20,"N/A")</f>
        <v/>
      </c>
      <c r="AJ21" s="17">
        <f>IFERROR(MATRIZ_174!AO20,"N/A")</f>
        <v/>
      </c>
      <c r="AK21" s="23">
        <f>IFERROR(ROUND(POWER((E21*F21*G21*H21*I21*J21*K21),1/7)*0.875+((L21+M21)/2)*0.125,1),"N/A")</f>
        <v/>
      </c>
      <c r="AL21" s="24">
        <f>IFERROR(IF(OR(AK21="N/A",AI21="N/A"),"N/A",ROUND(0.7*AK21+0.3*AI21*100,1)),"N/A")</f>
        <v/>
      </c>
    </row>
    <row r="22" ht="16.05" customHeight="1" s="37">
      <c r="A22" s="13" t="inlineStr">
        <is>
          <t>20352417018</t>
        </is>
      </c>
      <c r="B22" s="14" t="inlineStr">
        <is>
          <t>COOPERATIVA AGRARIA DE CACAOTEROS TECNIFICADOS DE PADRE ABAD</t>
        </is>
      </c>
      <c r="C22" s="13" t="inlineStr">
        <is>
          <t>UCAYALI</t>
        </is>
      </c>
      <c r="D22" s="15" t="n">
        <v>0</v>
      </c>
      <c r="E22" s="16" t="n">
        <v>0</v>
      </c>
      <c r="F22" s="17">
        <f>IFERROR(SCORECARDS!H21,"")</f>
        <v/>
      </c>
      <c r="G22" s="17">
        <f>IFERROR(MATRIZ_174!U21,0)</f>
        <v/>
      </c>
      <c r="H22" s="16" t="n">
        <v>0</v>
      </c>
      <c r="I22" s="17">
        <f>IFERROR(SCORECARDS!I21,"")</f>
        <v/>
      </c>
      <c r="J22" s="17">
        <f>IFERROR(SCORECARDS!J21,"")</f>
        <v/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7">
        <f>IFERROR(F22,0)</f>
        <v/>
      </c>
      <c r="Q22" s="17">
        <f>IFERROR(SQRT(G22*H22),0)</f>
        <v/>
      </c>
      <c r="R22" s="17">
        <f>IFERROR((I22+J22+L22)/3,0)</f>
        <v/>
      </c>
      <c r="S22" s="17">
        <f>IFERROR((J22+F22)/2,0)</f>
        <v/>
      </c>
      <c r="T22" s="17">
        <f>IFERROR((K22+M22+MATRIZ_174!O21)/3,0)</f>
        <v/>
      </c>
      <c r="U22" s="18">
        <f>IFERROR(MIN(100,ROUND(MATRIZ_174!M21,1)),0)</f>
        <v/>
      </c>
      <c r="V22" s="18">
        <f>IFERROR(IF(E22=0,50,E22),0)</f>
        <v/>
      </c>
      <c r="W22" s="18">
        <f>IFERROR(IF(MATRIZ_174!R21=0,65,IF(MATRIZ_174!R21/MATRIZ_174!Q21&gt;=2,35,IF(MATRIZ_174!R21/MATRIZ_174!Q21&gt;=0.5,50,65))),65)</f>
        <v/>
      </c>
      <c r="X22" s="18">
        <f>IF(MATRIZ_174!O21=0,70,30)</f>
        <v/>
      </c>
      <c r="Y22" s="18">
        <f>IF(OR(MATRIZ_174!P21="ASOCIACION",MATRIZ_174!P21="PENDIENTE"),65,40)</f>
        <v/>
      </c>
      <c r="Z22" s="19">
        <f>IFERROR(ROUND(AVERAGE(P22,Q22,R22,S22,T22),1),0)</f>
        <v/>
      </c>
      <c r="AA22" s="20">
        <f>IFERROR(ROUND(AVERAGE(U22,V22,W22,X22,Y22),1),0)</f>
        <v/>
      </c>
      <c r="AB22" s="21">
        <f>IFERROR(ROUND(AA22*(1-Z22/100),1),0)</f>
        <v/>
      </c>
      <c r="AC22" s="13">
        <f>IF(AND(Z22&gt;=50,AA22&lt;50),"🟢  Resilientes",IF(AND(Z22&gt;=50,AA22&gt;=50),"🟠  Expuestas Adaptables",IF(AND(Z22&lt;50,AA22&lt;50),"⬜  Riesgo Latente","🔴  Riesgo Crítico")))</f>
        <v/>
      </c>
      <c r="AD22" s="13">
        <f>IF(G22=0,"🚫  Inh. vigente OSCE","")</f>
        <v/>
      </c>
      <c r="AE22" s="22">
        <f>IFERROR(MATRIZ_174!W21,0)</f>
        <v/>
      </c>
      <c r="AF22" s="22">
        <f>IFERROR(MATRIZ_174!X21,0)</f>
        <v/>
      </c>
      <c r="AG22" s="22">
        <f>IFERROR(MATRIZ_174!Y21,0)</f>
        <v/>
      </c>
      <c r="AH22" s="22">
        <f>IFERROR(MATRIZ_174!Z21,0)</f>
        <v/>
      </c>
      <c r="AI22" s="17">
        <f>IFERROR(MATRIZ_174!AP21,"N/A")</f>
        <v/>
      </c>
      <c r="AJ22" s="17">
        <f>IFERROR(MATRIZ_174!AO21,"N/A")</f>
        <v/>
      </c>
      <c r="AK22" s="23">
        <f>IFERROR(ROUND(POWER((E22*F22*G22*H22*I22*J22*K22),1/7)*0.875+((L22+M22)/2)*0.125,1),"N/A")</f>
        <v/>
      </c>
      <c r="AL22" s="24">
        <f>IFERROR(IF(OR(AK22="N/A",AI22="N/A"),"N/A",ROUND(0.7*AK22+0.3*AI22*100,1)),"N/A")</f>
        <v/>
      </c>
    </row>
    <row r="23" ht="16.05" customHeight="1" s="37">
      <c r="A23" s="13" t="inlineStr">
        <is>
          <t>20352423921</t>
        </is>
      </c>
      <c r="B23" s="14" t="inlineStr">
        <is>
          <t>COOPERATIVA AGRARIA CAFETALERA DIVISORIA LTDA</t>
        </is>
      </c>
      <c r="C23" s="13" t="inlineStr">
        <is>
          <t>HUANUCO</t>
        </is>
      </c>
      <c r="D23" s="15" t="n">
        <v>0</v>
      </c>
      <c r="E23" s="16" t="n">
        <v>0</v>
      </c>
      <c r="F23" s="17">
        <f>IFERROR(SCORECARDS!H22,"")</f>
        <v/>
      </c>
      <c r="G23" s="17">
        <f>IFERROR(MATRIZ_174!U22,0)</f>
        <v/>
      </c>
      <c r="H23" s="16" t="n">
        <v>0</v>
      </c>
      <c r="I23" s="17">
        <f>IFERROR(SCORECARDS!I22,"")</f>
        <v/>
      </c>
      <c r="J23" s="17">
        <f>IFERROR(SCORECARDS!J22,"")</f>
        <v/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7">
        <f>IFERROR(F23,0)</f>
        <v/>
      </c>
      <c r="Q23" s="17">
        <f>IFERROR(SQRT(G23*H23),0)</f>
        <v/>
      </c>
      <c r="R23" s="17">
        <f>IFERROR((I23+J23+L23)/3,0)</f>
        <v/>
      </c>
      <c r="S23" s="17">
        <f>IFERROR((J23+F23)/2,0)</f>
        <v/>
      </c>
      <c r="T23" s="17">
        <f>IFERROR((K23+M23+MATRIZ_174!O22)/3,0)</f>
        <v/>
      </c>
      <c r="U23" s="18">
        <f>IFERROR(MIN(100,ROUND(MATRIZ_174!M22,1)),0)</f>
        <v/>
      </c>
      <c r="V23" s="18">
        <f>IFERROR(IF(E23=0,50,E23),0)</f>
        <v/>
      </c>
      <c r="W23" s="18">
        <f>IFERROR(IF(MATRIZ_174!R22=0,65,IF(MATRIZ_174!R22/MATRIZ_174!Q22&gt;=2,35,IF(MATRIZ_174!R22/MATRIZ_174!Q22&gt;=0.5,50,65))),65)</f>
        <v/>
      </c>
      <c r="X23" s="18">
        <f>IF(MATRIZ_174!O22=0,70,30)</f>
        <v/>
      </c>
      <c r="Y23" s="18">
        <f>IF(OR(MATRIZ_174!P22="ASOCIACION",MATRIZ_174!P22="PENDIENTE"),65,40)</f>
        <v/>
      </c>
      <c r="Z23" s="19">
        <f>IFERROR(ROUND(AVERAGE(P23,Q23,R23,S23,T23),1),0)</f>
        <v/>
      </c>
      <c r="AA23" s="20">
        <f>IFERROR(ROUND(AVERAGE(U23,V23,W23,X23,Y23),1),0)</f>
        <v/>
      </c>
      <c r="AB23" s="21">
        <f>IFERROR(ROUND(AA23*(1-Z23/100),1),0)</f>
        <v/>
      </c>
      <c r="AC23" s="13">
        <f>IF(AND(Z23&gt;=50,AA23&lt;50),"🟢  Resilientes",IF(AND(Z23&gt;=50,AA23&gt;=50),"🟠  Expuestas Adaptables",IF(AND(Z23&lt;50,AA23&lt;50),"⬜  Riesgo Latente","🔴  Riesgo Crítico")))</f>
        <v/>
      </c>
      <c r="AD23" s="13">
        <f>IF(G23=0,"🚫  Inh. vigente OSCE","")</f>
        <v/>
      </c>
      <c r="AE23" s="22">
        <f>IFERROR(MATRIZ_174!W22,0)</f>
        <v/>
      </c>
      <c r="AF23" s="22">
        <f>IFERROR(MATRIZ_174!X22,0)</f>
        <v/>
      </c>
      <c r="AG23" s="22">
        <f>IFERROR(MATRIZ_174!Y22,0)</f>
        <v/>
      </c>
      <c r="AH23" s="22">
        <f>IFERROR(MATRIZ_174!Z22,0)</f>
        <v/>
      </c>
      <c r="AI23" s="17">
        <f>IFERROR(MATRIZ_174!AP22,"N/A")</f>
        <v/>
      </c>
      <c r="AJ23" s="17">
        <f>IFERROR(MATRIZ_174!AO22,"N/A")</f>
        <v/>
      </c>
      <c r="AK23" s="23">
        <f>IFERROR(ROUND(POWER((E23*F23*G23*H23*I23*J23*K23),1/7)*0.875+((L23+M23)/2)*0.125,1),"N/A")</f>
        <v/>
      </c>
      <c r="AL23" s="24">
        <f>IFERROR(IF(OR(AK23="N/A",AI23="N/A"),"N/A",ROUND(0.7*AK23+0.3*AI23*100,1)),"N/A")</f>
        <v/>
      </c>
    </row>
    <row r="24" ht="16.05" customHeight="1" s="37">
      <c r="A24" s="13" t="inlineStr">
        <is>
          <t>20393152207</t>
        </is>
      </c>
      <c r="B24" s="14" t="inlineStr">
        <is>
          <t>COOPERATIVA AGRO INDUSTRIAL APCTVASH</t>
        </is>
      </c>
      <c r="C24" s="13" t="inlineStr">
        <is>
          <t>UCAYALI</t>
        </is>
      </c>
      <c r="D24" s="15" t="n">
        <v>0</v>
      </c>
      <c r="E24" s="16" t="n">
        <v>0</v>
      </c>
      <c r="F24" s="17">
        <f>IFERROR(SCORECARDS!H23,"")</f>
        <v/>
      </c>
      <c r="G24" s="17">
        <f>IFERROR(MATRIZ_174!U23,0)</f>
        <v/>
      </c>
      <c r="H24" s="16" t="n">
        <v>0</v>
      </c>
      <c r="I24" s="17">
        <f>IFERROR(SCORECARDS!I23,"")</f>
        <v/>
      </c>
      <c r="J24" s="17">
        <f>IFERROR(SCORECARDS!J23,"")</f>
        <v/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7">
        <f>IFERROR(F24,0)</f>
        <v/>
      </c>
      <c r="Q24" s="17">
        <f>IFERROR(SQRT(G24*H24),0)</f>
        <v/>
      </c>
      <c r="R24" s="17">
        <f>IFERROR((I24+J24+L24)/3,0)</f>
        <v/>
      </c>
      <c r="S24" s="17">
        <f>IFERROR((J24+F24)/2,0)</f>
        <v/>
      </c>
      <c r="T24" s="17">
        <f>IFERROR((K24+M24+MATRIZ_174!O23)/3,0)</f>
        <v/>
      </c>
      <c r="U24" s="18">
        <f>IFERROR(MIN(100,ROUND(MATRIZ_174!M23,1)),0)</f>
        <v/>
      </c>
      <c r="V24" s="18">
        <f>IFERROR(IF(E24=0,50,E24),0)</f>
        <v/>
      </c>
      <c r="W24" s="18">
        <f>IFERROR(IF(MATRIZ_174!R23=0,65,IF(MATRIZ_174!R23/MATRIZ_174!Q23&gt;=2,35,IF(MATRIZ_174!R23/MATRIZ_174!Q23&gt;=0.5,50,65))),65)</f>
        <v/>
      </c>
      <c r="X24" s="18">
        <f>IF(MATRIZ_174!O23=0,70,30)</f>
        <v/>
      </c>
      <c r="Y24" s="18">
        <f>IF(OR(MATRIZ_174!P23="ASOCIACION",MATRIZ_174!P23="PENDIENTE"),65,40)</f>
        <v/>
      </c>
      <c r="Z24" s="19">
        <f>IFERROR(ROUND(AVERAGE(P24,Q24,R24,S24,T24),1),0)</f>
        <v/>
      </c>
      <c r="AA24" s="20">
        <f>IFERROR(ROUND(AVERAGE(U24,V24,W24,X24,Y24),1),0)</f>
        <v/>
      </c>
      <c r="AB24" s="21">
        <f>IFERROR(ROUND(AA24*(1-Z24/100),1),0)</f>
        <v/>
      </c>
      <c r="AC24" s="13">
        <f>IF(AND(Z24&gt;=50,AA24&lt;50),"🟢  Resilientes",IF(AND(Z24&gt;=50,AA24&gt;=50),"🟠  Expuestas Adaptables",IF(AND(Z24&lt;50,AA24&lt;50),"⬜  Riesgo Latente","🔴  Riesgo Crítico")))</f>
        <v/>
      </c>
      <c r="AD24" s="13">
        <f>IF(G24=0,"🚫  Inh. vigente OSCE","")</f>
        <v/>
      </c>
      <c r="AE24" s="22">
        <f>IFERROR(MATRIZ_174!W23,0)</f>
        <v/>
      </c>
      <c r="AF24" s="22">
        <f>IFERROR(MATRIZ_174!X23,0)</f>
        <v/>
      </c>
      <c r="AG24" s="22">
        <f>IFERROR(MATRIZ_174!Y23,0)</f>
        <v/>
      </c>
      <c r="AH24" s="22">
        <f>IFERROR(MATRIZ_174!Z23,0)</f>
        <v/>
      </c>
      <c r="AI24" s="17">
        <f>IFERROR(MATRIZ_174!AP23,"N/A")</f>
        <v/>
      </c>
      <c r="AJ24" s="17">
        <f>IFERROR(MATRIZ_174!AO23,"N/A")</f>
        <v/>
      </c>
      <c r="AK24" s="23">
        <f>IFERROR(ROUND(POWER((E24*F24*G24*H24*I24*J24*K24),1/7)*0.875+((L24+M24)/2)*0.125,1),"N/A")</f>
        <v/>
      </c>
      <c r="AL24" s="24">
        <f>IFERROR(IF(OR(AK24="N/A",AI24="N/A"),"N/A",ROUND(0.7*AK24+0.3*AI24*100,1)),"N/A")</f>
        <v/>
      </c>
    </row>
    <row r="25" ht="16.05" customHeight="1" s="37">
      <c r="A25" s="13" t="inlineStr">
        <is>
          <t>20393593670</t>
        </is>
      </c>
      <c r="B25" s="14" t="inlineStr">
        <is>
          <t>COMITE CENTRAL CON DESARROLLO AL FUTURO DE CURIMANA</t>
        </is>
      </c>
      <c r="C25" s="13" t="inlineStr">
        <is>
          <t>UCAYALI</t>
        </is>
      </c>
      <c r="D25" s="15" t="n">
        <v>0</v>
      </c>
      <c r="E25" s="16" t="n">
        <v>0</v>
      </c>
      <c r="F25" s="17">
        <f>IFERROR(SCORECARDS!H24,"")</f>
        <v/>
      </c>
      <c r="G25" s="17">
        <f>IFERROR(MATRIZ_174!U24,0)</f>
        <v/>
      </c>
      <c r="H25" s="16" t="n">
        <v>0</v>
      </c>
      <c r="I25" s="17">
        <f>IFERROR(SCORECARDS!I24,"")</f>
        <v/>
      </c>
      <c r="J25" s="17">
        <f>IFERROR(SCORECARDS!J24,"")</f>
        <v/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7">
        <f>IFERROR(F25,0)</f>
        <v/>
      </c>
      <c r="Q25" s="17">
        <f>IFERROR(SQRT(G25*H25),0)</f>
        <v/>
      </c>
      <c r="R25" s="17">
        <f>IFERROR((I25+J25+L25)/3,0)</f>
        <v/>
      </c>
      <c r="S25" s="17">
        <f>IFERROR((J25+F25)/2,0)</f>
        <v/>
      </c>
      <c r="T25" s="17">
        <f>IFERROR((K25+M25+MATRIZ_174!O24)/3,0)</f>
        <v/>
      </c>
      <c r="U25" s="18">
        <f>IFERROR(MIN(100,ROUND(MATRIZ_174!M24,1)),0)</f>
        <v/>
      </c>
      <c r="V25" s="18">
        <f>IFERROR(IF(E25=0,50,E25),0)</f>
        <v/>
      </c>
      <c r="W25" s="18">
        <f>IFERROR(IF(MATRIZ_174!R24=0,65,IF(MATRIZ_174!R24/MATRIZ_174!Q24&gt;=2,35,IF(MATRIZ_174!R24/MATRIZ_174!Q24&gt;=0.5,50,65))),65)</f>
        <v/>
      </c>
      <c r="X25" s="18">
        <f>IF(MATRIZ_174!O24=0,70,30)</f>
        <v/>
      </c>
      <c r="Y25" s="18">
        <f>IF(OR(MATRIZ_174!P24="ASOCIACION",MATRIZ_174!P24="PENDIENTE"),65,40)</f>
        <v/>
      </c>
      <c r="Z25" s="19">
        <f>IFERROR(ROUND(AVERAGE(P25,Q25,R25,S25,T25),1),0)</f>
        <v/>
      </c>
      <c r="AA25" s="20">
        <f>IFERROR(ROUND(AVERAGE(U25,V25,W25,X25,Y25),1),0)</f>
        <v/>
      </c>
      <c r="AB25" s="21">
        <f>IFERROR(ROUND(AA25*(1-Z25/100),1),0)</f>
        <v/>
      </c>
      <c r="AC25" s="13">
        <f>IF(AND(Z25&gt;=50,AA25&lt;50),"🟢  Resilientes",IF(AND(Z25&gt;=50,AA25&gt;=50),"🟠  Expuestas Adaptables",IF(AND(Z25&lt;50,AA25&lt;50),"⬜  Riesgo Latente","🔴  Riesgo Crítico")))</f>
        <v/>
      </c>
      <c r="AD25" s="13">
        <f>IF(G25=0,"🚫  Inh. vigente OSCE","")</f>
        <v/>
      </c>
      <c r="AE25" s="22">
        <f>IFERROR(MATRIZ_174!W24,0)</f>
        <v/>
      </c>
      <c r="AF25" s="22">
        <f>IFERROR(MATRIZ_174!X24,0)</f>
        <v/>
      </c>
      <c r="AG25" s="22">
        <f>IFERROR(MATRIZ_174!Y24,0)</f>
        <v/>
      </c>
      <c r="AH25" s="22">
        <f>IFERROR(MATRIZ_174!Z24,0)</f>
        <v/>
      </c>
      <c r="AI25" s="17">
        <f>IFERROR(MATRIZ_174!AP24,"N/A")</f>
        <v/>
      </c>
      <c r="AJ25" s="17">
        <f>IFERROR(MATRIZ_174!AO24,"N/A")</f>
        <v/>
      </c>
      <c r="AK25" s="23">
        <f>IFERROR(ROUND(POWER((E25*F25*G25*H25*I25*J25*K25),1/7)*0.875+((L25+M25)/2)*0.125,1),"N/A")</f>
        <v/>
      </c>
      <c r="AL25" s="24">
        <f>IFERROR(IF(OR(AK25="N/A",AI25="N/A"),"N/A",ROUND(0.7*AK25+0.3*AI25*100,1)),"N/A")</f>
        <v/>
      </c>
    </row>
    <row r="26" ht="16.05" customHeight="1" s="37">
      <c r="A26" s="13" t="inlineStr">
        <is>
          <t>20393692228</t>
        </is>
      </c>
      <c r="B26" s="14" t="inlineStr">
        <is>
          <t>COOPERATIVA AGRARIA CACAOTERA SAN ALEJANDRO LTDA</t>
        </is>
      </c>
      <c r="C26" s="13" t="inlineStr">
        <is>
          <t>UCAYALI</t>
        </is>
      </c>
      <c r="D26" s="15" t="n">
        <v>0</v>
      </c>
      <c r="E26" s="16" t="n">
        <v>0</v>
      </c>
      <c r="F26" s="17">
        <f>IFERROR(SCORECARDS!H25,"")</f>
        <v/>
      </c>
      <c r="G26" s="17">
        <f>IFERROR(MATRIZ_174!U25,0)</f>
        <v/>
      </c>
      <c r="H26" s="16" t="n">
        <v>0</v>
      </c>
      <c r="I26" s="17">
        <f>IFERROR(SCORECARDS!I25,"")</f>
        <v/>
      </c>
      <c r="J26" s="17">
        <f>IFERROR(SCORECARDS!J25,"")</f>
        <v/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7">
        <f>IFERROR(F26,0)</f>
        <v/>
      </c>
      <c r="Q26" s="17">
        <f>IFERROR(SQRT(G26*H26),0)</f>
        <v/>
      </c>
      <c r="R26" s="17">
        <f>IFERROR((I26+J26+L26)/3,0)</f>
        <v/>
      </c>
      <c r="S26" s="17">
        <f>IFERROR((J26+F26)/2,0)</f>
        <v/>
      </c>
      <c r="T26" s="17">
        <f>IFERROR((K26+M26+MATRIZ_174!O25)/3,0)</f>
        <v/>
      </c>
      <c r="U26" s="18">
        <f>IFERROR(MIN(100,ROUND(MATRIZ_174!M25,1)),0)</f>
        <v/>
      </c>
      <c r="V26" s="18">
        <f>IFERROR(IF(E26=0,50,E26),0)</f>
        <v/>
      </c>
      <c r="W26" s="18">
        <f>IFERROR(IF(MATRIZ_174!R25=0,65,IF(MATRIZ_174!R25/MATRIZ_174!Q25&gt;=2,35,IF(MATRIZ_174!R25/MATRIZ_174!Q25&gt;=0.5,50,65))),65)</f>
        <v/>
      </c>
      <c r="X26" s="18">
        <f>IF(MATRIZ_174!O25=0,70,30)</f>
        <v/>
      </c>
      <c r="Y26" s="18">
        <f>IF(OR(MATRIZ_174!P25="ASOCIACION",MATRIZ_174!P25="PENDIENTE"),65,40)</f>
        <v/>
      </c>
      <c r="Z26" s="19">
        <f>IFERROR(ROUND(AVERAGE(P26,Q26,R26,S26,T26),1),0)</f>
        <v/>
      </c>
      <c r="AA26" s="20">
        <f>IFERROR(ROUND(AVERAGE(U26,V26,W26,X26,Y26),1),0)</f>
        <v/>
      </c>
      <c r="AB26" s="21">
        <f>IFERROR(ROUND(AA26*(1-Z26/100),1),0)</f>
        <v/>
      </c>
      <c r="AC26" s="13">
        <f>IF(AND(Z26&gt;=50,AA26&lt;50),"🟢  Resilientes",IF(AND(Z26&gt;=50,AA26&gt;=50),"🟠  Expuestas Adaptables",IF(AND(Z26&lt;50,AA26&lt;50),"⬜  Riesgo Latente","🔴  Riesgo Crítico")))</f>
        <v/>
      </c>
      <c r="AD26" s="13">
        <f>IF(G26=0,"🚫  Inh. vigente OSCE","")</f>
        <v/>
      </c>
      <c r="AE26" s="22">
        <f>IFERROR(MATRIZ_174!W25,0)</f>
        <v/>
      </c>
      <c r="AF26" s="22">
        <f>IFERROR(MATRIZ_174!X25,0)</f>
        <v/>
      </c>
      <c r="AG26" s="22">
        <f>IFERROR(MATRIZ_174!Y25,0)</f>
        <v/>
      </c>
      <c r="AH26" s="22">
        <f>IFERROR(MATRIZ_174!Z25,0)</f>
        <v/>
      </c>
      <c r="AI26" s="17">
        <f>IFERROR(MATRIZ_174!AP25,"N/A")</f>
        <v/>
      </c>
      <c r="AJ26" s="17">
        <f>IFERROR(MATRIZ_174!AO25,"N/A")</f>
        <v/>
      </c>
      <c r="AK26" s="23">
        <f>IFERROR(ROUND(POWER((E26*F26*G26*H26*I26*J26*K26),1/7)*0.875+((L26+M26)/2)*0.125,1),"N/A")</f>
        <v/>
      </c>
      <c r="AL26" s="24">
        <f>IFERROR(IF(OR(AK26="N/A",AI26="N/A"),"N/A",ROUND(0.7*AK26+0.3*AI26*100,1)),"N/A")</f>
        <v/>
      </c>
    </row>
    <row r="27" ht="16.05" customHeight="1" s="37">
      <c r="A27" s="13" t="inlineStr">
        <is>
          <t>20393786044</t>
        </is>
      </c>
      <c r="B27" s="14" t="inlineStr">
        <is>
          <t>COOPERATIVA AGRARIA CAFETALERA COORDILLERA AZUL DE UCAYALI L</t>
        </is>
      </c>
      <c r="C27" s="13" t="inlineStr">
        <is>
          <t>UCAYALI</t>
        </is>
      </c>
      <c r="D27" s="15" t="n">
        <v>0</v>
      </c>
      <c r="E27" s="16" t="n">
        <v>0</v>
      </c>
      <c r="F27" s="17">
        <f>IFERROR(SCORECARDS!H26,"")</f>
        <v/>
      </c>
      <c r="G27" s="17">
        <f>IFERROR(MATRIZ_174!U26,0)</f>
        <v/>
      </c>
      <c r="H27" s="16" t="n">
        <v>0</v>
      </c>
      <c r="I27" s="17">
        <f>IFERROR(SCORECARDS!I26,"")</f>
        <v/>
      </c>
      <c r="J27" s="17">
        <f>IFERROR(SCORECARDS!J26,"")</f>
        <v/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7">
        <f>IFERROR(F27,0)</f>
        <v/>
      </c>
      <c r="Q27" s="17">
        <f>IFERROR(SQRT(G27*H27),0)</f>
        <v/>
      </c>
      <c r="R27" s="17">
        <f>IFERROR((I27+J27+L27)/3,0)</f>
        <v/>
      </c>
      <c r="S27" s="17">
        <f>IFERROR((J27+F27)/2,0)</f>
        <v/>
      </c>
      <c r="T27" s="17">
        <f>IFERROR((K27+M27+MATRIZ_174!O26)/3,0)</f>
        <v/>
      </c>
      <c r="U27" s="18">
        <f>IFERROR(MIN(100,ROUND(MATRIZ_174!M26,1)),0)</f>
        <v/>
      </c>
      <c r="V27" s="18">
        <f>IFERROR(IF(E27=0,50,E27),0)</f>
        <v/>
      </c>
      <c r="W27" s="18">
        <f>IFERROR(IF(MATRIZ_174!R26=0,65,IF(MATRIZ_174!R26/MATRIZ_174!Q26&gt;=2,35,IF(MATRIZ_174!R26/MATRIZ_174!Q26&gt;=0.5,50,65))),65)</f>
        <v/>
      </c>
      <c r="X27" s="18">
        <f>IF(MATRIZ_174!O26=0,70,30)</f>
        <v/>
      </c>
      <c r="Y27" s="18">
        <f>IF(OR(MATRIZ_174!P26="ASOCIACION",MATRIZ_174!P26="PENDIENTE"),65,40)</f>
        <v/>
      </c>
      <c r="Z27" s="19">
        <f>IFERROR(ROUND(AVERAGE(P27,Q27,R27,S27,T27),1),0)</f>
        <v/>
      </c>
      <c r="AA27" s="20">
        <f>IFERROR(ROUND(AVERAGE(U27,V27,W27,X27,Y27),1),0)</f>
        <v/>
      </c>
      <c r="AB27" s="21">
        <f>IFERROR(ROUND(AA27*(1-Z27/100),1),0)</f>
        <v/>
      </c>
      <c r="AC27" s="13">
        <f>IF(AND(Z27&gt;=50,AA27&lt;50),"🟢  Resilientes",IF(AND(Z27&gt;=50,AA27&gt;=50),"🟠  Expuestas Adaptables",IF(AND(Z27&lt;50,AA27&lt;50),"⬜  Riesgo Latente","🔴  Riesgo Crítico")))</f>
        <v/>
      </c>
      <c r="AD27" s="13">
        <f>IF(G27=0,"🚫  Inh. vigente OSCE","")</f>
        <v/>
      </c>
      <c r="AE27" s="22">
        <f>IFERROR(MATRIZ_174!W26,0)</f>
        <v/>
      </c>
      <c r="AF27" s="22">
        <f>IFERROR(MATRIZ_174!X26,0)</f>
        <v/>
      </c>
      <c r="AG27" s="22">
        <f>IFERROR(MATRIZ_174!Y26,0)</f>
        <v/>
      </c>
      <c r="AH27" s="22">
        <f>IFERROR(MATRIZ_174!Z26,0)</f>
        <v/>
      </c>
      <c r="AI27" s="17">
        <f>IFERROR(MATRIZ_174!AP26,"N/A")</f>
        <v/>
      </c>
      <c r="AJ27" s="17">
        <f>IFERROR(MATRIZ_174!AO26,"N/A")</f>
        <v/>
      </c>
      <c r="AK27" s="23">
        <f>IFERROR(ROUND(POWER((E27*F27*G27*H27*I27*J27*K27),1/7)*0.875+((L27+M27)/2)*0.125,1),"N/A")</f>
        <v/>
      </c>
      <c r="AL27" s="24">
        <f>IFERROR(IF(OR(AK27="N/A",AI27="N/A"),"N/A",ROUND(0.7*AK27+0.3*AI27*100,1)),"N/A")</f>
        <v/>
      </c>
    </row>
    <row r="28" ht="16.05" customHeight="1" s="37">
      <c r="A28" s="13" t="inlineStr">
        <is>
          <t>20393816211</t>
        </is>
      </c>
      <c r="B28" s="14" t="inlineStr">
        <is>
          <t>COOPERATIVA AGRARIA SAN JUAN BAUTISTA</t>
        </is>
      </c>
      <c r="C28" s="13" t="inlineStr">
        <is>
          <t>UCAYALI</t>
        </is>
      </c>
      <c r="D28" s="15" t="n">
        <v>0</v>
      </c>
      <c r="E28" s="16" t="n">
        <v>0</v>
      </c>
      <c r="F28" s="17">
        <f>IFERROR(SCORECARDS!H27,"")</f>
        <v/>
      </c>
      <c r="G28" s="17">
        <f>IFERROR(MATRIZ_174!U27,0)</f>
        <v/>
      </c>
      <c r="H28" s="16" t="n">
        <v>0</v>
      </c>
      <c r="I28" s="17">
        <f>IFERROR(SCORECARDS!I27,"")</f>
        <v/>
      </c>
      <c r="J28" s="17">
        <f>IFERROR(SCORECARDS!J27,"")</f>
        <v/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7">
        <f>IFERROR(F28,0)</f>
        <v/>
      </c>
      <c r="Q28" s="17">
        <f>IFERROR(SQRT(G28*H28),0)</f>
        <v/>
      </c>
      <c r="R28" s="17">
        <f>IFERROR((I28+J28+L28)/3,0)</f>
        <v/>
      </c>
      <c r="S28" s="17">
        <f>IFERROR((J28+F28)/2,0)</f>
        <v/>
      </c>
      <c r="T28" s="17">
        <f>IFERROR((K28+M28+MATRIZ_174!O27)/3,0)</f>
        <v/>
      </c>
      <c r="U28" s="18">
        <f>IFERROR(MIN(100,ROUND(MATRIZ_174!M27,1)),0)</f>
        <v/>
      </c>
      <c r="V28" s="18">
        <f>IFERROR(IF(E28=0,50,E28),0)</f>
        <v/>
      </c>
      <c r="W28" s="18">
        <f>IFERROR(IF(MATRIZ_174!R27=0,65,IF(MATRIZ_174!R27/MATRIZ_174!Q27&gt;=2,35,IF(MATRIZ_174!R27/MATRIZ_174!Q27&gt;=0.5,50,65))),65)</f>
        <v/>
      </c>
      <c r="X28" s="18">
        <f>IF(MATRIZ_174!O27=0,70,30)</f>
        <v/>
      </c>
      <c r="Y28" s="18">
        <f>IF(OR(MATRIZ_174!P27="ASOCIACION",MATRIZ_174!P27="PENDIENTE"),65,40)</f>
        <v/>
      </c>
      <c r="Z28" s="19">
        <f>IFERROR(ROUND(AVERAGE(P28,Q28,R28,S28,T28),1),0)</f>
        <v/>
      </c>
      <c r="AA28" s="20">
        <f>IFERROR(ROUND(AVERAGE(U28,V28,W28,X28,Y28),1),0)</f>
        <v/>
      </c>
      <c r="AB28" s="21">
        <f>IFERROR(ROUND(AA28*(1-Z28/100),1),0)</f>
        <v/>
      </c>
      <c r="AC28" s="13">
        <f>IF(AND(Z28&gt;=50,AA28&lt;50),"🟢  Resilientes",IF(AND(Z28&gt;=50,AA28&gt;=50),"🟠  Expuestas Adaptables",IF(AND(Z28&lt;50,AA28&lt;50),"⬜  Riesgo Latente","🔴  Riesgo Crítico")))</f>
        <v/>
      </c>
      <c r="AD28" s="13">
        <f>IF(G28=0,"🚫  Inh. vigente OSCE","")</f>
        <v/>
      </c>
      <c r="AE28" s="22">
        <f>IFERROR(MATRIZ_174!W27,0)</f>
        <v/>
      </c>
      <c r="AF28" s="22">
        <f>IFERROR(MATRIZ_174!X27,0)</f>
        <v/>
      </c>
      <c r="AG28" s="22">
        <f>IFERROR(MATRIZ_174!Y27,0)</f>
        <v/>
      </c>
      <c r="AH28" s="22">
        <f>IFERROR(MATRIZ_174!Z27,0)</f>
        <v/>
      </c>
      <c r="AI28" s="17">
        <f>IFERROR(MATRIZ_174!AP27,"N/A")</f>
        <v/>
      </c>
      <c r="AJ28" s="17">
        <f>IFERROR(MATRIZ_174!AO27,"N/A")</f>
        <v/>
      </c>
      <c r="AK28" s="23">
        <f>IFERROR(ROUND(POWER((E28*F28*G28*H28*I28*J28*K28),1/7)*0.875+((L28+M28)/2)*0.125,1),"N/A")</f>
        <v/>
      </c>
      <c r="AL28" s="24">
        <f>IFERROR(IF(OR(AK28="N/A",AI28="N/A"),"N/A",ROUND(0.7*AK28+0.3*AI28*100,1)),"N/A")</f>
        <v/>
      </c>
    </row>
    <row r="29" ht="16.05" customHeight="1" s="37">
      <c r="A29" s="13" t="inlineStr">
        <is>
          <t>20393882868</t>
        </is>
      </c>
      <c r="B29" s="14" t="inlineStr">
        <is>
          <t>COOPERATIVA AGRARIA ASCAH</t>
        </is>
      </c>
      <c r="C29" s="13" t="inlineStr">
        <is>
          <t>UCAYALI</t>
        </is>
      </c>
      <c r="D29" s="15" t="n">
        <v>0</v>
      </c>
      <c r="E29" s="16" t="n">
        <v>0</v>
      </c>
      <c r="F29" s="17">
        <f>IFERROR(SCORECARDS!H28,"")</f>
        <v/>
      </c>
      <c r="G29" s="17">
        <f>IFERROR(MATRIZ_174!U28,0)</f>
        <v/>
      </c>
      <c r="H29" s="16" t="n">
        <v>0</v>
      </c>
      <c r="I29" s="17">
        <f>IFERROR(SCORECARDS!I28,"")</f>
        <v/>
      </c>
      <c r="J29" s="17">
        <f>IFERROR(SCORECARDS!J28,"")</f>
        <v/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7">
        <f>IFERROR(F29,0)</f>
        <v/>
      </c>
      <c r="Q29" s="17">
        <f>IFERROR(SQRT(G29*H29),0)</f>
        <v/>
      </c>
      <c r="R29" s="17">
        <f>IFERROR((I29+J29+L29)/3,0)</f>
        <v/>
      </c>
      <c r="S29" s="17">
        <f>IFERROR((J29+F29)/2,0)</f>
        <v/>
      </c>
      <c r="T29" s="17">
        <f>IFERROR((K29+M29+MATRIZ_174!O28)/3,0)</f>
        <v/>
      </c>
      <c r="U29" s="18">
        <f>IFERROR(MIN(100,ROUND(MATRIZ_174!M28,1)),0)</f>
        <v/>
      </c>
      <c r="V29" s="18">
        <f>IFERROR(IF(E29=0,50,E29),0)</f>
        <v/>
      </c>
      <c r="W29" s="18">
        <f>IFERROR(IF(MATRIZ_174!R28=0,65,IF(MATRIZ_174!R28/MATRIZ_174!Q28&gt;=2,35,IF(MATRIZ_174!R28/MATRIZ_174!Q28&gt;=0.5,50,65))),65)</f>
        <v/>
      </c>
      <c r="X29" s="18">
        <f>IF(MATRIZ_174!O28=0,70,30)</f>
        <v/>
      </c>
      <c r="Y29" s="18">
        <f>IF(OR(MATRIZ_174!P28="ASOCIACION",MATRIZ_174!P28="PENDIENTE"),65,40)</f>
        <v/>
      </c>
      <c r="Z29" s="19">
        <f>IFERROR(ROUND(AVERAGE(P29,Q29,R29,S29,T29),1),0)</f>
        <v/>
      </c>
      <c r="AA29" s="20">
        <f>IFERROR(ROUND(AVERAGE(U29,V29,W29,X29,Y29),1),0)</f>
        <v/>
      </c>
      <c r="AB29" s="21">
        <f>IFERROR(ROUND(AA29*(1-Z29/100),1),0)</f>
        <v/>
      </c>
      <c r="AC29" s="13">
        <f>IF(AND(Z29&gt;=50,AA29&lt;50),"🟢  Resilientes",IF(AND(Z29&gt;=50,AA29&gt;=50),"🟠  Expuestas Adaptables",IF(AND(Z29&lt;50,AA29&lt;50),"⬜  Riesgo Latente","🔴  Riesgo Crítico")))</f>
        <v/>
      </c>
      <c r="AD29" s="13">
        <f>IF(G29=0,"🚫  Inh. vigente OSCE","")</f>
        <v/>
      </c>
      <c r="AE29" s="22">
        <f>IFERROR(MATRIZ_174!W28,0)</f>
        <v/>
      </c>
      <c r="AF29" s="22">
        <f>IFERROR(MATRIZ_174!X28,0)</f>
        <v/>
      </c>
      <c r="AG29" s="22">
        <f>IFERROR(MATRIZ_174!Y28,0)</f>
        <v/>
      </c>
      <c r="AH29" s="22">
        <f>IFERROR(MATRIZ_174!Z28,0)</f>
        <v/>
      </c>
      <c r="AI29" s="17">
        <f>IFERROR(MATRIZ_174!AP28,"N/A")</f>
        <v/>
      </c>
      <c r="AJ29" s="17">
        <f>IFERROR(MATRIZ_174!AO28,"N/A")</f>
        <v/>
      </c>
      <c r="AK29" s="23">
        <f>IFERROR(ROUND(POWER((E29*F29*G29*H29*I29*J29*K29),1/7)*0.875+((L29+M29)/2)*0.125,1),"N/A")</f>
        <v/>
      </c>
      <c r="AL29" s="24">
        <f>IFERROR(IF(OR(AK29="N/A",AI29="N/A"),"N/A",ROUND(0.7*AK29+0.3*AI29*100,1)),"N/A")</f>
        <v/>
      </c>
    </row>
    <row r="30" ht="16.05" customHeight="1" s="37">
      <c r="A30" s="13" t="inlineStr">
        <is>
          <t>20393972000</t>
        </is>
      </c>
      <c r="B30" s="14" t="inlineStr">
        <is>
          <t>ASOCIACION DE MUJERES EMPRENDEDORAS FLOR DE BOQUERON</t>
        </is>
      </c>
      <c r="C30" s="13" t="inlineStr">
        <is>
          <t>UCAYALI</t>
        </is>
      </c>
      <c r="D30" s="15" t="n">
        <v>0</v>
      </c>
      <c r="E30" s="16" t="n">
        <v>0</v>
      </c>
      <c r="F30" s="17">
        <f>IFERROR(SCORECARDS!H29,"")</f>
        <v/>
      </c>
      <c r="G30" s="17">
        <f>IFERROR(MATRIZ_174!U29,0)</f>
        <v/>
      </c>
      <c r="H30" s="16" t="n">
        <v>0</v>
      </c>
      <c r="I30" s="17">
        <f>IFERROR(SCORECARDS!I29,"")</f>
        <v/>
      </c>
      <c r="J30" s="17">
        <f>IFERROR(SCORECARDS!J29,"")</f>
        <v/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7">
        <f>IFERROR(F30,0)</f>
        <v/>
      </c>
      <c r="Q30" s="17">
        <f>IFERROR(SQRT(G30*H30),0)</f>
        <v/>
      </c>
      <c r="R30" s="17">
        <f>IFERROR((I30+J30+L30)/3,0)</f>
        <v/>
      </c>
      <c r="S30" s="17">
        <f>IFERROR((J30+F30)/2,0)</f>
        <v/>
      </c>
      <c r="T30" s="17">
        <f>IFERROR((K30+M30+MATRIZ_174!O29)/3,0)</f>
        <v/>
      </c>
      <c r="U30" s="18">
        <f>IFERROR(MIN(100,ROUND(MATRIZ_174!M29,1)),0)</f>
        <v/>
      </c>
      <c r="V30" s="18">
        <f>IFERROR(IF(E30=0,50,E30),0)</f>
        <v/>
      </c>
      <c r="W30" s="18">
        <f>IFERROR(IF(MATRIZ_174!R29=0,65,IF(MATRIZ_174!R29/MATRIZ_174!Q29&gt;=2,35,IF(MATRIZ_174!R29/MATRIZ_174!Q29&gt;=0.5,50,65))),65)</f>
        <v/>
      </c>
      <c r="X30" s="18">
        <f>IF(MATRIZ_174!O29=0,70,30)</f>
        <v/>
      </c>
      <c r="Y30" s="18">
        <f>IF(OR(MATRIZ_174!P29="ASOCIACION",MATRIZ_174!P29="PENDIENTE"),65,40)</f>
        <v/>
      </c>
      <c r="Z30" s="19">
        <f>IFERROR(ROUND(AVERAGE(P30,Q30,R30,S30,T30),1),0)</f>
        <v/>
      </c>
      <c r="AA30" s="20">
        <f>IFERROR(ROUND(AVERAGE(U30,V30,W30,X30,Y30),1),0)</f>
        <v/>
      </c>
      <c r="AB30" s="21">
        <f>IFERROR(ROUND(AA30*(1-Z30/100),1),0)</f>
        <v/>
      </c>
      <c r="AC30" s="13">
        <f>IF(AND(Z30&gt;=50,AA30&lt;50),"🟢  Resilientes",IF(AND(Z30&gt;=50,AA30&gt;=50),"🟠  Expuestas Adaptables",IF(AND(Z30&lt;50,AA30&lt;50),"⬜  Riesgo Latente","🔴  Riesgo Crítico")))</f>
        <v/>
      </c>
      <c r="AD30" s="13">
        <f>IF(G30=0,"🚫  Inh. vigente OSCE","")</f>
        <v/>
      </c>
      <c r="AE30" s="22">
        <f>IFERROR(MATRIZ_174!W29,0)</f>
        <v/>
      </c>
      <c r="AF30" s="22">
        <f>IFERROR(MATRIZ_174!X29,0)</f>
        <v/>
      </c>
      <c r="AG30" s="22">
        <f>IFERROR(MATRIZ_174!Y29,0)</f>
        <v/>
      </c>
      <c r="AH30" s="22">
        <f>IFERROR(MATRIZ_174!Z29,0)</f>
        <v/>
      </c>
      <c r="AI30" s="17">
        <f>IFERROR(MATRIZ_174!AP29,"N/A")</f>
        <v/>
      </c>
      <c r="AJ30" s="17">
        <f>IFERROR(MATRIZ_174!AO29,"N/A")</f>
        <v/>
      </c>
      <c r="AK30" s="23">
        <f>IFERROR(ROUND(POWER((E30*F30*G30*H30*I30*J30*K30),1/7)*0.875+((L30+M30)/2)*0.125,1),"N/A")</f>
        <v/>
      </c>
      <c r="AL30" s="24">
        <f>IFERROR(IF(OR(AK30="N/A",AI30="N/A"),"N/A",ROUND(0.7*AK30+0.3*AI30*100,1)),"N/A")</f>
        <v/>
      </c>
    </row>
    <row r="31" ht="16.05" customHeight="1" s="37">
      <c r="A31" s="13" t="inlineStr">
        <is>
          <t>20447888701</t>
        </is>
      </c>
      <c r="B31" s="14" t="inlineStr">
        <is>
          <t>COOPERATIVA AGRARIA INDUSTRIAL SAN GABAN LTDA.</t>
        </is>
      </c>
      <c r="C31" s="13" t="inlineStr">
        <is>
          <t>PUNO</t>
        </is>
      </c>
      <c r="D31" s="15" t="n">
        <v>0</v>
      </c>
      <c r="E31" s="16" t="n">
        <v>0</v>
      </c>
      <c r="F31" s="17">
        <f>IFERROR(SCORECARDS!H30,"")</f>
        <v/>
      </c>
      <c r="G31" s="17">
        <f>IFERROR(MATRIZ_174!U30,0)</f>
        <v/>
      </c>
      <c r="H31" s="16" t="n">
        <v>0</v>
      </c>
      <c r="I31" s="17">
        <f>IFERROR(SCORECARDS!I30,"")</f>
        <v/>
      </c>
      <c r="J31" s="17">
        <f>IFERROR(SCORECARDS!J30,"")</f>
        <v/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7">
        <f>IFERROR(F31,0)</f>
        <v/>
      </c>
      <c r="Q31" s="17">
        <f>IFERROR(SQRT(G31*H31),0)</f>
        <v/>
      </c>
      <c r="R31" s="17">
        <f>IFERROR((I31+J31+L31)/3,0)</f>
        <v/>
      </c>
      <c r="S31" s="17">
        <f>IFERROR((J31+F31)/2,0)</f>
        <v/>
      </c>
      <c r="T31" s="17">
        <f>IFERROR((K31+M31+MATRIZ_174!O30)/3,0)</f>
        <v/>
      </c>
      <c r="U31" s="18">
        <f>IFERROR(MIN(100,ROUND(MATRIZ_174!M30,1)),0)</f>
        <v/>
      </c>
      <c r="V31" s="18">
        <f>IFERROR(IF(E31=0,50,E31),0)</f>
        <v/>
      </c>
      <c r="W31" s="18">
        <f>IFERROR(IF(MATRIZ_174!R30=0,65,IF(MATRIZ_174!R30/MATRIZ_174!Q30&gt;=2,35,IF(MATRIZ_174!R30/MATRIZ_174!Q30&gt;=0.5,50,65))),65)</f>
        <v/>
      </c>
      <c r="X31" s="18">
        <f>IF(MATRIZ_174!O30=0,70,30)</f>
        <v/>
      </c>
      <c r="Y31" s="18">
        <f>IF(OR(MATRIZ_174!P30="ASOCIACION",MATRIZ_174!P30="PENDIENTE"),65,40)</f>
        <v/>
      </c>
      <c r="Z31" s="19">
        <f>IFERROR(ROUND(AVERAGE(P31,Q31,R31,S31,T31),1),0)</f>
        <v/>
      </c>
      <c r="AA31" s="20">
        <f>IFERROR(ROUND(AVERAGE(U31,V31,W31,X31,Y31),1),0)</f>
        <v/>
      </c>
      <c r="AB31" s="21">
        <f>IFERROR(ROUND(AA31*(1-Z31/100),1),0)</f>
        <v/>
      </c>
      <c r="AC31" s="13">
        <f>IF(AND(Z31&gt;=50,AA31&lt;50),"🟢  Resilientes",IF(AND(Z31&gt;=50,AA31&gt;=50),"🟠  Expuestas Adaptables",IF(AND(Z31&lt;50,AA31&lt;50),"⬜  Riesgo Latente","🔴  Riesgo Crítico")))</f>
        <v/>
      </c>
      <c r="AD31" s="13">
        <f>IF(G31=0,"🚫  Inh. vigente OSCE","")</f>
        <v/>
      </c>
      <c r="AE31" s="22">
        <f>IFERROR(MATRIZ_174!W30,0)</f>
        <v/>
      </c>
      <c r="AF31" s="22">
        <f>IFERROR(MATRIZ_174!X30,0)</f>
        <v/>
      </c>
      <c r="AG31" s="22">
        <f>IFERROR(MATRIZ_174!Y30,0)</f>
        <v/>
      </c>
      <c r="AH31" s="22">
        <f>IFERROR(MATRIZ_174!Z30,0)</f>
        <v/>
      </c>
      <c r="AI31" s="17">
        <f>IFERROR(MATRIZ_174!AP30,"N/A")</f>
        <v/>
      </c>
      <c r="AJ31" s="17">
        <f>IFERROR(MATRIZ_174!AO30,"N/A")</f>
        <v/>
      </c>
      <c r="AK31" s="23">
        <f>IFERROR(ROUND(POWER((E31*F31*G31*H31*I31*J31*K31),1/7)*0.875+((L31+M31)/2)*0.125,1),"N/A")</f>
        <v/>
      </c>
      <c r="AL31" s="24">
        <f>IFERROR(IF(OR(AK31="N/A",AI31="N/A"),"N/A",ROUND(0.7*AK31+0.3*AI31*100,1)),"N/A")</f>
        <v/>
      </c>
    </row>
    <row r="32" ht="16.05" customHeight="1" s="37">
      <c r="A32" s="13" t="inlineStr">
        <is>
          <t>20450189201</t>
        </is>
      </c>
      <c r="B32" s="14" t="inlineStr">
        <is>
          <t>COOPERATIVA DE SERVICIOS MULTIPLES FRUTOS DE SELVA</t>
        </is>
      </c>
      <c r="C32" s="13" t="inlineStr">
        <is>
          <t>SAN MARTIN</t>
        </is>
      </c>
      <c r="D32" s="15" t="n">
        <v>0</v>
      </c>
      <c r="E32" s="16" t="n">
        <v>0</v>
      </c>
      <c r="F32" s="17">
        <f>IFERROR(SCORECARDS!H31,"")</f>
        <v/>
      </c>
      <c r="G32" s="17">
        <f>IFERROR(MATRIZ_174!U31,0)</f>
        <v/>
      </c>
      <c r="H32" s="16" t="n">
        <v>0</v>
      </c>
      <c r="I32" s="17">
        <f>IFERROR(SCORECARDS!I31,"")</f>
        <v/>
      </c>
      <c r="J32" s="17">
        <f>IFERROR(SCORECARDS!J31,"")</f>
        <v/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7">
        <f>IFERROR(F32,0)</f>
        <v/>
      </c>
      <c r="Q32" s="17">
        <f>IFERROR(SQRT(G32*H32),0)</f>
        <v/>
      </c>
      <c r="R32" s="17">
        <f>IFERROR((I32+J32+L32)/3,0)</f>
        <v/>
      </c>
      <c r="S32" s="17">
        <f>IFERROR((J32+F32)/2,0)</f>
        <v/>
      </c>
      <c r="T32" s="17">
        <f>IFERROR((K32+M32+MATRIZ_174!O31)/3,0)</f>
        <v/>
      </c>
      <c r="U32" s="18">
        <f>IFERROR(MIN(100,ROUND(MATRIZ_174!M31,1)),0)</f>
        <v/>
      </c>
      <c r="V32" s="18">
        <f>IFERROR(IF(E32=0,50,E32),0)</f>
        <v/>
      </c>
      <c r="W32" s="18">
        <f>IFERROR(IF(MATRIZ_174!R31=0,65,IF(MATRIZ_174!R31/MATRIZ_174!Q31&gt;=2,35,IF(MATRIZ_174!R31/MATRIZ_174!Q31&gt;=0.5,50,65))),65)</f>
        <v/>
      </c>
      <c r="X32" s="18">
        <f>IF(MATRIZ_174!O31=0,70,30)</f>
        <v/>
      </c>
      <c r="Y32" s="18">
        <f>IF(OR(MATRIZ_174!P31="ASOCIACION",MATRIZ_174!P31="PENDIENTE"),65,40)</f>
        <v/>
      </c>
      <c r="Z32" s="19">
        <f>IFERROR(ROUND(AVERAGE(P32,Q32,R32,S32,T32),1),0)</f>
        <v/>
      </c>
      <c r="AA32" s="20">
        <f>IFERROR(ROUND(AVERAGE(U32,V32,W32,X32,Y32),1),0)</f>
        <v/>
      </c>
      <c r="AB32" s="21">
        <f>IFERROR(ROUND(AA32*(1-Z32/100),1),0)</f>
        <v/>
      </c>
      <c r="AC32" s="13">
        <f>IF(AND(Z32&gt;=50,AA32&lt;50),"🟢  Resilientes",IF(AND(Z32&gt;=50,AA32&gt;=50),"🟠  Expuestas Adaptables",IF(AND(Z32&lt;50,AA32&lt;50),"⬜  Riesgo Latente","🔴  Riesgo Crítico")))</f>
        <v/>
      </c>
      <c r="AD32" s="13">
        <f>IF(G32=0,"🚫  Inh. vigente OSCE","")</f>
        <v/>
      </c>
      <c r="AE32" s="22">
        <f>IFERROR(MATRIZ_174!W31,0)</f>
        <v/>
      </c>
      <c r="AF32" s="22">
        <f>IFERROR(MATRIZ_174!X31,0)</f>
        <v/>
      </c>
      <c r="AG32" s="22">
        <f>IFERROR(MATRIZ_174!Y31,0)</f>
        <v/>
      </c>
      <c r="AH32" s="22">
        <f>IFERROR(MATRIZ_174!Z31,0)</f>
        <v/>
      </c>
      <c r="AI32" s="17">
        <f>IFERROR(MATRIZ_174!AP31,"N/A")</f>
        <v/>
      </c>
      <c r="AJ32" s="17">
        <f>IFERROR(MATRIZ_174!AO31,"N/A")</f>
        <v/>
      </c>
      <c r="AK32" s="23">
        <f>IFERROR(ROUND(POWER((E32*F32*G32*H32*I32*J32*K32),1/7)*0.875+((L32+M32)/2)*0.125,1),"N/A")</f>
        <v/>
      </c>
      <c r="AL32" s="24">
        <f>IFERROR(IF(OR(AK32="N/A",AI32="N/A"),"N/A",ROUND(0.7*AK32+0.3*AI32*100,1)),"N/A")</f>
        <v/>
      </c>
    </row>
    <row r="33" ht="16.05" customHeight="1" s="37">
      <c r="A33" s="13" t="inlineStr">
        <is>
          <t>20450207544</t>
        </is>
      </c>
      <c r="B33" s="14" t="inlineStr">
        <is>
          <t>COOPERATIVA AGRARIA UCHIZA LTDA</t>
        </is>
      </c>
      <c r="C33" s="13" t="inlineStr">
        <is>
          <t>SAN MARTIN</t>
        </is>
      </c>
      <c r="D33" s="15" t="n">
        <v>0</v>
      </c>
      <c r="E33" s="16" t="n">
        <v>0</v>
      </c>
      <c r="F33" s="17">
        <f>IFERROR(SCORECARDS!H32,"")</f>
        <v/>
      </c>
      <c r="G33" s="17">
        <f>IFERROR(MATRIZ_174!U32,0)</f>
        <v/>
      </c>
      <c r="H33" s="16" t="n">
        <v>0</v>
      </c>
      <c r="I33" s="17">
        <f>IFERROR(SCORECARDS!I32,"")</f>
        <v/>
      </c>
      <c r="J33" s="17">
        <f>IFERROR(SCORECARDS!J32,"")</f>
        <v/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7">
        <f>IFERROR(F33,0)</f>
        <v/>
      </c>
      <c r="Q33" s="17">
        <f>IFERROR(SQRT(G33*H33),0)</f>
        <v/>
      </c>
      <c r="R33" s="17">
        <f>IFERROR((I33+J33+L33)/3,0)</f>
        <v/>
      </c>
      <c r="S33" s="17">
        <f>IFERROR((J33+F33)/2,0)</f>
        <v/>
      </c>
      <c r="T33" s="17">
        <f>IFERROR((K33+M33+MATRIZ_174!O32)/3,0)</f>
        <v/>
      </c>
      <c r="U33" s="18">
        <f>IFERROR(MIN(100,ROUND(MATRIZ_174!M32,1)),0)</f>
        <v/>
      </c>
      <c r="V33" s="18">
        <f>IFERROR(IF(E33=0,50,E33),0)</f>
        <v/>
      </c>
      <c r="W33" s="18">
        <f>IFERROR(IF(MATRIZ_174!R32=0,65,IF(MATRIZ_174!R32/MATRIZ_174!Q32&gt;=2,35,IF(MATRIZ_174!R32/MATRIZ_174!Q32&gt;=0.5,50,65))),65)</f>
        <v/>
      </c>
      <c r="X33" s="18">
        <f>IF(MATRIZ_174!O32=0,70,30)</f>
        <v/>
      </c>
      <c r="Y33" s="18">
        <f>IF(OR(MATRIZ_174!P32="ASOCIACION",MATRIZ_174!P32="PENDIENTE"),65,40)</f>
        <v/>
      </c>
      <c r="Z33" s="19">
        <f>IFERROR(ROUND(AVERAGE(P33,Q33,R33,S33,T33),1),0)</f>
        <v/>
      </c>
      <c r="AA33" s="20">
        <f>IFERROR(ROUND(AVERAGE(U33,V33,W33,X33,Y33),1),0)</f>
        <v/>
      </c>
      <c r="AB33" s="21">
        <f>IFERROR(ROUND(AA33*(1-Z33/100),1),0)</f>
        <v/>
      </c>
      <c r="AC33" s="13">
        <f>IF(AND(Z33&gt;=50,AA33&lt;50),"🟢  Resilientes",IF(AND(Z33&gt;=50,AA33&gt;=50),"🟠  Expuestas Adaptables",IF(AND(Z33&lt;50,AA33&lt;50),"⬜  Riesgo Latente","🔴  Riesgo Crítico")))</f>
        <v/>
      </c>
      <c r="AD33" s="13">
        <f>IF(G33=0,"🚫  Inh. vigente OSCE","")</f>
        <v/>
      </c>
      <c r="AE33" s="22">
        <f>IFERROR(MATRIZ_174!W32,0)</f>
        <v/>
      </c>
      <c r="AF33" s="22">
        <f>IFERROR(MATRIZ_174!X32,0)</f>
        <v/>
      </c>
      <c r="AG33" s="22">
        <f>IFERROR(MATRIZ_174!Y32,0)</f>
        <v/>
      </c>
      <c r="AH33" s="22">
        <f>IFERROR(MATRIZ_174!Z32,0)</f>
        <v/>
      </c>
      <c r="AI33" s="17">
        <f>IFERROR(MATRIZ_174!AP32,"N/A")</f>
        <v/>
      </c>
      <c r="AJ33" s="17">
        <f>IFERROR(MATRIZ_174!AO32,"N/A")</f>
        <v/>
      </c>
      <c r="AK33" s="23">
        <f>IFERROR(ROUND(POWER((E33*F33*G33*H33*I33*J33*K33),1/7)*0.875+((L33+M33)/2)*0.125,1),"N/A")</f>
        <v/>
      </c>
      <c r="AL33" s="24">
        <f>IFERROR(IF(OR(AK33="N/A",AI33="N/A"),"N/A",ROUND(0.7*AK33+0.3*AI33*100,1)),"N/A")</f>
        <v/>
      </c>
    </row>
    <row r="34" ht="16.05" customHeight="1" s="37">
      <c r="A34" s="13" t="inlineStr">
        <is>
          <t>20450242021</t>
        </is>
      </c>
      <c r="B34" s="14" t="inlineStr">
        <is>
          <t>COOPERATIVA DE SERVICIOS MULTIPLES CAPEMA</t>
        </is>
      </c>
      <c r="C34" s="13" t="inlineStr">
        <is>
          <t>SAN MARTIN</t>
        </is>
      </c>
      <c r="D34" s="15" t="n">
        <v>0</v>
      </c>
      <c r="E34" s="16" t="n">
        <v>0</v>
      </c>
      <c r="F34" s="17">
        <f>IFERROR(SCORECARDS!H33,"")</f>
        <v/>
      </c>
      <c r="G34" s="17">
        <f>IFERROR(MATRIZ_174!U33,0)</f>
        <v/>
      </c>
      <c r="H34" s="16" t="n">
        <v>0</v>
      </c>
      <c r="I34" s="17">
        <f>IFERROR(SCORECARDS!I33,"")</f>
        <v/>
      </c>
      <c r="J34" s="17">
        <f>IFERROR(SCORECARDS!J33,"")</f>
        <v/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7">
        <f>IFERROR(F34,0)</f>
        <v/>
      </c>
      <c r="Q34" s="17">
        <f>IFERROR(SQRT(G34*H34),0)</f>
        <v/>
      </c>
      <c r="R34" s="17">
        <f>IFERROR((I34+J34+L34)/3,0)</f>
        <v/>
      </c>
      <c r="S34" s="17">
        <f>IFERROR((J34+F34)/2,0)</f>
        <v/>
      </c>
      <c r="T34" s="17">
        <f>IFERROR((K34+M34+MATRIZ_174!O33)/3,0)</f>
        <v/>
      </c>
      <c r="U34" s="18">
        <f>IFERROR(MIN(100,ROUND(MATRIZ_174!M33,1)),0)</f>
        <v/>
      </c>
      <c r="V34" s="18">
        <f>IFERROR(IF(E34=0,50,E34),0)</f>
        <v/>
      </c>
      <c r="W34" s="18">
        <f>IFERROR(IF(MATRIZ_174!R33=0,65,IF(MATRIZ_174!R33/MATRIZ_174!Q33&gt;=2,35,IF(MATRIZ_174!R33/MATRIZ_174!Q33&gt;=0.5,50,65))),65)</f>
        <v/>
      </c>
      <c r="X34" s="18">
        <f>IF(MATRIZ_174!O33=0,70,30)</f>
        <v/>
      </c>
      <c r="Y34" s="18">
        <f>IF(OR(MATRIZ_174!P33="ASOCIACION",MATRIZ_174!P33="PENDIENTE"),65,40)</f>
        <v/>
      </c>
      <c r="Z34" s="19">
        <f>IFERROR(ROUND(AVERAGE(P34,Q34,R34,S34,T34),1),0)</f>
        <v/>
      </c>
      <c r="AA34" s="20">
        <f>IFERROR(ROUND(AVERAGE(U34,V34,W34,X34,Y34),1),0)</f>
        <v/>
      </c>
      <c r="AB34" s="21">
        <f>IFERROR(ROUND(AA34*(1-Z34/100),1),0)</f>
        <v/>
      </c>
      <c r="AC34" s="13">
        <f>IF(AND(Z34&gt;=50,AA34&lt;50),"🟢  Resilientes",IF(AND(Z34&gt;=50,AA34&gt;=50),"🟠  Expuestas Adaptables",IF(AND(Z34&lt;50,AA34&lt;50),"⬜  Riesgo Latente","🔴  Riesgo Crítico")))</f>
        <v/>
      </c>
      <c r="AD34" s="13">
        <f>IF(G34=0,"🚫  Inh. vigente OSCE","")</f>
        <v/>
      </c>
      <c r="AE34" s="22">
        <f>IFERROR(MATRIZ_174!W33,0)</f>
        <v/>
      </c>
      <c r="AF34" s="22">
        <f>IFERROR(MATRIZ_174!X33,0)</f>
        <v/>
      </c>
      <c r="AG34" s="22">
        <f>IFERROR(MATRIZ_174!Y33,0)</f>
        <v/>
      </c>
      <c r="AH34" s="22">
        <f>IFERROR(MATRIZ_174!Z33,0)</f>
        <v/>
      </c>
      <c r="AI34" s="17">
        <f>IFERROR(MATRIZ_174!AP33,"N/A")</f>
        <v/>
      </c>
      <c r="AJ34" s="17">
        <f>IFERROR(MATRIZ_174!AO33,"N/A")</f>
        <v/>
      </c>
      <c r="AK34" s="23">
        <f>IFERROR(ROUND(POWER((E34*F34*G34*H34*I34*J34*K34),1/7)*0.875+((L34+M34)/2)*0.125,1),"N/A")</f>
        <v/>
      </c>
      <c r="AL34" s="24">
        <f>IFERROR(IF(OR(AK34="N/A",AI34="N/A"),"N/A",ROUND(0.7*AK34+0.3*AI34*100,1)),"N/A")</f>
        <v/>
      </c>
    </row>
    <row r="35" ht="16.05" customHeight="1" s="37">
      <c r="A35" s="13" t="inlineStr">
        <is>
          <t>20450319423</t>
        </is>
      </c>
      <c r="B35" s="14" t="inlineStr">
        <is>
          <t>COOPERATIVA AGRARIA DE SERVICIOS MULTIPLES CAFE DONCEL</t>
        </is>
      </c>
      <c r="C35" s="13" t="inlineStr">
        <is>
          <t>SAN MARTIN</t>
        </is>
      </c>
      <c r="D35" s="15" t="n">
        <v>0</v>
      </c>
      <c r="E35" s="16" t="n">
        <v>0</v>
      </c>
      <c r="F35" s="17">
        <f>IFERROR(SCORECARDS!H34,"")</f>
        <v/>
      </c>
      <c r="G35" s="17">
        <f>IFERROR(MATRIZ_174!U34,0)</f>
        <v/>
      </c>
      <c r="H35" s="16" t="n">
        <v>0</v>
      </c>
      <c r="I35" s="17">
        <f>IFERROR(SCORECARDS!I34,"")</f>
        <v/>
      </c>
      <c r="J35" s="17">
        <f>IFERROR(SCORECARDS!J34,"")</f>
        <v/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7">
        <f>IFERROR(F35,0)</f>
        <v/>
      </c>
      <c r="Q35" s="17">
        <f>IFERROR(SQRT(G35*H35),0)</f>
        <v/>
      </c>
      <c r="R35" s="17">
        <f>IFERROR((I35+J35+L35)/3,0)</f>
        <v/>
      </c>
      <c r="S35" s="17">
        <f>IFERROR((J35+F35)/2,0)</f>
        <v/>
      </c>
      <c r="T35" s="17">
        <f>IFERROR((K35+M35+MATRIZ_174!O34)/3,0)</f>
        <v/>
      </c>
      <c r="U35" s="18">
        <f>IFERROR(MIN(100,ROUND(MATRIZ_174!M34,1)),0)</f>
        <v/>
      </c>
      <c r="V35" s="18">
        <f>IFERROR(IF(E35=0,50,E35),0)</f>
        <v/>
      </c>
      <c r="W35" s="18">
        <f>IFERROR(IF(MATRIZ_174!R34=0,65,IF(MATRIZ_174!R34/MATRIZ_174!Q34&gt;=2,35,IF(MATRIZ_174!R34/MATRIZ_174!Q34&gt;=0.5,50,65))),65)</f>
        <v/>
      </c>
      <c r="X35" s="18">
        <f>IF(MATRIZ_174!O34=0,70,30)</f>
        <v/>
      </c>
      <c r="Y35" s="18">
        <f>IF(OR(MATRIZ_174!P34="ASOCIACION",MATRIZ_174!P34="PENDIENTE"),65,40)</f>
        <v/>
      </c>
      <c r="Z35" s="19">
        <f>IFERROR(ROUND(AVERAGE(P35,Q35,R35,S35,T35),1),0)</f>
        <v/>
      </c>
      <c r="AA35" s="20">
        <f>IFERROR(ROUND(AVERAGE(U35,V35,W35,X35,Y35),1),0)</f>
        <v/>
      </c>
      <c r="AB35" s="21">
        <f>IFERROR(ROUND(AA35*(1-Z35/100),1),0)</f>
        <v/>
      </c>
      <c r="AC35" s="13">
        <f>IF(AND(Z35&gt;=50,AA35&lt;50),"🟢  Resilientes",IF(AND(Z35&gt;=50,AA35&gt;=50),"🟠  Expuestas Adaptables",IF(AND(Z35&lt;50,AA35&lt;50),"⬜  Riesgo Latente","🔴  Riesgo Crítico")))</f>
        <v/>
      </c>
      <c r="AD35" s="13">
        <f>IF(G35=0,"🚫  Inh. vigente OSCE","")</f>
        <v/>
      </c>
      <c r="AE35" s="22">
        <f>IFERROR(MATRIZ_174!W34,0)</f>
        <v/>
      </c>
      <c r="AF35" s="22">
        <f>IFERROR(MATRIZ_174!X34,0)</f>
        <v/>
      </c>
      <c r="AG35" s="22">
        <f>IFERROR(MATRIZ_174!Y34,0)</f>
        <v/>
      </c>
      <c r="AH35" s="22">
        <f>IFERROR(MATRIZ_174!Z34,0)</f>
        <v/>
      </c>
      <c r="AI35" s="17">
        <f>IFERROR(MATRIZ_174!AP34,"N/A")</f>
        <v/>
      </c>
      <c r="AJ35" s="17">
        <f>IFERROR(MATRIZ_174!AO34,"N/A")</f>
        <v/>
      </c>
      <c r="AK35" s="23">
        <f>IFERROR(ROUND(POWER((E35*F35*G35*H35*I35*J35*K35),1/7)*0.875+((L35+M35)/2)*0.125,1),"N/A")</f>
        <v/>
      </c>
      <c r="AL35" s="24">
        <f>IFERROR(IF(OR(AK35="N/A",AI35="N/A"),"N/A",ROUND(0.7*AK35+0.3*AI35*100,1)),"N/A")</f>
        <v/>
      </c>
    </row>
    <row r="36" ht="16.05" customHeight="1" s="37">
      <c r="A36" s="13" t="inlineStr">
        <is>
          <t>20452774705</t>
        </is>
      </c>
      <c r="B36" s="14" t="inlineStr">
        <is>
          <t>COOPERATIVA AGRARIA CACAO VRAE</t>
        </is>
      </c>
      <c r="C36" s="13" t="inlineStr">
        <is>
          <t>CUSCO</t>
        </is>
      </c>
      <c r="D36" s="15" t="n">
        <v>965726.35</v>
      </c>
      <c r="E36" s="16" t="n">
        <v>0</v>
      </c>
      <c r="F36" s="17">
        <f>IFERROR(SCORECARDS!H35,"")</f>
        <v/>
      </c>
      <c r="G36" s="17">
        <f>IFERROR(MATRIZ_174!U35,0)</f>
        <v/>
      </c>
      <c r="H36" s="16" t="n">
        <v>0</v>
      </c>
      <c r="I36" s="17">
        <f>IFERROR(SCORECARDS!I35,"")</f>
        <v/>
      </c>
      <c r="J36" s="17">
        <f>IFERROR(SCORECARDS!J35,"")</f>
        <v/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7">
        <f>IFERROR(F36,0)</f>
        <v/>
      </c>
      <c r="Q36" s="17">
        <f>IFERROR(SQRT(G36*H36),0)</f>
        <v/>
      </c>
      <c r="R36" s="17">
        <f>IFERROR((I36+J36+L36)/3,0)</f>
        <v/>
      </c>
      <c r="S36" s="17">
        <f>IFERROR((J36+F36)/2,0)</f>
        <v/>
      </c>
      <c r="T36" s="17">
        <f>IFERROR((K36+M36+MATRIZ_174!O35)/3,0)</f>
        <v/>
      </c>
      <c r="U36" s="18">
        <f>IFERROR(MIN(100,ROUND(MATRIZ_174!M35,1)),0)</f>
        <v/>
      </c>
      <c r="V36" s="18">
        <f>IFERROR(IF(E36=0,50,E36),0)</f>
        <v/>
      </c>
      <c r="W36" s="18">
        <f>IFERROR(IF(MATRIZ_174!R35=0,65,IF(MATRIZ_174!R35/MATRIZ_174!Q35&gt;=2,35,IF(MATRIZ_174!R35/MATRIZ_174!Q35&gt;=0.5,50,65))),65)</f>
        <v/>
      </c>
      <c r="X36" s="18">
        <f>IF(MATRIZ_174!O35=0,70,30)</f>
        <v/>
      </c>
      <c r="Y36" s="18">
        <f>IF(OR(MATRIZ_174!P35="ASOCIACION",MATRIZ_174!P35="PENDIENTE"),65,40)</f>
        <v/>
      </c>
      <c r="Z36" s="19">
        <f>IFERROR(ROUND(AVERAGE(P36,Q36,R36,S36,T36),1),0)</f>
        <v/>
      </c>
      <c r="AA36" s="20">
        <f>IFERROR(ROUND(AVERAGE(U36,V36,W36,X36,Y36),1),0)</f>
        <v/>
      </c>
      <c r="AB36" s="21">
        <f>IFERROR(ROUND(AA36*(1-Z36/100),1),0)</f>
        <v/>
      </c>
      <c r="AC36" s="13">
        <f>IF(AND(Z36&gt;=50,AA36&lt;50),"🟢  Resilientes",IF(AND(Z36&gt;=50,AA36&gt;=50),"🟠  Expuestas Adaptables",IF(AND(Z36&lt;50,AA36&lt;50),"⬜  Riesgo Latente","🔴  Riesgo Crítico")))</f>
        <v/>
      </c>
      <c r="AD36" s="13">
        <f>IF(G36=0,"🚫  Inh. vigente OSCE","")</f>
        <v/>
      </c>
      <c r="AE36" s="22">
        <f>IFERROR(MATRIZ_174!W35,0)</f>
        <v/>
      </c>
      <c r="AF36" s="22">
        <f>IFERROR(MATRIZ_174!X35,0)</f>
        <v/>
      </c>
      <c r="AG36" s="22">
        <f>IFERROR(MATRIZ_174!Y35,0)</f>
        <v/>
      </c>
      <c r="AH36" s="22">
        <f>IFERROR(MATRIZ_174!Z35,0)</f>
        <v/>
      </c>
      <c r="AI36" s="17">
        <f>IFERROR(MATRIZ_174!AP35,"N/A")</f>
        <v/>
      </c>
      <c r="AJ36" s="17">
        <f>IFERROR(MATRIZ_174!AO35,"N/A")</f>
        <v/>
      </c>
      <c r="AK36" s="23">
        <f>IFERROR(ROUND(POWER((E36*F36*G36*H36*I36*J36*K36),1/7)*0.875+((L36+M36)/2)*0.125,1),"N/A")</f>
        <v/>
      </c>
      <c r="AL36" s="24">
        <f>IFERROR(IF(OR(AK36="N/A",AI36="N/A"),"N/A",ROUND(0.7*AK36+0.3*AI36*100,1)),"N/A")</f>
        <v/>
      </c>
    </row>
    <row r="37" ht="16.05" customHeight="1" s="37">
      <c r="A37" s="13" t="inlineStr">
        <is>
          <t>20479595276</t>
        </is>
      </c>
      <c r="B37" s="14" t="inlineStr">
        <is>
          <t>COOPERATIVA AGRARIA CAFETALERA CASIL LTDA.</t>
        </is>
      </c>
      <c r="C37" s="13" t="inlineStr">
        <is>
          <t>CAJAMARCA</t>
        </is>
      </c>
      <c r="D37" s="15" t="n">
        <v>965167.45</v>
      </c>
      <c r="E37" s="16" t="n">
        <v>0</v>
      </c>
      <c r="F37" s="17">
        <f>IFERROR(SCORECARDS!H36,"")</f>
        <v/>
      </c>
      <c r="G37" s="17">
        <f>IFERROR(MATRIZ_174!U36,0)</f>
        <v/>
      </c>
      <c r="H37" s="16" t="n">
        <v>0</v>
      </c>
      <c r="I37" s="17">
        <f>IFERROR(SCORECARDS!I36,"")</f>
        <v/>
      </c>
      <c r="J37" s="17">
        <f>IFERROR(SCORECARDS!J36,"")</f>
        <v/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7">
        <f>IFERROR(F37,0)</f>
        <v/>
      </c>
      <c r="Q37" s="17">
        <f>IFERROR(SQRT(G37*H37),0)</f>
        <v/>
      </c>
      <c r="R37" s="17">
        <f>IFERROR((I37+J37+L37)/3,0)</f>
        <v/>
      </c>
      <c r="S37" s="17">
        <f>IFERROR((J37+F37)/2,0)</f>
        <v/>
      </c>
      <c r="T37" s="17">
        <f>IFERROR((K37+M37+MATRIZ_174!O36)/3,0)</f>
        <v/>
      </c>
      <c r="U37" s="18">
        <f>IFERROR(MIN(100,ROUND(MATRIZ_174!M36,1)),0)</f>
        <v/>
      </c>
      <c r="V37" s="18">
        <f>IFERROR(IF(E37=0,50,E37),0)</f>
        <v/>
      </c>
      <c r="W37" s="18">
        <f>IFERROR(IF(MATRIZ_174!R36=0,65,IF(MATRIZ_174!R36/MATRIZ_174!Q36&gt;=2,35,IF(MATRIZ_174!R36/MATRIZ_174!Q36&gt;=0.5,50,65))),65)</f>
        <v/>
      </c>
      <c r="X37" s="18">
        <f>IF(MATRIZ_174!O36=0,70,30)</f>
        <v/>
      </c>
      <c r="Y37" s="18">
        <f>IF(OR(MATRIZ_174!P36="ASOCIACION",MATRIZ_174!P36="PENDIENTE"),65,40)</f>
        <v/>
      </c>
      <c r="Z37" s="19">
        <f>IFERROR(ROUND(AVERAGE(P37,Q37,R37,S37,T37),1),0)</f>
        <v/>
      </c>
      <c r="AA37" s="20">
        <f>IFERROR(ROUND(AVERAGE(U37,V37,W37,X37,Y37),1),0)</f>
        <v/>
      </c>
      <c r="AB37" s="21">
        <f>IFERROR(ROUND(AA37*(1-Z37/100),1),0)</f>
        <v/>
      </c>
      <c r="AC37" s="13">
        <f>IF(AND(Z37&gt;=50,AA37&lt;50),"🟢  Resilientes",IF(AND(Z37&gt;=50,AA37&gt;=50),"🟠  Expuestas Adaptables",IF(AND(Z37&lt;50,AA37&lt;50),"⬜  Riesgo Latente","🔴  Riesgo Crítico")))</f>
        <v/>
      </c>
      <c r="AD37" s="13">
        <f>IF(G37=0,"🚫  Inh. vigente OSCE","")</f>
        <v/>
      </c>
      <c r="AE37" s="22">
        <f>IFERROR(MATRIZ_174!W36,0)</f>
        <v/>
      </c>
      <c r="AF37" s="22">
        <f>IFERROR(MATRIZ_174!X36,0)</f>
        <v/>
      </c>
      <c r="AG37" s="22">
        <f>IFERROR(MATRIZ_174!Y36,0)</f>
        <v/>
      </c>
      <c r="AH37" s="22">
        <f>IFERROR(MATRIZ_174!Z36,0)</f>
        <v/>
      </c>
      <c r="AI37" s="17">
        <f>IFERROR(MATRIZ_174!AP36,"N/A")</f>
        <v/>
      </c>
      <c r="AJ37" s="17">
        <f>IFERROR(MATRIZ_174!AO36,"N/A")</f>
        <v/>
      </c>
      <c r="AK37" s="23">
        <f>IFERROR(ROUND(POWER((E37*F37*G37*H37*I37*J37*K37),1/7)*0.875+((L37+M37)/2)*0.125,1),"N/A")</f>
        <v/>
      </c>
      <c r="AL37" s="24">
        <f>IFERROR(IF(OR(AK37="N/A",AI37="N/A"),"N/A",ROUND(0.7*AK37+0.3*AI37*100,1)),"N/A")</f>
        <v/>
      </c>
    </row>
    <row r="38" ht="16.05" customHeight="1" s="37">
      <c r="A38" s="13" t="inlineStr">
        <is>
          <t>20479622699</t>
        </is>
      </c>
      <c r="B38" s="14" t="inlineStr">
        <is>
          <t>COOPERATIVA AGRARIA JUAN MARCO EL PALTO</t>
        </is>
      </c>
      <c r="C38" s="13" t="inlineStr">
        <is>
          <t>AMAZONAS</t>
        </is>
      </c>
      <c r="D38" s="15" t="n">
        <v>0</v>
      </c>
      <c r="E38" s="16" t="n">
        <v>0</v>
      </c>
      <c r="F38" s="17">
        <f>IFERROR(SCORECARDS!H37,"")</f>
        <v/>
      </c>
      <c r="G38" s="17">
        <f>IFERROR(MATRIZ_174!U37,0)</f>
        <v/>
      </c>
      <c r="H38" s="16" t="n">
        <v>0</v>
      </c>
      <c r="I38" s="17">
        <f>IFERROR(SCORECARDS!I37,"")</f>
        <v/>
      </c>
      <c r="J38" s="17">
        <f>IFERROR(SCORECARDS!J37,"")</f>
        <v/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7">
        <f>IFERROR(F38,0)</f>
        <v/>
      </c>
      <c r="Q38" s="17">
        <f>IFERROR(SQRT(G38*H38),0)</f>
        <v/>
      </c>
      <c r="R38" s="17">
        <f>IFERROR((I38+J38+L38)/3,0)</f>
        <v/>
      </c>
      <c r="S38" s="17">
        <f>IFERROR((J38+F38)/2,0)</f>
        <v/>
      </c>
      <c r="T38" s="17">
        <f>IFERROR((K38+M38+MATRIZ_174!O37)/3,0)</f>
        <v/>
      </c>
      <c r="U38" s="18">
        <f>IFERROR(MIN(100,ROUND(MATRIZ_174!M37,1)),0)</f>
        <v/>
      </c>
      <c r="V38" s="18">
        <f>IFERROR(IF(E38=0,50,E38),0)</f>
        <v/>
      </c>
      <c r="W38" s="18">
        <f>IFERROR(IF(MATRIZ_174!R37=0,65,IF(MATRIZ_174!R37/MATRIZ_174!Q37&gt;=2,35,IF(MATRIZ_174!R37/MATRIZ_174!Q37&gt;=0.5,50,65))),65)</f>
        <v/>
      </c>
      <c r="X38" s="18">
        <f>IF(MATRIZ_174!O37=0,70,30)</f>
        <v/>
      </c>
      <c r="Y38" s="18">
        <f>IF(OR(MATRIZ_174!P37="ASOCIACION",MATRIZ_174!P37="PENDIENTE"),65,40)</f>
        <v/>
      </c>
      <c r="Z38" s="19">
        <f>IFERROR(ROUND(AVERAGE(P38,Q38,R38,S38,T38),1),0)</f>
        <v/>
      </c>
      <c r="AA38" s="20">
        <f>IFERROR(ROUND(AVERAGE(U38,V38,W38,X38,Y38),1),0)</f>
        <v/>
      </c>
      <c r="AB38" s="21">
        <f>IFERROR(ROUND(AA38*(1-Z38/100),1),0)</f>
        <v/>
      </c>
      <c r="AC38" s="13">
        <f>IF(AND(Z38&gt;=50,AA38&lt;50),"🟢  Resilientes",IF(AND(Z38&gt;=50,AA38&gt;=50),"🟠  Expuestas Adaptables",IF(AND(Z38&lt;50,AA38&lt;50),"⬜  Riesgo Latente","🔴  Riesgo Crítico")))</f>
        <v/>
      </c>
      <c r="AD38" s="13">
        <f>IF(G38=0,"🚫  Inh. vigente OSCE","")</f>
        <v/>
      </c>
      <c r="AE38" s="22">
        <f>IFERROR(MATRIZ_174!W37,0)</f>
        <v/>
      </c>
      <c r="AF38" s="22">
        <f>IFERROR(MATRIZ_174!X37,0)</f>
        <v/>
      </c>
      <c r="AG38" s="22">
        <f>IFERROR(MATRIZ_174!Y37,0)</f>
        <v/>
      </c>
      <c r="AH38" s="22">
        <f>IFERROR(MATRIZ_174!Z37,0)</f>
        <v/>
      </c>
      <c r="AI38" s="17">
        <f>IFERROR(MATRIZ_174!AP37,"N/A")</f>
        <v/>
      </c>
      <c r="AJ38" s="17">
        <f>IFERROR(MATRIZ_174!AO37,"N/A")</f>
        <v/>
      </c>
      <c r="AK38" s="23">
        <f>IFERROR(ROUND(POWER((E38*F38*G38*H38*I38*J38*K38),1/7)*0.875+((L38+M38)/2)*0.125,1),"N/A")</f>
        <v/>
      </c>
      <c r="AL38" s="24">
        <f>IFERROR(IF(OR(AK38="N/A",AI38="N/A"),"N/A",ROUND(0.7*AK38+0.3*AI38*100,1)),"N/A")</f>
        <v/>
      </c>
    </row>
    <row r="39" ht="16.05" customHeight="1" s="37">
      <c r="A39" s="13" t="inlineStr">
        <is>
          <t>20479856258</t>
        </is>
      </c>
      <c r="B39" s="14" t="inlineStr">
        <is>
          <t>ASOCIACION DE PRODUCTORES AGROPECUARIOS LUIS SOLIBARRIA</t>
        </is>
      </c>
      <c r="C39" s="13" t="inlineStr">
        <is>
          <t>AMAZONAS</t>
        </is>
      </c>
      <c r="D39" s="15" t="n">
        <v>0</v>
      </c>
      <c r="E39" s="16" t="n">
        <v>0</v>
      </c>
      <c r="F39" s="17">
        <f>IFERROR(SCORECARDS!H38,"")</f>
        <v/>
      </c>
      <c r="G39" s="17">
        <f>IFERROR(MATRIZ_174!U38,0)</f>
        <v/>
      </c>
      <c r="H39" s="16" t="n">
        <v>0</v>
      </c>
      <c r="I39" s="17">
        <f>IFERROR(SCORECARDS!I38,"")</f>
        <v/>
      </c>
      <c r="J39" s="17">
        <f>IFERROR(SCORECARDS!J38,"")</f>
        <v/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7">
        <f>IFERROR(F39,0)</f>
        <v/>
      </c>
      <c r="Q39" s="17">
        <f>IFERROR(SQRT(G39*H39),0)</f>
        <v/>
      </c>
      <c r="R39" s="17">
        <f>IFERROR((I39+J39+L39)/3,0)</f>
        <v/>
      </c>
      <c r="S39" s="17">
        <f>IFERROR((J39+F39)/2,0)</f>
        <v/>
      </c>
      <c r="T39" s="17">
        <f>IFERROR((K39+M39+MATRIZ_174!O38)/3,0)</f>
        <v/>
      </c>
      <c r="U39" s="18">
        <f>IFERROR(MIN(100,ROUND(MATRIZ_174!M38,1)),0)</f>
        <v/>
      </c>
      <c r="V39" s="18">
        <f>IFERROR(IF(E39=0,50,E39),0)</f>
        <v/>
      </c>
      <c r="W39" s="18">
        <f>IFERROR(IF(MATRIZ_174!R38=0,65,IF(MATRIZ_174!R38/MATRIZ_174!Q38&gt;=2,35,IF(MATRIZ_174!R38/MATRIZ_174!Q38&gt;=0.5,50,65))),65)</f>
        <v/>
      </c>
      <c r="X39" s="18">
        <f>IF(MATRIZ_174!O38=0,70,30)</f>
        <v/>
      </c>
      <c r="Y39" s="18">
        <f>IF(OR(MATRIZ_174!P38="ASOCIACION",MATRIZ_174!P38="PENDIENTE"),65,40)</f>
        <v/>
      </c>
      <c r="Z39" s="19">
        <f>IFERROR(ROUND(AVERAGE(P39,Q39,R39,S39,T39),1),0)</f>
        <v/>
      </c>
      <c r="AA39" s="20">
        <f>IFERROR(ROUND(AVERAGE(U39,V39,W39,X39,Y39),1),0)</f>
        <v/>
      </c>
      <c r="AB39" s="21">
        <f>IFERROR(ROUND(AA39*(1-Z39/100),1),0)</f>
        <v/>
      </c>
      <c r="AC39" s="13">
        <f>IF(AND(Z39&gt;=50,AA39&lt;50),"🟢  Resilientes",IF(AND(Z39&gt;=50,AA39&gt;=50),"🟠  Expuestas Adaptables",IF(AND(Z39&lt;50,AA39&lt;50),"⬜  Riesgo Latente","🔴  Riesgo Crítico")))</f>
        <v/>
      </c>
      <c r="AD39" s="13">
        <f>IF(G39=0,"🚫  Inh. vigente OSCE","")</f>
        <v/>
      </c>
      <c r="AE39" s="22">
        <f>IFERROR(MATRIZ_174!W38,0)</f>
        <v/>
      </c>
      <c r="AF39" s="22">
        <f>IFERROR(MATRIZ_174!X38,0)</f>
        <v/>
      </c>
      <c r="AG39" s="22">
        <f>IFERROR(MATRIZ_174!Y38,0)</f>
        <v/>
      </c>
      <c r="AH39" s="22">
        <f>IFERROR(MATRIZ_174!Z38,0)</f>
        <v/>
      </c>
      <c r="AI39" s="17">
        <f>IFERROR(MATRIZ_174!AP38,"N/A")</f>
        <v/>
      </c>
      <c r="AJ39" s="17">
        <f>IFERROR(MATRIZ_174!AO38,"N/A")</f>
        <v/>
      </c>
      <c r="AK39" s="23">
        <f>IFERROR(ROUND(POWER((E39*F39*G39*H39*I39*J39*K39),1/7)*0.875+((L39+M39)/2)*0.125,1),"N/A")</f>
        <v/>
      </c>
      <c r="AL39" s="24">
        <f>IFERROR(IF(OR(AK39="N/A",AI39="N/A"),"N/A",ROUND(0.7*AK39+0.3*AI39*100,1)),"N/A")</f>
        <v/>
      </c>
    </row>
    <row r="40" ht="16.05" customHeight="1" s="37">
      <c r="A40" s="13" t="inlineStr">
        <is>
          <t>20479917141</t>
        </is>
      </c>
      <c r="B40" s="14" t="inlineStr">
        <is>
          <t>COOPERATIVA AGRARIA CENTRAL DE PRODUCTORES DE AMAZONAS</t>
        </is>
      </c>
      <c r="C40" s="13" t="inlineStr">
        <is>
          <t>AMAZONAS</t>
        </is>
      </c>
      <c r="D40" s="15" t="n">
        <v>587607.64</v>
      </c>
      <c r="E40" s="16" t="n">
        <v>0</v>
      </c>
      <c r="F40" s="17">
        <f>IFERROR(SCORECARDS!H39,"")</f>
        <v/>
      </c>
      <c r="G40" s="17">
        <f>IFERROR(MATRIZ_174!U39,0)</f>
        <v/>
      </c>
      <c r="H40" s="16" t="n">
        <v>0</v>
      </c>
      <c r="I40" s="17">
        <f>IFERROR(SCORECARDS!I39,"")</f>
        <v/>
      </c>
      <c r="J40" s="17">
        <f>IFERROR(SCORECARDS!J39,"")</f>
        <v/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7">
        <f>IFERROR(F40,0)</f>
        <v/>
      </c>
      <c r="Q40" s="17">
        <f>IFERROR(SQRT(G40*H40),0)</f>
        <v/>
      </c>
      <c r="R40" s="17">
        <f>IFERROR((I40+J40+L40)/3,0)</f>
        <v/>
      </c>
      <c r="S40" s="17">
        <f>IFERROR((J40+F40)/2,0)</f>
        <v/>
      </c>
      <c r="T40" s="17">
        <f>IFERROR((K40+M40+MATRIZ_174!O39)/3,0)</f>
        <v/>
      </c>
      <c r="U40" s="18">
        <f>IFERROR(MIN(100,ROUND(MATRIZ_174!M39,1)),0)</f>
        <v/>
      </c>
      <c r="V40" s="18">
        <f>IFERROR(IF(E40=0,50,E40),0)</f>
        <v/>
      </c>
      <c r="W40" s="18">
        <f>IFERROR(IF(MATRIZ_174!R39=0,65,IF(MATRIZ_174!R39/MATRIZ_174!Q39&gt;=2,35,IF(MATRIZ_174!R39/MATRIZ_174!Q39&gt;=0.5,50,65))),65)</f>
        <v/>
      </c>
      <c r="X40" s="18">
        <f>IF(MATRIZ_174!O39=0,70,30)</f>
        <v/>
      </c>
      <c r="Y40" s="18">
        <f>IF(OR(MATRIZ_174!P39="ASOCIACION",MATRIZ_174!P39="PENDIENTE"),65,40)</f>
        <v/>
      </c>
      <c r="Z40" s="19">
        <f>IFERROR(ROUND(AVERAGE(P40,Q40,R40,S40,T40),1),0)</f>
        <v/>
      </c>
      <c r="AA40" s="20">
        <f>IFERROR(ROUND(AVERAGE(U40,V40,W40,X40,Y40),1),0)</f>
        <v/>
      </c>
      <c r="AB40" s="21">
        <f>IFERROR(ROUND(AA40*(1-Z40/100),1),0)</f>
        <v/>
      </c>
      <c r="AC40" s="13">
        <f>IF(AND(Z40&gt;=50,AA40&lt;50),"🟢  Resilientes",IF(AND(Z40&gt;=50,AA40&gt;=50),"🟠  Expuestas Adaptables",IF(AND(Z40&lt;50,AA40&lt;50),"⬜  Riesgo Latente","🔴  Riesgo Crítico")))</f>
        <v/>
      </c>
      <c r="AD40" s="13">
        <f>IF(G40=0,"🚫  Inh. vigente OSCE","")</f>
        <v/>
      </c>
      <c r="AE40" s="22">
        <f>IFERROR(MATRIZ_174!W39,0)</f>
        <v/>
      </c>
      <c r="AF40" s="22">
        <f>IFERROR(MATRIZ_174!X39,0)</f>
        <v/>
      </c>
      <c r="AG40" s="22">
        <f>IFERROR(MATRIZ_174!Y39,0)</f>
        <v/>
      </c>
      <c r="AH40" s="22">
        <f>IFERROR(MATRIZ_174!Z39,0)</f>
        <v/>
      </c>
      <c r="AI40" s="17">
        <f>IFERROR(MATRIZ_174!AP39,"N/A")</f>
        <v/>
      </c>
      <c r="AJ40" s="17">
        <f>IFERROR(MATRIZ_174!AO39,"N/A")</f>
        <v/>
      </c>
      <c r="AK40" s="23">
        <f>IFERROR(ROUND(POWER((E40*F40*G40*H40*I40*J40*K40),1/7)*0.875+((L40+M40)/2)*0.125,1),"N/A")</f>
        <v/>
      </c>
      <c r="AL40" s="24">
        <f>IFERROR(IF(OR(AK40="N/A",AI40="N/A"),"N/A",ROUND(0.7*AK40+0.3*AI40*100,1)),"N/A")</f>
        <v/>
      </c>
    </row>
    <row r="41" ht="16.05" customHeight="1" s="37">
      <c r="A41" s="13" t="inlineStr">
        <is>
          <t>20480458550</t>
        </is>
      </c>
      <c r="B41" s="14" t="inlineStr">
        <is>
          <t>COOPERATIVA AGRARIA APROCAM</t>
        </is>
      </c>
      <c r="C41" s="13" t="inlineStr">
        <is>
          <t>AMAZONAS</t>
        </is>
      </c>
      <c r="D41" s="15" t="n">
        <v>842214.99</v>
      </c>
      <c r="E41" s="16" t="n">
        <v>0</v>
      </c>
      <c r="F41" s="17">
        <f>IFERROR(SCORECARDS!H40,"")</f>
        <v/>
      </c>
      <c r="G41" s="17">
        <f>IFERROR(MATRIZ_174!U40,0)</f>
        <v/>
      </c>
      <c r="H41" s="16" t="n">
        <v>0</v>
      </c>
      <c r="I41" s="17">
        <f>IFERROR(SCORECARDS!I40,"")</f>
        <v/>
      </c>
      <c r="J41" s="17">
        <f>IFERROR(SCORECARDS!J40,"")</f>
        <v/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7">
        <f>IFERROR(F41,0)</f>
        <v/>
      </c>
      <c r="Q41" s="17">
        <f>IFERROR(SQRT(G41*H41),0)</f>
        <v/>
      </c>
      <c r="R41" s="17">
        <f>IFERROR((I41+J41+L41)/3,0)</f>
        <v/>
      </c>
      <c r="S41" s="17">
        <f>IFERROR((J41+F41)/2,0)</f>
        <v/>
      </c>
      <c r="T41" s="17">
        <f>IFERROR((K41+M41+MATRIZ_174!O40)/3,0)</f>
        <v/>
      </c>
      <c r="U41" s="18">
        <f>IFERROR(MIN(100,ROUND(MATRIZ_174!M40,1)),0)</f>
        <v/>
      </c>
      <c r="V41" s="18">
        <f>IFERROR(IF(E41=0,50,E41),0)</f>
        <v/>
      </c>
      <c r="W41" s="18">
        <f>IFERROR(IF(MATRIZ_174!R40=0,65,IF(MATRIZ_174!R40/MATRIZ_174!Q40&gt;=2,35,IF(MATRIZ_174!R40/MATRIZ_174!Q40&gt;=0.5,50,65))),65)</f>
        <v/>
      </c>
      <c r="X41" s="18">
        <f>IF(MATRIZ_174!O40=0,70,30)</f>
        <v/>
      </c>
      <c r="Y41" s="18">
        <f>IF(OR(MATRIZ_174!P40="ASOCIACION",MATRIZ_174!P40="PENDIENTE"),65,40)</f>
        <v/>
      </c>
      <c r="Z41" s="19">
        <f>IFERROR(ROUND(AVERAGE(P41,Q41,R41,S41,T41),1),0)</f>
        <v/>
      </c>
      <c r="AA41" s="20">
        <f>IFERROR(ROUND(AVERAGE(U41,V41,W41,X41,Y41),1),0)</f>
        <v/>
      </c>
      <c r="AB41" s="21">
        <f>IFERROR(ROUND(AA41*(1-Z41/100),1),0)</f>
        <v/>
      </c>
      <c r="AC41" s="13">
        <f>IF(AND(Z41&gt;=50,AA41&lt;50),"🟢  Resilientes",IF(AND(Z41&gt;=50,AA41&gt;=50),"🟠  Expuestas Adaptables",IF(AND(Z41&lt;50,AA41&lt;50),"⬜  Riesgo Latente","🔴  Riesgo Crítico")))</f>
        <v/>
      </c>
      <c r="AD41" s="13">
        <f>IF(G41=0,"🚫  Inh. vigente OSCE","")</f>
        <v/>
      </c>
      <c r="AE41" s="22">
        <f>IFERROR(MATRIZ_174!W40,0)</f>
        <v/>
      </c>
      <c r="AF41" s="22">
        <f>IFERROR(MATRIZ_174!X40,0)</f>
        <v/>
      </c>
      <c r="AG41" s="22">
        <f>IFERROR(MATRIZ_174!Y40,0)</f>
        <v/>
      </c>
      <c r="AH41" s="22">
        <f>IFERROR(MATRIZ_174!Z40,0)</f>
        <v/>
      </c>
      <c r="AI41" s="17">
        <f>IFERROR(MATRIZ_174!AP40,"N/A")</f>
        <v/>
      </c>
      <c r="AJ41" s="17">
        <f>IFERROR(MATRIZ_174!AO40,"N/A")</f>
        <v/>
      </c>
      <c r="AK41" s="23">
        <f>IFERROR(ROUND(POWER((E41*F41*G41*H41*I41*J41*K41),1/7)*0.875+((L41+M41)/2)*0.125,1),"N/A")</f>
        <v/>
      </c>
      <c r="AL41" s="24">
        <f>IFERROR(IF(OR(AK41="N/A",AI41="N/A"),"N/A",ROUND(0.7*AK41+0.3*AI41*100,1)),"N/A")</f>
        <v/>
      </c>
    </row>
    <row r="42" ht="16.05" customHeight="1" s="37">
      <c r="A42" s="13" t="inlineStr">
        <is>
          <t>20480762895</t>
        </is>
      </c>
      <c r="B42" s="14" t="inlineStr">
        <is>
          <t>ASOCIACION DE PRODUCTORES AGROPECUARIOS LA FLOR DE CAFE</t>
        </is>
      </c>
      <c r="C42" s="13" t="inlineStr">
        <is>
          <t>AMAZONAS</t>
        </is>
      </c>
      <c r="D42" s="15" t="n">
        <v>0</v>
      </c>
      <c r="E42" s="16" t="n">
        <v>0</v>
      </c>
      <c r="F42" s="17">
        <f>IFERROR(SCORECARDS!H41,"")</f>
        <v/>
      </c>
      <c r="G42" s="17">
        <f>IFERROR(MATRIZ_174!U41,0)</f>
        <v/>
      </c>
      <c r="H42" s="16" t="n">
        <v>0</v>
      </c>
      <c r="I42" s="17">
        <f>IFERROR(SCORECARDS!I41,"")</f>
        <v/>
      </c>
      <c r="J42" s="17">
        <f>IFERROR(SCORECARDS!J41,"")</f>
        <v/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7">
        <f>IFERROR(F42,0)</f>
        <v/>
      </c>
      <c r="Q42" s="17">
        <f>IFERROR(SQRT(G42*H42),0)</f>
        <v/>
      </c>
      <c r="R42" s="17">
        <f>IFERROR((I42+J42+L42)/3,0)</f>
        <v/>
      </c>
      <c r="S42" s="17">
        <f>IFERROR((J42+F42)/2,0)</f>
        <v/>
      </c>
      <c r="T42" s="17">
        <f>IFERROR((K42+M42+MATRIZ_174!O41)/3,0)</f>
        <v/>
      </c>
      <c r="U42" s="18">
        <f>IFERROR(MIN(100,ROUND(MATRIZ_174!M41,1)),0)</f>
        <v/>
      </c>
      <c r="V42" s="18">
        <f>IFERROR(IF(E42=0,50,E42),0)</f>
        <v/>
      </c>
      <c r="W42" s="18">
        <f>IFERROR(IF(MATRIZ_174!R41=0,65,IF(MATRIZ_174!R41/MATRIZ_174!Q41&gt;=2,35,IF(MATRIZ_174!R41/MATRIZ_174!Q41&gt;=0.5,50,65))),65)</f>
        <v/>
      </c>
      <c r="X42" s="18">
        <f>IF(MATRIZ_174!O41=0,70,30)</f>
        <v/>
      </c>
      <c r="Y42" s="18">
        <f>IF(OR(MATRIZ_174!P41="ASOCIACION",MATRIZ_174!P41="PENDIENTE"),65,40)</f>
        <v/>
      </c>
      <c r="Z42" s="19">
        <f>IFERROR(ROUND(AVERAGE(P42,Q42,R42,S42,T42),1),0)</f>
        <v/>
      </c>
      <c r="AA42" s="20">
        <f>IFERROR(ROUND(AVERAGE(U42,V42,W42,X42,Y42),1),0)</f>
        <v/>
      </c>
      <c r="AB42" s="21">
        <f>IFERROR(ROUND(AA42*(1-Z42/100),1),0)</f>
        <v/>
      </c>
      <c r="AC42" s="13">
        <f>IF(AND(Z42&gt;=50,AA42&lt;50),"🟢  Resilientes",IF(AND(Z42&gt;=50,AA42&gt;=50),"🟠  Expuestas Adaptables",IF(AND(Z42&lt;50,AA42&lt;50),"⬜  Riesgo Latente","🔴  Riesgo Crítico")))</f>
        <v/>
      </c>
      <c r="AD42" s="13">
        <f>IF(G42=0,"🚫  Inh. vigente OSCE","")</f>
        <v/>
      </c>
      <c r="AE42" s="22">
        <f>IFERROR(MATRIZ_174!W41,0)</f>
        <v/>
      </c>
      <c r="AF42" s="22">
        <f>IFERROR(MATRIZ_174!X41,0)</f>
        <v/>
      </c>
      <c r="AG42" s="22">
        <f>IFERROR(MATRIZ_174!Y41,0)</f>
        <v/>
      </c>
      <c r="AH42" s="22">
        <f>IFERROR(MATRIZ_174!Z41,0)</f>
        <v/>
      </c>
      <c r="AI42" s="17">
        <f>IFERROR(MATRIZ_174!AP41,"N/A")</f>
        <v/>
      </c>
      <c r="AJ42" s="17">
        <f>IFERROR(MATRIZ_174!AO41,"N/A")</f>
        <v/>
      </c>
      <c r="AK42" s="23">
        <f>IFERROR(ROUND(POWER((E42*F42*G42*H42*I42*J42*K42),1/7)*0.875+((L42+M42)/2)*0.125,1),"N/A")</f>
        <v/>
      </c>
      <c r="AL42" s="24">
        <f>IFERROR(IF(OR(AK42="N/A",AI42="N/A"),"N/A",ROUND(0.7*AK42+0.3*AI42*100,1)),"N/A")</f>
        <v/>
      </c>
    </row>
    <row r="43" ht="16.05" customHeight="1" s="37">
      <c r="A43" s="13" t="inlineStr">
        <is>
          <t>20484163902</t>
        </is>
      </c>
      <c r="B43" s="14" t="inlineStr">
        <is>
          <t>COOPERATIVA AGRARIA APPROCAP LTDA</t>
        </is>
      </c>
      <c r="C43" s="13" t="inlineStr">
        <is>
          <t>PIURA</t>
        </is>
      </c>
      <c r="D43" s="15" t="n">
        <v>408500</v>
      </c>
      <c r="E43" s="16" t="n">
        <v>0</v>
      </c>
      <c r="F43" s="17">
        <f>IFERROR(SCORECARDS!H42,"")</f>
        <v/>
      </c>
      <c r="G43" s="17">
        <f>IFERROR(MATRIZ_174!U42,0)</f>
        <v/>
      </c>
      <c r="H43" s="16" t="n">
        <v>0</v>
      </c>
      <c r="I43" s="17">
        <f>IFERROR(SCORECARDS!I42,"")</f>
        <v/>
      </c>
      <c r="J43" s="17">
        <f>IFERROR(SCORECARDS!J42,"")</f>
        <v/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7">
        <f>IFERROR(F43,0)</f>
        <v/>
      </c>
      <c r="Q43" s="17">
        <f>IFERROR(SQRT(G43*H43),0)</f>
        <v/>
      </c>
      <c r="R43" s="17">
        <f>IFERROR((I43+J43+L43)/3,0)</f>
        <v/>
      </c>
      <c r="S43" s="17">
        <f>IFERROR((J43+F43)/2,0)</f>
        <v/>
      </c>
      <c r="T43" s="17">
        <f>IFERROR((K43+M43+MATRIZ_174!O42)/3,0)</f>
        <v/>
      </c>
      <c r="U43" s="18">
        <f>IFERROR(MIN(100,ROUND(MATRIZ_174!M42,1)),0)</f>
        <v/>
      </c>
      <c r="V43" s="18">
        <f>IFERROR(IF(E43=0,50,E43),0)</f>
        <v/>
      </c>
      <c r="W43" s="18">
        <f>IFERROR(IF(MATRIZ_174!R42=0,65,IF(MATRIZ_174!R42/MATRIZ_174!Q42&gt;=2,35,IF(MATRIZ_174!R42/MATRIZ_174!Q42&gt;=0.5,50,65))),65)</f>
        <v/>
      </c>
      <c r="X43" s="18">
        <f>IF(MATRIZ_174!O42=0,70,30)</f>
        <v/>
      </c>
      <c r="Y43" s="18">
        <f>IF(OR(MATRIZ_174!P42="ASOCIACION",MATRIZ_174!P42="PENDIENTE"),65,40)</f>
        <v/>
      </c>
      <c r="Z43" s="19">
        <f>IFERROR(ROUND(AVERAGE(P43,Q43,R43,S43,T43),1),0)</f>
        <v/>
      </c>
      <c r="AA43" s="20">
        <f>IFERROR(ROUND(AVERAGE(U43,V43,W43,X43,Y43),1),0)</f>
        <v/>
      </c>
      <c r="AB43" s="21">
        <f>IFERROR(ROUND(AA43*(1-Z43/100),1),0)</f>
        <v/>
      </c>
      <c r="AC43" s="13">
        <f>IF(AND(Z43&gt;=50,AA43&lt;50),"🟢  Resilientes",IF(AND(Z43&gt;=50,AA43&gt;=50),"🟠  Expuestas Adaptables",IF(AND(Z43&lt;50,AA43&lt;50),"⬜  Riesgo Latente","🔴  Riesgo Crítico")))</f>
        <v/>
      </c>
      <c r="AD43" s="13">
        <f>IF(G43=0,"🚫  Inh. vigente OSCE","")</f>
        <v/>
      </c>
      <c r="AE43" s="22">
        <f>IFERROR(MATRIZ_174!W42,0)</f>
        <v/>
      </c>
      <c r="AF43" s="22">
        <f>IFERROR(MATRIZ_174!X42,0)</f>
        <v/>
      </c>
      <c r="AG43" s="22">
        <f>IFERROR(MATRIZ_174!Y42,0)</f>
        <v/>
      </c>
      <c r="AH43" s="22">
        <f>IFERROR(MATRIZ_174!Z42,0)</f>
        <v/>
      </c>
      <c r="AI43" s="17">
        <f>IFERROR(MATRIZ_174!AP42,"N/A")</f>
        <v/>
      </c>
      <c r="AJ43" s="17">
        <f>IFERROR(MATRIZ_174!AO42,"N/A")</f>
        <v/>
      </c>
      <c r="AK43" s="23">
        <f>IFERROR(ROUND(POWER((E43*F43*G43*H43*I43*J43*K43),1/7)*0.875+((L43+M43)/2)*0.125,1),"N/A")</f>
        <v/>
      </c>
      <c r="AL43" s="24">
        <f>IFERROR(IF(OR(AK43="N/A",AI43="N/A"),"N/A",ROUND(0.7*AK43+0.3*AI43*100,1)),"N/A")</f>
        <v/>
      </c>
    </row>
    <row r="44" ht="16.05" customHeight="1" s="37">
      <c r="A44" s="13" t="inlineStr">
        <is>
          <t>20485945815</t>
        </is>
      </c>
      <c r="B44" s="14" t="inlineStr">
        <is>
          <t>COOPERATIVA AGRARIA CAFETALERA ECOLOGICO ALTO PALOMAR</t>
        </is>
      </c>
      <c r="C44" s="13" t="inlineStr">
        <is>
          <t>JUNIN</t>
        </is>
      </c>
      <c r="D44" s="15" t="n">
        <v>0</v>
      </c>
      <c r="E44" s="16" t="n">
        <v>0</v>
      </c>
      <c r="F44" s="17">
        <f>IFERROR(SCORECARDS!H43,"")</f>
        <v/>
      </c>
      <c r="G44" s="17">
        <f>IFERROR(MATRIZ_174!U43,0)</f>
        <v/>
      </c>
      <c r="H44" s="16" t="n">
        <v>0</v>
      </c>
      <c r="I44" s="17">
        <f>IFERROR(SCORECARDS!I43,"")</f>
        <v/>
      </c>
      <c r="J44" s="17">
        <f>IFERROR(SCORECARDS!J43,"")</f>
        <v/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7">
        <f>IFERROR(F44,0)</f>
        <v/>
      </c>
      <c r="Q44" s="17">
        <f>IFERROR(SQRT(G44*H44),0)</f>
        <v/>
      </c>
      <c r="R44" s="17">
        <f>IFERROR((I44+J44+L44)/3,0)</f>
        <v/>
      </c>
      <c r="S44" s="17">
        <f>IFERROR((J44+F44)/2,0)</f>
        <v/>
      </c>
      <c r="T44" s="17">
        <f>IFERROR((K44+M44+MATRIZ_174!O43)/3,0)</f>
        <v/>
      </c>
      <c r="U44" s="18">
        <f>IFERROR(MIN(100,ROUND(MATRIZ_174!M43,1)),0)</f>
        <v/>
      </c>
      <c r="V44" s="18">
        <f>IFERROR(IF(E44=0,50,E44),0)</f>
        <v/>
      </c>
      <c r="W44" s="18">
        <f>IFERROR(IF(MATRIZ_174!R43=0,65,IF(MATRIZ_174!R43/MATRIZ_174!Q43&gt;=2,35,IF(MATRIZ_174!R43/MATRIZ_174!Q43&gt;=0.5,50,65))),65)</f>
        <v/>
      </c>
      <c r="X44" s="18">
        <f>IF(MATRIZ_174!O43=0,70,30)</f>
        <v/>
      </c>
      <c r="Y44" s="18">
        <f>IF(OR(MATRIZ_174!P43="ASOCIACION",MATRIZ_174!P43="PENDIENTE"),65,40)</f>
        <v/>
      </c>
      <c r="Z44" s="19">
        <f>IFERROR(ROUND(AVERAGE(P44,Q44,R44,S44,T44),1),0)</f>
        <v/>
      </c>
      <c r="AA44" s="20">
        <f>IFERROR(ROUND(AVERAGE(U44,V44,W44,X44,Y44),1),0)</f>
        <v/>
      </c>
      <c r="AB44" s="21">
        <f>IFERROR(ROUND(AA44*(1-Z44/100),1),0)</f>
        <v/>
      </c>
      <c r="AC44" s="13">
        <f>IF(AND(Z44&gt;=50,AA44&lt;50),"🟢  Resilientes",IF(AND(Z44&gt;=50,AA44&gt;=50),"🟠  Expuestas Adaptables",IF(AND(Z44&lt;50,AA44&lt;50),"⬜  Riesgo Latente","🔴  Riesgo Crítico")))</f>
        <v/>
      </c>
      <c r="AD44" s="13">
        <f>IF(G44=0,"🚫  Inh. vigente OSCE","")</f>
        <v/>
      </c>
      <c r="AE44" s="22">
        <f>IFERROR(MATRIZ_174!W43,0)</f>
        <v/>
      </c>
      <c r="AF44" s="22">
        <f>IFERROR(MATRIZ_174!X43,0)</f>
        <v/>
      </c>
      <c r="AG44" s="22">
        <f>IFERROR(MATRIZ_174!Y43,0)</f>
        <v/>
      </c>
      <c r="AH44" s="22">
        <f>IFERROR(MATRIZ_174!Z43,0)</f>
        <v/>
      </c>
      <c r="AI44" s="17">
        <f>IFERROR(MATRIZ_174!AP43,"N/A")</f>
        <v/>
      </c>
      <c r="AJ44" s="17">
        <f>IFERROR(MATRIZ_174!AO43,"N/A")</f>
        <v/>
      </c>
      <c r="AK44" s="23">
        <f>IFERROR(ROUND(POWER((E44*F44*G44*H44*I44*J44*K44),1/7)*0.875+((L44+M44)/2)*0.125,1),"N/A")</f>
        <v/>
      </c>
      <c r="AL44" s="24">
        <f>IFERROR(IF(OR(AK44="N/A",AI44="N/A"),"N/A",ROUND(0.7*AK44+0.3*AI44*100,1)),"N/A")</f>
        <v/>
      </c>
    </row>
    <row r="45" ht="16.05" customHeight="1" s="37">
      <c r="A45" s="13" t="inlineStr">
        <is>
          <t>20486094657</t>
        </is>
      </c>
      <c r="B45" s="14" t="inlineStr">
        <is>
          <t>ASOCIACION DE PRODUCTORES DE CAFES ESPECIALES MOUNTAIN COFFE</t>
        </is>
      </c>
      <c r="C45" s="13" t="inlineStr">
        <is>
          <t>JUNIN</t>
        </is>
      </c>
      <c r="D45" s="15" t="n">
        <v>0</v>
      </c>
      <c r="E45" s="16" t="n">
        <v>0</v>
      </c>
      <c r="F45" s="17">
        <f>IFERROR(SCORECARDS!H44,"")</f>
        <v/>
      </c>
      <c r="G45" s="17">
        <f>IFERROR(MATRIZ_174!U44,0)</f>
        <v/>
      </c>
      <c r="H45" s="16" t="n">
        <v>0</v>
      </c>
      <c r="I45" s="17">
        <f>IFERROR(SCORECARDS!I44,"")</f>
        <v/>
      </c>
      <c r="J45" s="17">
        <f>IFERROR(SCORECARDS!J44,"")</f>
        <v/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7">
        <f>IFERROR(F45,0)</f>
        <v/>
      </c>
      <c r="Q45" s="17">
        <f>IFERROR(SQRT(G45*H45),0)</f>
        <v/>
      </c>
      <c r="R45" s="17">
        <f>IFERROR((I45+J45+L45)/3,0)</f>
        <v/>
      </c>
      <c r="S45" s="17">
        <f>IFERROR((J45+F45)/2,0)</f>
        <v/>
      </c>
      <c r="T45" s="17">
        <f>IFERROR((K45+M45+MATRIZ_174!O44)/3,0)</f>
        <v/>
      </c>
      <c r="U45" s="18">
        <f>IFERROR(MIN(100,ROUND(MATRIZ_174!M44,1)),0)</f>
        <v/>
      </c>
      <c r="V45" s="18">
        <f>IFERROR(IF(E45=0,50,E45),0)</f>
        <v/>
      </c>
      <c r="W45" s="18">
        <f>IFERROR(IF(MATRIZ_174!R44=0,65,IF(MATRIZ_174!R44/MATRIZ_174!Q44&gt;=2,35,IF(MATRIZ_174!R44/MATRIZ_174!Q44&gt;=0.5,50,65))),65)</f>
        <v/>
      </c>
      <c r="X45" s="18">
        <f>IF(MATRIZ_174!O44=0,70,30)</f>
        <v/>
      </c>
      <c r="Y45" s="18">
        <f>IF(OR(MATRIZ_174!P44="ASOCIACION",MATRIZ_174!P44="PENDIENTE"),65,40)</f>
        <v/>
      </c>
      <c r="Z45" s="19">
        <f>IFERROR(ROUND(AVERAGE(P45,Q45,R45,S45,T45),1),0)</f>
        <v/>
      </c>
      <c r="AA45" s="20">
        <f>IFERROR(ROUND(AVERAGE(U45,V45,W45,X45,Y45),1),0)</f>
        <v/>
      </c>
      <c r="AB45" s="21">
        <f>IFERROR(ROUND(AA45*(1-Z45/100),1),0)</f>
        <v/>
      </c>
      <c r="AC45" s="13">
        <f>IF(AND(Z45&gt;=50,AA45&lt;50),"🟢  Resilientes",IF(AND(Z45&gt;=50,AA45&gt;=50),"🟠  Expuestas Adaptables",IF(AND(Z45&lt;50,AA45&lt;50),"⬜  Riesgo Latente","🔴  Riesgo Crítico")))</f>
        <v/>
      </c>
      <c r="AD45" s="13">
        <f>IF(G45=0,"🚫  Inh. vigente OSCE","")</f>
        <v/>
      </c>
      <c r="AE45" s="22">
        <f>IFERROR(MATRIZ_174!W44,0)</f>
        <v/>
      </c>
      <c r="AF45" s="22">
        <f>IFERROR(MATRIZ_174!X44,0)</f>
        <v/>
      </c>
      <c r="AG45" s="22">
        <f>IFERROR(MATRIZ_174!Y44,0)</f>
        <v/>
      </c>
      <c r="AH45" s="22">
        <f>IFERROR(MATRIZ_174!Z44,0)</f>
        <v/>
      </c>
      <c r="AI45" s="17">
        <f>IFERROR(MATRIZ_174!AP44,"N/A")</f>
        <v/>
      </c>
      <c r="AJ45" s="17">
        <f>IFERROR(MATRIZ_174!AO44,"N/A")</f>
        <v/>
      </c>
      <c r="AK45" s="23">
        <f>IFERROR(ROUND(POWER((E45*F45*G45*H45*I45*J45*K45),1/7)*0.875+((L45+M45)/2)*0.125,1),"N/A")</f>
        <v/>
      </c>
      <c r="AL45" s="24">
        <f>IFERROR(IF(OR(AK45="N/A",AI45="N/A"),"N/A",ROUND(0.7*AK45+0.3*AI45*100,1)),"N/A")</f>
        <v/>
      </c>
    </row>
    <row r="46" ht="16.05" customHeight="1" s="37">
      <c r="A46" s="13" t="inlineStr">
        <is>
          <t>20486255090</t>
        </is>
      </c>
      <c r="B46" s="14" t="inlineStr">
        <is>
          <t>COOPERATIVA AGRARIA SANGARENI</t>
        </is>
      </c>
      <c r="C46" s="13" t="inlineStr">
        <is>
          <t>JUNIN</t>
        </is>
      </c>
      <c r="D46" s="15" t="n">
        <v>6603846.03</v>
      </c>
      <c r="E46" s="16" t="n">
        <v>0</v>
      </c>
      <c r="F46" s="17">
        <f>IFERROR(SCORECARDS!H45,"")</f>
        <v/>
      </c>
      <c r="G46" s="17">
        <f>IFERROR(MATRIZ_174!U45,0)</f>
        <v/>
      </c>
      <c r="H46" s="16" t="n">
        <v>0</v>
      </c>
      <c r="I46" s="17">
        <f>IFERROR(SCORECARDS!I45,"")</f>
        <v/>
      </c>
      <c r="J46" s="17">
        <f>IFERROR(SCORECARDS!J45,"")</f>
        <v/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7">
        <f>IFERROR(F46,0)</f>
        <v/>
      </c>
      <c r="Q46" s="17">
        <f>IFERROR(SQRT(G46*H46),0)</f>
        <v/>
      </c>
      <c r="R46" s="17">
        <f>IFERROR((I46+J46+L46)/3,0)</f>
        <v/>
      </c>
      <c r="S46" s="17">
        <f>IFERROR((J46+F46)/2,0)</f>
        <v/>
      </c>
      <c r="T46" s="17">
        <f>IFERROR((K46+M46+MATRIZ_174!O45)/3,0)</f>
        <v/>
      </c>
      <c r="U46" s="18">
        <f>IFERROR(MIN(100,ROUND(MATRIZ_174!M45,1)),0)</f>
        <v/>
      </c>
      <c r="V46" s="18">
        <f>IFERROR(IF(E46=0,50,E46),0)</f>
        <v/>
      </c>
      <c r="W46" s="18">
        <f>IFERROR(IF(MATRIZ_174!R45=0,65,IF(MATRIZ_174!R45/MATRIZ_174!Q45&gt;=2,35,IF(MATRIZ_174!R45/MATRIZ_174!Q45&gt;=0.5,50,65))),65)</f>
        <v/>
      </c>
      <c r="X46" s="18">
        <f>IF(MATRIZ_174!O45=0,70,30)</f>
        <v/>
      </c>
      <c r="Y46" s="18">
        <f>IF(OR(MATRIZ_174!P45="ASOCIACION",MATRIZ_174!P45="PENDIENTE"),65,40)</f>
        <v/>
      </c>
      <c r="Z46" s="19">
        <f>IFERROR(ROUND(AVERAGE(P46,Q46,R46,S46,T46),1),0)</f>
        <v/>
      </c>
      <c r="AA46" s="20">
        <f>IFERROR(ROUND(AVERAGE(U46,V46,W46,X46,Y46),1),0)</f>
        <v/>
      </c>
      <c r="AB46" s="21">
        <f>IFERROR(ROUND(AA46*(1-Z46/100),1),0)</f>
        <v/>
      </c>
      <c r="AC46" s="13">
        <f>IF(AND(Z46&gt;=50,AA46&lt;50),"🟢  Resilientes",IF(AND(Z46&gt;=50,AA46&gt;=50),"🟠  Expuestas Adaptables",IF(AND(Z46&lt;50,AA46&lt;50),"⬜  Riesgo Latente","🔴  Riesgo Crítico")))</f>
        <v/>
      </c>
      <c r="AD46" s="13">
        <f>IF(G46=0,"🚫  Inh. vigente OSCE","")</f>
        <v/>
      </c>
      <c r="AE46" s="22">
        <f>IFERROR(MATRIZ_174!W45,0)</f>
        <v/>
      </c>
      <c r="AF46" s="22">
        <f>IFERROR(MATRIZ_174!X45,0)</f>
        <v/>
      </c>
      <c r="AG46" s="22">
        <f>IFERROR(MATRIZ_174!Y45,0)</f>
        <v/>
      </c>
      <c r="AH46" s="22">
        <f>IFERROR(MATRIZ_174!Z45,0)</f>
        <v/>
      </c>
      <c r="AI46" s="17">
        <f>IFERROR(MATRIZ_174!AP45,"N/A")</f>
        <v/>
      </c>
      <c r="AJ46" s="17">
        <f>IFERROR(MATRIZ_174!AO45,"N/A")</f>
        <v/>
      </c>
      <c r="AK46" s="23">
        <f>IFERROR(ROUND(POWER((E46*F46*G46*H46*I46*J46*K46),1/7)*0.875+((L46+M46)/2)*0.125,1),"N/A")</f>
        <v/>
      </c>
      <c r="AL46" s="24">
        <f>IFERROR(IF(OR(AK46="N/A",AI46="N/A"),"N/A",ROUND(0.7*AK46+0.3*AI46*100,1)),"N/A")</f>
        <v/>
      </c>
    </row>
    <row r="47" ht="16.05" customHeight="1" s="37">
      <c r="A47" s="13" t="inlineStr">
        <is>
          <t>20486668335</t>
        </is>
      </c>
      <c r="B47" s="14" t="inlineStr">
        <is>
          <t>COOPERATIVA AGROINDUSTRIAL SONOMORO LTDA</t>
        </is>
      </c>
      <c r="C47" s="13" t="inlineStr">
        <is>
          <t>JUNIN</t>
        </is>
      </c>
      <c r="D47" s="15" t="n">
        <v>0</v>
      </c>
      <c r="E47" s="16" t="n">
        <v>0</v>
      </c>
      <c r="F47" s="17">
        <f>IFERROR(SCORECARDS!H46,"")</f>
        <v/>
      </c>
      <c r="G47" s="17">
        <f>IFERROR(MATRIZ_174!U46,0)</f>
        <v/>
      </c>
      <c r="H47" s="16" t="n">
        <v>0</v>
      </c>
      <c r="I47" s="17">
        <f>IFERROR(SCORECARDS!I46,"")</f>
        <v/>
      </c>
      <c r="J47" s="17">
        <f>IFERROR(SCORECARDS!J46,"")</f>
        <v/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7">
        <f>IFERROR(F47,0)</f>
        <v/>
      </c>
      <c r="Q47" s="17">
        <f>IFERROR(SQRT(G47*H47),0)</f>
        <v/>
      </c>
      <c r="R47" s="17">
        <f>IFERROR((I47+J47+L47)/3,0)</f>
        <v/>
      </c>
      <c r="S47" s="17">
        <f>IFERROR((J47+F47)/2,0)</f>
        <v/>
      </c>
      <c r="T47" s="17">
        <f>IFERROR((K47+M47+MATRIZ_174!O46)/3,0)</f>
        <v/>
      </c>
      <c r="U47" s="18">
        <f>IFERROR(MIN(100,ROUND(MATRIZ_174!M46,1)),0)</f>
        <v/>
      </c>
      <c r="V47" s="18">
        <f>IFERROR(IF(E47=0,50,E47),0)</f>
        <v/>
      </c>
      <c r="W47" s="18">
        <f>IFERROR(IF(MATRIZ_174!R46=0,65,IF(MATRIZ_174!R46/MATRIZ_174!Q46&gt;=2,35,IF(MATRIZ_174!R46/MATRIZ_174!Q46&gt;=0.5,50,65))),65)</f>
        <v/>
      </c>
      <c r="X47" s="18">
        <f>IF(MATRIZ_174!O46=0,70,30)</f>
        <v/>
      </c>
      <c r="Y47" s="18">
        <f>IF(OR(MATRIZ_174!P46="ASOCIACION",MATRIZ_174!P46="PENDIENTE"),65,40)</f>
        <v/>
      </c>
      <c r="Z47" s="19">
        <f>IFERROR(ROUND(AVERAGE(P47,Q47,R47,S47,T47),1),0)</f>
        <v/>
      </c>
      <c r="AA47" s="20">
        <f>IFERROR(ROUND(AVERAGE(U47,V47,W47,X47,Y47),1),0)</f>
        <v/>
      </c>
      <c r="AB47" s="21">
        <f>IFERROR(ROUND(AA47*(1-Z47/100),1),0)</f>
        <v/>
      </c>
      <c r="AC47" s="13">
        <f>IF(AND(Z47&gt;=50,AA47&lt;50),"🟢  Resilientes",IF(AND(Z47&gt;=50,AA47&gt;=50),"🟠  Expuestas Adaptables",IF(AND(Z47&lt;50,AA47&lt;50),"⬜  Riesgo Latente","🔴  Riesgo Crítico")))</f>
        <v/>
      </c>
      <c r="AD47" s="13">
        <f>IF(G47=0,"🚫  Inh. vigente OSCE","")</f>
        <v/>
      </c>
      <c r="AE47" s="22">
        <f>IFERROR(MATRIZ_174!W46,0)</f>
        <v/>
      </c>
      <c r="AF47" s="22">
        <f>IFERROR(MATRIZ_174!X46,0)</f>
        <v/>
      </c>
      <c r="AG47" s="22">
        <f>IFERROR(MATRIZ_174!Y46,0)</f>
        <v/>
      </c>
      <c r="AH47" s="22">
        <f>IFERROR(MATRIZ_174!Z46,0)</f>
        <v/>
      </c>
      <c r="AI47" s="17">
        <f>IFERROR(MATRIZ_174!AP46,"N/A")</f>
        <v/>
      </c>
      <c r="AJ47" s="17">
        <f>IFERROR(MATRIZ_174!AO46,"N/A")</f>
        <v/>
      </c>
      <c r="AK47" s="23">
        <f>IFERROR(ROUND(POWER((E47*F47*G47*H47*I47*J47*K47),1/7)*0.875+((L47+M47)/2)*0.125,1),"N/A")</f>
        <v/>
      </c>
      <c r="AL47" s="24">
        <f>IFERROR(IF(OR(AK47="N/A",AI47="N/A"),"N/A",ROUND(0.7*AK47+0.3*AI47*100,1)),"N/A")</f>
        <v/>
      </c>
    </row>
    <row r="48" ht="16.05" customHeight="1" s="37">
      <c r="A48" s="13" t="inlineStr">
        <is>
          <t>20486876019</t>
        </is>
      </c>
      <c r="B48" s="14" t="inlineStr">
        <is>
          <t>COOPERATIVA AGROECOLOGICO INDUSTRIAL MAZAMARI LTDA</t>
        </is>
      </c>
      <c r="C48" s="13" t="inlineStr">
        <is>
          <t>JUNIN</t>
        </is>
      </c>
      <c r="D48" s="15" t="n">
        <v>0</v>
      </c>
      <c r="E48" s="16" t="n">
        <v>0</v>
      </c>
      <c r="F48" s="17">
        <f>IFERROR(SCORECARDS!H47,"")</f>
        <v/>
      </c>
      <c r="G48" s="17">
        <f>IFERROR(MATRIZ_174!U47,0)</f>
        <v/>
      </c>
      <c r="H48" s="16" t="n">
        <v>0</v>
      </c>
      <c r="I48" s="17">
        <f>IFERROR(SCORECARDS!I47,"")</f>
        <v/>
      </c>
      <c r="J48" s="17">
        <f>IFERROR(SCORECARDS!J47,"")</f>
        <v/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7">
        <f>IFERROR(F48,0)</f>
        <v/>
      </c>
      <c r="Q48" s="17">
        <f>IFERROR(SQRT(G48*H48),0)</f>
        <v/>
      </c>
      <c r="R48" s="17">
        <f>IFERROR((I48+J48+L48)/3,0)</f>
        <v/>
      </c>
      <c r="S48" s="17">
        <f>IFERROR((J48+F48)/2,0)</f>
        <v/>
      </c>
      <c r="T48" s="17">
        <f>IFERROR((K48+M48+MATRIZ_174!O47)/3,0)</f>
        <v/>
      </c>
      <c r="U48" s="18">
        <f>IFERROR(MIN(100,ROUND(MATRIZ_174!M47,1)),0)</f>
        <v/>
      </c>
      <c r="V48" s="18">
        <f>IFERROR(IF(E48=0,50,E48),0)</f>
        <v/>
      </c>
      <c r="W48" s="18">
        <f>IFERROR(IF(MATRIZ_174!R47=0,65,IF(MATRIZ_174!R47/MATRIZ_174!Q47&gt;=2,35,IF(MATRIZ_174!R47/MATRIZ_174!Q47&gt;=0.5,50,65))),65)</f>
        <v/>
      </c>
      <c r="X48" s="18">
        <f>IF(MATRIZ_174!O47=0,70,30)</f>
        <v/>
      </c>
      <c r="Y48" s="18">
        <f>IF(OR(MATRIZ_174!P47="ASOCIACION",MATRIZ_174!P47="PENDIENTE"),65,40)</f>
        <v/>
      </c>
      <c r="Z48" s="19">
        <f>IFERROR(ROUND(AVERAGE(P48,Q48,R48,S48,T48),1),0)</f>
        <v/>
      </c>
      <c r="AA48" s="20">
        <f>IFERROR(ROUND(AVERAGE(U48,V48,W48,X48,Y48),1),0)</f>
        <v/>
      </c>
      <c r="AB48" s="21">
        <f>IFERROR(ROUND(AA48*(1-Z48/100),1),0)</f>
        <v/>
      </c>
      <c r="AC48" s="13">
        <f>IF(AND(Z48&gt;=50,AA48&lt;50),"🟢  Resilientes",IF(AND(Z48&gt;=50,AA48&gt;=50),"🟠  Expuestas Adaptables",IF(AND(Z48&lt;50,AA48&lt;50),"⬜  Riesgo Latente","🔴  Riesgo Crítico")))</f>
        <v/>
      </c>
      <c r="AD48" s="13">
        <f>IF(G48=0,"🚫  Inh. vigente OSCE","")</f>
        <v/>
      </c>
      <c r="AE48" s="22">
        <f>IFERROR(MATRIZ_174!W47,0)</f>
        <v/>
      </c>
      <c r="AF48" s="22">
        <f>IFERROR(MATRIZ_174!X47,0)</f>
        <v/>
      </c>
      <c r="AG48" s="22">
        <f>IFERROR(MATRIZ_174!Y47,0)</f>
        <v/>
      </c>
      <c r="AH48" s="22">
        <f>IFERROR(MATRIZ_174!Z47,0)</f>
        <v/>
      </c>
      <c r="AI48" s="17">
        <f>IFERROR(MATRIZ_174!AP47,"N/A")</f>
        <v/>
      </c>
      <c r="AJ48" s="17">
        <f>IFERROR(MATRIZ_174!AO47,"N/A")</f>
        <v/>
      </c>
      <c r="AK48" s="23">
        <f>IFERROR(ROUND(POWER((E48*F48*G48*H48*I48*J48*K48),1/7)*0.875+((L48+M48)/2)*0.125,1),"N/A")</f>
        <v/>
      </c>
      <c r="AL48" s="24">
        <f>IFERROR(IF(OR(AK48="N/A",AI48="N/A"),"N/A",ROUND(0.7*AK48+0.3*AI48*100,1)),"N/A")</f>
        <v/>
      </c>
    </row>
    <row r="49" ht="16.05" customHeight="1" s="37">
      <c r="A49" s="13" t="inlineStr">
        <is>
          <t>20486973219</t>
        </is>
      </c>
      <c r="B49" s="14" t="inlineStr">
        <is>
          <t>COOPERATIVA AGRARIA SONOMORO DEL VRAEM LTDA</t>
        </is>
      </c>
      <c r="C49" s="13" t="inlineStr">
        <is>
          <t>JUNIN</t>
        </is>
      </c>
      <c r="D49" s="15" t="n">
        <v>15171146.54</v>
      </c>
      <c r="E49" s="16" t="n">
        <v>0</v>
      </c>
      <c r="F49" s="17">
        <f>IFERROR(SCORECARDS!H48,"")</f>
        <v/>
      </c>
      <c r="G49" s="17">
        <f>IFERROR(MATRIZ_174!U48,0)</f>
        <v/>
      </c>
      <c r="H49" s="16" t="n">
        <v>0</v>
      </c>
      <c r="I49" s="17">
        <f>IFERROR(SCORECARDS!I48,"")</f>
        <v/>
      </c>
      <c r="J49" s="17">
        <f>IFERROR(SCORECARDS!J48,"")</f>
        <v/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7">
        <f>IFERROR(F49,0)</f>
        <v/>
      </c>
      <c r="Q49" s="17">
        <f>IFERROR(SQRT(G49*H49),0)</f>
        <v/>
      </c>
      <c r="R49" s="17">
        <f>IFERROR((I49+J49+L49)/3,0)</f>
        <v/>
      </c>
      <c r="S49" s="17">
        <f>IFERROR((J49+F49)/2,0)</f>
        <v/>
      </c>
      <c r="T49" s="17">
        <f>IFERROR((K49+M49+MATRIZ_174!O48)/3,0)</f>
        <v/>
      </c>
      <c r="U49" s="18">
        <f>IFERROR(MIN(100,ROUND(MATRIZ_174!M48,1)),0)</f>
        <v/>
      </c>
      <c r="V49" s="18">
        <f>IFERROR(IF(E49=0,50,E49),0)</f>
        <v/>
      </c>
      <c r="W49" s="18">
        <f>IFERROR(IF(MATRIZ_174!R48=0,65,IF(MATRIZ_174!R48/MATRIZ_174!Q48&gt;=2,35,IF(MATRIZ_174!R48/MATRIZ_174!Q48&gt;=0.5,50,65))),65)</f>
        <v/>
      </c>
      <c r="X49" s="18">
        <f>IF(MATRIZ_174!O48=0,70,30)</f>
        <v/>
      </c>
      <c r="Y49" s="18">
        <f>IF(OR(MATRIZ_174!P48="ASOCIACION",MATRIZ_174!P48="PENDIENTE"),65,40)</f>
        <v/>
      </c>
      <c r="Z49" s="19">
        <f>IFERROR(ROUND(AVERAGE(P49,Q49,R49,S49,T49),1),0)</f>
        <v/>
      </c>
      <c r="AA49" s="20">
        <f>IFERROR(ROUND(AVERAGE(U49,V49,W49,X49,Y49),1),0)</f>
        <v/>
      </c>
      <c r="AB49" s="21">
        <f>IFERROR(ROUND(AA49*(1-Z49/100),1),0)</f>
        <v/>
      </c>
      <c r="AC49" s="13">
        <f>IF(AND(Z49&gt;=50,AA49&lt;50),"🟢  Resilientes",IF(AND(Z49&gt;=50,AA49&gt;=50),"🟠  Expuestas Adaptables",IF(AND(Z49&lt;50,AA49&lt;50),"⬜  Riesgo Latente","🔴  Riesgo Crítico")))</f>
        <v/>
      </c>
      <c r="AD49" s="13">
        <f>IF(G49=0,"🚫  Inh. vigente OSCE","")</f>
        <v/>
      </c>
      <c r="AE49" s="22">
        <f>IFERROR(MATRIZ_174!W48,0)</f>
        <v/>
      </c>
      <c r="AF49" s="22">
        <f>IFERROR(MATRIZ_174!X48,0)</f>
        <v/>
      </c>
      <c r="AG49" s="22">
        <f>IFERROR(MATRIZ_174!Y48,0)</f>
        <v/>
      </c>
      <c r="AH49" s="22">
        <f>IFERROR(MATRIZ_174!Z48,0)</f>
        <v/>
      </c>
      <c r="AI49" s="17">
        <f>IFERROR(MATRIZ_174!AP48,"N/A")</f>
        <v/>
      </c>
      <c r="AJ49" s="17">
        <f>IFERROR(MATRIZ_174!AO48,"N/A")</f>
        <v/>
      </c>
      <c r="AK49" s="23">
        <f>IFERROR(ROUND(POWER((E49*F49*G49*H49*I49*J49*K49),1/7)*0.875+((L49+M49)/2)*0.125,1),"N/A")</f>
        <v/>
      </c>
      <c r="AL49" s="24">
        <f>IFERROR(IF(OR(AK49="N/A",AI49="N/A"),"N/A",ROUND(0.7*AK49+0.3*AI49*100,1)),"N/A")</f>
        <v/>
      </c>
    </row>
    <row r="50" ht="16.05" customHeight="1" s="37">
      <c r="A50" s="13" t="inlineStr">
        <is>
          <t>20487242994</t>
        </is>
      </c>
      <c r="B50" s="14" t="inlineStr">
        <is>
          <t>COOPERATIVA AGRARIA ECOLOGICA CACAOTERA VALLE RIO ENE - COOP</t>
        </is>
      </c>
      <c r="C50" s="13" t="inlineStr">
        <is>
          <t>JUNIN</t>
        </is>
      </c>
      <c r="D50" s="15" t="n">
        <v>1145489.35</v>
      </c>
      <c r="E50" s="16" t="n">
        <v>0</v>
      </c>
      <c r="F50" s="17">
        <f>IFERROR(SCORECARDS!H49,"")</f>
        <v/>
      </c>
      <c r="G50" s="17">
        <f>IFERROR(MATRIZ_174!U49,0)</f>
        <v/>
      </c>
      <c r="H50" s="16" t="n">
        <v>0</v>
      </c>
      <c r="I50" s="17">
        <f>IFERROR(SCORECARDS!I49,"")</f>
        <v/>
      </c>
      <c r="J50" s="17">
        <f>IFERROR(SCORECARDS!J49,"")</f>
        <v/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7">
        <f>IFERROR(F50,0)</f>
        <v/>
      </c>
      <c r="Q50" s="17">
        <f>IFERROR(SQRT(G50*H50),0)</f>
        <v/>
      </c>
      <c r="R50" s="17">
        <f>IFERROR((I50+J50+L50)/3,0)</f>
        <v/>
      </c>
      <c r="S50" s="17">
        <f>IFERROR((J50+F50)/2,0)</f>
        <v/>
      </c>
      <c r="T50" s="17">
        <f>IFERROR((K50+M50+MATRIZ_174!O49)/3,0)</f>
        <v/>
      </c>
      <c r="U50" s="18">
        <f>IFERROR(MIN(100,ROUND(MATRIZ_174!M49,1)),0)</f>
        <v/>
      </c>
      <c r="V50" s="18">
        <f>IFERROR(IF(E50=0,50,E50),0)</f>
        <v/>
      </c>
      <c r="W50" s="18">
        <f>IFERROR(IF(MATRIZ_174!R49=0,65,IF(MATRIZ_174!R49/MATRIZ_174!Q49&gt;=2,35,IF(MATRIZ_174!R49/MATRIZ_174!Q49&gt;=0.5,50,65))),65)</f>
        <v/>
      </c>
      <c r="X50" s="18">
        <f>IF(MATRIZ_174!O49=0,70,30)</f>
        <v/>
      </c>
      <c r="Y50" s="18">
        <f>IF(OR(MATRIZ_174!P49="ASOCIACION",MATRIZ_174!P49="PENDIENTE"),65,40)</f>
        <v/>
      </c>
      <c r="Z50" s="19">
        <f>IFERROR(ROUND(AVERAGE(P50,Q50,R50,S50,T50),1),0)</f>
        <v/>
      </c>
      <c r="AA50" s="20">
        <f>IFERROR(ROUND(AVERAGE(U50,V50,W50,X50,Y50),1),0)</f>
        <v/>
      </c>
      <c r="AB50" s="21">
        <f>IFERROR(ROUND(AA50*(1-Z50/100),1),0)</f>
        <v/>
      </c>
      <c r="AC50" s="13">
        <f>IF(AND(Z50&gt;=50,AA50&lt;50),"🟢  Resilientes",IF(AND(Z50&gt;=50,AA50&gt;=50),"🟠  Expuestas Adaptables",IF(AND(Z50&lt;50,AA50&lt;50),"⬜  Riesgo Latente","🔴  Riesgo Crítico")))</f>
        <v/>
      </c>
      <c r="AD50" s="13">
        <f>IF(G50=0,"🚫  Inh. vigente OSCE","")</f>
        <v/>
      </c>
      <c r="AE50" s="22">
        <f>IFERROR(MATRIZ_174!W49,0)</f>
        <v/>
      </c>
      <c r="AF50" s="22">
        <f>IFERROR(MATRIZ_174!X49,0)</f>
        <v/>
      </c>
      <c r="AG50" s="22">
        <f>IFERROR(MATRIZ_174!Y49,0)</f>
        <v/>
      </c>
      <c r="AH50" s="22">
        <f>IFERROR(MATRIZ_174!Z49,0)</f>
        <v/>
      </c>
      <c r="AI50" s="17">
        <f>IFERROR(MATRIZ_174!AP49,"N/A")</f>
        <v/>
      </c>
      <c r="AJ50" s="17">
        <f>IFERROR(MATRIZ_174!AO49,"N/A")</f>
        <v/>
      </c>
      <c r="AK50" s="23">
        <f>IFERROR(ROUND(POWER((E50*F50*G50*H50*I50*J50*K50),1/7)*0.875+((L50+M50)/2)*0.125,1),"N/A")</f>
        <v/>
      </c>
      <c r="AL50" s="24">
        <f>IFERROR(IF(OR(AK50="N/A",AI50="N/A"),"N/A",ROUND(0.7*AK50+0.3*AI50*100,1)),"N/A")</f>
        <v/>
      </c>
    </row>
    <row r="51" ht="16.05" customHeight="1" s="37">
      <c r="A51" s="13" t="inlineStr">
        <is>
          <t>20487351343</t>
        </is>
      </c>
      <c r="B51" s="14" t="inlineStr">
        <is>
          <t>ASOCIACION DE PRODUCTORES AGROPECUARIOS TUPAC AMARU DE CHIÑA</t>
        </is>
      </c>
      <c r="C51" s="13" t="inlineStr">
        <is>
          <t>LAMBAYEQUE</t>
        </is>
      </c>
      <c r="D51" s="15" t="n">
        <v>0</v>
      </c>
      <c r="E51" s="16" t="n">
        <v>0</v>
      </c>
      <c r="F51" s="17">
        <f>IFERROR(SCORECARDS!H50,"")</f>
        <v/>
      </c>
      <c r="G51" s="17">
        <f>IFERROR(MATRIZ_174!U50,0)</f>
        <v/>
      </c>
      <c r="H51" s="16" t="n">
        <v>0</v>
      </c>
      <c r="I51" s="17">
        <f>IFERROR(SCORECARDS!I50,"")</f>
        <v/>
      </c>
      <c r="J51" s="17">
        <f>IFERROR(SCORECARDS!J50,"")</f>
        <v/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7">
        <f>IFERROR(F51,0)</f>
        <v/>
      </c>
      <c r="Q51" s="17">
        <f>IFERROR(SQRT(G51*H51),0)</f>
        <v/>
      </c>
      <c r="R51" s="17">
        <f>IFERROR((I51+J51+L51)/3,0)</f>
        <v/>
      </c>
      <c r="S51" s="17">
        <f>IFERROR((J51+F51)/2,0)</f>
        <v/>
      </c>
      <c r="T51" s="17">
        <f>IFERROR((K51+M51+MATRIZ_174!O50)/3,0)</f>
        <v/>
      </c>
      <c r="U51" s="18">
        <f>IFERROR(MIN(100,ROUND(MATRIZ_174!M50,1)),0)</f>
        <v/>
      </c>
      <c r="V51" s="18">
        <f>IFERROR(IF(E51=0,50,E51),0)</f>
        <v/>
      </c>
      <c r="W51" s="18">
        <f>IFERROR(IF(MATRIZ_174!R50=0,65,IF(MATRIZ_174!R50/MATRIZ_174!Q50&gt;=2,35,IF(MATRIZ_174!R50/MATRIZ_174!Q50&gt;=0.5,50,65))),65)</f>
        <v/>
      </c>
      <c r="X51" s="18">
        <f>IF(MATRIZ_174!O50=0,70,30)</f>
        <v/>
      </c>
      <c r="Y51" s="18">
        <f>IF(OR(MATRIZ_174!P50="ASOCIACION",MATRIZ_174!P50="PENDIENTE"),65,40)</f>
        <v/>
      </c>
      <c r="Z51" s="19">
        <f>IFERROR(ROUND(AVERAGE(P51,Q51,R51,S51,T51),1),0)</f>
        <v/>
      </c>
      <c r="AA51" s="20">
        <f>IFERROR(ROUND(AVERAGE(U51,V51,W51,X51,Y51),1),0)</f>
        <v/>
      </c>
      <c r="AB51" s="21">
        <f>IFERROR(ROUND(AA51*(1-Z51/100),1),0)</f>
        <v/>
      </c>
      <c r="AC51" s="13">
        <f>IF(AND(Z51&gt;=50,AA51&lt;50),"🟢  Resilientes",IF(AND(Z51&gt;=50,AA51&gt;=50),"🟠  Expuestas Adaptables",IF(AND(Z51&lt;50,AA51&lt;50),"⬜  Riesgo Latente","🔴  Riesgo Crítico")))</f>
        <v/>
      </c>
      <c r="AD51" s="13">
        <f>IF(G51=0,"🚫  Inh. vigente OSCE","")</f>
        <v/>
      </c>
      <c r="AE51" s="22">
        <f>IFERROR(MATRIZ_174!W50,0)</f>
        <v/>
      </c>
      <c r="AF51" s="22">
        <f>IFERROR(MATRIZ_174!X50,0)</f>
        <v/>
      </c>
      <c r="AG51" s="22">
        <f>IFERROR(MATRIZ_174!Y50,0)</f>
        <v/>
      </c>
      <c r="AH51" s="22">
        <f>IFERROR(MATRIZ_174!Z50,0)</f>
        <v/>
      </c>
      <c r="AI51" s="17">
        <f>IFERROR(MATRIZ_174!AP50,"N/A")</f>
        <v/>
      </c>
      <c r="AJ51" s="17">
        <f>IFERROR(MATRIZ_174!AO50,"N/A")</f>
        <v/>
      </c>
      <c r="AK51" s="23">
        <f>IFERROR(ROUND(POWER((E51*F51*G51*H51*I51*J51*K51),1/7)*0.875+((L51+M51)/2)*0.125,1),"N/A")</f>
        <v/>
      </c>
      <c r="AL51" s="24">
        <f>IFERROR(IF(OR(AK51="N/A",AI51="N/A"),"N/A",ROUND(0.7*AK51+0.3*AI51*100,1)),"N/A")</f>
        <v/>
      </c>
    </row>
    <row r="52" ht="16.05" customHeight="1" s="37">
      <c r="A52" s="13" t="inlineStr">
        <is>
          <t>20487661539</t>
        </is>
      </c>
      <c r="B52" s="14" t="inlineStr">
        <is>
          <t>ASOCIACION DE PRODUCTORES CACAOTEROS DEL DISTRITO DE HUARANG</t>
        </is>
      </c>
      <c r="C52" s="13" t="inlineStr">
        <is>
          <t>CAJAMARCA</t>
        </is>
      </c>
      <c r="D52" s="15" t="n">
        <v>0</v>
      </c>
      <c r="E52" s="16" t="n">
        <v>0</v>
      </c>
      <c r="F52" s="17">
        <f>IFERROR(SCORECARDS!H51,"")</f>
        <v/>
      </c>
      <c r="G52" s="17">
        <f>IFERROR(MATRIZ_174!U51,0)</f>
        <v/>
      </c>
      <c r="H52" s="16" t="n">
        <v>0</v>
      </c>
      <c r="I52" s="17">
        <f>IFERROR(SCORECARDS!I51,"")</f>
        <v/>
      </c>
      <c r="J52" s="17">
        <f>IFERROR(SCORECARDS!J51,"")</f>
        <v/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7">
        <f>IFERROR(F52,0)</f>
        <v/>
      </c>
      <c r="Q52" s="17">
        <f>IFERROR(SQRT(G52*H52),0)</f>
        <v/>
      </c>
      <c r="R52" s="17">
        <f>IFERROR((I52+J52+L52)/3,0)</f>
        <v/>
      </c>
      <c r="S52" s="17">
        <f>IFERROR((J52+F52)/2,0)</f>
        <v/>
      </c>
      <c r="T52" s="17">
        <f>IFERROR((K52+M52+MATRIZ_174!O51)/3,0)</f>
        <v/>
      </c>
      <c r="U52" s="18">
        <f>IFERROR(MIN(100,ROUND(MATRIZ_174!M51,1)),0)</f>
        <v/>
      </c>
      <c r="V52" s="18">
        <f>IFERROR(IF(E52=0,50,E52),0)</f>
        <v/>
      </c>
      <c r="W52" s="18">
        <f>IFERROR(IF(MATRIZ_174!R51=0,65,IF(MATRIZ_174!R51/MATRIZ_174!Q51&gt;=2,35,IF(MATRIZ_174!R51/MATRIZ_174!Q51&gt;=0.5,50,65))),65)</f>
        <v/>
      </c>
      <c r="X52" s="18">
        <f>IF(MATRIZ_174!O51=0,70,30)</f>
        <v/>
      </c>
      <c r="Y52" s="18">
        <f>IF(OR(MATRIZ_174!P51="ASOCIACION",MATRIZ_174!P51="PENDIENTE"),65,40)</f>
        <v/>
      </c>
      <c r="Z52" s="19">
        <f>IFERROR(ROUND(AVERAGE(P52,Q52,R52,S52,T52),1),0)</f>
        <v/>
      </c>
      <c r="AA52" s="20">
        <f>IFERROR(ROUND(AVERAGE(U52,V52,W52,X52,Y52),1),0)</f>
        <v/>
      </c>
      <c r="AB52" s="21">
        <f>IFERROR(ROUND(AA52*(1-Z52/100),1),0)</f>
        <v/>
      </c>
      <c r="AC52" s="13">
        <f>IF(AND(Z52&gt;=50,AA52&lt;50),"🟢  Resilientes",IF(AND(Z52&gt;=50,AA52&gt;=50),"🟠  Expuestas Adaptables",IF(AND(Z52&lt;50,AA52&lt;50),"⬜  Riesgo Latente","🔴  Riesgo Crítico")))</f>
        <v/>
      </c>
      <c r="AD52" s="13">
        <f>IF(G52=0,"🚫  Inh. vigente OSCE","")</f>
        <v/>
      </c>
      <c r="AE52" s="22">
        <f>IFERROR(MATRIZ_174!W51,0)</f>
        <v/>
      </c>
      <c r="AF52" s="22">
        <f>IFERROR(MATRIZ_174!X51,0)</f>
        <v/>
      </c>
      <c r="AG52" s="22">
        <f>IFERROR(MATRIZ_174!Y51,0)</f>
        <v/>
      </c>
      <c r="AH52" s="22">
        <f>IFERROR(MATRIZ_174!Z51,0)</f>
        <v/>
      </c>
      <c r="AI52" s="17">
        <f>IFERROR(MATRIZ_174!AP51,"N/A")</f>
        <v/>
      </c>
      <c r="AJ52" s="17">
        <f>IFERROR(MATRIZ_174!AO51,"N/A")</f>
        <v/>
      </c>
      <c r="AK52" s="23">
        <f>IFERROR(ROUND(POWER((E52*F52*G52*H52*I52*J52*K52),1/7)*0.875+((L52+M52)/2)*0.125,1),"N/A")</f>
        <v/>
      </c>
      <c r="AL52" s="24">
        <f>IFERROR(IF(OR(AK52="N/A",AI52="N/A"),"N/A",ROUND(0.7*AK52+0.3*AI52*100,1)),"N/A")</f>
        <v/>
      </c>
    </row>
    <row r="53" ht="16.05" customHeight="1" s="37">
      <c r="A53" s="13" t="inlineStr">
        <is>
          <t>20490726196</t>
        </is>
      </c>
      <c r="B53" s="14" t="inlineStr">
        <is>
          <t>ASOCIACIÓN DE PRODUCTORES AGROPECUARIOS VALLESITO - CHAHUARE</t>
        </is>
      </c>
      <c r="C53" s="13" t="inlineStr">
        <is>
          <t>CUSCO</t>
        </is>
      </c>
      <c r="D53" s="15" t="n">
        <v>0</v>
      </c>
      <c r="E53" s="16" t="n">
        <v>0</v>
      </c>
      <c r="F53" s="17">
        <f>IFERROR(SCORECARDS!H52,"")</f>
        <v/>
      </c>
      <c r="G53" s="17">
        <f>IFERROR(MATRIZ_174!U52,0)</f>
        <v/>
      </c>
      <c r="H53" s="16" t="n">
        <v>0</v>
      </c>
      <c r="I53" s="17">
        <f>IFERROR(SCORECARDS!I52,"")</f>
        <v/>
      </c>
      <c r="J53" s="17">
        <f>IFERROR(SCORECARDS!J52,"")</f>
        <v/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7">
        <f>IFERROR(F53,0)</f>
        <v/>
      </c>
      <c r="Q53" s="17">
        <f>IFERROR(SQRT(G53*H53),0)</f>
        <v/>
      </c>
      <c r="R53" s="17">
        <f>IFERROR((I53+J53+L53)/3,0)</f>
        <v/>
      </c>
      <c r="S53" s="17">
        <f>IFERROR((J53+F53)/2,0)</f>
        <v/>
      </c>
      <c r="T53" s="17">
        <f>IFERROR((K53+M53+MATRIZ_174!O52)/3,0)</f>
        <v/>
      </c>
      <c r="U53" s="18">
        <f>IFERROR(MIN(100,ROUND(MATRIZ_174!M52,1)),0)</f>
        <v/>
      </c>
      <c r="V53" s="18">
        <f>IFERROR(IF(E53=0,50,E53),0)</f>
        <v/>
      </c>
      <c r="W53" s="18">
        <f>IFERROR(IF(MATRIZ_174!R52=0,65,IF(MATRIZ_174!R52/MATRIZ_174!Q52&gt;=2,35,IF(MATRIZ_174!R52/MATRIZ_174!Q52&gt;=0.5,50,65))),65)</f>
        <v/>
      </c>
      <c r="X53" s="18">
        <f>IF(MATRIZ_174!O52=0,70,30)</f>
        <v/>
      </c>
      <c r="Y53" s="18">
        <f>IF(OR(MATRIZ_174!P52="ASOCIACION",MATRIZ_174!P52="PENDIENTE"),65,40)</f>
        <v/>
      </c>
      <c r="Z53" s="19">
        <f>IFERROR(ROUND(AVERAGE(P53,Q53,R53,S53,T53),1),0)</f>
        <v/>
      </c>
      <c r="AA53" s="20">
        <f>IFERROR(ROUND(AVERAGE(U53,V53,W53,X53,Y53),1),0)</f>
        <v/>
      </c>
      <c r="AB53" s="21">
        <f>IFERROR(ROUND(AA53*(1-Z53/100),1),0)</f>
        <v/>
      </c>
      <c r="AC53" s="13">
        <f>IF(AND(Z53&gt;=50,AA53&lt;50),"🟢  Resilientes",IF(AND(Z53&gt;=50,AA53&gt;=50),"🟠  Expuestas Adaptables",IF(AND(Z53&lt;50,AA53&lt;50),"⬜  Riesgo Latente","🔴  Riesgo Crítico")))</f>
        <v/>
      </c>
      <c r="AD53" s="13">
        <f>IF(G53=0,"🚫  Inh. vigente OSCE","")</f>
        <v/>
      </c>
      <c r="AE53" s="22">
        <f>IFERROR(MATRIZ_174!W52,0)</f>
        <v/>
      </c>
      <c r="AF53" s="22">
        <f>IFERROR(MATRIZ_174!X52,0)</f>
        <v/>
      </c>
      <c r="AG53" s="22">
        <f>IFERROR(MATRIZ_174!Y52,0)</f>
        <v/>
      </c>
      <c r="AH53" s="22">
        <f>IFERROR(MATRIZ_174!Z52,0)</f>
        <v/>
      </c>
      <c r="AI53" s="17">
        <f>IFERROR(MATRIZ_174!AP52,"N/A")</f>
        <v/>
      </c>
      <c r="AJ53" s="17">
        <f>IFERROR(MATRIZ_174!AO52,"N/A")</f>
        <v/>
      </c>
      <c r="AK53" s="23">
        <f>IFERROR(ROUND(POWER((E53*F53*G53*H53*I53*J53*K53),1/7)*0.875+((L53+M53)/2)*0.125,1),"N/A")</f>
        <v/>
      </c>
      <c r="AL53" s="24">
        <f>IFERROR(IF(OR(AK53="N/A",AI53="N/A"),"N/A",ROUND(0.7*AK53+0.3*AI53*100,1)),"N/A")</f>
        <v/>
      </c>
    </row>
    <row r="54" ht="16.05" customHeight="1" s="37">
      <c r="A54" s="13" t="inlineStr">
        <is>
          <t>20493934822</t>
        </is>
      </c>
      <c r="B54" s="14" t="inlineStr">
        <is>
          <t>COOPERATIVA AGRARIA NUEVO AMANECER LTDA.</t>
        </is>
      </c>
      <c r="C54" s="13" t="inlineStr">
        <is>
          <t>SAN MARTIN</t>
        </is>
      </c>
      <c r="D54" s="15" t="n">
        <v>0</v>
      </c>
      <c r="E54" s="16" t="n">
        <v>0</v>
      </c>
      <c r="F54" s="17">
        <f>IFERROR(SCORECARDS!H53,"")</f>
        <v/>
      </c>
      <c r="G54" s="17">
        <f>IFERROR(MATRIZ_174!U53,0)</f>
        <v/>
      </c>
      <c r="H54" s="16" t="n">
        <v>0</v>
      </c>
      <c r="I54" s="17">
        <f>IFERROR(SCORECARDS!I53,"")</f>
        <v/>
      </c>
      <c r="J54" s="17">
        <f>IFERROR(SCORECARDS!J53,"")</f>
        <v/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7">
        <f>IFERROR(F54,0)</f>
        <v/>
      </c>
      <c r="Q54" s="17">
        <f>IFERROR(SQRT(G54*H54),0)</f>
        <v/>
      </c>
      <c r="R54" s="17">
        <f>IFERROR((I54+J54+L54)/3,0)</f>
        <v/>
      </c>
      <c r="S54" s="17">
        <f>IFERROR((J54+F54)/2,0)</f>
        <v/>
      </c>
      <c r="T54" s="17">
        <f>IFERROR((K54+M54+MATRIZ_174!O53)/3,0)</f>
        <v/>
      </c>
      <c r="U54" s="18">
        <f>IFERROR(MIN(100,ROUND(MATRIZ_174!M53,1)),0)</f>
        <v/>
      </c>
      <c r="V54" s="18">
        <f>IFERROR(IF(E54=0,50,E54),0)</f>
        <v/>
      </c>
      <c r="W54" s="18">
        <f>IFERROR(IF(MATRIZ_174!R53=0,65,IF(MATRIZ_174!R53/MATRIZ_174!Q53&gt;=2,35,IF(MATRIZ_174!R53/MATRIZ_174!Q53&gt;=0.5,50,65))),65)</f>
        <v/>
      </c>
      <c r="X54" s="18">
        <f>IF(MATRIZ_174!O53=0,70,30)</f>
        <v/>
      </c>
      <c r="Y54" s="18">
        <f>IF(OR(MATRIZ_174!P53="ASOCIACION",MATRIZ_174!P53="PENDIENTE"),65,40)</f>
        <v/>
      </c>
      <c r="Z54" s="19">
        <f>IFERROR(ROUND(AVERAGE(P54,Q54,R54,S54,T54),1),0)</f>
        <v/>
      </c>
      <c r="AA54" s="20">
        <f>IFERROR(ROUND(AVERAGE(U54,V54,W54,X54,Y54),1),0)</f>
        <v/>
      </c>
      <c r="AB54" s="21">
        <f>IFERROR(ROUND(AA54*(1-Z54/100),1),0)</f>
        <v/>
      </c>
      <c r="AC54" s="13">
        <f>IF(AND(Z54&gt;=50,AA54&lt;50),"🟢  Resilientes",IF(AND(Z54&gt;=50,AA54&gt;=50),"🟠  Expuestas Adaptables",IF(AND(Z54&lt;50,AA54&lt;50),"⬜  Riesgo Latente","🔴  Riesgo Crítico")))</f>
        <v/>
      </c>
      <c r="AD54" s="13">
        <f>IF(G54=0,"🚫  Inh. vigente OSCE","")</f>
        <v/>
      </c>
      <c r="AE54" s="22">
        <f>IFERROR(MATRIZ_174!W53,0)</f>
        <v/>
      </c>
      <c r="AF54" s="22">
        <f>IFERROR(MATRIZ_174!X53,0)</f>
        <v/>
      </c>
      <c r="AG54" s="22">
        <f>IFERROR(MATRIZ_174!Y53,0)</f>
        <v/>
      </c>
      <c r="AH54" s="22">
        <f>IFERROR(MATRIZ_174!Z53,0)</f>
        <v/>
      </c>
      <c r="AI54" s="17">
        <f>IFERROR(MATRIZ_174!AP53,"N/A")</f>
        <v/>
      </c>
      <c r="AJ54" s="17">
        <f>IFERROR(MATRIZ_174!AO53,"N/A")</f>
        <v/>
      </c>
      <c r="AK54" s="23">
        <f>IFERROR(ROUND(POWER((E54*F54*G54*H54*I54*J54*K54),1/7)*0.875+((L54+M54)/2)*0.125,1),"N/A")</f>
        <v/>
      </c>
      <c r="AL54" s="24">
        <f>IFERROR(IF(OR(AK54="N/A",AI54="N/A"),"N/A",ROUND(0.7*AK54+0.3*AI54*100,1)),"N/A")</f>
        <v/>
      </c>
    </row>
    <row r="55" ht="16.05" customHeight="1" s="37">
      <c r="A55" s="13" t="inlineStr">
        <is>
          <t>20493959574</t>
        </is>
      </c>
      <c r="B55" s="14" t="inlineStr">
        <is>
          <t>COOPERATIVA AGRARIA DE SERVICIOS MUJERES TECNOLOGAS CACAOTER</t>
        </is>
      </c>
      <c r="C55" s="13" t="inlineStr">
        <is>
          <t>SAN MARTIN</t>
        </is>
      </c>
      <c r="D55" s="15" t="n">
        <v>0</v>
      </c>
      <c r="E55" s="16" t="n">
        <v>0</v>
      </c>
      <c r="F55" s="17">
        <f>IFERROR(SCORECARDS!H54,"")</f>
        <v/>
      </c>
      <c r="G55" s="17">
        <f>IFERROR(MATRIZ_174!U54,0)</f>
        <v/>
      </c>
      <c r="H55" s="16" t="n">
        <v>0</v>
      </c>
      <c r="I55" s="17">
        <f>IFERROR(SCORECARDS!I54,"")</f>
        <v/>
      </c>
      <c r="J55" s="17">
        <f>IFERROR(SCORECARDS!J54,"")</f>
        <v/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7">
        <f>IFERROR(F55,0)</f>
        <v/>
      </c>
      <c r="Q55" s="17">
        <f>IFERROR(SQRT(G55*H55),0)</f>
        <v/>
      </c>
      <c r="R55" s="17">
        <f>IFERROR((I55+J55+L55)/3,0)</f>
        <v/>
      </c>
      <c r="S55" s="17">
        <f>IFERROR((J55+F55)/2,0)</f>
        <v/>
      </c>
      <c r="T55" s="17">
        <f>IFERROR((K55+M55+MATRIZ_174!O54)/3,0)</f>
        <v/>
      </c>
      <c r="U55" s="18">
        <f>IFERROR(MIN(100,ROUND(MATRIZ_174!M54,1)),0)</f>
        <v/>
      </c>
      <c r="V55" s="18">
        <f>IFERROR(IF(E55=0,50,E55),0)</f>
        <v/>
      </c>
      <c r="W55" s="18">
        <f>IFERROR(IF(MATRIZ_174!R54=0,65,IF(MATRIZ_174!R54/MATRIZ_174!Q54&gt;=2,35,IF(MATRIZ_174!R54/MATRIZ_174!Q54&gt;=0.5,50,65))),65)</f>
        <v/>
      </c>
      <c r="X55" s="18">
        <f>IF(MATRIZ_174!O54=0,70,30)</f>
        <v/>
      </c>
      <c r="Y55" s="18">
        <f>IF(OR(MATRIZ_174!P54="ASOCIACION",MATRIZ_174!P54="PENDIENTE"),65,40)</f>
        <v/>
      </c>
      <c r="Z55" s="19">
        <f>IFERROR(ROUND(AVERAGE(P55,Q55,R55,S55,T55),1),0)</f>
        <v/>
      </c>
      <c r="AA55" s="20">
        <f>IFERROR(ROUND(AVERAGE(U55,V55,W55,X55,Y55),1),0)</f>
        <v/>
      </c>
      <c r="AB55" s="21">
        <f>IFERROR(ROUND(AA55*(1-Z55/100),1),0)</f>
        <v/>
      </c>
      <c r="AC55" s="13">
        <f>IF(AND(Z55&gt;=50,AA55&lt;50),"🟢  Resilientes",IF(AND(Z55&gt;=50,AA55&gt;=50),"🟠  Expuestas Adaptables",IF(AND(Z55&lt;50,AA55&lt;50),"⬜  Riesgo Latente","🔴  Riesgo Crítico")))</f>
        <v/>
      </c>
      <c r="AD55" s="13">
        <f>IF(G55=0,"🚫  Inh. vigente OSCE","")</f>
        <v/>
      </c>
      <c r="AE55" s="22">
        <f>IFERROR(MATRIZ_174!W54,0)</f>
        <v/>
      </c>
      <c r="AF55" s="22">
        <f>IFERROR(MATRIZ_174!X54,0)</f>
        <v/>
      </c>
      <c r="AG55" s="22">
        <f>IFERROR(MATRIZ_174!Y54,0)</f>
        <v/>
      </c>
      <c r="AH55" s="22">
        <f>IFERROR(MATRIZ_174!Z54,0)</f>
        <v/>
      </c>
      <c r="AI55" s="17">
        <f>IFERROR(MATRIZ_174!AP54,"N/A")</f>
        <v/>
      </c>
      <c r="AJ55" s="17">
        <f>IFERROR(MATRIZ_174!AO54,"N/A")</f>
        <v/>
      </c>
      <c r="AK55" s="23">
        <f>IFERROR(ROUND(POWER((E55*F55*G55*H55*I55*J55*K55),1/7)*0.875+((L55+M55)/2)*0.125,1),"N/A")</f>
        <v/>
      </c>
      <c r="AL55" s="24">
        <f>IFERROR(IF(OR(AK55="N/A",AI55="N/A"),"N/A",ROUND(0.7*AK55+0.3*AI55*100,1)),"N/A")</f>
        <v/>
      </c>
    </row>
    <row r="56" ht="16.05" customHeight="1" s="37">
      <c r="A56" s="13" t="inlineStr">
        <is>
          <t>20494126819</t>
        </is>
      </c>
      <c r="B56" s="14" t="inlineStr">
        <is>
          <t>ASOCIACION DE PRODUCTORES AGROPECUARIOS RIO MAYO SHANAO</t>
        </is>
      </c>
      <c r="C56" s="13" t="inlineStr">
        <is>
          <t>SAN MARTIN</t>
        </is>
      </c>
      <c r="D56" s="15" t="n">
        <v>0</v>
      </c>
      <c r="E56" s="16" t="n">
        <v>0</v>
      </c>
      <c r="F56" s="17">
        <f>IFERROR(SCORECARDS!H55,"")</f>
        <v/>
      </c>
      <c r="G56" s="17">
        <f>IFERROR(MATRIZ_174!U55,0)</f>
        <v/>
      </c>
      <c r="H56" s="16" t="n">
        <v>0</v>
      </c>
      <c r="I56" s="17">
        <f>IFERROR(SCORECARDS!I55,"")</f>
        <v/>
      </c>
      <c r="J56" s="17">
        <f>IFERROR(SCORECARDS!J55,"")</f>
        <v/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7">
        <f>IFERROR(F56,0)</f>
        <v/>
      </c>
      <c r="Q56" s="17">
        <f>IFERROR(SQRT(G56*H56),0)</f>
        <v/>
      </c>
      <c r="R56" s="17">
        <f>IFERROR((I56+J56+L56)/3,0)</f>
        <v/>
      </c>
      <c r="S56" s="17">
        <f>IFERROR((J56+F56)/2,0)</f>
        <v/>
      </c>
      <c r="T56" s="17">
        <f>IFERROR((K56+M56+MATRIZ_174!O55)/3,0)</f>
        <v/>
      </c>
      <c r="U56" s="18">
        <f>IFERROR(MIN(100,ROUND(MATRIZ_174!M55,1)),0)</f>
        <v/>
      </c>
      <c r="V56" s="18">
        <f>IFERROR(IF(E56=0,50,E56),0)</f>
        <v/>
      </c>
      <c r="W56" s="18">
        <f>IFERROR(IF(MATRIZ_174!R55=0,65,IF(MATRIZ_174!R55/MATRIZ_174!Q55&gt;=2,35,IF(MATRIZ_174!R55/MATRIZ_174!Q55&gt;=0.5,50,65))),65)</f>
        <v/>
      </c>
      <c r="X56" s="18">
        <f>IF(MATRIZ_174!O55=0,70,30)</f>
        <v/>
      </c>
      <c r="Y56" s="18">
        <f>IF(OR(MATRIZ_174!P55="ASOCIACION",MATRIZ_174!P55="PENDIENTE"),65,40)</f>
        <v/>
      </c>
      <c r="Z56" s="19">
        <f>IFERROR(ROUND(AVERAGE(P56,Q56,R56,S56,T56),1),0)</f>
        <v/>
      </c>
      <c r="AA56" s="20">
        <f>IFERROR(ROUND(AVERAGE(U56,V56,W56,X56,Y56),1),0)</f>
        <v/>
      </c>
      <c r="AB56" s="21">
        <f>IFERROR(ROUND(AA56*(1-Z56/100),1),0)</f>
        <v/>
      </c>
      <c r="AC56" s="13">
        <f>IF(AND(Z56&gt;=50,AA56&lt;50),"🟢  Resilientes",IF(AND(Z56&gt;=50,AA56&gt;=50),"🟠  Expuestas Adaptables",IF(AND(Z56&lt;50,AA56&lt;50),"⬜  Riesgo Latente","🔴  Riesgo Crítico")))</f>
        <v/>
      </c>
      <c r="AD56" s="13">
        <f>IF(G56=0,"🚫  Inh. vigente OSCE","")</f>
        <v/>
      </c>
      <c r="AE56" s="22">
        <f>IFERROR(MATRIZ_174!W55,0)</f>
        <v/>
      </c>
      <c r="AF56" s="22">
        <f>IFERROR(MATRIZ_174!X55,0)</f>
        <v/>
      </c>
      <c r="AG56" s="22">
        <f>IFERROR(MATRIZ_174!Y55,0)</f>
        <v/>
      </c>
      <c r="AH56" s="22">
        <f>IFERROR(MATRIZ_174!Z55,0)</f>
        <v/>
      </c>
      <c r="AI56" s="17">
        <f>IFERROR(MATRIZ_174!AP55,"N/A")</f>
        <v/>
      </c>
      <c r="AJ56" s="17">
        <f>IFERROR(MATRIZ_174!AO55,"N/A")</f>
        <v/>
      </c>
      <c r="AK56" s="23">
        <f>IFERROR(ROUND(POWER((E56*F56*G56*H56*I56*J56*K56),1/7)*0.875+((L56+M56)/2)*0.125,1),"N/A")</f>
        <v/>
      </c>
      <c r="AL56" s="24">
        <f>IFERROR(IF(OR(AK56="N/A",AI56="N/A"),"N/A",ROUND(0.7*AK56+0.3*AI56*100,1)),"N/A")</f>
        <v/>
      </c>
    </row>
    <row r="57" ht="16.05" customHeight="1" s="37">
      <c r="A57" s="13" t="inlineStr">
        <is>
          <t>20494145791</t>
        </is>
      </c>
      <c r="B57" s="14" t="inlineStr">
        <is>
          <t>ASOCIACION ECOLOGICA Y DE PRODUCTORES AGROPECUARIOS SAN JOSE</t>
        </is>
      </c>
      <c r="C57" s="13" t="inlineStr">
        <is>
          <t>LORETO</t>
        </is>
      </c>
      <c r="D57" s="15" t="n">
        <v>0</v>
      </c>
      <c r="E57" s="16" t="n">
        <v>0</v>
      </c>
      <c r="F57" s="17">
        <f>IFERROR(SCORECARDS!H56,"")</f>
        <v/>
      </c>
      <c r="G57" s="17">
        <f>IFERROR(MATRIZ_174!U56,0)</f>
        <v/>
      </c>
      <c r="H57" s="16" t="n">
        <v>0</v>
      </c>
      <c r="I57" s="17">
        <f>IFERROR(SCORECARDS!I56,"")</f>
        <v/>
      </c>
      <c r="J57" s="17">
        <f>IFERROR(SCORECARDS!J56,"")</f>
        <v/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7">
        <f>IFERROR(F57,0)</f>
        <v/>
      </c>
      <c r="Q57" s="17">
        <f>IFERROR(SQRT(G57*H57),0)</f>
        <v/>
      </c>
      <c r="R57" s="17">
        <f>IFERROR((I57+J57+L57)/3,0)</f>
        <v/>
      </c>
      <c r="S57" s="17">
        <f>IFERROR((J57+F57)/2,0)</f>
        <v/>
      </c>
      <c r="T57" s="17">
        <f>IFERROR((K57+M57+MATRIZ_174!O56)/3,0)</f>
        <v/>
      </c>
      <c r="U57" s="18">
        <f>IFERROR(MIN(100,ROUND(MATRIZ_174!M56,1)),0)</f>
        <v/>
      </c>
      <c r="V57" s="18">
        <f>IFERROR(IF(E57=0,50,E57),0)</f>
        <v/>
      </c>
      <c r="W57" s="18">
        <f>IFERROR(IF(MATRIZ_174!R56=0,65,IF(MATRIZ_174!R56/MATRIZ_174!Q56&gt;=2,35,IF(MATRIZ_174!R56/MATRIZ_174!Q56&gt;=0.5,50,65))),65)</f>
        <v/>
      </c>
      <c r="X57" s="18">
        <f>IF(MATRIZ_174!O56=0,70,30)</f>
        <v/>
      </c>
      <c r="Y57" s="18">
        <f>IF(OR(MATRIZ_174!P56="ASOCIACION",MATRIZ_174!P56="PENDIENTE"),65,40)</f>
        <v/>
      </c>
      <c r="Z57" s="19">
        <f>IFERROR(ROUND(AVERAGE(P57,Q57,R57,S57,T57),1),0)</f>
        <v/>
      </c>
      <c r="AA57" s="20">
        <f>IFERROR(ROUND(AVERAGE(U57,V57,W57,X57,Y57),1),0)</f>
        <v/>
      </c>
      <c r="AB57" s="21">
        <f>IFERROR(ROUND(AA57*(1-Z57/100),1),0)</f>
        <v/>
      </c>
      <c r="AC57" s="13">
        <f>IF(AND(Z57&gt;=50,AA57&lt;50),"🟢  Resilientes",IF(AND(Z57&gt;=50,AA57&gt;=50),"🟠  Expuestas Adaptables",IF(AND(Z57&lt;50,AA57&lt;50),"⬜  Riesgo Latente","🔴  Riesgo Crítico")))</f>
        <v/>
      </c>
      <c r="AD57" s="13">
        <f>IF(G57=0,"🚫  Inh. vigente OSCE","")</f>
        <v/>
      </c>
      <c r="AE57" s="22">
        <f>IFERROR(MATRIZ_174!W56,0)</f>
        <v/>
      </c>
      <c r="AF57" s="22">
        <f>IFERROR(MATRIZ_174!X56,0)</f>
        <v/>
      </c>
      <c r="AG57" s="22">
        <f>IFERROR(MATRIZ_174!Y56,0)</f>
        <v/>
      </c>
      <c r="AH57" s="22">
        <f>IFERROR(MATRIZ_174!Z56,0)</f>
        <v/>
      </c>
      <c r="AI57" s="17">
        <f>IFERROR(MATRIZ_174!AP56,"N/A")</f>
        <v/>
      </c>
      <c r="AJ57" s="17">
        <f>IFERROR(MATRIZ_174!AO56,"N/A")</f>
        <v/>
      </c>
      <c r="AK57" s="23">
        <f>IFERROR(ROUND(POWER((E57*F57*G57*H57*I57*J57*K57),1/7)*0.875+((L57+M57)/2)*0.125,1),"N/A")</f>
        <v/>
      </c>
      <c r="AL57" s="24">
        <f>IFERROR(IF(OR(AK57="N/A",AI57="N/A"),"N/A",ROUND(0.7*AK57+0.3*AI57*100,1)),"N/A")</f>
        <v/>
      </c>
    </row>
    <row r="58" ht="16.05" customHeight="1" s="37">
      <c r="A58" s="13" t="inlineStr">
        <is>
          <t>20494699690</t>
        </is>
      </c>
      <c r="B58" s="14" t="inlineStr">
        <is>
          <t>ASOCIACION DE PRODUCTORES DE CACAO ECOLOGICO DE KIMBIRI - AP</t>
        </is>
      </c>
      <c r="C58" s="13" t="inlineStr">
        <is>
          <t>CUSCO</t>
        </is>
      </c>
      <c r="D58" s="15" t="n">
        <v>0</v>
      </c>
      <c r="E58" s="16" t="n">
        <v>0</v>
      </c>
      <c r="F58" s="17">
        <f>IFERROR(SCORECARDS!H57,"")</f>
        <v/>
      </c>
      <c r="G58" s="17">
        <f>IFERROR(MATRIZ_174!U57,0)</f>
        <v/>
      </c>
      <c r="H58" s="16" t="n">
        <v>0</v>
      </c>
      <c r="I58" s="17">
        <f>IFERROR(SCORECARDS!I57,"")</f>
        <v/>
      </c>
      <c r="J58" s="17">
        <f>IFERROR(SCORECARDS!J57,"")</f>
        <v/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7">
        <f>IFERROR(F58,0)</f>
        <v/>
      </c>
      <c r="Q58" s="17">
        <f>IFERROR(SQRT(G58*H58),0)</f>
        <v/>
      </c>
      <c r="R58" s="17">
        <f>IFERROR((I58+J58+L58)/3,0)</f>
        <v/>
      </c>
      <c r="S58" s="17">
        <f>IFERROR((J58+F58)/2,0)</f>
        <v/>
      </c>
      <c r="T58" s="17">
        <f>IFERROR((K58+M58+MATRIZ_174!O57)/3,0)</f>
        <v/>
      </c>
      <c r="U58" s="18">
        <f>IFERROR(MIN(100,ROUND(MATRIZ_174!M57,1)),0)</f>
        <v/>
      </c>
      <c r="V58" s="18">
        <f>IFERROR(IF(E58=0,50,E58),0)</f>
        <v/>
      </c>
      <c r="W58" s="18">
        <f>IFERROR(IF(MATRIZ_174!R57=0,65,IF(MATRIZ_174!R57/MATRIZ_174!Q57&gt;=2,35,IF(MATRIZ_174!R57/MATRIZ_174!Q57&gt;=0.5,50,65))),65)</f>
        <v/>
      </c>
      <c r="X58" s="18">
        <f>IF(MATRIZ_174!O57=0,70,30)</f>
        <v/>
      </c>
      <c r="Y58" s="18">
        <f>IF(OR(MATRIZ_174!P57="ASOCIACION",MATRIZ_174!P57="PENDIENTE"),65,40)</f>
        <v/>
      </c>
      <c r="Z58" s="19">
        <f>IFERROR(ROUND(AVERAGE(P58,Q58,R58,S58,T58),1),0)</f>
        <v/>
      </c>
      <c r="AA58" s="20">
        <f>IFERROR(ROUND(AVERAGE(U58,V58,W58,X58,Y58),1),0)</f>
        <v/>
      </c>
      <c r="AB58" s="21">
        <f>IFERROR(ROUND(AA58*(1-Z58/100),1),0)</f>
        <v/>
      </c>
      <c r="AC58" s="13">
        <f>IF(AND(Z58&gt;=50,AA58&lt;50),"🟢  Resilientes",IF(AND(Z58&gt;=50,AA58&gt;=50),"🟠  Expuestas Adaptables",IF(AND(Z58&lt;50,AA58&lt;50),"⬜  Riesgo Latente","🔴  Riesgo Crítico")))</f>
        <v/>
      </c>
      <c r="AD58" s="13">
        <f>IF(G58=0,"🚫  Inh. vigente OSCE","")</f>
        <v/>
      </c>
      <c r="AE58" s="22">
        <f>IFERROR(MATRIZ_174!W57,0)</f>
        <v/>
      </c>
      <c r="AF58" s="22">
        <f>IFERROR(MATRIZ_174!X57,0)</f>
        <v/>
      </c>
      <c r="AG58" s="22">
        <f>IFERROR(MATRIZ_174!Y57,0)</f>
        <v/>
      </c>
      <c r="AH58" s="22">
        <f>IFERROR(MATRIZ_174!Z57,0)</f>
        <v/>
      </c>
      <c r="AI58" s="17">
        <f>IFERROR(MATRIZ_174!AP57,"N/A")</f>
        <v/>
      </c>
      <c r="AJ58" s="17">
        <f>IFERROR(MATRIZ_174!AO57,"N/A")</f>
        <v/>
      </c>
      <c r="AK58" s="23">
        <f>IFERROR(ROUND(POWER((E58*F58*G58*H58*I58*J58*K58),1/7)*0.875+((L58+M58)/2)*0.125,1),"N/A")</f>
        <v/>
      </c>
      <c r="AL58" s="24">
        <f>IFERROR(IF(OR(AK58="N/A",AI58="N/A"),"N/A",ROUND(0.7*AK58+0.3*AI58*100,1)),"N/A")</f>
        <v/>
      </c>
    </row>
    <row r="59" ht="16.05" customHeight="1" s="37">
      <c r="A59" s="13" t="inlineStr">
        <is>
          <t>20525969551</t>
        </is>
      </c>
      <c r="B59" s="14" t="inlineStr">
        <is>
          <t>COOPERATIVA AGRARIA DE PRODUCTORES DE BANANO, CACAO ORGANICO</t>
        </is>
      </c>
      <c r="C59" s="13" t="inlineStr">
        <is>
          <t>PIURA</t>
        </is>
      </c>
      <c r="D59" s="15" t="n">
        <v>52920</v>
      </c>
      <c r="E59" s="16" t="n">
        <v>0</v>
      </c>
      <c r="F59" s="17">
        <f>IFERROR(SCORECARDS!H58,"")</f>
        <v/>
      </c>
      <c r="G59" s="17">
        <f>IFERROR(MATRIZ_174!U58,0)</f>
        <v/>
      </c>
      <c r="H59" s="16" t="n">
        <v>0</v>
      </c>
      <c r="I59" s="17">
        <f>IFERROR(SCORECARDS!I58,"")</f>
        <v/>
      </c>
      <c r="J59" s="17">
        <f>IFERROR(SCORECARDS!J58,"")</f>
        <v/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7">
        <f>IFERROR(F59,0)</f>
        <v/>
      </c>
      <c r="Q59" s="17">
        <f>IFERROR(SQRT(G59*H59),0)</f>
        <v/>
      </c>
      <c r="R59" s="17">
        <f>IFERROR((I59+J59+L59)/3,0)</f>
        <v/>
      </c>
      <c r="S59" s="17">
        <f>IFERROR((J59+F59)/2,0)</f>
        <v/>
      </c>
      <c r="T59" s="17">
        <f>IFERROR((K59+M59+MATRIZ_174!O58)/3,0)</f>
        <v/>
      </c>
      <c r="U59" s="18">
        <f>IFERROR(MIN(100,ROUND(MATRIZ_174!M58,1)),0)</f>
        <v/>
      </c>
      <c r="V59" s="18">
        <f>IFERROR(IF(E59=0,50,E59),0)</f>
        <v/>
      </c>
      <c r="W59" s="18">
        <f>IFERROR(IF(MATRIZ_174!R58=0,65,IF(MATRIZ_174!R58/MATRIZ_174!Q58&gt;=2,35,IF(MATRIZ_174!R58/MATRIZ_174!Q58&gt;=0.5,50,65))),65)</f>
        <v/>
      </c>
      <c r="X59" s="18">
        <f>IF(MATRIZ_174!O58=0,70,30)</f>
        <v/>
      </c>
      <c r="Y59" s="18">
        <f>IF(OR(MATRIZ_174!P58="ASOCIACION",MATRIZ_174!P58="PENDIENTE"),65,40)</f>
        <v/>
      </c>
      <c r="Z59" s="19">
        <f>IFERROR(ROUND(AVERAGE(P59,Q59,R59,S59,T59),1),0)</f>
        <v/>
      </c>
      <c r="AA59" s="20">
        <f>IFERROR(ROUND(AVERAGE(U59,V59,W59,X59,Y59),1),0)</f>
        <v/>
      </c>
      <c r="AB59" s="21">
        <f>IFERROR(ROUND(AA59*(1-Z59/100),1),0)</f>
        <v/>
      </c>
      <c r="AC59" s="13">
        <f>IF(AND(Z59&gt;=50,AA59&lt;50),"🟢  Resilientes",IF(AND(Z59&gt;=50,AA59&gt;=50),"🟠  Expuestas Adaptables",IF(AND(Z59&lt;50,AA59&lt;50),"⬜  Riesgo Latente","🔴  Riesgo Crítico")))</f>
        <v/>
      </c>
      <c r="AD59" s="13">
        <f>IF(G59=0,"🚫  Inh. vigente OSCE","")</f>
        <v/>
      </c>
      <c r="AE59" s="22">
        <f>IFERROR(MATRIZ_174!W58,0)</f>
        <v/>
      </c>
      <c r="AF59" s="22">
        <f>IFERROR(MATRIZ_174!X58,0)</f>
        <v/>
      </c>
      <c r="AG59" s="22">
        <f>IFERROR(MATRIZ_174!Y58,0)</f>
        <v/>
      </c>
      <c r="AH59" s="22">
        <f>IFERROR(MATRIZ_174!Z58,0)</f>
        <v/>
      </c>
      <c r="AI59" s="17">
        <f>IFERROR(MATRIZ_174!AP58,"N/A")</f>
        <v/>
      </c>
      <c r="AJ59" s="17">
        <f>IFERROR(MATRIZ_174!AO58,"N/A")</f>
        <v/>
      </c>
      <c r="AK59" s="23">
        <f>IFERROR(ROUND(POWER((E59*F59*G59*H59*I59*J59*K59),1/7)*0.875+((L59+M59)/2)*0.125,1),"N/A")</f>
        <v/>
      </c>
      <c r="AL59" s="24">
        <f>IFERROR(IF(OR(AK59="N/A",AI59="N/A"),"N/A",ROUND(0.7*AK59+0.3*AI59*100,1)),"N/A")</f>
        <v/>
      </c>
    </row>
    <row r="60" ht="16.05" customHeight="1" s="37">
      <c r="A60" s="13" t="inlineStr">
        <is>
          <t>20526514689</t>
        </is>
      </c>
      <c r="B60" s="14" t="inlineStr">
        <is>
          <t>ASOCIACION DE PRODUCTORES AGROPECUARIOS ARTESANALES E INDUST</t>
        </is>
      </c>
      <c r="C60" s="13" t="inlineStr">
        <is>
          <t>PIURA</t>
        </is>
      </c>
      <c r="D60" s="15" t="n">
        <v>0</v>
      </c>
      <c r="E60" s="16" t="n">
        <v>0</v>
      </c>
      <c r="F60" s="17">
        <f>IFERROR(SCORECARDS!H59,"")</f>
        <v/>
      </c>
      <c r="G60" s="17">
        <f>IFERROR(MATRIZ_174!U59,0)</f>
        <v/>
      </c>
      <c r="H60" s="16" t="n">
        <v>0</v>
      </c>
      <c r="I60" s="17">
        <f>IFERROR(SCORECARDS!I59,"")</f>
        <v/>
      </c>
      <c r="J60" s="17">
        <f>IFERROR(SCORECARDS!J59,"")</f>
        <v/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7">
        <f>IFERROR(F60,0)</f>
        <v/>
      </c>
      <c r="Q60" s="17">
        <f>IFERROR(SQRT(G60*H60),0)</f>
        <v/>
      </c>
      <c r="R60" s="17">
        <f>IFERROR((I60+J60+L60)/3,0)</f>
        <v/>
      </c>
      <c r="S60" s="17">
        <f>IFERROR((J60+F60)/2,0)</f>
        <v/>
      </c>
      <c r="T60" s="17">
        <f>IFERROR((K60+M60+MATRIZ_174!O59)/3,0)</f>
        <v/>
      </c>
      <c r="U60" s="18">
        <f>IFERROR(MIN(100,ROUND(MATRIZ_174!M59,1)),0)</f>
        <v/>
      </c>
      <c r="V60" s="18">
        <f>IFERROR(IF(E60=0,50,E60),0)</f>
        <v/>
      </c>
      <c r="W60" s="18">
        <f>IFERROR(IF(MATRIZ_174!R59=0,65,IF(MATRIZ_174!R59/MATRIZ_174!Q59&gt;=2,35,IF(MATRIZ_174!R59/MATRIZ_174!Q59&gt;=0.5,50,65))),65)</f>
        <v/>
      </c>
      <c r="X60" s="18">
        <f>IF(MATRIZ_174!O59=0,70,30)</f>
        <v/>
      </c>
      <c r="Y60" s="18">
        <f>IF(OR(MATRIZ_174!P59="ASOCIACION",MATRIZ_174!P59="PENDIENTE"),65,40)</f>
        <v/>
      </c>
      <c r="Z60" s="19">
        <f>IFERROR(ROUND(AVERAGE(P60,Q60,R60,S60,T60),1),0)</f>
        <v/>
      </c>
      <c r="AA60" s="20">
        <f>IFERROR(ROUND(AVERAGE(U60,V60,W60,X60,Y60),1),0)</f>
        <v/>
      </c>
      <c r="AB60" s="21">
        <f>IFERROR(ROUND(AA60*(1-Z60/100),1),0)</f>
        <v/>
      </c>
      <c r="AC60" s="13">
        <f>IF(AND(Z60&gt;=50,AA60&lt;50),"🟢  Resilientes",IF(AND(Z60&gt;=50,AA60&gt;=50),"🟠  Expuestas Adaptables",IF(AND(Z60&lt;50,AA60&lt;50),"⬜  Riesgo Latente","🔴  Riesgo Crítico")))</f>
        <v/>
      </c>
      <c r="AD60" s="13">
        <f>IF(G60=0,"🚫  Inh. vigente OSCE","")</f>
        <v/>
      </c>
      <c r="AE60" s="22">
        <f>IFERROR(MATRIZ_174!W59,0)</f>
        <v/>
      </c>
      <c r="AF60" s="22">
        <f>IFERROR(MATRIZ_174!X59,0)</f>
        <v/>
      </c>
      <c r="AG60" s="22">
        <f>IFERROR(MATRIZ_174!Y59,0)</f>
        <v/>
      </c>
      <c r="AH60" s="22">
        <f>IFERROR(MATRIZ_174!Z59,0)</f>
        <v/>
      </c>
      <c r="AI60" s="17">
        <f>IFERROR(MATRIZ_174!AP59,"N/A")</f>
        <v/>
      </c>
      <c r="AJ60" s="17">
        <f>IFERROR(MATRIZ_174!AO59,"N/A")</f>
        <v/>
      </c>
      <c r="AK60" s="23">
        <f>IFERROR(ROUND(POWER((E60*F60*G60*H60*I60*J60*K60),1/7)*0.875+((L60+M60)/2)*0.125,1),"N/A")</f>
        <v/>
      </c>
      <c r="AL60" s="24">
        <f>IFERROR(IF(OR(AK60="N/A",AI60="N/A"),"N/A",ROUND(0.7*AK60+0.3*AI60*100,1)),"N/A")</f>
        <v/>
      </c>
    </row>
    <row r="61" ht="16.05" customHeight="1" s="37">
      <c r="A61" s="13" t="inlineStr">
        <is>
          <t>20527565376</t>
        </is>
      </c>
      <c r="B61" s="14" t="inlineStr">
        <is>
          <t>COOPERATIVA AGRARIA CAFETALERA VALLE DE INCAHUASI</t>
        </is>
      </c>
      <c r="C61" s="13" t="inlineStr">
        <is>
          <t>APURIMAC</t>
        </is>
      </c>
      <c r="D61" s="15" t="n">
        <v>5373465.47</v>
      </c>
      <c r="E61" s="16" t="n">
        <v>0</v>
      </c>
      <c r="F61" s="17">
        <f>IFERROR(SCORECARDS!H60,"")</f>
        <v/>
      </c>
      <c r="G61" s="17">
        <f>IFERROR(MATRIZ_174!U60,0)</f>
        <v/>
      </c>
      <c r="H61" s="16" t="n">
        <v>0</v>
      </c>
      <c r="I61" s="17">
        <f>IFERROR(SCORECARDS!I60,"")</f>
        <v/>
      </c>
      <c r="J61" s="17">
        <f>IFERROR(SCORECARDS!J60,"")</f>
        <v/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7">
        <f>IFERROR(F61,0)</f>
        <v/>
      </c>
      <c r="Q61" s="17">
        <f>IFERROR(SQRT(G61*H61),0)</f>
        <v/>
      </c>
      <c r="R61" s="17">
        <f>IFERROR((I61+J61+L61)/3,0)</f>
        <v/>
      </c>
      <c r="S61" s="17">
        <f>IFERROR((J61+F61)/2,0)</f>
        <v/>
      </c>
      <c r="T61" s="17">
        <f>IFERROR((K61+M61+MATRIZ_174!O60)/3,0)</f>
        <v/>
      </c>
      <c r="U61" s="18">
        <f>IFERROR(MIN(100,ROUND(MATRIZ_174!M60,1)),0)</f>
        <v/>
      </c>
      <c r="V61" s="18">
        <f>IFERROR(IF(E61=0,50,E61),0)</f>
        <v/>
      </c>
      <c r="W61" s="18">
        <f>IFERROR(IF(MATRIZ_174!R60=0,65,IF(MATRIZ_174!R60/MATRIZ_174!Q60&gt;=2,35,IF(MATRIZ_174!R60/MATRIZ_174!Q60&gt;=0.5,50,65))),65)</f>
        <v/>
      </c>
      <c r="X61" s="18">
        <f>IF(MATRIZ_174!O60=0,70,30)</f>
        <v/>
      </c>
      <c r="Y61" s="18">
        <f>IF(OR(MATRIZ_174!P60="ASOCIACION",MATRIZ_174!P60="PENDIENTE"),65,40)</f>
        <v/>
      </c>
      <c r="Z61" s="19">
        <f>IFERROR(ROUND(AVERAGE(P61,Q61,R61,S61,T61),1),0)</f>
        <v/>
      </c>
      <c r="AA61" s="20">
        <f>IFERROR(ROUND(AVERAGE(U61,V61,W61,X61,Y61),1),0)</f>
        <v/>
      </c>
      <c r="AB61" s="21">
        <f>IFERROR(ROUND(AA61*(1-Z61/100),1),0)</f>
        <v/>
      </c>
      <c r="AC61" s="13">
        <f>IF(AND(Z61&gt;=50,AA61&lt;50),"🟢  Resilientes",IF(AND(Z61&gt;=50,AA61&gt;=50),"🟠  Expuestas Adaptables",IF(AND(Z61&lt;50,AA61&lt;50),"⬜  Riesgo Latente","🔴  Riesgo Crítico")))</f>
        <v/>
      </c>
      <c r="AD61" s="13">
        <f>IF(G61=0,"🚫  Inh. vigente OSCE","")</f>
        <v/>
      </c>
      <c r="AE61" s="22">
        <f>IFERROR(MATRIZ_174!W60,0)</f>
        <v/>
      </c>
      <c r="AF61" s="22">
        <f>IFERROR(MATRIZ_174!X60,0)</f>
        <v/>
      </c>
      <c r="AG61" s="22">
        <f>IFERROR(MATRIZ_174!Y60,0)</f>
        <v/>
      </c>
      <c r="AH61" s="22">
        <f>IFERROR(MATRIZ_174!Z60,0)</f>
        <v/>
      </c>
      <c r="AI61" s="17">
        <f>IFERROR(MATRIZ_174!AP60,"N/A")</f>
        <v/>
      </c>
      <c r="AJ61" s="17">
        <f>IFERROR(MATRIZ_174!AO60,"N/A")</f>
        <v/>
      </c>
      <c r="AK61" s="23">
        <f>IFERROR(ROUND(POWER((E61*F61*G61*H61*I61*J61*K61),1/7)*0.875+((L61+M61)/2)*0.125,1),"N/A")</f>
        <v/>
      </c>
      <c r="AL61" s="24">
        <f>IFERROR(IF(OR(AK61="N/A",AI61="N/A"),"N/A",ROUND(0.7*AK61+0.3*AI61*100,1)),"N/A")</f>
        <v/>
      </c>
    </row>
    <row r="62" ht="16.05" customHeight="1" s="37">
      <c r="A62" s="13" t="inlineStr">
        <is>
          <t>20528996214</t>
        </is>
      </c>
      <c r="B62" s="14" t="inlineStr">
        <is>
          <t>COOPERATIVA AGRARIA CAFETALERA MILAGROS - MONZON</t>
        </is>
      </c>
      <c r="C62" s="13" t="inlineStr">
        <is>
          <t>HUANUCO</t>
        </is>
      </c>
      <c r="D62" s="15" t="n">
        <v>0</v>
      </c>
      <c r="E62" s="16" t="n">
        <v>0</v>
      </c>
      <c r="F62" s="17">
        <f>IFERROR(SCORECARDS!H61,"")</f>
        <v/>
      </c>
      <c r="G62" s="17">
        <f>IFERROR(MATRIZ_174!U61,0)</f>
        <v/>
      </c>
      <c r="H62" s="16" t="n">
        <v>0</v>
      </c>
      <c r="I62" s="17">
        <f>IFERROR(SCORECARDS!I61,"")</f>
        <v/>
      </c>
      <c r="J62" s="17">
        <f>IFERROR(SCORECARDS!J61,"")</f>
        <v/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7">
        <f>IFERROR(F62,0)</f>
        <v/>
      </c>
      <c r="Q62" s="17">
        <f>IFERROR(SQRT(G62*H62),0)</f>
        <v/>
      </c>
      <c r="R62" s="17">
        <f>IFERROR((I62+J62+L62)/3,0)</f>
        <v/>
      </c>
      <c r="S62" s="17">
        <f>IFERROR((J62+F62)/2,0)</f>
        <v/>
      </c>
      <c r="T62" s="17">
        <f>IFERROR((K62+M62+MATRIZ_174!O61)/3,0)</f>
        <v/>
      </c>
      <c r="U62" s="18">
        <f>IFERROR(MIN(100,ROUND(MATRIZ_174!M61,1)),0)</f>
        <v/>
      </c>
      <c r="V62" s="18">
        <f>IFERROR(IF(E62=0,50,E62),0)</f>
        <v/>
      </c>
      <c r="W62" s="18">
        <f>IFERROR(IF(MATRIZ_174!R61=0,65,IF(MATRIZ_174!R61/MATRIZ_174!Q61&gt;=2,35,IF(MATRIZ_174!R61/MATRIZ_174!Q61&gt;=0.5,50,65))),65)</f>
        <v/>
      </c>
      <c r="X62" s="18">
        <f>IF(MATRIZ_174!O61=0,70,30)</f>
        <v/>
      </c>
      <c r="Y62" s="18">
        <f>IF(OR(MATRIZ_174!P61="ASOCIACION",MATRIZ_174!P61="PENDIENTE"),65,40)</f>
        <v/>
      </c>
      <c r="Z62" s="19">
        <f>IFERROR(ROUND(AVERAGE(P62,Q62,R62,S62,T62),1),0)</f>
        <v/>
      </c>
      <c r="AA62" s="20">
        <f>IFERROR(ROUND(AVERAGE(U62,V62,W62,X62,Y62),1),0)</f>
        <v/>
      </c>
      <c r="AB62" s="21">
        <f>IFERROR(ROUND(AA62*(1-Z62/100),1),0)</f>
        <v/>
      </c>
      <c r="AC62" s="13">
        <f>IF(AND(Z62&gt;=50,AA62&lt;50),"🟢  Resilientes",IF(AND(Z62&gt;=50,AA62&gt;=50),"🟠  Expuestas Adaptables",IF(AND(Z62&lt;50,AA62&lt;50),"⬜  Riesgo Latente","🔴  Riesgo Crítico")))</f>
        <v/>
      </c>
      <c r="AD62" s="13">
        <f>IF(G62=0,"🚫  Inh. vigente OSCE","")</f>
        <v/>
      </c>
      <c r="AE62" s="22">
        <f>IFERROR(MATRIZ_174!W61,0)</f>
        <v/>
      </c>
      <c r="AF62" s="22">
        <f>IFERROR(MATRIZ_174!X61,0)</f>
        <v/>
      </c>
      <c r="AG62" s="22">
        <f>IFERROR(MATRIZ_174!Y61,0)</f>
        <v/>
      </c>
      <c r="AH62" s="22">
        <f>IFERROR(MATRIZ_174!Z61,0)</f>
        <v/>
      </c>
      <c r="AI62" s="17">
        <f>IFERROR(MATRIZ_174!AP61,"N/A")</f>
        <v/>
      </c>
      <c r="AJ62" s="17">
        <f>IFERROR(MATRIZ_174!AO61,"N/A")</f>
        <v/>
      </c>
      <c r="AK62" s="23">
        <f>IFERROR(ROUND(POWER((E62*F62*G62*H62*I62*J62*K62),1/7)*0.875+((L62+M62)/2)*0.125,1),"N/A")</f>
        <v/>
      </c>
      <c r="AL62" s="24">
        <f>IFERROR(IF(OR(AK62="N/A",AI62="N/A"),"N/A",ROUND(0.7*AK62+0.3*AI62*100,1)),"N/A")</f>
        <v/>
      </c>
    </row>
    <row r="63" ht="16.05" customHeight="1" s="37">
      <c r="A63" s="13" t="inlineStr">
        <is>
          <t>20529801433</t>
        </is>
      </c>
      <c r="B63" s="14" t="inlineStr">
        <is>
          <t>OPA MARAY-ULLMA SAN LORENZO</t>
        </is>
      </c>
      <c r="C63" s="13" t="inlineStr">
        <is>
          <t>PIURA</t>
        </is>
      </c>
      <c r="D63" s="15" t="n">
        <v>0</v>
      </c>
      <c r="E63" s="16" t="n">
        <v>0</v>
      </c>
      <c r="F63" s="17">
        <f>IFERROR(SCORECARDS!H62,"")</f>
        <v/>
      </c>
      <c r="G63" s="17">
        <f>IFERROR(MATRIZ_174!U62,0)</f>
        <v/>
      </c>
      <c r="H63" s="16" t="n">
        <v>0</v>
      </c>
      <c r="I63" s="17">
        <f>IFERROR(SCORECARDS!I62,"")</f>
        <v/>
      </c>
      <c r="J63" s="17">
        <f>IFERROR(SCORECARDS!J62,"")</f>
        <v/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7">
        <f>IFERROR(F63,0)</f>
        <v/>
      </c>
      <c r="Q63" s="17">
        <f>IFERROR(SQRT(G63*H63),0)</f>
        <v/>
      </c>
      <c r="R63" s="17">
        <f>IFERROR((I63+J63+L63)/3,0)</f>
        <v/>
      </c>
      <c r="S63" s="17">
        <f>IFERROR((J63+F63)/2,0)</f>
        <v/>
      </c>
      <c r="T63" s="17">
        <f>IFERROR((K63+M63+MATRIZ_174!O62)/3,0)</f>
        <v/>
      </c>
      <c r="U63" s="18">
        <f>IFERROR(MIN(100,ROUND(MATRIZ_174!M62,1)),0)</f>
        <v/>
      </c>
      <c r="V63" s="18">
        <f>IFERROR(IF(E63=0,50,E63),0)</f>
        <v/>
      </c>
      <c r="W63" s="18">
        <f>IFERROR(IF(MATRIZ_174!R62=0,65,IF(MATRIZ_174!R62/MATRIZ_174!Q62&gt;=2,35,IF(MATRIZ_174!R62/MATRIZ_174!Q62&gt;=0.5,50,65))),65)</f>
        <v/>
      </c>
      <c r="X63" s="18">
        <f>IF(MATRIZ_174!O62=0,70,30)</f>
        <v/>
      </c>
      <c r="Y63" s="18">
        <f>IF(OR(MATRIZ_174!P62="ASOCIACION",MATRIZ_174!P62="PENDIENTE"),65,40)</f>
        <v/>
      </c>
      <c r="Z63" s="19">
        <f>IFERROR(ROUND(AVERAGE(P63,Q63,R63,S63,T63),1),0)</f>
        <v/>
      </c>
      <c r="AA63" s="20">
        <f>IFERROR(ROUND(AVERAGE(U63,V63,W63,X63,Y63),1),0)</f>
        <v/>
      </c>
      <c r="AB63" s="21">
        <f>IFERROR(ROUND(AA63*(1-Z63/100),1),0)</f>
        <v/>
      </c>
      <c r="AC63" s="13">
        <f>IF(AND(Z63&gt;=50,AA63&lt;50),"🟢  Resilientes",IF(AND(Z63&gt;=50,AA63&gt;=50),"🟠  Expuestas Adaptables",IF(AND(Z63&lt;50,AA63&lt;50),"⬜  Riesgo Latente","🔴  Riesgo Crítico")))</f>
        <v/>
      </c>
      <c r="AD63" s="13">
        <f>IF(G63=0,"🚫  Inh. vigente OSCE","")</f>
        <v/>
      </c>
      <c r="AE63" s="22">
        <f>IFERROR(MATRIZ_174!W62,0)</f>
        <v/>
      </c>
      <c r="AF63" s="22">
        <f>IFERROR(MATRIZ_174!X62,0)</f>
        <v/>
      </c>
      <c r="AG63" s="22">
        <f>IFERROR(MATRIZ_174!Y62,0)</f>
        <v/>
      </c>
      <c r="AH63" s="22">
        <f>IFERROR(MATRIZ_174!Z62,0)</f>
        <v/>
      </c>
      <c r="AI63" s="17">
        <f>IFERROR(MATRIZ_174!AP62,"N/A")</f>
        <v/>
      </c>
      <c r="AJ63" s="17">
        <f>IFERROR(MATRIZ_174!AO62,"N/A")</f>
        <v/>
      </c>
      <c r="AK63" s="23">
        <f>IFERROR(ROUND(POWER((E63*F63*G63*H63*I63*J63*K63),1/7)*0.875+((L63+M63)/2)*0.125,1),"N/A")</f>
        <v/>
      </c>
      <c r="AL63" s="24">
        <f>IFERROR(IF(OR(AK63="N/A",AI63="N/A"),"N/A",ROUND(0.7*AK63+0.3*AI63*100,1)),"N/A")</f>
        <v/>
      </c>
    </row>
    <row r="64" ht="16.05" customHeight="1" s="37">
      <c r="A64" s="13" t="inlineStr">
        <is>
          <t>20529822350</t>
        </is>
      </c>
      <c r="B64" s="14" t="inlineStr">
        <is>
          <t>OPA PAPAYO - LA LAGUNA</t>
        </is>
      </c>
      <c r="C64" s="13" t="inlineStr">
        <is>
          <t>PIURA</t>
        </is>
      </c>
      <c r="D64" s="15" t="n">
        <v>0</v>
      </c>
      <c r="E64" s="16" t="n">
        <v>0</v>
      </c>
      <c r="F64" s="17">
        <f>IFERROR(SCORECARDS!H63,"")</f>
        <v/>
      </c>
      <c r="G64" s="17">
        <f>IFERROR(MATRIZ_174!U63,0)</f>
        <v/>
      </c>
      <c r="H64" s="16" t="n">
        <v>0</v>
      </c>
      <c r="I64" s="17">
        <f>IFERROR(SCORECARDS!I63,"")</f>
        <v/>
      </c>
      <c r="J64" s="17">
        <f>IFERROR(SCORECARDS!J63,"")</f>
        <v/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7">
        <f>IFERROR(F64,0)</f>
        <v/>
      </c>
      <c r="Q64" s="17">
        <f>IFERROR(SQRT(G64*H64),0)</f>
        <v/>
      </c>
      <c r="R64" s="17">
        <f>IFERROR((I64+J64+L64)/3,0)</f>
        <v/>
      </c>
      <c r="S64" s="17">
        <f>IFERROR((J64+F64)/2,0)</f>
        <v/>
      </c>
      <c r="T64" s="17">
        <f>IFERROR((K64+M64+MATRIZ_174!O63)/3,0)</f>
        <v/>
      </c>
      <c r="U64" s="18">
        <f>IFERROR(MIN(100,ROUND(MATRIZ_174!M63,1)),0)</f>
        <v/>
      </c>
      <c r="V64" s="18">
        <f>IFERROR(IF(E64=0,50,E64),0)</f>
        <v/>
      </c>
      <c r="W64" s="18">
        <f>IFERROR(IF(MATRIZ_174!R63=0,65,IF(MATRIZ_174!R63/MATRIZ_174!Q63&gt;=2,35,IF(MATRIZ_174!R63/MATRIZ_174!Q63&gt;=0.5,50,65))),65)</f>
        <v/>
      </c>
      <c r="X64" s="18">
        <f>IF(MATRIZ_174!O63=0,70,30)</f>
        <v/>
      </c>
      <c r="Y64" s="18">
        <f>IF(OR(MATRIZ_174!P63="ASOCIACION",MATRIZ_174!P63="PENDIENTE"),65,40)</f>
        <v/>
      </c>
      <c r="Z64" s="19">
        <f>IFERROR(ROUND(AVERAGE(P64,Q64,R64,S64,T64),1),0)</f>
        <v/>
      </c>
      <c r="AA64" s="20">
        <f>IFERROR(ROUND(AVERAGE(U64,V64,W64,X64,Y64),1),0)</f>
        <v/>
      </c>
      <c r="AB64" s="21">
        <f>IFERROR(ROUND(AA64*(1-Z64/100),1),0)</f>
        <v/>
      </c>
      <c r="AC64" s="13">
        <f>IF(AND(Z64&gt;=50,AA64&lt;50),"🟢  Resilientes",IF(AND(Z64&gt;=50,AA64&gt;=50),"🟠  Expuestas Adaptables",IF(AND(Z64&lt;50,AA64&lt;50),"⬜  Riesgo Latente","🔴  Riesgo Crítico")))</f>
        <v/>
      </c>
      <c r="AD64" s="13">
        <f>IF(G64=0,"🚫  Inh. vigente OSCE","")</f>
        <v/>
      </c>
      <c r="AE64" s="22">
        <f>IFERROR(MATRIZ_174!W63,0)</f>
        <v/>
      </c>
      <c r="AF64" s="22">
        <f>IFERROR(MATRIZ_174!X63,0)</f>
        <v/>
      </c>
      <c r="AG64" s="22">
        <f>IFERROR(MATRIZ_174!Y63,0)</f>
        <v/>
      </c>
      <c r="AH64" s="22">
        <f>IFERROR(MATRIZ_174!Z63,0)</f>
        <v/>
      </c>
      <c r="AI64" s="17">
        <f>IFERROR(MATRIZ_174!AP63,"N/A")</f>
        <v/>
      </c>
      <c r="AJ64" s="17">
        <f>IFERROR(MATRIZ_174!AO63,"N/A")</f>
        <v/>
      </c>
      <c r="AK64" s="23">
        <f>IFERROR(ROUND(POWER((E64*F64*G64*H64*I64*J64*K64),1/7)*0.875+((L64+M64)/2)*0.125,1),"N/A")</f>
        <v/>
      </c>
      <c r="AL64" s="24">
        <f>IFERROR(IF(OR(AK64="N/A",AI64="N/A"),"N/A",ROUND(0.7*AK64+0.3*AI64*100,1)),"N/A")</f>
        <v/>
      </c>
    </row>
    <row r="65" ht="16.05" customHeight="1" s="37">
      <c r="A65" s="13" t="inlineStr">
        <is>
          <t>20531405723</t>
        </is>
      </c>
      <c r="B65" s="14" t="inlineStr">
        <is>
          <t>COOPERATIVA DE SERVICIOS MULTIPLES ADISA NARANJOS</t>
        </is>
      </c>
      <c r="C65" s="13" t="inlineStr">
        <is>
          <t>SAN MARTIN</t>
        </is>
      </c>
      <c r="D65" s="15" t="n">
        <v>0</v>
      </c>
      <c r="E65" s="16" t="n">
        <v>0</v>
      </c>
      <c r="F65" s="17">
        <f>IFERROR(SCORECARDS!H64,"")</f>
        <v/>
      </c>
      <c r="G65" s="17">
        <f>IFERROR(MATRIZ_174!U64,0)</f>
        <v/>
      </c>
      <c r="H65" s="16" t="n">
        <v>0</v>
      </c>
      <c r="I65" s="17">
        <f>IFERROR(SCORECARDS!I64,"")</f>
        <v/>
      </c>
      <c r="J65" s="17">
        <f>IFERROR(SCORECARDS!J64,"")</f>
        <v/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7">
        <f>IFERROR(F65,0)</f>
        <v/>
      </c>
      <c r="Q65" s="17">
        <f>IFERROR(SQRT(G65*H65),0)</f>
        <v/>
      </c>
      <c r="R65" s="17">
        <f>IFERROR((I65+J65+L65)/3,0)</f>
        <v/>
      </c>
      <c r="S65" s="17">
        <f>IFERROR((J65+F65)/2,0)</f>
        <v/>
      </c>
      <c r="T65" s="17">
        <f>IFERROR((K65+M65+MATRIZ_174!O64)/3,0)</f>
        <v/>
      </c>
      <c r="U65" s="18">
        <f>IFERROR(MIN(100,ROUND(MATRIZ_174!M64,1)),0)</f>
        <v/>
      </c>
      <c r="V65" s="18">
        <f>IFERROR(IF(E65=0,50,E65),0)</f>
        <v/>
      </c>
      <c r="W65" s="18">
        <f>IFERROR(IF(MATRIZ_174!R64=0,65,IF(MATRIZ_174!R64/MATRIZ_174!Q64&gt;=2,35,IF(MATRIZ_174!R64/MATRIZ_174!Q64&gt;=0.5,50,65))),65)</f>
        <v/>
      </c>
      <c r="X65" s="18">
        <f>IF(MATRIZ_174!O64=0,70,30)</f>
        <v/>
      </c>
      <c r="Y65" s="18">
        <f>IF(OR(MATRIZ_174!P64="ASOCIACION",MATRIZ_174!P64="PENDIENTE"),65,40)</f>
        <v/>
      </c>
      <c r="Z65" s="19">
        <f>IFERROR(ROUND(AVERAGE(P65,Q65,R65,S65,T65),1),0)</f>
        <v/>
      </c>
      <c r="AA65" s="20">
        <f>IFERROR(ROUND(AVERAGE(U65,V65,W65,X65,Y65),1),0)</f>
        <v/>
      </c>
      <c r="AB65" s="21">
        <f>IFERROR(ROUND(AA65*(1-Z65/100),1),0)</f>
        <v/>
      </c>
      <c r="AC65" s="13">
        <f>IF(AND(Z65&gt;=50,AA65&lt;50),"🟢  Resilientes",IF(AND(Z65&gt;=50,AA65&gt;=50),"🟠  Expuestas Adaptables",IF(AND(Z65&lt;50,AA65&lt;50),"⬜  Riesgo Latente","🔴  Riesgo Crítico")))</f>
        <v/>
      </c>
      <c r="AD65" s="13">
        <f>IF(G65=0,"🚫  Inh. vigente OSCE","")</f>
        <v/>
      </c>
      <c r="AE65" s="22">
        <f>IFERROR(MATRIZ_174!W64,0)</f>
        <v/>
      </c>
      <c r="AF65" s="22">
        <f>IFERROR(MATRIZ_174!X64,0)</f>
        <v/>
      </c>
      <c r="AG65" s="22">
        <f>IFERROR(MATRIZ_174!Y64,0)</f>
        <v/>
      </c>
      <c r="AH65" s="22">
        <f>IFERROR(MATRIZ_174!Z64,0)</f>
        <v/>
      </c>
      <c r="AI65" s="17">
        <f>IFERROR(MATRIZ_174!AP64,"N/A")</f>
        <v/>
      </c>
      <c r="AJ65" s="17">
        <f>IFERROR(MATRIZ_174!AO64,"N/A")</f>
        <v/>
      </c>
      <c r="AK65" s="23">
        <f>IFERROR(ROUND(POWER((E65*F65*G65*H65*I65*J65*K65),1/7)*0.875+((L65+M65)/2)*0.125,1),"N/A")</f>
        <v/>
      </c>
      <c r="AL65" s="24">
        <f>IFERROR(IF(OR(AK65="N/A",AI65="N/A"),"N/A",ROUND(0.7*AK65+0.3*AI65*100,1)),"N/A")</f>
        <v/>
      </c>
    </row>
    <row r="66" ht="16.05" customHeight="1" s="37">
      <c r="A66" s="13" t="inlineStr">
        <is>
          <t>20531441797</t>
        </is>
      </c>
      <c r="B66" s="14" t="inlineStr">
        <is>
          <t>COOPERATIVA AGRARIA ALLIMA CACAO LTDA.</t>
        </is>
      </c>
      <c r="C66" s="13" t="inlineStr">
        <is>
          <t>SAN MARTIN</t>
        </is>
      </c>
      <c r="D66" s="15" t="n">
        <v>0</v>
      </c>
      <c r="E66" s="16" t="n">
        <v>0</v>
      </c>
      <c r="F66" s="17">
        <f>IFERROR(SCORECARDS!H65,"")</f>
        <v/>
      </c>
      <c r="G66" s="17">
        <f>IFERROR(MATRIZ_174!U65,0)</f>
        <v/>
      </c>
      <c r="H66" s="16" t="n">
        <v>0</v>
      </c>
      <c r="I66" s="17">
        <f>IFERROR(SCORECARDS!I65,"")</f>
        <v/>
      </c>
      <c r="J66" s="17">
        <f>IFERROR(SCORECARDS!J65,"")</f>
        <v/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7">
        <f>IFERROR(F66,0)</f>
        <v/>
      </c>
      <c r="Q66" s="17">
        <f>IFERROR(SQRT(G66*H66),0)</f>
        <v/>
      </c>
      <c r="R66" s="17">
        <f>IFERROR((I66+J66+L66)/3,0)</f>
        <v/>
      </c>
      <c r="S66" s="17">
        <f>IFERROR((J66+F66)/2,0)</f>
        <v/>
      </c>
      <c r="T66" s="17">
        <f>IFERROR((K66+M66+MATRIZ_174!O65)/3,0)</f>
        <v/>
      </c>
      <c r="U66" s="18">
        <f>IFERROR(MIN(100,ROUND(MATRIZ_174!M65,1)),0)</f>
        <v/>
      </c>
      <c r="V66" s="18">
        <f>IFERROR(IF(E66=0,50,E66),0)</f>
        <v/>
      </c>
      <c r="W66" s="18">
        <f>IFERROR(IF(MATRIZ_174!R65=0,65,IF(MATRIZ_174!R65/MATRIZ_174!Q65&gt;=2,35,IF(MATRIZ_174!R65/MATRIZ_174!Q65&gt;=0.5,50,65))),65)</f>
        <v/>
      </c>
      <c r="X66" s="18">
        <f>IF(MATRIZ_174!O65=0,70,30)</f>
        <v/>
      </c>
      <c r="Y66" s="18">
        <f>IF(OR(MATRIZ_174!P65="ASOCIACION",MATRIZ_174!P65="PENDIENTE"),65,40)</f>
        <v/>
      </c>
      <c r="Z66" s="19">
        <f>IFERROR(ROUND(AVERAGE(P66,Q66,R66,S66,T66),1),0)</f>
        <v/>
      </c>
      <c r="AA66" s="20">
        <f>IFERROR(ROUND(AVERAGE(U66,V66,W66,X66,Y66),1),0)</f>
        <v/>
      </c>
      <c r="AB66" s="21">
        <f>IFERROR(ROUND(AA66*(1-Z66/100),1),0)</f>
        <v/>
      </c>
      <c r="AC66" s="13">
        <f>IF(AND(Z66&gt;=50,AA66&lt;50),"🟢  Resilientes",IF(AND(Z66&gt;=50,AA66&gt;=50),"🟠  Expuestas Adaptables",IF(AND(Z66&lt;50,AA66&lt;50),"⬜  Riesgo Latente","🔴  Riesgo Crítico")))</f>
        <v/>
      </c>
      <c r="AD66" s="13">
        <f>IF(G66=0,"🚫  Inh. vigente OSCE","")</f>
        <v/>
      </c>
      <c r="AE66" s="22">
        <f>IFERROR(MATRIZ_174!W65,0)</f>
        <v/>
      </c>
      <c r="AF66" s="22">
        <f>IFERROR(MATRIZ_174!X65,0)</f>
        <v/>
      </c>
      <c r="AG66" s="22">
        <f>IFERROR(MATRIZ_174!Y65,0)</f>
        <v/>
      </c>
      <c r="AH66" s="22">
        <f>IFERROR(MATRIZ_174!Z65,0)</f>
        <v/>
      </c>
      <c r="AI66" s="17">
        <f>IFERROR(MATRIZ_174!AP65,"N/A")</f>
        <v/>
      </c>
      <c r="AJ66" s="17">
        <f>IFERROR(MATRIZ_174!AO65,"N/A")</f>
        <v/>
      </c>
      <c r="AK66" s="23">
        <f>IFERROR(ROUND(POWER((E66*F66*G66*H66*I66*J66*K66),1/7)*0.875+((L66+M66)/2)*0.125,1),"N/A")</f>
        <v/>
      </c>
      <c r="AL66" s="24">
        <f>IFERROR(IF(OR(AK66="N/A",AI66="N/A"),"N/A",ROUND(0.7*AK66+0.3*AI66*100,1)),"N/A")</f>
        <v/>
      </c>
    </row>
    <row r="67" ht="16.05" customHeight="1" s="37">
      <c r="A67" s="13" t="inlineStr">
        <is>
          <t>20534524774</t>
        </is>
      </c>
      <c r="B67" s="14" t="inlineStr">
        <is>
          <t>COOPERATIVA AGRARIA TROPICAL ECOLOGICA DE KIMBIRI</t>
        </is>
      </c>
      <c r="C67" s="13" t="inlineStr">
        <is>
          <t>CUSCO</t>
        </is>
      </c>
      <c r="D67" s="15" t="n">
        <v>0</v>
      </c>
      <c r="E67" s="16" t="n">
        <v>0</v>
      </c>
      <c r="F67" s="17">
        <f>IFERROR(SCORECARDS!H66,"")</f>
        <v/>
      </c>
      <c r="G67" s="17">
        <f>IFERROR(MATRIZ_174!U66,0)</f>
        <v/>
      </c>
      <c r="H67" s="16" t="n">
        <v>0</v>
      </c>
      <c r="I67" s="17">
        <f>IFERROR(SCORECARDS!I66,"")</f>
        <v/>
      </c>
      <c r="J67" s="17">
        <f>IFERROR(SCORECARDS!J66,"")</f>
        <v/>
      </c>
      <c r="K67" s="16" t="n">
        <v>0</v>
      </c>
      <c r="L67" s="16" t="n">
        <v>0</v>
      </c>
      <c r="M67" s="16" t="n">
        <v>0</v>
      </c>
      <c r="N67" s="16" t="n">
        <v>0</v>
      </c>
      <c r="O67" s="16" t="n">
        <v>0</v>
      </c>
      <c r="P67" s="17">
        <f>IFERROR(F67,0)</f>
        <v/>
      </c>
      <c r="Q67" s="17">
        <f>IFERROR(SQRT(G67*H67),0)</f>
        <v/>
      </c>
      <c r="R67" s="17">
        <f>IFERROR((I67+J67+L67)/3,0)</f>
        <v/>
      </c>
      <c r="S67" s="17">
        <f>IFERROR((J67+F67)/2,0)</f>
        <v/>
      </c>
      <c r="T67" s="17">
        <f>IFERROR((K67+M67+MATRIZ_174!O66)/3,0)</f>
        <v/>
      </c>
      <c r="U67" s="18">
        <f>IFERROR(MIN(100,ROUND(MATRIZ_174!M66,1)),0)</f>
        <v/>
      </c>
      <c r="V67" s="18">
        <f>IFERROR(IF(E67=0,50,E67),0)</f>
        <v/>
      </c>
      <c r="W67" s="18">
        <f>IFERROR(IF(MATRIZ_174!R66=0,65,IF(MATRIZ_174!R66/MATRIZ_174!Q66&gt;=2,35,IF(MATRIZ_174!R66/MATRIZ_174!Q66&gt;=0.5,50,65))),65)</f>
        <v/>
      </c>
      <c r="X67" s="18">
        <f>IF(MATRIZ_174!O66=0,70,30)</f>
        <v/>
      </c>
      <c r="Y67" s="18">
        <f>IF(OR(MATRIZ_174!P66="ASOCIACION",MATRIZ_174!P66="PENDIENTE"),65,40)</f>
        <v/>
      </c>
      <c r="Z67" s="19">
        <f>IFERROR(ROUND(AVERAGE(P67,Q67,R67,S67,T67),1),0)</f>
        <v/>
      </c>
      <c r="AA67" s="20">
        <f>IFERROR(ROUND(AVERAGE(U67,V67,W67,X67,Y67),1),0)</f>
        <v/>
      </c>
      <c r="AB67" s="21">
        <f>IFERROR(ROUND(AA67*(1-Z67/100),1),0)</f>
        <v/>
      </c>
      <c r="AC67" s="13">
        <f>IF(AND(Z67&gt;=50,AA67&lt;50),"🟢  Resilientes",IF(AND(Z67&gt;=50,AA67&gt;=50),"🟠  Expuestas Adaptables",IF(AND(Z67&lt;50,AA67&lt;50),"⬜  Riesgo Latente","🔴  Riesgo Crítico")))</f>
        <v/>
      </c>
      <c r="AD67" s="13">
        <f>IF(G67=0,"🚫  Inh. vigente OSCE","")</f>
        <v/>
      </c>
      <c r="AE67" s="22">
        <f>IFERROR(MATRIZ_174!W66,0)</f>
        <v/>
      </c>
      <c r="AF67" s="22">
        <f>IFERROR(MATRIZ_174!X66,0)</f>
        <v/>
      </c>
      <c r="AG67" s="22">
        <f>IFERROR(MATRIZ_174!Y66,0)</f>
        <v/>
      </c>
      <c r="AH67" s="22">
        <f>IFERROR(MATRIZ_174!Z66,0)</f>
        <v/>
      </c>
      <c r="AI67" s="17">
        <f>IFERROR(MATRIZ_174!AP66,"N/A")</f>
        <v/>
      </c>
      <c r="AJ67" s="17">
        <f>IFERROR(MATRIZ_174!AO66,"N/A")</f>
        <v/>
      </c>
      <c r="AK67" s="23">
        <f>IFERROR(ROUND(POWER((E67*F67*G67*H67*I67*J67*K67),1/7)*0.875+((L67+M67)/2)*0.125,1),"N/A")</f>
        <v/>
      </c>
      <c r="AL67" s="24">
        <f>IFERROR(IF(OR(AK67="N/A",AI67="N/A"),"N/A",ROUND(0.7*AK67+0.3*AI67*100,1)),"N/A")</f>
        <v/>
      </c>
    </row>
    <row r="68" ht="16.05" customHeight="1" s="37">
      <c r="A68" s="13" t="inlineStr">
        <is>
          <t>20539205600</t>
        </is>
      </c>
      <c r="B68" s="14" t="inlineStr">
        <is>
          <t>ASOCIACION DE PRODUCTORES Y EXPORTADORES DE CAFE RODRIGUEZ D</t>
        </is>
      </c>
      <c r="C68" s="13" t="inlineStr">
        <is>
          <t>AMAZONAS</t>
        </is>
      </c>
      <c r="D68" s="15" t="n">
        <v>0</v>
      </c>
      <c r="E68" s="16" t="n">
        <v>0</v>
      </c>
      <c r="F68" s="17">
        <f>IFERROR(SCORECARDS!H67,"")</f>
        <v/>
      </c>
      <c r="G68" s="17">
        <f>IFERROR(MATRIZ_174!U67,0)</f>
        <v/>
      </c>
      <c r="H68" s="16" t="n">
        <v>0</v>
      </c>
      <c r="I68" s="17">
        <f>IFERROR(SCORECARDS!I67,"")</f>
        <v/>
      </c>
      <c r="J68" s="17">
        <f>IFERROR(SCORECARDS!J67,"")</f>
        <v/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7">
        <f>IFERROR(F68,0)</f>
        <v/>
      </c>
      <c r="Q68" s="17">
        <f>IFERROR(SQRT(G68*H68),0)</f>
        <v/>
      </c>
      <c r="R68" s="17">
        <f>IFERROR((I68+J68+L68)/3,0)</f>
        <v/>
      </c>
      <c r="S68" s="17">
        <f>IFERROR((J68+F68)/2,0)</f>
        <v/>
      </c>
      <c r="T68" s="17">
        <f>IFERROR((K68+M68+MATRIZ_174!O67)/3,0)</f>
        <v/>
      </c>
      <c r="U68" s="18">
        <f>IFERROR(MIN(100,ROUND(MATRIZ_174!M67,1)),0)</f>
        <v/>
      </c>
      <c r="V68" s="18">
        <f>IFERROR(IF(E68=0,50,E68),0)</f>
        <v/>
      </c>
      <c r="W68" s="18">
        <f>IFERROR(IF(MATRIZ_174!R67=0,65,IF(MATRIZ_174!R67/MATRIZ_174!Q67&gt;=2,35,IF(MATRIZ_174!R67/MATRIZ_174!Q67&gt;=0.5,50,65))),65)</f>
        <v/>
      </c>
      <c r="X68" s="18">
        <f>IF(MATRIZ_174!O67=0,70,30)</f>
        <v/>
      </c>
      <c r="Y68" s="18">
        <f>IF(OR(MATRIZ_174!P67="ASOCIACION",MATRIZ_174!P67="PENDIENTE"),65,40)</f>
        <v/>
      </c>
      <c r="Z68" s="19">
        <f>IFERROR(ROUND(AVERAGE(P68,Q68,R68,S68,T68),1),0)</f>
        <v/>
      </c>
      <c r="AA68" s="20">
        <f>IFERROR(ROUND(AVERAGE(U68,V68,W68,X68,Y68),1),0)</f>
        <v/>
      </c>
      <c r="AB68" s="21">
        <f>IFERROR(ROUND(AA68*(1-Z68/100),1),0)</f>
        <v/>
      </c>
      <c r="AC68" s="13">
        <f>IF(AND(Z68&gt;=50,AA68&lt;50),"🟢  Resilientes",IF(AND(Z68&gt;=50,AA68&gt;=50),"🟠  Expuestas Adaptables",IF(AND(Z68&lt;50,AA68&lt;50),"⬜  Riesgo Latente","🔴  Riesgo Crítico")))</f>
        <v/>
      </c>
      <c r="AD68" s="13">
        <f>IF(G68=0,"🚫  Inh. vigente OSCE","")</f>
        <v/>
      </c>
      <c r="AE68" s="22">
        <f>IFERROR(MATRIZ_174!W67,0)</f>
        <v/>
      </c>
      <c r="AF68" s="22">
        <f>IFERROR(MATRIZ_174!X67,0)</f>
        <v/>
      </c>
      <c r="AG68" s="22">
        <f>IFERROR(MATRIZ_174!Y67,0)</f>
        <v/>
      </c>
      <c r="AH68" s="22">
        <f>IFERROR(MATRIZ_174!Z67,0)</f>
        <v/>
      </c>
      <c r="AI68" s="17">
        <f>IFERROR(MATRIZ_174!AP67,"N/A")</f>
        <v/>
      </c>
      <c r="AJ68" s="17">
        <f>IFERROR(MATRIZ_174!AO67,"N/A")</f>
        <v/>
      </c>
      <c r="AK68" s="23">
        <f>IFERROR(ROUND(POWER((E68*F68*G68*H68*I68*J68*K68),1/7)*0.875+((L68+M68)/2)*0.125,1),"N/A")</f>
        <v/>
      </c>
      <c r="AL68" s="24">
        <f>IFERROR(IF(OR(AK68="N/A",AI68="N/A"),"N/A",ROUND(0.7*AK68+0.3*AI68*100,1)),"N/A")</f>
        <v/>
      </c>
    </row>
    <row r="69" ht="16.05" customHeight="1" s="37">
      <c r="A69" s="13" t="inlineStr">
        <is>
          <t>20539241665</t>
        </is>
      </c>
      <c r="B69" s="14" t="inlineStr">
        <is>
          <t>ASOCIACION DE PRODUCTORES DE CAFES ORGANICOS Y CAFES ESPECIA</t>
        </is>
      </c>
      <c r="C69" s="13" t="inlineStr">
        <is>
          <t>AMAZONAS</t>
        </is>
      </c>
      <c r="D69" s="15" t="n">
        <v>0</v>
      </c>
      <c r="E69" s="16" t="n">
        <v>0</v>
      </c>
      <c r="F69" s="17">
        <f>IFERROR(SCORECARDS!H68,"")</f>
        <v/>
      </c>
      <c r="G69" s="17">
        <f>IFERROR(MATRIZ_174!U68,0)</f>
        <v/>
      </c>
      <c r="H69" s="16" t="n">
        <v>0</v>
      </c>
      <c r="I69" s="17">
        <f>IFERROR(SCORECARDS!I68,"")</f>
        <v/>
      </c>
      <c r="J69" s="17">
        <f>IFERROR(SCORECARDS!J68,"")</f>
        <v/>
      </c>
      <c r="K69" s="16" t="n">
        <v>0</v>
      </c>
      <c r="L69" s="16" t="n">
        <v>0</v>
      </c>
      <c r="M69" s="16" t="n">
        <v>0</v>
      </c>
      <c r="N69" s="16" t="n">
        <v>0</v>
      </c>
      <c r="O69" s="16" t="n">
        <v>0</v>
      </c>
      <c r="P69" s="17">
        <f>IFERROR(F69,0)</f>
        <v/>
      </c>
      <c r="Q69" s="17">
        <f>IFERROR(SQRT(G69*H69),0)</f>
        <v/>
      </c>
      <c r="R69" s="17">
        <f>IFERROR((I69+J69+L69)/3,0)</f>
        <v/>
      </c>
      <c r="S69" s="17">
        <f>IFERROR((J69+F69)/2,0)</f>
        <v/>
      </c>
      <c r="T69" s="17">
        <f>IFERROR((K69+M69+MATRIZ_174!O68)/3,0)</f>
        <v/>
      </c>
      <c r="U69" s="18">
        <f>IFERROR(MIN(100,ROUND(MATRIZ_174!M68,1)),0)</f>
        <v/>
      </c>
      <c r="V69" s="18">
        <f>IFERROR(IF(E69=0,50,E69),0)</f>
        <v/>
      </c>
      <c r="W69" s="18">
        <f>IFERROR(IF(MATRIZ_174!R68=0,65,IF(MATRIZ_174!R68/MATRIZ_174!Q68&gt;=2,35,IF(MATRIZ_174!R68/MATRIZ_174!Q68&gt;=0.5,50,65))),65)</f>
        <v/>
      </c>
      <c r="X69" s="18">
        <f>IF(MATRIZ_174!O68=0,70,30)</f>
        <v/>
      </c>
      <c r="Y69" s="18">
        <f>IF(OR(MATRIZ_174!P68="ASOCIACION",MATRIZ_174!P68="PENDIENTE"),65,40)</f>
        <v/>
      </c>
      <c r="Z69" s="19">
        <f>IFERROR(ROUND(AVERAGE(P69,Q69,R69,S69,T69),1),0)</f>
        <v/>
      </c>
      <c r="AA69" s="20">
        <f>IFERROR(ROUND(AVERAGE(U69,V69,W69,X69,Y69),1),0)</f>
        <v/>
      </c>
      <c r="AB69" s="21">
        <f>IFERROR(ROUND(AA69*(1-Z69/100),1),0)</f>
        <v/>
      </c>
      <c r="AC69" s="13">
        <f>IF(AND(Z69&gt;=50,AA69&lt;50),"🟢  Resilientes",IF(AND(Z69&gt;=50,AA69&gt;=50),"🟠  Expuestas Adaptables",IF(AND(Z69&lt;50,AA69&lt;50),"⬜  Riesgo Latente","🔴  Riesgo Crítico")))</f>
        <v/>
      </c>
      <c r="AD69" s="13">
        <f>IF(G69=0,"🚫  Inh. vigente OSCE","")</f>
        <v/>
      </c>
      <c r="AE69" s="22">
        <f>IFERROR(MATRIZ_174!W68,0)</f>
        <v/>
      </c>
      <c r="AF69" s="22">
        <f>IFERROR(MATRIZ_174!X68,0)</f>
        <v/>
      </c>
      <c r="AG69" s="22">
        <f>IFERROR(MATRIZ_174!Y68,0)</f>
        <v/>
      </c>
      <c r="AH69" s="22">
        <f>IFERROR(MATRIZ_174!Z68,0)</f>
        <v/>
      </c>
      <c r="AI69" s="17">
        <f>IFERROR(MATRIZ_174!AP68,"N/A")</f>
        <v/>
      </c>
      <c r="AJ69" s="17">
        <f>IFERROR(MATRIZ_174!AO68,"N/A")</f>
        <v/>
      </c>
      <c r="AK69" s="23">
        <f>IFERROR(ROUND(POWER((E69*F69*G69*H69*I69*J69*K69),1/7)*0.875+((L69+M69)/2)*0.125,1),"N/A")</f>
        <v/>
      </c>
      <c r="AL69" s="24">
        <f>IFERROR(IF(OR(AK69="N/A",AI69="N/A"),"N/A",ROUND(0.7*AK69+0.3*AI69*100,1)),"N/A")</f>
        <v/>
      </c>
    </row>
    <row r="70" ht="16.05" customHeight="1" s="37">
      <c r="A70" s="13" t="inlineStr">
        <is>
          <t>20539280644</t>
        </is>
      </c>
      <c r="B70" s="14" t="inlineStr">
        <is>
          <t>ASOCIACION DE PEQUEÑOS AGRICULTORES PARA LA PRODUCCION ECOLO</t>
        </is>
      </c>
      <c r="C70" s="13" t="inlineStr">
        <is>
          <t>LAMBAYEQUE</t>
        </is>
      </c>
      <c r="D70" s="15" t="n">
        <v>0</v>
      </c>
      <c r="E70" s="16" t="n">
        <v>0</v>
      </c>
      <c r="F70" s="17">
        <f>IFERROR(SCORECARDS!H69,"")</f>
        <v/>
      </c>
      <c r="G70" s="17">
        <f>IFERROR(MATRIZ_174!U69,0)</f>
        <v/>
      </c>
      <c r="H70" s="16" t="n">
        <v>0</v>
      </c>
      <c r="I70" s="17">
        <f>IFERROR(SCORECARDS!I69,"")</f>
        <v/>
      </c>
      <c r="J70" s="17">
        <f>IFERROR(SCORECARDS!J69,"")</f>
        <v/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7">
        <f>IFERROR(F70,0)</f>
        <v/>
      </c>
      <c r="Q70" s="17">
        <f>IFERROR(SQRT(G70*H70),0)</f>
        <v/>
      </c>
      <c r="R70" s="17">
        <f>IFERROR((I70+J70+L70)/3,0)</f>
        <v/>
      </c>
      <c r="S70" s="17">
        <f>IFERROR((J70+F70)/2,0)</f>
        <v/>
      </c>
      <c r="T70" s="17">
        <f>IFERROR((K70+M70+MATRIZ_174!O69)/3,0)</f>
        <v/>
      </c>
      <c r="U70" s="18">
        <f>IFERROR(MIN(100,ROUND(MATRIZ_174!M69,1)),0)</f>
        <v/>
      </c>
      <c r="V70" s="18">
        <f>IFERROR(IF(E70=0,50,E70),0)</f>
        <v/>
      </c>
      <c r="W70" s="18">
        <f>IFERROR(IF(MATRIZ_174!R69=0,65,IF(MATRIZ_174!R69/MATRIZ_174!Q69&gt;=2,35,IF(MATRIZ_174!R69/MATRIZ_174!Q69&gt;=0.5,50,65))),65)</f>
        <v/>
      </c>
      <c r="X70" s="18">
        <f>IF(MATRIZ_174!O69=0,70,30)</f>
        <v/>
      </c>
      <c r="Y70" s="18">
        <f>IF(OR(MATRIZ_174!P69="ASOCIACION",MATRIZ_174!P69="PENDIENTE"),65,40)</f>
        <v/>
      </c>
      <c r="Z70" s="19">
        <f>IFERROR(ROUND(AVERAGE(P70,Q70,R70,S70,T70),1),0)</f>
        <v/>
      </c>
      <c r="AA70" s="20">
        <f>IFERROR(ROUND(AVERAGE(U70,V70,W70,X70,Y70),1),0)</f>
        <v/>
      </c>
      <c r="AB70" s="21">
        <f>IFERROR(ROUND(AA70*(1-Z70/100),1),0)</f>
        <v/>
      </c>
      <c r="AC70" s="13">
        <f>IF(AND(Z70&gt;=50,AA70&lt;50),"🟢  Resilientes",IF(AND(Z70&gt;=50,AA70&gt;=50),"🟠  Expuestas Adaptables",IF(AND(Z70&lt;50,AA70&lt;50),"⬜  Riesgo Latente","🔴  Riesgo Crítico")))</f>
        <v/>
      </c>
      <c r="AD70" s="13">
        <f>IF(G70=0,"🚫  Inh. vigente OSCE","")</f>
        <v/>
      </c>
      <c r="AE70" s="22">
        <f>IFERROR(MATRIZ_174!W69,0)</f>
        <v/>
      </c>
      <c r="AF70" s="22">
        <f>IFERROR(MATRIZ_174!X69,0)</f>
        <v/>
      </c>
      <c r="AG70" s="22">
        <f>IFERROR(MATRIZ_174!Y69,0)</f>
        <v/>
      </c>
      <c r="AH70" s="22">
        <f>IFERROR(MATRIZ_174!Z69,0)</f>
        <v/>
      </c>
      <c r="AI70" s="17">
        <f>IFERROR(MATRIZ_174!AP69,"N/A")</f>
        <v/>
      </c>
      <c r="AJ70" s="17">
        <f>IFERROR(MATRIZ_174!AO69,"N/A")</f>
        <v/>
      </c>
      <c r="AK70" s="23">
        <f>IFERROR(ROUND(POWER((E70*F70*G70*H70*I70*J70*K70),1/7)*0.875+((L70+M70)/2)*0.125,1),"N/A")</f>
        <v/>
      </c>
      <c r="AL70" s="24">
        <f>IFERROR(IF(OR(AK70="N/A",AI70="N/A"),"N/A",ROUND(0.7*AK70+0.3*AI70*100,1)),"N/A")</f>
        <v/>
      </c>
    </row>
    <row r="71" ht="16.05" customHeight="1" s="37">
      <c r="A71" s="13" t="inlineStr">
        <is>
          <t>20542209951</t>
        </is>
      </c>
      <c r="B71" s="14" t="inlineStr">
        <is>
          <t>COOPERATIVA AGRARIA VALLE GRANDE</t>
        </is>
      </c>
      <c r="C71" s="13" t="inlineStr">
        <is>
          <t>SAN MARTIN</t>
        </is>
      </c>
      <c r="D71" s="15" t="n">
        <v>7878141.73</v>
      </c>
      <c r="E71" s="16" t="n">
        <v>0</v>
      </c>
      <c r="F71" s="17">
        <f>IFERROR(SCORECARDS!H70,"")</f>
        <v/>
      </c>
      <c r="G71" s="17">
        <f>IFERROR(MATRIZ_174!U70,0)</f>
        <v/>
      </c>
      <c r="H71" s="16" t="n">
        <v>0</v>
      </c>
      <c r="I71" s="17">
        <f>IFERROR(SCORECARDS!I70,"")</f>
        <v/>
      </c>
      <c r="J71" s="17">
        <f>IFERROR(SCORECARDS!J70,"")</f>
        <v/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7">
        <f>IFERROR(F71,0)</f>
        <v/>
      </c>
      <c r="Q71" s="17">
        <f>IFERROR(SQRT(G71*H71),0)</f>
        <v/>
      </c>
      <c r="R71" s="17">
        <f>IFERROR((I71+J71+L71)/3,0)</f>
        <v/>
      </c>
      <c r="S71" s="17">
        <f>IFERROR((J71+F71)/2,0)</f>
        <v/>
      </c>
      <c r="T71" s="17">
        <f>IFERROR((K71+M71+MATRIZ_174!O70)/3,0)</f>
        <v/>
      </c>
      <c r="U71" s="18">
        <f>IFERROR(MIN(100,ROUND(MATRIZ_174!M70,1)),0)</f>
        <v/>
      </c>
      <c r="V71" s="18">
        <f>IFERROR(IF(E71=0,50,E71),0)</f>
        <v/>
      </c>
      <c r="W71" s="18">
        <f>IFERROR(IF(MATRIZ_174!R70=0,65,IF(MATRIZ_174!R70/MATRIZ_174!Q70&gt;=2,35,IF(MATRIZ_174!R70/MATRIZ_174!Q70&gt;=0.5,50,65))),65)</f>
        <v/>
      </c>
      <c r="X71" s="18">
        <f>IF(MATRIZ_174!O70=0,70,30)</f>
        <v/>
      </c>
      <c r="Y71" s="18">
        <f>IF(OR(MATRIZ_174!P70="ASOCIACION",MATRIZ_174!P70="PENDIENTE"),65,40)</f>
        <v/>
      </c>
      <c r="Z71" s="19">
        <f>IFERROR(ROUND(AVERAGE(P71,Q71,R71,S71,T71),1),0)</f>
        <v/>
      </c>
      <c r="AA71" s="20">
        <f>IFERROR(ROUND(AVERAGE(U71,V71,W71,X71,Y71),1),0)</f>
        <v/>
      </c>
      <c r="AB71" s="21">
        <f>IFERROR(ROUND(AA71*(1-Z71/100),1),0)</f>
        <v/>
      </c>
      <c r="AC71" s="13">
        <f>IF(AND(Z71&gt;=50,AA71&lt;50),"🟢  Resilientes",IF(AND(Z71&gt;=50,AA71&gt;=50),"🟠  Expuestas Adaptables",IF(AND(Z71&lt;50,AA71&lt;50),"⬜  Riesgo Latente","🔴  Riesgo Crítico")))</f>
        <v/>
      </c>
      <c r="AD71" s="13">
        <f>IF(G71=0,"🚫  Inh. vigente OSCE","")</f>
        <v/>
      </c>
      <c r="AE71" s="22">
        <f>IFERROR(MATRIZ_174!W70,0)</f>
        <v/>
      </c>
      <c r="AF71" s="22">
        <f>IFERROR(MATRIZ_174!X70,0)</f>
        <v/>
      </c>
      <c r="AG71" s="22">
        <f>IFERROR(MATRIZ_174!Y70,0)</f>
        <v/>
      </c>
      <c r="AH71" s="22">
        <f>IFERROR(MATRIZ_174!Z70,0)</f>
        <v/>
      </c>
      <c r="AI71" s="17">
        <f>IFERROR(MATRIZ_174!AP70,"N/A")</f>
        <v/>
      </c>
      <c r="AJ71" s="17">
        <f>IFERROR(MATRIZ_174!AO70,"N/A")</f>
        <v/>
      </c>
      <c r="AK71" s="23">
        <f>IFERROR(ROUND(POWER((E71*F71*G71*H71*I71*J71*K71),1/7)*0.875+((L71+M71)/2)*0.125,1),"N/A")</f>
        <v/>
      </c>
      <c r="AL71" s="24">
        <f>IFERROR(IF(OR(AK71="N/A",AI71="N/A"),"N/A",ROUND(0.7*AK71+0.3*AI71*100,1)),"N/A")</f>
        <v/>
      </c>
    </row>
    <row r="72" ht="16.05" customHeight="1" s="37">
      <c r="A72" s="13" t="inlineStr">
        <is>
          <t>20542251990</t>
        </is>
      </c>
      <c r="B72" s="14" t="inlineStr">
        <is>
          <t>ASOCIACION DE MUJERES EMPRENDEDORAS DE NUEVO PROGRESO</t>
        </is>
      </c>
      <c r="C72" s="13" t="inlineStr">
        <is>
          <t>SAN MARTIN</t>
        </is>
      </c>
      <c r="D72" s="15" t="n">
        <v>0</v>
      </c>
      <c r="E72" s="16" t="n">
        <v>0</v>
      </c>
      <c r="F72" s="17">
        <f>IFERROR(SCORECARDS!H71,"")</f>
        <v/>
      </c>
      <c r="G72" s="17">
        <f>IFERROR(MATRIZ_174!U71,0)</f>
        <v/>
      </c>
      <c r="H72" s="16" t="n">
        <v>0</v>
      </c>
      <c r="I72" s="17">
        <f>IFERROR(SCORECARDS!I71,"")</f>
        <v/>
      </c>
      <c r="J72" s="17">
        <f>IFERROR(SCORECARDS!J71,"")</f>
        <v/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7">
        <f>IFERROR(F72,0)</f>
        <v/>
      </c>
      <c r="Q72" s="17">
        <f>IFERROR(SQRT(G72*H72),0)</f>
        <v/>
      </c>
      <c r="R72" s="17">
        <f>IFERROR((I72+J72+L72)/3,0)</f>
        <v/>
      </c>
      <c r="S72" s="17">
        <f>IFERROR((J72+F72)/2,0)</f>
        <v/>
      </c>
      <c r="T72" s="17">
        <f>IFERROR((K72+M72+MATRIZ_174!O71)/3,0)</f>
        <v/>
      </c>
      <c r="U72" s="18">
        <f>IFERROR(MIN(100,ROUND(MATRIZ_174!M71,1)),0)</f>
        <v/>
      </c>
      <c r="V72" s="18">
        <f>IFERROR(IF(E72=0,50,E72),0)</f>
        <v/>
      </c>
      <c r="W72" s="18">
        <f>IFERROR(IF(MATRIZ_174!R71=0,65,IF(MATRIZ_174!R71/MATRIZ_174!Q71&gt;=2,35,IF(MATRIZ_174!R71/MATRIZ_174!Q71&gt;=0.5,50,65))),65)</f>
        <v/>
      </c>
      <c r="X72" s="18">
        <f>IF(MATRIZ_174!O71=0,70,30)</f>
        <v/>
      </c>
      <c r="Y72" s="18">
        <f>IF(OR(MATRIZ_174!P71="ASOCIACION",MATRIZ_174!P71="PENDIENTE"),65,40)</f>
        <v/>
      </c>
      <c r="Z72" s="19">
        <f>IFERROR(ROUND(AVERAGE(P72,Q72,R72,S72,T72),1),0)</f>
        <v/>
      </c>
      <c r="AA72" s="20">
        <f>IFERROR(ROUND(AVERAGE(U72,V72,W72,X72,Y72),1),0)</f>
        <v/>
      </c>
      <c r="AB72" s="21">
        <f>IFERROR(ROUND(AA72*(1-Z72/100),1),0)</f>
        <v/>
      </c>
      <c r="AC72" s="13">
        <f>IF(AND(Z72&gt;=50,AA72&lt;50),"🟢  Resilientes",IF(AND(Z72&gt;=50,AA72&gt;=50),"🟠  Expuestas Adaptables",IF(AND(Z72&lt;50,AA72&lt;50),"⬜  Riesgo Latente","🔴  Riesgo Crítico")))</f>
        <v/>
      </c>
      <c r="AD72" s="13">
        <f>IF(G72=0,"🚫  Inh. vigente OSCE","")</f>
        <v/>
      </c>
      <c r="AE72" s="22">
        <f>IFERROR(MATRIZ_174!W71,0)</f>
        <v/>
      </c>
      <c r="AF72" s="22">
        <f>IFERROR(MATRIZ_174!X71,0)</f>
        <v/>
      </c>
      <c r="AG72" s="22">
        <f>IFERROR(MATRIZ_174!Y71,0)</f>
        <v/>
      </c>
      <c r="AH72" s="22">
        <f>IFERROR(MATRIZ_174!Z71,0)</f>
        <v/>
      </c>
      <c r="AI72" s="17">
        <f>IFERROR(MATRIZ_174!AP71,"N/A")</f>
        <v/>
      </c>
      <c r="AJ72" s="17">
        <f>IFERROR(MATRIZ_174!AO71,"N/A")</f>
        <v/>
      </c>
      <c r="AK72" s="23">
        <f>IFERROR(ROUND(POWER((E72*F72*G72*H72*I72*J72*K72),1/7)*0.875+((L72+M72)/2)*0.125,1),"N/A")</f>
        <v/>
      </c>
      <c r="AL72" s="24">
        <f>IFERROR(IF(OR(AK72="N/A",AI72="N/A"),"N/A",ROUND(0.7*AK72+0.3*AI72*100,1)),"N/A")</f>
        <v/>
      </c>
    </row>
    <row r="73" ht="16.05" customHeight="1" s="37">
      <c r="A73" s="13" t="inlineStr">
        <is>
          <t>20542257416</t>
        </is>
      </c>
      <c r="B73" s="14" t="inlineStr">
        <is>
          <t>EMPRESA INDUSTRIAL ORO VERDE SOCIEDAD ANONIMA CERRADA</t>
        </is>
      </c>
      <c r="C73" s="13" t="inlineStr">
        <is>
          <t>SAN MARTIN</t>
        </is>
      </c>
      <c r="D73" s="15" t="n">
        <v>1413037.5</v>
      </c>
      <c r="E73" s="16" t="n">
        <v>0</v>
      </c>
      <c r="F73" s="17">
        <f>IFERROR(SCORECARDS!H72,"")</f>
        <v/>
      </c>
      <c r="G73" s="17">
        <f>IFERROR(MATRIZ_174!U72,0)</f>
        <v/>
      </c>
      <c r="H73" s="16" t="n">
        <v>0</v>
      </c>
      <c r="I73" s="17">
        <f>IFERROR(SCORECARDS!I72,"")</f>
        <v/>
      </c>
      <c r="J73" s="17">
        <f>IFERROR(SCORECARDS!J72,"")</f>
        <v/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7">
        <f>IFERROR(F73,0)</f>
        <v/>
      </c>
      <c r="Q73" s="17">
        <f>IFERROR(SQRT(G73*H73),0)</f>
        <v/>
      </c>
      <c r="R73" s="17">
        <f>IFERROR((I73+J73+L73)/3,0)</f>
        <v/>
      </c>
      <c r="S73" s="17">
        <f>IFERROR((J73+F73)/2,0)</f>
        <v/>
      </c>
      <c r="T73" s="17">
        <f>IFERROR((K73+M73+MATRIZ_174!O72)/3,0)</f>
        <v/>
      </c>
      <c r="U73" s="18">
        <f>IFERROR(MIN(100,ROUND(MATRIZ_174!M72,1)),0)</f>
        <v/>
      </c>
      <c r="V73" s="18">
        <f>IFERROR(IF(E73=0,50,E73),0)</f>
        <v/>
      </c>
      <c r="W73" s="18">
        <f>IFERROR(IF(MATRIZ_174!R72=0,65,IF(MATRIZ_174!R72/MATRIZ_174!Q72&gt;=2,35,IF(MATRIZ_174!R72/MATRIZ_174!Q72&gt;=0.5,50,65))),65)</f>
        <v/>
      </c>
      <c r="X73" s="18">
        <f>IF(MATRIZ_174!O72=0,70,30)</f>
        <v/>
      </c>
      <c r="Y73" s="18">
        <f>IF(OR(MATRIZ_174!P72="ASOCIACION",MATRIZ_174!P72="PENDIENTE"),65,40)</f>
        <v/>
      </c>
      <c r="Z73" s="19">
        <f>IFERROR(ROUND(AVERAGE(P73,Q73,R73,S73,T73),1),0)</f>
        <v/>
      </c>
      <c r="AA73" s="20">
        <f>IFERROR(ROUND(AVERAGE(U73,V73,W73,X73,Y73),1),0)</f>
        <v/>
      </c>
      <c r="AB73" s="21">
        <f>IFERROR(ROUND(AA73*(1-Z73/100),1),0)</f>
        <v/>
      </c>
      <c r="AC73" s="13">
        <f>IF(AND(Z73&gt;=50,AA73&lt;50),"🟢  Resilientes",IF(AND(Z73&gt;=50,AA73&gt;=50),"🟠  Expuestas Adaptables",IF(AND(Z73&lt;50,AA73&lt;50),"⬜  Riesgo Latente","🔴  Riesgo Crítico")))</f>
        <v/>
      </c>
      <c r="AD73" s="13">
        <f>IF(G73=0,"🚫  Inh. vigente OSCE","")</f>
        <v/>
      </c>
      <c r="AE73" s="22">
        <f>IFERROR(MATRIZ_174!W72,0)</f>
        <v/>
      </c>
      <c r="AF73" s="22">
        <f>IFERROR(MATRIZ_174!X72,0)</f>
        <v/>
      </c>
      <c r="AG73" s="22">
        <f>IFERROR(MATRIZ_174!Y72,0)</f>
        <v/>
      </c>
      <c r="AH73" s="22">
        <f>IFERROR(MATRIZ_174!Z72,0)</f>
        <v/>
      </c>
      <c r="AI73" s="17">
        <f>IFERROR(MATRIZ_174!AP72,"N/A")</f>
        <v/>
      </c>
      <c r="AJ73" s="17">
        <f>IFERROR(MATRIZ_174!AO72,"N/A")</f>
        <v/>
      </c>
      <c r="AK73" s="23">
        <f>IFERROR(ROUND(POWER((E73*F73*G73*H73*I73*J73*K73),1/7)*0.875+((L73+M73)/2)*0.125,1),"N/A")</f>
        <v/>
      </c>
      <c r="AL73" s="24">
        <f>IFERROR(IF(OR(AK73="N/A",AI73="N/A"),"N/A",ROUND(0.7*AK73+0.3*AI73*100,1)),"N/A")</f>
        <v/>
      </c>
    </row>
    <row r="74" ht="16.05" customHeight="1" s="37">
      <c r="A74" s="13" t="inlineStr">
        <is>
          <t>20542264544</t>
        </is>
      </c>
      <c r="B74" s="14" t="inlineStr">
        <is>
          <t>COOPERATIVA AGRARIA VALLE DEL BIAVO LTDA</t>
        </is>
      </c>
      <c r="C74" s="13" t="inlineStr">
        <is>
          <t>SAN MARTIN</t>
        </is>
      </c>
      <c r="D74" s="15" t="n">
        <v>1187600.48</v>
      </c>
      <c r="E74" s="16" t="n">
        <v>0</v>
      </c>
      <c r="F74" s="17">
        <f>IFERROR(SCORECARDS!H73,"")</f>
        <v/>
      </c>
      <c r="G74" s="17">
        <f>IFERROR(MATRIZ_174!U73,0)</f>
        <v/>
      </c>
      <c r="H74" s="16" t="n">
        <v>0</v>
      </c>
      <c r="I74" s="17">
        <f>IFERROR(SCORECARDS!I73,"")</f>
        <v/>
      </c>
      <c r="J74" s="17">
        <f>IFERROR(SCORECARDS!J73,"")</f>
        <v/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7">
        <f>IFERROR(F74,0)</f>
        <v/>
      </c>
      <c r="Q74" s="17">
        <f>IFERROR(SQRT(G74*H74),0)</f>
        <v/>
      </c>
      <c r="R74" s="17">
        <f>IFERROR((I74+J74+L74)/3,0)</f>
        <v/>
      </c>
      <c r="S74" s="17">
        <f>IFERROR((J74+F74)/2,0)</f>
        <v/>
      </c>
      <c r="T74" s="17">
        <f>IFERROR((K74+M74+MATRIZ_174!O73)/3,0)</f>
        <v/>
      </c>
      <c r="U74" s="18">
        <f>IFERROR(MIN(100,ROUND(MATRIZ_174!M73,1)),0)</f>
        <v/>
      </c>
      <c r="V74" s="18">
        <f>IFERROR(IF(E74=0,50,E74),0)</f>
        <v/>
      </c>
      <c r="W74" s="18">
        <f>IFERROR(IF(MATRIZ_174!R73=0,65,IF(MATRIZ_174!R73/MATRIZ_174!Q73&gt;=2,35,IF(MATRIZ_174!R73/MATRIZ_174!Q73&gt;=0.5,50,65))),65)</f>
        <v/>
      </c>
      <c r="X74" s="18">
        <f>IF(MATRIZ_174!O73=0,70,30)</f>
        <v/>
      </c>
      <c r="Y74" s="18">
        <f>IF(OR(MATRIZ_174!P73="ASOCIACION",MATRIZ_174!P73="PENDIENTE"),65,40)</f>
        <v/>
      </c>
      <c r="Z74" s="19">
        <f>IFERROR(ROUND(AVERAGE(P74,Q74,R74,S74,T74),1),0)</f>
        <v/>
      </c>
      <c r="AA74" s="20">
        <f>IFERROR(ROUND(AVERAGE(U74,V74,W74,X74,Y74),1),0)</f>
        <v/>
      </c>
      <c r="AB74" s="21">
        <f>IFERROR(ROUND(AA74*(1-Z74/100),1),0)</f>
        <v/>
      </c>
      <c r="AC74" s="13">
        <f>IF(AND(Z74&gt;=50,AA74&lt;50),"🟢  Resilientes",IF(AND(Z74&gt;=50,AA74&gt;=50),"🟠  Expuestas Adaptables",IF(AND(Z74&lt;50,AA74&lt;50),"⬜  Riesgo Latente","🔴  Riesgo Crítico")))</f>
        <v/>
      </c>
      <c r="AD74" s="13">
        <f>IF(G74=0,"🚫  Inh. vigente OSCE","")</f>
        <v/>
      </c>
      <c r="AE74" s="22">
        <f>IFERROR(MATRIZ_174!W73,0)</f>
        <v/>
      </c>
      <c r="AF74" s="22">
        <f>IFERROR(MATRIZ_174!X73,0)</f>
        <v/>
      </c>
      <c r="AG74" s="22">
        <f>IFERROR(MATRIZ_174!Y73,0)</f>
        <v/>
      </c>
      <c r="AH74" s="22">
        <f>IFERROR(MATRIZ_174!Z73,0)</f>
        <v/>
      </c>
      <c r="AI74" s="17">
        <f>IFERROR(MATRIZ_174!AP73,"N/A")</f>
        <v/>
      </c>
      <c r="AJ74" s="17">
        <f>IFERROR(MATRIZ_174!AO73,"N/A")</f>
        <v/>
      </c>
      <c r="AK74" s="23">
        <f>IFERROR(ROUND(POWER((E74*F74*G74*H74*I74*J74*K74),1/7)*0.875+((L74+M74)/2)*0.125,1),"N/A")</f>
        <v/>
      </c>
      <c r="AL74" s="24">
        <f>IFERROR(IF(OR(AK74="N/A",AI74="N/A"),"N/A",ROUND(0.7*AK74+0.3*AI74*100,1)),"N/A")</f>
        <v/>
      </c>
    </row>
    <row r="75" ht="16.05" customHeight="1" s="37">
      <c r="A75" s="13" t="inlineStr">
        <is>
          <t>20542289024</t>
        </is>
      </c>
      <c r="B75" s="14" t="inlineStr">
        <is>
          <t>CUENCAS DEL HUALLAGA ASOCIACION DE PRODUCTORES AGROPECUARIOS</t>
        </is>
      </c>
      <c r="C75" s="13" t="inlineStr">
        <is>
          <t>SAN MARTIN</t>
        </is>
      </c>
      <c r="D75" s="15" t="n">
        <v>12142715.91</v>
      </c>
      <c r="E75" s="16" t="n">
        <v>0</v>
      </c>
      <c r="F75" s="17">
        <f>IFERROR(SCORECARDS!H74,"")</f>
        <v/>
      </c>
      <c r="G75" s="17">
        <f>IFERROR(MATRIZ_174!U74,0)</f>
        <v/>
      </c>
      <c r="H75" s="16" t="n">
        <v>0</v>
      </c>
      <c r="I75" s="17">
        <f>IFERROR(SCORECARDS!I74,"")</f>
        <v/>
      </c>
      <c r="J75" s="17">
        <f>IFERROR(SCORECARDS!J74,"")</f>
        <v/>
      </c>
      <c r="K75" s="16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7">
        <f>IFERROR(F75,0)</f>
        <v/>
      </c>
      <c r="Q75" s="17">
        <f>IFERROR(SQRT(G75*H75),0)</f>
        <v/>
      </c>
      <c r="R75" s="17">
        <f>IFERROR((I75+J75+L75)/3,0)</f>
        <v/>
      </c>
      <c r="S75" s="17">
        <f>IFERROR((J75+F75)/2,0)</f>
        <v/>
      </c>
      <c r="T75" s="17">
        <f>IFERROR((K75+M75+MATRIZ_174!O74)/3,0)</f>
        <v/>
      </c>
      <c r="U75" s="18">
        <f>IFERROR(MIN(100,ROUND(MATRIZ_174!M74,1)),0)</f>
        <v/>
      </c>
      <c r="V75" s="18">
        <f>IFERROR(IF(E75=0,50,E75),0)</f>
        <v/>
      </c>
      <c r="W75" s="18">
        <f>IFERROR(IF(MATRIZ_174!R74=0,65,IF(MATRIZ_174!R74/MATRIZ_174!Q74&gt;=2,35,IF(MATRIZ_174!R74/MATRIZ_174!Q74&gt;=0.5,50,65))),65)</f>
        <v/>
      </c>
      <c r="X75" s="18">
        <f>IF(MATRIZ_174!O74=0,70,30)</f>
        <v/>
      </c>
      <c r="Y75" s="18">
        <f>IF(OR(MATRIZ_174!P74="ASOCIACION",MATRIZ_174!P74="PENDIENTE"),65,40)</f>
        <v/>
      </c>
      <c r="Z75" s="19">
        <f>IFERROR(ROUND(AVERAGE(P75,Q75,R75,S75,T75),1),0)</f>
        <v/>
      </c>
      <c r="AA75" s="20">
        <f>IFERROR(ROUND(AVERAGE(U75,V75,W75,X75,Y75),1),0)</f>
        <v/>
      </c>
      <c r="AB75" s="21">
        <f>IFERROR(ROUND(AA75*(1-Z75/100),1),0)</f>
        <v/>
      </c>
      <c r="AC75" s="13">
        <f>IF(AND(Z75&gt;=50,AA75&lt;50),"🟢  Resilientes",IF(AND(Z75&gt;=50,AA75&gt;=50),"🟠  Expuestas Adaptables",IF(AND(Z75&lt;50,AA75&lt;50),"⬜  Riesgo Latente","🔴  Riesgo Crítico")))</f>
        <v/>
      </c>
      <c r="AD75" s="13">
        <f>IF(G75=0,"🚫  Inh. vigente OSCE","")</f>
        <v/>
      </c>
      <c r="AE75" s="22">
        <f>IFERROR(MATRIZ_174!W74,0)</f>
        <v/>
      </c>
      <c r="AF75" s="22">
        <f>IFERROR(MATRIZ_174!X74,0)</f>
        <v/>
      </c>
      <c r="AG75" s="22">
        <f>IFERROR(MATRIZ_174!Y74,0)</f>
        <v/>
      </c>
      <c r="AH75" s="22">
        <f>IFERROR(MATRIZ_174!Z74,0)</f>
        <v/>
      </c>
      <c r="AI75" s="17">
        <f>IFERROR(MATRIZ_174!AP74,"N/A")</f>
        <v/>
      </c>
      <c r="AJ75" s="17">
        <f>IFERROR(MATRIZ_174!AO74,"N/A")</f>
        <v/>
      </c>
      <c r="AK75" s="23">
        <f>IFERROR(ROUND(POWER((E75*F75*G75*H75*I75*J75*K75),1/7)*0.875+((L75+M75)/2)*0.125,1),"N/A")</f>
        <v/>
      </c>
      <c r="AL75" s="24">
        <f>IFERROR(IF(OR(AK75="N/A",AI75="N/A"),"N/A",ROUND(0.7*AK75+0.3*AI75*100,1)),"N/A")</f>
        <v/>
      </c>
    </row>
    <row r="76" ht="16.05" customHeight="1" s="37">
      <c r="A76" s="13" t="inlineStr">
        <is>
          <t>20542299330</t>
        </is>
      </c>
      <c r="B76" s="14" t="inlineStr">
        <is>
          <t xml:space="preserve">ASOCIACION DE PRODUCTORES AGROPECUARIOS DE SHUCUSHYACU FLOR </t>
        </is>
      </c>
      <c r="C76" s="13" t="inlineStr">
        <is>
          <t>LORETO</t>
        </is>
      </c>
      <c r="D76" s="15" t="n">
        <v>0</v>
      </c>
      <c r="E76" s="16" t="n">
        <v>0</v>
      </c>
      <c r="F76" s="17">
        <f>IFERROR(SCORECARDS!H75,"")</f>
        <v/>
      </c>
      <c r="G76" s="17">
        <f>IFERROR(MATRIZ_174!U75,0)</f>
        <v/>
      </c>
      <c r="H76" s="16" t="n">
        <v>0</v>
      </c>
      <c r="I76" s="17">
        <f>IFERROR(SCORECARDS!I75,"")</f>
        <v/>
      </c>
      <c r="J76" s="17">
        <f>IFERROR(SCORECARDS!J75,"")</f>
        <v/>
      </c>
      <c r="K76" s="16" t="n">
        <v>0</v>
      </c>
      <c r="L76" s="16" t="n">
        <v>0</v>
      </c>
      <c r="M76" s="16" t="n">
        <v>0</v>
      </c>
      <c r="N76" s="16" t="n">
        <v>0</v>
      </c>
      <c r="O76" s="16" t="n">
        <v>0</v>
      </c>
      <c r="P76" s="17">
        <f>IFERROR(F76,0)</f>
        <v/>
      </c>
      <c r="Q76" s="17">
        <f>IFERROR(SQRT(G76*H76),0)</f>
        <v/>
      </c>
      <c r="R76" s="17">
        <f>IFERROR((I76+J76+L76)/3,0)</f>
        <v/>
      </c>
      <c r="S76" s="17">
        <f>IFERROR((J76+F76)/2,0)</f>
        <v/>
      </c>
      <c r="T76" s="17">
        <f>IFERROR((K76+M76+MATRIZ_174!O75)/3,0)</f>
        <v/>
      </c>
      <c r="U76" s="18">
        <f>IFERROR(MIN(100,ROUND(MATRIZ_174!M75,1)),0)</f>
        <v/>
      </c>
      <c r="V76" s="18">
        <f>IFERROR(IF(E76=0,50,E76),0)</f>
        <v/>
      </c>
      <c r="W76" s="18">
        <f>IFERROR(IF(MATRIZ_174!R75=0,65,IF(MATRIZ_174!R75/MATRIZ_174!Q75&gt;=2,35,IF(MATRIZ_174!R75/MATRIZ_174!Q75&gt;=0.5,50,65))),65)</f>
        <v/>
      </c>
      <c r="X76" s="18">
        <f>IF(MATRIZ_174!O75=0,70,30)</f>
        <v/>
      </c>
      <c r="Y76" s="18">
        <f>IF(OR(MATRIZ_174!P75="ASOCIACION",MATRIZ_174!P75="PENDIENTE"),65,40)</f>
        <v/>
      </c>
      <c r="Z76" s="19">
        <f>IFERROR(ROUND(AVERAGE(P76,Q76,R76,S76,T76),1),0)</f>
        <v/>
      </c>
      <c r="AA76" s="20">
        <f>IFERROR(ROUND(AVERAGE(U76,V76,W76,X76,Y76),1),0)</f>
        <v/>
      </c>
      <c r="AB76" s="21">
        <f>IFERROR(ROUND(AA76*(1-Z76/100),1),0)</f>
        <v/>
      </c>
      <c r="AC76" s="13">
        <f>IF(AND(Z76&gt;=50,AA76&lt;50),"🟢  Resilientes",IF(AND(Z76&gt;=50,AA76&gt;=50),"🟠  Expuestas Adaptables",IF(AND(Z76&lt;50,AA76&lt;50),"⬜  Riesgo Latente","🔴  Riesgo Crítico")))</f>
        <v/>
      </c>
      <c r="AD76" s="13">
        <f>IF(G76=0,"🚫  Inh. vigente OSCE","")</f>
        <v/>
      </c>
      <c r="AE76" s="22">
        <f>IFERROR(MATRIZ_174!W75,0)</f>
        <v/>
      </c>
      <c r="AF76" s="22">
        <f>IFERROR(MATRIZ_174!X75,0)</f>
        <v/>
      </c>
      <c r="AG76" s="22">
        <f>IFERROR(MATRIZ_174!Y75,0)</f>
        <v/>
      </c>
      <c r="AH76" s="22">
        <f>IFERROR(MATRIZ_174!Z75,0)</f>
        <v/>
      </c>
      <c r="AI76" s="17">
        <f>IFERROR(MATRIZ_174!AP75,"N/A")</f>
        <v/>
      </c>
      <c r="AJ76" s="17">
        <f>IFERROR(MATRIZ_174!AO75,"N/A")</f>
        <v/>
      </c>
      <c r="AK76" s="23">
        <f>IFERROR(ROUND(POWER((E76*F76*G76*H76*I76*J76*K76),1/7)*0.875+((L76+M76)/2)*0.125,1),"N/A")</f>
        <v/>
      </c>
      <c r="AL76" s="24">
        <f>IFERROR(IF(OR(AK76="N/A",AI76="N/A"),"N/A",ROUND(0.7*AK76+0.3*AI76*100,1)),"N/A")</f>
        <v/>
      </c>
    </row>
    <row r="77" ht="16.05" customHeight="1" s="37">
      <c r="A77" s="13" t="inlineStr">
        <is>
          <t>20542311569</t>
        </is>
      </c>
      <c r="B77" s="14" t="inlineStr">
        <is>
          <t>COOPERATIVA AGRARIA ACHUAR SHAKAIM LTDA</t>
        </is>
      </c>
      <c r="C77" s="13" t="inlineStr">
        <is>
          <t>LORETO</t>
        </is>
      </c>
      <c r="D77" s="15" t="n">
        <v>0</v>
      </c>
      <c r="E77" s="16" t="n">
        <v>0</v>
      </c>
      <c r="F77" s="17">
        <f>IFERROR(SCORECARDS!H76,"")</f>
        <v/>
      </c>
      <c r="G77" s="17">
        <f>IFERROR(MATRIZ_174!U76,0)</f>
        <v/>
      </c>
      <c r="H77" s="16" t="n">
        <v>0</v>
      </c>
      <c r="I77" s="17">
        <f>IFERROR(SCORECARDS!I76,"")</f>
        <v/>
      </c>
      <c r="J77" s="17">
        <f>IFERROR(SCORECARDS!J76,"")</f>
        <v/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7">
        <f>IFERROR(F77,0)</f>
        <v/>
      </c>
      <c r="Q77" s="17">
        <f>IFERROR(SQRT(G77*H77),0)</f>
        <v/>
      </c>
      <c r="R77" s="17">
        <f>IFERROR((I77+J77+L77)/3,0)</f>
        <v/>
      </c>
      <c r="S77" s="17">
        <f>IFERROR((J77+F77)/2,0)</f>
        <v/>
      </c>
      <c r="T77" s="17">
        <f>IFERROR((K77+M77+MATRIZ_174!O76)/3,0)</f>
        <v/>
      </c>
      <c r="U77" s="18">
        <f>IFERROR(MIN(100,ROUND(MATRIZ_174!M76,1)),0)</f>
        <v/>
      </c>
      <c r="V77" s="18">
        <f>IFERROR(IF(E77=0,50,E77),0)</f>
        <v/>
      </c>
      <c r="W77" s="18">
        <f>IFERROR(IF(MATRIZ_174!R76=0,65,IF(MATRIZ_174!R76/MATRIZ_174!Q76&gt;=2,35,IF(MATRIZ_174!R76/MATRIZ_174!Q76&gt;=0.5,50,65))),65)</f>
        <v/>
      </c>
      <c r="X77" s="18">
        <f>IF(MATRIZ_174!O76=0,70,30)</f>
        <v/>
      </c>
      <c r="Y77" s="18">
        <f>IF(OR(MATRIZ_174!P76="ASOCIACION",MATRIZ_174!P76="PENDIENTE"),65,40)</f>
        <v/>
      </c>
      <c r="Z77" s="19">
        <f>IFERROR(ROUND(AVERAGE(P77,Q77,R77,S77,T77),1),0)</f>
        <v/>
      </c>
      <c r="AA77" s="20">
        <f>IFERROR(ROUND(AVERAGE(U77,V77,W77,X77,Y77),1),0)</f>
        <v/>
      </c>
      <c r="AB77" s="21">
        <f>IFERROR(ROUND(AA77*(1-Z77/100),1),0)</f>
        <v/>
      </c>
      <c r="AC77" s="13">
        <f>IF(AND(Z77&gt;=50,AA77&lt;50),"🟢  Resilientes",IF(AND(Z77&gt;=50,AA77&gt;=50),"🟠  Expuestas Adaptables",IF(AND(Z77&lt;50,AA77&lt;50),"⬜  Riesgo Latente","🔴  Riesgo Crítico")))</f>
        <v/>
      </c>
      <c r="AD77" s="13">
        <f>IF(G77=0,"🚫  Inh. vigente OSCE","")</f>
        <v/>
      </c>
      <c r="AE77" s="22">
        <f>IFERROR(MATRIZ_174!W76,0)</f>
        <v/>
      </c>
      <c r="AF77" s="22">
        <f>IFERROR(MATRIZ_174!X76,0)</f>
        <v/>
      </c>
      <c r="AG77" s="22">
        <f>IFERROR(MATRIZ_174!Y76,0)</f>
        <v/>
      </c>
      <c r="AH77" s="22">
        <f>IFERROR(MATRIZ_174!Z76,0)</f>
        <v/>
      </c>
      <c r="AI77" s="17">
        <f>IFERROR(MATRIZ_174!AP76,"N/A")</f>
        <v/>
      </c>
      <c r="AJ77" s="17">
        <f>IFERROR(MATRIZ_174!AO76,"N/A")</f>
        <v/>
      </c>
      <c r="AK77" s="23">
        <f>IFERROR(ROUND(POWER((E77*F77*G77*H77*I77*J77*K77),1/7)*0.875+((L77+M77)/2)*0.125,1),"N/A")</f>
        <v/>
      </c>
      <c r="AL77" s="24">
        <f>IFERROR(IF(OR(AK77="N/A",AI77="N/A"),"N/A",ROUND(0.7*AK77+0.3*AI77*100,1)),"N/A")</f>
        <v/>
      </c>
    </row>
    <row r="78" ht="16.05" customHeight="1" s="37">
      <c r="A78" s="13" t="inlineStr">
        <is>
          <t>20542380455</t>
        </is>
      </c>
      <c r="B78" s="14" t="inlineStr">
        <is>
          <t>COOPERATIVA AGRARIA ECOFOREST</t>
        </is>
      </c>
      <c r="C78" s="13" t="inlineStr">
        <is>
          <t>CAJAMARCA</t>
        </is>
      </c>
      <c r="D78" s="15" t="n">
        <v>8445503.24</v>
      </c>
      <c r="E78" s="16" t="n">
        <v>0</v>
      </c>
      <c r="F78" s="17">
        <f>IFERROR(SCORECARDS!H77,"")</f>
        <v/>
      </c>
      <c r="G78" s="17">
        <f>IFERROR(MATRIZ_174!U77,0)</f>
        <v/>
      </c>
      <c r="H78" s="16" t="n">
        <v>0</v>
      </c>
      <c r="I78" s="17">
        <f>IFERROR(SCORECARDS!I77,"")</f>
        <v/>
      </c>
      <c r="J78" s="17">
        <f>IFERROR(SCORECARDS!J77,"")</f>
        <v/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7">
        <f>IFERROR(F78,0)</f>
        <v/>
      </c>
      <c r="Q78" s="17">
        <f>IFERROR(SQRT(G78*H78),0)</f>
        <v/>
      </c>
      <c r="R78" s="17">
        <f>IFERROR((I78+J78+L78)/3,0)</f>
        <v/>
      </c>
      <c r="S78" s="17">
        <f>IFERROR((J78+F78)/2,0)</f>
        <v/>
      </c>
      <c r="T78" s="17">
        <f>IFERROR((K78+M78+MATRIZ_174!O77)/3,0)</f>
        <v/>
      </c>
      <c r="U78" s="18">
        <f>IFERROR(MIN(100,ROUND(MATRIZ_174!M77,1)),0)</f>
        <v/>
      </c>
      <c r="V78" s="18">
        <f>IFERROR(IF(E78=0,50,E78),0)</f>
        <v/>
      </c>
      <c r="W78" s="18">
        <f>IFERROR(IF(MATRIZ_174!R77=0,65,IF(MATRIZ_174!R77/MATRIZ_174!Q77&gt;=2,35,IF(MATRIZ_174!R77/MATRIZ_174!Q77&gt;=0.5,50,65))),65)</f>
        <v/>
      </c>
      <c r="X78" s="18">
        <f>IF(MATRIZ_174!O77=0,70,30)</f>
        <v/>
      </c>
      <c r="Y78" s="18">
        <f>IF(OR(MATRIZ_174!P77="ASOCIACION",MATRIZ_174!P77="PENDIENTE"),65,40)</f>
        <v/>
      </c>
      <c r="Z78" s="19">
        <f>IFERROR(ROUND(AVERAGE(P78,Q78,R78,S78,T78),1),0)</f>
        <v/>
      </c>
      <c r="AA78" s="20">
        <f>IFERROR(ROUND(AVERAGE(U78,V78,W78,X78,Y78),1),0)</f>
        <v/>
      </c>
      <c r="AB78" s="21">
        <f>IFERROR(ROUND(AA78*(1-Z78/100),1),0)</f>
        <v/>
      </c>
      <c r="AC78" s="13">
        <f>IF(AND(Z78&gt;=50,AA78&lt;50),"🟢  Resilientes",IF(AND(Z78&gt;=50,AA78&gt;=50),"🟠  Expuestas Adaptables",IF(AND(Z78&lt;50,AA78&lt;50),"⬜  Riesgo Latente","🔴  Riesgo Crítico")))</f>
        <v/>
      </c>
      <c r="AD78" s="13">
        <f>IF(G78=0,"🚫  Inh. vigente OSCE","")</f>
        <v/>
      </c>
      <c r="AE78" s="22">
        <f>IFERROR(MATRIZ_174!W77,0)</f>
        <v/>
      </c>
      <c r="AF78" s="22">
        <f>IFERROR(MATRIZ_174!X77,0)</f>
        <v/>
      </c>
      <c r="AG78" s="22">
        <f>IFERROR(MATRIZ_174!Y77,0)</f>
        <v/>
      </c>
      <c r="AH78" s="22">
        <f>IFERROR(MATRIZ_174!Z77,0)</f>
        <v/>
      </c>
      <c r="AI78" s="17">
        <f>IFERROR(MATRIZ_174!AP77,"N/A")</f>
        <v/>
      </c>
      <c r="AJ78" s="17">
        <f>IFERROR(MATRIZ_174!AO77,"N/A")</f>
        <v/>
      </c>
      <c r="AK78" s="23">
        <f>IFERROR(ROUND(POWER((E78*F78*G78*H78*I78*J78*K78),1/7)*0.875+((L78+M78)/2)*0.125,1),"N/A")</f>
        <v/>
      </c>
      <c r="AL78" s="24">
        <f>IFERROR(IF(OR(AK78="N/A",AI78="N/A"),"N/A",ROUND(0.7*AK78+0.3*AI78*100,1)),"N/A")</f>
        <v/>
      </c>
    </row>
    <row r="79" ht="16.05" customHeight="1" s="37">
      <c r="A79" s="13" t="inlineStr">
        <is>
          <t>20542482886</t>
        </is>
      </c>
      <c r="B79" s="14" t="inlineStr">
        <is>
          <t>COOPERATIVA AGROINDUSTRIAL APCCA</t>
        </is>
      </c>
      <c r="C79" s="13" t="inlineStr">
        <is>
          <t>HUANUCO</t>
        </is>
      </c>
      <c r="D79" s="15" t="n">
        <v>0</v>
      </c>
      <c r="E79" s="16" t="n">
        <v>0</v>
      </c>
      <c r="F79" s="17">
        <f>IFERROR(SCORECARDS!H78,"")</f>
        <v/>
      </c>
      <c r="G79" s="17">
        <f>IFERROR(MATRIZ_174!U78,0)</f>
        <v/>
      </c>
      <c r="H79" s="16" t="n">
        <v>0</v>
      </c>
      <c r="I79" s="17">
        <f>IFERROR(SCORECARDS!I78,"")</f>
        <v/>
      </c>
      <c r="J79" s="17">
        <f>IFERROR(SCORECARDS!J78,"")</f>
        <v/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7">
        <f>IFERROR(F79,0)</f>
        <v/>
      </c>
      <c r="Q79" s="17">
        <f>IFERROR(SQRT(G79*H79),0)</f>
        <v/>
      </c>
      <c r="R79" s="17">
        <f>IFERROR((I79+J79+L79)/3,0)</f>
        <v/>
      </c>
      <c r="S79" s="17">
        <f>IFERROR((J79+F79)/2,0)</f>
        <v/>
      </c>
      <c r="T79" s="17">
        <f>IFERROR((K79+M79+MATRIZ_174!O78)/3,0)</f>
        <v/>
      </c>
      <c r="U79" s="18">
        <f>IFERROR(MIN(100,ROUND(MATRIZ_174!M78,1)),0)</f>
        <v/>
      </c>
      <c r="V79" s="18">
        <f>IFERROR(IF(E79=0,50,E79),0)</f>
        <v/>
      </c>
      <c r="W79" s="18">
        <f>IFERROR(IF(MATRIZ_174!R78=0,65,IF(MATRIZ_174!R78/MATRIZ_174!Q78&gt;=2,35,IF(MATRIZ_174!R78/MATRIZ_174!Q78&gt;=0.5,50,65))),65)</f>
        <v/>
      </c>
      <c r="X79" s="18">
        <f>IF(MATRIZ_174!O78=0,70,30)</f>
        <v/>
      </c>
      <c r="Y79" s="18">
        <f>IF(OR(MATRIZ_174!P78="ASOCIACION",MATRIZ_174!P78="PENDIENTE"),65,40)</f>
        <v/>
      </c>
      <c r="Z79" s="19">
        <f>IFERROR(ROUND(AVERAGE(P79,Q79,R79,S79,T79),1),0)</f>
        <v/>
      </c>
      <c r="AA79" s="20">
        <f>IFERROR(ROUND(AVERAGE(U79,V79,W79,X79,Y79),1),0)</f>
        <v/>
      </c>
      <c r="AB79" s="21">
        <f>IFERROR(ROUND(AA79*(1-Z79/100),1),0)</f>
        <v/>
      </c>
      <c r="AC79" s="13">
        <f>IF(AND(Z79&gt;=50,AA79&lt;50),"🟢  Resilientes",IF(AND(Z79&gt;=50,AA79&gt;=50),"🟠  Expuestas Adaptables",IF(AND(Z79&lt;50,AA79&lt;50),"⬜  Riesgo Latente","🔴  Riesgo Crítico")))</f>
        <v/>
      </c>
      <c r="AD79" s="13">
        <f>IF(G79=0,"🚫  Inh. vigente OSCE","")</f>
        <v/>
      </c>
      <c r="AE79" s="22">
        <f>IFERROR(MATRIZ_174!W78,0)</f>
        <v/>
      </c>
      <c r="AF79" s="22">
        <f>IFERROR(MATRIZ_174!X78,0)</f>
        <v/>
      </c>
      <c r="AG79" s="22">
        <f>IFERROR(MATRIZ_174!Y78,0)</f>
        <v/>
      </c>
      <c r="AH79" s="22">
        <f>IFERROR(MATRIZ_174!Z78,0)</f>
        <v/>
      </c>
      <c r="AI79" s="17">
        <f>IFERROR(MATRIZ_174!AP78,"N/A")</f>
        <v/>
      </c>
      <c r="AJ79" s="17">
        <f>IFERROR(MATRIZ_174!AO78,"N/A")</f>
        <v/>
      </c>
      <c r="AK79" s="23">
        <f>IFERROR(ROUND(POWER((E79*F79*G79*H79*I79*J79*K79),1/7)*0.875+((L79+M79)/2)*0.125,1),"N/A")</f>
        <v/>
      </c>
      <c r="AL79" s="24">
        <f>IFERROR(IF(OR(AK79="N/A",AI79="N/A"),"N/A",ROUND(0.7*AK79+0.3*AI79*100,1)),"N/A")</f>
        <v/>
      </c>
    </row>
    <row r="80" ht="16.05" customHeight="1" s="37">
      <c r="A80" s="13" t="inlineStr">
        <is>
          <t>20542825163</t>
        </is>
      </c>
      <c r="B80" s="14" t="inlineStr">
        <is>
          <t>COOPERATIVA AGRARIA CACAO FINO AGROBOSQUE</t>
        </is>
      </c>
      <c r="C80" s="13" t="inlineStr">
        <is>
          <t>MADRE DE DIOS</t>
        </is>
      </c>
      <c r="D80" s="15" t="n">
        <v>0</v>
      </c>
      <c r="E80" s="16" t="n">
        <v>0</v>
      </c>
      <c r="F80" s="17">
        <f>IFERROR(SCORECARDS!H79,"")</f>
        <v/>
      </c>
      <c r="G80" s="17">
        <f>IFERROR(MATRIZ_174!U79,0)</f>
        <v/>
      </c>
      <c r="H80" s="16" t="n">
        <v>0</v>
      </c>
      <c r="I80" s="17">
        <f>IFERROR(SCORECARDS!I79,"")</f>
        <v/>
      </c>
      <c r="J80" s="17">
        <f>IFERROR(SCORECARDS!J79,"")</f>
        <v/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7">
        <f>IFERROR(F80,0)</f>
        <v/>
      </c>
      <c r="Q80" s="17">
        <f>IFERROR(SQRT(G80*H80),0)</f>
        <v/>
      </c>
      <c r="R80" s="17">
        <f>IFERROR((I80+J80+L80)/3,0)</f>
        <v/>
      </c>
      <c r="S80" s="17">
        <f>IFERROR((J80+F80)/2,0)</f>
        <v/>
      </c>
      <c r="T80" s="17">
        <f>IFERROR((K80+M80+MATRIZ_174!O79)/3,0)</f>
        <v/>
      </c>
      <c r="U80" s="18">
        <f>IFERROR(MIN(100,ROUND(MATRIZ_174!M79,1)),0)</f>
        <v/>
      </c>
      <c r="V80" s="18">
        <f>IFERROR(IF(E80=0,50,E80),0)</f>
        <v/>
      </c>
      <c r="W80" s="18">
        <f>IFERROR(IF(MATRIZ_174!R79=0,65,IF(MATRIZ_174!R79/MATRIZ_174!Q79&gt;=2,35,IF(MATRIZ_174!R79/MATRIZ_174!Q79&gt;=0.5,50,65))),65)</f>
        <v/>
      </c>
      <c r="X80" s="18">
        <f>IF(MATRIZ_174!O79=0,70,30)</f>
        <v/>
      </c>
      <c r="Y80" s="18">
        <f>IF(OR(MATRIZ_174!P79="ASOCIACION",MATRIZ_174!P79="PENDIENTE"),65,40)</f>
        <v/>
      </c>
      <c r="Z80" s="19">
        <f>IFERROR(ROUND(AVERAGE(P80,Q80,R80,S80,T80),1),0)</f>
        <v/>
      </c>
      <c r="AA80" s="20">
        <f>IFERROR(ROUND(AVERAGE(U80,V80,W80,X80,Y80),1),0)</f>
        <v/>
      </c>
      <c r="AB80" s="21">
        <f>IFERROR(ROUND(AA80*(1-Z80/100),1),0)</f>
        <v/>
      </c>
      <c r="AC80" s="13">
        <f>IF(AND(Z80&gt;=50,AA80&lt;50),"🟢  Resilientes",IF(AND(Z80&gt;=50,AA80&gt;=50),"🟠  Expuestas Adaptables",IF(AND(Z80&lt;50,AA80&lt;50),"⬜  Riesgo Latente","🔴  Riesgo Crítico")))</f>
        <v/>
      </c>
      <c r="AD80" s="13">
        <f>IF(G80=0,"🚫  Inh. vigente OSCE","")</f>
        <v/>
      </c>
      <c r="AE80" s="22">
        <f>IFERROR(MATRIZ_174!W79,0)</f>
        <v/>
      </c>
      <c r="AF80" s="22">
        <f>IFERROR(MATRIZ_174!X79,0)</f>
        <v/>
      </c>
      <c r="AG80" s="22">
        <f>IFERROR(MATRIZ_174!Y79,0)</f>
        <v/>
      </c>
      <c r="AH80" s="22">
        <f>IFERROR(MATRIZ_174!Z79,0)</f>
        <v/>
      </c>
      <c r="AI80" s="17">
        <f>IFERROR(MATRIZ_174!AP79,"N/A")</f>
        <v/>
      </c>
      <c r="AJ80" s="17">
        <f>IFERROR(MATRIZ_174!AO79,"N/A")</f>
        <v/>
      </c>
      <c r="AK80" s="23">
        <f>IFERROR(ROUND(POWER((E80*F80*G80*H80*I80*J80*K80),1/7)*0.875+((L80+M80)/2)*0.125,1),"N/A")</f>
        <v/>
      </c>
      <c r="AL80" s="24">
        <f>IFERROR(IF(OR(AK80="N/A",AI80="N/A"),"N/A",ROUND(0.7*AK80+0.3*AI80*100,1)),"N/A")</f>
        <v/>
      </c>
    </row>
    <row r="81" ht="16.05" customHeight="1" s="37">
      <c r="A81" s="13" t="inlineStr">
        <is>
          <t>20561140091</t>
        </is>
      </c>
      <c r="B81" s="14" t="inlineStr">
        <is>
          <t>COOPERATIVA AGRARIA ECOLOGICA CAFETALERA DE LONYA GRANDE</t>
        </is>
      </c>
      <c r="C81" s="13" t="inlineStr">
        <is>
          <t>AMAZONAS</t>
        </is>
      </c>
      <c r="D81" s="15" t="n">
        <v>0</v>
      </c>
      <c r="E81" s="16" t="n">
        <v>0</v>
      </c>
      <c r="F81" s="17">
        <f>IFERROR(SCORECARDS!H80,"")</f>
        <v/>
      </c>
      <c r="G81" s="17">
        <f>IFERROR(MATRIZ_174!U80,0)</f>
        <v/>
      </c>
      <c r="H81" s="16" t="n">
        <v>0</v>
      </c>
      <c r="I81" s="17">
        <f>IFERROR(SCORECARDS!I80,"")</f>
        <v/>
      </c>
      <c r="J81" s="17">
        <f>IFERROR(SCORECARDS!J80,"")</f>
        <v/>
      </c>
      <c r="K81" s="16" t="n">
        <v>0</v>
      </c>
      <c r="L81" s="16" t="n">
        <v>0</v>
      </c>
      <c r="M81" s="16" t="n">
        <v>0</v>
      </c>
      <c r="N81" s="16" t="n">
        <v>0</v>
      </c>
      <c r="O81" s="16" t="n">
        <v>0</v>
      </c>
      <c r="P81" s="17">
        <f>IFERROR(F81,0)</f>
        <v/>
      </c>
      <c r="Q81" s="17">
        <f>IFERROR(SQRT(G81*H81),0)</f>
        <v/>
      </c>
      <c r="R81" s="17">
        <f>IFERROR((I81+J81+L81)/3,0)</f>
        <v/>
      </c>
      <c r="S81" s="17">
        <f>IFERROR((J81+F81)/2,0)</f>
        <v/>
      </c>
      <c r="T81" s="17">
        <f>IFERROR((K81+M81+MATRIZ_174!O80)/3,0)</f>
        <v/>
      </c>
      <c r="U81" s="18">
        <f>IFERROR(MIN(100,ROUND(MATRIZ_174!M80,1)),0)</f>
        <v/>
      </c>
      <c r="V81" s="18">
        <f>IFERROR(IF(E81=0,50,E81),0)</f>
        <v/>
      </c>
      <c r="W81" s="18">
        <f>IFERROR(IF(MATRIZ_174!R80=0,65,IF(MATRIZ_174!R80/MATRIZ_174!Q80&gt;=2,35,IF(MATRIZ_174!R80/MATRIZ_174!Q80&gt;=0.5,50,65))),65)</f>
        <v/>
      </c>
      <c r="X81" s="18">
        <f>IF(MATRIZ_174!O80=0,70,30)</f>
        <v/>
      </c>
      <c r="Y81" s="18">
        <f>IF(OR(MATRIZ_174!P80="ASOCIACION",MATRIZ_174!P80="PENDIENTE"),65,40)</f>
        <v/>
      </c>
      <c r="Z81" s="19">
        <f>IFERROR(ROUND(AVERAGE(P81,Q81,R81,S81,T81),1),0)</f>
        <v/>
      </c>
      <c r="AA81" s="20">
        <f>IFERROR(ROUND(AVERAGE(U81,V81,W81,X81,Y81),1),0)</f>
        <v/>
      </c>
      <c r="AB81" s="21">
        <f>IFERROR(ROUND(AA81*(1-Z81/100),1),0)</f>
        <v/>
      </c>
      <c r="AC81" s="13">
        <f>IF(AND(Z81&gt;=50,AA81&lt;50),"🟢  Resilientes",IF(AND(Z81&gt;=50,AA81&gt;=50),"🟠  Expuestas Adaptables",IF(AND(Z81&lt;50,AA81&lt;50),"⬜  Riesgo Latente","🔴  Riesgo Crítico")))</f>
        <v/>
      </c>
      <c r="AD81" s="13">
        <f>IF(G81=0,"🚫  Inh. vigente OSCE","")</f>
        <v/>
      </c>
      <c r="AE81" s="22">
        <f>IFERROR(MATRIZ_174!W80,0)</f>
        <v/>
      </c>
      <c r="AF81" s="22">
        <f>IFERROR(MATRIZ_174!X80,0)</f>
        <v/>
      </c>
      <c r="AG81" s="22">
        <f>IFERROR(MATRIZ_174!Y80,0)</f>
        <v/>
      </c>
      <c r="AH81" s="22">
        <f>IFERROR(MATRIZ_174!Z80,0)</f>
        <v/>
      </c>
      <c r="AI81" s="17">
        <f>IFERROR(MATRIZ_174!AP80,"N/A")</f>
        <v/>
      </c>
      <c r="AJ81" s="17">
        <f>IFERROR(MATRIZ_174!AO80,"N/A")</f>
        <v/>
      </c>
      <c r="AK81" s="23">
        <f>IFERROR(ROUND(POWER((E81*F81*G81*H81*I81*J81*K81),1/7)*0.875+((L81+M81)/2)*0.125,1),"N/A")</f>
        <v/>
      </c>
      <c r="AL81" s="24">
        <f>IFERROR(IF(OR(AK81="N/A",AI81="N/A"),"N/A",ROUND(0.7*AK81+0.3*AI81*100,1)),"N/A")</f>
        <v/>
      </c>
    </row>
    <row r="82" ht="16.05" customHeight="1" s="37">
      <c r="A82" s="13" t="inlineStr">
        <is>
          <t>20564032485</t>
        </is>
      </c>
      <c r="B82" s="14" t="inlineStr">
        <is>
          <t>ASOCIACION DE PRODUCTORES ECOLOGICOS DE CACAO MEDIO URUBAMBA</t>
        </is>
      </c>
      <c r="C82" s="13" t="inlineStr">
        <is>
          <t>CUSCO</t>
        </is>
      </c>
      <c r="D82" s="15" t="n">
        <v>0</v>
      </c>
      <c r="E82" s="16" t="n">
        <v>0</v>
      </c>
      <c r="F82" s="17">
        <f>IFERROR(SCORECARDS!H81,"")</f>
        <v/>
      </c>
      <c r="G82" s="17">
        <f>IFERROR(MATRIZ_174!U81,0)</f>
        <v/>
      </c>
      <c r="H82" s="16" t="n">
        <v>0</v>
      </c>
      <c r="I82" s="17">
        <f>IFERROR(SCORECARDS!I81,"")</f>
        <v/>
      </c>
      <c r="J82" s="17">
        <f>IFERROR(SCORECARDS!J81,"")</f>
        <v/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7">
        <f>IFERROR(F82,0)</f>
        <v/>
      </c>
      <c r="Q82" s="17">
        <f>IFERROR(SQRT(G82*H82),0)</f>
        <v/>
      </c>
      <c r="R82" s="17">
        <f>IFERROR((I82+J82+L82)/3,0)</f>
        <v/>
      </c>
      <c r="S82" s="17">
        <f>IFERROR((J82+F82)/2,0)</f>
        <v/>
      </c>
      <c r="T82" s="17">
        <f>IFERROR((K82+M82+MATRIZ_174!O81)/3,0)</f>
        <v/>
      </c>
      <c r="U82" s="18">
        <f>IFERROR(MIN(100,ROUND(MATRIZ_174!M81,1)),0)</f>
        <v/>
      </c>
      <c r="V82" s="18">
        <f>IFERROR(IF(E82=0,50,E82),0)</f>
        <v/>
      </c>
      <c r="W82" s="18">
        <f>IFERROR(IF(MATRIZ_174!R81=0,65,IF(MATRIZ_174!R81/MATRIZ_174!Q81&gt;=2,35,IF(MATRIZ_174!R81/MATRIZ_174!Q81&gt;=0.5,50,65))),65)</f>
        <v/>
      </c>
      <c r="X82" s="18">
        <f>IF(MATRIZ_174!O81=0,70,30)</f>
        <v/>
      </c>
      <c r="Y82" s="18">
        <f>IF(OR(MATRIZ_174!P81="ASOCIACION",MATRIZ_174!P81="PENDIENTE"),65,40)</f>
        <v/>
      </c>
      <c r="Z82" s="19">
        <f>IFERROR(ROUND(AVERAGE(P82,Q82,R82,S82,T82),1),0)</f>
        <v/>
      </c>
      <c r="AA82" s="20">
        <f>IFERROR(ROUND(AVERAGE(U82,V82,W82,X82,Y82),1),0)</f>
        <v/>
      </c>
      <c r="AB82" s="21">
        <f>IFERROR(ROUND(AA82*(1-Z82/100),1),0)</f>
        <v/>
      </c>
      <c r="AC82" s="13">
        <f>IF(AND(Z82&gt;=50,AA82&lt;50),"🟢  Resilientes",IF(AND(Z82&gt;=50,AA82&gt;=50),"🟠  Expuestas Adaptables",IF(AND(Z82&lt;50,AA82&lt;50),"⬜  Riesgo Latente","🔴  Riesgo Crítico")))</f>
        <v/>
      </c>
      <c r="AD82" s="13">
        <f>IF(G82=0,"🚫  Inh. vigente OSCE","")</f>
        <v/>
      </c>
      <c r="AE82" s="22">
        <f>IFERROR(MATRIZ_174!W81,0)</f>
        <v/>
      </c>
      <c r="AF82" s="22">
        <f>IFERROR(MATRIZ_174!X81,0)</f>
        <v/>
      </c>
      <c r="AG82" s="22">
        <f>IFERROR(MATRIZ_174!Y81,0)</f>
        <v/>
      </c>
      <c r="AH82" s="22">
        <f>IFERROR(MATRIZ_174!Z81,0)</f>
        <v/>
      </c>
      <c r="AI82" s="17">
        <f>IFERROR(MATRIZ_174!AP81,"N/A")</f>
        <v/>
      </c>
      <c r="AJ82" s="17">
        <f>IFERROR(MATRIZ_174!AO81,"N/A")</f>
        <v/>
      </c>
      <c r="AK82" s="23">
        <f>IFERROR(ROUND(POWER((E82*F82*G82*H82*I82*J82*K82),1/7)*0.875+((L82+M82)/2)*0.125,1),"N/A")</f>
        <v/>
      </c>
      <c r="AL82" s="24">
        <f>IFERROR(IF(OR(AK82="N/A",AI82="N/A"),"N/A",ROUND(0.7*AK82+0.3*AI82*100,1)),"N/A")</f>
        <v/>
      </c>
    </row>
    <row r="83" ht="16.05" customHeight="1" s="37">
      <c r="A83" s="13" t="inlineStr">
        <is>
          <t>20568071281</t>
        </is>
      </c>
      <c r="B83" s="14" t="inlineStr">
        <is>
          <t>COOPERATIVA AGRARIA CAFETALERA CEPRO YANESHA</t>
        </is>
      </c>
      <c r="C83" s="13" t="inlineStr">
        <is>
          <t>PASCO</t>
        </is>
      </c>
      <c r="D83" s="15" t="n">
        <v>717861.85</v>
      </c>
      <c r="E83" s="16" t="n">
        <v>0</v>
      </c>
      <c r="F83" s="17">
        <f>IFERROR(SCORECARDS!H82,"")</f>
        <v/>
      </c>
      <c r="G83" s="17">
        <f>IFERROR(MATRIZ_174!U82,0)</f>
        <v/>
      </c>
      <c r="H83" s="16" t="n">
        <v>0</v>
      </c>
      <c r="I83" s="17">
        <f>IFERROR(SCORECARDS!I82,"")</f>
        <v/>
      </c>
      <c r="J83" s="17">
        <f>IFERROR(SCORECARDS!J82,"")</f>
        <v/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7">
        <f>IFERROR(F83,0)</f>
        <v/>
      </c>
      <c r="Q83" s="17">
        <f>IFERROR(SQRT(G83*H83),0)</f>
        <v/>
      </c>
      <c r="R83" s="17">
        <f>IFERROR((I83+J83+L83)/3,0)</f>
        <v/>
      </c>
      <c r="S83" s="17">
        <f>IFERROR((J83+F83)/2,0)</f>
        <v/>
      </c>
      <c r="T83" s="17">
        <f>IFERROR((K83+M83+MATRIZ_174!O82)/3,0)</f>
        <v/>
      </c>
      <c r="U83" s="18">
        <f>IFERROR(MIN(100,ROUND(MATRIZ_174!M82,1)),0)</f>
        <v/>
      </c>
      <c r="V83" s="18">
        <f>IFERROR(IF(E83=0,50,E83),0)</f>
        <v/>
      </c>
      <c r="W83" s="18">
        <f>IFERROR(IF(MATRIZ_174!R82=0,65,IF(MATRIZ_174!R82/MATRIZ_174!Q82&gt;=2,35,IF(MATRIZ_174!R82/MATRIZ_174!Q82&gt;=0.5,50,65))),65)</f>
        <v/>
      </c>
      <c r="X83" s="18">
        <f>IF(MATRIZ_174!O82=0,70,30)</f>
        <v/>
      </c>
      <c r="Y83" s="18">
        <f>IF(OR(MATRIZ_174!P82="ASOCIACION",MATRIZ_174!P82="PENDIENTE"),65,40)</f>
        <v/>
      </c>
      <c r="Z83" s="19">
        <f>IFERROR(ROUND(AVERAGE(P83,Q83,R83,S83,T83),1),0)</f>
        <v/>
      </c>
      <c r="AA83" s="20">
        <f>IFERROR(ROUND(AVERAGE(U83,V83,W83,X83,Y83),1),0)</f>
        <v/>
      </c>
      <c r="AB83" s="21">
        <f>IFERROR(ROUND(AA83*(1-Z83/100),1),0)</f>
        <v/>
      </c>
      <c r="AC83" s="13">
        <f>IF(AND(Z83&gt;=50,AA83&lt;50),"🟢  Resilientes",IF(AND(Z83&gt;=50,AA83&gt;=50),"🟠  Expuestas Adaptables",IF(AND(Z83&lt;50,AA83&lt;50),"⬜  Riesgo Latente","🔴  Riesgo Crítico")))</f>
        <v/>
      </c>
      <c r="AD83" s="13">
        <f>IF(G83=0,"🚫  Inh. vigente OSCE","")</f>
        <v/>
      </c>
      <c r="AE83" s="22">
        <f>IFERROR(MATRIZ_174!W82,0)</f>
        <v/>
      </c>
      <c r="AF83" s="22">
        <f>IFERROR(MATRIZ_174!X82,0)</f>
        <v/>
      </c>
      <c r="AG83" s="22">
        <f>IFERROR(MATRIZ_174!Y82,0)</f>
        <v/>
      </c>
      <c r="AH83" s="22">
        <f>IFERROR(MATRIZ_174!Z82,0)</f>
        <v/>
      </c>
      <c r="AI83" s="17">
        <f>IFERROR(MATRIZ_174!AP82,"N/A")</f>
        <v/>
      </c>
      <c r="AJ83" s="17">
        <f>IFERROR(MATRIZ_174!AO82,"N/A")</f>
        <v/>
      </c>
      <c r="AK83" s="23">
        <f>IFERROR(ROUND(POWER((E83*F83*G83*H83*I83*J83*K83),1/7)*0.875+((L83+M83)/2)*0.125,1),"N/A")</f>
        <v/>
      </c>
      <c r="AL83" s="24">
        <f>IFERROR(IF(OR(AK83="N/A",AI83="N/A"),"N/A",ROUND(0.7*AK83+0.3*AI83*100,1)),"N/A")</f>
        <v/>
      </c>
    </row>
    <row r="84" ht="16.05" customHeight="1" s="37">
      <c r="A84" s="13" t="inlineStr">
        <is>
          <t>20568080948</t>
        </is>
      </c>
      <c r="B84" s="14" t="inlineStr">
        <is>
          <t>CONSEJO REGULADOR DE LA DENOMINACION DE ORIGEN CAFE VILLA RI</t>
        </is>
      </c>
      <c r="C84" s="13" t="inlineStr">
        <is>
          <t>PASCO</t>
        </is>
      </c>
      <c r="D84" s="15" t="n">
        <v>0</v>
      </c>
      <c r="E84" s="16" t="n">
        <v>0</v>
      </c>
      <c r="F84" s="17">
        <f>IFERROR(SCORECARDS!H83,"")</f>
        <v/>
      </c>
      <c r="G84" s="17">
        <f>IFERROR(MATRIZ_174!U83,0)</f>
        <v/>
      </c>
      <c r="H84" s="16" t="n">
        <v>0</v>
      </c>
      <c r="I84" s="17">
        <f>IFERROR(SCORECARDS!I83,"")</f>
        <v/>
      </c>
      <c r="J84" s="17">
        <f>IFERROR(SCORECARDS!J83,"")</f>
        <v/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7">
        <f>IFERROR(F84,0)</f>
        <v/>
      </c>
      <c r="Q84" s="17">
        <f>IFERROR(SQRT(G84*H84),0)</f>
        <v/>
      </c>
      <c r="R84" s="17">
        <f>IFERROR((I84+J84+L84)/3,0)</f>
        <v/>
      </c>
      <c r="S84" s="17">
        <f>IFERROR((J84+F84)/2,0)</f>
        <v/>
      </c>
      <c r="T84" s="17">
        <f>IFERROR((K84+M84+MATRIZ_174!O83)/3,0)</f>
        <v/>
      </c>
      <c r="U84" s="18">
        <f>IFERROR(MIN(100,ROUND(MATRIZ_174!M83,1)),0)</f>
        <v/>
      </c>
      <c r="V84" s="18">
        <f>IFERROR(IF(E84=0,50,E84),0)</f>
        <v/>
      </c>
      <c r="W84" s="18">
        <f>IFERROR(IF(MATRIZ_174!R83=0,65,IF(MATRIZ_174!R83/MATRIZ_174!Q83&gt;=2,35,IF(MATRIZ_174!R83/MATRIZ_174!Q83&gt;=0.5,50,65))),65)</f>
        <v/>
      </c>
      <c r="X84" s="18">
        <f>IF(MATRIZ_174!O83=0,70,30)</f>
        <v/>
      </c>
      <c r="Y84" s="18">
        <f>IF(OR(MATRIZ_174!P83="ASOCIACION",MATRIZ_174!P83="PENDIENTE"),65,40)</f>
        <v/>
      </c>
      <c r="Z84" s="19">
        <f>IFERROR(ROUND(AVERAGE(P84,Q84,R84,S84,T84),1),0)</f>
        <v/>
      </c>
      <c r="AA84" s="20">
        <f>IFERROR(ROUND(AVERAGE(U84,V84,W84,X84,Y84),1),0)</f>
        <v/>
      </c>
      <c r="AB84" s="21">
        <f>IFERROR(ROUND(AA84*(1-Z84/100),1),0)</f>
        <v/>
      </c>
      <c r="AC84" s="13">
        <f>IF(AND(Z84&gt;=50,AA84&lt;50),"🟢  Resilientes",IF(AND(Z84&gt;=50,AA84&gt;=50),"🟠  Expuestas Adaptables",IF(AND(Z84&lt;50,AA84&lt;50),"⬜  Riesgo Latente","🔴  Riesgo Crítico")))</f>
        <v/>
      </c>
      <c r="AD84" s="13">
        <f>IF(G84=0,"🚫  Inh. vigente OSCE","")</f>
        <v/>
      </c>
      <c r="AE84" s="22">
        <f>IFERROR(MATRIZ_174!W83,0)</f>
        <v/>
      </c>
      <c r="AF84" s="22">
        <f>IFERROR(MATRIZ_174!X83,0)</f>
        <v/>
      </c>
      <c r="AG84" s="22">
        <f>IFERROR(MATRIZ_174!Y83,0)</f>
        <v/>
      </c>
      <c r="AH84" s="22">
        <f>IFERROR(MATRIZ_174!Z83,0)</f>
        <v/>
      </c>
      <c r="AI84" s="17">
        <f>IFERROR(MATRIZ_174!AP83,"N/A")</f>
        <v/>
      </c>
      <c r="AJ84" s="17">
        <f>IFERROR(MATRIZ_174!AO83,"N/A")</f>
        <v/>
      </c>
      <c r="AK84" s="23">
        <f>IFERROR(ROUND(POWER((E84*F84*G84*H84*I84*J84*K84),1/7)*0.875+((L84+M84)/2)*0.125,1),"N/A")</f>
        <v/>
      </c>
      <c r="AL84" s="24">
        <f>IFERROR(IF(OR(AK84="N/A",AI84="N/A"),"N/A",ROUND(0.7*AK84+0.3*AI84*100,1)),"N/A")</f>
        <v/>
      </c>
    </row>
    <row r="85" ht="16.05" customHeight="1" s="37">
      <c r="A85" s="13" t="inlineStr">
        <is>
          <t>20568190450</t>
        </is>
      </c>
      <c r="B85" s="14" t="inlineStr">
        <is>
          <t>COOPERATIVA AGRARIA KEMITO ENE LTDA. - KEMITO ENE</t>
        </is>
      </c>
      <c r="C85" s="13" t="inlineStr">
        <is>
          <t>JUNIN</t>
        </is>
      </c>
      <c r="D85" s="15" t="n">
        <v>0</v>
      </c>
      <c r="E85" s="16" t="n">
        <v>0</v>
      </c>
      <c r="F85" s="17">
        <f>IFERROR(SCORECARDS!H84,"")</f>
        <v/>
      </c>
      <c r="G85" s="17">
        <f>IFERROR(MATRIZ_174!U84,0)</f>
        <v/>
      </c>
      <c r="H85" s="16" t="n">
        <v>0</v>
      </c>
      <c r="I85" s="17">
        <f>IFERROR(SCORECARDS!I84,"")</f>
        <v/>
      </c>
      <c r="J85" s="17">
        <f>IFERROR(SCORECARDS!J84,"")</f>
        <v/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7">
        <f>IFERROR(F85,0)</f>
        <v/>
      </c>
      <c r="Q85" s="17">
        <f>IFERROR(SQRT(G85*H85),0)</f>
        <v/>
      </c>
      <c r="R85" s="17">
        <f>IFERROR((I85+J85+L85)/3,0)</f>
        <v/>
      </c>
      <c r="S85" s="17">
        <f>IFERROR((J85+F85)/2,0)</f>
        <v/>
      </c>
      <c r="T85" s="17">
        <f>IFERROR((K85+M85+MATRIZ_174!O84)/3,0)</f>
        <v/>
      </c>
      <c r="U85" s="18">
        <f>IFERROR(MIN(100,ROUND(MATRIZ_174!M84,1)),0)</f>
        <v/>
      </c>
      <c r="V85" s="18">
        <f>IFERROR(IF(E85=0,50,E85),0)</f>
        <v/>
      </c>
      <c r="W85" s="18">
        <f>IFERROR(IF(MATRIZ_174!R84=0,65,IF(MATRIZ_174!R84/MATRIZ_174!Q84&gt;=2,35,IF(MATRIZ_174!R84/MATRIZ_174!Q84&gt;=0.5,50,65))),65)</f>
        <v/>
      </c>
      <c r="X85" s="18">
        <f>IF(MATRIZ_174!O84=0,70,30)</f>
        <v/>
      </c>
      <c r="Y85" s="18">
        <f>IF(OR(MATRIZ_174!P84="ASOCIACION",MATRIZ_174!P84="PENDIENTE"),65,40)</f>
        <v/>
      </c>
      <c r="Z85" s="19">
        <f>IFERROR(ROUND(AVERAGE(P85,Q85,R85,S85,T85),1),0)</f>
        <v/>
      </c>
      <c r="AA85" s="20">
        <f>IFERROR(ROUND(AVERAGE(U85,V85,W85,X85,Y85),1),0)</f>
        <v/>
      </c>
      <c r="AB85" s="21">
        <f>IFERROR(ROUND(AA85*(1-Z85/100),1),0)</f>
        <v/>
      </c>
      <c r="AC85" s="13">
        <f>IF(AND(Z85&gt;=50,AA85&lt;50),"🟢  Resilientes",IF(AND(Z85&gt;=50,AA85&gt;=50),"🟠  Expuestas Adaptables",IF(AND(Z85&lt;50,AA85&lt;50),"⬜  Riesgo Latente","🔴  Riesgo Crítico")))</f>
        <v/>
      </c>
      <c r="AD85" s="13">
        <f>IF(G85=0,"🚫  Inh. vigente OSCE","")</f>
        <v/>
      </c>
      <c r="AE85" s="22">
        <f>IFERROR(MATRIZ_174!W84,0)</f>
        <v/>
      </c>
      <c r="AF85" s="22">
        <f>IFERROR(MATRIZ_174!X84,0)</f>
        <v/>
      </c>
      <c r="AG85" s="22">
        <f>IFERROR(MATRIZ_174!Y84,0)</f>
        <v/>
      </c>
      <c r="AH85" s="22">
        <f>IFERROR(MATRIZ_174!Z84,0)</f>
        <v/>
      </c>
      <c r="AI85" s="17">
        <f>IFERROR(MATRIZ_174!AP84,"N/A")</f>
        <v/>
      </c>
      <c r="AJ85" s="17">
        <f>IFERROR(MATRIZ_174!AO84,"N/A")</f>
        <v/>
      </c>
      <c r="AK85" s="23">
        <f>IFERROR(ROUND(POWER((E85*F85*G85*H85*I85*J85*K85),1/7)*0.875+((L85+M85)/2)*0.125,1),"N/A")</f>
        <v/>
      </c>
      <c r="AL85" s="24">
        <f>IFERROR(IF(OR(AK85="N/A",AI85="N/A"),"N/A",ROUND(0.7*AK85+0.3*AI85*100,1)),"N/A")</f>
        <v/>
      </c>
    </row>
    <row r="86" ht="16.05" customHeight="1" s="37">
      <c r="A86" s="13" t="inlineStr">
        <is>
          <t>20568194951</t>
        </is>
      </c>
      <c r="B86" s="14" t="inlineStr">
        <is>
          <t>ASOCIACION DE PRODUCTORES AGROSOSTENIBLES VILLA ECOLOGICA PE</t>
        </is>
      </c>
      <c r="C86" s="13" t="inlineStr">
        <is>
          <t>JUNIN</t>
        </is>
      </c>
      <c r="D86" s="15" t="n">
        <v>2677512.61</v>
      </c>
      <c r="E86" s="16" t="n">
        <v>0</v>
      </c>
      <c r="F86" s="17">
        <f>IFERROR(SCORECARDS!H85,"")</f>
        <v/>
      </c>
      <c r="G86" s="17">
        <f>IFERROR(MATRIZ_174!U85,0)</f>
        <v/>
      </c>
      <c r="H86" s="16" t="n">
        <v>0</v>
      </c>
      <c r="I86" s="17">
        <f>IFERROR(SCORECARDS!I85,"")</f>
        <v/>
      </c>
      <c r="J86" s="17">
        <f>IFERROR(SCORECARDS!J85,"")</f>
        <v/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7">
        <f>IFERROR(F86,0)</f>
        <v/>
      </c>
      <c r="Q86" s="17">
        <f>IFERROR(SQRT(G86*H86),0)</f>
        <v/>
      </c>
      <c r="R86" s="17">
        <f>IFERROR((I86+J86+L86)/3,0)</f>
        <v/>
      </c>
      <c r="S86" s="17">
        <f>IFERROR((J86+F86)/2,0)</f>
        <v/>
      </c>
      <c r="T86" s="17">
        <f>IFERROR((K86+M86+MATRIZ_174!O85)/3,0)</f>
        <v/>
      </c>
      <c r="U86" s="18">
        <f>IFERROR(MIN(100,ROUND(MATRIZ_174!M85,1)),0)</f>
        <v/>
      </c>
      <c r="V86" s="18">
        <f>IFERROR(IF(E86=0,50,E86),0)</f>
        <v/>
      </c>
      <c r="W86" s="18">
        <f>IFERROR(IF(MATRIZ_174!R85=0,65,IF(MATRIZ_174!R85/MATRIZ_174!Q85&gt;=2,35,IF(MATRIZ_174!R85/MATRIZ_174!Q85&gt;=0.5,50,65))),65)</f>
        <v/>
      </c>
      <c r="X86" s="18">
        <f>IF(MATRIZ_174!O85=0,70,30)</f>
        <v/>
      </c>
      <c r="Y86" s="18">
        <f>IF(OR(MATRIZ_174!P85="ASOCIACION",MATRIZ_174!P85="PENDIENTE"),65,40)</f>
        <v/>
      </c>
      <c r="Z86" s="19">
        <f>IFERROR(ROUND(AVERAGE(P86,Q86,R86,S86,T86),1),0)</f>
        <v/>
      </c>
      <c r="AA86" s="20">
        <f>IFERROR(ROUND(AVERAGE(U86,V86,W86,X86,Y86),1),0)</f>
        <v/>
      </c>
      <c r="AB86" s="21">
        <f>IFERROR(ROUND(AA86*(1-Z86/100),1),0)</f>
        <v/>
      </c>
      <c r="AC86" s="13">
        <f>IF(AND(Z86&gt;=50,AA86&lt;50),"🟢  Resilientes",IF(AND(Z86&gt;=50,AA86&gt;=50),"🟠  Expuestas Adaptables",IF(AND(Z86&lt;50,AA86&lt;50),"⬜  Riesgo Latente","🔴  Riesgo Crítico")))</f>
        <v/>
      </c>
      <c r="AD86" s="13">
        <f>IF(G86=0,"🚫  Inh. vigente OSCE","")</f>
        <v/>
      </c>
      <c r="AE86" s="22">
        <f>IFERROR(MATRIZ_174!W85,0)</f>
        <v/>
      </c>
      <c r="AF86" s="22">
        <f>IFERROR(MATRIZ_174!X85,0)</f>
        <v/>
      </c>
      <c r="AG86" s="22">
        <f>IFERROR(MATRIZ_174!Y85,0)</f>
        <v/>
      </c>
      <c r="AH86" s="22">
        <f>IFERROR(MATRIZ_174!Z85,0)</f>
        <v/>
      </c>
      <c r="AI86" s="17">
        <f>IFERROR(MATRIZ_174!AP85,"N/A")</f>
        <v/>
      </c>
      <c r="AJ86" s="17">
        <f>IFERROR(MATRIZ_174!AO85,"N/A")</f>
        <v/>
      </c>
      <c r="AK86" s="23">
        <f>IFERROR(ROUND(POWER((E86*F86*G86*H86*I86*J86*K86),1/7)*0.875+((L86+M86)/2)*0.125,1),"N/A")</f>
        <v/>
      </c>
      <c r="AL86" s="24">
        <f>IFERROR(IF(OR(AK86="N/A",AI86="N/A"),"N/A",ROUND(0.7*AK86+0.3*AI86*100,1)),"N/A")</f>
        <v/>
      </c>
    </row>
    <row r="87" ht="16.05" customHeight="1" s="37">
      <c r="A87" s="13" t="inlineStr">
        <is>
          <t>20568428375</t>
        </is>
      </c>
      <c r="B87" s="14" t="inlineStr">
        <is>
          <t>COOPERATIVA AGRARIA ASHANINKA DEL VALLE PICHIS</t>
        </is>
      </c>
      <c r="C87" s="13" t="inlineStr">
        <is>
          <t>PASCO</t>
        </is>
      </c>
      <c r="D87" s="15" t="n">
        <v>0</v>
      </c>
      <c r="E87" s="16" t="n">
        <v>0</v>
      </c>
      <c r="F87" s="17">
        <f>IFERROR(SCORECARDS!H86,"")</f>
        <v/>
      </c>
      <c r="G87" s="17">
        <f>IFERROR(MATRIZ_174!U86,0)</f>
        <v/>
      </c>
      <c r="H87" s="16" t="n">
        <v>0</v>
      </c>
      <c r="I87" s="17">
        <f>IFERROR(SCORECARDS!I86,"")</f>
        <v/>
      </c>
      <c r="J87" s="17">
        <f>IFERROR(SCORECARDS!J86,"")</f>
        <v/>
      </c>
      <c r="K87" s="16" t="n">
        <v>0</v>
      </c>
      <c r="L87" s="16" t="n">
        <v>0</v>
      </c>
      <c r="M87" s="16" t="n">
        <v>0</v>
      </c>
      <c r="N87" s="16" t="n">
        <v>0</v>
      </c>
      <c r="O87" s="16" t="n">
        <v>0</v>
      </c>
      <c r="P87" s="17">
        <f>IFERROR(F87,0)</f>
        <v/>
      </c>
      <c r="Q87" s="17">
        <f>IFERROR(SQRT(G87*H87),0)</f>
        <v/>
      </c>
      <c r="R87" s="17">
        <f>IFERROR((I87+J87+L87)/3,0)</f>
        <v/>
      </c>
      <c r="S87" s="17">
        <f>IFERROR((J87+F87)/2,0)</f>
        <v/>
      </c>
      <c r="T87" s="17">
        <f>IFERROR((K87+M87+MATRIZ_174!O86)/3,0)</f>
        <v/>
      </c>
      <c r="U87" s="18">
        <f>IFERROR(MIN(100,ROUND(MATRIZ_174!M86,1)),0)</f>
        <v/>
      </c>
      <c r="V87" s="18">
        <f>IFERROR(IF(E87=0,50,E87),0)</f>
        <v/>
      </c>
      <c r="W87" s="18">
        <f>IFERROR(IF(MATRIZ_174!R86=0,65,IF(MATRIZ_174!R86/MATRIZ_174!Q86&gt;=2,35,IF(MATRIZ_174!R86/MATRIZ_174!Q86&gt;=0.5,50,65))),65)</f>
        <v/>
      </c>
      <c r="X87" s="18">
        <f>IF(MATRIZ_174!O86=0,70,30)</f>
        <v/>
      </c>
      <c r="Y87" s="18">
        <f>IF(OR(MATRIZ_174!P86="ASOCIACION",MATRIZ_174!P86="PENDIENTE"),65,40)</f>
        <v/>
      </c>
      <c r="Z87" s="19">
        <f>IFERROR(ROUND(AVERAGE(P87,Q87,R87,S87,T87),1),0)</f>
        <v/>
      </c>
      <c r="AA87" s="20">
        <f>IFERROR(ROUND(AVERAGE(U87,V87,W87,X87,Y87),1),0)</f>
        <v/>
      </c>
      <c r="AB87" s="21">
        <f>IFERROR(ROUND(AA87*(1-Z87/100),1),0)</f>
        <v/>
      </c>
      <c r="AC87" s="13">
        <f>IF(AND(Z87&gt;=50,AA87&lt;50),"🟢  Resilientes",IF(AND(Z87&gt;=50,AA87&gt;=50),"🟠  Expuestas Adaptables",IF(AND(Z87&lt;50,AA87&lt;50),"⬜  Riesgo Latente","🔴  Riesgo Crítico")))</f>
        <v/>
      </c>
      <c r="AD87" s="13">
        <f>IF(G87=0,"🚫  Inh. vigente OSCE","")</f>
        <v/>
      </c>
      <c r="AE87" s="22">
        <f>IFERROR(MATRIZ_174!W86,0)</f>
        <v/>
      </c>
      <c r="AF87" s="22">
        <f>IFERROR(MATRIZ_174!X86,0)</f>
        <v/>
      </c>
      <c r="AG87" s="22">
        <f>IFERROR(MATRIZ_174!Y86,0)</f>
        <v/>
      </c>
      <c r="AH87" s="22">
        <f>IFERROR(MATRIZ_174!Z86,0)</f>
        <v/>
      </c>
      <c r="AI87" s="17">
        <f>IFERROR(MATRIZ_174!AP86,"N/A")</f>
        <v/>
      </c>
      <c r="AJ87" s="17">
        <f>IFERROR(MATRIZ_174!AO86,"N/A")</f>
        <v/>
      </c>
      <c r="AK87" s="23">
        <f>IFERROR(ROUND(POWER((E87*F87*G87*H87*I87*J87*K87),1/7)*0.875+((L87+M87)/2)*0.125,1),"N/A")</f>
        <v/>
      </c>
      <c r="AL87" s="24">
        <f>IFERROR(IF(OR(AK87="N/A",AI87="N/A"),"N/A",ROUND(0.7*AK87+0.3*AI87*100,1)),"N/A")</f>
        <v/>
      </c>
    </row>
    <row r="88" ht="16.05" customHeight="1" s="37">
      <c r="A88" s="13" t="inlineStr">
        <is>
          <t>20568549083</t>
        </is>
      </c>
      <c r="B88" s="14" t="inlineStr">
        <is>
          <t>COOPERATIVA AGRARIA INDUSTRIAL APASC SANCORE-PALCAZU LTDA</t>
        </is>
      </c>
      <c r="C88" s="13" t="inlineStr">
        <is>
          <t>PASCO</t>
        </is>
      </c>
      <c r="D88" s="15" t="n">
        <v>0</v>
      </c>
      <c r="E88" s="16" t="n">
        <v>0</v>
      </c>
      <c r="F88" s="17">
        <f>IFERROR(SCORECARDS!H87,"")</f>
        <v/>
      </c>
      <c r="G88" s="17">
        <f>IFERROR(MATRIZ_174!U87,0)</f>
        <v/>
      </c>
      <c r="H88" s="16" t="n">
        <v>0</v>
      </c>
      <c r="I88" s="17">
        <f>IFERROR(SCORECARDS!I87,"")</f>
        <v/>
      </c>
      <c r="J88" s="17">
        <f>IFERROR(SCORECARDS!J87,"")</f>
        <v/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7">
        <f>IFERROR(F88,0)</f>
        <v/>
      </c>
      <c r="Q88" s="17">
        <f>IFERROR(SQRT(G88*H88),0)</f>
        <v/>
      </c>
      <c r="R88" s="17">
        <f>IFERROR((I88+J88+L88)/3,0)</f>
        <v/>
      </c>
      <c r="S88" s="17">
        <f>IFERROR((J88+F88)/2,0)</f>
        <v/>
      </c>
      <c r="T88" s="17">
        <f>IFERROR((K88+M88+MATRIZ_174!O87)/3,0)</f>
        <v/>
      </c>
      <c r="U88" s="18">
        <f>IFERROR(MIN(100,ROUND(MATRIZ_174!M87,1)),0)</f>
        <v/>
      </c>
      <c r="V88" s="18">
        <f>IFERROR(IF(E88=0,50,E88),0)</f>
        <v/>
      </c>
      <c r="W88" s="18">
        <f>IFERROR(IF(MATRIZ_174!R87=0,65,IF(MATRIZ_174!R87/MATRIZ_174!Q87&gt;=2,35,IF(MATRIZ_174!R87/MATRIZ_174!Q87&gt;=0.5,50,65))),65)</f>
        <v/>
      </c>
      <c r="X88" s="18">
        <f>IF(MATRIZ_174!O87=0,70,30)</f>
        <v/>
      </c>
      <c r="Y88" s="18">
        <f>IF(OR(MATRIZ_174!P87="ASOCIACION",MATRIZ_174!P87="PENDIENTE"),65,40)</f>
        <v/>
      </c>
      <c r="Z88" s="19">
        <f>IFERROR(ROUND(AVERAGE(P88,Q88,R88,S88,T88),1),0)</f>
        <v/>
      </c>
      <c r="AA88" s="20">
        <f>IFERROR(ROUND(AVERAGE(U88,V88,W88,X88,Y88),1),0)</f>
        <v/>
      </c>
      <c r="AB88" s="21">
        <f>IFERROR(ROUND(AA88*(1-Z88/100),1),0)</f>
        <v/>
      </c>
      <c r="AC88" s="13">
        <f>IF(AND(Z88&gt;=50,AA88&lt;50),"🟢  Resilientes",IF(AND(Z88&gt;=50,AA88&gt;=50),"🟠  Expuestas Adaptables",IF(AND(Z88&lt;50,AA88&lt;50),"⬜  Riesgo Latente","🔴  Riesgo Crítico")))</f>
        <v/>
      </c>
      <c r="AD88" s="13">
        <f>IF(G88=0,"🚫  Inh. vigente OSCE","")</f>
        <v/>
      </c>
      <c r="AE88" s="22">
        <f>IFERROR(MATRIZ_174!W87,0)</f>
        <v/>
      </c>
      <c r="AF88" s="22">
        <f>IFERROR(MATRIZ_174!X87,0)</f>
        <v/>
      </c>
      <c r="AG88" s="22">
        <f>IFERROR(MATRIZ_174!Y87,0)</f>
        <v/>
      </c>
      <c r="AH88" s="22">
        <f>IFERROR(MATRIZ_174!Z87,0)</f>
        <v/>
      </c>
      <c r="AI88" s="17">
        <f>IFERROR(MATRIZ_174!AP87,"N/A")</f>
        <v/>
      </c>
      <c r="AJ88" s="17">
        <f>IFERROR(MATRIZ_174!AO87,"N/A")</f>
        <v/>
      </c>
      <c r="AK88" s="23">
        <f>IFERROR(ROUND(POWER((E88*F88*G88*H88*I88*J88*K88),1/7)*0.875+((L88+M88)/2)*0.125,1),"N/A")</f>
        <v/>
      </c>
      <c r="AL88" s="24">
        <f>IFERROR(IF(OR(AK88="N/A",AI88="N/A"),"N/A",ROUND(0.7*AK88+0.3*AI88*100,1)),"N/A")</f>
        <v/>
      </c>
    </row>
    <row r="89" ht="16.05" customHeight="1" s="37">
      <c r="A89" s="13" t="inlineStr">
        <is>
          <t>20568560133</t>
        </is>
      </c>
      <c r="B89" s="14" t="inlineStr">
        <is>
          <t>COOPERATIVA AGRARIA ECOLOGICO ALTO PALCAZU LAGUNA RAYA</t>
        </is>
      </c>
      <c r="C89" s="13" t="inlineStr">
        <is>
          <t>PASCO</t>
        </is>
      </c>
      <c r="D89" s="15" t="n">
        <v>0</v>
      </c>
      <c r="E89" s="16" t="n">
        <v>0</v>
      </c>
      <c r="F89" s="17">
        <f>IFERROR(SCORECARDS!H88,"")</f>
        <v/>
      </c>
      <c r="G89" s="17">
        <f>IFERROR(MATRIZ_174!U88,0)</f>
        <v/>
      </c>
      <c r="H89" s="16" t="n">
        <v>0</v>
      </c>
      <c r="I89" s="17">
        <f>IFERROR(SCORECARDS!I88,"")</f>
        <v/>
      </c>
      <c r="J89" s="17">
        <f>IFERROR(SCORECARDS!J88,"")</f>
        <v/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7">
        <f>IFERROR(F89,0)</f>
        <v/>
      </c>
      <c r="Q89" s="17">
        <f>IFERROR(SQRT(G89*H89),0)</f>
        <v/>
      </c>
      <c r="R89" s="17">
        <f>IFERROR((I89+J89+L89)/3,0)</f>
        <v/>
      </c>
      <c r="S89" s="17">
        <f>IFERROR((J89+F89)/2,0)</f>
        <v/>
      </c>
      <c r="T89" s="17">
        <f>IFERROR((K89+M89+MATRIZ_174!O88)/3,0)</f>
        <v/>
      </c>
      <c r="U89" s="18">
        <f>IFERROR(MIN(100,ROUND(MATRIZ_174!M88,1)),0)</f>
        <v/>
      </c>
      <c r="V89" s="18">
        <f>IFERROR(IF(E89=0,50,E89),0)</f>
        <v/>
      </c>
      <c r="W89" s="18">
        <f>IFERROR(IF(MATRIZ_174!R88=0,65,IF(MATRIZ_174!R88/MATRIZ_174!Q88&gt;=2,35,IF(MATRIZ_174!R88/MATRIZ_174!Q88&gt;=0.5,50,65))),65)</f>
        <v/>
      </c>
      <c r="X89" s="18">
        <f>IF(MATRIZ_174!O88=0,70,30)</f>
        <v/>
      </c>
      <c r="Y89" s="18">
        <f>IF(OR(MATRIZ_174!P88="ASOCIACION",MATRIZ_174!P88="PENDIENTE"),65,40)</f>
        <v/>
      </c>
      <c r="Z89" s="19">
        <f>IFERROR(ROUND(AVERAGE(P89,Q89,R89,S89,T89),1),0)</f>
        <v/>
      </c>
      <c r="AA89" s="20">
        <f>IFERROR(ROUND(AVERAGE(U89,V89,W89,X89,Y89),1),0)</f>
        <v/>
      </c>
      <c r="AB89" s="21">
        <f>IFERROR(ROUND(AA89*(1-Z89/100),1),0)</f>
        <v/>
      </c>
      <c r="AC89" s="13">
        <f>IF(AND(Z89&gt;=50,AA89&lt;50),"🟢  Resilientes",IF(AND(Z89&gt;=50,AA89&gt;=50),"🟠  Expuestas Adaptables",IF(AND(Z89&lt;50,AA89&lt;50),"⬜  Riesgo Latente","🔴  Riesgo Crítico")))</f>
        <v/>
      </c>
      <c r="AD89" s="13">
        <f>IF(G89=0,"🚫  Inh. vigente OSCE","")</f>
        <v/>
      </c>
      <c r="AE89" s="22">
        <f>IFERROR(MATRIZ_174!W88,0)</f>
        <v/>
      </c>
      <c r="AF89" s="22">
        <f>IFERROR(MATRIZ_174!X88,0)</f>
        <v/>
      </c>
      <c r="AG89" s="22">
        <f>IFERROR(MATRIZ_174!Y88,0)</f>
        <v/>
      </c>
      <c r="AH89" s="22">
        <f>IFERROR(MATRIZ_174!Z88,0)</f>
        <v/>
      </c>
      <c r="AI89" s="17">
        <f>IFERROR(MATRIZ_174!AP88,"N/A")</f>
        <v/>
      </c>
      <c r="AJ89" s="17">
        <f>IFERROR(MATRIZ_174!AO88,"N/A")</f>
        <v/>
      </c>
      <c r="AK89" s="23">
        <f>IFERROR(ROUND(POWER((E89*F89*G89*H89*I89*J89*K89),1/7)*0.875+((L89+M89)/2)*0.125,1),"N/A")</f>
        <v/>
      </c>
      <c r="AL89" s="24">
        <f>IFERROR(IF(OR(AK89="N/A",AI89="N/A"),"N/A",ROUND(0.7*AK89+0.3*AI89*100,1)),"N/A")</f>
        <v/>
      </c>
    </row>
    <row r="90" ht="16.05" customHeight="1" s="37">
      <c r="A90" s="13" t="inlineStr">
        <is>
          <t>20568567731</t>
        </is>
      </c>
      <c r="B90" s="14" t="inlineStr">
        <is>
          <t>COOPERATIVA AGRARIA VILLA RICA GOLDEN COFFEE LTDA.</t>
        </is>
      </c>
      <c r="C90" s="13" t="inlineStr">
        <is>
          <t>PASCO</t>
        </is>
      </c>
      <c r="D90" s="15" t="n">
        <v>0</v>
      </c>
      <c r="E90" s="16" t="n">
        <v>0</v>
      </c>
      <c r="F90" s="17">
        <f>IFERROR(SCORECARDS!H89,"")</f>
        <v/>
      </c>
      <c r="G90" s="17">
        <f>IFERROR(MATRIZ_174!U89,0)</f>
        <v/>
      </c>
      <c r="H90" s="16" t="n">
        <v>0</v>
      </c>
      <c r="I90" s="17">
        <f>IFERROR(SCORECARDS!I89,"")</f>
        <v/>
      </c>
      <c r="J90" s="17">
        <f>IFERROR(SCORECARDS!J89,"")</f>
        <v/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7">
        <f>IFERROR(F90,0)</f>
        <v/>
      </c>
      <c r="Q90" s="17">
        <f>IFERROR(SQRT(G90*H90),0)</f>
        <v/>
      </c>
      <c r="R90" s="17">
        <f>IFERROR((I90+J90+L90)/3,0)</f>
        <v/>
      </c>
      <c r="S90" s="17">
        <f>IFERROR((J90+F90)/2,0)</f>
        <v/>
      </c>
      <c r="T90" s="17">
        <f>IFERROR((K90+M90+MATRIZ_174!O89)/3,0)</f>
        <v/>
      </c>
      <c r="U90" s="18">
        <f>IFERROR(MIN(100,ROUND(MATRIZ_174!M89,1)),0)</f>
        <v/>
      </c>
      <c r="V90" s="18">
        <f>IFERROR(IF(E90=0,50,E90),0)</f>
        <v/>
      </c>
      <c r="W90" s="18">
        <f>IFERROR(IF(MATRIZ_174!R89=0,65,IF(MATRIZ_174!R89/MATRIZ_174!Q89&gt;=2,35,IF(MATRIZ_174!R89/MATRIZ_174!Q89&gt;=0.5,50,65))),65)</f>
        <v/>
      </c>
      <c r="X90" s="18">
        <f>IF(MATRIZ_174!O89=0,70,30)</f>
        <v/>
      </c>
      <c r="Y90" s="18">
        <f>IF(OR(MATRIZ_174!P89="ASOCIACION",MATRIZ_174!P89="PENDIENTE"),65,40)</f>
        <v/>
      </c>
      <c r="Z90" s="19">
        <f>IFERROR(ROUND(AVERAGE(P90,Q90,R90,S90,T90),1),0)</f>
        <v/>
      </c>
      <c r="AA90" s="20">
        <f>IFERROR(ROUND(AVERAGE(U90,V90,W90,X90,Y90),1),0)</f>
        <v/>
      </c>
      <c r="AB90" s="21">
        <f>IFERROR(ROUND(AA90*(1-Z90/100),1),0)</f>
        <v/>
      </c>
      <c r="AC90" s="13">
        <f>IF(AND(Z90&gt;=50,AA90&lt;50),"🟢  Resilientes",IF(AND(Z90&gt;=50,AA90&gt;=50),"🟠  Expuestas Adaptables",IF(AND(Z90&lt;50,AA90&lt;50),"⬜  Riesgo Latente","🔴  Riesgo Crítico")))</f>
        <v/>
      </c>
      <c r="AD90" s="13">
        <f>IF(G90=0,"🚫  Inh. vigente OSCE","")</f>
        <v/>
      </c>
      <c r="AE90" s="22">
        <f>IFERROR(MATRIZ_174!W89,0)</f>
        <v/>
      </c>
      <c r="AF90" s="22">
        <f>IFERROR(MATRIZ_174!X89,0)</f>
        <v/>
      </c>
      <c r="AG90" s="22">
        <f>IFERROR(MATRIZ_174!Y89,0)</f>
        <v/>
      </c>
      <c r="AH90" s="22">
        <f>IFERROR(MATRIZ_174!Z89,0)</f>
        <v/>
      </c>
      <c r="AI90" s="17">
        <f>IFERROR(MATRIZ_174!AP89,"N/A")</f>
        <v/>
      </c>
      <c r="AJ90" s="17">
        <f>IFERROR(MATRIZ_174!AO89,"N/A")</f>
        <v/>
      </c>
      <c r="AK90" s="23">
        <f>IFERROR(ROUND(POWER((E90*F90*G90*H90*I90*J90*K90),1/7)*0.875+((L90+M90)/2)*0.125,1),"N/A")</f>
        <v/>
      </c>
      <c r="AL90" s="24">
        <f>IFERROR(IF(OR(AK90="N/A",AI90="N/A"),"N/A",ROUND(0.7*AK90+0.3*AI90*100,1)),"N/A")</f>
        <v/>
      </c>
    </row>
    <row r="91" ht="16.05" customHeight="1" s="37">
      <c r="A91" s="13" t="inlineStr">
        <is>
          <t>20568609833</t>
        </is>
      </c>
      <c r="B91" s="14" t="inlineStr">
        <is>
          <t xml:space="preserve">ASOCIACION DE MUJERES PRODUCTORAS ARTESANAS CACAO JENTARI - </t>
        </is>
      </c>
      <c r="C91" s="13" t="inlineStr">
        <is>
          <t>JUNIN</t>
        </is>
      </c>
      <c r="D91" s="15" t="n">
        <v>0</v>
      </c>
      <c r="E91" s="16" t="n">
        <v>0</v>
      </c>
      <c r="F91" s="17">
        <f>IFERROR(SCORECARDS!H90,"")</f>
        <v/>
      </c>
      <c r="G91" s="17">
        <f>IFERROR(MATRIZ_174!U90,0)</f>
        <v/>
      </c>
      <c r="H91" s="16" t="n">
        <v>0</v>
      </c>
      <c r="I91" s="17">
        <f>IFERROR(SCORECARDS!I90,"")</f>
        <v/>
      </c>
      <c r="J91" s="17">
        <f>IFERROR(SCORECARDS!J90,"")</f>
        <v/>
      </c>
      <c r="K91" s="16" t="n">
        <v>0</v>
      </c>
      <c r="L91" s="16" t="n">
        <v>0</v>
      </c>
      <c r="M91" s="16" t="n">
        <v>0</v>
      </c>
      <c r="N91" s="16" t="n">
        <v>0</v>
      </c>
      <c r="O91" s="16" t="n">
        <v>0</v>
      </c>
      <c r="P91" s="17">
        <f>IFERROR(F91,0)</f>
        <v/>
      </c>
      <c r="Q91" s="17">
        <f>IFERROR(SQRT(G91*H91),0)</f>
        <v/>
      </c>
      <c r="R91" s="17">
        <f>IFERROR((I91+J91+L91)/3,0)</f>
        <v/>
      </c>
      <c r="S91" s="17">
        <f>IFERROR((J91+F91)/2,0)</f>
        <v/>
      </c>
      <c r="T91" s="17">
        <f>IFERROR((K91+M91+MATRIZ_174!O90)/3,0)</f>
        <v/>
      </c>
      <c r="U91" s="18">
        <f>IFERROR(MIN(100,ROUND(MATRIZ_174!M90,1)),0)</f>
        <v/>
      </c>
      <c r="V91" s="18">
        <f>IFERROR(IF(E91=0,50,E91),0)</f>
        <v/>
      </c>
      <c r="W91" s="18">
        <f>IFERROR(IF(MATRIZ_174!R90=0,65,IF(MATRIZ_174!R90/MATRIZ_174!Q90&gt;=2,35,IF(MATRIZ_174!R90/MATRIZ_174!Q90&gt;=0.5,50,65))),65)</f>
        <v/>
      </c>
      <c r="X91" s="18">
        <f>IF(MATRIZ_174!O90=0,70,30)</f>
        <v/>
      </c>
      <c r="Y91" s="18">
        <f>IF(OR(MATRIZ_174!P90="ASOCIACION",MATRIZ_174!P90="PENDIENTE"),65,40)</f>
        <v/>
      </c>
      <c r="Z91" s="19">
        <f>IFERROR(ROUND(AVERAGE(P91,Q91,R91,S91,T91),1),0)</f>
        <v/>
      </c>
      <c r="AA91" s="20">
        <f>IFERROR(ROUND(AVERAGE(U91,V91,W91,X91,Y91),1),0)</f>
        <v/>
      </c>
      <c r="AB91" s="21">
        <f>IFERROR(ROUND(AA91*(1-Z91/100),1),0)</f>
        <v/>
      </c>
      <c r="AC91" s="13">
        <f>IF(AND(Z91&gt;=50,AA91&lt;50),"🟢  Resilientes",IF(AND(Z91&gt;=50,AA91&gt;=50),"🟠  Expuestas Adaptables",IF(AND(Z91&lt;50,AA91&lt;50),"⬜  Riesgo Latente","🔴  Riesgo Crítico")))</f>
        <v/>
      </c>
      <c r="AD91" s="13">
        <f>IF(G91=0,"🚫  Inh. vigente OSCE","")</f>
        <v/>
      </c>
      <c r="AE91" s="22">
        <f>IFERROR(MATRIZ_174!W90,0)</f>
        <v/>
      </c>
      <c r="AF91" s="22">
        <f>IFERROR(MATRIZ_174!X90,0)</f>
        <v/>
      </c>
      <c r="AG91" s="22">
        <f>IFERROR(MATRIZ_174!Y90,0)</f>
        <v/>
      </c>
      <c r="AH91" s="22">
        <f>IFERROR(MATRIZ_174!Z90,0)</f>
        <v/>
      </c>
      <c r="AI91" s="17">
        <f>IFERROR(MATRIZ_174!AP90,"N/A")</f>
        <v/>
      </c>
      <c r="AJ91" s="17">
        <f>IFERROR(MATRIZ_174!AO90,"N/A")</f>
        <v/>
      </c>
      <c r="AK91" s="23">
        <f>IFERROR(ROUND(POWER((E91*F91*G91*H91*I91*J91*K91),1/7)*0.875+((L91+M91)/2)*0.125,1),"N/A")</f>
        <v/>
      </c>
      <c r="AL91" s="24">
        <f>IFERROR(IF(OR(AK91="N/A",AI91="N/A"),"N/A",ROUND(0.7*AK91+0.3*AI91*100,1)),"N/A")</f>
        <v/>
      </c>
    </row>
    <row r="92" ht="16.05" customHeight="1" s="37">
      <c r="A92" s="13" t="inlineStr">
        <is>
          <t>20568962282</t>
        </is>
      </c>
      <c r="B92" s="14" t="inlineStr">
        <is>
          <t>ASOCIACIÓN DE PRODUCTORES CENTRO COFFEE</t>
        </is>
      </c>
      <c r="C92" s="13" t="inlineStr">
        <is>
          <t>JUNIN</t>
        </is>
      </c>
      <c r="D92" s="15" t="n">
        <v>0</v>
      </c>
      <c r="E92" s="16" t="n">
        <v>0</v>
      </c>
      <c r="F92" s="17">
        <f>IFERROR(SCORECARDS!H91,"")</f>
        <v/>
      </c>
      <c r="G92" s="17">
        <f>IFERROR(MATRIZ_174!U91,0)</f>
        <v/>
      </c>
      <c r="H92" s="16" t="n">
        <v>0</v>
      </c>
      <c r="I92" s="17">
        <f>IFERROR(SCORECARDS!I91,"")</f>
        <v/>
      </c>
      <c r="J92" s="17">
        <f>IFERROR(SCORECARDS!J91,"")</f>
        <v/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7">
        <f>IFERROR(F92,0)</f>
        <v/>
      </c>
      <c r="Q92" s="17">
        <f>IFERROR(SQRT(G92*H92),0)</f>
        <v/>
      </c>
      <c r="R92" s="17">
        <f>IFERROR((I92+J92+L92)/3,0)</f>
        <v/>
      </c>
      <c r="S92" s="17">
        <f>IFERROR((J92+F92)/2,0)</f>
        <v/>
      </c>
      <c r="T92" s="17">
        <f>IFERROR((K92+M92+MATRIZ_174!O91)/3,0)</f>
        <v/>
      </c>
      <c r="U92" s="18">
        <f>IFERROR(MIN(100,ROUND(MATRIZ_174!M91,1)),0)</f>
        <v/>
      </c>
      <c r="V92" s="18">
        <f>IFERROR(IF(E92=0,50,E92),0)</f>
        <v/>
      </c>
      <c r="W92" s="18">
        <f>IFERROR(IF(MATRIZ_174!R91=0,65,IF(MATRIZ_174!R91/MATRIZ_174!Q91&gt;=2,35,IF(MATRIZ_174!R91/MATRIZ_174!Q91&gt;=0.5,50,65))),65)</f>
        <v/>
      </c>
      <c r="X92" s="18">
        <f>IF(MATRIZ_174!O91=0,70,30)</f>
        <v/>
      </c>
      <c r="Y92" s="18">
        <f>IF(OR(MATRIZ_174!P91="ASOCIACION",MATRIZ_174!P91="PENDIENTE"),65,40)</f>
        <v/>
      </c>
      <c r="Z92" s="19">
        <f>IFERROR(ROUND(AVERAGE(P92,Q92,R92,S92,T92),1),0)</f>
        <v/>
      </c>
      <c r="AA92" s="20">
        <f>IFERROR(ROUND(AVERAGE(U92,V92,W92,X92,Y92),1),0)</f>
        <v/>
      </c>
      <c r="AB92" s="21">
        <f>IFERROR(ROUND(AA92*(1-Z92/100),1),0)</f>
        <v/>
      </c>
      <c r="AC92" s="13">
        <f>IF(AND(Z92&gt;=50,AA92&lt;50),"🟢  Resilientes",IF(AND(Z92&gt;=50,AA92&gt;=50),"🟠  Expuestas Adaptables",IF(AND(Z92&lt;50,AA92&lt;50),"⬜  Riesgo Latente","🔴  Riesgo Crítico")))</f>
        <v/>
      </c>
      <c r="AD92" s="13">
        <f>IF(G92=0,"🚫  Inh. vigente OSCE","")</f>
        <v/>
      </c>
      <c r="AE92" s="22">
        <f>IFERROR(MATRIZ_174!W91,0)</f>
        <v/>
      </c>
      <c r="AF92" s="22">
        <f>IFERROR(MATRIZ_174!X91,0)</f>
        <v/>
      </c>
      <c r="AG92" s="22">
        <f>IFERROR(MATRIZ_174!Y91,0)</f>
        <v/>
      </c>
      <c r="AH92" s="22">
        <f>IFERROR(MATRIZ_174!Z91,0)</f>
        <v/>
      </c>
      <c r="AI92" s="17">
        <f>IFERROR(MATRIZ_174!AP91,"N/A")</f>
        <v/>
      </c>
      <c r="AJ92" s="17">
        <f>IFERROR(MATRIZ_174!AO91,"N/A")</f>
        <v/>
      </c>
      <c r="AK92" s="23">
        <f>IFERROR(ROUND(POWER((E92*F92*G92*H92*I92*J92*K92),1/7)*0.875+((L92+M92)/2)*0.125,1),"N/A")</f>
        <v/>
      </c>
      <c r="AL92" s="24">
        <f>IFERROR(IF(OR(AK92="N/A",AI92="N/A"),"N/A",ROUND(0.7*AK92+0.3*AI92*100,1)),"N/A")</f>
        <v/>
      </c>
    </row>
    <row r="93" ht="16.05" customHeight="1" s="37">
      <c r="A93" s="13" t="inlineStr">
        <is>
          <t>20570706927</t>
        </is>
      </c>
      <c r="B93" s="14" t="inlineStr">
        <is>
          <t>COOPERATIVA AGRARIA RUTAS DEL INCA</t>
        </is>
      </c>
      <c r="C93" s="13" t="inlineStr">
        <is>
          <t>CAJAMARCA</t>
        </is>
      </c>
      <c r="D93" s="15" t="n">
        <v>4792670.9</v>
      </c>
      <c r="E93" s="16" t="n">
        <v>0</v>
      </c>
      <c r="F93" s="17">
        <f>IFERROR(SCORECARDS!H92,"")</f>
        <v/>
      </c>
      <c r="G93" s="17">
        <f>IFERROR(MATRIZ_174!U92,0)</f>
        <v/>
      </c>
      <c r="H93" s="16" t="n">
        <v>0</v>
      </c>
      <c r="I93" s="17">
        <f>IFERROR(SCORECARDS!I92,"")</f>
        <v/>
      </c>
      <c r="J93" s="17">
        <f>IFERROR(SCORECARDS!J92,"")</f>
        <v/>
      </c>
      <c r="K93" s="16" t="n">
        <v>0</v>
      </c>
      <c r="L93" s="16" t="n">
        <v>0</v>
      </c>
      <c r="M93" s="16" t="n">
        <v>0</v>
      </c>
      <c r="N93" s="16" t="n">
        <v>0</v>
      </c>
      <c r="O93" s="16" t="n">
        <v>0</v>
      </c>
      <c r="P93" s="17">
        <f>IFERROR(F93,0)</f>
        <v/>
      </c>
      <c r="Q93" s="17">
        <f>IFERROR(SQRT(G93*H93),0)</f>
        <v/>
      </c>
      <c r="R93" s="17">
        <f>IFERROR((I93+J93+L93)/3,0)</f>
        <v/>
      </c>
      <c r="S93" s="17">
        <f>IFERROR((J93+F93)/2,0)</f>
        <v/>
      </c>
      <c r="T93" s="17">
        <f>IFERROR((K93+M93+MATRIZ_174!O92)/3,0)</f>
        <v/>
      </c>
      <c r="U93" s="18">
        <f>IFERROR(MIN(100,ROUND(MATRIZ_174!M92,1)),0)</f>
        <v/>
      </c>
      <c r="V93" s="18">
        <f>IFERROR(IF(E93=0,50,E93),0)</f>
        <v/>
      </c>
      <c r="W93" s="18">
        <f>IFERROR(IF(MATRIZ_174!R92=0,65,IF(MATRIZ_174!R92/MATRIZ_174!Q92&gt;=2,35,IF(MATRIZ_174!R92/MATRIZ_174!Q92&gt;=0.5,50,65))),65)</f>
        <v/>
      </c>
      <c r="X93" s="18">
        <f>IF(MATRIZ_174!O92=0,70,30)</f>
        <v/>
      </c>
      <c r="Y93" s="18">
        <f>IF(OR(MATRIZ_174!P92="ASOCIACION",MATRIZ_174!P92="PENDIENTE"),65,40)</f>
        <v/>
      </c>
      <c r="Z93" s="19">
        <f>IFERROR(ROUND(AVERAGE(P93,Q93,R93,S93,T93),1),0)</f>
        <v/>
      </c>
      <c r="AA93" s="20">
        <f>IFERROR(ROUND(AVERAGE(U93,V93,W93,X93,Y93),1),0)</f>
        <v/>
      </c>
      <c r="AB93" s="21">
        <f>IFERROR(ROUND(AA93*(1-Z93/100),1),0)</f>
        <v/>
      </c>
      <c r="AC93" s="13">
        <f>IF(AND(Z93&gt;=50,AA93&lt;50),"🟢  Resilientes",IF(AND(Z93&gt;=50,AA93&gt;=50),"🟠  Expuestas Adaptables",IF(AND(Z93&lt;50,AA93&lt;50),"⬜  Riesgo Latente","🔴  Riesgo Crítico")))</f>
        <v/>
      </c>
      <c r="AD93" s="13">
        <f>IF(G93=0,"🚫  Inh. vigente OSCE","")</f>
        <v/>
      </c>
      <c r="AE93" s="22">
        <f>IFERROR(MATRIZ_174!W92,0)</f>
        <v/>
      </c>
      <c r="AF93" s="22">
        <f>IFERROR(MATRIZ_174!X92,0)</f>
        <v/>
      </c>
      <c r="AG93" s="22">
        <f>IFERROR(MATRIZ_174!Y92,0)</f>
        <v/>
      </c>
      <c r="AH93" s="22">
        <f>IFERROR(MATRIZ_174!Z92,0)</f>
        <v/>
      </c>
      <c r="AI93" s="17">
        <f>IFERROR(MATRIZ_174!AP92,"N/A")</f>
        <v/>
      </c>
      <c r="AJ93" s="17">
        <f>IFERROR(MATRIZ_174!AO92,"N/A")</f>
        <v/>
      </c>
      <c r="AK93" s="23">
        <f>IFERROR(ROUND(POWER((E93*F93*G93*H93*I93*J93*K93),1/7)*0.875+((L93+M93)/2)*0.125,1),"N/A")</f>
        <v/>
      </c>
      <c r="AL93" s="24">
        <f>IFERROR(IF(OR(AK93="N/A",AI93="N/A"),"N/A",ROUND(0.7*AK93+0.3*AI93*100,1)),"N/A")</f>
        <v/>
      </c>
    </row>
    <row r="94" ht="16.05" customHeight="1" s="37">
      <c r="A94" s="13" t="inlineStr">
        <is>
          <t>20572111131</t>
        </is>
      </c>
      <c r="B94" s="14" t="inlineStr">
        <is>
          <t>ASOCIACION DE MUJERES ORGANIZADAS CHOCO WARMIS</t>
        </is>
      </c>
      <c r="C94" s="13" t="inlineStr">
        <is>
          <t>SAN MARTIN</t>
        </is>
      </c>
      <c r="D94" s="15" t="n">
        <v>0</v>
      </c>
      <c r="E94" s="16" t="n">
        <v>0</v>
      </c>
      <c r="F94" s="17">
        <f>IFERROR(SCORECARDS!H93,"")</f>
        <v/>
      </c>
      <c r="G94" s="17">
        <f>IFERROR(MATRIZ_174!U93,0)</f>
        <v/>
      </c>
      <c r="H94" s="16" t="n">
        <v>0</v>
      </c>
      <c r="I94" s="17">
        <f>IFERROR(SCORECARDS!I93,"")</f>
        <v/>
      </c>
      <c r="J94" s="17">
        <f>IFERROR(SCORECARDS!J93,"")</f>
        <v/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7">
        <f>IFERROR(F94,0)</f>
        <v/>
      </c>
      <c r="Q94" s="17">
        <f>IFERROR(SQRT(G94*H94),0)</f>
        <v/>
      </c>
      <c r="R94" s="17">
        <f>IFERROR((I94+J94+L94)/3,0)</f>
        <v/>
      </c>
      <c r="S94" s="17">
        <f>IFERROR((J94+F94)/2,0)</f>
        <v/>
      </c>
      <c r="T94" s="17">
        <f>IFERROR((K94+M94+MATRIZ_174!O93)/3,0)</f>
        <v/>
      </c>
      <c r="U94" s="18">
        <f>IFERROR(MIN(100,ROUND(MATRIZ_174!M93,1)),0)</f>
        <v/>
      </c>
      <c r="V94" s="18">
        <f>IFERROR(IF(E94=0,50,E94),0)</f>
        <v/>
      </c>
      <c r="W94" s="18">
        <f>IFERROR(IF(MATRIZ_174!R93=0,65,IF(MATRIZ_174!R93/MATRIZ_174!Q93&gt;=2,35,IF(MATRIZ_174!R93/MATRIZ_174!Q93&gt;=0.5,50,65))),65)</f>
        <v/>
      </c>
      <c r="X94" s="18">
        <f>IF(MATRIZ_174!O93=0,70,30)</f>
        <v/>
      </c>
      <c r="Y94" s="18">
        <f>IF(OR(MATRIZ_174!P93="ASOCIACION",MATRIZ_174!P93="PENDIENTE"),65,40)</f>
        <v/>
      </c>
      <c r="Z94" s="19">
        <f>IFERROR(ROUND(AVERAGE(P94,Q94,R94,S94,T94),1),0)</f>
        <v/>
      </c>
      <c r="AA94" s="20">
        <f>IFERROR(ROUND(AVERAGE(U94,V94,W94,X94,Y94),1),0)</f>
        <v/>
      </c>
      <c r="AB94" s="21">
        <f>IFERROR(ROUND(AA94*(1-Z94/100),1),0)</f>
        <v/>
      </c>
      <c r="AC94" s="13">
        <f>IF(AND(Z94&gt;=50,AA94&lt;50),"🟢  Resilientes",IF(AND(Z94&gt;=50,AA94&gt;=50),"🟠  Expuestas Adaptables",IF(AND(Z94&lt;50,AA94&lt;50),"⬜  Riesgo Latente","🔴  Riesgo Crítico")))</f>
        <v/>
      </c>
      <c r="AD94" s="13">
        <f>IF(G94=0,"🚫  Inh. vigente OSCE","")</f>
        <v/>
      </c>
      <c r="AE94" s="22">
        <f>IFERROR(MATRIZ_174!W93,0)</f>
        <v/>
      </c>
      <c r="AF94" s="22">
        <f>IFERROR(MATRIZ_174!X93,0)</f>
        <v/>
      </c>
      <c r="AG94" s="22">
        <f>IFERROR(MATRIZ_174!Y93,0)</f>
        <v/>
      </c>
      <c r="AH94" s="22">
        <f>IFERROR(MATRIZ_174!Z93,0)</f>
        <v/>
      </c>
      <c r="AI94" s="17">
        <f>IFERROR(MATRIZ_174!AP93,"N/A")</f>
        <v/>
      </c>
      <c r="AJ94" s="17">
        <f>IFERROR(MATRIZ_174!AO93,"N/A")</f>
        <v/>
      </c>
      <c r="AK94" s="23">
        <f>IFERROR(ROUND(POWER((E94*F94*G94*H94*I94*J94*K94),1/7)*0.875+((L94+M94)/2)*0.125,1),"N/A")</f>
        <v/>
      </c>
      <c r="AL94" s="24">
        <f>IFERROR(IF(OR(AK94="N/A",AI94="N/A"),"N/A",ROUND(0.7*AK94+0.3*AI94*100,1)),"N/A")</f>
        <v/>
      </c>
    </row>
    <row r="95" ht="16.05" customHeight="1" s="37">
      <c r="A95" s="13" t="inlineStr">
        <is>
          <t>20572190251</t>
        </is>
      </c>
      <c r="B95" s="14" t="inlineStr">
        <is>
          <t>CENTRAL DE COOPERATIVAS AGRARIAS CACAO AROMA DE TOCACHE LTDA</t>
        </is>
      </c>
      <c r="C95" s="13" t="inlineStr">
        <is>
          <t>SAN MARTIN</t>
        </is>
      </c>
      <c r="D95" s="15" t="n">
        <v>1888972.42</v>
      </c>
      <c r="E95" s="16" t="n">
        <v>0</v>
      </c>
      <c r="F95" s="17">
        <f>IFERROR(SCORECARDS!H94,"")</f>
        <v/>
      </c>
      <c r="G95" s="17">
        <f>IFERROR(MATRIZ_174!U94,0)</f>
        <v/>
      </c>
      <c r="H95" s="16" t="n">
        <v>0</v>
      </c>
      <c r="I95" s="17">
        <f>IFERROR(SCORECARDS!I94,"")</f>
        <v/>
      </c>
      <c r="J95" s="17">
        <f>IFERROR(SCORECARDS!J94,"")</f>
        <v/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0</v>
      </c>
      <c r="P95" s="17">
        <f>IFERROR(F95,0)</f>
        <v/>
      </c>
      <c r="Q95" s="17">
        <f>IFERROR(SQRT(G95*H95),0)</f>
        <v/>
      </c>
      <c r="R95" s="17">
        <f>IFERROR((I95+J95+L95)/3,0)</f>
        <v/>
      </c>
      <c r="S95" s="17">
        <f>IFERROR((J95+F95)/2,0)</f>
        <v/>
      </c>
      <c r="T95" s="17">
        <f>IFERROR((K95+M95+MATRIZ_174!O94)/3,0)</f>
        <v/>
      </c>
      <c r="U95" s="18">
        <f>IFERROR(MIN(100,ROUND(MATRIZ_174!M94,1)),0)</f>
        <v/>
      </c>
      <c r="V95" s="18">
        <f>IFERROR(IF(E95=0,50,E95),0)</f>
        <v/>
      </c>
      <c r="W95" s="18">
        <f>IFERROR(IF(MATRIZ_174!R94=0,65,IF(MATRIZ_174!R94/MATRIZ_174!Q94&gt;=2,35,IF(MATRIZ_174!R94/MATRIZ_174!Q94&gt;=0.5,50,65))),65)</f>
        <v/>
      </c>
      <c r="X95" s="18">
        <f>IF(MATRIZ_174!O94=0,70,30)</f>
        <v/>
      </c>
      <c r="Y95" s="18">
        <f>IF(OR(MATRIZ_174!P94="ASOCIACION",MATRIZ_174!P94="PENDIENTE"),65,40)</f>
        <v/>
      </c>
      <c r="Z95" s="19">
        <f>IFERROR(ROUND(AVERAGE(P95,Q95,R95,S95,T95),1),0)</f>
        <v/>
      </c>
      <c r="AA95" s="20">
        <f>IFERROR(ROUND(AVERAGE(U95,V95,W95,X95,Y95),1),0)</f>
        <v/>
      </c>
      <c r="AB95" s="21">
        <f>IFERROR(ROUND(AA95*(1-Z95/100),1),0)</f>
        <v/>
      </c>
      <c r="AC95" s="13">
        <f>IF(AND(Z95&gt;=50,AA95&lt;50),"🟢  Resilientes",IF(AND(Z95&gt;=50,AA95&gt;=50),"🟠  Expuestas Adaptables",IF(AND(Z95&lt;50,AA95&lt;50),"⬜  Riesgo Latente","🔴  Riesgo Crítico")))</f>
        <v/>
      </c>
      <c r="AD95" s="13">
        <f>IF(G95=0,"🚫  Inh. vigente OSCE","")</f>
        <v/>
      </c>
      <c r="AE95" s="22">
        <f>IFERROR(MATRIZ_174!W94,0)</f>
        <v/>
      </c>
      <c r="AF95" s="22">
        <f>IFERROR(MATRIZ_174!X94,0)</f>
        <v/>
      </c>
      <c r="AG95" s="22">
        <f>IFERROR(MATRIZ_174!Y94,0)</f>
        <v/>
      </c>
      <c r="AH95" s="22">
        <f>IFERROR(MATRIZ_174!Z94,0)</f>
        <v/>
      </c>
      <c r="AI95" s="17">
        <f>IFERROR(MATRIZ_174!AP94,"N/A")</f>
        <v/>
      </c>
      <c r="AJ95" s="17">
        <f>IFERROR(MATRIZ_174!AO94,"N/A")</f>
        <v/>
      </c>
      <c r="AK95" s="23">
        <f>IFERROR(ROUND(POWER((E95*F95*G95*H95*I95*J95*K95),1/7)*0.875+((L95+M95)/2)*0.125,1),"N/A")</f>
        <v/>
      </c>
      <c r="AL95" s="24">
        <f>IFERROR(IF(OR(AK95="N/A",AI95="N/A"),"N/A",ROUND(0.7*AK95+0.3*AI95*100,1)),"N/A")</f>
        <v/>
      </c>
    </row>
    <row r="96" ht="16.05" customHeight="1" s="37">
      <c r="A96" s="13" t="inlineStr">
        <is>
          <t>20573049102</t>
        </is>
      </c>
      <c r="B96" s="14" t="inlineStr">
        <is>
          <t>COOPERATIVA AGRARIA CACAOTERA PUERTO INCA</t>
        </is>
      </c>
      <c r="C96" s="13" t="inlineStr">
        <is>
          <t>HUANUCO</t>
        </is>
      </c>
      <c r="D96" s="15" t="n">
        <v>0</v>
      </c>
      <c r="E96" s="16" t="n">
        <v>0</v>
      </c>
      <c r="F96" s="17">
        <f>IFERROR(SCORECARDS!H95,"")</f>
        <v/>
      </c>
      <c r="G96" s="17">
        <f>IFERROR(MATRIZ_174!U95,0)</f>
        <v/>
      </c>
      <c r="H96" s="16" t="n">
        <v>0</v>
      </c>
      <c r="I96" s="17">
        <f>IFERROR(SCORECARDS!I95,"")</f>
        <v/>
      </c>
      <c r="J96" s="17">
        <f>IFERROR(SCORECARDS!J95,"")</f>
        <v/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7">
        <f>IFERROR(F96,0)</f>
        <v/>
      </c>
      <c r="Q96" s="17">
        <f>IFERROR(SQRT(G96*H96),0)</f>
        <v/>
      </c>
      <c r="R96" s="17">
        <f>IFERROR((I96+J96+L96)/3,0)</f>
        <v/>
      </c>
      <c r="S96" s="17">
        <f>IFERROR((J96+F96)/2,0)</f>
        <v/>
      </c>
      <c r="T96" s="17">
        <f>IFERROR((K96+M96+MATRIZ_174!O95)/3,0)</f>
        <v/>
      </c>
      <c r="U96" s="18">
        <f>IFERROR(MIN(100,ROUND(MATRIZ_174!M95,1)),0)</f>
        <v/>
      </c>
      <c r="V96" s="18">
        <f>IFERROR(IF(E96=0,50,E96),0)</f>
        <v/>
      </c>
      <c r="W96" s="18">
        <f>IFERROR(IF(MATRIZ_174!R95=0,65,IF(MATRIZ_174!R95/MATRIZ_174!Q95&gt;=2,35,IF(MATRIZ_174!R95/MATRIZ_174!Q95&gt;=0.5,50,65))),65)</f>
        <v/>
      </c>
      <c r="X96" s="18">
        <f>IF(MATRIZ_174!O95=0,70,30)</f>
        <v/>
      </c>
      <c r="Y96" s="18">
        <f>IF(OR(MATRIZ_174!P95="ASOCIACION",MATRIZ_174!P95="PENDIENTE"),65,40)</f>
        <v/>
      </c>
      <c r="Z96" s="19">
        <f>IFERROR(ROUND(AVERAGE(P96,Q96,R96,S96,T96),1),0)</f>
        <v/>
      </c>
      <c r="AA96" s="20">
        <f>IFERROR(ROUND(AVERAGE(U96,V96,W96,X96,Y96),1),0)</f>
        <v/>
      </c>
      <c r="AB96" s="21">
        <f>IFERROR(ROUND(AA96*(1-Z96/100),1),0)</f>
        <v/>
      </c>
      <c r="AC96" s="13">
        <f>IF(AND(Z96&gt;=50,AA96&lt;50),"🟢  Resilientes",IF(AND(Z96&gt;=50,AA96&gt;=50),"🟠  Expuestas Adaptables",IF(AND(Z96&lt;50,AA96&lt;50),"⬜  Riesgo Latente","🔴  Riesgo Crítico")))</f>
        <v/>
      </c>
      <c r="AD96" s="13">
        <f>IF(G96=0,"🚫  Inh. vigente OSCE","")</f>
        <v/>
      </c>
      <c r="AE96" s="22">
        <f>IFERROR(MATRIZ_174!W95,0)</f>
        <v/>
      </c>
      <c r="AF96" s="22">
        <f>IFERROR(MATRIZ_174!X95,0)</f>
        <v/>
      </c>
      <c r="AG96" s="22">
        <f>IFERROR(MATRIZ_174!Y95,0)</f>
        <v/>
      </c>
      <c r="AH96" s="22">
        <f>IFERROR(MATRIZ_174!Z95,0)</f>
        <v/>
      </c>
      <c r="AI96" s="17">
        <f>IFERROR(MATRIZ_174!AP95,"N/A")</f>
        <v/>
      </c>
      <c r="AJ96" s="17">
        <f>IFERROR(MATRIZ_174!AO95,"N/A")</f>
        <v/>
      </c>
      <c r="AK96" s="23">
        <f>IFERROR(ROUND(POWER((E96*F96*G96*H96*I96*J96*K96),1/7)*0.875+((L96+M96)/2)*0.125,1),"N/A")</f>
        <v/>
      </c>
      <c r="AL96" s="24">
        <f>IFERROR(IF(OR(AK96="N/A",AI96="N/A"),"N/A",ROUND(0.7*AK96+0.3*AI96*100,1)),"N/A")</f>
        <v/>
      </c>
    </row>
    <row r="97" ht="16.05" customHeight="1" s="37">
      <c r="A97" s="13" t="inlineStr">
        <is>
          <t>20573057385</t>
        </is>
      </c>
      <c r="B97" s="14" t="inlineStr">
        <is>
          <t>COOPERATIVA AGRARIA PARAISO</t>
        </is>
      </c>
      <c r="C97" s="13" t="inlineStr">
        <is>
          <t>HUANUCO</t>
        </is>
      </c>
      <c r="D97" s="15" t="n">
        <v>0</v>
      </c>
      <c r="E97" s="16" t="n">
        <v>0</v>
      </c>
      <c r="F97" s="17">
        <f>IFERROR(SCORECARDS!H96,"")</f>
        <v/>
      </c>
      <c r="G97" s="17">
        <f>IFERROR(MATRIZ_174!U96,0)</f>
        <v/>
      </c>
      <c r="H97" s="16" t="n">
        <v>0</v>
      </c>
      <c r="I97" s="17">
        <f>IFERROR(SCORECARDS!I96,"")</f>
        <v/>
      </c>
      <c r="J97" s="17">
        <f>IFERROR(SCORECARDS!J96,"")</f>
        <v/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0</v>
      </c>
      <c r="P97" s="17">
        <f>IFERROR(F97,0)</f>
        <v/>
      </c>
      <c r="Q97" s="17">
        <f>IFERROR(SQRT(G97*H97),0)</f>
        <v/>
      </c>
      <c r="R97" s="17">
        <f>IFERROR((I97+J97+L97)/3,0)</f>
        <v/>
      </c>
      <c r="S97" s="17">
        <f>IFERROR((J97+F97)/2,0)</f>
        <v/>
      </c>
      <c r="T97" s="17">
        <f>IFERROR((K97+M97+MATRIZ_174!O96)/3,0)</f>
        <v/>
      </c>
      <c r="U97" s="18">
        <f>IFERROR(MIN(100,ROUND(MATRIZ_174!M96,1)),0)</f>
        <v/>
      </c>
      <c r="V97" s="18">
        <f>IFERROR(IF(E97=0,50,E97),0)</f>
        <v/>
      </c>
      <c r="W97" s="18">
        <f>IFERROR(IF(MATRIZ_174!R96=0,65,IF(MATRIZ_174!R96/MATRIZ_174!Q96&gt;=2,35,IF(MATRIZ_174!R96/MATRIZ_174!Q96&gt;=0.5,50,65))),65)</f>
        <v/>
      </c>
      <c r="X97" s="18">
        <f>IF(MATRIZ_174!O96=0,70,30)</f>
        <v/>
      </c>
      <c r="Y97" s="18">
        <f>IF(OR(MATRIZ_174!P96="ASOCIACION",MATRIZ_174!P96="PENDIENTE"),65,40)</f>
        <v/>
      </c>
      <c r="Z97" s="19">
        <f>IFERROR(ROUND(AVERAGE(P97,Q97,R97,S97,T97),1),0)</f>
        <v/>
      </c>
      <c r="AA97" s="20">
        <f>IFERROR(ROUND(AVERAGE(U97,V97,W97,X97,Y97),1),0)</f>
        <v/>
      </c>
      <c r="AB97" s="21">
        <f>IFERROR(ROUND(AA97*(1-Z97/100),1),0)</f>
        <v/>
      </c>
      <c r="AC97" s="13">
        <f>IF(AND(Z97&gt;=50,AA97&lt;50),"🟢  Resilientes",IF(AND(Z97&gt;=50,AA97&gt;=50),"🟠  Expuestas Adaptables",IF(AND(Z97&lt;50,AA97&lt;50),"⬜  Riesgo Latente","🔴  Riesgo Crítico")))</f>
        <v/>
      </c>
      <c r="AD97" s="13">
        <f>IF(G97=0,"🚫  Inh. vigente OSCE","")</f>
        <v/>
      </c>
      <c r="AE97" s="22">
        <f>IFERROR(MATRIZ_174!W96,0)</f>
        <v/>
      </c>
      <c r="AF97" s="22">
        <f>IFERROR(MATRIZ_174!X96,0)</f>
        <v/>
      </c>
      <c r="AG97" s="22">
        <f>IFERROR(MATRIZ_174!Y96,0)</f>
        <v/>
      </c>
      <c r="AH97" s="22">
        <f>IFERROR(MATRIZ_174!Z96,0)</f>
        <v/>
      </c>
      <c r="AI97" s="17">
        <f>IFERROR(MATRIZ_174!AP96,"N/A")</f>
        <v/>
      </c>
      <c r="AJ97" s="17">
        <f>IFERROR(MATRIZ_174!AO96,"N/A")</f>
        <v/>
      </c>
      <c r="AK97" s="23">
        <f>IFERROR(ROUND(POWER((E97*F97*G97*H97*I97*J97*K97),1/7)*0.875+((L97+M97)/2)*0.125,1),"N/A")</f>
        <v/>
      </c>
      <c r="AL97" s="24">
        <f>IFERROR(IF(OR(AK97="N/A",AI97="N/A"),"N/A",ROUND(0.7*AK97+0.3*AI97*100,1)),"N/A")</f>
        <v/>
      </c>
    </row>
    <row r="98" ht="16.05" customHeight="1" s="37">
      <c r="A98" s="13" t="inlineStr">
        <is>
          <t>20573138202</t>
        </is>
      </c>
      <c r="B98" s="14" t="inlineStr">
        <is>
          <t>ASOCIACION DE PRODUCTORES AGROPECUARIOS Y FORESTALES EL ALVA</t>
        </is>
      </c>
      <c r="C98" s="13" t="inlineStr">
        <is>
          <t>HUANUCO</t>
        </is>
      </c>
      <c r="D98" s="15" t="n">
        <v>0</v>
      </c>
      <c r="E98" s="16" t="n">
        <v>0</v>
      </c>
      <c r="F98" s="17">
        <f>IFERROR(SCORECARDS!H97,"")</f>
        <v/>
      </c>
      <c r="G98" s="17">
        <f>IFERROR(MATRIZ_174!U97,0)</f>
        <v/>
      </c>
      <c r="H98" s="16" t="n">
        <v>0</v>
      </c>
      <c r="I98" s="17">
        <f>IFERROR(SCORECARDS!I97,"")</f>
        <v/>
      </c>
      <c r="J98" s="17">
        <f>IFERROR(SCORECARDS!J97,"")</f>
        <v/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7">
        <f>IFERROR(F98,0)</f>
        <v/>
      </c>
      <c r="Q98" s="17">
        <f>IFERROR(SQRT(G98*H98),0)</f>
        <v/>
      </c>
      <c r="R98" s="17">
        <f>IFERROR((I98+J98+L98)/3,0)</f>
        <v/>
      </c>
      <c r="S98" s="17">
        <f>IFERROR((J98+F98)/2,0)</f>
        <v/>
      </c>
      <c r="T98" s="17">
        <f>IFERROR((K98+M98+MATRIZ_174!O97)/3,0)</f>
        <v/>
      </c>
      <c r="U98" s="18">
        <f>IFERROR(MIN(100,ROUND(MATRIZ_174!M97,1)),0)</f>
        <v/>
      </c>
      <c r="V98" s="18">
        <f>IFERROR(IF(E98=0,50,E98),0)</f>
        <v/>
      </c>
      <c r="W98" s="18">
        <f>IFERROR(IF(MATRIZ_174!R97=0,65,IF(MATRIZ_174!R97/MATRIZ_174!Q97&gt;=2,35,IF(MATRIZ_174!R97/MATRIZ_174!Q97&gt;=0.5,50,65))),65)</f>
        <v/>
      </c>
      <c r="X98" s="18">
        <f>IF(MATRIZ_174!O97=0,70,30)</f>
        <v/>
      </c>
      <c r="Y98" s="18">
        <f>IF(OR(MATRIZ_174!P97="ASOCIACION",MATRIZ_174!P97="PENDIENTE"),65,40)</f>
        <v/>
      </c>
      <c r="Z98" s="19">
        <f>IFERROR(ROUND(AVERAGE(P98,Q98,R98,S98,T98),1),0)</f>
        <v/>
      </c>
      <c r="AA98" s="20">
        <f>IFERROR(ROUND(AVERAGE(U98,V98,W98,X98,Y98),1),0)</f>
        <v/>
      </c>
      <c r="AB98" s="21">
        <f>IFERROR(ROUND(AA98*(1-Z98/100),1),0)</f>
        <v/>
      </c>
      <c r="AC98" s="13">
        <f>IF(AND(Z98&gt;=50,AA98&lt;50),"🟢  Resilientes",IF(AND(Z98&gt;=50,AA98&gt;=50),"🟠  Expuestas Adaptables",IF(AND(Z98&lt;50,AA98&lt;50),"⬜  Riesgo Latente","🔴  Riesgo Crítico")))</f>
        <v/>
      </c>
      <c r="AD98" s="13">
        <f>IF(G98=0,"🚫  Inh. vigente OSCE","")</f>
        <v/>
      </c>
      <c r="AE98" s="22">
        <f>IFERROR(MATRIZ_174!W97,0)</f>
        <v/>
      </c>
      <c r="AF98" s="22">
        <f>IFERROR(MATRIZ_174!X97,0)</f>
        <v/>
      </c>
      <c r="AG98" s="22">
        <f>IFERROR(MATRIZ_174!Y97,0)</f>
        <v/>
      </c>
      <c r="AH98" s="22">
        <f>IFERROR(MATRIZ_174!Z97,0)</f>
        <v/>
      </c>
      <c r="AI98" s="17">
        <f>IFERROR(MATRIZ_174!AP97,"N/A")</f>
        <v/>
      </c>
      <c r="AJ98" s="17">
        <f>IFERROR(MATRIZ_174!AO97,"N/A")</f>
        <v/>
      </c>
      <c r="AK98" s="23">
        <f>IFERROR(ROUND(POWER((E98*F98*G98*H98*I98*J98*K98),1/7)*0.875+((L98+M98)/2)*0.125,1),"N/A")</f>
        <v/>
      </c>
      <c r="AL98" s="24">
        <f>IFERROR(IF(OR(AK98="N/A",AI98="N/A"),"N/A",ROUND(0.7*AK98+0.3*AI98*100,1)),"N/A")</f>
        <v/>
      </c>
    </row>
    <row r="99" ht="16.05" customHeight="1" s="37">
      <c r="A99" s="13" t="inlineStr">
        <is>
          <t>20573260008</t>
        </is>
      </c>
      <c r="B99" s="14" t="inlineStr">
        <is>
          <t>COOPERATIVA AGRARIA AUCAYACU</t>
        </is>
      </c>
      <c r="C99" s="13" t="inlineStr">
        <is>
          <t>HUANUCO</t>
        </is>
      </c>
      <c r="D99" s="15" t="n">
        <v>0</v>
      </c>
      <c r="E99" s="16" t="n">
        <v>0</v>
      </c>
      <c r="F99" s="17">
        <f>IFERROR(SCORECARDS!H98,"")</f>
        <v/>
      </c>
      <c r="G99" s="17">
        <f>IFERROR(MATRIZ_174!U98,0)</f>
        <v/>
      </c>
      <c r="H99" s="16" t="n">
        <v>0</v>
      </c>
      <c r="I99" s="17">
        <f>IFERROR(SCORECARDS!I98,"")</f>
        <v/>
      </c>
      <c r="J99" s="17">
        <f>IFERROR(SCORECARDS!J98,"")</f>
        <v/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7">
        <f>IFERROR(F99,0)</f>
        <v/>
      </c>
      <c r="Q99" s="17">
        <f>IFERROR(SQRT(G99*H99),0)</f>
        <v/>
      </c>
      <c r="R99" s="17">
        <f>IFERROR((I99+J99+L99)/3,0)</f>
        <v/>
      </c>
      <c r="S99" s="17">
        <f>IFERROR((J99+F99)/2,0)</f>
        <v/>
      </c>
      <c r="T99" s="17">
        <f>IFERROR((K99+M99+MATRIZ_174!O98)/3,0)</f>
        <v/>
      </c>
      <c r="U99" s="18">
        <f>IFERROR(MIN(100,ROUND(MATRIZ_174!M98,1)),0)</f>
        <v/>
      </c>
      <c r="V99" s="18">
        <f>IFERROR(IF(E99=0,50,E99),0)</f>
        <v/>
      </c>
      <c r="W99" s="18">
        <f>IFERROR(IF(MATRIZ_174!R98=0,65,IF(MATRIZ_174!R98/MATRIZ_174!Q98&gt;=2,35,IF(MATRIZ_174!R98/MATRIZ_174!Q98&gt;=0.5,50,65))),65)</f>
        <v/>
      </c>
      <c r="X99" s="18">
        <f>IF(MATRIZ_174!O98=0,70,30)</f>
        <v/>
      </c>
      <c r="Y99" s="18">
        <f>IF(OR(MATRIZ_174!P98="ASOCIACION",MATRIZ_174!P98="PENDIENTE"),65,40)</f>
        <v/>
      </c>
      <c r="Z99" s="19">
        <f>IFERROR(ROUND(AVERAGE(P99,Q99,R99,S99,T99),1),0)</f>
        <v/>
      </c>
      <c r="AA99" s="20">
        <f>IFERROR(ROUND(AVERAGE(U99,V99,W99,X99,Y99),1),0)</f>
        <v/>
      </c>
      <c r="AB99" s="21">
        <f>IFERROR(ROUND(AA99*(1-Z99/100),1),0)</f>
        <v/>
      </c>
      <c r="AC99" s="13">
        <f>IF(AND(Z99&gt;=50,AA99&lt;50),"🟢  Resilientes",IF(AND(Z99&gt;=50,AA99&gt;=50),"🟠  Expuestas Adaptables",IF(AND(Z99&lt;50,AA99&lt;50),"⬜  Riesgo Latente","🔴  Riesgo Crítico")))</f>
        <v/>
      </c>
      <c r="AD99" s="13">
        <f>IF(G99=0,"🚫  Inh. vigente OSCE","")</f>
        <v/>
      </c>
      <c r="AE99" s="22">
        <f>IFERROR(MATRIZ_174!W98,0)</f>
        <v/>
      </c>
      <c r="AF99" s="22">
        <f>IFERROR(MATRIZ_174!X98,0)</f>
        <v/>
      </c>
      <c r="AG99" s="22">
        <f>IFERROR(MATRIZ_174!Y98,0)</f>
        <v/>
      </c>
      <c r="AH99" s="22">
        <f>IFERROR(MATRIZ_174!Z98,0)</f>
        <v/>
      </c>
      <c r="AI99" s="17">
        <f>IFERROR(MATRIZ_174!AP98,"N/A")</f>
        <v/>
      </c>
      <c r="AJ99" s="17">
        <f>IFERROR(MATRIZ_174!AO98,"N/A")</f>
        <v/>
      </c>
      <c r="AK99" s="23">
        <f>IFERROR(ROUND(POWER((E99*F99*G99*H99*I99*J99*K99),1/7)*0.875+((L99+M99)/2)*0.125,1),"N/A")</f>
        <v/>
      </c>
      <c r="AL99" s="24">
        <f>IFERROR(IF(OR(AK99="N/A",AI99="N/A"),"N/A",ROUND(0.7*AK99+0.3*AI99*100,1)),"N/A")</f>
        <v/>
      </c>
    </row>
    <row r="100" ht="16.05" customHeight="1" s="37">
      <c r="A100" s="13" t="inlineStr">
        <is>
          <t>20573344791</t>
        </is>
      </c>
      <c r="B100" s="14" t="inlineStr">
        <is>
          <t>ASOCIACION AGROECOLOGICO HUANGANAPAMPA</t>
        </is>
      </c>
      <c r="C100" s="13" t="inlineStr">
        <is>
          <t>HUANUCO</t>
        </is>
      </c>
      <c r="D100" s="15" t="n">
        <v>0</v>
      </c>
      <c r="E100" s="16" t="n">
        <v>0</v>
      </c>
      <c r="F100" s="17">
        <f>IFERROR(SCORECARDS!H99,"")</f>
        <v/>
      </c>
      <c r="G100" s="17">
        <f>IFERROR(MATRIZ_174!U99,0)</f>
        <v/>
      </c>
      <c r="H100" s="16" t="n">
        <v>0</v>
      </c>
      <c r="I100" s="17">
        <f>IFERROR(SCORECARDS!I99,"")</f>
        <v/>
      </c>
      <c r="J100" s="17">
        <f>IFERROR(SCORECARDS!J99,"")</f>
        <v/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7">
        <f>IFERROR(F100,0)</f>
        <v/>
      </c>
      <c r="Q100" s="17">
        <f>IFERROR(SQRT(G100*H100),0)</f>
        <v/>
      </c>
      <c r="R100" s="17">
        <f>IFERROR((I100+J100+L100)/3,0)</f>
        <v/>
      </c>
      <c r="S100" s="17">
        <f>IFERROR((J100+F100)/2,0)</f>
        <v/>
      </c>
      <c r="T100" s="17">
        <f>IFERROR((K100+M100+MATRIZ_174!O99)/3,0)</f>
        <v/>
      </c>
      <c r="U100" s="18">
        <f>IFERROR(MIN(100,ROUND(MATRIZ_174!M99,1)),0)</f>
        <v/>
      </c>
      <c r="V100" s="18">
        <f>IFERROR(IF(E100=0,50,E100),0)</f>
        <v/>
      </c>
      <c r="W100" s="18">
        <f>IFERROR(IF(MATRIZ_174!R99=0,65,IF(MATRIZ_174!R99/MATRIZ_174!Q99&gt;=2,35,IF(MATRIZ_174!R99/MATRIZ_174!Q99&gt;=0.5,50,65))),65)</f>
        <v/>
      </c>
      <c r="X100" s="18">
        <f>IF(MATRIZ_174!O99=0,70,30)</f>
        <v/>
      </c>
      <c r="Y100" s="18">
        <f>IF(OR(MATRIZ_174!P99="ASOCIACION",MATRIZ_174!P99="PENDIENTE"),65,40)</f>
        <v/>
      </c>
      <c r="Z100" s="19">
        <f>IFERROR(ROUND(AVERAGE(P100,Q100,R100,S100,T100),1),0)</f>
        <v/>
      </c>
      <c r="AA100" s="20">
        <f>IFERROR(ROUND(AVERAGE(U100,V100,W100,X100,Y100),1),0)</f>
        <v/>
      </c>
      <c r="AB100" s="21">
        <f>IFERROR(ROUND(AA100*(1-Z100/100),1),0)</f>
        <v/>
      </c>
      <c r="AC100" s="13">
        <f>IF(AND(Z100&gt;=50,AA100&lt;50),"🟢  Resilientes",IF(AND(Z100&gt;=50,AA100&gt;=50),"🟠  Expuestas Adaptables",IF(AND(Z100&lt;50,AA100&lt;50),"⬜  Riesgo Latente","🔴  Riesgo Crítico")))</f>
        <v/>
      </c>
      <c r="AD100" s="13">
        <f>IF(G100=0,"🚫  Inh. vigente OSCE","")</f>
        <v/>
      </c>
      <c r="AE100" s="22">
        <f>IFERROR(MATRIZ_174!W99,0)</f>
        <v/>
      </c>
      <c r="AF100" s="22">
        <f>IFERROR(MATRIZ_174!X99,0)</f>
        <v/>
      </c>
      <c r="AG100" s="22">
        <f>IFERROR(MATRIZ_174!Y99,0)</f>
        <v/>
      </c>
      <c r="AH100" s="22">
        <f>IFERROR(MATRIZ_174!Z99,0)</f>
        <v/>
      </c>
      <c r="AI100" s="17">
        <f>IFERROR(MATRIZ_174!AP99,"N/A")</f>
        <v/>
      </c>
      <c r="AJ100" s="17">
        <f>IFERROR(MATRIZ_174!AO99,"N/A")</f>
        <v/>
      </c>
      <c r="AK100" s="23">
        <f>IFERROR(ROUND(POWER((E100*F100*G100*H100*I100*J100*K100),1/7)*0.875+((L100+M100)/2)*0.125,1),"N/A")</f>
        <v/>
      </c>
      <c r="AL100" s="24">
        <f>IFERROR(IF(OR(AK100="N/A",AI100="N/A"),"N/A",ROUND(0.7*AK100+0.3*AI100*100,1)),"N/A")</f>
        <v/>
      </c>
    </row>
    <row r="101" ht="16.05" customHeight="1" s="37">
      <c r="A101" s="13" t="inlineStr">
        <is>
          <t>20574797013</t>
        </is>
      </c>
      <c r="B101" s="14" t="inlineStr">
        <is>
          <t>ASOCIACION DE PRODUCTORES AGROPECUARIOS DE PARAISO CENTRAL</t>
        </is>
      </c>
      <c r="C101" s="13" t="inlineStr">
        <is>
          <t>CUSCO</t>
        </is>
      </c>
      <c r="D101" s="15" t="n">
        <v>0</v>
      </c>
      <c r="E101" s="16" t="n">
        <v>0</v>
      </c>
      <c r="F101" s="17">
        <f>IFERROR(SCORECARDS!H100,"")</f>
        <v/>
      </c>
      <c r="G101" s="17">
        <f>IFERROR(MATRIZ_174!U100,0)</f>
        <v/>
      </c>
      <c r="H101" s="16" t="n">
        <v>0</v>
      </c>
      <c r="I101" s="17">
        <f>IFERROR(SCORECARDS!I100,"")</f>
        <v/>
      </c>
      <c r="J101" s="17">
        <f>IFERROR(SCORECARDS!J100,"")</f>
        <v/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7">
        <f>IFERROR(F101,0)</f>
        <v/>
      </c>
      <c r="Q101" s="17">
        <f>IFERROR(SQRT(G101*H101),0)</f>
        <v/>
      </c>
      <c r="R101" s="17">
        <f>IFERROR((I101+J101+L101)/3,0)</f>
        <v/>
      </c>
      <c r="S101" s="17">
        <f>IFERROR((J101+F101)/2,0)</f>
        <v/>
      </c>
      <c r="T101" s="17">
        <f>IFERROR((K101+M101+MATRIZ_174!O100)/3,0)</f>
        <v/>
      </c>
      <c r="U101" s="18">
        <f>IFERROR(MIN(100,ROUND(MATRIZ_174!M100,1)),0)</f>
        <v/>
      </c>
      <c r="V101" s="18">
        <f>IFERROR(IF(E101=0,50,E101),0)</f>
        <v/>
      </c>
      <c r="W101" s="18">
        <f>IFERROR(IF(MATRIZ_174!R100=0,65,IF(MATRIZ_174!R100/MATRIZ_174!Q100&gt;=2,35,IF(MATRIZ_174!R100/MATRIZ_174!Q100&gt;=0.5,50,65))),65)</f>
        <v/>
      </c>
      <c r="X101" s="18">
        <f>IF(MATRIZ_174!O100=0,70,30)</f>
        <v/>
      </c>
      <c r="Y101" s="18">
        <f>IF(OR(MATRIZ_174!P100="ASOCIACION",MATRIZ_174!P100="PENDIENTE"),65,40)</f>
        <v/>
      </c>
      <c r="Z101" s="19">
        <f>IFERROR(ROUND(AVERAGE(P101,Q101,R101,S101,T101),1),0)</f>
        <v/>
      </c>
      <c r="AA101" s="20">
        <f>IFERROR(ROUND(AVERAGE(U101,V101,W101,X101,Y101),1),0)</f>
        <v/>
      </c>
      <c r="AB101" s="21">
        <f>IFERROR(ROUND(AA101*(1-Z101/100),1),0)</f>
        <v/>
      </c>
      <c r="AC101" s="13">
        <f>IF(AND(Z101&gt;=50,AA101&lt;50),"🟢  Resilientes",IF(AND(Z101&gt;=50,AA101&gt;=50),"🟠  Expuestas Adaptables",IF(AND(Z101&lt;50,AA101&lt;50),"⬜  Riesgo Latente","🔴  Riesgo Crítico")))</f>
        <v/>
      </c>
      <c r="AD101" s="13">
        <f>IF(G101=0,"🚫  Inh. vigente OSCE","")</f>
        <v/>
      </c>
      <c r="AE101" s="22">
        <f>IFERROR(MATRIZ_174!W100,0)</f>
        <v/>
      </c>
      <c r="AF101" s="22">
        <f>IFERROR(MATRIZ_174!X100,0)</f>
        <v/>
      </c>
      <c r="AG101" s="22">
        <f>IFERROR(MATRIZ_174!Y100,0)</f>
        <v/>
      </c>
      <c r="AH101" s="22">
        <f>IFERROR(MATRIZ_174!Z100,0)</f>
        <v/>
      </c>
      <c r="AI101" s="17">
        <f>IFERROR(MATRIZ_174!AP100,"N/A")</f>
        <v/>
      </c>
      <c r="AJ101" s="17">
        <f>IFERROR(MATRIZ_174!AO100,"N/A")</f>
        <v/>
      </c>
      <c r="AK101" s="23">
        <f>IFERROR(ROUND(POWER((E101*F101*G101*H101*I101*J101*K101),1/7)*0.875+((L101+M101)/2)*0.125,1),"N/A")</f>
        <v/>
      </c>
      <c r="AL101" s="24">
        <f>IFERROR(IF(OR(AK101="N/A",AI101="N/A"),"N/A",ROUND(0.7*AK101+0.3*AI101*100,1)),"N/A")</f>
        <v/>
      </c>
    </row>
    <row r="102" ht="16.05" customHeight="1" s="37">
      <c r="A102" s="13" t="inlineStr">
        <is>
          <t>20600001109</t>
        </is>
      </c>
      <c r="B102" s="14" t="inlineStr">
        <is>
          <t>COOPERATIVA AGRARIA CAFETALERA PRODUCTORA COMERCIAL EXPORTAD</t>
        </is>
      </c>
      <c r="C102" s="13" t="inlineStr">
        <is>
          <t>AMAZONAS</t>
        </is>
      </c>
      <c r="D102" s="15" t="n">
        <v>0</v>
      </c>
      <c r="E102" s="16" t="n">
        <v>0</v>
      </c>
      <c r="F102" s="17">
        <f>IFERROR(SCORECARDS!H101,"")</f>
        <v/>
      </c>
      <c r="G102" s="17">
        <f>IFERROR(MATRIZ_174!U101,0)</f>
        <v/>
      </c>
      <c r="H102" s="16" t="n">
        <v>0</v>
      </c>
      <c r="I102" s="17">
        <f>IFERROR(SCORECARDS!I101,"")</f>
        <v/>
      </c>
      <c r="J102" s="17">
        <f>IFERROR(SCORECARDS!J101,"")</f>
        <v/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7">
        <f>IFERROR(F102,0)</f>
        <v/>
      </c>
      <c r="Q102" s="17">
        <f>IFERROR(SQRT(G102*H102),0)</f>
        <v/>
      </c>
      <c r="R102" s="17">
        <f>IFERROR((I102+J102+L102)/3,0)</f>
        <v/>
      </c>
      <c r="S102" s="17">
        <f>IFERROR((J102+F102)/2,0)</f>
        <v/>
      </c>
      <c r="T102" s="17">
        <f>IFERROR((K102+M102+MATRIZ_174!O101)/3,0)</f>
        <v/>
      </c>
      <c r="U102" s="18">
        <f>IFERROR(MIN(100,ROUND(MATRIZ_174!M101,1)),0)</f>
        <v/>
      </c>
      <c r="V102" s="18">
        <f>IFERROR(IF(E102=0,50,E102),0)</f>
        <v/>
      </c>
      <c r="W102" s="18">
        <f>IFERROR(IF(MATRIZ_174!R101=0,65,IF(MATRIZ_174!R101/MATRIZ_174!Q101&gt;=2,35,IF(MATRIZ_174!R101/MATRIZ_174!Q101&gt;=0.5,50,65))),65)</f>
        <v/>
      </c>
      <c r="X102" s="18">
        <f>IF(MATRIZ_174!O101=0,70,30)</f>
        <v/>
      </c>
      <c r="Y102" s="18">
        <f>IF(OR(MATRIZ_174!P101="ASOCIACION",MATRIZ_174!P101="PENDIENTE"),65,40)</f>
        <v/>
      </c>
      <c r="Z102" s="19">
        <f>IFERROR(ROUND(AVERAGE(P102,Q102,R102,S102,T102),1),0)</f>
        <v/>
      </c>
      <c r="AA102" s="20">
        <f>IFERROR(ROUND(AVERAGE(U102,V102,W102,X102,Y102),1),0)</f>
        <v/>
      </c>
      <c r="AB102" s="21">
        <f>IFERROR(ROUND(AA102*(1-Z102/100),1),0)</f>
        <v/>
      </c>
      <c r="AC102" s="13">
        <f>IF(AND(Z102&gt;=50,AA102&lt;50),"🟢  Resilientes",IF(AND(Z102&gt;=50,AA102&gt;=50),"🟠  Expuestas Adaptables",IF(AND(Z102&lt;50,AA102&lt;50),"⬜  Riesgo Latente","🔴  Riesgo Crítico")))</f>
        <v/>
      </c>
      <c r="AD102" s="13">
        <f>IF(G102=0,"🚫  Inh. vigente OSCE","")</f>
        <v/>
      </c>
      <c r="AE102" s="22">
        <f>IFERROR(MATRIZ_174!W101,0)</f>
        <v/>
      </c>
      <c r="AF102" s="22">
        <f>IFERROR(MATRIZ_174!X101,0)</f>
        <v/>
      </c>
      <c r="AG102" s="22">
        <f>IFERROR(MATRIZ_174!Y101,0)</f>
        <v/>
      </c>
      <c r="AH102" s="22">
        <f>IFERROR(MATRIZ_174!Z101,0)</f>
        <v/>
      </c>
      <c r="AI102" s="17">
        <f>IFERROR(MATRIZ_174!AP101,"N/A")</f>
        <v/>
      </c>
      <c r="AJ102" s="17">
        <f>IFERROR(MATRIZ_174!AO101,"N/A")</f>
        <v/>
      </c>
      <c r="AK102" s="23">
        <f>IFERROR(ROUND(POWER((E102*F102*G102*H102*I102*J102*K102),1/7)*0.875+((L102+M102)/2)*0.125,1),"N/A")</f>
        <v/>
      </c>
      <c r="AL102" s="24">
        <f>IFERROR(IF(OR(AK102="N/A",AI102="N/A"),"N/A",ROUND(0.7*AK102+0.3*AI102*100,1)),"N/A")</f>
        <v/>
      </c>
    </row>
    <row r="103" ht="16.05" customHeight="1" s="37">
      <c r="A103" s="13" t="inlineStr">
        <is>
          <t>20600010086</t>
        </is>
      </c>
      <c r="B103" s="14" t="inlineStr">
        <is>
          <t>COOPERATIVA AGRARIA VALLE DEL CUCHARA LTDA</t>
        </is>
      </c>
      <c r="C103" s="13" t="inlineStr">
        <is>
          <t>HUANUCO</t>
        </is>
      </c>
      <c r="D103" s="15" t="n">
        <v>0</v>
      </c>
      <c r="E103" s="16" t="n">
        <v>0</v>
      </c>
      <c r="F103" s="17">
        <f>IFERROR(SCORECARDS!H102,"")</f>
        <v/>
      </c>
      <c r="G103" s="17">
        <f>IFERROR(MATRIZ_174!U102,0)</f>
        <v/>
      </c>
      <c r="H103" s="16" t="n">
        <v>0</v>
      </c>
      <c r="I103" s="17">
        <f>IFERROR(SCORECARDS!I102,"")</f>
        <v/>
      </c>
      <c r="J103" s="17">
        <f>IFERROR(SCORECARDS!J102,"")</f>
        <v/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7">
        <f>IFERROR(F103,0)</f>
        <v/>
      </c>
      <c r="Q103" s="17">
        <f>IFERROR(SQRT(G103*H103),0)</f>
        <v/>
      </c>
      <c r="R103" s="17">
        <f>IFERROR((I103+J103+L103)/3,0)</f>
        <v/>
      </c>
      <c r="S103" s="17">
        <f>IFERROR((J103+F103)/2,0)</f>
        <v/>
      </c>
      <c r="T103" s="17">
        <f>IFERROR((K103+M103+MATRIZ_174!O102)/3,0)</f>
        <v/>
      </c>
      <c r="U103" s="18">
        <f>IFERROR(MIN(100,ROUND(MATRIZ_174!M102,1)),0)</f>
        <v/>
      </c>
      <c r="V103" s="18">
        <f>IFERROR(IF(E103=0,50,E103),0)</f>
        <v/>
      </c>
      <c r="W103" s="18">
        <f>IFERROR(IF(MATRIZ_174!R102=0,65,IF(MATRIZ_174!R102/MATRIZ_174!Q102&gt;=2,35,IF(MATRIZ_174!R102/MATRIZ_174!Q102&gt;=0.5,50,65))),65)</f>
        <v/>
      </c>
      <c r="X103" s="18">
        <f>IF(MATRIZ_174!O102=0,70,30)</f>
        <v/>
      </c>
      <c r="Y103" s="18">
        <f>IF(OR(MATRIZ_174!P102="ASOCIACION",MATRIZ_174!P102="PENDIENTE"),65,40)</f>
        <v/>
      </c>
      <c r="Z103" s="19">
        <f>IFERROR(ROUND(AVERAGE(P103,Q103,R103,S103,T103),1),0)</f>
        <v/>
      </c>
      <c r="AA103" s="20">
        <f>IFERROR(ROUND(AVERAGE(U103,V103,W103,X103,Y103),1),0)</f>
        <v/>
      </c>
      <c r="AB103" s="21">
        <f>IFERROR(ROUND(AA103*(1-Z103/100),1),0)</f>
        <v/>
      </c>
      <c r="AC103" s="13">
        <f>IF(AND(Z103&gt;=50,AA103&lt;50),"🟢  Resilientes",IF(AND(Z103&gt;=50,AA103&gt;=50),"🟠  Expuestas Adaptables",IF(AND(Z103&lt;50,AA103&lt;50),"⬜  Riesgo Latente","🔴  Riesgo Crítico")))</f>
        <v/>
      </c>
      <c r="AD103" s="13">
        <f>IF(G103=0,"🚫  Inh. vigente OSCE","")</f>
        <v/>
      </c>
      <c r="AE103" s="22">
        <f>IFERROR(MATRIZ_174!W102,0)</f>
        <v/>
      </c>
      <c r="AF103" s="22">
        <f>IFERROR(MATRIZ_174!X102,0)</f>
        <v/>
      </c>
      <c r="AG103" s="22">
        <f>IFERROR(MATRIZ_174!Y102,0)</f>
        <v/>
      </c>
      <c r="AH103" s="22">
        <f>IFERROR(MATRIZ_174!Z102,0)</f>
        <v/>
      </c>
      <c r="AI103" s="17">
        <f>IFERROR(MATRIZ_174!AP102,"N/A")</f>
        <v/>
      </c>
      <c r="AJ103" s="17">
        <f>IFERROR(MATRIZ_174!AO102,"N/A")</f>
        <v/>
      </c>
      <c r="AK103" s="23">
        <f>IFERROR(ROUND(POWER((E103*F103*G103*H103*I103*J103*K103),1/7)*0.875+((L103+M103)/2)*0.125,1),"N/A")</f>
        <v/>
      </c>
      <c r="AL103" s="24">
        <f>IFERROR(IF(OR(AK103="N/A",AI103="N/A"),"N/A",ROUND(0.7*AK103+0.3*AI103*100,1)),"N/A")</f>
        <v/>
      </c>
    </row>
    <row r="104" ht="16.05" customHeight="1" s="37">
      <c r="A104" s="13" t="inlineStr">
        <is>
          <t>20600029887</t>
        </is>
      </c>
      <c r="B104" s="14" t="inlineStr">
        <is>
          <t>COOPERATIVA AGRARIA INTEGRAL LUZ DE LA ESPERANZA</t>
        </is>
      </c>
      <c r="C104" s="13" t="inlineStr">
        <is>
          <t>LORETO</t>
        </is>
      </c>
      <c r="D104" s="15" t="n">
        <v>0</v>
      </c>
      <c r="E104" s="16" t="n">
        <v>0</v>
      </c>
      <c r="F104" s="17">
        <f>IFERROR(SCORECARDS!H103,"")</f>
        <v/>
      </c>
      <c r="G104" s="17">
        <f>IFERROR(MATRIZ_174!U103,0)</f>
        <v/>
      </c>
      <c r="H104" s="16" t="n">
        <v>0</v>
      </c>
      <c r="I104" s="17">
        <f>IFERROR(SCORECARDS!I103,"")</f>
        <v/>
      </c>
      <c r="J104" s="17">
        <f>IFERROR(SCORECARDS!J103,"")</f>
        <v/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7">
        <f>IFERROR(F104,0)</f>
        <v/>
      </c>
      <c r="Q104" s="17">
        <f>IFERROR(SQRT(G104*H104),0)</f>
        <v/>
      </c>
      <c r="R104" s="17">
        <f>IFERROR((I104+J104+L104)/3,0)</f>
        <v/>
      </c>
      <c r="S104" s="17">
        <f>IFERROR((J104+F104)/2,0)</f>
        <v/>
      </c>
      <c r="T104" s="17">
        <f>IFERROR((K104+M104+MATRIZ_174!O103)/3,0)</f>
        <v/>
      </c>
      <c r="U104" s="18">
        <f>IFERROR(MIN(100,ROUND(MATRIZ_174!M103,1)),0)</f>
        <v/>
      </c>
      <c r="V104" s="18">
        <f>IFERROR(IF(E104=0,50,E104),0)</f>
        <v/>
      </c>
      <c r="W104" s="18">
        <f>IFERROR(IF(MATRIZ_174!R103=0,65,IF(MATRIZ_174!R103/MATRIZ_174!Q103&gt;=2,35,IF(MATRIZ_174!R103/MATRIZ_174!Q103&gt;=0.5,50,65))),65)</f>
        <v/>
      </c>
      <c r="X104" s="18">
        <f>IF(MATRIZ_174!O103=0,70,30)</f>
        <v/>
      </c>
      <c r="Y104" s="18">
        <f>IF(OR(MATRIZ_174!P103="ASOCIACION",MATRIZ_174!P103="PENDIENTE"),65,40)</f>
        <v/>
      </c>
      <c r="Z104" s="19">
        <f>IFERROR(ROUND(AVERAGE(P104,Q104,R104,S104,T104),1),0)</f>
        <v/>
      </c>
      <c r="AA104" s="20">
        <f>IFERROR(ROUND(AVERAGE(U104,V104,W104,X104,Y104),1),0)</f>
        <v/>
      </c>
      <c r="AB104" s="21">
        <f>IFERROR(ROUND(AA104*(1-Z104/100),1),0)</f>
        <v/>
      </c>
      <c r="AC104" s="13">
        <f>IF(AND(Z104&gt;=50,AA104&lt;50),"🟢  Resilientes",IF(AND(Z104&gt;=50,AA104&gt;=50),"🟠  Expuestas Adaptables",IF(AND(Z104&lt;50,AA104&lt;50),"⬜  Riesgo Latente","🔴  Riesgo Crítico")))</f>
        <v/>
      </c>
      <c r="AD104" s="13">
        <f>IF(G104=0,"🚫  Inh. vigente OSCE","")</f>
        <v/>
      </c>
      <c r="AE104" s="22">
        <f>IFERROR(MATRIZ_174!W103,0)</f>
        <v/>
      </c>
      <c r="AF104" s="22">
        <f>IFERROR(MATRIZ_174!X103,0)</f>
        <v/>
      </c>
      <c r="AG104" s="22">
        <f>IFERROR(MATRIZ_174!Y103,0)</f>
        <v/>
      </c>
      <c r="AH104" s="22">
        <f>IFERROR(MATRIZ_174!Z103,0)</f>
        <v/>
      </c>
      <c r="AI104" s="17">
        <f>IFERROR(MATRIZ_174!AP103,"N/A")</f>
        <v/>
      </c>
      <c r="AJ104" s="17">
        <f>IFERROR(MATRIZ_174!AO103,"N/A")</f>
        <v/>
      </c>
      <c r="AK104" s="23">
        <f>IFERROR(ROUND(POWER((E104*F104*G104*H104*I104*J104*K104),1/7)*0.875+((L104+M104)/2)*0.125,1),"N/A")</f>
        <v/>
      </c>
      <c r="AL104" s="24">
        <f>IFERROR(IF(OR(AK104="N/A",AI104="N/A"),"N/A",ROUND(0.7*AK104+0.3*AI104*100,1)),"N/A")</f>
        <v/>
      </c>
    </row>
    <row r="105" ht="16.05" customHeight="1" s="37">
      <c r="A105" s="13" t="inlineStr">
        <is>
          <t>20600146689</t>
        </is>
      </c>
      <c r="B105" s="14" t="inlineStr">
        <is>
          <t>COOPERATIVA AGRARIA DE SERVICIOS AGRICOLAS TAMBOPATA CANDAMO</t>
        </is>
      </c>
      <c r="C105" s="13" t="inlineStr">
        <is>
          <t>MADRE DE DIOS</t>
        </is>
      </c>
      <c r="D105" s="15" t="n">
        <v>0</v>
      </c>
      <c r="E105" s="16" t="n">
        <v>0</v>
      </c>
      <c r="F105" s="17">
        <f>IFERROR(SCORECARDS!H104,"")</f>
        <v/>
      </c>
      <c r="G105" s="17">
        <f>IFERROR(MATRIZ_174!U104,0)</f>
        <v/>
      </c>
      <c r="H105" s="16" t="n">
        <v>0</v>
      </c>
      <c r="I105" s="17">
        <f>IFERROR(SCORECARDS!I104,"")</f>
        <v/>
      </c>
      <c r="J105" s="17">
        <f>IFERROR(SCORECARDS!J104,"")</f>
        <v/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7">
        <f>IFERROR(F105,0)</f>
        <v/>
      </c>
      <c r="Q105" s="17">
        <f>IFERROR(SQRT(G105*H105),0)</f>
        <v/>
      </c>
      <c r="R105" s="17">
        <f>IFERROR((I105+J105+L105)/3,0)</f>
        <v/>
      </c>
      <c r="S105" s="17">
        <f>IFERROR((J105+F105)/2,0)</f>
        <v/>
      </c>
      <c r="T105" s="17">
        <f>IFERROR((K105+M105+MATRIZ_174!O104)/3,0)</f>
        <v/>
      </c>
      <c r="U105" s="18">
        <f>IFERROR(MIN(100,ROUND(MATRIZ_174!M104,1)),0)</f>
        <v/>
      </c>
      <c r="V105" s="18">
        <f>IFERROR(IF(E105=0,50,E105),0)</f>
        <v/>
      </c>
      <c r="W105" s="18">
        <f>IFERROR(IF(MATRIZ_174!R104=0,65,IF(MATRIZ_174!R104/MATRIZ_174!Q104&gt;=2,35,IF(MATRIZ_174!R104/MATRIZ_174!Q104&gt;=0.5,50,65))),65)</f>
        <v/>
      </c>
      <c r="X105" s="18">
        <f>IF(MATRIZ_174!O104=0,70,30)</f>
        <v/>
      </c>
      <c r="Y105" s="18">
        <f>IF(OR(MATRIZ_174!P104="ASOCIACION",MATRIZ_174!P104="PENDIENTE"),65,40)</f>
        <v/>
      </c>
      <c r="Z105" s="19">
        <f>IFERROR(ROUND(AVERAGE(P105,Q105,R105,S105,T105),1),0)</f>
        <v/>
      </c>
      <c r="AA105" s="20">
        <f>IFERROR(ROUND(AVERAGE(U105,V105,W105,X105,Y105),1),0)</f>
        <v/>
      </c>
      <c r="AB105" s="21">
        <f>IFERROR(ROUND(AA105*(1-Z105/100),1),0)</f>
        <v/>
      </c>
      <c r="AC105" s="13">
        <f>IF(AND(Z105&gt;=50,AA105&lt;50),"🟢  Resilientes",IF(AND(Z105&gt;=50,AA105&gt;=50),"🟠  Expuestas Adaptables",IF(AND(Z105&lt;50,AA105&lt;50),"⬜  Riesgo Latente","🔴  Riesgo Crítico")))</f>
        <v/>
      </c>
      <c r="AD105" s="13">
        <f>IF(G105=0,"🚫  Inh. vigente OSCE","")</f>
        <v/>
      </c>
      <c r="AE105" s="22">
        <f>IFERROR(MATRIZ_174!W104,0)</f>
        <v/>
      </c>
      <c r="AF105" s="22">
        <f>IFERROR(MATRIZ_174!X104,0)</f>
        <v/>
      </c>
      <c r="AG105" s="22">
        <f>IFERROR(MATRIZ_174!Y104,0)</f>
        <v/>
      </c>
      <c r="AH105" s="22">
        <f>IFERROR(MATRIZ_174!Z104,0)</f>
        <v/>
      </c>
      <c r="AI105" s="17">
        <f>IFERROR(MATRIZ_174!AP104,"N/A")</f>
        <v/>
      </c>
      <c r="AJ105" s="17">
        <f>IFERROR(MATRIZ_174!AO104,"N/A")</f>
        <v/>
      </c>
      <c r="AK105" s="23">
        <f>IFERROR(ROUND(POWER((E105*F105*G105*H105*I105*J105*K105),1/7)*0.875+((L105+M105)/2)*0.125,1),"N/A")</f>
        <v/>
      </c>
      <c r="AL105" s="24">
        <f>IFERROR(IF(OR(AK105="N/A",AI105="N/A"),"N/A",ROUND(0.7*AK105+0.3*AI105*100,1)),"N/A")</f>
        <v/>
      </c>
    </row>
    <row r="106" ht="16.05" customHeight="1" s="37">
      <c r="A106" s="13" t="inlineStr">
        <is>
          <t>20600200756</t>
        </is>
      </c>
      <c r="B106" s="14" t="inlineStr">
        <is>
          <t>COOPERATIVA AGRARIA CAFETALERA MONTAÑA AZUL LTDA. - COOPACMA</t>
        </is>
      </c>
      <c r="C106" s="13" t="inlineStr">
        <is>
          <t>AMAZONAS</t>
        </is>
      </c>
      <c r="D106" s="15" t="n">
        <v>0</v>
      </c>
      <c r="E106" s="16" t="n">
        <v>0</v>
      </c>
      <c r="F106" s="17">
        <f>IFERROR(SCORECARDS!H105,"")</f>
        <v/>
      </c>
      <c r="G106" s="17">
        <f>IFERROR(MATRIZ_174!U105,0)</f>
        <v/>
      </c>
      <c r="H106" s="16" t="n">
        <v>0</v>
      </c>
      <c r="I106" s="17">
        <f>IFERROR(SCORECARDS!I105,"")</f>
        <v/>
      </c>
      <c r="J106" s="17">
        <f>IFERROR(SCORECARDS!J105,"")</f>
        <v/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7">
        <f>IFERROR(F106,0)</f>
        <v/>
      </c>
      <c r="Q106" s="17">
        <f>IFERROR(SQRT(G106*H106),0)</f>
        <v/>
      </c>
      <c r="R106" s="17">
        <f>IFERROR((I106+J106+L106)/3,0)</f>
        <v/>
      </c>
      <c r="S106" s="17">
        <f>IFERROR((J106+F106)/2,0)</f>
        <v/>
      </c>
      <c r="T106" s="17">
        <f>IFERROR((K106+M106+MATRIZ_174!O105)/3,0)</f>
        <v/>
      </c>
      <c r="U106" s="18">
        <f>IFERROR(MIN(100,ROUND(MATRIZ_174!M105,1)),0)</f>
        <v/>
      </c>
      <c r="V106" s="18">
        <f>IFERROR(IF(E106=0,50,E106),0)</f>
        <v/>
      </c>
      <c r="W106" s="18">
        <f>IFERROR(IF(MATRIZ_174!R105=0,65,IF(MATRIZ_174!R105/MATRIZ_174!Q105&gt;=2,35,IF(MATRIZ_174!R105/MATRIZ_174!Q105&gt;=0.5,50,65))),65)</f>
        <v/>
      </c>
      <c r="X106" s="18">
        <f>IF(MATRIZ_174!O105=0,70,30)</f>
        <v/>
      </c>
      <c r="Y106" s="18">
        <f>IF(OR(MATRIZ_174!P105="ASOCIACION",MATRIZ_174!P105="PENDIENTE"),65,40)</f>
        <v/>
      </c>
      <c r="Z106" s="19">
        <f>IFERROR(ROUND(AVERAGE(P106,Q106,R106,S106,T106),1),0)</f>
        <v/>
      </c>
      <c r="AA106" s="20">
        <f>IFERROR(ROUND(AVERAGE(U106,V106,W106,X106,Y106),1),0)</f>
        <v/>
      </c>
      <c r="AB106" s="21">
        <f>IFERROR(ROUND(AA106*(1-Z106/100),1),0)</f>
        <v/>
      </c>
      <c r="AC106" s="13">
        <f>IF(AND(Z106&gt;=50,AA106&lt;50),"🟢  Resilientes",IF(AND(Z106&gt;=50,AA106&gt;=50),"🟠  Expuestas Adaptables",IF(AND(Z106&lt;50,AA106&lt;50),"⬜  Riesgo Latente","🔴  Riesgo Crítico")))</f>
        <v/>
      </c>
      <c r="AD106" s="13">
        <f>IF(G106=0,"🚫  Inh. vigente OSCE","")</f>
        <v/>
      </c>
      <c r="AE106" s="22">
        <f>IFERROR(MATRIZ_174!W105,0)</f>
        <v/>
      </c>
      <c r="AF106" s="22">
        <f>IFERROR(MATRIZ_174!X105,0)</f>
        <v/>
      </c>
      <c r="AG106" s="22">
        <f>IFERROR(MATRIZ_174!Y105,0)</f>
        <v/>
      </c>
      <c r="AH106" s="22">
        <f>IFERROR(MATRIZ_174!Z105,0)</f>
        <v/>
      </c>
      <c r="AI106" s="17">
        <f>IFERROR(MATRIZ_174!AP105,"N/A")</f>
        <v/>
      </c>
      <c r="AJ106" s="17">
        <f>IFERROR(MATRIZ_174!AO105,"N/A")</f>
        <v/>
      </c>
      <c r="AK106" s="23">
        <f>IFERROR(ROUND(POWER((E106*F106*G106*H106*I106*J106*K106),1/7)*0.875+((L106+M106)/2)*0.125,1),"N/A")</f>
        <v/>
      </c>
      <c r="AL106" s="24">
        <f>IFERROR(IF(OR(AK106="N/A",AI106="N/A"),"N/A",ROUND(0.7*AK106+0.3*AI106*100,1)),"N/A")</f>
        <v/>
      </c>
    </row>
    <row r="107" ht="16.05" customHeight="1" s="37">
      <c r="A107" s="13" t="inlineStr">
        <is>
          <t>20600263286</t>
        </is>
      </c>
      <c r="B107" s="14" t="inlineStr">
        <is>
          <t>ASOCIACIÓN DE PRODUCTORES SELVA NORORIENTAL</t>
        </is>
      </c>
      <c r="C107" s="13" t="inlineStr">
        <is>
          <t>SAN MARTIN</t>
        </is>
      </c>
      <c r="D107" s="15" t="n">
        <v>2059443.82</v>
      </c>
      <c r="E107" s="16" t="n">
        <v>0</v>
      </c>
      <c r="F107" s="17">
        <f>IFERROR(SCORECARDS!H106,"")</f>
        <v/>
      </c>
      <c r="G107" s="17">
        <f>IFERROR(MATRIZ_174!U106,0)</f>
        <v/>
      </c>
      <c r="H107" s="16" t="n">
        <v>0</v>
      </c>
      <c r="I107" s="17">
        <f>IFERROR(SCORECARDS!I106,"")</f>
        <v/>
      </c>
      <c r="J107" s="17">
        <f>IFERROR(SCORECARDS!J106,"")</f>
        <v/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0</v>
      </c>
      <c r="P107" s="17">
        <f>IFERROR(F107,0)</f>
        <v/>
      </c>
      <c r="Q107" s="17">
        <f>IFERROR(SQRT(G107*H107),0)</f>
        <v/>
      </c>
      <c r="R107" s="17">
        <f>IFERROR((I107+J107+L107)/3,0)</f>
        <v/>
      </c>
      <c r="S107" s="17">
        <f>IFERROR((J107+F107)/2,0)</f>
        <v/>
      </c>
      <c r="T107" s="17">
        <f>IFERROR((K107+M107+MATRIZ_174!O106)/3,0)</f>
        <v/>
      </c>
      <c r="U107" s="18">
        <f>IFERROR(MIN(100,ROUND(MATRIZ_174!M106,1)),0)</f>
        <v/>
      </c>
      <c r="V107" s="18">
        <f>IFERROR(IF(E107=0,50,E107),0)</f>
        <v/>
      </c>
      <c r="W107" s="18">
        <f>IFERROR(IF(MATRIZ_174!R106=0,65,IF(MATRIZ_174!R106/MATRIZ_174!Q106&gt;=2,35,IF(MATRIZ_174!R106/MATRIZ_174!Q106&gt;=0.5,50,65))),65)</f>
        <v/>
      </c>
      <c r="X107" s="18">
        <f>IF(MATRIZ_174!O106=0,70,30)</f>
        <v/>
      </c>
      <c r="Y107" s="18">
        <f>IF(OR(MATRIZ_174!P106="ASOCIACION",MATRIZ_174!P106="PENDIENTE"),65,40)</f>
        <v/>
      </c>
      <c r="Z107" s="19">
        <f>IFERROR(ROUND(AVERAGE(P107,Q107,R107,S107,T107),1),0)</f>
        <v/>
      </c>
      <c r="AA107" s="20">
        <f>IFERROR(ROUND(AVERAGE(U107,V107,W107,X107,Y107),1),0)</f>
        <v/>
      </c>
      <c r="AB107" s="21">
        <f>IFERROR(ROUND(AA107*(1-Z107/100),1),0)</f>
        <v/>
      </c>
      <c r="AC107" s="13">
        <f>IF(AND(Z107&gt;=50,AA107&lt;50),"🟢  Resilientes",IF(AND(Z107&gt;=50,AA107&gt;=50),"🟠  Expuestas Adaptables",IF(AND(Z107&lt;50,AA107&lt;50),"⬜  Riesgo Latente","🔴  Riesgo Crítico")))</f>
        <v/>
      </c>
      <c r="AD107" s="13">
        <f>IF(G107=0,"🚫  Inh. vigente OSCE","")</f>
        <v/>
      </c>
      <c r="AE107" s="22">
        <f>IFERROR(MATRIZ_174!W106,0)</f>
        <v/>
      </c>
      <c r="AF107" s="22">
        <f>IFERROR(MATRIZ_174!X106,0)</f>
        <v/>
      </c>
      <c r="AG107" s="22">
        <f>IFERROR(MATRIZ_174!Y106,0)</f>
        <v/>
      </c>
      <c r="AH107" s="22">
        <f>IFERROR(MATRIZ_174!Z106,0)</f>
        <v/>
      </c>
      <c r="AI107" s="17">
        <f>IFERROR(MATRIZ_174!AP106,"N/A")</f>
        <v/>
      </c>
      <c r="AJ107" s="17">
        <f>IFERROR(MATRIZ_174!AO106,"N/A")</f>
        <v/>
      </c>
      <c r="AK107" s="23">
        <f>IFERROR(ROUND(POWER((E107*F107*G107*H107*I107*J107*K107),1/7)*0.875+((L107+M107)/2)*0.125,1),"N/A")</f>
        <v/>
      </c>
      <c r="AL107" s="24">
        <f>IFERROR(IF(OR(AK107="N/A",AI107="N/A"),"N/A",ROUND(0.7*AK107+0.3*AI107*100,1)),"N/A")</f>
        <v/>
      </c>
    </row>
    <row r="108" ht="16.05" customHeight="1" s="37">
      <c r="A108" s="13" t="inlineStr">
        <is>
          <t>20600382064</t>
        </is>
      </c>
      <c r="B108" s="14" t="inlineStr">
        <is>
          <t>COOPERATIVA AGRARIA ECOLOGICA AGROINDUSTRIAL DE CURIMANA LTD</t>
        </is>
      </c>
      <c r="C108" s="13" t="inlineStr">
        <is>
          <t>UCAYALI</t>
        </is>
      </c>
      <c r="D108" s="15" t="n">
        <v>0</v>
      </c>
      <c r="E108" s="16" t="n">
        <v>0</v>
      </c>
      <c r="F108" s="17">
        <f>IFERROR(SCORECARDS!H107,"")</f>
        <v/>
      </c>
      <c r="G108" s="17">
        <f>IFERROR(MATRIZ_174!U107,0)</f>
        <v/>
      </c>
      <c r="H108" s="16" t="n">
        <v>0</v>
      </c>
      <c r="I108" s="17">
        <f>IFERROR(SCORECARDS!I107,"")</f>
        <v/>
      </c>
      <c r="J108" s="17">
        <f>IFERROR(SCORECARDS!J107,"")</f>
        <v/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7">
        <f>IFERROR(F108,0)</f>
        <v/>
      </c>
      <c r="Q108" s="17">
        <f>IFERROR(SQRT(G108*H108),0)</f>
        <v/>
      </c>
      <c r="R108" s="17">
        <f>IFERROR((I108+J108+L108)/3,0)</f>
        <v/>
      </c>
      <c r="S108" s="17">
        <f>IFERROR((J108+F108)/2,0)</f>
        <v/>
      </c>
      <c r="T108" s="17">
        <f>IFERROR((K108+M108+MATRIZ_174!O107)/3,0)</f>
        <v/>
      </c>
      <c r="U108" s="18">
        <f>IFERROR(MIN(100,ROUND(MATRIZ_174!M107,1)),0)</f>
        <v/>
      </c>
      <c r="V108" s="18">
        <f>IFERROR(IF(E108=0,50,E108),0)</f>
        <v/>
      </c>
      <c r="W108" s="18">
        <f>IFERROR(IF(MATRIZ_174!R107=0,65,IF(MATRIZ_174!R107/MATRIZ_174!Q107&gt;=2,35,IF(MATRIZ_174!R107/MATRIZ_174!Q107&gt;=0.5,50,65))),65)</f>
        <v/>
      </c>
      <c r="X108" s="18">
        <f>IF(MATRIZ_174!O107=0,70,30)</f>
        <v/>
      </c>
      <c r="Y108" s="18">
        <f>IF(OR(MATRIZ_174!P107="ASOCIACION",MATRIZ_174!P107="PENDIENTE"),65,40)</f>
        <v/>
      </c>
      <c r="Z108" s="19">
        <f>IFERROR(ROUND(AVERAGE(P108,Q108,R108,S108,T108),1),0)</f>
        <v/>
      </c>
      <c r="AA108" s="20">
        <f>IFERROR(ROUND(AVERAGE(U108,V108,W108,X108,Y108),1),0)</f>
        <v/>
      </c>
      <c r="AB108" s="21">
        <f>IFERROR(ROUND(AA108*(1-Z108/100),1),0)</f>
        <v/>
      </c>
      <c r="AC108" s="13">
        <f>IF(AND(Z108&gt;=50,AA108&lt;50),"🟢  Resilientes",IF(AND(Z108&gt;=50,AA108&gt;=50),"🟠  Expuestas Adaptables",IF(AND(Z108&lt;50,AA108&lt;50),"⬜  Riesgo Latente","🔴  Riesgo Crítico")))</f>
        <v/>
      </c>
      <c r="AD108" s="13">
        <f>IF(G108=0,"🚫  Inh. vigente OSCE","")</f>
        <v/>
      </c>
      <c r="AE108" s="22">
        <f>IFERROR(MATRIZ_174!W107,0)</f>
        <v/>
      </c>
      <c r="AF108" s="22">
        <f>IFERROR(MATRIZ_174!X107,0)</f>
        <v/>
      </c>
      <c r="AG108" s="22">
        <f>IFERROR(MATRIZ_174!Y107,0)</f>
        <v/>
      </c>
      <c r="AH108" s="22">
        <f>IFERROR(MATRIZ_174!Z107,0)</f>
        <v/>
      </c>
      <c r="AI108" s="17">
        <f>IFERROR(MATRIZ_174!AP107,"N/A")</f>
        <v/>
      </c>
      <c r="AJ108" s="17">
        <f>IFERROR(MATRIZ_174!AO107,"N/A")</f>
        <v/>
      </c>
      <c r="AK108" s="23">
        <f>IFERROR(ROUND(POWER((E108*F108*G108*H108*I108*J108*K108),1/7)*0.875+((L108+M108)/2)*0.125,1),"N/A")</f>
        <v/>
      </c>
      <c r="AL108" s="24">
        <f>IFERROR(IF(OR(AK108="N/A",AI108="N/A"),"N/A",ROUND(0.7*AK108+0.3*AI108*100,1)),"N/A")</f>
        <v/>
      </c>
    </row>
    <row r="109" ht="16.05" customHeight="1" s="37">
      <c r="A109" s="13" t="inlineStr">
        <is>
          <t>20600390911</t>
        </is>
      </c>
      <c r="B109" s="14" t="inlineStr">
        <is>
          <t>COOPERATIVA AGRARIA DE CACAO AROMATICO COLPA DE LOROS</t>
        </is>
      </c>
      <c r="C109" s="13" t="inlineStr">
        <is>
          <t>UCAYALI</t>
        </is>
      </c>
      <c r="D109" s="15" t="n">
        <v>10616860.41</v>
      </c>
      <c r="E109" s="16" t="n">
        <v>0</v>
      </c>
      <c r="F109" s="17">
        <f>IFERROR(SCORECARDS!H108,"")</f>
        <v/>
      </c>
      <c r="G109" s="17">
        <f>IFERROR(MATRIZ_174!U108,0)</f>
        <v/>
      </c>
      <c r="H109" s="16" t="n">
        <v>0</v>
      </c>
      <c r="I109" s="17">
        <f>IFERROR(SCORECARDS!I108,"")</f>
        <v/>
      </c>
      <c r="J109" s="17">
        <f>IFERROR(SCORECARDS!J108,"")</f>
        <v/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0</v>
      </c>
      <c r="P109" s="17">
        <f>IFERROR(F109,0)</f>
        <v/>
      </c>
      <c r="Q109" s="17">
        <f>IFERROR(SQRT(G109*H109),0)</f>
        <v/>
      </c>
      <c r="R109" s="17">
        <f>IFERROR((I109+J109+L109)/3,0)</f>
        <v/>
      </c>
      <c r="S109" s="17">
        <f>IFERROR((J109+F109)/2,0)</f>
        <v/>
      </c>
      <c r="T109" s="17">
        <f>IFERROR((K109+M109+MATRIZ_174!O108)/3,0)</f>
        <v/>
      </c>
      <c r="U109" s="18">
        <f>IFERROR(MIN(100,ROUND(MATRIZ_174!M108,1)),0)</f>
        <v/>
      </c>
      <c r="V109" s="18">
        <f>IFERROR(IF(E109=0,50,E109),0)</f>
        <v/>
      </c>
      <c r="W109" s="18">
        <f>IFERROR(IF(MATRIZ_174!R108=0,65,IF(MATRIZ_174!R108/MATRIZ_174!Q108&gt;=2,35,IF(MATRIZ_174!R108/MATRIZ_174!Q108&gt;=0.5,50,65))),65)</f>
        <v/>
      </c>
      <c r="X109" s="18">
        <f>IF(MATRIZ_174!O108=0,70,30)</f>
        <v/>
      </c>
      <c r="Y109" s="18">
        <f>IF(OR(MATRIZ_174!P108="ASOCIACION",MATRIZ_174!P108="PENDIENTE"),65,40)</f>
        <v/>
      </c>
      <c r="Z109" s="19">
        <f>IFERROR(ROUND(AVERAGE(P109,Q109,R109,S109,T109),1),0)</f>
        <v/>
      </c>
      <c r="AA109" s="20">
        <f>IFERROR(ROUND(AVERAGE(U109,V109,W109,X109,Y109),1),0)</f>
        <v/>
      </c>
      <c r="AB109" s="21">
        <f>IFERROR(ROUND(AA109*(1-Z109/100),1),0)</f>
        <v/>
      </c>
      <c r="AC109" s="13">
        <f>IF(AND(Z109&gt;=50,AA109&lt;50),"🟢  Resilientes",IF(AND(Z109&gt;=50,AA109&gt;=50),"🟠  Expuestas Adaptables",IF(AND(Z109&lt;50,AA109&lt;50),"⬜  Riesgo Latente","🔴  Riesgo Crítico")))</f>
        <v/>
      </c>
      <c r="AD109" s="13">
        <f>IF(G109=0,"🚫  Inh. vigente OSCE","")</f>
        <v/>
      </c>
      <c r="AE109" s="22">
        <f>IFERROR(MATRIZ_174!W108,0)</f>
        <v/>
      </c>
      <c r="AF109" s="22">
        <f>IFERROR(MATRIZ_174!X108,0)</f>
        <v/>
      </c>
      <c r="AG109" s="22">
        <f>IFERROR(MATRIZ_174!Y108,0)</f>
        <v/>
      </c>
      <c r="AH109" s="22">
        <f>IFERROR(MATRIZ_174!Z108,0)</f>
        <v/>
      </c>
      <c r="AI109" s="17">
        <f>IFERROR(MATRIZ_174!AP108,"N/A")</f>
        <v/>
      </c>
      <c r="AJ109" s="17">
        <f>IFERROR(MATRIZ_174!AO108,"N/A")</f>
        <v/>
      </c>
      <c r="AK109" s="23">
        <f>IFERROR(ROUND(POWER((E109*F109*G109*H109*I109*J109*K109),1/7)*0.875+((L109+M109)/2)*0.125,1),"N/A")</f>
        <v/>
      </c>
      <c r="AL109" s="24">
        <f>IFERROR(IF(OR(AK109="N/A",AI109="N/A"),"N/A",ROUND(0.7*AK109+0.3*AI109*100,1)),"N/A")</f>
        <v/>
      </c>
    </row>
    <row r="110" ht="16.05" customHeight="1" s="37">
      <c r="A110" s="13" t="inlineStr">
        <is>
          <t>20600529693</t>
        </is>
      </c>
      <c r="B110" s="14" t="inlineStr">
        <is>
          <t>AGRO ASOCIACION Y SERVICIOS TINKUY</t>
        </is>
      </c>
      <c r="C110" s="13" t="inlineStr">
        <is>
          <t>AYACUCHO</t>
        </is>
      </c>
      <c r="D110" s="15" t="n">
        <v>0</v>
      </c>
      <c r="E110" s="16" t="n">
        <v>0</v>
      </c>
      <c r="F110" s="17">
        <f>IFERROR(SCORECARDS!H109,"")</f>
        <v/>
      </c>
      <c r="G110" s="17">
        <f>IFERROR(MATRIZ_174!U109,0)</f>
        <v/>
      </c>
      <c r="H110" s="16" t="n">
        <v>0</v>
      </c>
      <c r="I110" s="17">
        <f>IFERROR(SCORECARDS!I109,"")</f>
        <v/>
      </c>
      <c r="J110" s="17">
        <f>IFERROR(SCORECARDS!J109,"")</f>
        <v/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7">
        <f>IFERROR(F110,0)</f>
        <v/>
      </c>
      <c r="Q110" s="17">
        <f>IFERROR(SQRT(G110*H110),0)</f>
        <v/>
      </c>
      <c r="R110" s="17">
        <f>IFERROR((I110+J110+L110)/3,0)</f>
        <v/>
      </c>
      <c r="S110" s="17">
        <f>IFERROR((J110+F110)/2,0)</f>
        <v/>
      </c>
      <c r="T110" s="17">
        <f>IFERROR((K110+M110+MATRIZ_174!O109)/3,0)</f>
        <v/>
      </c>
      <c r="U110" s="18">
        <f>IFERROR(MIN(100,ROUND(MATRIZ_174!M109,1)),0)</f>
        <v/>
      </c>
      <c r="V110" s="18">
        <f>IFERROR(IF(E110=0,50,E110),0)</f>
        <v/>
      </c>
      <c r="W110" s="18">
        <f>IFERROR(IF(MATRIZ_174!R109=0,65,IF(MATRIZ_174!R109/MATRIZ_174!Q109&gt;=2,35,IF(MATRIZ_174!R109/MATRIZ_174!Q109&gt;=0.5,50,65))),65)</f>
        <v/>
      </c>
      <c r="X110" s="18">
        <f>IF(MATRIZ_174!O109=0,70,30)</f>
        <v/>
      </c>
      <c r="Y110" s="18">
        <f>IF(OR(MATRIZ_174!P109="ASOCIACION",MATRIZ_174!P109="PENDIENTE"),65,40)</f>
        <v/>
      </c>
      <c r="Z110" s="19">
        <f>IFERROR(ROUND(AVERAGE(P110,Q110,R110,S110,T110),1),0)</f>
        <v/>
      </c>
      <c r="AA110" s="20">
        <f>IFERROR(ROUND(AVERAGE(U110,V110,W110,X110,Y110),1),0)</f>
        <v/>
      </c>
      <c r="AB110" s="21">
        <f>IFERROR(ROUND(AA110*(1-Z110/100),1),0)</f>
        <v/>
      </c>
      <c r="AC110" s="13">
        <f>IF(AND(Z110&gt;=50,AA110&lt;50),"🟢  Resilientes",IF(AND(Z110&gt;=50,AA110&gt;=50),"🟠  Expuestas Adaptables",IF(AND(Z110&lt;50,AA110&lt;50),"⬜  Riesgo Latente","🔴  Riesgo Crítico")))</f>
        <v/>
      </c>
      <c r="AD110" s="13">
        <f>IF(G110=0,"🚫  Inh. vigente OSCE","")</f>
        <v/>
      </c>
      <c r="AE110" s="22">
        <f>IFERROR(MATRIZ_174!W109,0)</f>
        <v/>
      </c>
      <c r="AF110" s="22">
        <f>IFERROR(MATRIZ_174!X109,0)</f>
        <v/>
      </c>
      <c r="AG110" s="22">
        <f>IFERROR(MATRIZ_174!Y109,0)</f>
        <v/>
      </c>
      <c r="AH110" s="22">
        <f>IFERROR(MATRIZ_174!Z109,0)</f>
        <v/>
      </c>
      <c r="AI110" s="17">
        <f>IFERROR(MATRIZ_174!AP109,"N/A")</f>
        <v/>
      </c>
      <c r="AJ110" s="17">
        <f>IFERROR(MATRIZ_174!AO109,"N/A")</f>
        <v/>
      </c>
      <c r="AK110" s="23">
        <f>IFERROR(ROUND(POWER((E110*F110*G110*H110*I110*J110*K110),1/7)*0.875+((L110+M110)/2)*0.125,1),"N/A")</f>
        <v/>
      </c>
      <c r="AL110" s="24">
        <f>IFERROR(IF(OR(AK110="N/A",AI110="N/A"),"N/A",ROUND(0.7*AK110+0.3*AI110*100,1)),"N/A")</f>
        <v/>
      </c>
    </row>
    <row r="111" ht="16.05" customHeight="1" s="37">
      <c r="A111" s="13" t="inlineStr">
        <is>
          <t>20600668430</t>
        </is>
      </c>
      <c r="B111" s="14" t="inlineStr">
        <is>
          <t>COOPERATIVA AGRARIA DEL CENTRO POBLADO DE BELLA BAJO MONZON</t>
        </is>
      </c>
      <c r="C111" s="13" t="inlineStr">
        <is>
          <t>HUANUCO</t>
        </is>
      </c>
      <c r="D111" s="15" t="n">
        <v>0</v>
      </c>
      <c r="E111" s="16" t="n">
        <v>0</v>
      </c>
      <c r="F111" s="17">
        <f>IFERROR(SCORECARDS!H110,"")</f>
        <v/>
      </c>
      <c r="G111" s="17">
        <f>IFERROR(MATRIZ_174!U110,0)</f>
        <v/>
      </c>
      <c r="H111" s="16" t="n">
        <v>0</v>
      </c>
      <c r="I111" s="17">
        <f>IFERROR(SCORECARDS!I110,"")</f>
        <v/>
      </c>
      <c r="J111" s="17">
        <f>IFERROR(SCORECARDS!J110,"")</f>
        <v/>
      </c>
      <c r="K111" s="16" t="n">
        <v>0</v>
      </c>
      <c r="L111" s="16" t="n">
        <v>0</v>
      </c>
      <c r="M111" s="16" t="n">
        <v>0</v>
      </c>
      <c r="N111" s="16" t="n">
        <v>0</v>
      </c>
      <c r="O111" s="16" t="n">
        <v>0</v>
      </c>
      <c r="P111" s="17">
        <f>IFERROR(F111,0)</f>
        <v/>
      </c>
      <c r="Q111" s="17">
        <f>IFERROR(SQRT(G111*H111),0)</f>
        <v/>
      </c>
      <c r="R111" s="17">
        <f>IFERROR((I111+J111+L111)/3,0)</f>
        <v/>
      </c>
      <c r="S111" s="17">
        <f>IFERROR((J111+F111)/2,0)</f>
        <v/>
      </c>
      <c r="T111" s="17">
        <f>IFERROR((K111+M111+MATRIZ_174!O110)/3,0)</f>
        <v/>
      </c>
      <c r="U111" s="18">
        <f>IFERROR(MIN(100,ROUND(MATRIZ_174!M110,1)),0)</f>
        <v/>
      </c>
      <c r="V111" s="18">
        <f>IFERROR(IF(E111=0,50,E111),0)</f>
        <v/>
      </c>
      <c r="W111" s="18">
        <f>IFERROR(IF(MATRIZ_174!R110=0,65,IF(MATRIZ_174!R110/MATRIZ_174!Q110&gt;=2,35,IF(MATRIZ_174!R110/MATRIZ_174!Q110&gt;=0.5,50,65))),65)</f>
        <v/>
      </c>
      <c r="X111" s="18">
        <f>IF(MATRIZ_174!O110=0,70,30)</f>
        <v/>
      </c>
      <c r="Y111" s="18">
        <f>IF(OR(MATRIZ_174!P110="ASOCIACION",MATRIZ_174!P110="PENDIENTE"),65,40)</f>
        <v/>
      </c>
      <c r="Z111" s="19">
        <f>IFERROR(ROUND(AVERAGE(P111,Q111,R111,S111,T111),1),0)</f>
        <v/>
      </c>
      <c r="AA111" s="20">
        <f>IFERROR(ROUND(AVERAGE(U111,V111,W111,X111,Y111),1),0)</f>
        <v/>
      </c>
      <c r="AB111" s="21">
        <f>IFERROR(ROUND(AA111*(1-Z111/100),1),0)</f>
        <v/>
      </c>
      <c r="AC111" s="13">
        <f>IF(AND(Z111&gt;=50,AA111&lt;50),"🟢  Resilientes",IF(AND(Z111&gt;=50,AA111&gt;=50),"🟠  Expuestas Adaptables",IF(AND(Z111&lt;50,AA111&lt;50),"⬜  Riesgo Latente","🔴  Riesgo Crítico")))</f>
        <v/>
      </c>
      <c r="AD111" s="13">
        <f>IF(G111=0,"🚫  Inh. vigente OSCE","")</f>
        <v/>
      </c>
      <c r="AE111" s="22">
        <f>IFERROR(MATRIZ_174!W110,0)</f>
        <v/>
      </c>
      <c r="AF111" s="22">
        <f>IFERROR(MATRIZ_174!X110,0)</f>
        <v/>
      </c>
      <c r="AG111" s="22">
        <f>IFERROR(MATRIZ_174!Y110,0)</f>
        <v/>
      </c>
      <c r="AH111" s="22">
        <f>IFERROR(MATRIZ_174!Z110,0)</f>
        <v/>
      </c>
      <c r="AI111" s="17">
        <f>IFERROR(MATRIZ_174!AP110,"N/A")</f>
        <v/>
      </c>
      <c r="AJ111" s="17">
        <f>IFERROR(MATRIZ_174!AO110,"N/A")</f>
        <v/>
      </c>
      <c r="AK111" s="23">
        <f>IFERROR(ROUND(POWER((E111*F111*G111*H111*I111*J111*K111),1/7)*0.875+((L111+M111)/2)*0.125,1),"N/A")</f>
        <v/>
      </c>
      <c r="AL111" s="24">
        <f>IFERROR(IF(OR(AK111="N/A",AI111="N/A"),"N/A",ROUND(0.7*AK111+0.3*AI111*100,1)),"N/A")</f>
        <v/>
      </c>
    </row>
    <row r="112" ht="16.05" customHeight="1" s="37">
      <c r="A112" s="13" t="inlineStr">
        <is>
          <t>20600682386</t>
        </is>
      </c>
      <c r="B112" s="14" t="inlineStr">
        <is>
          <t>ASOCIACION DE PRODUCTORES AGROPECUARIOS VALLE VERDE DE RODRI</t>
        </is>
      </c>
      <c r="C112" s="13" t="inlineStr">
        <is>
          <t>AMAZONAS</t>
        </is>
      </c>
      <c r="D112" s="15" t="n">
        <v>0</v>
      </c>
      <c r="E112" s="16" t="n">
        <v>0</v>
      </c>
      <c r="F112" s="17">
        <f>IFERROR(SCORECARDS!H111,"")</f>
        <v/>
      </c>
      <c r="G112" s="17">
        <f>IFERROR(MATRIZ_174!U111,0)</f>
        <v/>
      </c>
      <c r="H112" s="16" t="n">
        <v>0</v>
      </c>
      <c r="I112" s="17">
        <f>IFERROR(SCORECARDS!I111,"")</f>
        <v/>
      </c>
      <c r="J112" s="17">
        <f>IFERROR(SCORECARDS!J111,"")</f>
        <v/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7">
        <f>IFERROR(F112,0)</f>
        <v/>
      </c>
      <c r="Q112" s="17">
        <f>IFERROR(SQRT(G112*H112),0)</f>
        <v/>
      </c>
      <c r="R112" s="17">
        <f>IFERROR((I112+J112+L112)/3,0)</f>
        <v/>
      </c>
      <c r="S112" s="17">
        <f>IFERROR((J112+F112)/2,0)</f>
        <v/>
      </c>
      <c r="T112" s="17">
        <f>IFERROR((K112+M112+MATRIZ_174!O111)/3,0)</f>
        <v/>
      </c>
      <c r="U112" s="18">
        <f>IFERROR(MIN(100,ROUND(MATRIZ_174!M111,1)),0)</f>
        <v/>
      </c>
      <c r="V112" s="18">
        <f>IFERROR(IF(E112=0,50,E112),0)</f>
        <v/>
      </c>
      <c r="W112" s="18">
        <f>IFERROR(IF(MATRIZ_174!R111=0,65,IF(MATRIZ_174!R111/MATRIZ_174!Q111&gt;=2,35,IF(MATRIZ_174!R111/MATRIZ_174!Q111&gt;=0.5,50,65))),65)</f>
        <v/>
      </c>
      <c r="X112" s="18">
        <f>IF(MATRIZ_174!O111=0,70,30)</f>
        <v/>
      </c>
      <c r="Y112" s="18">
        <f>IF(OR(MATRIZ_174!P111="ASOCIACION",MATRIZ_174!P111="PENDIENTE"),65,40)</f>
        <v/>
      </c>
      <c r="Z112" s="19">
        <f>IFERROR(ROUND(AVERAGE(P112,Q112,R112,S112,T112),1),0)</f>
        <v/>
      </c>
      <c r="AA112" s="20">
        <f>IFERROR(ROUND(AVERAGE(U112,V112,W112,X112,Y112),1),0)</f>
        <v/>
      </c>
      <c r="AB112" s="21">
        <f>IFERROR(ROUND(AA112*(1-Z112/100),1),0)</f>
        <v/>
      </c>
      <c r="AC112" s="13">
        <f>IF(AND(Z112&gt;=50,AA112&lt;50),"🟢  Resilientes",IF(AND(Z112&gt;=50,AA112&gt;=50),"🟠  Expuestas Adaptables",IF(AND(Z112&lt;50,AA112&lt;50),"⬜  Riesgo Latente","🔴  Riesgo Crítico")))</f>
        <v/>
      </c>
      <c r="AD112" s="13">
        <f>IF(G112=0,"🚫  Inh. vigente OSCE","")</f>
        <v/>
      </c>
      <c r="AE112" s="22">
        <f>IFERROR(MATRIZ_174!W111,0)</f>
        <v/>
      </c>
      <c r="AF112" s="22">
        <f>IFERROR(MATRIZ_174!X111,0)</f>
        <v/>
      </c>
      <c r="AG112" s="22">
        <f>IFERROR(MATRIZ_174!Y111,0)</f>
        <v/>
      </c>
      <c r="AH112" s="22">
        <f>IFERROR(MATRIZ_174!Z111,0)</f>
        <v/>
      </c>
      <c r="AI112" s="17">
        <f>IFERROR(MATRIZ_174!AP111,"N/A")</f>
        <v/>
      </c>
      <c r="AJ112" s="17">
        <f>IFERROR(MATRIZ_174!AO111,"N/A")</f>
        <v/>
      </c>
      <c r="AK112" s="23">
        <f>IFERROR(ROUND(POWER((E112*F112*G112*H112*I112*J112*K112),1/7)*0.875+((L112+M112)/2)*0.125,1),"N/A")</f>
        <v/>
      </c>
      <c r="AL112" s="24">
        <f>IFERROR(IF(OR(AK112="N/A",AI112="N/A"),"N/A",ROUND(0.7*AK112+0.3*AI112*100,1)),"N/A")</f>
        <v/>
      </c>
    </row>
    <row r="113" ht="16.05" customHeight="1" s="37">
      <c r="A113" s="13" t="inlineStr">
        <is>
          <t>20600720733</t>
        </is>
      </c>
      <c r="B113" s="14" t="inlineStr">
        <is>
          <t>COOPERATIVA AGRARIA VALLE DEL MONZON CAV MONZON</t>
        </is>
      </c>
      <c r="C113" s="13" t="inlineStr">
        <is>
          <t>HUANUCO</t>
        </is>
      </c>
      <c r="D113" s="15" t="n">
        <v>0</v>
      </c>
      <c r="E113" s="16" t="n">
        <v>0</v>
      </c>
      <c r="F113" s="17">
        <f>IFERROR(SCORECARDS!H112,"")</f>
        <v/>
      </c>
      <c r="G113" s="17">
        <f>IFERROR(MATRIZ_174!U112,0)</f>
        <v/>
      </c>
      <c r="H113" s="16" t="n">
        <v>0</v>
      </c>
      <c r="I113" s="17">
        <f>IFERROR(SCORECARDS!I112,"")</f>
        <v/>
      </c>
      <c r="J113" s="17">
        <f>IFERROR(SCORECARDS!J112,"")</f>
        <v/>
      </c>
      <c r="K113" s="16" t="n">
        <v>0</v>
      </c>
      <c r="L113" s="16" t="n">
        <v>0</v>
      </c>
      <c r="M113" s="16" t="n">
        <v>0</v>
      </c>
      <c r="N113" s="16" t="n">
        <v>0</v>
      </c>
      <c r="O113" s="16" t="n">
        <v>0</v>
      </c>
      <c r="P113" s="17">
        <f>IFERROR(F113,0)</f>
        <v/>
      </c>
      <c r="Q113" s="17">
        <f>IFERROR(SQRT(G113*H113),0)</f>
        <v/>
      </c>
      <c r="R113" s="17">
        <f>IFERROR((I113+J113+L113)/3,0)</f>
        <v/>
      </c>
      <c r="S113" s="17">
        <f>IFERROR((J113+F113)/2,0)</f>
        <v/>
      </c>
      <c r="T113" s="17">
        <f>IFERROR((K113+M113+MATRIZ_174!O112)/3,0)</f>
        <v/>
      </c>
      <c r="U113" s="18">
        <f>IFERROR(MIN(100,ROUND(MATRIZ_174!M112,1)),0)</f>
        <v/>
      </c>
      <c r="V113" s="18">
        <f>IFERROR(IF(E113=0,50,E113),0)</f>
        <v/>
      </c>
      <c r="W113" s="18">
        <f>IFERROR(IF(MATRIZ_174!R112=0,65,IF(MATRIZ_174!R112/MATRIZ_174!Q112&gt;=2,35,IF(MATRIZ_174!R112/MATRIZ_174!Q112&gt;=0.5,50,65))),65)</f>
        <v/>
      </c>
      <c r="X113" s="18">
        <f>IF(MATRIZ_174!O112=0,70,30)</f>
        <v/>
      </c>
      <c r="Y113" s="18">
        <f>IF(OR(MATRIZ_174!P112="ASOCIACION",MATRIZ_174!P112="PENDIENTE"),65,40)</f>
        <v/>
      </c>
      <c r="Z113" s="19">
        <f>IFERROR(ROUND(AVERAGE(P113,Q113,R113,S113,T113),1),0)</f>
        <v/>
      </c>
      <c r="AA113" s="20">
        <f>IFERROR(ROUND(AVERAGE(U113,V113,W113,X113,Y113),1),0)</f>
        <v/>
      </c>
      <c r="AB113" s="21">
        <f>IFERROR(ROUND(AA113*(1-Z113/100),1),0)</f>
        <v/>
      </c>
      <c r="AC113" s="13">
        <f>IF(AND(Z113&gt;=50,AA113&lt;50),"🟢  Resilientes",IF(AND(Z113&gt;=50,AA113&gt;=50),"🟠  Expuestas Adaptables",IF(AND(Z113&lt;50,AA113&lt;50),"⬜  Riesgo Latente","🔴  Riesgo Crítico")))</f>
        <v/>
      </c>
      <c r="AD113" s="13">
        <f>IF(G113=0,"🚫  Inh. vigente OSCE","")</f>
        <v/>
      </c>
      <c r="AE113" s="22">
        <f>IFERROR(MATRIZ_174!W112,0)</f>
        <v/>
      </c>
      <c r="AF113" s="22">
        <f>IFERROR(MATRIZ_174!X112,0)</f>
        <v/>
      </c>
      <c r="AG113" s="22">
        <f>IFERROR(MATRIZ_174!Y112,0)</f>
        <v/>
      </c>
      <c r="AH113" s="22">
        <f>IFERROR(MATRIZ_174!Z112,0)</f>
        <v/>
      </c>
      <c r="AI113" s="17">
        <f>IFERROR(MATRIZ_174!AP112,"N/A")</f>
        <v/>
      </c>
      <c r="AJ113" s="17">
        <f>IFERROR(MATRIZ_174!AO112,"N/A")</f>
        <v/>
      </c>
      <c r="AK113" s="23">
        <f>IFERROR(ROUND(POWER((E113*F113*G113*H113*I113*J113*K113),1/7)*0.875+((L113+M113)/2)*0.125,1),"N/A")</f>
        <v/>
      </c>
      <c r="AL113" s="24">
        <f>IFERROR(IF(OR(AK113="N/A",AI113="N/A"),"N/A",ROUND(0.7*AK113+0.3*AI113*100,1)),"N/A")</f>
        <v/>
      </c>
    </row>
    <row r="114" ht="16.05" customHeight="1" s="37">
      <c r="A114" s="13" t="inlineStr">
        <is>
          <t>20600785541</t>
        </is>
      </c>
      <c r="B114" s="14" t="inlineStr">
        <is>
          <t>ASOCIACION DE PRODUCTORES CAFETALEROS ANDINOS SIERRA VERDE</t>
        </is>
      </c>
      <c r="C114" s="13" t="inlineStr">
        <is>
          <t>CAJAMARCA</t>
        </is>
      </c>
      <c r="D114" s="15" t="n">
        <v>0</v>
      </c>
      <c r="E114" s="16" t="n">
        <v>0</v>
      </c>
      <c r="F114" s="17">
        <f>IFERROR(SCORECARDS!H113,"")</f>
        <v/>
      </c>
      <c r="G114" s="17">
        <f>IFERROR(MATRIZ_174!U113,0)</f>
        <v/>
      </c>
      <c r="H114" s="16" t="n">
        <v>0</v>
      </c>
      <c r="I114" s="17">
        <f>IFERROR(SCORECARDS!I113,"")</f>
        <v/>
      </c>
      <c r="J114" s="17">
        <f>IFERROR(SCORECARDS!J113,"")</f>
        <v/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7">
        <f>IFERROR(F114,0)</f>
        <v/>
      </c>
      <c r="Q114" s="17">
        <f>IFERROR(SQRT(G114*H114),0)</f>
        <v/>
      </c>
      <c r="R114" s="17">
        <f>IFERROR((I114+J114+L114)/3,0)</f>
        <v/>
      </c>
      <c r="S114" s="17">
        <f>IFERROR((J114+F114)/2,0)</f>
        <v/>
      </c>
      <c r="T114" s="17">
        <f>IFERROR((K114+M114+MATRIZ_174!O113)/3,0)</f>
        <v/>
      </c>
      <c r="U114" s="18">
        <f>IFERROR(MIN(100,ROUND(MATRIZ_174!M113,1)),0)</f>
        <v/>
      </c>
      <c r="V114" s="18">
        <f>IFERROR(IF(E114=0,50,E114),0)</f>
        <v/>
      </c>
      <c r="W114" s="18">
        <f>IFERROR(IF(MATRIZ_174!R113=0,65,IF(MATRIZ_174!R113/MATRIZ_174!Q113&gt;=2,35,IF(MATRIZ_174!R113/MATRIZ_174!Q113&gt;=0.5,50,65))),65)</f>
        <v/>
      </c>
      <c r="X114" s="18">
        <f>IF(MATRIZ_174!O113=0,70,30)</f>
        <v/>
      </c>
      <c r="Y114" s="18">
        <f>IF(OR(MATRIZ_174!P113="ASOCIACION",MATRIZ_174!P113="PENDIENTE"),65,40)</f>
        <v/>
      </c>
      <c r="Z114" s="19">
        <f>IFERROR(ROUND(AVERAGE(P114,Q114,R114,S114,T114),1),0)</f>
        <v/>
      </c>
      <c r="AA114" s="20">
        <f>IFERROR(ROUND(AVERAGE(U114,V114,W114,X114,Y114),1),0)</f>
        <v/>
      </c>
      <c r="AB114" s="21">
        <f>IFERROR(ROUND(AA114*(1-Z114/100),1),0)</f>
        <v/>
      </c>
      <c r="AC114" s="13">
        <f>IF(AND(Z114&gt;=50,AA114&lt;50),"🟢  Resilientes",IF(AND(Z114&gt;=50,AA114&gt;=50),"🟠  Expuestas Adaptables",IF(AND(Z114&lt;50,AA114&lt;50),"⬜  Riesgo Latente","🔴  Riesgo Crítico")))</f>
        <v/>
      </c>
      <c r="AD114" s="13">
        <f>IF(G114=0,"🚫  Inh. vigente OSCE","")</f>
        <v/>
      </c>
      <c r="AE114" s="22">
        <f>IFERROR(MATRIZ_174!W113,0)</f>
        <v/>
      </c>
      <c r="AF114" s="22">
        <f>IFERROR(MATRIZ_174!X113,0)</f>
        <v/>
      </c>
      <c r="AG114" s="22">
        <f>IFERROR(MATRIZ_174!Y113,0)</f>
        <v/>
      </c>
      <c r="AH114" s="22">
        <f>IFERROR(MATRIZ_174!Z113,0)</f>
        <v/>
      </c>
      <c r="AI114" s="17">
        <f>IFERROR(MATRIZ_174!AP113,"N/A")</f>
        <v/>
      </c>
      <c r="AJ114" s="17">
        <f>IFERROR(MATRIZ_174!AO113,"N/A")</f>
        <v/>
      </c>
      <c r="AK114" s="23">
        <f>IFERROR(ROUND(POWER((E114*F114*G114*H114*I114*J114*K114),1/7)*0.875+((L114+M114)/2)*0.125,1),"N/A")</f>
        <v/>
      </c>
      <c r="AL114" s="24">
        <f>IFERROR(IF(OR(AK114="N/A",AI114="N/A"),"N/A",ROUND(0.7*AK114+0.3*AI114*100,1)),"N/A")</f>
        <v/>
      </c>
    </row>
    <row r="115" ht="16.05" customHeight="1" s="37">
      <c r="A115" s="13" t="inlineStr">
        <is>
          <t>20600796683</t>
        </is>
      </c>
      <c r="B115" s="14" t="inlineStr">
        <is>
          <t>ASOCIACION DE PRODUCTORES DE CACAO SAN FRANCISCO MADRE DE DI</t>
        </is>
      </c>
      <c r="C115" s="13" t="inlineStr">
        <is>
          <t>MADRE DE DIOS</t>
        </is>
      </c>
      <c r="D115" s="15" t="n">
        <v>0</v>
      </c>
      <c r="E115" s="16" t="n">
        <v>0</v>
      </c>
      <c r="F115" s="17">
        <f>IFERROR(SCORECARDS!H114,"")</f>
        <v/>
      </c>
      <c r="G115" s="17">
        <f>IFERROR(MATRIZ_174!U114,0)</f>
        <v/>
      </c>
      <c r="H115" s="16" t="n">
        <v>0</v>
      </c>
      <c r="I115" s="17">
        <f>IFERROR(SCORECARDS!I114,"")</f>
        <v/>
      </c>
      <c r="J115" s="17">
        <f>IFERROR(SCORECARDS!J114,"")</f>
        <v/>
      </c>
      <c r="K115" s="16" t="n">
        <v>0</v>
      </c>
      <c r="L115" s="16" t="n">
        <v>0</v>
      </c>
      <c r="M115" s="16" t="n">
        <v>0</v>
      </c>
      <c r="N115" s="16" t="n">
        <v>0</v>
      </c>
      <c r="O115" s="16" t="n">
        <v>0</v>
      </c>
      <c r="P115" s="17">
        <f>IFERROR(F115,0)</f>
        <v/>
      </c>
      <c r="Q115" s="17">
        <f>IFERROR(SQRT(G115*H115),0)</f>
        <v/>
      </c>
      <c r="R115" s="17">
        <f>IFERROR((I115+J115+L115)/3,0)</f>
        <v/>
      </c>
      <c r="S115" s="17">
        <f>IFERROR((J115+F115)/2,0)</f>
        <v/>
      </c>
      <c r="T115" s="17">
        <f>IFERROR((K115+M115+MATRIZ_174!O114)/3,0)</f>
        <v/>
      </c>
      <c r="U115" s="18">
        <f>IFERROR(MIN(100,ROUND(MATRIZ_174!M114,1)),0)</f>
        <v/>
      </c>
      <c r="V115" s="18">
        <f>IFERROR(IF(E115=0,50,E115),0)</f>
        <v/>
      </c>
      <c r="W115" s="18">
        <f>IFERROR(IF(MATRIZ_174!R114=0,65,IF(MATRIZ_174!R114/MATRIZ_174!Q114&gt;=2,35,IF(MATRIZ_174!R114/MATRIZ_174!Q114&gt;=0.5,50,65))),65)</f>
        <v/>
      </c>
      <c r="X115" s="18">
        <f>IF(MATRIZ_174!O114=0,70,30)</f>
        <v/>
      </c>
      <c r="Y115" s="18">
        <f>IF(OR(MATRIZ_174!P114="ASOCIACION",MATRIZ_174!P114="PENDIENTE"),65,40)</f>
        <v/>
      </c>
      <c r="Z115" s="19">
        <f>IFERROR(ROUND(AVERAGE(P115,Q115,R115,S115,T115),1),0)</f>
        <v/>
      </c>
      <c r="AA115" s="20">
        <f>IFERROR(ROUND(AVERAGE(U115,V115,W115,X115,Y115),1),0)</f>
        <v/>
      </c>
      <c r="AB115" s="21">
        <f>IFERROR(ROUND(AA115*(1-Z115/100),1),0)</f>
        <v/>
      </c>
      <c r="AC115" s="13">
        <f>IF(AND(Z115&gt;=50,AA115&lt;50),"🟢  Resilientes",IF(AND(Z115&gt;=50,AA115&gt;=50),"🟠  Expuestas Adaptables",IF(AND(Z115&lt;50,AA115&lt;50),"⬜  Riesgo Latente","🔴  Riesgo Crítico")))</f>
        <v/>
      </c>
      <c r="AD115" s="13">
        <f>IF(G115=0,"🚫  Inh. vigente OSCE","")</f>
        <v/>
      </c>
      <c r="AE115" s="22">
        <f>IFERROR(MATRIZ_174!W114,0)</f>
        <v/>
      </c>
      <c r="AF115" s="22">
        <f>IFERROR(MATRIZ_174!X114,0)</f>
        <v/>
      </c>
      <c r="AG115" s="22">
        <f>IFERROR(MATRIZ_174!Y114,0)</f>
        <v/>
      </c>
      <c r="AH115" s="22">
        <f>IFERROR(MATRIZ_174!Z114,0)</f>
        <v/>
      </c>
      <c r="AI115" s="17">
        <f>IFERROR(MATRIZ_174!AP114,"N/A")</f>
        <v/>
      </c>
      <c r="AJ115" s="17">
        <f>IFERROR(MATRIZ_174!AO114,"N/A")</f>
        <v/>
      </c>
      <c r="AK115" s="23">
        <f>IFERROR(ROUND(POWER((E115*F115*G115*H115*I115*J115*K115),1/7)*0.875+((L115+M115)/2)*0.125,1),"N/A")</f>
        <v/>
      </c>
      <c r="AL115" s="24">
        <f>IFERROR(IF(OR(AK115="N/A",AI115="N/A"),"N/A",ROUND(0.7*AK115+0.3*AI115*100,1)),"N/A")</f>
        <v/>
      </c>
    </row>
    <row r="116" ht="16.05" customHeight="1" s="37">
      <c r="A116" s="13" t="inlineStr">
        <is>
          <t>20600796721</t>
        </is>
      </c>
      <c r="B116" s="14" t="inlineStr">
        <is>
          <t>ASOCIACIÓN DE PRODUCTORES AMAZONAS - ALTO MAYO</t>
        </is>
      </c>
      <c r="C116" s="13" t="inlineStr">
        <is>
          <t>SAN MARTIN</t>
        </is>
      </c>
      <c r="D116" s="15" t="n">
        <v>0</v>
      </c>
      <c r="E116" s="16" t="n">
        <v>0</v>
      </c>
      <c r="F116" s="17">
        <f>IFERROR(SCORECARDS!H115,"")</f>
        <v/>
      </c>
      <c r="G116" s="17">
        <f>IFERROR(MATRIZ_174!U115,0)</f>
        <v/>
      </c>
      <c r="H116" s="16" t="n">
        <v>0</v>
      </c>
      <c r="I116" s="17">
        <f>IFERROR(SCORECARDS!I115,"")</f>
        <v/>
      </c>
      <c r="J116" s="17">
        <f>IFERROR(SCORECARDS!J115,"")</f>
        <v/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7">
        <f>IFERROR(F116,0)</f>
        <v/>
      </c>
      <c r="Q116" s="17">
        <f>IFERROR(SQRT(G116*H116),0)</f>
        <v/>
      </c>
      <c r="R116" s="17">
        <f>IFERROR((I116+J116+L116)/3,0)</f>
        <v/>
      </c>
      <c r="S116" s="17">
        <f>IFERROR((J116+F116)/2,0)</f>
        <v/>
      </c>
      <c r="T116" s="17">
        <f>IFERROR((K116+M116+MATRIZ_174!O115)/3,0)</f>
        <v/>
      </c>
      <c r="U116" s="18">
        <f>IFERROR(MIN(100,ROUND(MATRIZ_174!M115,1)),0)</f>
        <v/>
      </c>
      <c r="V116" s="18">
        <f>IFERROR(IF(E116=0,50,E116),0)</f>
        <v/>
      </c>
      <c r="W116" s="18">
        <f>IFERROR(IF(MATRIZ_174!R115=0,65,IF(MATRIZ_174!R115/MATRIZ_174!Q115&gt;=2,35,IF(MATRIZ_174!R115/MATRIZ_174!Q115&gt;=0.5,50,65))),65)</f>
        <v/>
      </c>
      <c r="X116" s="18">
        <f>IF(MATRIZ_174!O115=0,70,30)</f>
        <v/>
      </c>
      <c r="Y116" s="18">
        <f>IF(OR(MATRIZ_174!P115="ASOCIACION",MATRIZ_174!P115="PENDIENTE"),65,40)</f>
        <v/>
      </c>
      <c r="Z116" s="19">
        <f>IFERROR(ROUND(AVERAGE(P116,Q116,R116,S116,T116),1),0)</f>
        <v/>
      </c>
      <c r="AA116" s="20">
        <f>IFERROR(ROUND(AVERAGE(U116,V116,W116,X116,Y116),1),0)</f>
        <v/>
      </c>
      <c r="AB116" s="21">
        <f>IFERROR(ROUND(AA116*(1-Z116/100),1),0)</f>
        <v/>
      </c>
      <c r="AC116" s="13">
        <f>IF(AND(Z116&gt;=50,AA116&lt;50),"🟢  Resilientes",IF(AND(Z116&gt;=50,AA116&gt;=50),"🟠  Expuestas Adaptables",IF(AND(Z116&lt;50,AA116&lt;50),"⬜  Riesgo Latente","🔴  Riesgo Crítico")))</f>
        <v/>
      </c>
      <c r="AD116" s="13">
        <f>IF(G116=0,"🚫  Inh. vigente OSCE","")</f>
        <v/>
      </c>
      <c r="AE116" s="22">
        <f>IFERROR(MATRIZ_174!W115,0)</f>
        <v/>
      </c>
      <c r="AF116" s="22">
        <f>IFERROR(MATRIZ_174!X115,0)</f>
        <v/>
      </c>
      <c r="AG116" s="22">
        <f>IFERROR(MATRIZ_174!Y115,0)</f>
        <v/>
      </c>
      <c r="AH116" s="22">
        <f>IFERROR(MATRIZ_174!Z115,0)</f>
        <v/>
      </c>
      <c r="AI116" s="17">
        <f>IFERROR(MATRIZ_174!AP115,"N/A")</f>
        <v/>
      </c>
      <c r="AJ116" s="17">
        <f>IFERROR(MATRIZ_174!AO115,"N/A")</f>
        <v/>
      </c>
      <c r="AK116" s="23">
        <f>IFERROR(ROUND(POWER((E116*F116*G116*H116*I116*J116*K116),1/7)*0.875+((L116+M116)/2)*0.125,1),"N/A")</f>
        <v/>
      </c>
      <c r="AL116" s="24">
        <f>IFERROR(IF(OR(AK116="N/A",AI116="N/A"),"N/A",ROUND(0.7*AK116+0.3*AI116*100,1)),"N/A")</f>
        <v/>
      </c>
    </row>
    <row r="117" ht="16.05" customHeight="1" s="37">
      <c r="A117" s="13" t="inlineStr">
        <is>
          <t>20600874919</t>
        </is>
      </c>
      <c r="B117" s="14" t="inlineStr">
        <is>
          <t>COOPERATIVA AGRARIA DE LA INTER OCEANICA LIMITADA</t>
        </is>
      </c>
      <c r="C117" s="13" t="inlineStr">
        <is>
          <t>MADRE DE DIOS</t>
        </is>
      </c>
      <c r="D117" s="15" t="n">
        <v>0</v>
      </c>
      <c r="E117" s="16" t="n">
        <v>0</v>
      </c>
      <c r="F117" s="17">
        <f>IFERROR(SCORECARDS!H116,"")</f>
        <v/>
      </c>
      <c r="G117" s="17">
        <f>IFERROR(MATRIZ_174!U116,0)</f>
        <v/>
      </c>
      <c r="H117" s="16" t="n">
        <v>0</v>
      </c>
      <c r="I117" s="17">
        <f>IFERROR(SCORECARDS!I116,"")</f>
        <v/>
      </c>
      <c r="J117" s="17">
        <f>IFERROR(SCORECARDS!J116,"")</f>
        <v/>
      </c>
      <c r="K117" s="16" t="n">
        <v>0</v>
      </c>
      <c r="L117" s="16" t="n">
        <v>0</v>
      </c>
      <c r="M117" s="16" t="n">
        <v>0</v>
      </c>
      <c r="N117" s="16" t="n">
        <v>0</v>
      </c>
      <c r="O117" s="16" t="n">
        <v>0</v>
      </c>
      <c r="P117" s="17">
        <f>IFERROR(F117,0)</f>
        <v/>
      </c>
      <c r="Q117" s="17">
        <f>IFERROR(SQRT(G117*H117),0)</f>
        <v/>
      </c>
      <c r="R117" s="17">
        <f>IFERROR((I117+J117+L117)/3,0)</f>
        <v/>
      </c>
      <c r="S117" s="17">
        <f>IFERROR((J117+F117)/2,0)</f>
        <v/>
      </c>
      <c r="T117" s="17">
        <f>IFERROR((K117+M117+MATRIZ_174!O116)/3,0)</f>
        <v/>
      </c>
      <c r="U117" s="18">
        <f>IFERROR(MIN(100,ROUND(MATRIZ_174!M116,1)),0)</f>
        <v/>
      </c>
      <c r="V117" s="18">
        <f>IFERROR(IF(E117=0,50,E117),0)</f>
        <v/>
      </c>
      <c r="W117" s="18">
        <f>IFERROR(IF(MATRIZ_174!R116=0,65,IF(MATRIZ_174!R116/MATRIZ_174!Q116&gt;=2,35,IF(MATRIZ_174!R116/MATRIZ_174!Q116&gt;=0.5,50,65))),65)</f>
        <v/>
      </c>
      <c r="X117" s="18">
        <f>IF(MATRIZ_174!O116=0,70,30)</f>
        <v/>
      </c>
      <c r="Y117" s="18">
        <f>IF(OR(MATRIZ_174!P116="ASOCIACION",MATRIZ_174!P116="PENDIENTE"),65,40)</f>
        <v/>
      </c>
      <c r="Z117" s="19">
        <f>IFERROR(ROUND(AVERAGE(P117,Q117,R117,S117,T117),1),0)</f>
        <v/>
      </c>
      <c r="AA117" s="20">
        <f>IFERROR(ROUND(AVERAGE(U117,V117,W117,X117,Y117),1),0)</f>
        <v/>
      </c>
      <c r="AB117" s="21">
        <f>IFERROR(ROUND(AA117*(1-Z117/100),1),0)</f>
        <v/>
      </c>
      <c r="AC117" s="13">
        <f>IF(AND(Z117&gt;=50,AA117&lt;50),"🟢  Resilientes",IF(AND(Z117&gt;=50,AA117&gt;=50),"🟠  Expuestas Adaptables",IF(AND(Z117&lt;50,AA117&lt;50),"⬜  Riesgo Latente","🔴  Riesgo Crítico")))</f>
        <v/>
      </c>
      <c r="AD117" s="13">
        <f>IF(G117=0,"🚫  Inh. vigente OSCE","")</f>
        <v/>
      </c>
      <c r="AE117" s="22">
        <f>IFERROR(MATRIZ_174!W116,0)</f>
        <v/>
      </c>
      <c r="AF117" s="22">
        <f>IFERROR(MATRIZ_174!X116,0)</f>
        <v/>
      </c>
      <c r="AG117" s="22">
        <f>IFERROR(MATRIZ_174!Y116,0)</f>
        <v/>
      </c>
      <c r="AH117" s="22">
        <f>IFERROR(MATRIZ_174!Z116,0)</f>
        <v/>
      </c>
      <c r="AI117" s="17">
        <f>IFERROR(MATRIZ_174!AP116,"N/A")</f>
        <v/>
      </c>
      <c r="AJ117" s="17">
        <f>IFERROR(MATRIZ_174!AO116,"N/A")</f>
        <v/>
      </c>
      <c r="AK117" s="23">
        <f>IFERROR(ROUND(POWER((E117*F117*G117*H117*I117*J117*K117),1/7)*0.875+((L117+M117)/2)*0.125,1),"N/A")</f>
        <v/>
      </c>
      <c r="AL117" s="24">
        <f>IFERROR(IF(OR(AK117="N/A",AI117="N/A"),"N/A",ROUND(0.7*AK117+0.3*AI117*100,1)),"N/A")</f>
        <v/>
      </c>
    </row>
    <row r="118" ht="16.05" customHeight="1" s="37">
      <c r="A118" s="13" t="inlineStr">
        <is>
          <t>20600964080</t>
        </is>
      </c>
      <c r="B118" s="14" t="inlineStr">
        <is>
          <t>ASOCIACION DE AGRICULTORES KERGUERANOS</t>
        </is>
      </c>
      <c r="C118" s="13" t="inlineStr">
        <is>
          <t>LAMBAYEQUE</t>
        </is>
      </c>
      <c r="D118" s="15" t="n">
        <v>0</v>
      </c>
      <c r="E118" s="16" t="n">
        <v>0</v>
      </c>
      <c r="F118" s="17">
        <f>IFERROR(SCORECARDS!H117,"")</f>
        <v/>
      </c>
      <c r="G118" s="17">
        <f>IFERROR(MATRIZ_174!U117,0)</f>
        <v/>
      </c>
      <c r="H118" s="16" t="n">
        <v>0</v>
      </c>
      <c r="I118" s="17">
        <f>IFERROR(SCORECARDS!I117,"")</f>
        <v/>
      </c>
      <c r="J118" s="17">
        <f>IFERROR(SCORECARDS!J117,"")</f>
        <v/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7">
        <f>IFERROR(F118,0)</f>
        <v/>
      </c>
      <c r="Q118" s="17">
        <f>IFERROR(SQRT(G118*H118),0)</f>
        <v/>
      </c>
      <c r="R118" s="17">
        <f>IFERROR((I118+J118+L118)/3,0)</f>
        <v/>
      </c>
      <c r="S118" s="17">
        <f>IFERROR((J118+F118)/2,0)</f>
        <v/>
      </c>
      <c r="T118" s="17">
        <f>IFERROR((K118+M118+MATRIZ_174!O117)/3,0)</f>
        <v/>
      </c>
      <c r="U118" s="18">
        <f>IFERROR(MIN(100,ROUND(MATRIZ_174!M117,1)),0)</f>
        <v/>
      </c>
      <c r="V118" s="18">
        <f>IFERROR(IF(E118=0,50,E118),0)</f>
        <v/>
      </c>
      <c r="W118" s="18">
        <f>IFERROR(IF(MATRIZ_174!R117=0,65,IF(MATRIZ_174!R117/MATRIZ_174!Q117&gt;=2,35,IF(MATRIZ_174!R117/MATRIZ_174!Q117&gt;=0.5,50,65))),65)</f>
        <v/>
      </c>
      <c r="X118" s="18">
        <f>IF(MATRIZ_174!O117=0,70,30)</f>
        <v/>
      </c>
      <c r="Y118" s="18">
        <f>IF(OR(MATRIZ_174!P117="ASOCIACION",MATRIZ_174!P117="PENDIENTE"),65,40)</f>
        <v/>
      </c>
      <c r="Z118" s="19">
        <f>IFERROR(ROUND(AVERAGE(P118,Q118,R118,S118,T118),1),0)</f>
        <v/>
      </c>
      <c r="AA118" s="20">
        <f>IFERROR(ROUND(AVERAGE(U118,V118,W118,X118,Y118),1),0)</f>
        <v/>
      </c>
      <c r="AB118" s="21">
        <f>IFERROR(ROUND(AA118*(1-Z118/100),1),0)</f>
        <v/>
      </c>
      <c r="AC118" s="13">
        <f>IF(AND(Z118&gt;=50,AA118&lt;50),"🟢  Resilientes",IF(AND(Z118&gt;=50,AA118&gt;=50),"🟠  Expuestas Adaptables",IF(AND(Z118&lt;50,AA118&lt;50),"⬜  Riesgo Latente","🔴  Riesgo Crítico")))</f>
        <v/>
      </c>
      <c r="AD118" s="13">
        <f>IF(G118=0,"🚫  Inh. vigente OSCE","")</f>
        <v/>
      </c>
      <c r="AE118" s="22">
        <f>IFERROR(MATRIZ_174!W117,0)</f>
        <v/>
      </c>
      <c r="AF118" s="22">
        <f>IFERROR(MATRIZ_174!X117,0)</f>
        <v/>
      </c>
      <c r="AG118" s="22">
        <f>IFERROR(MATRIZ_174!Y117,0)</f>
        <v/>
      </c>
      <c r="AH118" s="22">
        <f>IFERROR(MATRIZ_174!Z117,0)</f>
        <v/>
      </c>
      <c r="AI118" s="17">
        <f>IFERROR(MATRIZ_174!AP117,"N/A")</f>
        <v/>
      </c>
      <c r="AJ118" s="17">
        <f>IFERROR(MATRIZ_174!AO117,"N/A")</f>
        <v/>
      </c>
      <c r="AK118" s="23">
        <f>IFERROR(ROUND(POWER((E118*F118*G118*H118*I118*J118*K118),1/7)*0.875+((L118+M118)/2)*0.125,1),"N/A")</f>
        <v/>
      </c>
      <c r="AL118" s="24">
        <f>IFERROR(IF(OR(AK118="N/A",AI118="N/A"),"N/A",ROUND(0.7*AK118+0.3*AI118*100,1)),"N/A")</f>
        <v/>
      </c>
    </row>
    <row r="119" ht="16.05" customHeight="1" s="37">
      <c r="A119" s="13" t="inlineStr">
        <is>
          <t>20601067146</t>
        </is>
      </c>
      <c r="B119" s="14" t="inlineStr">
        <is>
          <t>COOPERATIVA AGRARIA INDUSTRIAL MONTE ALEGRE - REGION UCAYALI</t>
        </is>
      </c>
      <c r="C119" s="13" t="inlineStr">
        <is>
          <t>UCAYALI</t>
        </is>
      </c>
      <c r="D119" s="15" t="n">
        <v>0</v>
      </c>
      <c r="E119" s="16" t="n">
        <v>0</v>
      </c>
      <c r="F119" s="17">
        <f>IFERROR(SCORECARDS!H118,"")</f>
        <v/>
      </c>
      <c r="G119" s="17">
        <f>IFERROR(MATRIZ_174!U118,0)</f>
        <v/>
      </c>
      <c r="H119" s="16" t="n">
        <v>0</v>
      </c>
      <c r="I119" s="17">
        <f>IFERROR(SCORECARDS!I118,"")</f>
        <v/>
      </c>
      <c r="J119" s="17">
        <f>IFERROR(SCORECARDS!J118,"")</f>
        <v/>
      </c>
      <c r="K119" s="16" t="n">
        <v>0</v>
      </c>
      <c r="L119" s="16" t="n">
        <v>0</v>
      </c>
      <c r="M119" s="16" t="n">
        <v>0</v>
      </c>
      <c r="N119" s="16" t="n">
        <v>0</v>
      </c>
      <c r="O119" s="16" t="n">
        <v>0</v>
      </c>
      <c r="P119" s="17">
        <f>IFERROR(F119,0)</f>
        <v/>
      </c>
      <c r="Q119" s="17">
        <f>IFERROR(SQRT(G119*H119),0)</f>
        <v/>
      </c>
      <c r="R119" s="17">
        <f>IFERROR((I119+J119+L119)/3,0)</f>
        <v/>
      </c>
      <c r="S119" s="17">
        <f>IFERROR((J119+F119)/2,0)</f>
        <v/>
      </c>
      <c r="T119" s="17">
        <f>IFERROR((K119+M119+MATRIZ_174!O118)/3,0)</f>
        <v/>
      </c>
      <c r="U119" s="18">
        <f>IFERROR(MIN(100,ROUND(MATRIZ_174!M118,1)),0)</f>
        <v/>
      </c>
      <c r="V119" s="18">
        <f>IFERROR(IF(E119=0,50,E119),0)</f>
        <v/>
      </c>
      <c r="W119" s="18">
        <f>IFERROR(IF(MATRIZ_174!R118=0,65,IF(MATRIZ_174!R118/MATRIZ_174!Q118&gt;=2,35,IF(MATRIZ_174!R118/MATRIZ_174!Q118&gt;=0.5,50,65))),65)</f>
        <v/>
      </c>
      <c r="X119" s="18">
        <f>IF(MATRIZ_174!O118=0,70,30)</f>
        <v/>
      </c>
      <c r="Y119" s="18">
        <f>IF(OR(MATRIZ_174!P118="ASOCIACION",MATRIZ_174!P118="PENDIENTE"),65,40)</f>
        <v/>
      </c>
      <c r="Z119" s="19">
        <f>IFERROR(ROUND(AVERAGE(P119,Q119,R119,S119,T119),1),0)</f>
        <v/>
      </c>
      <c r="AA119" s="20">
        <f>IFERROR(ROUND(AVERAGE(U119,V119,W119,X119,Y119),1),0)</f>
        <v/>
      </c>
      <c r="AB119" s="21">
        <f>IFERROR(ROUND(AA119*(1-Z119/100),1),0)</f>
        <v/>
      </c>
      <c r="AC119" s="13">
        <f>IF(AND(Z119&gt;=50,AA119&lt;50),"🟢  Resilientes",IF(AND(Z119&gt;=50,AA119&gt;=50),"🟠  Expuestas Adaptables",IF(AND(Z119&lt;50,AA119&lt;50),"⬜  Riesgo Latente","🔴  Riesgo Crítico")))</f>
        <v/>
      </c>
      <c r="AD119" s="13">
        <f>IF(G119=0,"🚫  Inh. vigente OSCE","")</f>
        <v/>
      </c>
      <c r="AE119" s="22">
        <f>IFERROR(MATRIZ_174!W118,0)</f>
        <v/>
      </c>
      <c r="AF119" s="22">
        <f>IFERROR(MATRIZ_174!X118,0)</f>
        <v/>
      </c>
      <c r="AG119" s="22">
        <f>IFERROR(MATRIZ_174!Y118,0)</f>
        <v/>
      </c>
      <c r="AH119" s="22">
        <f>IFERROR(MATRIZ_174!Z118,0)</f>
        <v/>
      </c>
      <c r="AI119" s="17">
        <f>IFERROR(MATRIZ_174!AP118,"N/A")</f>
        <v/>
      </c>
      <c r="AJ119" s="17">
        <f>IFERROR(MATRIZ_174!AO118,"N/A")</f>
        <v/>
      </c>
      <c r="AK119" s="23">
        <f>IFERROR(ROUND(POWER((E119*F119*G119*H119*I119*J119*K119),1/7)*0.875+((L119+M119)/2)*0.125,1),"N/A")</f>
        <v/>
      </c>
      <c r="AL119" s="24">
        <f>IFERROR(IF(OR(AK119="N/A",AI119="N/A"),"N/A",ROUND(0.7*AK119+0.3*AI119*100,1)),"N/A")</f>
        <v/>
      </c>
    </row>
    <row r="120" ht="16.05" customHeight="1" s="37">
      <c r="A120" s="13" t="inlineStr">
        <is>
          <t>20601119316</t>
        </is>
      </c>
      <c r="B120" s="14" t="inlineStr">
        <is>
          <t>COOPERATIVA DE PRODUCTORES DE CACAO FINO Y DE AROMA</t>
        </is>
      </c>
      <c r="C120" s="13" t="inlineStr">
        <is>
          <t>UCAYALI</t>
        </is>
      </c>
      <c r="D120" s="15" t="n">
        <v>0</v>
      </c>
      <c r="E120" s="16" t="n">
        <v>0</v>
      </c>
      <c r="F120" s="17">
        <f>IFERROR(SCORECARDS!H119,"")</f>
        <v/>
      </c>
      <c r="G120" s="17">
        <f>IFERROR(MATRIZ_174!U119,0)</f>
        <v/>
      </c>
      <c r="H120" s="16" t="n">
        <v>0</v>
      </c>
      <c r="I120" s="17">
        <f>IFERROR(SCORECARDS!I119,"")</f>
        <v/>
      </c>
      <c r="J120" s="17">
        <f>IFERROR(SCORECARDS!J119,"")</f>
        <v/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7">
        <f>IFERROR(F120,0)</f>
        <v/>
      </c>
      <c r="Q120" s="17">
        <f>IFERROR(SQRT(G120*H120),0)</f>
        <v/>
      </c>
      <c r="R120" s="17">
        <f>IFERROR((I120+J120+L120)/3,0)</f>
        <v/>
      </c>
      <c r="S120" s="17">
        <f>IFERROR((J120+F120)/2,0)</f>
        <v/>
      </c>
      <c r="T120" s="17">
        <f>IFERROR((K120+M120+MATRIZ_174!O119)/3,0)</f>
        <v/>
      </c>
      <c r="U120" s="18">
        <f>IFERROR(MIN(100,ROUND(MATRIZ_174!M119,1)),0)</f>
        <v/>
      </c>
      <c r="V120" s="18">
        <f>IFERROR(IF(E120=0,50,E120),0)</f>
        <v/>
      </c>
      <c r="W120" s="18">
        <f>IFERROR(IF(MATRIZ_174!R119=0,65,IF(MATRIZ_174!R119/MATRIZ_174!Q119&gt;=2,35,IF(MATRIZ_174!R119/MATRIZ_174!Q119&gt;=0.5,50,65))),65)</f>
        <v/>
      </c>
      <c r="X120" s="18">
        <f>IF(MATRIZ_174!O119=0,70,30)</f>
        <v/>
      </c>
      <c r="Y120" s="18">
        <f>IF(OR(MATRIZ_174!P119="ASOCIACION",MATRIZ_174!P119="PENDIENTE"),65,40)</f>
        <v/>
      </c>
      <c r="Z120" s="19">
        <f>IFERROR(ROUND(AVERAGE(P120,Q120,R120,S120,T120),1),0)</f>
        <v/>
      </c>
      <c r="AA120" s="20">
        <f>IFERROR(ROUND(AVERAGE(U120,V120,W120,X120,Y120),1),0)</f>
        <v/>
      </c>
      <c r="AB120" s="21">
        <f>IFERROR(ROUND(AA120*(1-Z120/100),1),0)</f>
        <v/>
      </c>
      <c r="AC120" s="13">
        <f>IF(AND(Z120&gt;=50,AA120&lt;50),"🟢  Resilientes",IF(AND(Z120&gt;=50,AA120&gt;=50),"🟠  Expuestas Adaptables",IF(AND(Z120&lt;50,AA120&lt;50),"⬜  Riesgo Latente","🔴  Riesgo Crítico")))</f>
        <v/>
      </c>
      <c r="AD120" s="13">
        <f>IF(G120=0,"🚫  Inh. vigente OSCE","")</f>
        <v/>
      </c>
      <c r="AE120" s="22">
        <f>IFERROR(MATRIZ_174!W119,0)</f>
        <v/>
      </c>
      <c r="AF120" s="22">
        <f>IFERROR(MATRIZ_174!X119,0)</f>
        <v/>
      </c>
      <c r="AG120" s="22">
        <f>IFERROR(MATRIZ_174!Y119,0)</f>
        <v/>
      </c>
      <c r="AH120" s="22">
        <f>IFERROR(MATRIZ_174!Z119,0)</f>
        <v/>
      </c>
      <c r="AI120" s="17">
        <f>IFERROR(MATRIZ_174!AP119,"N/A")</f>
        <v/>
      </c>
      <c r="AJ120" s="17">
        <f>IFERROR(MATRIZ_174!AO119,"N/A")</f>
        <v/>
      </c>
      <c r="AK120" s="23">
        <f>IFERROR(ROUND(POWER((E120*F120*G120*H120*I120*J120*K120),1/7)*0.875+((L120+M120)/2)*0.125,1),"N/A")</f>
        <v/>
      </c>
      <c r="AL120" s="24">
        <f>IFERROR(IF(OR(AK120="N/A",AI120="N/A"),"N/A",ROUND(0.7*AK120+0.3*AI120*100,1)),"N/A")</f>
        <v/>
      </c>
    </row>
    <row r="121" ht="16.05" customHeight="1" s="37">
      <c r="A121" s="13" t="inlineStr">
        <is>
          <t>20601186986</t>
        </is>
      </c>
      <c r="B121" s="14" t="inlineStr">
        <is>
          <t>COOPERATIVA AGRARIA LOS AMBIENTALISTAS LTDA</t>
        </is>
      </c>
      <c r="C121" s="13" t="inlineStr">
        <is>
          <t>CAJAMARCA</t>
        </is>
      </c>
      <c r="D121" s="15" t="n">
        <v>0</v>
      </c>
      <c r="E121" s="16" t="n">
        <v>0</v>
      </c>
      <c r="F121" s="17">
        <f>IFERROR(SCORECARDS!H120,"")</f>
        <v/>
      </c>
      <c r="G121" s="17">
        <f>IFERROR(MATRIZ_174!U120,0)</f>
        <v/>
      </c>
      <c r="H121" s="16" t="n">
        <v>0</v>
      </c>
      <c r="I121" s="17">
        <f>IFERROR(SCORECARDS!I120,"")</f>
        <v/>
      </c>
      <c r="J121" s="17">
        <f>IFERROR(SCORECARDS!J120,"")</f>
        <v/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7">
        <f>IFERROR(F121,0)</f>
        <v/>
      </c>
      <c r="Q121" s="17">
        <f>IFERROR(SQRT(G121*H121),0)</f>
        <v/>
      </c>
      <c r="R121" s="17">
        <f>IFERROR((I121+J121+L121)/3,0)</f>
        <v/>
      </c>
      <c r="S121" s="17">
        <f>IFERROR((J121+F121)/2,0)</f>
        <v/>
      </c>
      <c r="T121" s="17">
        <f>IFERROR((K121+M121+MATRIZ_174!O120)/3,0)</f>
        <v/>
      </c>
      <c r="U121" s="18">
        <f>IFERROR(MIN(100,ROUND(MATRIZ_174!M120,1)),0)</f>
        <v/>
      </c>
      <c r="V121" s="18">
        <f>IFERROR(IF(E121=0,50,E121),0)</f>
        <v/>
      </c>
      <c r="W121" s="18">
        <f>IFERROR(IF(MATRIZ_174!R120=0,65,IF(MATRIZ_174!R120/MATRIZ_174!Q120&gt;=2,35,IF(MATRIZ_174!R120/MATRIZ_174!Q120&gt;=0.5,50,65))),65)</f>
        <v/>
      </c>
      <c r="X121" s="18">
        <f>IF(MATRIZ_174!O120=0,70,30)</f>
        <v/>
      </c>
      <c r="Y121" s="18">
        <f>IF(OR(MATRIZ_174!P120="ASOCIACION",MATRIZ_174!P120="PENDIENTE"),65,40)</f>
        <v/>
      </c>
      <c r="Z121" s="19">
        <f>IFERROR(ROUND(AVERAGE(P121,Q121,R121,S121,T121),1),0)</f>
        <v/>
      </c>
      <c r="AA121" s="20">
        <f>IFERROR(ROUND(AVERAGE(U121,V121,W121,X121,Y121),1),0)</f>
        <v/>
      </c>
      <c r="AB121" s="21">
        <f>IFERROR(ROUND(AA121*(1-Z121/100),1),0)</f>
        <v/>
      </c>
      <c r="AC121" s="13">
        <f>IF(AND(Z121&gt;=50,AA121&lt;50),"🟢  Resilientes",IF(AND(Z121&gt;=50,AA121&gt;=50),"🟠  Expuestas Adaptables",IF(AND(Z121&lt;50,AA121&lt;50),"⬜  Riesgo Latente","🔴  Riesgo Crítico")))</f>
        <v/>
      </c>
      <c r="AD121" s="13">
        <f>IF(G121=0,"🚫  Inh. vigente OSCE","")</f>
        <v/>
      </c>
      <c r="AE121" s="22">
        <f>IFERROR(MATRIZ_174!W120,0)</f>
        <v/>
      </c>
      <c r="AF121" s="22">
        <f>IFERROR(MATRIZ_174!X120,0)</f>
        <v/>
      </c>
      <c r="AG121" s="22">
        <f>IFERROR(MATRIZ_174!Y120,0)</f>
        <v/>
      </c>
      <c r="AH121" s="22">
        <f>IFERROR(MATRIZ_174!Z120,0)</f>
        <v/>
      </c>
      <c r="AI121" s="17">
        <f>IFERROR(MATRIZ_174!AP120,"N/A")</f>
        <v/>
      </c>
      <c r="AJ121" s="17">
        <f>IFERROR(MATRIZ_174!AO120,"N/A")</f>
        <v/>
      </c>
      <c r="AK121" s="23">
        <f>IFERROR(ROUND(POWER((E121*F121*G121*H121*I121*J121*K121),1/7)*0.875+((L121+M121)/2)*0.125,1),"N/A")</f>
        <v/>
      </c>
      <c r="AL121" s="24">
        <f>IFERROR(IF(OR(AK121="N/A",AI121="N/A"),"N/A",ROUND(0.7*AK121+0.3*AI121*100,1)),"N/A")</f>
        <v/>
      </c>
    </row>
    <row r="122" ht="16.05" customHeight="1" s="37">
      <c r="A122" s="13" t="inlineStr">
        <is>
          <t>20601329159</t>
        </is>
      </c>
      <c r="B122" s="14" t="inlineStr">
        <is>
          <t>COOPERATIVA AGRARIA CAFETALERA DE LA NACION YANESHA</t>
        </is>
      </c>
      <c r="C122" s="13" t="inlineStr">
        <is>
          <t>PASCO</t>
        </is>
      </c>
      <c r="D122" s="15" t="n">
        <v>0</v>
      </c>
      <c r="E122" s="16" t="n">
        <v>0</v>
      </c>
      <c r="F122" s="17">
        <f>IFERROR(SCORECARDS!H121,"")</f>
        <v/>
      </c>
      <c r="G122" s="17">
        <f>IFERROR(MATRIZ_174!U121,0)</f>
        <v/>
      </c>
      <c r="H122" s="16" t="n">
        <v>0</v>
      </c>
      <c r="I122" s="17">
        <f>IFERROR(SCORECARDS!I121,"")</f>
        <v/>
      </c>
      <c r="J122" s="17">
        <f>IFERROR(SCORECARDS!J121,"")</f>
        <v/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7">
        <f>IFERROR(F122,0)</f>
        <v/>
      </c>
      <c r="Q122" s="17">
        <f>IFERROR(SQRT(G122*H122),0)</f>
        <v/>
      </c>
      <c r="R122" s="17">
        <f>IFERROR((I122+J122+L122)/3,0)</f>
        <v/>
      </c>
      <c r="S122" s="17">
        <f>IFERROR((J122+F122)/2,0)</f>
        <v/>
      </c>
      <c r="T122" s="17">
        <f>IFERROR((K122+M122+MATRIZ_174!O121)/3,0)</f>
        <v/>
      </c>
      <c r="U122" s="18">
        <f>IFERROR(MIN(100,ROUND(MATRIZ_174!M121,1)),0)</f>
        <v/>
      </c>
      <c r="V122" s="18">
        <f>IFERROR(IF(E122=0,50,E122),0)</f>
        <v/>
      </c>
      <c r="W122" s="18">
        <f>IFERROR(IF(MATRIZ_174!R121=0,65,IF(MATRIZ_174!R121/MATRIZ_174!Q121&gt;=2,35,IF(MATRIZ_174!R121/MATRIZ_174!Q121&gt;=0.5,50,65))),65)</f>
        <v/>
      </c>
      <c r="X122" s="18">
        <f>IF(MATRIZ_174!O121=0,70,30)</f>
        <v/>
      </c>
      <c r="Y122" s="18">
        <f>IF(OR(MATRIZ_174!P121="ASOCIACION",MATRIZ_174!P121="PENDIENTE"),65,40)</f>
        <v/>
      </c>
      <c r="Z122" s="19">
        <f>IFERROR(ROUND(AVERAGE(P122,Q122,R122,S122,T122),1),0)</f>
        <v/>
      </c>
      <c r="AA122" s="20">
        <f>IFERROR(ROUND(AVERAGE(U122,V122,W122,X122,Y122),1),0)</f>
        <v/>
      </c>
      <c r="AB122" s="21">
        <f>IFERROR(ROUND(AA122*(1-Z122/100),1),0)</f>
        <v/>
      </c>
      <c r="AC122" s="13">
        <f>IF(AND(Z122&gt;=50,AA122&lt;50),"🟢  Resilientes",IF(AND(Z122&gt;=50,AA122&gt;=50),"🟠  Expuestas Adaptables",IF(AND(Z122&lt;50,AA122&lt;50),"⬜  Riesgo Latente","🔴  Riesgo Crítico")))</f>
        <v/>
      </c>
      <c r="AD122" s="13">
        <f>IF(G122=0,"🚫  Inh. vigente OSCE","")</f>
        <v/>
      </c>
      <c r="AE122" s="22">
        <f>IFERROR(MATRIZ_174!W121,0)</f>
        <v/>
      </c>
      <c r="AF122" s="22">
        <f>IFERROR(MATRIZ_174!X121,0)</f>
        <v/>
      </c>
      <c r="AG122" s="22">
        <f>IFERROR(MATRIZ_174!Y121,0)</f>
        <v/>
      </c>
      <c r="AH122" s="22">
        <f>IFERROR(MATRIZ_174!Z121,0)</f>
        <v/>
      </c>
      <c r="AI122" s="17">
        <f>IFERROR(MATRIZ_174!AP121,"N/A")</f>
        <v/>
      </c>
      <c r="AJ122" s="17">
        <f>IFERROR(MATRIZ_174!AO121,"N/A")</f>
        <v/>
      </c>
      <c r="AK122" s="23">
        <f>IFERROR(ROUND(POWER((E122*F122*G122*H122*I122*J122*K122),1/7)*0.875+((L122+M122)/2)*0.125,1),"N/A")</f>
        <v/>
      </c>
      <c r="AL122" s="24">
        <f>IFERROR(IF(OR(AK122="N/A",AI122="N/A"),"N/A",ROUND(0.7*AK122+0.3*AI122*100,1)),"N/A")</f>
        <v/>
      </c>
    </row>
    <row r="123" ht="16.05" customHeight="1" s="37">
      <c r="A123" s="13" t="inlineStr">
        <is>
          <t>20601339090</t>
        </is>
      </c>
      <c r="B123" s="14" t="inlineStr">
        <is>
          <t>COOPERATIVA AGROINDUSTRIAL CAFETALERA CACOTERA MONZON LTDA</t>
        </is>
      </c>
      <c r="C123" s="13" t="inlineStr">
        <is>
          <t>HUANUCO</t>
        </is>
      </c>
      <c r="D123" s="15" t="n">
        <v>0</v>
      </c>
      <c r="E123" s="16" t="n">
        <v>0</v>
      </c>
      <c r="F123" s="17">
        <f>IFERROR(SCORECARDS!H122,"")</f>
        <v/>
      </c>
      <c r="G123" s="17">
        <f>IFERROR(MATRIZ_174!U122,0)</f>
        <v/>
      </c>
      <c r="H123" s="16" t="n">
        <v>0</v>
      </c>
      <c r="I123" s="17">
        <f>IFERROR(SCORECARDS!I122,"")</f>
        <v/>
      </c>
      <c r="J123" s="17">
        <f>IFERROR(SCORECARDS!J122,"")</f>
        <v/>
      </c>
      <c r="K123" s="16" t="n">
        <v>0</v>
      </c>
      <c r="L123" s="16" t="n">
        <v>0</v>
      </c>
      <c r="M123" s="16" t="n">
        <v>0</v>
      </c>
      <c r="N123" s="16" t="n">
        <v>0</v>
      </c>
      <c r="O123" s="16" t="n">
        <v>0</v>
      </c>
      <c r="P123" s="17">
        <f>IFERROR(F123,0)</f>
        <v/>
      </c>
      <c r="Q123" s="17">
        <f>IFERROR(SQRT(G123*H123),0)</f>
        <v/>
      </c>
      <c r="R123" s="17">
        <f>IFERROR((I123+J123+L123)/3,0)</f>
        <v/>
      </c>
      <c r="S123" s="17">
        <f>IFERROR((J123+F123)/2,0)</f>
        <v/>
      </c>
      <c r="T123" s="17">
        <f>IFERROR((K123+M123+MATRIZ_174!O122)/3,0)</f>
        <v/>
      </c>
      <c r="U123" s="18">
        <f>IFERROR(MIN(100,ROUND(MATRIZ_174!M122,1)),0)</f>
        <v/>
      </c>
      <c r="V123" s="18">
        <f>IFERROR(IF(E123=0,50,E123),0)</f>
        <v/>
      </c>
      <c r="W123" s="18">
        <f>IFERROR(IF(MATRIZ_174!R122=0,65,IF(MATRIZ_174!R122/MATRIZ_174!Q122&gt;=2,35,IF(MATRIZ_174!R122/MATRIZ_174!Q122&gt;=0.5,50,65))),65)</f>
        <v/>
      </c>
      <c r="X123" s="18">
        <f>IF(MATRIZ_174!O122=0,70,30)</f>
        <v/>
      </c>
      <c r="Y123" s="18">
        <f>IF(OR(MATRIZ_174!P122="ASOCIACION",MATRIZ_174!P122="PENDIENTE"),65,40)</f>
        <v/>
      </c>
      <c r="Z123" s="19">
        <f>IFERROR(ROUND(AVERAGE(P123,Q123,R123,S123,T123),1),0)</f>
        <v/>
      </c>
      <c r="AA123" s="20">
        <f>IFERROR(ROUND(AVERAGE(U123,V123,W123,X123,Y123),1),0)</f>
        <v/>
      </c>
      <c r="AB123" s="21">
        <f>IFERROR(ROUND(AA123*(1-Z123/100),1),0)</f>
        <v/>
      </c>
      <c r="AC123" s="13">
        <f>IF(AND(Z123&gt;=50,AA123&lt;50),"🟢  Resilientes",IF(AND(Z123&gt;=50,AA123&gt;=50),"🟠  Expuestas Adaptables",IF(AND(Z123&lt;50,AA123&lt;50),"⬜  Riesgo Latente","🔴  Riesgo Crítico")))</f>
        <v/>
      </c>
      <c r="AD123" s="13">
        <f>IF(G123=0,"🚫  Inh. vigente OSCE","")</f>
        <v/>
      </c>
      <c r="AE123" s="22">
        <f>IFERROR(MATRIZ_174!W122,0)</f>
        <v/>
      </c>
      <c r="AF123" s="22">
        <f>IFERROR(MATRIZ_174!X122,0)</f>
        <v/>
      </c>
      <c r="AG123" s="22">
        <f>IFERROR(MATRIZ_174!Y122,0)</f>
        <v/>
      </c>
      <c r="AH123" s="22">
        <f>IFERROR(MATRIZ_174!Z122,0)</f>
        <v/>
      </c>
      <c r="AI123" s="17">
        <f>IFERROR(MATRIZ_174!AP122,"N/A")</f>
        <v/>
      </c>
      <c r="AJ123" s="17">
        <f>IFERROR(MATRIZ_174!AO122,"N/A")</f>
        <v/>
      </c>
      <c r="AK123" s="23">
        <f>IFERROR(ROUND(POWER((E123*F123*G123*H123*I123*J123*K123),1/7)*0.875+((L123+M123)/2)*0.125,1),"N/A")</f>
        <v/>
      </c>
      <c r="AL123" s="24">
        <f>IFERROR(IF(OR(AK123="N/A",AI123="N/A"),"N/A",ROUND(0.7*AK123+0.3*AI123*100,1)),"N/A")</f>
        <v/>
      </c>
    </row>
    <row r="124" ht="16.05" customHeight="1" s="37">
      <c r="A124" s="13" t="inlineStr">
        <is>
          <t>20601537771</t>
        </is>
      </c>
      <c r="B124" s="14" t="inlineStr">
        <is>
          <t>ASOCIACION DE PRODUCTORES SOSTENIBLES EL AYNI</t>
        </is>
      </c>
      <c r="C124" s="13" t="inlineStr">
        <is>
          <t>JUNIN</t>
        </is>
      </c>
      <c r="D124" s="15" t="n">
        <v>0</v>
      </c>
      <c r="E124" s="16" t="n">
        <v>0</v>
      </c>
      <c r="F124" s="17">
        <f>IFERROR(SCORECARDS!H123,"")</f>
        <v/>
      </c>
      <c r="G124" s="17">
        <f>IFERROR(MATRIZ_174!U123,0)</f>
        <v/>
      </c>
      <c r="H124" s="16" t="n">
        <v>0</v>
      </c>
      <c r="I124" s="17">
        <f>IFERROR(SCORECARDS!I123,"")</f>
        <v/>
      </c>
      <c r="J124" s="17">
        <f>IFERROR(SCORECARDS!J123,"")</f>
        <v/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7">
        <f>IFERROR(F124,0)</f>
        <v/>
      </c>
      <c r="Q124" s="17">
        <f>IFERROR(SQRT(G124*H124),0)</f>
        <v/>
      </c>
      <c r="R124" s="17">
        <f>IFERROR((I124+J124+L124)/3,0)</f>
        <v/>
      </c>
      <c r="S124" s="17">
        <f>IFERROR((J124+F124)/2,0)</f>
        <v/>
      </c>
      <c r="T124" s="17">
        <f>IFERROR((K124+M124+MATRIZ_174!O123)/3,0)</f>
        <v/>
      </c>
      <c r="U124" s="18">
        <f>IFERROR(MIN(100,ROUND(MATRIZ_174!M123,1)),0)</f>
        <v/>
      </c>
      <c r="V124" s="18">
        <f>IFERROR(IF(E124=0,50,E124),0)</f>
        <v/>
      </c>
      <c r="W124" s="18">
        <f>IFERROR(IF(MATRIZ_174!R123=0,65,IF(MATRIZ_174!R123/MATRIZ_174!Q123&gt;=2,35,IF(MATRIZ_174!R123/MATRIZ_174!Q123&gt;=0.5,50,65))),65)</f>
        <v/>
      </c>
      <c r="X124" s="18">
        <f>IF(MATRIZ_174!O123=0,70,30)</f>
        <v/>
      </c>
      <c r="Y124" s="18">
        <f>IF(OR(MATRIZ_174!P123="ASOCIACION",MATRIZ_174!P123="PENDIENTE"),65,40)</f>
        <v/>
      </c>
      <c r="Z124" s="19">
        <f>IFERROR(ROUND(AVERAGE(P124,Q124,R124,S124,T124),1),0)</f>
        <v/>
      </c>
      <c r="AA124" s="20">
        <f>IFERROR(ROUND(AVERAGE(U124,V124,W124,X124,Y124),1),0)</f>
        <v/>
      </c>
      <c r="AB124" s="21">
        <f>IFERROR(ROUND(AA124*(1-Z124/100),1),0)</f>
        <v/>
      </c>
      <c r="AC124" s="13">
        <f>IF(AND(Z124&gt;=50,AA124&lt;50),"🟢  Resilientes",IF(AND(Z124&gt;=50,AA124&gt;=50),"🟠  Expuestas Adaptables",IF(AND(Z124&lt;50,AA124&lt;50),"⬜  Riesgo Latente","🔴  Riesgo Crítico")))</f>
        <v/>
      </c>
      <c r="AD124" s="13">
        <f>IF(G124=0,"🚫  Inh. vigente OSCE","")</f>
        <v/>
      </c>
      <c r="AE124" s="22">
        <f>IFERROR(MATRIZ_174!W123,0)</f>
        <v/>
      </c>
      <c r="AF124" s="22">
        <f>IFERROR(MATRIZ_174!X123,0)</f>
        <v/>
      </c>
      <c r="AG124" s="22">
        <f>IFERROR(MATRIZ_174!Y123,0)</f>
        <v/>
      </c>
      <c r="AH124" s="22">
        <f>IFERROR(MATRIZ_174!Z123,0)</f>
        <v/>
      </c>
      <c r="AI124" s="17">
        <f>IFERROR(MATRIZ_174!AP123,"N/A")</f>
        <v/>
      </c>
      <c r="AJ124" s="17">
        <f>IFERROR(MATRIZ_174!AO123,"N/A")</f>
        <v/>
      </c>
      <c r="AK124" s="23">
        <f>IFERROR(ROUND(POWER((E124*F124*G124*H124*I124*J124*K124),1/7)*0.875+((L124+M124)/2)*0.125,1),"N/A")</f>
        <v/>
      </c>
      <c r="AL124" s="24">
        <f>IFERROR(IF(OR(AK124="N/A",AI124="N/A"),"N/A",ROUND(0.7*AK124+0.3*AI124*100,1)),"N/A")</f>
        <v/>
      </c>
    </row>
    <row r="125" ht="16.05" customHeight="1" s="37">
      <c r="A125" s="13" t="inlineStr">
        <is>
          <t>20601558204</t>
        </is>
      </c>
      <c r="B125" s="14" t="inlineStr">
        <is>
          <t>COOPERATIVA AGRARIA CAFETALERA OCUMAL</t>
        </is>
      </c>
      <c r="C125" s="13" t="inlineStr">
        <is>
          <t>AMAZONAS</t>
        </is>
      </c>
      <c r="D125" s="15" t="n">
        <v>0</v>
      </c>
      <c r="E125" s="16" t="n">
        <v>0</v>
      </c>
      <c r="F125" s="17">
        <f>IFERROR(SCORECARDS!H124,"")</f>
        <v/>
      </c>
      <c r="G125" s="17">
        <f>IFERROR(MATRIZ_174!U124,0)</f>
        <v/>
      </c>
      <c r="H125" s="16" t="n">
        <v>0</v>
      </c>
      <c r="I125" s="17">
        <f>IFERROR(SCORECARDS!I124,"")</f>
        <v/>
      </c>
      <c r="J125" s="17">
        <f>IFERROR(SCORECARDS!J124,"")</f>
        <v/>
      </c>
      <c r="K125" s="16" t="n">
        <v>0</v>
      </c>
      <c r="L125" s="16" t="n">
        <v>0</v>
      </c>
      <c r="M125" s="16" t="n">
        <v>0</v>
      </c>
      <c r="N125" s="16" t="n">
        <v>0</v>
      </c>
      <c r="O125" s="16" t="n">
        <v>0</v>
      </c>
      <c r="P125" s="17">
        <f>IFERROR(F125,0)</f>
        <v/>
      </c>
      <c r="Q125" s="17">
        <f>IFERROR(SQRT(G125*H125),0)</f>
        <v/>
      </c>
      <c r="R125" s="17">
        <f>IFERROR((I125+J125+L125)/3,0)</f>
        <v/>
      </c>
      <c r="S125" s="17">
        <f>IFERROR((J125+F125)/2,0)</f>
        <v/>
      </c>
      <c r="T125" s="17">
        <f>IFERROR((K125+M125+MATRIZ_174!O124)/3,0)</f>
        <v/>
      </c>
      <c r="U125" s="18">
        <f>IFERROR(MIN(100,ROUND(MATRIZ_174!M124,1)),0)</f>
        <v/>
      </c>
      <c r="V125" s="18">
        <f>IFERROR(IF(E125=0,50,E125),0)</f>
        <v/>
      </c>
      <c r="W125" s="18">
        <f>IFERROR(IF(MATRIZ_174!R124=0,65,IF(MATRIZ_174!R124/MATRIZ_174!Q124&gt;=2,35,IF(MATRIZ_174!R124/MATRIZ_174!Q124&gt;=0.5,50,65))),65)</f>
        <v/>
      </c>
      <c r="X125" s="18">
        <f>IF(MATRIZ_174!O124=0,70,30)</f>
        <v/>
      </c>
      <c r="Y125" s="18">
        <f>IF(OR(MATRIZ_174!P124="ASOCIACION",MATRIZ_174!P124="PENDIENTE"),65,40)</f>
        <v/>
      </c>
      <c r="Z125" s="19">
        <f>IFERROR(ROUND(AVERAGE(P125,Q125,R125,S125,T125),1),0)</f>
        <v/>
      </c>
      <c r="AA125" s="20">
        <f>IFERROR(ROUND(AVERAGE(U125,V125,W125,X125,Y125),1),0)</f>
        <v/>
      </c>
      <c r="AB125" s="21">
        <f>IFERROR(ROUND(AA125*(1-Z125/100),1),0)</f>
        <v/>
      </c>
      <c r="AC125" s="13">
        <f>IF(AND(Z125&gt;=50,AA125&lt;50),"🟢  Resilientes",IF(AND(Z125&gt;=50,AA125&gt;=50),"🟠  Expuestas Adaptables",IF(AND(Z125&lt;50,AA125&lt;50),"⬜  Riesgo Latente","🔴  Riesgo Crítico")))</f>
        <v/>
      </c>
      <c r="AD125" s="13">
        <f>IF(G125=0,"🚫  Inh. vigente OSCE","")</f>
        <v/>
      </c>
      <c r="AE125" s="22">
        <f>IFERROR(MATRIZ_174!W124,0)</f>
        <v/>
      </c>
      <c r="AF125" s="22">
        <f>IFERROR(MATRIZ_174!X124,0)</f>
        <v/>
      </c>
      <c r="AG125" s="22">
        <f>IFERROR(MATRIZ_174!Y124,0)</f>
        <v/>
      </c>
      <c r="AH125" s="22">
        <f>IFERROR(MATRIZ_174!Z124,0)</f>
        <v/>
      </c>
      <c r="AI125" s="17">
        <f>IFERROR(MATRIZ_174!AP124,"N/A")</f>
        <v/>
      </c>
      <c r="AJ125" s="17">
        <f>IFERROR(MATRIZ_174!AO124,"N/A")</f>
        <v/>
      </c>
      <c r="AK125" s="23">
        <f>IFERROR(ROUND(POWER((E125*F125*G125*H125*I125*J125*K125),1/7)*0.875+((L125+M125)/2)*0.125,1),"N/A")</f>
        <v/>
      </c>
      <c r="AL125" s="24">
        <f>IFERROR(IF(OR(AK125="N/A",AI125="N/A"),"N/A",ROUND(0.7*AK125+0.3*AI125*100,1)),"N/A")</f>
        <v/>
      </c>
    </row>
    <row r="126" ht="16.05" customHeight="1" s="37">
      <c r="A126" s="13" t="inlineStr">
        <is>
          <t>20601667526</t>
        </is>
      </c>
      <c r="B126" s="14" t="inlineStr">
        <is>
          <t>COOP BESACARI - PERU</t>
        </is>
      </c>
      <c r="C126" s="13" t="inlineStr">
        <is>
          <t>JUNIN</t>
        </is>
      </c>
      <c r="D126" s="15" t="n">
        <v>0</v>
      </c>
      <c r="E126" s="16" t="n">
        <v>0</v>
      </c>
      <c r="F126" s="17">
        <f>IFERROR(SCORECARDS!H125,"")</f>
        <v/>
      </c>
      <c r="G126" s="17">
        <f>IFERROR(MATRIZ_174!U125,0)</f>
        <v/>
      </c>
      <c r="H126" s="16" t="n">
        <v>0</v>
      </c>
      <c r="I126" s="17">
        <f>IFERROR(SCORECARDS!I125,"")</f>
        <v/>
      </c>
      <c r="J126" s="17">
        <f>IFERROR(SCORECARDS!J125,"")</f>
        <v/>
      </c>
      <c r="K126" s="16" t="n">
        <v>0</v>
      </c>
      <c r="L126" s="16" t="n">
        <v>0</v>
      </c>
      <c r="M126" s="16" t="n">
        <v>0</v>
      </c>
      <c r="N126" s="16" t="n">
        <v>0</v>
      </c>
      <c r="O126" s="16" t="n">
        <v>0</v>
      </c>
      <c r="P126" s="17">
        <f>IFERROR(F126,0)</f>
        <v/>
      </c>
      <c r="Q126" s="17">
        <f>IFERROR(SQRT(G126*H126),0)</f>
        <v/>
      </c>
      <c r="R126" s="17">
        <f>IFERROR((I126+J126+L126)/3,0)</f>
        <v/>
      </c>
      <c r="S126" s="17">
        <f>IFERROR((J126+F126)/2,0)</f>
        <v/>
      </c>
      <c r="T126" s="17">
        <f>IFERROR((K126+M126+MATRIZ_174!O125)/3,0)</f>
        <v/>
      </c>
      <c r="U126" s="18">
        <f>IFERROR(MIN(100,ROUND(MATRIZ_174!M125,1)),0)</f>
        <v/>
      </c>
      <c r="V126" s="18">
        <f>IFERROR(IF(E126=0,50,E126),0)</f>
        <v/>
      </c>
      <c r="W126" s="18">
        <f>IFERROR(IF(MATRIZ_174!R125=0,65,IF(MATRIZ_174!R125/MATRIZ_174!Q125&gt;=2,35,IF(MATRIZ_174!R125/MATRIZ_174!Q125&gt;=0.5,50,65))),65)</f>
        <v/>
      </c>
      <c r="X126" s="18">
        <f>IF(MATRIZ_174!O125=0,70,30)</f>
        <v/>
      </c>
      <c r="Y126" s="18">
        <f>IF(OR(MATRIZ_174!P125="ASOCIACION",MATRIZ_174!P125="PENDIENTE"),65,40)</f>
        <v/>
      </c>
      <c r="Z126" s="19">
        <f>IFERROR(ROUND(AVERAGE(P126,Q126,R126,S126,T126),1),0)</f>
        <v/>
      </c>
      <c r="AA126" s="20">
        <f>IFERROR(ROUND(AVERAGE(U126,V126,W126,X126,Y126),1),0)</f>
        <v/>
      </c>
      <c r="AB126" s="21">
        <f>IFERROR(ROUND(AA126*(1-Z126/100),1),0)</f>
        <v/>
      </c>
      <c r="AC126" s="13">
        <f>IF(AND(Z126&gt;=50,AA126&lt;50),"🟢  Resilientes",IF(AND(Z126&gt;=50,AA126&gt;=50),"🟠  Expuestas Adaptables",IF(AND(Z126&lt;50,AA126&lt;50),"⬜  Riesgo Latente","🔴  Riesgo Crítico")))</f>
        <v/>
      </c>
      <c r="AD126" s="13">
        <f>IF(G126=0,"🚫  Inh. vigente OSCE","")</f>
        <v/>
      </c>
      <c r="AE126" s="22">
        <f>IFERROR(MATRIZ_174!W125,0)</f>
        <v/>
      </c>
      <c r="AF126" s="22">
        <f>IFERROR(MATRIZ_174!X125,0)</f>
        <v/>
      </c>
      <c r="AG126" s="22">
        <f>IFERROR(MATRIZ_174!Y125,0)</f>
        <v/>
      </c>
      <c r="AH126" s="22">
        <f>IFERROR(MATRIZ_174!Z125,0)</f>
        <v/>
      </c>
      <c r="AI126" s="17">
        <f>IFERROR(MATRIZ_174!AP125,"N/A")</f>
        <v/>
      </c>
      <c r="AJ126" s="17">
        <f>IFERROR(MATRIZ_174!AO125,"N/A")</f>
        <v/>
      </c>
      <c r="AK126" s="23">
        <f>IFERROR(ROUND(POWER((E126*F126*G126*H126*I126*J126*K126),1/7)*0.875+((L126+M126)/2)*0.125,1),"N/A")</f>
        <v/>
      </c>
      <c r="AL126" s="24">
        <f>IFERROR(IF(OR(AK126="N/A",AI126="N/A"),"N/A",ROUND(0.7*AK126+0.3*AI126*100,1)),"N/A")</f>
        <v/>
      </c>
    </row>
    <row r="127" ht="16.05" customHeight="1" s="37">
      <c r="A127" s="13" t="inlineStr">
        <is>
          <t>20601919657</t>
        </is>
      </c>
      <c r="B127" s="14" t="inlineStr">
        <is>
          <t>COOPERATIVA AGRARIA INNOVACION CACAO Y CAFE DEL VRAEM</t>
        </is>
      </c>
      <c r="C127" s="13" t="inlineStr">
        <is>
          <t>JUNIN</t>
        </is>
      </c>
      <c r="D127" s="15" t="n">
        <v>0</v>
      </c>
      <c r="E127" s="16" t="n">
        <v>0</v>
      </c>
      <c r="F127" s="17">
        <f>IFERROR(SCORECARDS!H126,"")</f>
        <v/>
      </c>
      <c r="G127" s="17">
        <f>IFERROR(MATRIZ_174!U126,0)</f>
        <v/>
      </c>
      <c r="H127" s="16" t="n">
        <v>0</v>
      </c>
      <c r="I127" s="17">
        <f>IFERROR(SCORECARDS!I126,"")</f>
        <v/>
      </c>
      <c r="J127" s="17">
        <f>IFERROR(SCORECARDS!J126,"")</f>
        <v/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7">
        <f>IFERROR(F127,0)</f>
        <v/>
      </c>
      <c r="Q127" s="17">
        <f>IFERROR(SQRT(G127*H127),0)</f>
        <v/>
      </c>
      <c r="R127" s="17">
        <f>IFERROR((I127+J127+L127)/3,0)</f>
        <v/>
      </c>
      <c r="S127" s="17">
        <f>IFERROR((J127+F127)/2,0)</f>
        <v/>
      </c>
      <c r="T127" s="17">
        <f>IFERROR((K127+M127+MATRIZ_174!O126)/3,0)</f>
        <v/>
      </c>
      <c r="U127" s="18">
        <f>IFERROR(MIN(100,ROUND(MATRIZ_174!M126,1)),0)</f>
        <v/>
      </c>
      <c r="V127" s="18">
        <f>IFERROR(IF(E127=0,50,E127),0)</f>
        <v/>
      </c>
      <c r="W127" s="18">
        <f>IFERROR(IF(MATRIZ_174!R126=0,65,IF(MATRIZ_174!R126/MATRIZ_174!Q126&gt;=2,35,IF(MATRIZ_174!R126/MATRIZ_174!Q126&gt;=0.5,50,65))),65)</f>
        <v/>
      </c>
      <c r="X127" s="18">
        <f>IF(MATRIZ_174!O126=0,70,30)</f>
        <v/>
      </c>
      <c r="Y127" s="18">
        <f>IF(OR(MATRIZ_174!P126="ASOCIACION",MATRIZ_174!P126="PENDIENTE"),65,40)</f>
        <v/>
      </c>
      <c r="Z127" s="19">
        <f>IFERROR(ROUND(AVERAGE(P127,Q127,R127,S127,T127),1),0)</f>
        <v/>
      </c>
      <c r="AA127" s="20">
        <f>IFERROR(ROUND(AVERAGE(U127,V127,W127,X127,Y127),1),0)</f>
        <v/>
      </c>
      <c r="AB127" s="21">
        <f>IFERROR(ROUND(AA127*(1-Z127/100),1),0)</f>
        <v/>
      </c>
      <c r="AC127" s="13">
        <f>IF(AND(Z127&gt;=50,AA127&lt;50),"🟢  Resilientes",IF(AND(Z127&gt;=50,AA127&gt;=50),"🟠  Expuestas Adaptables",IF(AND(Z127&lt;50,AA127&lt;50),"⬜  Riesgo Latente","🔴  Riesgo Crítico")))</f>
        <v/>
      </c>
      <c r="AD127" s="13">
        <f>IF(G127=0,"🚫  Inh. vigente OSCE","")</f>
        <v/>
      </c>
      <c r="AE127" s="22">
        <f>IFERROR(MATRIZ_174!W126,0)</f>
        <v/>
      </c>
      <c r="AF127" s="22">
        <f>IFERROR(MATRIZ_174!X126,0)</f>
        <v/>
      </c>
      <c r="AG127" s="22">
        <f>IFERROR(MATRIZ_174!Y126,0)</f>
        <v/>
      </c>
      <c r="AH127" s="22">
        <f>IFERROR(MATRIZ_174!Z126,0)</f>
        <v/>
      </c>
      <c r="AI127" s="17">
        <f>IFERROR(MATRIZ_174!AP126,"N/A")</f>
        <v/>
      </c>
      <c r="AJ127" s="17">
        <f>IFERROR(MATRIZ_174!AO126,"N/A")</f>
        <v/>
      </c>
      <c r="AK127" s="23">
        <f>IFERROR(ROUND(POWER((E127*F127*G127*H127*I127*J127*K127),1/7)*0.875+((L127+M127)/2)*0.125,1),"N/A")</f>
        <v/>
      </c>
      <c r="AL127" s="24">
        <f>IFERROR(IF(OR(AK127="N/A",AI127="N/A"),"N/A",ROUND(0.7*AK127+0.3*AI127*100,1)),"N/A")</f>
        <v/>
      </c>
    </row>
    <row r="128" ht="16.05" customHeight="1" s="37">
      <c r="A128" s="13" t="inlineStr">
        <is>
          <t>20601939402</t>
        </is>
      </c>
      <c r="B128" s="14" t="inlineStr">
        <is>
          <t>COOPERATIVA AGRARIA ASHANINKA KEMITO SANKORI LTDA</t>
        </is>
      </c>
      <c r="C128" s="13" t="inlineStr">
        <is>
          <t>JUNIN</t>
        </is>
      </c>
      <c r="D128" s="15" t="n">
        <v>0</v>
      </c>
      <c r="E128" s="16" t="n">
        <v>0</v>
      </c>
      <c r="F128" s="17">
        <f>IFERROR(SCORECARDS!H127,"")</f>
        <v/>
      </c>
      <c r="G128" s="17">
        <f>IFERROR(MATRIZ_174!U127,0)</f>
        <v/>
      </c>
      <c r="H128" s="16" t="n">
        <v>0</v>
      </c>
      <c r="I128" s="17">
        <f>IFERROR(SCORECARDS!I127,"")</f>
        <v/>
      </c>
      <c r="J128" s="17">
        <f>IFERROR(SCORECARDS!J127,"")</f>
        <v/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7">
        <f>IFERROR(F128,0)</f>
        <v/>
      </c>
      <c r="Q128" s="17">
        <f>IFERROR(SQRT(G128*H128),0)</f>
        <v/>
      </c>
      <c r="R128" s="17">
        <f>IFERROR((I128+J128+L128)/3,0)</f>
        <v/>
      </c>
      <c r="S128" s="17">
        <f>IFERROR((J128+F128)/2,0)</f>
        <v/>
      </c>
      <c r="T128" s="17">
        <f>IFERROR((K128+M128+MATRIZ_174!O127)/3,0)</f>
        <v/>
      </c>
      <c r="U128" s="18">
        <f>IFERROR(MIN(100,ROUND(MATRIZ_174!M127,1)),0)</f>
        <v/>
      </c>
      <c r="V128" s="18">
        <f>IFERROR(IF(E128=0,50,E128),0)</f>
        <v/>
      </c>
      <c r="W128" s="18">
        <f>IFERROR(IF(MATRIZ_174!R127=0,65,IF(MATRIZ_174!R127/MATRIZ_174!Q127&gt;=2,35,IF(MATRIZ_174!R127/MATRIZ_174!Q127&gt;=0.5,50,65))),65)</f>
        <v/>
      </c>
      <c r="X128" s="18">
        <f>IF(MATRIZ_174!O127=0,70,30)</f>
        <v/>
      </c>
      <c r="Y128" s="18">
        <f>IF(OR(MATRIZ_174!P127="ASOCIACION",MATRIZ_174!P127="PENDIENTE"),65,40)</f>
        <v/>
      </c>
      <c r="Z128" s="19">
        <f>IFERROR(ROUND(AVERAGE(P128,Q128,R128,S128,T128),1),0)</f>
        <v/>
      </c>
      <c r="AA128" s="20">
        <f>IFERROR(ROUND(AVERAGE(U128,V128,W128,X128,Y128),1),0)</f>
        <v/>
      </c>
      <c r="AB128" s="21">
        <f>IFERROR(ROUND(AA128*(1-Z128/100),1),0)</f>
        <v/>
      </c>
      <c r="AC128" s="13">
        <f>IF(AND(Z128&gt;=50,AA128&lt;50),"🟢  Resilientes",IF(AND(Z128&gt;=50,AA128&gt;=50),"🟠  Expuestas Adaptables",IF(AND(Z128&lt;50,AA128&lt;50),"⬜  Riesgo Latente","🔴  Riesgo Crítico")))</f>
        <v/>
      </c>
      <c r="AD128" s="13">
        <f>IF(G128=0,"🚫  Inh. vigente OSCE","")</f>
        <v/>
      </c>
      <c r="AE128" s="22">
        <f>IFERROR(MATRIZ_174!W127,0)</f>
        <v/>
      </c>
      <c r="AF128" s="22">
        <f>IFERROR(MATRIZ_174!X127,0)</f>
        <v/>
      </c>
      <c r="AG128" s="22">
        <f>IFERROR(MATRIZ_174!Y127,0)</f>
        <v/>
      </c>
      <c r="AH128" s="22">
        <f>IFERROR(MATRIZ_174!Z127,0)</f>
        <v/>
      </c>
      <c r="AI128" s="17">
        <f>IFERROR(MATRIZ_174!AP127,"N/A")</f>
        <v/>
      </c>
      <c r="AJ128" s="17">
        <f>IFERROR(MATRIZ_174!AO127,"N/A")</f>
        <v/>
      </c>
      <c r="AK128" s="23">
        <f>IFERROR(ROUND(POWER((E128*F128*G128*H128*I128*J128*K128),1/7)*0.875+((L128+M128)/2)*0.125,1),"N/A")</f>
        <v/>
      </c>
      <c r="AL128" s="24">
        <f>IFERROR(IF(OR(AK128="N/A",AI128="N/A"),"N/A",ROUND(0.7*AK128+0.3*AI128*100,1)),"N/A")</f>
        <v/>
      </c>
    </row>
    <row r="129" ht="16.05" customHeight="1" s="37">
      <c r="A129" s="13" t="inlineStr">
        <is>
          <t>20601958911</t>
        </is>
      </c>
      <c r="B129" s="14" t="inlineStr">
        <is>
          <t>COOPERATIVA AGRARIA CAFETALERA LAGUNA DE LOS CÓNDORES</t>
        </is>
      </c>
      <c r="C129" s="13" t="inlineStr">
        <is>
          <t>AMAZONAS</t>
        </is>
      </c>
      <c r="D129" s="15" t="n">
        <v>6983136.67</v>
      </c>
      <c r="E129" s="16" t="n">
        <v>0</v>
      </c>
      <c r="F129" s="17">
        <f>IFERROR(SCORECARDS!H128,"")</f>
        <v/>
      </c>
      <c r="G129" s="17">
        <f>IFERROR(MATRIZ_174!U128,0)</f>
        <v/>
      </c>
      <c r="H129" s="16" t="n">
        <v>0</v>
      </c>
      <c r="I129" s="17">
        <f>IFERROR(SCORECARDS!I128,"")</f>
        <v/>
      </c>
      <c r="J129" s="17">
        <f>IFERROR(SCORECARDS!J128,"")</f>
        <v/>
      </c>
      <c r="K129" s="16" t="n">
        <v>0</v>
      </c>
      <c r="L129" s="16" t="n">
        <v>0</v>
      </c>
      <c r="M129" s="16" t="n">
        <v>0</v>
      </c>
      <c r="N129" s="16" t="n">
        <v>0</v>
      </c>
      <c r="O129" s="16" t="n">
        <v>0</v>
      </c>
      <c r="P129" s="17">
        <f>IFERROR(F129,0)</f>
        <v/>
      </c>
      <c r="Q129" s="17">
        <f>IFERROR(SQRT(G129*H129),0)</f>
        <v/>
      </c>
      <c r="R129" s="17">
        <f>IFERROR((I129+J129+L129)/3,0)</f>
        <v/>
      </c>
      <c r="S129" s="17">
        <f>IFERROR((J129+F129)/2,0)</f>
        <v/>
      </c>
      <c r="T129" s="17">
        <f>IFERROR((K129+M129+MATRIZ_174!O128)/3,0)</f>
        <v/>
      </c>
      <c r="U129" s="18">
        <f>IFERROR(MIN(100,ROUND(MATRIZ_174!M128,1)),0)</f>
        <v/>
      </c>
      <c r="V129" s="18">
        <f>IFERROR(IF(E129=0,50,E129),0)</f>
        <v/>
      </c>
      <c r="W129" s="18">
        <f>IFERROR(IF(MATRIZ_174!R128=0,65,IF(MATRIZ_174!R128/MATRIZ_174!Q128&gt;=2,35,IF(MATRIZ_174!R128/MATRIZ_174!Q128&gt;=0.5,50,65))),65)</f>
        <v/>
      </c>
      <c r="X129" s="18">
        <f>IF(MATRIZ_174!O128=0,70,30)</f>
        <v/>
      </c>
      <c r="Y129" s="18">
        <f>IF(OR(MATRIZ_174!P128="ASOCIACION",MATRIZ_174!P128="PENDIENTE"),65,40)</f>
        <v/>
      </c>
      <c r="Z129" s="19">
        <f>IFERROR(ROUND(AVERAGE(P129,Q129,R129,S129,T129),1),0)</f>
        <v/>
      </c>
      <c r="AA129" s="20">
        <f>IFERROR(ROUND(AVERAGE(U129,V129,W129,X129,Y129),1),0)</f>
        <v/>
      </c>
      <c r="AB129" s="21">
        <f>IFERROR(ROUND(AA129*(1-Z129/100),1),0)</f>
        <v/>
      </c>
      <c r="AC129" s="13">
        <f>IF(AND(Z129&gt;=50,AA129&lt;50),"🟢  Resilientes",IF(AND(Z129&gt;=50,AA129&gt;=50),"🟠  Expuestas Adaptables",IF(AND(Z129&lt;50,AA129&lt;50),"⬜  Riesgo Latente","🔴  Riesgo Crítico")))</f>
        <v/>
      </c>
      <c r="AD129" s="13">
        <f>IF(G129=0,"🚫  Inh. vigente OSCE","")</f>
        <v/>
      </c>
      <c r="AE129" s="22">
        <f>IFERROR(MATRIZ_174!W128,0)</f>
        <v/>
      </c>
      <c r="AF129" s="22">
        <f>IFERROR(MATRIZ_174!X128,0)</f>
        <v/>
      </c>
      <c r="AG129" s="22">
        <f>IFERROR(MATRIZ_174!Y128,0)</f>
        <v/>
      </c>
      <c r="AH129" s="22">
        <f>IFERROR(MATRIZ_174!Z128,0)</f>
        <v/>
      </c>
      <c r="AI129" s="17">
        <f>IFERROR(MATRIZ_174!AP128,"N/A")</f>
        <v/>
      </c>
      <c r="AJ129" s="17">
        <f>IFERROR(MATRIZ_174!AO128,"N/A")</f>
        <v/>
      </c>
      <c r="AK129" s="23">
        <f>IFERROR(ROUND(POWER((E129*F129*G129*H129*I129*J129*K129),1/7)*0.875+((L129+M129)/2)*0.125,1),"N/A")</f>
        <v/>
      </c>
      <c r="AL129" s="24">
        <f>IFERROR(IF(OR(AK129="N/A",AI129="N/A"),"N/A",ROUND(0.7*AK129+0.3*AI129*100,1)),"N/A")</f>
        <v/>
      </c>
    </row>
    <row r="130" ht="16.05" customHeight="1" s="37">
      <c r="A130" s="13" t="inlineStr">
        <is>
          <t>20602047025</t>
        </is>
      </c>
      <c r="B130" s="14" t="inlineStr">
        <is>
          <t>ASOCIACION DE MUJERES CHOCOLATERAS CHOCOLATE CORAZON DE NOLB</t>
        </is>
      </c>
      <c r="C130" s="13" t="inlineStr">
        <is>
          <t>UCAYALI</t>
        </is>
      </c>
      <c r="D130" s="15" t="n">
        <v>0</v>
      </c>
      <c r="E130" s="16" t="n">
        <v>0</v>
      </c>
      <c r="F130" s="17">
        <f>IFERROR(SCORECARDS!H129,"")</f>
        <v/>
      </c>
      <c r="G130" s="17">
        <f>IFERROR(MATRIZ_174!U129,0)</f>
        <v/>
      </c>
      <c r="H130" s="16" t="n">
        <v>0</v>
      </c>
      <c r="I130" s="17">
        <f>IFERROR(SCORECARDS!I129,"")</f>
        <v/>
      </c>
      <c r="J130" s="17">
        <f>IFERROR(SCORECARDS!J129,"")</f>
        <v/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7">
        <f>IFERROR(F130,0)</f>
        <v/>
      </c>
      <c r="Q130" s="17">
        <f>IFERROR(SQRT(G130*H130),0)</f>
        <v/>
      </c>
      <c r="R130" s="17">
        <f>IFERROR((I130+J130+L130)/3,0)</f>
        <v/>
      </c>
      <c r="S130" s="17">
        <f>IFERROR((J130+F130)/2,0)</f>
        <v/>
      </c>
      <c r="T130" s="17">
        <f>IFERROR((K130+M130+MATRIZ_174!O129)/3,0)</f>
        <v/>
      </c>
      <c r="U130" s="18">
        <f>IFERROR(MIN(100,ROUND(MATRIZ_174!M129,1)),0)</f>
        <v/>
      </c>
      <c r="V130" s="18">
        <f>IFERROR(IF(E130=0,50,E130),0)</f>
        <v/>
      </c>
      <c r="W130" s="18">
        <f>IFERROR(IF(MATRIZ_174!R129=0,65,IF(MATRIZ_174!R129/MATRIZ_174!Q129&gt;=2,35,IF(MATRIZ_174!R129/MATRIZ_174!Q129&gt;=0.5,50,65))),65)</f>
        <v/>
      </c>
      <c r="X130" s="18">
        <f>IF(MATRIZ_174!O129=0,70,30)</f>
        <v/>
      </c>
      <c r="Y130" s="18">
        <f>IF(OR(MATRIZ_174!P129="ASOCIACION",MATRIZ_174!P129="PENDIENTE"),65,40)</f>
        <v/>
      </c>
      <c r="Z130" s="19">
        <f>IFERROR(ROUND(AVERAGE(P130,Q130,R130,S130,T130),1),0)</f>
        <v/>
      </c>
      <c r="AA130" s="20">
        <f>IFERROR(ROUND(AVERAGE(U130,V130,W130,X130,Y130),1),0)</f>
        <v/>
      </c>
      <c r="AB130" s="21">
        <f>IFERROR(ROUND(AA130*(1-Z130/100),1),0)</f>
        <v/>
      </c>
      <c r="AC130" s="13">
        <f>IF(AND(Z130&gt;=50,AA130&lt;50),"🟢  Resilientes",IF(AND(Z130&gt;=50,AA130&gt;=50),"🟠  Expuestas Adaptables",IF(AND(Z130&lt;50,AA130&lt;50),"⬜  Riesgo Latente","🔴  Riesgo Crítico")))</f>
        <v/>
      </c>
      <c r="AD130" s="13">
        <f>IF(G130=0,"🚫  Inh. vigente OSCE","")</f>
        <v/>
      </c>
      <c r="AE130" s="22">
        <f>IFERROR(MATRIZ_174!W129,0)</f>
        <v/>
      </c>
      <c r="AF130" s="22">
        <f>IFERROR(MATRIZ_174!X129,0)</f>
        <v/>
      </c>
      <c r="AG130" s="22">
        <f>IFERROR(MATRIZ_174!Y129,0)</f>
        <v/>
      </c>
      <c r="AH130" s="22">
        <f>IFERROR(MATRIZ_174!Z129,0)</f>
        <v/>
      </c>
      <c r="AI130" s="17">
        <f>IFERROR(MATRIZ_174!AP129,"N/A")</f>
        <v/>
      </c>
      <c r="AJ130" s="17">
        <f>IFERROR(MATRIZ_174!AO129,"N/A")</f>
        <v/>
      </c>
      <c r="AK130" s="23">
        <f>IFERROR(ROUND(POWER((E130*F130*G130*H130*I130*J130*K130),1/7)*0.875+((L130+M130)/2)*0.125,1),"N/A")</f>
        <v/>
      </c>
      <c r="AL130" s="24">
        <f>IFERROR(IF(OR(AK130="N/A",AI130="N/A"),"N/A",ROUND(0.7*AK130+0.3*AI130*100,1)),"N/A")</f>
        <v/>
      </c>
    </row>
    <row r="131" ht="16.05" customHeight="1" s="37">
      <c r="A131" s="13" t="inlineStr">
        <is>
          <t>20602054480</t>
        </is>
      </c>
      <c r="B131" s="14" t="inlineStr">
        <is>
          <t>COOPERATIVA AGRARIA ECOLOGICA DE MUJERES CAFETALERAS VILLA R</t>
        </is>
      </c>
      <c r="C131" s="13" t="inlineStr">
        <is>
          <t>PASCO</t>
        </is>
      </c>
      <c r="D131" s="15" t="n">
        <v>0</v>
      </c>
      <c r="E131" s="16" t="n">
        <v>0</v>
      </c>
      <c r="F131" s="17">
        <f>IFERROR(SCORECARDS!H130,"")</f>
        <v/>
      </c>
      <c r="G131" s="17">
        <f>IFERROR(MATRIZ_174!U130,0)</f>
        <v/>
      </c>
      <c r="H131" s="16" t="n">
        <v>0</v>
      </c>
      <c r="I131" s="17">
        <f>IFERROR(SCORECARDS!I130,"")</f>
        <v/>
      </c>
      <c r="J131" s="17">
        <f>IFERROR(SCORECARDS!J130,"")</f>
        <v/>
      </c>
      <c r="K131" s="16" t="n">
        <v>0</v>
      </c>
      <c r="L131" s="16" t="n">
        <v>0</v>
      </c>
      <c r="M131" s="16" t="n">
        <v>0</v>
      </c>
      <c r="N131" s="16" t="n">
        <v>0</v>
      </c>
      <c r="O131" s="16" t="n">
        <v>0</v>
      </c>
      <c r="P131" s="17">
        <f>IFERROR(F131,0)</f>
        <v/>
      </c>
      <c r="Q131" s="17">
        <f>IFERROR(SQRT(G131*H131),0)</f>
        <v/>
      </c>
      <c r="R131" s="17">
        <f>IFERROR((I131+J131+L131)/3,0)</f>
        <v/>
      </c>
      <c r="S131" s="17">
        <f>IFERROR((J131+F131)/2,0)</f>
        <v/>
      </c>
      <c r="T131" s="17">
        <f>IFERROR((K131+M131+MATRIZ_174!O130)/3,0)</f>
        <v/>
      </c>
      <c r="U131" s="18">
        <f>IFERROR(MIN(100,ROUND(MATRIZ_174!M130,1)),0)</f>
        <v/>
      </c>
      <c r="V131" s="18">
        <f>IFERROR(IF(E131=0,50,E131),0)</f>
        <v/>
      </c>
      <c r="W131" s="18">
        <f>IFERROR(IF(MATRIZ_174!R130=0,65,IF(MATRIZ_174!R130/MATRIZ_174!Q130&gt;=2,35,IF(MATRIZ_174!R130/MATRIZ_174!Q130&gt;=0.5,50,65))),65)</f>
        <v/>
      </c>
      <c r="X131" s="18">
        <f>IF(MATRIZ_174!O130=0,70,30)</f>
        <v/>
      </c>
      <c r="Y131" s="18">
        <f>IF(OR(MATRIZ_174!P130="ASOCIACION",MATRIZ_174!P130="PENDIENTE"),65,40)</f>
        <v/>
      </c>
      <c r="Z131" s="19">
        <f>IFERROR(ROUND(AVERAGE(P131,Q131,R131,S131,T131),1),0)</f>
        <v/>
      </c>
      <c r="AA131" s="20">
        <f>IFERROR(ROUND(AVERAGE(U131,V131,W131,X131,Y131),1),0)</f>
        <v/>
      </c>
      <c r="AB131" s="21">
        <f>IFERROR(ROUND(AA131*(1-Z131/100),1),0)</f>
        <v/>
      </c>
      <c r="AC131" s="13">
        <f>IF(AND(Z131&gt;=50,AA131&lt;50),"🟢  Resilientes",IF(AND(Z131&gt;=50,AA131&gt;=50),"🟠  Expuestas Adaptables",IF(AND(Z131&lt;50,AA131&lt;50),"⬜  Riesgo Latente","🔴  Riesgo Crítico")))</f>
        <v/>
      </c>
      <c r="AD131" s="13">
        <f>IF(G131=0,"🚫  Inh. vigente OSCE","")</f>
        <v/>
      </c>
      <c r="AE131" s="22">
        <f>IFERROR(MATRIZ_174!W130,0)</f>
        <v/>
      </c>
      <c r="AF131" s="22">
        <f>IFERROR(MATRIZ_174!X130,0)</f>
        <v/>
      </c>
      <c r="AG131" s="22">
        <f>IFERROR(MATRIZ_174!Y130,0)</f>
        <v/>
      </c>
      <c r="AH131" s="22">
        <f>IFERROR(MATRIZ_174!Z130,0)</f>
        <v/>
      </c>
      <c r="AI131" s="17">
        <f>IFERROR(MATRIZ_174!AP130,"N/A")</f>
        <v/>
      </c>
      <c r="AJ131" s="17">
        <f>IFERROR(MATRIZ_174!AO130,"N/A")</f>
        <v/>
      </c>
      <c r="AK131" s="23">
        <f>IFERROR(ROUND(POWER((E131*F131*G131*H131*I131*J131*K131),1/7)*0.875+((L131+M131)/2)*0.125,1),"N/A")</f>
        <v/>
      </c>
      <c r="AL131" s="24">
        <f>IFERROR(IF(OR(AK131="N/A",AI131="N/A"),"N/A",ROUND(0.7*AK131+0.3*AI131*100,1)),"N/A")</f>
        <v/>
      </c>
    </row>
    <row r="132" ht="16.05" customHeight="1" s="37">
      <c r="A132" s="13" t="inlineStr">
        <is>
          <t>20602161081</t>
        </is>
      </c>
      <c r="B132" s="14" t="inlineStr">
        <is>
          <t>APROVAPERU</t>
        </is>
      </c>
      <c r="C132" s="13" t="inlineStr">
        <is>
          <t>JUNIN</t>
        </is>
      </c>
      <c r="D132" s="15" t="n">
        <v>0</v>
      </c>
      <c r="E132" s="16" t="n">
        <v>0</v>
      </c>
      <c r="F132" s="17">
        <f>IFERROR(SCORECARDS!H131,"")</f>
        <v/>
      </c>
      <c r="G132" s="17">
        <f>IFERROR(MATRIZ_174!U131,0)</f>
        <v/>
      </c>
      <c r="H132" s="16" t="n">
        <v>0</v>
      </c>
      <c r="I132" s="17">
        <f>IFERROR(SCORECARDS!I131,"")</f>
        <v/>
      </c>
      <c r="J132" s="17">
        <f>IFERROR(SCORECARDS!J131,"")</f>
        <v/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7">
        <f>IFERROR(F132,0)</f>
        <v/>
      </c>
      <c r="Q132" s="17">
        <f>IFERROR(SQRT(G132*H132),0)</f>
        <v/>
      </c>
      <c r="R132" s="17">
        <f>IFERROR((I132+J132+L132)/3,0)</f>
        <v/>
      </c>
      <c r="S132" s="17">
        <f>IFERROR((J132+F132)/2,0)</f>
        <v/>
      </c>
      <c r="T132" s="17">
        <f>IFERROR((K132+M132+MATRIZ_174!O131)/3,0)</f>
        <v/>
      </c>
      <c r="U132" s="18">
        <f>IFERROR(MIN(100,ROUND(MATRIZ_174!M131,1)),0)</f>
        <v/>
      </c>
      <c r="V132" s="18">
        <f>IFERROR(IF(E132=0,50,E132),0)</f>
        <v/>
      </c>
      <c r="W132" s="18">
        <f>IFERROR(IF(MATRIZ_174!R131=0,65,IF(MATRIZ_174!R131/MATRIZ_174!Q131&gt;=2,35,IF(MATRIZ_174!R131/MATRIZ_174!Q131&gt;=0.5,50,65))),65)</f>
        <v/>
      </c>
      <c r="X132" s="18">
        <f>IF(MATRIZ_174!O131=0,70,30)</f>
        <v/>
      </c>
      <c r="Y132" s="18">
        <f>IF(OR(MATRIZ_174!P131="ASOCIACION",MATRIZ_174!P131="PENDIENTE"),65,40)</f>
        <v/>
      </c>
      <c r="Z132" s="19">
        <f>IFERROR(ROUND(AVERAGE(P132,Q132,R132,S132,T132),1),0)</f>
        <v/>
      </c>
      <c r="AA132" s="20">
        <f>IFERROR(ROUND(AVERAGE(U132,V132,W132,X132,Y132),1),0)</f>
        <v/>
      </c>
      <c r="AB132" s="21">
        <f>IFERROR(ROUND(AA132*(1-Z132/100),1),0)</f>
        <v/>
      </c>
      <c r="AC132" s="13">
        <f>IF(AND(Z132&gt;=50,AA132&lt;50),"🟢  Resilientes",IF(AND(Z132&gt;=50,AA132&gt;=50),"🟠  Expuestas Adaptables",IF(AND(Z132&lt;50,AA132&lt;50),"⬜  Riesgo Latente","🔴  Riesgo Crítico")))</f>
        <v/>
      </c>
      <c r="AD132" s="13">
        <f>IF(G132=0,"🚫  Inh. vigente OSCE","")</f>
        <v/>
      </c>
      <c r="AE132" s="22">
        <f>IFERROR(MATRIZ_174!W131,0)</f>
        <v/>
      </c>
      <c r="AF132" s="22">
        <f>IFERROR(MATRIZ_174!X131,0)</f>
        <v/>
      </c>
      <c r="AG132" s="22">
        <f>IFERROR(MATRIZ_174!Y131,0)</f>
        <v/>
      </c>
      <c r="AH132" s="22">
        <f>IFERROR(MATRIZ_174!Z131,0)</f>
        <v/>
      </c>
      <c r="AI132" s="17">
        <f>IFERROR(MATRIZ_174!AP131,"N/A")</f>
        <v/>
      </c>
      <c r="AJ132" s="17">
        <f>IFERROR(MATRIZ_174!AO131,"N/A")</f>
        <v/>
      </c>
      <c r="AK132" s="23">
        <f>IFERROR(ROUND(POWER((E132*F132*G132*H132*I132*J132*K132),1/7)*0.875+((L132+M132)/2)*0.125,1),"N/A")</f>
        <v/>
      </c>
      <c r="AL132" s="24">
        <f>IFERROR(IF(OR(AK132="N/A",AI132="N/A"),"N/A",ROUND(0.7*AK132+0.3*AI132*100,1)),"N/A")</f>
        <v/>
      </c>
    </row>
    <row r="133" ht="16.05" customHeight="1" s="37">
      <c r="A133" s="13" t="inlineStr">
        <is>
          <t>20602194265</t>
        </is>
      </c>
      <c r="B133" s="14" t="inlineStr">
        <is>
          <t>ASOCIACION DE AGRICULTORES DE CACAO Y REFORESTADORES DE CURI</t>
        </is>
      </c>
      <c r="C133" s="13" t="inlineStr">
        <is>
          <t>UCAYALI</t>
        </is>
      </c>
      <c r="D133" s="15" t="n">
        <v>0</v>
      </c>
      <c r="E133" s="16" t="n">
        <v>0</v>
      </c>
      <c r="F133" s="17">
        <f>IFERROR(SCORECARDS!H132,"")</f>
        <v/>
      </c>
      <c r="G133" s="17">
        <f>IFERROR(MATRIZ_174!U132,0)</f>
        <v/>
      </c>
      <c r="H133" s="16" t="n">
        <v>0</v>
      </c>
      <c r="I133" s="17">
        <f>IFERROR(SCORECARDS!I132,"")</f>
        <v/>
      </c>
      <c r="J133" s="17">
        <f>IFERROR(SCORECARDS!J132,"")</f>
        <v/>
      </c>
      <c r="K133" s="16" t="n">
        <v>0</v>
      </c>
      <c r="L133" s="16" t="n">
        <v>0</v>
      </c>
      <c r="M133" s="16" t="n">
        <v>0</v>
      </c>
      <c r="N133" s="16" t="n">
        <v>0</v>
      </c>
      <c r="O133" s="16" t="n">
        <v>0</v>
      </c>
      <c r="P133" s="17">
        <f>IFERROR(F133,0)</f>
        <v/>
      </c>
      <c r="Q133" s="17">
        <f>IFERROR(SQRT(G133*H133),0)</f>
        <v/>
      </c>
      <c r="R133" s="17">
        <f>IFERROR((I133+J133+L133)/3,0)</f>
        <v/>
      </c>
      <c r="S133" s="17">
        <f>IFERROR((J133+F133)/2,0)</f>
        <v/>
      </c>
      <c r="T133" s="17">
        <f>IFERROR((K133+M133+MATRIZ_174!O132)/3,0)</f>
        <v/>
      </c>
      <c r="U133" s="18">
        <f>IFERROR(MIN(100,ROUND(MATRIZ_174!M132,1)),0)</f>
        <v/>
      </c>
      <c r="V133" s="18">
        <f>IFERROR(IF(E133=0,50,E133),0)</f>
        <v/>
      </c>
      <c r="W133" s="18">
        <f>IFERROR(IF(MATRIZ_174!R132=0,65,IF(MATRIZ_174!R132/MATRIZ_174!Q132&gt;=2,35,IF(MATRIZ_174!R132/MATRIZ_174!Q132&gt;=0.5,50,65))),65)</f>
        <v/>
      </c>
      <c r="X133" s="18">
        <f>IF(MATRIZ_174!O132=0,70,30)</f>
        <v/>
      </c>
      <c r="Y133" s="18">
        <f>IF(OR(MATRIZ_174!P132="ASOCIACION",MATRIZ_174!P132="PENDIENTE"),65,40)</f>
        <v/>
      </c>
      <c r="Z133" s="19">
        <f>IFERROR(ROUND(AVERAGE(P133,Q133,R133,S133,T133),1),0)</f>
        <v/>
      </c>
      <c r="AA133" s="20">
        <f>IFERROR(ROUND(AVERAGE(U133,V133,W133,X133,Y133),1),0)</f>
        <v/>
      </c>
      <c r="AB133" s="21">
        <f>IFERROR(ROUND(AA133*(1-Z133/100),1),0)</f>
        <v/>
      </c>
      <c r="AC133" s="13">
        <f>IF(AND(Z133&gt;=50,AA133&lt;50),"🟢  Resilientes",IF(AND(Z133&gt;=50,AA133&gt;=50),"🟠  Expuestas Adaptables",IF(AND(Z133&lt;50,AA133&lt;50),"⬜  Riesgo Latente","🔴  Riesgo Crítico")))</f>
        <v/>
      </c>
      <c r="AD133" s="13">
        <f>IF(G133=0,"🚫  Inh. vigente OSCE","")</f>
        <v/>
      </c>
      <c r="AE133" s="22">
        <f>IFERROR(MATRIZ_174!W132,0)</f>
        <v/>
      </c>
      <c r="AF133" s="22">
        <f>IFERROR(MATRIZ_174!X132,0)</f>
        <v/>
      </c>
      <c r="AG133" s="22">
        <f>IFERROR(MATRIZ_174!Y132,0)</f>
        <v/>
      </c>
      <c r="AH133" s="22">
        <f>IFERROR(MATRIZ_174!Z132,0)</f>
        <v/>
      </c>
      <c r="AI133" s="17">
        <f>IFERROR(MATRIZ_174!AP132,"N/A")</f>
        <v/>
      </c>
      <c r="AJ133" s="17">
        <f>IFERROR(MATRIZ_174!AO132,"N/A")</f>
        <v/>
      </c>
      <c r="AK133" s="23">
        <f>IFERROR(ROUND(POWER((E133*F133*G133*H133*I133*J133*K133),1/7)*0.875+((L133+M133)/2)*0.125,1),"N/A")</f>
        <v/>
      </c>
      <c r="AL133" s="24">
        <f>IFERROR(IF(OR(AK133="N/A",AI133="N/A"),"N/A",ROUND(0.7*AK133+0.3*AI133*100,1)),"N/A")</f>
        <v/>
      </c>
    </row>
    <row r="134" ht="16.05" customHeight="1" s="37">
      <c r="A134" s="13" t="inlineStr">
        <is>
          <t>20602242464</t>
        </is>
      </c>
      <c r="B134" s="14" t="inlineStr">
        <is>
          <t>COOPERATIVA AGROPECUARIA MARCELINO VASQUEZ HUAMAN - COOPAMAV</t>
        </is>
      </c>
      <c r="C134" s="13" t="inlineStr">
        <is>
          <t>PIURA</t>
        </is>
      </c>
      <c r="D134" s="15" t="n">
        <v>0</v>
      </c>
      <c r="E134" s="16" t="n">
        <v>0</v>
      </c>
      <c r="F134" s="17">
        <f>IFERROR(SCORECARDS!H133,"")</f>
        <v/>
      </c>
      <c r="G134" s="17">
        <f>IFERROR(MATRIZ_174!U133,0)</f>
        <v/>
      </c>
      <c r="H134" s="16" t="n">
        <v>0</v>
      </c>
      <c r="I134" s="17">
        <f>IFERROR(SCORECARDS!I133,"")</f>
        <v/>
      </c>
      <c r="J134" s="17">
        <f>IFERROR(SCORECARDS!J133,"")</f>
        <v/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7">
        <f>IFERROR(F134,0)</f>
        <v/>
      </c>
      <c r="Q134" s="17">
        <f>IFERROR(SQRT(G134*H134),0)</f>
        <v/>
      </c>
      <c r="R134" s="17">
        <f>IFERROR((I134+J134+L134)/3,0)</f>
        <v/>
      </c>
      <c r="S134" s="17">
        <f>IFERROR((J134+F134)/2,0)</f>
        <v/>
      </c>
      <c r="T134" s="17">
        <f>IFERROR((K134+M134+MATRIZ_174!O133)/3,0)</f>
        <v/>
      </c>
      <c r="U134" s="18">
        <f>IFERROR(MIN(100,ROUND(MATRIZ_174!M133,1)),0)</f>
        <v/>
      </c>
      <c r="V134" s="18">
        <f>IFERROR(IF(E134=0,50,E134),0)</f>
        <v/>
      </c>
      <c r="W134" s="18">
        <f>IFERROR(IF(MATRIZ_174!R133=0,65,IF(MATRIZ_174!R133/MATRIZ_174!Q133&gt;=2,35,IF(MATRIZ_174!R133/MATRIZ_174!Q133&gt;=0.5,50,65))),65)</f>
        <v/>
      </c>
      <c r="X134" s="18">
        <f>IF(MATRIZ_174!O133=0,70,30)</f>
        <v/>
      </c>
      <c r="Y134" s="18">
        <f>IF(OR(MATRIZ_174!P133="ASOCIACION",MATRIZ_174!P133="PENDIENTE"),65,40)</f>
        <v/>
      </c>
      <c r="Z134" s="19">
        <f>IFERROR(ROUND(AVERAGE(P134,Q134,R134,S134,T134),1),0)</f>
        <v/>
      </c>
      <c r="AA134" s="20">
        <f>IFERROR(ROUND(AVERAGE(U134,V134,W134,X134,Y134),1),0)</f>
        <v/>
      </c>
      <c r="AB134" s="21">
        <f>IFERROR(ROUND(AA134*(1-Z134/100),1),0)</f>
        <v/>
      </c>
      <c r="AC134" s="13">
        <f>IF(AND(Z134&gt;=50,AA134&lt;50),"🟢  Resilientes",IF(AND(Z134&gt;=50,AA134&gt;=50),"🟠  Expuestas Adaptables",IF(AND(Z134&lt;50,AA134&lt;50),"⬜  Riesgo Latente","🔴  Riesgo Crítico")))</f>
        <v/>
      </c>
      <c r="AD134" s="13">
        <f>IF(G134=0,"🚫  Inh. vigente OSCE","")</f>
        <v/>
      </c>
      <c r="AE134" s="22">
        <f>IFERROR(MATRIZ_174!W133,0)</f>
        <v/>
      </c>
      <c r="AF134" s="22">
        <f>IFERROR(MATRIZ_174!X133,0)</f>
        <v/>
      </c>
      <c r="AG134" s="22">
        <f>IFERROR(MATRIZ_174!Y133,0)</f>
        <v/>
      </c>
      <c r="AH134" s="22">
        <f>IFERROR(MATRIZ_174!Z133,0)</f>
        <v/>
      </c>
      <c r="AI134" s="17">
        <f>IFERROR(MATRIZ_174!AP133,"N/A")</f>
        <v/>
      </c>
      <c r="AJ134" s="17">
        <f>IFERROR(MATRIZ_174!AO133,"N/A")</f>
        <v/>
      </c>
      <c r="AK134" s="23">
        <f>IFERROR(ROUND(POWER((E134*F134*G134*H134*I134*J134*K134),1/7)*0.875+((L134+M134)/2)*0.125,1),"N/A")</f>
        <v/>
      </c>
      <c r="AL134" s="24">
        <f>IFERROR(IF(OR(AK134="N/A",AI134="N/A"),"N/A",ROUND(0.7*AK134+0.3*AI134*100,1)),"N/A")</f>
        <v/>
      </c>
    </row>
    <row r="135" ht="16.05" customHeight="1" s="37">
      <c r="A135" s="13" t="inlineStr">
        <is>
          <t>20602488927</t>
        </is>
      </c>
      <c r="B135" s="14" t="inlineStr">
        <is>
          <t>COOPERATIVA AGRARIA ECOLOGICO ROSAS PAMPA LTDA - CAECO ROSAS</t>
        </is>
      </c>
      <c r="C135" s="13" t="inlineStr">
        <is>
          <t>JUNIN</t>
        </is>
      </c>
      <c r="D135" s="15" t="n">
        <v>0</v>
      </c>
      <c r="E135" s="16" t="n">
        <v>0</v>
      </c>
      <c r="F135" s="17">
        <f>IFERROR(SCORECARDS!H134,"")</f>
        <v/>
      </c>
      <c r="G135" s="17">
        <f>IFERROR(MATRIZ_174!U134,0)</f>
        <v/>
      </c>
      <c r="H135" s="16" t="n">
        <v>0</v>
      </c>
      <c r="I135" s="17">
        <f>IFERROR(SCORECARDS!I134,"")</f>
        <v/>
      </c>
      <c r="J135" s="17">
        <f>IFERROR(SCORECARDS!J134,"")</f>
        <v/>
      </c>
      <c r="K135" s="16" t="n">
        <v>0</v>
      </c>
      <c r="L135" s="16" t="n">
        <v>0</v>
      </c>
      <c r="M135" s="16" t="n">
        <v>0</v>
      </c>
      <c r="N135" s="16" t="n">
        <v>0</v>
      </c>
      <c r="O135" s="16" t="n">
        <v>0</v>
      </c>
      <c r="P135" s="17">
        <f>IFERROR(F135,0)</f>
        <v/>
      </c>
      <c r="Q135" s="17">
        <f>IFERROR(SQRT(G135*H135),0)</f>
        <v/>
      </c>
      <c r="R135" s="17">
        <f>IFERROR((I135+J135+L135)/3,0)</f>
        <v/>
      </c>
      <c r="S135" s="17">
        <f>IFERROR((J135+F135)/2,0)</f>
        <v/>
      </c>
      <c r="T135" s="17">
        <f>IFERROR((K135+M135+MATRIZ_174!O134)/3,0)</f>
        <v/>
      </c>
      <c r="U135" s="18">
        <f>IFERROR(MIN(100,ROUND(MATRIZ_174!M134,1)),0)</f>
        <v/>
      </c>
      <c r="V135" s="18">
        <f>IFERROR(IF(E135=0,50,E135),0)</f>
        <v/>
      </c>
      <c r="W135" s="18">
        <f>IFERROR(IF(MATRIZ_174!R134=0,65,IF(MATRIZ_174!R134/MATRIZ_174!Q134&gt;=2,35,IF(MATRIZ_174!R134/MATRIZ_174!Q134&gt;=0.5,50,65))),65)</f>
        <v/>
      </c>
      <c r="X135" s="18">
        <f>IF(MATRIZ_174!O134=0,70,30)</f>
        <v/>
      </c>
      <c r="Y135" s="18">
        <f>IF(OR(MATRIZ_174!P134="ASOCIACION",MATRIZ_174!P134="PENDIENTE"),65,40)</f>
        <v/>
      </c>
      <c r="Z135" s="19">
        <f>IFERROR(ROUND(AVERAGE(P135,Q135,R135,S135,T135),1),0)</f>
        <v/>
      </c>
      <c r="AA135" s="20">
        <f>IFERROR(ROUND(AVERAGE(U135,V135,W135,X135,Y135),1),0)</f>
        <v/>
      </c>
      <c r="AB135" s="21">
        <f>IFERROR(ROUND(AA135*(1-Z135/100),1),0)</f>
        <v/>
      </c>
      <c r="AC135" s="13">
        <f>IF(AND(Z135&gt;=50,AA135&lt;50),"🟢  Resilientes",IF(AND(Z135&gt;=50,AA135&gt;=50),"🟠  Expuestas Adaptables",IF(AND(Z135&lt;50,AA135&lt;50),"⬜  Riesgo Latente","🔴  Riesgo Crítico")))</f>
        <v/>
      </c>
      <c r="AD135" s="13">
        <f>IF(G135=0,"🚫  Inh. vigente OSCE","")</f>
        <v/>
      </c>
      <c r="AE135" s="22">
        <f>IFERROR(MATRIZ_174!W134,0)</f>
        <v/>
      </c>
      <c r="AF135" s="22">
        <f>IFERROR(MATRIZ_174!X134,0)</f>
        <v/>
      </c>
      <c r="AG135" s="22">
        <f>IFERROR(MATRIZ_174!Y134,0)</f>
        <v/>
      </c>
      <c r="AH135" s="22">
        <f>IFERROR(MATRIZ_174!Z134,0)</f>
        <v/>
      </c>
      <c r="AI135" s="17">
        <f>IFERROR(MATRIZ_174!AP134,"N/A")</f>
        <v/>
      </c>
      <c r="AJ135" s="17">
        <f>IFERROR(MATRIZ_174!AO134,"N/A")</f>
        <v/>
      </c>
      <c r="AK135" s="23">
        <f>IFERROR(ROUND(POWER((E135*F135*G135*H135*I135*J135*K135),1/7)*0.875+((L135+M135)/2)*0.125,1),"N/A")</f>
        <v/>
      </c>
      <c r="AL135" s="24">
        <f>IFERROR(IF(OR(AK135="N/A",AI135="N/A"),"N/A",ROUND(0.7*AK135+0.3*AI135*100,1)),"N/A")</f>
        <v/>
      </c>
    </row>
    <row r="136" ht="16.05" customHeight="1" s="37">
      <c r="A136" s="13" t="inlineStr">
        <is>
          <t>20602650643</t>
        </is>
      </c>
      <c r="B136" s="14" t="inlineStr">
        <is>
          <t>ASOCIACIÓN AGROEXPORTADORA DE LA REGIÓN SAN MARTÍN</t>
        </is>
      </c>
      <c r="C136" s="13" t="inlineStr">
        <is>
          <t>SAN MARTIN</t>
        </is>
      </c>
      <c r="D136" s="15" t="n">
        <v>4575551.37</v>
      </c>
      <c r="E136" s="16" t="n">
        <v>0</v>
      </c>
      <c r="F136" s="17">
        <f>IFERROR(SCORECARDS!H135,"")</f>
        <v/>
      </c>
      <c r="G136" s="17">
        <f>IFERROR(MATRIZ_174!U135,0)</f>
        <v/>
      </c>
      <c r="H136" s="16" t="n">
        <v>0</v>
      </c>
      <c r="I136" s="17">
        <f>IFERROR(SCORECARDS!I135,"")</f>
        <v/>
      </c>
      <c r="J136" s="17">
        <f>IFERROR(SCORECARDS!J135,"")</f>
        <v/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7">
        <f>IFERROR(F136,0)</f>
        <v/>
      </c>
      <c r="Q136" s="17">
        <f>IFERROR(SQRT(G136*H136),0)</f>
        <v/>
      </c>
      <c r="R136" s="17">
        <f>IFERROR((I136+J136+L136)/3,0)</f>
        <v/>
      </c>
      <c r="S136" s="17">
        <f>IFERROR((J136+F136)/2,0)</f>
        <v/>
      </c>
      <c r="T136" s="17">
        <f>IFERROR((K136+M136+MATRIZ_174!O135)/3,0)</f>
        <v/>
      </c>
      <c r="U136" s="18">
        <f>IFERROR(MIN(100,ROUND(MATRIZ_174!M135,1)),0)</f>
        <v/>
      </c>
      <c r="V136" s="18">
        <f>IFERROR(IF(E136=0,50,E136),0)</f>
        <v/>
      </c>
      <c r="W136" s="18">
        <f>IFERROR(IF(MATRIZ_174!R135=0,65,IF(MATRIZ_174!R135/MATRIZ_174!Q135&gt;=2,35,IF(MATRIZ_174!R135/MATRIZ_174!Q135&gt;=0.5,50,65))),65)</f>
        <v/>
      </c>
      <c r="X136" s="18">
        <f>IF(MATRIZ_174!O135=0,70,30)</f>
        <v/>
      </c>
      <c r="Y136" s="18">
        <f>IF(OR(MATRIZ_174!P135="ASOCIACION",MATRIZ_174!P135="PENDIENTE"),65,40)</f>
        <v/>
      </c>
      <c r="Z136" s="19">
        <f>IFERROR(ROUND(AVERAGE(P136,Q136,R136,S136,T136),1),0)</f>
        <v/>
      </c>
      <c r="AA136" s="20">
        <f>IFERROR(ROUND(AVERAGE(U136,V136,W136,X136,Y136),1),0)</f>
        <v/>
      </c>
      <c r="AB136" s="21">
        <f>IFERROR(ROUND(AA136*(1-Z136/100),1),0)</f>
        <v/>
      </c>
      <c r="AC136" s="13">
        <f>IF(AND(Z136&gt;=50,AA136&lt;50),"🟢  Resilientes",IF(AND(Z136&gt;=50,AA136&gt;=50),"🟠  Expuestas Adaptables",IF(AND(Z136&lt;50,AA136&lt;50),"⬜  Riesgo Latente","🔴  Riesgo Crítico")))</f>
        <v/>
      </c>
      <c r="AD136" s="13">
        <f>IF(G136=0,"🚫  Inh. vigente OSCE","")</f>
        <v/>
      </c>
      <c r="AE136" s="22">
        <f>IFERROR(MATRIZ_174!W135,0)</f>
        <v/>
      </c>
      <c r="AF136" s="22">
        <f>IFERROR(MATRIZ_174!X135,0)</f>
        <v/>
      </c>
      <c r="AG136" s="22">
        <f>IFERROR(MATRIZ_174!Y135,0)</f>
        <v/>
      </c>
      <c r="AH136" s="22">
        <f>IFERROR(MATRIZ_174!Z135,0)</f>
        <v/>
      </c>
      <c r="AI136" s="17">
        <f>IFERROR(MATRIZ_174!AP135,"N/A")</f>
        <v/>
      </c>
      <c r="AJ136" s="17">
        <f>IFERROR(MATRIZ_174!AO135,"N/A")</f>
        <v/>
      </c>
      <c r="AK136" s="23">
        <f>IFERROR(ROUND(POWER((E136*F136*G136*H136*I136*J136*K136),1/7)*0.875+((L136+M136)/2)*0.125,1),"N/A")</f>
        <v/>
      </c>
      <c r="AL136" s="24">
        <f>IFERROR(IF(OR(AK136="N/A",AI136="N/A"),"N/A",ROUND(0.7*AK136+0.3*AI136*100,1)),"N/A")</f>
        <v/>
      </c>
    </row>
    <row r="137" ht="16.05" customHeight="1" s="37">
      <c r="A137" s="13" t="inlineStr">
        <is>
          <t>20602712657</t>
        </is>
      </c>
      <c r="B137" s="14" t="inlineStr">
        <is>
          <t>COOPERATIVA AGRARIA CAFETALERA RIO TAMBO LIMITADA</t>
        </is>
      </c>
      <c r="C137" s="13" t="inlineStr">
        <is>
          <t>JUNIN</t>
        </is>
      </c>
      <c r="D137" s="15" t="n">
        <v>0</v>
      </c>
      <c r="E137" s="16" t="n">
        <v>0</v>
      </c>
      <c r="F137" s="17">
        <f>IFERROR(SCORECARDS!H136,"")</f>
        <v/>
      </c>
      <c r="G137" s="17">
        <f>IFERROR(MATRIZ_174!U136,0)</f>
        <v/>
      </c>
      <c r="H137" s="16" t="n">
        <v>0</v>
      </c>
      <c r="I137" s="17">
        <f>IFERROR(SCORECARDS!I136,"")</f>
        <v/>
      </c>
      <c r="J137" s="17">
        <f>IFERROR(SCORECARDS!J136,"")</f>
        <v/>
      </c>
      <c r="K137" s="16" t="n">
        <v>0</v>
      </c>
      <c r="L137" s="16" t="n">
        <v>0</v>
      </c>
      <c r="M137" s="16" t="n">
        <v>0</v>
      </c>
      <c r="N137" s="16" t="n">
        <v>0</v>
      </c>
      <c r="O137" s="16" t="n">
        <v>0</v>
      </c>
      <c r="P137" s="17">
        <f>IFERROR(F137,0)</f>
        <v/>
      </c>
      <c r="Q137" s="17">
        <f>IFERROR(SQRT(G137*H137),0)</f>
        <v/>
      </c>
      <c r="R137" s="17">
        <f>IFERROR((I137+J137+L137)/3,0)</f>
        <v/>
      </c>
      <c r="S137" s="17">
        <f>IFERROR((J137+F137)/2,0)</f>
        <v/>
      </c>
      <c r="T137" s="17">
        <f>IFERROR((K137+M137+MATRIZ_174!O136)/3,0)</f>
        <v/>
      </c>
      <c r="U137" s="18">
        <f>IFERROR(MIN(100,ROUND(MATRIZ_174!M136,1)),0)</f>
        <v/>
      </c>
      <c r="V137" s="18">
        <f>IFERROR(IF(E137=0,50,E137),0)</f>
        <v/>
      </c>
      <c r="W137" s="18">
        <f>IFERROR(IF(MATRIZ_174!R136=0,65,IF(MATRIZ_174!R136/MATRIZ_174!Q136&gt;=2,35,IF(MATRIZ_174!R136/MATRIZ_174!Q136&gt;=0.5,50,65))),65)</f>
        <v/>
      </c>
      <c r="X137" s="18">
        <f>IF(MATRIZ_174!O136=0,70,30)</f>
        <v/>
      </c>
      <c r="Y137" s="18">
        <f>IF(OR(MATRIZ_174!P136="ASOCIACION",MATRIZ_174!P136="PENDIENTE"),65,40)</f>
        <v/>
      </c>
      <c r="Z137" s="19">
        <f>IFERROR(ROUND(AVERAGE(P137,Q137,R137,S137,T137),1),0)</f>
        <v/>
      </c>
      <c r="AA137" s="20">
        <f>IFERROR(ROUND(AVERAGE(U137,V137,W137,X137,Y137),1),0)</f>
        <v/>
      </c>
      <c r="AB137" s="21">
        <f>IFERROR(ROUND(AA137*(1-Z137/100),1),0)</f>
        <v/>
      </c>
      <c r="AC137" s="13">
        <f>IF(AND(Z137&gt;=50,AA137&lt;50),"🟢  Resilientes",IF(AND(Z137&gt;=50,AA137&gt;=50),"🟠  Expuestas Adaptables",IF(AND(Z137&lt;50,AA137&lt;50),"⬜  Riesgo Latente","🔴  Riesgo Crítico")))</f>
        <v/>
      </c>
      <c r="AD137" s="13">
        <f>IF(G137=0,"🚫  Inh. vigente OSCE","")</f>
        <v/>
      </c>
      <c r="AE137" s="22">
        <f>IFERROR(MATRIZ_174!W136,0)</f>
        <v/>
      </c>
      <c r="AF137" s="22">
        <f>IFERROR(MATRIZ_174!X136,0)</f>
        <v/>
      </c>
      <c r="AG137" s="22">
        <f>IFERROR(MATRIZ_174!Y136,0)</f>
        <v/>
      </c>
      <c r="AH137" s="22">
        <f>IFERROR(MATRIZ_174!Z136,0)</f>
        <v/>
      </c>
      <c r="AI137" s="17">
        <f>IFERROR(MATRIZ_174!AP136,"N/A")</f>
        <v/>
      </c>
      <c r="AJ137" s="17">
        <f>IFERROR(MATRIZ_174!AO136,"N/A")</f>
        <v/>
      </c>
      <c r="AK137" s="23">
        <f>IFERROR(ROUND(POWER((E137*F137*G137*H137*I137*J137*K137),1/7)*0.875+((L137+M137)/2)*0.125,1),"N/A")</f>
        <v/>
      </c>
      <c r="AL137" s="24">
        <f>IFERROR(IF(OR(AK137="N/A",AI137="N/A"),"N/A",ROUND(0.7*AK137+0.3*AI137*100,1)),"N/A")</f>
        <v/>
      </c>
    </row>
    <row r="138" ht="16.05" customHeight="1" s="37">
      <c r="A138" s="13" t="inlineStr">
        <is>
          <t>20602881971</t>
        </is>
      </c>
      <c r="B138" s="14" t="inlineStr">
        <is>
          <t>ASOCIACION DE PRODUCTORES AGRARIOS DE CACAO (APAC) ECHALACPE</t>
        </is>
      </c>
      <c r="C138" s="13" t="inlineStr">
        <is>
          <t>CUSCO</t>
        </is>
      </c>
      <c r="D138" s="15" t="n">
        <v>0</v>
      </c>
      <c r="E138" s="16" t="n">
        <v>0</v>
      </c>
      <c r="F138" s="17">
        <f>IFERROR(SCORECARDS!H137,"")</f>
        <v/>
      </c>
      <c r="G138" s="17">
        <f>IFERROR(MATRIZ_174!U137,0)</f>
        <v/>
      </c>
      <c r="H138" s="16" t="n">
        <v>0</v>
      </c>
      <c r="I138" s="17">
        <f>IFERROR(SCORECARDS!I137,"")</f>
        <v/>
      </c>
      <c r="J138" s="17">
        <f>IFERROR(SCORECARDS!J137,"")</f>
        <v/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7">
        <f>IFERROR(F138,0)</f>
        <v/>
      </c>
      <c r="Q138" s="17">
        <f>IFERROR(SQRT(G138*H138),0)</f>
        <v/>
      </c>
      <c r="R138" s="17">
        <f>IFERROR((I138+J138+L138)/3,0)</f>
        <v/>
      </c>
      <c r="S138" s="17">
        <f>IFERROR((J138+F138)/2,0)</f>
        <v/>
      </c>
      <c r="T138" s="17">
        <f>IFERROR((K138+M138+MATRIZ_174!O137)/3,0)</f>
        <v/>
      </c>
      <c r="U138" s="18">
        <f>IFERROR(MIN(100,ROUND(MATRIZ_174!M137,1)),0)</f>
        <v/>
      </c>
      <c r="V138" s="18">
        <f>IFERROR(IF(E138=0,50,E138),0)</f>
        <v/>
      </c>
      <c r="W138" s="18">
        <f>IFERROR(IF(MATRIZ_174!R137=0,65,IF(MATRIZ_174!R137/MATRIZ_174!Q137&gt;=2,35,IF(MATRIZ_174!R137/MATRIZ_174!Q137&gt;=0.5,50,65))),65)</f>
        <v/>
      </c>
      <c r="X138" s="18">
        <f>IF(MATRIZ_174!O137=0,70,30)</f>
        <v/>
      </c>
      <c r="Y138" s="18">
        <f>IF(OR(MATRIZ_174!P137="ASOCIACION",MATRIZ_174!P137="PENDIENTE"),65,40)</f>
        <v/>
      </c>
      <c r="Z138" s="19">
        <f>IFERROR(ROUND(AVERAGE(P138,Q138,R138,S138,T138),1),0)</f>
        <v/>
      </c>
      <c r="AA138" s="20">
        <f>IFERROR(ROUND(AVERAGE(U138,V138,W138,X138,Y138),1),0)</f>
        <v/>
      </c>
      <c r="AB138" s="21">
        <f>IFERROR(ROUND(AA138*(1-Z138/100),1),0)</f>
        <v/>
      </c>
      <c r="AC138" s="13">
        <f>IF(AND(Z138&gt;=50,AA138&lt;50),"🟢  Resilientes",IF(AND(Z138&gt;=50,AA138&gt;=50),"🟠  Expuestas Adaptables",IF(AND(Z138&lt;50,AA138&lt;50),"⬜  Riesgo Latente","🔴  Riesgo Crítico")))</f>
        <v/>
      </c>
      <c r="AD138" s="13">
        <f>IF(G138=0,"🚫  Inh. vigente OSCE","")</f>
        <v/>
      </c>
      <c r="AE138" s="22">
        <f>IFERROR(MATRIZ_174!W137,0)</f>
        <v/>
      </c>
      <c r="AF138" s="22">
        <f>IFERROR(MATRIZ_174!X137,0)</f>
        <v/>
      </c>
      <c r="AG138" s="22">
        <f>IFERROR(MATRIZ_174!Y137,0)</f>
        <v/>
      </c>
      <c r="AH138" s="22">
        <f>IFERROR(MATRIZ_174!Z137,0)</f>
        <v/>
      </c>
      <c r="AI138" s="17">
        <f>IFERROR(MATRIZ_174!AP137,"N/A")</f>
        <v/>
      </c>
      <c r="AJ138" s="17">
        <f>IFERROR(MATRIZ_174!AO137,"N/A")</f>
        <v/>
      </c>
      <c r="AK138" s="23">
        <f>IFERROR(ROUND(POWER((E138*F138*G138*H138*I138*J138*K138),1/7)*0.875+((L138+M138)/2)*0.125,1),"N/A")</f>
        <v/>
      </c>
      <c r="AL138" s="24">
        <f>IFERROR(IF(OR(AK138="N/A",AI138="N/A"),"N/A",ROUND(0.7*AK138+0.3*AI138*100,1)),"N/A")</f>
        <v/>
      </c>
    </row>
    <row r="139" ht="16.05" customHeight="1" s="37">
      <c r="A139" s="13" t="inlineStr">
        <is>
          <t>20603320621</t>
        </is>
      </c>
      <c r="B139" s="14" t="inlineStr">
        <is>
          <t>COOPERATIVA AGRARIA CAFETALERA ALTA MONTAÑA</t>
        </is>
      </c>
      <c r="C139" s="13" t="inlineStr">
        <is>
          <t>AMAZONAS</t>
        </is>
      </c>
      <c r="D139" s="15" t="n">
        <v>80500</v>
      </c>
      <c r="E139" s="16" t="n">
        <v>0</v>
      </c>
      <c r="F139" s="17">
        <f>IFERROR(SCORECARDS!H138,"")</f>
        <v/>
      </c>
      <c r="G139" s="17">
        <f>IFERROR(MATRIZ_174!U138,0)</f>
        <v/>
      </c>
      <c r="H139" s="16" t="n">
        <v>0</v>
      </c>
      <c r="I139" s="17">
        <f>IFERROR(SCORECARDS!I138,"")</f>
        <v/>
      </c>
      <c r="J139" s="17">
        <f>IFERROR(SCORECARDS!J138,"")</f>
        <v/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7">
        <f>IFERROR(F139,0)</f>
        <v/>
      </c>
      <c r="Q139" s="17">
        <f>IFERROR(SQRT(G139*H139),0)</f>
        <v/>
      </c>
      <c r="R139" s="17">
        <f>IFERROR((I139+J139+L139)/3,0)</f>
        <v/>
      </c>
      <c r="S139" s="17">
        <f>IFERROR((J139+F139)/2,0)</f>
        <v/>
      </c>
      <c r="T139" s="17">
        <f>IFERROR((K139+M139+MATRIZ_174!O138)/3,0)</f>
        <v/>
      </c>
      <c r="U139" s="18">
        <f>IFERROR(MIN(100,ROUND(MATRIZ_174!M138,1)),0)</f>
        <v/>
      </c>
      <c r="V139" s="18">
        <f>IFERROR(IF(E139=0,50,E139),0)</f>
        <v/>
      </c>
      <c r="W139" s="18">
        <f>IFERROR(IF(MATRIZ_174!R138=0,65,IF(MATRIZ_174!R138/MATRIZ_174!Q138&gt;=2,35,IF(MATRIZ_174!R138/MATRIZ_174!Q138&gt;=0.5,50,65))),65)</f>
        <v/>
      </c>
      <c r="X139" s="18">
        <f>IF(MATRIZ_174!O138=0,70,30)</f>
        <v/>
      </c>
      <c r="Y139" s="18">
        <f>IF(OR(MATRIZ_174!P138="ASOCIACION",MATRIZ_174!P138="PENDIENTE"),65,40)</f>
        <v/>
      </c>
      <c r="Z139" s="19">
        <f>IFERROR(ROUND(AVERAGE(P139,Q139,R139,S139,T139),1),0)</f>
        <v/>
      </c>
      <c r="AA139" s="20">
        <f>IFERROR(ROUND(AVERAGE(U139,V139,W139,X139,Y139),1),0)</f>
        <v/>
      </c>
      <c r="AB139" s="21">
        <f>IFERROR(ROUND(AA139*(1-Z139/100),1),0)</f>
        <v/>
      </c>
      <c r="AC139" s="13">
        <f>IF(AND(Z139&gt;=50,AA139&lt;50),"🟢  Resilientes",IF(AND(Z139&gt;=50,AA139&gt;=50),"🟠  Expuestas Adaptables",IF(AND(Z139&lt;50,AA139&lt;50),"⬜  Riesgo Latente","🔴  Riesgo Crítico")))</f>
        <v/>
      </c>
      <c r="AD139" s="13">
        <f>IF(G139=0,"🚫  Inh. vigente OSCE","")</f>
        <v/>
      </c>
      <c r="AE139" s="22">
        <f>IFERROR(MATRIZ_174!W138,0)</f>
        <v/>
      </c>
      <c r="AF139" s="22">
        <f>IFERROR(MATRIZ_174!X138,0)</f>
        <v/>
      </c>
      <c r="AG139" s="22">
        <f>IFERROR(MATRIZ_174!Y138,0)</f>
        <v/>
      </c>
      <c r="AH139" s="22">
        <f>IFERROR(MATRIZ_174!Z138,0)</f>
        <v/>
      </c>
      <c r="AI139" s="17">
        <f>IFERROR(MATRIZ_174!AP138,"N/A")</f>
        <v/>
      </c>
      <c r="AJ139" s="17">
        <f>IFERROR(MATRIZ_174!AO138,"N/A")</f>
        <v/>
      </c>
      <c r="AK139" s="23">
        <f>IFERROR(ROUND(POWER((E139*F139*G139*H139*I139*J139*K139),1/7)*0.875+((L139+M139)/2)*0.125,1),"N/A")</f>
        <v/>
      </c>
      <c r="AL139" s="24">
        <f>IFERROR(IF(OR(AK139="N/A",AI139="N/A"),"N/A",ROUND(0.7*AK139+0.3*AI139*100,1)),"N/A")</f>
        <v/>
      </c>
    </row>
    <row r="140" ht="16.05" customHeight="1" s="37">
      <c r="A140" s="13" t="inlineStr">
        <is>
          <t>20603526423</t>
        </is>
      </c>
      <c r="B140" s="14" t="inlineStr">
        <is>
          <t>COOPERATIVA AGROINDUSTRIAL PERLA DEL HUALLAGA LTDA - CAPH LT</t>
        </is>
      </c>
      <c r="C140" s="13" t="inlineStr">
        <is>
          <t>LORETO</t>
        </is>
      </c>
      <c r="D140" s="15" t="n">
        <v>0</v>
      </c>
      <c r="E140" s="16" t="n">
        <v>0</v>
      </c>
      <c r="F140" s="17">
        <f>IFERROR(SCORECARDS!H139,"")</f>
        <v/>
      </c>
      <c r="G140" s="17">
        <f>IFERROR(MATRIZ_174!U139,0)</f>
        <v/>
      </c>
      <c r="H140" s="16" t="n">
        <v>0</v>
      </c>
      <c r="I140" s="17">
        <f>IFERROR(SCORECARDS!I139,"")</f>
        <v/>
      </c>
      <c r="J140" s="17">
        <f>IFERROR(SCORECARDS!J139,"")</f>
        <v/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7">
        <f>IFERROR(F140,0)</f>
        <v/>
      </c>
      <c r="Q140" s="17">
        <f>IFERROR(SQRT(G140*H140),0)</f>
        <v/>
      </c>
      <c r="R140" s="17">
        <f>IFERROR((I140+J140+L140)/3,0)</f>
        <v/>
      </c>
      <c r="S140" s="17">
        <f>IFERROR((J140+F140)/2,0)</f>
        <v/>
      </c>
      <c r="T140" s="17">
        <f>IFERROR((K140+M140+MATRIZ_174!O139)/3,0)</f>
        <v/>
      </c>
      <c r="U140" s="18">
        <f>IFERROR(MIN(100,ROUND(MATRIZ_174!M139,1)),0)</f>
        <v/>
      </c>
      <c r="V140" s="18">
        <f>IFERROR(IF(E140=0,50,E140),0)</f>
        <v/>
      </c>
      <c r="W140" s="18">
        <f>IFERROR(IF(MATRIZ_174!R139=0,65,IF(MATRIZ_174!R139/MATRIZ_174!Q139&gt;=2,35,IF(MATRIZ_174!R139/MATRIZ_174!Q139&gt;=0.5,50,65))),65)</f>
        <v/>
      </c>
      <c r="X140" s="18">
        <f>IF(MATRIZ_174!O139=0,70,30)</f>
        <v/>
      </c>
      <c r="Y140" s="18">
        <f>IF(OR(MATRIZ_174!P139="ASOCIACION",MATRIZ_174!P139="PENDIENTE"),65,40)</f>
        <v/>
      </c>
      <c r="Z140" s="19">
        <f>IFERROR(ROUND(AVERAGE(P140,Q140,R140,S140,T140),1),0)</f>
        <v/>
      </c>
      <c r="AA140" s="20">
        <f>IFERROR(ROUND(AVERAGE(U140,V140,W140,X140,Y140),1),0)</f>
        <v/>
      </c>
      <c r="AB140" s="21">
        <f>IFERROR(ROUND(AA140*(1-Z140/100),1),0)</f>
        <v/>
      </c>
      <c r="AC140" s="13">
        <f>IF(AND(Z140&gt;=50,AA140&lt;50),"🟢  Resilientes",IF(AND(Z140&gt;=50,AA140&gt;=50),"🟠  Expuestas Adaptables",IF(AND(Z140&lt;50,AA140&lt;50),"⬜  Riesgo Latente","🔴  Riesgo Crítico")))</f>
        <v/>
      </c>
      <c r="AD140" s="13">
        <f>IF(G140=0,"🚫  Inh. vigente OSCE","")</f>
        <v/>
      </c>
      <c r="AE140" s="22">
        <f>IFERROR(MATRIZ_174!W139,0)</f>
        <v/>
      </c>
      <c r="AF140" s="22">
        <f>IFERROR(MATRIZ_174!X139,0)</f>
        <v/>
      </c>
      <c r="AG140" s="22">
        <f>IFERROR(MATRIZ_174!Y139,0)</f>
        <v/>
      </c>
      <c r="AH140" s="22">
        <f>IFERROR(MATRIZ_174!Z139,0)</f>
        <v/>
      </c>
      <c r="AI140" s="17">
        <f>IFERROR(MATRIZ_174!AP139,"N/A")</f>
        <v/>
      </c>
      <c r="AJ140" s="17">
        <f>IFERROR(MATRIZ_174!AO139,"N/A")</f>
        <v/>
      </c>
      <c r="AK140" s="23">
        <f>IFERROR(ROUND(POWER((E140*F140*G140*H140*I140*J140*K140),1/7)*0.875+((L140+M140)/2)*0.125,1),"N/A")</f>
        <v/>
      </c>
      <c r="AL140" s="24">
        <f>IFERROR(IF(OR(AK140="N/A",AI140="N/A"),"N/A",ROUND(0.7*AK140+0.3*AI140*100,1)),"N/A")</f>
        <v/>
      </c>
    </row>
    <row r="141" ht="16.05" customHeight="1" s="37">
      <c r="A141" s="13" t="inlineStr">
        <is>
          <t>20603557825</t>
        </is>
      </c>
      <c r="B141" s="14" t="inlineStr">
        <is>
          <t>COOPERATIVA AGRARIA KAFFEE SATIPO</t>
        </is>
      </c>
      <c r="C141" s="13" t="inlineStr">
        <is>
          <t>JUNIN</t>
        </is>
      </c>
      <c r="D141" s="15" t="n">
        <v>0</v>
      </c>
      <c r="E141" s="16" t="n">
        <v>0</v>
      </c>
      <c r="F141" s="17">
        <f>IFERROR(SCORECARDS!H140,"")</f>
        <v/>
      </c>
      <c r="G141" s="17">
        <f>IFERROR(MATRIZ_174!U140,0)</f>
        <v/>
      </c>
      <c r="H141" s="16" t="n">
        <v>0</v>
      </c>
      <c r="I141" s="17">
        <f>IFERROR(SCORECARDS!I140,"")</f>
        <v/>
      </c>
      <c r="J141" s="17">
        <f>IFERROR(SCORECARDS!J140,"")</f>
        <v/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  <c r="P141" s="17">
        <f>IFERROR(F141,0)</f>
        <v/>
      </c>
      <c r="Q141" s="17">
        <f>IFERROR(SQRT(G141*H141),0)</f>
        <v/>
      </c>
      <c r="R141" s="17">
        <f>IFERROR((I141+J141+L141)/3,0)</f>
        <v/>
      </c>
      <c r="S141" s="17">
        <f>IFERROR((J141+F141)/2,0)</f>
        <v/>
      </c>
      <c r="T141" s="17">
        <f>IFERROR((K141+M141+MATRIZ_174!O140)/3,0)</f>
        <v/>
      </c>
      <c r="U141" s="18">
        <f>IFERROR(MIN(100,ROUND(MATRIZ_174!M140,1)),0)</f>
        <v/>
      </c>
      <c r="V141" s="18">
        <f>IFERROR(IF(E141=0,50,E141),0)</f>
        <v/>
      </c>
      <c r="W141" s="18">
        <f>IFERROR(IF(MATRIZ_174!R140=0,65,IF(MATRIZ_174!R140/MATRIZ_174!Q140&gt;=2,35,IF(MATRIZ_174!R140/MATRIZ_174!Q140&gt;=0.5,50,65))),65)</f>
        <v/>
      </c>
      <c r="X141" s="18">
        <f>IF(MATRIZ_174!O140=0,70,30)</f>
        <v/>
      </c>
      <c r="Y141" s="18">
        <f>IF(OR(MATRIZ_174!P140="ASOCIACION",MATRIZ_174!P140="PENDIENTE"),65,40)</f>
        <v/>
      </c>
      <c r="Z141" s="19">
        <f>IFERROR(ROUND(AVERAGE(P141,Q141,R141,S141,T141),1),0)</f>
        <v/>
      </c>
      <c r="AA141" s="20">
        <f>IFERROR(ROUND(AVERAGE(U141,V141,W141,X141,Y141),1),0)</f>
        <v/>
      </c>
      <c r="AB141" s="21">
        <f>IFERROR(ROUND(AA141*(1-Z141/100),1),0)</f>
        <v/>
      </c>
      <c r="AC141" s="13">
        <f>IF(AND(Z141&gt;=50,AA141&lt;50),"🟢  Resilientes",IF(AND(Z141&gt;=50,AA141&gt;=50),"🟠  Expuestas Adaptables",IF(AND(Z141&lt;50,AA141&lt;50),"⬜  Riesgo Latente","🔴  Riesgo Crítico")))</f>
        <v/>
      </c>
      <c r="AD141" s="13">
        <f>IF(G141=0,"🚫  Inh. vigente OSCE","")</f>
        <v/>
      </c>
      <c r="AE141" s="22">
        <f>IFERROR(MATRIZ_174!W140,0)</f>
        <v/>
      </c>
      <c r="AF141" s="22">
        <f>IFERROR(MATRIZ_174!X140,0)</f>
        <v/>
      </c>
      <c r="AG141" s="22">
        <f>IFERROR(MATRIZ_174!Y140,0)</f>
        <v/>
      </c>
      <c r="AH141" s="22">
        <f>IFERROR(MATRIZ_174!Z140,0)</f>
        <v/>
      </c>
      <c r="AI141" s="17">
        <f>IFERROR(MATRIZ_174!AP140,"N/A")</f>
        <v/>
      </c>
      <c r="AJ141" s="17">
        <f>IFERROR(MATRIZ_174!AO140,"N/A")</f>
        <v/>
      </c>
      <c r="AK141" s="23">
        <f>IFERROR(ROUND(POWER((E141*F141*G141*H141*I141*J141*K141),1/7)*0.875+((L141+M141)/2)*0.125,1),"N/A")</f>
        <v/>
      </c>
      <c r="AL141" s="24">
        <f>IFERROR(IF(OR(AK141="N/A",AI141="N/A"),"N/A",ROUND(0.7*AK141+0.3*AI141*100,1)),"N/A")</f>
        <v/>
      </c>
    </row>
    <row r="142" ht="16.05" customHeight="1" s="37">
      <c r="A142" s="13" t="inlineStr">
        <is>
          <t>20603675551</t>
        </is>
      </c>
      <c r="B142" s="14" t="inlineStr">
        <is>
          <t xml:space="preserve">ASOCIACION DE PRODUCTORES AGROPECUARIOS MADRE SELVA - LACCO </t>
        </is>
      </c>
      <c r="C142" s="13" t="inlineStr">
        <is>
          <t>CUSCO</t>
        </is>
      </c>
      <c r="D142" s="15" t="n">
        <v>0</v>
      </c>
      <c r="E142" s="16" t="n">
        <v>0</v>
      </c>
      <c r="F142" s="17">
        <f>IFERROR(SCORECARDS!H141,"")</f>
        <v/>
      </c>
      <c r="G142" s="17">
        <f>IFERROR(MATRIZ_174!U141,0)</f>
        <v/>
      </c>
      <c r="H142" s="16" t="n">
        <v>0</v>
      </c>
      <c r="I142" s="17">
        <f>IFERROR(SCORECARDS!I141,"")</f>
        <v/>
      </c>
      <c r="J142" s="17">
        <f>IFERROR(SCORECARDS!J141,"")</f>
        <v/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7">
        <f>IFERROR(F142,0)</f>
        <v/>
      </c>
      <c r="Q142" s="17">
        <f>IFERROR(SQRT(G142*H142),0)</f>
        <v/>
      </c>
      <c r="R142" s="17">
        <f>IFERROR((I142+J142+L142)/3,0)</f>
        <v/>
      </c>
      <c r="S142" s="17">
        <f>IFERROR((J142+F142)/2,0)</f>
        <v/>
      </c>
      <c r="T142" s="17">
        <f>IFERROR((K142+M142+MATRIZ_174!O141)/3,0)</f>
        <v/>
      </c>
      <c r="U142" s="18">
        <f>IFERROR(MIN(100,ROUND(MATRIZ_174!M141,1)),0)</f>
        <v/>
      </c>
      <c r="V142" s="18">
        <f>IFERROR(IF(E142=0,50,E142),0)</f>
        <v/>
      </c>
      <c r="W142" s="18">
        <f>IFERROR(IF(MATRIZ_174!R141=0,65,IF(MATRIZ_174!R141/MATRIZ_174!Q141&gt;=2,35,IF(MATRIZ_174!R141/MATRIZ_174!Q141&gt;=0.5,50,65))),65)</f>
        <v/>
      </c>
      <c r="X142" s="18">
        <f>IF(MATRIZ_174!O141=0,70,30)</f>
        <v/>
      </c>
      <c r="Y142" s="18">
        <f>IF(OR(MATRIZ_174!P141="ASOCIACION",MATRIZ_174!P141="PENDIENTE"),65,40)</f>
        <v/>
      </c>
      <c r="Z142" s="19">
        <f>IFERROR(ROUND(AVERAGE(P142,Q142,R142,S142,T142),1),0)</f>
        <v/>
      </c>
      <c r="AA142" s="20">
        <f>IFERROR(ROUND(AVERAGE(U142,V142,W142,X142,Y142),1),0)</f>
        <v/>
      </c>
      <c r="AB142" s="21">
        <f>IFERROR(ROUND(AA142*(1-Z142/100),1),0)</f>
        <v/>
      </c>
      <c r="AC142" s="13">
        <f>IF(AND(Z142&gt;=50,AA142&lt;50),"🟢  Resilientes",IF(AND(Z142&gt;=50,AA142&gt;=50),"🟠  Expuestas Adaptables",IF(AND(Z142&lt;50,AA142&lt;50),"⬜  Riesgo Latente","🔴  Riesgo Crítico")))</f>
        <v/>
      </c>
      <c r="AD142" s="13">
        <f>IF(G142=0,"🚫  Inh. vigente OSCE","")</f>
        <v/>
      </c>
      <c r="AE142" s="22">
        <f>IFERROR(MATRIZ_174!W141,0)</f>
        <v/>
      </c>
      <c r="AF142" s="22">
        <f>IFERROR(MATRIZ_174!X141,0)</f>
        <v/>
      </c>
      <c r="AG142" s="22">
        <f>IFERROR(MATRIZ_174!Y141,0)</f>
        <v/>
      </c>
      <c r="AH142" s="22">
        <f>IFERROR(MATRIZ_174!Z141,0)</f>
        <v/>
      </c>
      <c r="AI142" s="17">
        <f>IFERROR(MATRIZ_174!AP141,"N/A")</f>
        <v/>
      </c>
      <c r="AJ142" s="17">
        <f>IFERROR(MATRIZ_174!AO141,"N/A")</f>
        <v/>
      </c>
      <c r="AK142" s="23">
        <f>IFERROR(ROUND(POWER((E142*F142*G142*H142*I142*J142*K142),1/7)*0.875+((L142+M142)/2)*0.125,1),"N/A")</f>
        <v/>
      </c>
      <c r="AL142" s="24">
        <f>IFERROR(IF(OR(AK142="N/A",AI142="N/A"),"N/A",ROUND(0.7*AK142+0.3*AI142*100,1)),"N/A")</f>
        <v/>
      </c>
    </row>
    <row r="143" ht="16.05" customHeight="1" s="37">
      <c r="A143" s="13" t="inlineStr">
        <is>
          <t>20603676476</t>
        </is>
      </c>
      <c r="B143" s="14" t="inlineStr">
        <is>
          <t>ASOCIACION DE PRODUCTORES AGROPECUARIOS PONGO MAYNIQUE DE LA</t>
        </is>
      </c>
      <c r="C143" s="13" t="inlineStr">
        <is>
          <t>CUSCO</t>
        </is>
      </c>
      <c r="D143" s="15" t="n">
        <v>0</v>
      </c>
      <c r="E143" s="16" t="n">
        <v>0</v>
      </c>
      <c r="F143" s="17">
        <f>IFERROR(SCORECARDS!H142,"")</f>
        <v/>
      </c>
      <c r="G143" s="17">
        <f>IFERROR(MATRIZ_174!U142,0)</f>
        <v/>
      </c>
      <c r="H143" s="16" t="n">
        <v>0</v>
      </c>
      <c r="I143" s="17">
        <f>IFERROR(SCORECARDS!I142,"")</f>
        <v/>
      </c>
      <c r="J143" s="17">
        <f>IFERROR(SCORECARDS!J142,"")</f>
        <v/>
      </c>
      <c r="K143" s="16" t="n">
        <v>0</v>
      </c>
      <c r="L143" s="16" t="n">
        <v>0</v>
      </c>
      <c r="M143" s="16" t="n">
        <v>0</v>
      </c>
      <c r="N143" s="16" t="n">
        <v>0</v>
      </c>
      <c r="O143" s="16" t="n">
        <v>0</v>
      </c>
      <c r="P143" s="17">
        <f>IFERROR(F143,0)</f>
        <v/>
      </c>
      <c r="Q143" s="17">
        <f>IFERROR(SQRT(G143*H143),0)</f>
        <v/>
      </c>
      <c r="R143" s="17">
        <f>IFERROR((I143+J143+L143)/3,0)</f>
        <v/>
      </c>
      <c r="S143" s="17">
        <f>IFERROR((J143+F143)/2,0)</f>
        <v/>
      </c>
      <c r="T143" s="17">
        <f>IFERROR((K143+M143+MATRIZ_174!O142)/3,0)</f>
        <v/>
      </c>
      <c r="U143" s="18">
        <f>IFERROR(MIN(100,ROUND(MATRIZ_174!M142,1)),0)</f>
        <v/>
      </c>
      <c r="V143" s="18">
        <f>IFERROR(IF(E143=0,50,E143),0)</f>
        <v/>
      </c>
      <c r="W143" s="18">
        <f>IFERROR(IF(MATRIZ_174!R142=0,65,IF(MATRIZ_174!R142/MATRIZ_174!Q142&gt;=2,35,IF(MATRIZ_174!R142/MATRIZ_174!Q142&gt;=0.5,50,65))),65)</f>
        <v/>
      </c>
      <c r="X143" s="18">
        <f>IF(MATRIZ_174!O142=0,70,30)</f>
        <v/>
      </c>
      <c r="Y143" s="18">
        <f>IF(OR(MATRIZ_174!P142="ASOCIACION",MATRIZ_174!P142="PENDIENTE"),65,40)</f>
        <v/>
      </c>
      <c r="Z143" s="19">
        <f>IFERROR(ROUND(AVERAGE(P143,Q143,R143,S143,T143),1),0)</f>
        <v/>
      </c>
      <c r="AA143" s="20">
        <f>IFERROR(ROUND(AVERAGE(U143,V143,W143,X143,Y143),1),0)</f>
        <v/>
      </c>
      <c r="AB143" s="21">
        <f>IFERROR(ROUND(AA143*(1-Z143/100),1),0)</f>
        <v/>
      </c>
      <c r="AC143" s="13">
        <f>IF(AND(Z143&gt;=50,AA143&lt;50),"🟢  Resilientes",IF(AND(Z143&gt;=50,AA143&gt;=50),"🟠  Expuestas Adaptables",IF(AND(Z143&lt;50,AA143&lt;50),"⬜  Riesgo Latente","🔴  Riesgo Crítico")))</f>
        <v/>
      </c>
      <c r="AD143" s="13">
        <f>IF(G143=0,"🚫  Inh. vigente OSCE","")</f>
        <v/>
      </c>
      <c r="AE143" s="22">
        <f>IFERROR(MATRIZ_174!W142,0)</f>
        <v/>
      </c>
      <c r="AF143" s="22">
        <f>IFERROR(MATRIZ_174!X142,0)</f>
        <v/>
      </c>
      <c r="AG143" s="22">
        <f>IFERROR(MATRIZ_174!Y142,0)</f>
        <v/>
      </c>
      <c r="AH143" s="22">
        <f>IFERROR(MATRIZ_174!Z142,0)</f>
        <v/>
      </c>
      <c r="AI143" s="17">
        <f>IFERROR(MATRIZ_174!AP142,"N/A")</f>
        <v/>
      </c>
      <c r="AJ143" s="17">
        <f>IFERROR(MATRIZ_174!AO142,"N/A")</f>
        <v/>
      </c>
      <c r="AK143" s="23">
        <f>IFERROR(ROUND(POWER((E143*F143*G143*H143*I143*J143*K143),1/7)*0.875+((L143+M143)/2)*0.125,1),"N/A")</f>
        <v/>
      </c>
      <c r="AL143" s="24">
        <f>IFERROR(IF(OR(AK143="N/A",AI143="N/A"),"N/A",ROUND(0.7*AK143+0.3*AI143*100,1)),"N/A")</f>
        <v/>
      </c>
    </row>
    <row r="144" ht="16.05" customHeight="1" s="37">
      <c r="A144" s="13" t="inlineStr">
        <is>
          <t>20603820691</t>
        </is>
      </c>
      <c r="B144" s="14" t="inlineStr">
        <is>
          <t>COOPERATIVA AGRARIA DE SERVICIOS MULTIPLES CORDILLERA AZUL -</t>
        </is>
      </c>
      <c r="C144" s="13" t="inlineStr">
        <is>
          <t>SAN MARTIN</t>
        </is>
      </c>
      <c r="D144" s="15" t="n">
        <v>852880.4399999999</v>
      </c>
      <c r="E144" s="16" t="n">
        <v>0</v>
      </c>
      <c r="F144" s="17">
        <f>IFERROR(SCORECARDS!H143,"")</f>
        <v/>
      </c>
      <c r="G144" s="17">
        <f>IFERROR(MATRIZ_174!U143,0)</f>
        <v/>
      </c>
      <c r="H144" s="16" t="n">
        <v>0</v>
      </c>
      <c r="I144" s="17">
        <f>IFERROR(SCORECARDS!I143,"")</f>
        <v/>
      </c>
      <c r="J144" s="17">
        <f>IFERROR(SCORECARDS!J143,"")</f>
        <v/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7">
        <f>IFERROR(F144,0)</f>
        <v/>
      </c>
      <c r="Q144" s="17">
        <f>IFERROR(SQRT(G144*H144),0)</f>
        <v/>
      </c>
      <c r="R144" s="17">
        <f>IFERROR((I144+J144+L144)/3,0)</f>
        <v/>
      </c>
      <c r="S144" s="17">
        <f>IFERROR((J144+F144)/2,0)</f>
        <v/>
      </c>
      <c r="T144" s="17">
        <f>IFERROR((K144+M144+MATRIZ_174!O143)/3,0)</f>
        <v/>
      </c>
      <c r="U144" s="18">
        <f>IFERROR(MIN(100,ROUND(MATRIZ_174!M143,1)),0)</f>
        <v/>
      </c>
      <c r="V144" s="18">
        <f>IFERROR(IF(E144=0,50,E144),0)</f>
        <v/>
      </c>
      <c r="W144" s="18">
        <f>IFERROR(IF(MATRIZ_174!R143=0,65,IF(MATRIZ_174!R143/MATRIZ_174!Q143&gt;=2,35,IF(MATRIZ_174!R143/MATRIZ_174!Q143&gt;=0.5,50,65))),65)</f>
        <v/>
      </c>
      <c r="X144" s="18">
        <f>IF(MATRIZ_174!O143=0,70,30)</f>
        <v/>
      </c>
      <c r="Y144" s="18">
        <f>IF(OR(MATRIZ_174!P143="ASOCIACION",MATRIZ_174!P143="PENDIENTE"),65,40)</f>
        <v/>
      </c>
      <c r="Z144" s="19">
        <f>IFERROR(ROUND(AVERAGE(P144,Q144,R144,S144,T144),1),0)</f>
        <v/>
      </c>
      <c r="AA144" s="20">
        <f>IFERROR(ROUND(AVERAGE(U144,V144,W144,X144,Y144),1),0)</f>
        <v/>
      </c>
      <c r="AB144" s="21">
        <f>IFERROR(ROUND(AA144*(1-Z144/100),1),0)</f>
        <v/>
      </c>
      <c r="AC144" s="13">
        <f>IF(AND(Z144&gt;=50,AA144&lt;50),"🟢  Resilientes",IF(AND(Z144&gt;=50,AA144&gt;=50),"🟠  Expuestas Adaptables",IF(AND(Z144&lt;50,AA144&lt;50),"⬜  Riesgo Latente","🔴  Riesgo Crítico")))</f>
        <v/>
      </c>
      <c r="AD144" s="13">
        <f>IF(G144=0,"🚫  Inh. vigente OSCE","")</f>
        <v/>
      </c>
      <c r="AE144" s="22">
        <f>IFERROR(MATRIZ_174!W143,0)</f>
        <v/>
      </c>
      <c r="AF144" s="22">
        <f>IFERROR(MATRIZ_174!X143,0)</f>
        <v/>
      </c>
      <c r="AG144" s="22">
        <f>IFERROR(MATRIZ_174!Y143,0)</f>
        <v/>
      </c>
      <c r="AH144" s="22">
        <f>IFERROR(MATRIZ_174!Z143,0)</f>
        <v/>
      </c>
      <c r="AI144" s="17">
        <f>IFERROR(MATRIZ_174!AP143,"N/A")</f>
        <v/>
      </c>
      <c r="AJ144" s="17">
        <f>IFERROR(MATRIZ_174!AO143,"N/A")</f>
        <v/>
      </c>
      <c r="AK144" s="23">
        <f>IFERROR(ROUND(POWER((E144*F144*G144*H144*I144*J144*K144),1/7)*0.875+((L144+M144)/2)*0.125,1),"N/A")</f>
        <v/>
      </c>
      <c r="AL144" s="24">
        <f>IFERROR(IF(OR(AK144="N/A",AI144="N/A"),"N/A",ROUND(0.7*AK144+0.3*AI144*100,1)),"N/A")</f>
        <v/>
      </c>
    </row>
    <row r="145" ht="16.05" customHeight="1" s="37">
      <c r="A145" s="13" t="inlineStr">
        <is>
          <t>20603829515</t>
        </is>
      </c>
      <c r="B145" s="14" t="inlineStr">
        <is>
          <t>ASOCIACION DE PRODUCTORES AGROPECUARIOS LOS NOGALES ALTO ITA</t>
        </is>
      </c>
      <c r="C145" s="13" t="inlineStr">
        <is>
          <t>CUSCO</t>
        </is>
      </c>
      <c r="D145" s="15" t="n">
        <v>0</v>
      </c>
      <c r="E145" s="16" t="n">
        <v>0</v>
      </c>
      <c r="F145" s="17">
        <f>IFERROR(SCORECARDS!H144,"")</f>
        <v/>
      </c>
      <c r="G145" s="17">
        <f>IFERROR(MATRIZ_174!U144,0)</f>
        <v/>
      </c>
      <c r="H145" s="16" t="n">
        <v>0</v>
      </c>
      <c r="I145" s="17">
        <f>IFERROR(SCORECARDS!I144,"")</f>
        <v/>
      </c>
      <c r="J145" s="17">
        <f>IFERROR(SCORECARDS!J144,"")</f>
        <v/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7">
        <f>IFERROR(F145,0)</f>
        <v/>
      </c>
      <c r="Q145" s="17">
        <f>IFERROR(SQRT(G145*H145),0)</f>
        <v/>
      </c>
      <c r="R145" s="17">
        <f>IFERROR((I145+J145+L145)/3,0)</f>
        <v/>
      </c>
      <c r="S145" s="17">
        <f>IFERROR((J145+F145)/2,0)</f>
        <v/>
      </c>
      <c r="T145" s="17">
        <f>IFERROR((K145+M145+MATRIZ_174!O144)/3,0)</f>
        <v/>
      </c>
      <c r="U145" s="18">
        <f>IFERROR(MIN(100,ROUND(MATRIZ_174!M144,1)),0)</f>
        <v/>
      </c>
      <c r="V145" s="18">
        <f>IFERROR(IF(E145=0,50,E145),0)</f>
        <v/>
      </c>
      <c r="W145" s="18">
        <f>IFERROR(IF(MATRIZ_174!R144=0,65,IF(MATRIZ_174!R144/MATRIZ_174!Q144&gt;=2,35,IF(MATRIZ_174!R144/MATRIZ_174!Q144&gt;=0.5,50,65))),65)</f>
        <v/>
      </c>
      <c r="X145" s="18">
        <f>IF(MATRIZ_174!O144=0,70,30)</f>
        <v/>
      </c>
      <c r="Y145" s="18">
        <f>IF(OR(MATRIZ_174!P144="ASOCIACION",MATRIZ_174!P144="PENDIENTE"),65,40)</f>
        <v/>
      </c>
      <c r="Z145" s="19">
        <f>IFERROR(ROUND(AVERAGE(P145,Q145,R145,S145,T145),1),0)</f>
        <v/>
      </c>
      <c r="AA145" s="20">
        <f>IFERROR(ROUND(AVERAGE(U145,V145,W145,X145,Y145),1),0)</f>
        <v/>
      </c>
      <c r="AB145" s="21">
        <f>IFERROR(ROUND(AA145*(1-Z145/100),1),0)</f>
        <v/>
      </c>
      <c r="AC145" s="13">
        <f>IF(AND(Z145&gt;=50,AA145&lt;50),"🟢  Resilientes",IF(AND(Z145&gt;=50,AA145&gt;=50),"🟠  Expuestas Adaptables",IF(AND(Z145&lt;50,AA145&lt;50),"⬜  Riesgo Latente","🔴  Riesgo Crítico")))</f>
        <v/>
      </c>
      <c r="AD145" s="13">
        <f>IF(G145=0,"🚫  Inh. vigente OSCE","")</f>
        <v/>
      </c>
      <c r="AE145" s="22">
        <f>IFERROR(MATRIZ_174!W144,0)</f>
        <v/>
      </c>
      <c r="AF145" s="22">
        <f>IFERROR(MATRIZ_174!X144,0)</f>
        <v/>
      </c>
      <c r="AG145" s="22">
        <f>IFERROR(MATRIZ_174!Y144,0)</f>
        <v/>
      </c>
      <c r="AH145" s="22">
        <f>IFERROR(MATRIZ_174!Z144,0)</f>
        <v/>
      </c>
      <c r="AI145" s="17">
        <f>IFERROR(MATRIZ_174!AP144,"N/A")</f>
        <v/>
      </c>
      <c r="AJ145" s="17">
        <f>IFERROR(MATRIZ_174!AO144,"N/A")</f>
        <v/>
      </c>
      <c r="AK145" s="23">
        <f>IFERROR(ROUND(POWER((E145*F145*G145*H145*I145*J145*K145),1/7)*0.875+((L145+M145)/2)*0.125,1),"N/A")</f>
        <v/>
      </c>
      <c r="AL145" s="24">
        <f>IFERROR(IF(OR(AK145="N/A",AI145="N/A"),"N/A",ROUND(0.7*AK145+0.3*AI145*100,1)),"N/A")</f>
        <v/>
      </c>
    </row>
    <row r="146" ht="16.05" customHeight="1" s="37">
      <c r="A146" s="13" t="inlineStr">
        <is>
          <t>20603842511</t>
        </is>
      </c>
      <c r="B146" s="14" t="inlineStr">
        <is>
          <t>ASOCIACION DE PRODUCTORES AGROPECUARIOS RIQ´CHARI DE TINTINI</t>
        </is>
      </c>
      <c r="C146" s="13" t="inlineStr">
        <is>
          <t>CUSCO</t>
        </is>
      </c>
      <c r="D146" s="15" t="n">
        <v>0</v>
      </c>
      <c r="E146" s="16" t="n">
        <v>0</v>
      </c>
      <c r="F146" s="17">
        <f>IFERROR(SCORECARDS!H145,"")</f>
        <v/>
      </c>
      <c r="G146" s="17">
        <f>IFERROR(MATRIZ_174!U145,0)</f>
        <v/>
      </c>
      <c r="H146" s="16" t="n">
        <v>0</v>
      </c>
      <c r="I146" s="17">
        <f>IFERROR(SCORECARDS!I145,"")</f>
        <v/>
      </c>
      <c r="J146" s="17">
        <f>IFERROR(SCORECARDS!J145,"")</f>
        <v/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7">
        <f>IFERROR(F146,0)</f>
        <v/>
      </c>
      <c r="Q146" s="17">
        <f>IFERROR(SQRT(G146*H146),0)</f>
        <v/>
      </c>
      <c r="R146" s="17">
        <f>IFERROR((I146+J146+L146)/3,0)</f>
        <v/>
      </c>
      <c r="S146" s="17">
        <f>IFERROR((J146+F146)/2,0)</f>
        <v/>
      </c>
      <c r="T146" s="17">
        <f>IFERROR((K146+M146+MATRIZ_174!O145)/3,0)</f>
        <v/>
      </c>
      <c r="U146" s="18">
        <f>IFERROR(MIN(100,ROUND(MATRIZ_174!M145,1)),0)</f>
        <v/>
      </c>
      <c r="V146" s="18">
        <f>IFERROR(IF(E146=0,50,E146),0)</f>
        <v/>
      </c>
      <c r="W146" s="18">
        <f>IFERROR(IF(MATRIZ_174!R145=0,65,IF(MATRIZ_174!R145/MATRIZ_174!Q145&gt;=2,35,IF(MATRIZ_174!R145/MATRIZ_174!Q145&gt;=0.5,50,65))),65)</f>
        <v/>
      </c>
      <c r="X146" s="18">
        <f>IF(MATRIZ_174!O145=0,70,30)</f>
        <v/>
      </c>
      <c r="Y146" s="18">
        <f>IF(OR(MATRIZ_174!P145="ASOCIACION",MATRIZ_174!P145="PENDIENTE"),65,40)</f>
        <v/>
      </c>
      <c r="Z146" s="19">
        <f>IFERROR(ROUND(AVERAGE(P146,Q146,R146,S146,T146),1),0)</f>
        <v/>
      </c>
      <c r="AA146" s="20">
        <f>IFERROR(ROUND(AVERAGE(U146,V146,W146,X146,Y146),1),0)</f>
        <v/>
      </c>
      <c r="AB146" s="21">
        <f>IFERROR(ROUND(AA146*(1-Z146/100),1),0)</f>
        <v/>
      </c>
      <c r="AC146" s="13">
        <f>IF(AND(Z146&gt;=50,AA146&lt;50),"🟢  Resilientes",IF(AND(Z146&gt;=50,AA146&gt;=50),"🟠  Expuestas Adaptables",IF(AND(Z146&lt;50,AA146&lt;50),"⬜  Riesgo Latente","🔴  Riesgo Crítico")))</f>
        <v/>
      </c>
      <c r="AD146" s="13">
        <f>IF(G146=0,"🚫  Inh. vigente OSCE","")</f>
        <v/>
      </c>
      <c r="AE146" s="22">
        <f>IFERROR(MATRIZ_174!W145,0)</f>
        <v/>
      </c>
      <c r="AF146" s="22">
        <f>IFERROR(MATRIZ_174!X145,0)</f>
        <v/>
      </c>
      <c r="AG146" s="22">
        <f>IFERROR(MATRIZ_174!Y145,0)</f>
        <v/>
      </c>
      <c r="AH146" s="22">
        <f>IFERROR(MATRIZ_174!Z145,0)</f>
        <v/>
      </c>
      <c r="AI146" s="17">
        <f>IFERROR(MATRIZ_174!AP145,"N/A")</f>
        <v/>
      </c>
      <c r="AJ146" s="17">
        <f>IFERROR(MATRIZ_174!AO145,"N/A")</f>
        <v/>
      </c>
      <c r="AK146" s="23">
        <f>IFERROR(ROUND(POWER((E146*F146*G146*H146*I146*J146*K146),1/7)*0.875+((L146+M146)/2)*0.125,1),"N/A")</f>
        <v/>
      </c>
      <c r="AL146" s="24">
        <f>IFERROR(IF(OR(AK146="N/A",AI146="N/A"),"N/A",ROUND(0.7*AK146+0.3*AI146*100,1)),"N/A")</f>
        <v/>
      </c>
    </row>
    <row r="147" ht="16.05" customHeight="1" s="37">
      <c r="A147" s="13" t="inlineStr">
        <is>
          <t>20603862369</t>
        </is>
      </c>
      <c r="B147" s="14" t="inlineStr">
        <is>
          <t>COOPERATIVA AGRARIA TROPICALS PRODUCTS</t>
        </is>
      </c>
      <c r="C147" s="13" t="inlineStr">
        <is>
          <t>JUNIN</t>
        </is>
      </c>
      <c r="D147" s="15" t="n">
        <v>332555.16</v>
      </c>
      <c r="E147" s="16" t="n">
        <v>0</v>
      </c>
      <c r="F147" s="17">
        <f>IFERROR(SCORECARDS!H146,"")</f>
        <v/>
      </c>
      <c r="G147" s="17">
        <f>IFERROR(MATRIZ_174!U146,0)</f>
        <v/>
      </c>
      <c r="H147" s="16" t="n">
        <v>0</v>
      </c>
      <c r="I147" s="17">
        <f>IFERROR(SCORECARDS!I146,"")</f>
        <v/>
      </c>
      <c r="J147" s="17">
        <f>IFERROR(SCORECARDS!J146,"")</f>
        <v/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7">
        <f>IFERROR(F147,0)</f>
        <v/>
      </c>
      <c r="Q147" s="17">
        <f>IFERROR(SQRT(G147*H147),0)</f>
        <v/>
      </c>
      <c r="R147" s="17">
        <f>IFERROR((I147+J147+L147)/3,0)</f>
        <v/>
      </c>
      <c r="S147" s="17">
        <f>IFERROR((J147+F147)/2,0)</f>
        <v/>
      </c>
      <c r="T147" s="17">
        <f>IFERROR((K147+M147+MATRIZ_174!O146)/3,0)</f>
        <v/>
      </c>
      <c r="U147" s="18">
        <f>IFERROR(MIN(100,ROUND(MATRIZ_174!M146,1)),0)</f>
        <v/>
      </c>
      <c r="V147" s="18">
        <f>IFERROR(IF(E147=0,50,E147),0)</f>
        <v/>
      </c>
      <c r="W147" s="18">
        <f>IFERROR(IF(MATRIZ_174!R146=0,65,IF(MATRIZ_174!R146/MATRIZ_174!Q146&gt;=2,35,IF(MATRIZ_174!R146/MATRIZ_174!Q146&gt;=0.5,50,65))),65)</f>
        <v/>
      </c>
      <c r="X147" s="18">
        <f>IF(MATRIZ_174!O146=0,70,30)</f>
        <v/>
      </c>
      <c r="Y147" s="18">
        <f>IF(OR(MATRIZ_174!P146="ASOCIACION",MATRIZ_174!P146="PENDIENTE"),65,40)</f>
        <v/>
      </c>
      <c r="Z147" s="19">
        <f>IFERROR(ROUND(AVERAGE(P147,Q147,R147,S147,T147),1),0)</f>
        <v/>
      </c>
      <c r="AA147" s="20">
        <f>IFERROR(ROUND(AVERAGE(U147,V147,W147,X147,Y147),1),0)</f>
        <v/>
      </c>
      <c r="AB147" s="21">
        <f>IFERROR(ROUND(AA147*(1-Z147/100),1),0)</f>
        <v/>
      </c>
      <c r="AC147" s="13">
        <f>IF(AND(Z147&gt;=50,AA147&lt;50),"🟢  Resilientes",IF(AND(Z147&gt;=50,AA147&gt;=50),"🟠  Expuestas Adaptables",IF(AND(Z147&lt;50,AA147&lt;50),"⬜  Riesgo Latente","🔴  Riesgo Crítico")))</f>
        <v/>
      </c>
      <c r="AD147" s="13">
        <f>IF(G147=0,"🚫  Inh. vigente OSCE","")</f>
        <v/>
      </c>
      <c r="AE147" s="22">
        <f>IFERROR(MATRIZ_174!W146,0)</f>
        <v/>
      </c>
      <c r="AF147" s="22">
        <f>IFERROR(MATRIZ_174!X146,0)</f>
        <v/>
      </c>
      <c r="AG147" s="22">
        <f>IFERROR(MATRIZ_174!Y146,0)</f>
        <v/>
      </c>
      <c r="AH147" s="22">
        <f>IFERROR(MATRIZ_174!Z146,0)</f>
        <v/>
      </c>
      <c r="AI147" s="17">
        <f>IFERROR(MATRIZ_174!AP146,"N/A")</f>
        <v/>
      </c>
      <c r="AJ147" s="17">
        <f>IFERROR(MATRIZ_174!AO146,"N/A")</f>
        <v/>
      </c>
      <c r="AK147" s="23">
        <f>IFERROR(ROUND(POWER((E147*F147*G147*H147*I147*J147*K147),1/7)*0.875+((L147+M147)/2)*0.125,1),"N/A")</f>
        <v/>
      </c>
      <c r="AL147" s="24">
        <f>IFERROR(IF(OR(AK147="N/A",AI147="N/A"),"N/A",ROUND(0.7*AK147+0.3*AI147*100,1)),"N/A")</f>
        <v/>
      </c>
    </row>
    <row r="148" ht="16.05" customHeight="1" s="37">
      <c r="A148" s="13" t="inlineStr">
        <is>
          <t>20604151954</t>
        </is>
      </c>
      <c r="B148" s="14" t="inlineStr">
        <is>
          <t>COOPERATIVA AGRARIA DE SERVICIOS MULTIPLES SUR ORIENTE - COO</t>
        </is>
      </c>
      <c r="C148" s="13" t="inlineStr">
        <is>
          <t>MADRE DE DIOS</t>
        </is>
      </c>
      <c r="D148" s="15" t="n">
        <v>271980.69</v>
      </c>
      <c r="E148" s="16" t="n">
        <v>0</v>
      </c>
      <c r="F148" s="17">
        <f>IFERROR(SCORECARDS!H147,"")</f>
        <v/>
      </c>
      <c r="G148" s="17">
        <f>IFERROR(MATRIZ_174!U147,0)</f>
        <v/>
      </c>
      <c r="H148" s="16" t="n">
        <v>0</v>
      </c>
      <c r="I148" s="17">
        <f>IFERROR(SCORECARDS!I147,"")</f>
        <v/>
      </c>
      <c r="J148" s="17">
        <f>IFERROR(SCORECARDS!J147,"")</f>
        <v/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7">
        <f>IFERROR(F148,0)</f>
        <v/>
      </c>
      <c r="Q148" s="17">
        <f>IFERROR(SQRT(G148*H148),0)</f>
        <v/>
      </c>
      <c r="R148" s="17">
        <f>IFERROR((I148+J148+L148)/3,0)</f>
        <v/>
      </c>
      <c r="S148" s="17">
        <f>IFERROR((J148+F148)/2,0)</f>
        <v/>
      </c>
      <c r="T148" s="17">
        <f>IFERROR((K148+M148+MATRIZ_174!O147)/3,0)</f>
        <v/>
      </c>
      <c r="U148" s="18">
        <f>IFERROR(MIN(100,ROUND(MATRIZ_174!M147,1)),0)</f>
        <v/>
      </c>
      <c r="V148" s="18">
        <f>IFERROR(IF(E148=0,50,E148),0)</f>
        <v/>
      </c>
      <c r="W148" s="18">
        <f>IFERROR(IF(MATRIZ_174!R147=0,65,IF(MATRIZ_174!R147/MATRIZ_174!Q147&gt;=2,35,IF(MATRIZ_174!R147/MATRIZ_174!Q147&gt;=0.5,50,65))),65)</f>
        <v/>
      </c>
      <c r="X148" s="18">
        <f>IF(MATRIZ_174!O147=0,70,30)</f>
        <v/>
      </c>
      <c r="Y148" s="18">
        <f>IF(OR(MATRIZ_174!P147="ASOCIACION",MATRIZ_174!P147="PENDIENTE"),65,40)</f>
        <v/>
      </c>
      <c r="Z148" s="19">
        <f>IFERROR(ROUND(AVERAGE(P148,Q148,R148,S148,T148),1),0)</f>
        <v/>
      </c>
      <c r="AA148" s="20">
        <f>IFERROR(ROUND(AVERAGE(U148,V148,W148,X148,Y148),1),0)</f>
        <v/>
      </c>
      <c r="AB148" s="21">
        <f>IFERROR(ROUND(AA148*(1-Z148/100),1),0)</f>
        <v/>
      </c>
      <c r="AC148" s="13">
        <f>IF(AND(Z148&gt;=50,AA148&lt;50),"🟢  Resilientes",IF(AND(Z148&gt;=50,AA148&gt;=50),"🟠  Expuestas Adaptables",IF(AND(Z148&lt;50,AA148&lt;50),"⬜  Riesgo Latente","🔴  Riesgo Crítico")))</f>
        <v/>
      </c>
      <c r="AD148" s="13">
        <f>IF(G148=0,"🚫  Inh. vigente OSCE","")</f>
        <v/>
      </c>
      <c r="AE148" s="22">
        <f>IFERROR(MATRIZ_174!W147,0)</f>
        <v/>
      </c>
      <c r="AF148" s="22">
        <f>IFERROR(MATRIZ_174!X147,0)</f>
        <v/>
      </c>
      <c r="AG148" s="22">
        <f>IFERROR(MATRIZ_174!Y147,0)</f>
        <v/>
      </c>
      <c r="AH148" s="22">
        <f>IFERROR(MATRIZ_174!Z147,0)</f>
        <v/>
      </c>
      <c r="AI148" s="17">
        <f>IFERROR(MATRIZ_174!AP147,"N/A")</f>
        <v/>
      </c>
      <c r="AJ148" s="17">
        <f>IFERROR(MATRIZ_174!AO147,"N/A")</f>
        <v/>
      </c>
      <c r="AK148" s="23">
        <f>IFERROR(ROUND(POWER((E148*F148*G148*H148*I148*J148*K148),1/7)*0.875+((L148+M148)/2)*0.125,1),"N/A")</f>
        <v/>
      </c>
      <c r="AL148" s="24">
        <f>IFERROR(IF(OR(AK148="N/A",AI148="N/A"),"N/A",ROUND(0.7*AK148+0.3*AI148*100,1)),"N/A")</f>
        <v/>
      </c>
    </row>
    <row r="149" ht="16.05" customHeight="1" s="37">
      <c r="A149" s="13" t="inlineStr">
        <is>
          <t>20604215600</t>
        </is>
      </c>
      <c r="B149" s="14" t="inlineStr">
        <is>
          <t xml:space="preserve">ASOCIACION DE PRODUCTORES DE CACAO ECOLOGICO DE DISTRITO DE </t>
        </is>
      </c>
      <c r="C149" s="13" t="inlineStr">
        <is>
          <t>CUSCO</t>
        </is>
      </c>
      <c r="D149" s="15" t="n">
        <v>0</v>
      </c>
      <c r="E149" s="16" t="n">
        <v>0</v>
      </c>
      <c r="F149" s="17">
        <f>IFERROR(SCORECARDS!H148,"")</f>
        <v/>
      </c>
      <c r="G149" s="17">
        <f>IFERROR(MATRIZ_174!U148,0)</f>
        <v/>
      </c>
      <c r="H149" s="16" t="n">
        <v>0</v>
      </c>
      <c r="I149" s="17">
        <f>IFERROR(SCORECARDS!I148,"")</f>
        <v/>
      </c>
      <c r="J149" s="17">
        <f>IFERROR(SCORECARDS!J148,"")</f>
        <v/>
      </c>
      <c r="K149" s="16" t="n">
        <v>0</v>
      </c>
      <c r="L149" s="16" t="n">
        <v>0</v>
      </c>
      <c r="M149" s="16" t="n">
        <v>0</v>
      </c>
      <c r="N149" s="16" t="n">
        <v>0</v>
      </c>
      <c r="O149" s="16" t="n">
        <v>0</v>
      </c>
      <c r="P149" s="17">
        <f>IFERROR(F149,0)</f>
        <v/>
      </c>
      <c r="Q149" s="17">
        <f>IFERROR(SQRT(G149*H149),0)</f>
        <v/>
      </c>
      <c r="R149" s="17">
        <f>IFERROR((I149+J149+L149)/3,0)</f>
        <v/>
      </c>
      <c r="S149" s="17">
        <f>IFERROR((J149+F149)/2,0)</f>
        <v/>
      </c>
      <c r="T149" s="17">
        <f>IFERROR((K149+M149+MATRIZ_174!O148)/3,0)</f>
        <v/>
      </c>
      <c r="U149" s="18">
        <f>IFERROR(MIN(100,ROUND(MATRIZ_174!M148,1)),0)</f>
        <v/>
      </c>
      <c r="V149" s="18">
        <f>IFERROR(IF(E149=0,50,E149),0)</f>
        <v/>
      </c>
      <c r="W149" s="18">
        <f>IFERROR(IF(MATRIZ_174!R148=0,65,IF(MATRIZ_174!R148/MATRIZ_174!Q148&gt;=2,35,IF(MATRIZ_174!R148/MATRIZ_174!Q148&gt;=0.5,50,65))),65)</f>
        <v/>
      </c>
      <c r="X149" s="18">
        <f>IF(MATRIZ_174!O148=0,70,30)</f>
        <v/>
      </c>
      <c r="Y149" s="18">
        <f>IF(OR(MATRIZ_174!P148="ASOCIACION",MATRIZ_174!P148="PENDIENTE"),65,40)</f>
        <v/>
      </c>
      <c r="Z149" s="19">
        <f>IFERROR(ROUND(AVERAGE(P149,Q149,R149,S149,T149),1),0)</f>
        <v/>
      </c>
      <c r="AA149" s="20">
        <f>IFERROR(ROUND(AVERAGE(U149,V149,W149,X149,Y149),1),0)</f>
        <v/>
      </c>
      <c r="AB149" s="21">
        <f>IFERROR(ROUND(AA149*(1-Z149/100),1),0)</f>
        <v/>
      </c>
      <c r="AC149" s="13">
        <f>IF(AND(Z149&gt;=50,AA149&lt;50),"🟢  Resilientes",IF(AND(Z149&gt;=50,AA149&gt;=50),"🟠  Expuestas Adaptables",IF(AND(Z149&lt;50,AA149&lt;50),"⬜  Riesgo Latente","🔴  Riesgo Crítico")))</f>
        <v/>
      </c>
      <c r="AD149" s="13">
        <f>IF(G149=0,"🚫  Inh. vigente OSCE","")</f>
        <v/>
      </c>
      <c r="AE149" s="22">
        <f>IFERROR(MATRIZ_174!W148,0)</f>
        <v/>
      </c>
      <c r="AF149" s="22">
        <f>IFERROR(MATRIZ_174!X148,0)</f>
        <v/>
      </c>
      <c r="AG149" s="22">
        <f>IFERROR(MATRIZ_174!Y148,0)</f>
        <v/>
      </c>
      <c r="AH149" s="22">
        <f>IFERROR(MATRIZ_174!Z148,0)</f>
        <v/>
      </c>
      <c r="AI149" s="17">
        <f>IFERROR(MATRIZ_174!AP148,"N/A")</f>
        <v/>
      </c>
      <c r="AJ149" s="17">
        <f>IFERROR(MATRIZ_174!AO148,"N/A")</f>
        <v/>
      </c>
      <c r="AK149" s="23">
        <f>IFERROR(ROUND(POWER((E149*F149*G149*H149*I149*J149*K149),1/7)*0.875+((L149+M149)/2)*0.125,1),"N/A")</f>
        <v/>
      </c>
      <c r="AL149" s="24">
        <f>IFERROR(IF(OR(AK149="N/A",AI149="N/A"),"N/A",ROUND(0.7*AK149+0.3*AI149*100,1)),"N/A")</f>
        <v/>
      </c>
    </row>
    <row r="150" ht="16.05" customHeight="1" s="37">
      <c r="A150" s="13" t="inlineStr">
        <is>
          <t>20604309728</t>
        </is>
      </c>
      <c r="B150" s="14" t="inlineStr">
        <is>
          <t>ASOCIACION DE PRODUCTORES CAFETALEROS AGROECOLOGICOS SAN JUA</t>
        </is>
      </c>
      <c r="C150" s="13" t="inlineStr">
        <is>
          <t>CAJAMARCA</t>
        </is>
      </c>
      <c r="D150" s="15" t="n">
        <v>0</v>
      </c>
      <c r="E150" s="16" t="n">
        <v>0</v>
      </c>
      <c r="F150" s="17">
        <f>IFERROR(SCORECARDS!H149,"")</f>
        <v/>
      </c>
      <c r="G150" s="17">
        <f>IFERROR(MATRIZ_174!U149,0)</f>
        <v/>
      </c>
      <c r="H150" s="16" t="n">
        <v>0</v>
      </c>
      <c r="I150" s="17">
        <f>IFERROR(SCORECARDS!I149,"")</f>
        <v/>
      </c>
      <c r="J150" s="17">
        <f>IFERROR(SCORECARDS!J149,"")</f>
        <v/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7">
        <f>IFERROR(F150,0)</f>
        <v/>
      </c>
      <c r="Q150" s="17">
        <f>IFERROR(SQRT(G150*H150),0)</f>
        <v/>
      </c>
      <c r="R150" s="17">
        <f>IFERROR((I150+J150+L150)/3,0)</f>
        <v/>
      </c>
      <c r="S150" s="17">
        <f>IFERROR((J150+F150)/2,0)</f>
        <v/>
      </c>
      <c r="T150" s="17">
        <f>IFERROR((K150+M150+MATRIZ_174!O149)/3,0)</f>
        <v/>
      </c>
      <c r="U150" s="18">
        <f>IFERROR(MIN(100,ROUND(MATRIZ_174!M149,1)),0)</f>
        <v/>
      </c>
      <c r="V150" s="18">
        <f>IFERROR(IF(E150=0,50,E150),0)</f>
        <v/>
      </c>
      <c r="W150" s="18">
        <f>IFERROR(IF(MATRIZ_174!R149=0,65,IF(MATRIZ_174!R149/MATRIZ_174!Q149&gt;=2,35,IF(MATRIZ_174!R149/MATRIZ_174!Q149&gt;=0.5,50,65))),65)</f>
        <v/>
      </c>
      <c r="X150" s="18">
        <f>IF(MATRIZ_174!O149=0,70,30)</f>
        <v/>
      </c>
      <c r="Y150" s="18">
        <f>IF(OR(MATRIZ_174!P149="ASOCIACION",MATRIZ_174!P149="PENDIENTE"),65,40)</f>
        <v/>
      </c>
      <c r="Z150" s="19">
        <f>IFERROR(ROUND(AVERAGE(P150,Q150,R150,S150,T150),1),0)</f>
        <v/>
      </c>
      <c r="AA150" s="20">
        <f>IFERROR(ROUND(AVERAGE(U150,V150,W150,X150,Y150),1),0)</f>
        <v/>
      </c>
      <c r="AB150" s="21">
        <f>IFERROR(ROUND(AA150*(1-Z150/100),1),0)</f>
        <v/>
      </c>
      <c r="AC150" s="13">
        <f>IF(AND(Z150&gt;=50,AA150&lt;50),"🟢  Resilientes",IF(AND(Z150&gt;=50,AA150&gt;=50),"🟠  Expuestas Adaptables",IF(AND(Z150&lt;50,AA150&lt;50),"⬜  Riesgo Latente","🔴  Riesgo Crítico")))</f>
        <v/>
      </c>
      <c r="AD150" s="13">
        <f>IF(G150=0,"🚫  Inh. vigente OSCE","")</f>
        <v/>
      </c>
      <c r="AE150" s="22">
        <f>IFERROR(MATRIZ_174!W149,0)</f>
        <v/>
      </c>
      <c r="AF150" s="22">
        <f>IFERROR(MATRIZ_174!X149,0)</f>
        <v/>
      </c>
      <c r="AG150" s="22">
        <f>IFERROR(MATRIZ_174!Y149,0)</f>
        <v/>
      </c>
      <c r="AH150" s="22">
        <f>IFERROR(MATRIZ_174!Z149,0)</f>
        <v/>
      </c>
      <c r="AI150" s="17">
        <f>IFERROR(MATRIZ_174!AP149,"N/A")</f>
        <v/>
      </c>
      <c r="AJ150" s="17">
        <f>IFERROR(MATRIZ_174!AO149,"N/A")</f>
        <v/>
      </c>
      <c r="AK150" s="23">
        <f>IFERROR(ROUND(POWER((E150*F150*G150*H150*I150*J150*K150),1/7)*0.875+((L150+M150)/2)*0.125,1),"N/A")</f>
        <v/>
      </c>
      <c r="AL150" s="24">
        <f>IFERROR(IF(OR(AK150="N/A",AI150="N/A"),"N/A",ROUND(0.7*AK150+0.3*AI150*100,1)),"N/A")</f>
        <v/>
      </c>
    </row>
    <row r="151" ht="16.05" customHeight="1" s="37">
      <c r="A151" s="13" t="inlineStr">
        <is>
          <t>20604401187</t>
        </is>
      </c>
      <c r="B151" s="14" t="inlineStr">
        <is>
          <t>ORGANIZACION ZONAL SAN MIGUEL DEL FAIQUE</t>
        </is>
      </c>
      <c r="C151" s="13" t="inlineStr">
        <is>
          <t>PIURA</t>
        </is>
      </c>
      <c r="D151" s="15" t="n">
        <v>0</v>
      </c>
      <c r="E151" s="16" t="n">
        <v>0</v>
      </c>
      <c r="F151" s="17">
        <f>IFERROR(SCORECARDS!H150,"")</f>
        <v/>
      </c>
      <c r="G151" s="17">
        <f>IFERROR(MATRIZ_174!U150,0)</f>
        <v/>
      </c>
      <c r="H151" s="16" t="n">
        <v>0</v>
      </c>
      <c r="I151" s="17">
        <f>IFERROR(SCORECARDS!I150,"")</f>
        <v/>
      </c>
      <c r="J151" s="17">
        <f>IFERROR(SCORECARDS!J150,"")</f>
        <v/>
      </c>
      <c r="K151" s="16" t="n">
        <v>0</v>
      </c>
      <c r="L151" s="16" t="n">
        <v>0</v>
      </c>
      <c r="M151" s="16" t="n">
        <v>0</v>
      </c>
      <c r="N151" s="16" t="n">
        <v>0</v>
      </c>
      <c r="O151" s="16" t="n">
        <v>0</v>
      </c>
      <c r="P151" s="17">
        <f>IFERROR(F151,0)</f>
        <v/>
      </c>
      <c r="Q151" s="17">
        <f>IFERROR(SQRT(G151*H151),0)</f>
        <v/>
      </c>
      <c r="R151" s="17">
        <f>IFERROR((I151+J151+L151)/3,0)</f>
        <v/>
      </c>
      <c r="S151" s="17">
        <f>IFERROR((J151+F151)/2,0)</f>
        <v/>
      </c>
      <c r="T151" s="17">
        <f>IFERROR((K151+M151+MATRIZ_174!O150)/3,0)</f>
        <v/>
      </c>
      <c r="U151" s="18">
        <f>IFERROR(MIN(100,ROUND(MATRIZ_174!M150,1)),0)</f>
        <v/>
      </c>
      <c r="V151" s="18">
        <f>IFERROR(IF(E151=0,50,E151),0)</f>
        <v/>
      </c>
      <c r="W151" s="18">
        <f>IFERROR(IF(MATRIZ_174!R150=0,65,IF(MATRIZ_174!R150/MATRIZ_174!Q150&gt;=2,35,IF(MATRIZ_174!R150/MATRIZ_174!Q150&gt;=0.5,50,65))),65)</f>
        <v/>
      </c>
      <c r="X151" s="18">
        <f>IF(MATRIZ_174!O150=0,70,30)</f>
        <v/>
      </c>
      <c r="Y151" s="18">
        <f>IF(OR(MATRIZ_174!P150="ASOCIACION",MATRIZ_174!P150="PENDIENTE"),65,40)</f>
        <v/>
      </c>
      <c r="Z151" s="19">
        <f>IFERROR(ROUND(AVERAGE(P151,Q151,R151,S151,T151),1),0)</f>
        <v/>
      </c>
      <c r="AA151" s="20">
        <f>IFERROR(ROUND(AVERAGE(U151,V151,W151,X151,Y151),1),0)</f>
        <v/>
      </c>
      <c r="AB151" s="21">
        <f>IFERROR(ROUND(AA151*(1-Z151/100),1),0)</f>
        <v/>
      </c>
      <c r="AC151" s="13">
        <f>IF(AND(Z151&gt;=50,AA151&lt;50),"🟢  Resilientes",IF(AND(Z151&gt;=50,AA151&gt;=50),"🟠  Expuestas Adaptables",IF(AND(Z151&lt;50,AA151&lt;50),"⬜  Riesgo Latente","🔴  Riesgo Crítico")))</f>
        <v/>
      </c>
      <c r="AD151" s="13">
        <f>IF(G151=0,"🚫  Inh. vigente OSCE","")</f>
        <v/>
      </c>
      <c r="AE151" s="22">
        <f>IFERROR(MATRIZ_174!W150,0)</f>
        <v/>
      </c>
      <c r="AF151" s="22">
        <f>IFERROR(MATRIZ_174!X150,0)</f>
        <v/>
      </c>
      <c r="AG151" s="22">
        <f>IFERROR(MATRIZ_174!Y150,0)</f>
        <v/>
      </c>
      <c r="AH151" s="22">
        <f>IFERROR(MATRIZ_174!Z150,0)</f>
        <v/>
      </c>
      <c r="AI151" s="17">
        <f>IFERROR(MATRIZ_174!AP150,"N/A")</f>
        <v/>
      </c>
      <c r="AJ151" s="17">
        <f>IFERROR(MATRIZ_174!AO150,"N/A")</f>
        <v/>
      </c>
      <c r="AK151" s="23">
        <f>IFERROR(ROUND(POWER((E151*F151*G151*H151*I151*J151*K151),1/7)*0.875+((L151+M151)/2)*0.125,1),"N/A")</f>
        <v/>
      </c>
      <c r="AL151" s="24">
        <f>IFERROR(IF(OR(AK151="N/A",AI151="N/A"),"N/A",ROUND(0.7*AK151+0.3*AI151*100,1)),"N/A")</f>
        <v/>
      </c>
    </row>
    <row r="152" ht="16.05" customHeight="1" s="37">
      <c r="A152" s="13" t="inlineStr">
        <is>
          <t>20604705411</t>
        </is>
      </c>
      <c r="B152" s="14" t="inlineStr">
        <is>
          <t>COOPERATIVA AGRARIA CRUZ DE YANAHUANCA</t>
        </is>
      </c>
      <c r="C152" s="13" t="inlineStr">
        <is>
          <t>LAMBAYEQUE</t>
        </is>
      </c>
      <c r="D152" s="15" t="n">
        <v>0</v>
      </c>
      <c r="E152" s="16" t="n">
        <v>0</v>
      </c>
      <c r="F152" s="17">
        <f>IFERROR(SCORECARDS!H151,"")</f>
        <v/>
      </c>
      <c r="G152" s="17">
        <f>IFERROR(MATRIZ_174!U151,0)</f>
        <v/>
      </c>
      <c r="H152" s="16" t="n">
        <v>0</v>
      </c>
      <c r="I152" s="17">
        <f>IFERROR(SCORECARDS!I151,"")</f>
        <v/>
      </c>
      <c r="J152" s="17">
        <f>IFERROR(SCORECARDS!J151,"")</f>
        <v/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7">
        <f>IFERROR(F152,0)</f>
        <v/>
      </c>
      <c r="Q152" s="17">
        <f>IFERROR(SQRT(G152*H152),0)</f>
        <v/>
      </c>
      <c r="R152" s="17">
        <f>IFERROR((I152+J152+L152)/3,0)</f>
        <v/>
      </c>
      <c r="S152" s="17">
        <f>IFERROR((J152+F152)/2,0)</f>
        <v/>
      </c>
      <c r="T152" s="17">
        <f>IFERROR((K152+M152+MATRIZ_174!O151)/3,0)</f>
        <v/>
      </c>
      <c r="U152" s="18">
        <f>IFERROR(MIN(100,ROUND(MATRIZ_174!M151,1)),0)</f>
        <v/>
      </c>
      <c r="V152" s="18">
        <f>IFERROR(IF(E152=0,50,E152),0)</f>
        <v/>
      </c>
      <c r="W152" s="18">
        <f>IFERROR(IF(MATRIZ_174!R151=0,65,IF(MATRIZ_174!R151/MATRIZ_174!Q151&gt;=2,35,IF(MATRIZ_174!R151/MATRIZ_174!Q151&gt;=0.5,50,65))),65)</f>
        <v/>
      </c>
      <c r="X152" s="18">
        <f>IF(MATRIZ_174!O151=0,70,30)</f>
        <v/>
      </c>
      <c r="Y152" s="18">
        <f>IF(OR(MATRIZ_174!P151="ASOCIACION",MATRIZ_174!P151="PENDIENTE"),65,40)</f>
        <v/>
      </c>
      <c r="Z152" s="19">
        <f>IFERROR(ROUND(AVERAGE(P152,Q152,R152,S152,T152),1),0)</f>
        <v/>
      </c>
      <c r="AA152" s="20">
        <f>IFERROR(ROUND(AVERAGE(U152,V152,W152,X152,Y152),1),0)</f>
        <v/>
      </c>
      <c r="AB152" s="21">
        <f>IFERROR(ROUND(AA152*(1-Z152/100),1),0)</f>
        <v/>
      </c>
      <c r="AC152" s="13">
        <f>IF(AND(Z152&gt;=50,AA152&lt;50),"🟢  Resilientes",IF(AND(Z152&gt;=50,AA152&gt;=50),"🟠  Expuestas Adaptables",IF(AND(Z152&lt;50,AA152&lt;50),"⬜  Riesgo Latente","🔴  Riesgo Crítico")))</f>
        <v/>
      </c>
      <c r="AD152" s="13">
        <f>IF(G152=0,"🚫  Inh. vigente OSCE","")</f>
        <v/>
      </c>
      <c r="AE152" s="22">
        <f>IFERROR(MATRIZ_174!W151,0)</f>
        <v/>
      </c>
      <c r="AF152" s="22">
        <f>IFERROR(MATRIZ_174!X151,0)</f>
        <v/>
      </c>
      <c r="AG152" s="22">
        <f>IFERROR(MATRIZ_174!Y151,0)</f>
        <v/>
      </c>
      <c r="AH152" s="22">
        <f>IFERROR(MATRIZ_174!Z151,0)</f>
        <v/>
      </c>
      <c r="AI152" s="17">
        <f>IFERROR(MATRIZ_174!AP151,"N/A")</f>
        <v/>
      </c>
      <c r="AJ152" s="17">
        <f>IFERROR(MATRIZ_174!AO151,"N/A")</f>
        <v/>
      </c>
      <c r="AK152" s="23">
        <f>IFERROR(ROUND(POWER((E152*F152*G152*H152*I152*J152*K152),1/7)*0.875+((L152+M152)/2)*0.125,1),"N/A")</f>
        <v/>
      </c>
      <c r="AL152" s="24">
        <f>IFERROR(IF(OR(AK152="N/A",AI152="N/A"),"N/A",ROUND(0.7*AK152+0.3*AI152*100,1)),"N/A")</f>
        <v/>
      </c>
    </row>
    <row r="153" ht="16.05" customHeight="1" s="37">
      <c r="A153" s="13" t="inlineStr">
        <is>
          <t>20604988200</t>
        </is>
      </c>
      <c r="B153" s="14" t="inlineStr">
        <is>
          <t>ASOCIACION DE PRODUCTORES DE CACAO CCAPAQKILLA</t>
        </is>
      </c>
      <c r="C153" s="13" t="inlineStr">
        <is>
          <t>CUSCO</t>
        </is>
      </c>
      <c r="D153" s="15" t="n">
        <v>0</v>
      </c>
      <c r="E153" s="16" t="n">
        <v>0</v>
      </c>
      <c r="F153" s="17">
        <f>IFERROR(SCORECARDS!H152,"")</f>
        <v/>
      </c>
      <c r="G153" s="17">
        <f>IFERROR(MATRIZ_174!U152,0)</f>
        <v/>
      </c>
      <c r="H153" s="16" t="n">
        <v>0</v>
      </c>
      <c r="I153" s="17">
        <f>IFERROR(SCORECARDS!I152,"")</f>
        <v/>
      </c>
      <c r="J153" s="17">
        <f>IFERROR(SCORECARDS!J152,"")</f>
        <v/>
      </c>
      <c r="K153" s="16" t="n">
        <v>0</v>
      </c>
      <c r="L153" s="16" t="n">
        <v>0</v>
      </c>
      <c r="M153" s="16" t="n">
        <v>0</v>
      </c>
      <c r="N153" s="16" t="n">
        <v>0</v>
      </c>
      <c r="O153" s="16" t="n">
        <v>0</v>
      </c>
      <c r="P153" s="17">
        <f>IFERROR(F153,0)</f>
        <v/>
      </c>
      <c r="Q153" s="17">
        <f>IFERROR(SQRT(G153*H153),0)</f>
        <v/>
      </c>
      <c r="R153" s="17">
        <f>IFERROR((I153+J153+L153)/3,0)</f>
        <v/>
      </c>
      <c r="S153" s="17">
        <f>IFERROR((J153+F153)/2,0)</f>
        <v/>
      </c>
      <c r="T153" s="17">
        <f>IFERROR((K153+M153+MATRIZ_174!O152)/3,0)</f>
        <v/>
      </c>
      <c r="U153" s="18">
        <f>IFERROR(MIN(100,ROUND(MATRIZ_174!M152,1)),0)</f>
        <v/>
      </c>
      <c r="V153" s="18">
        <f>IFERROR(IF(E153=0,50,E153),0)</f>
        <v/>
      </c>
      <c r="W153" s="18">
        <f>IFERROR(IF(MATRIZ_174!R152=0,65,IF(MATRIZ_174!R152/MATRIZ_174!Q152&gt;=2,35,IF(MATRIZ_174!R152/MATRIZ_174!Q152&gt;=0.5,50,65))),65)</f>
        <v/>
      </c>
      <c r="X153" s="18">
        <f>IF(MATRIZ_174!O152=0,70,30)</f>
        <v/>
      </c>
      <c r="Y153" s="18">
        <f>IF(OR(MATRIZ_174!P152="ASOCIACION",MATRIZ_174!P152="PENDIENTE"),65,40)</f>
        <v/>
      </c>
      <c r="Z153" s="19">
        <f>IFERROR(ROUND(AVERAGE(P153,Q153,R153,S153,T153),1),0)</f>
        <v/>
      </c>
      <c r="AA153" s="20">
        <f>IFERROR(ROUND(AVERAGE(U153,V153,W153,X153,Y153),1),0)</f>
        <v/>
      </c>
      <c r="AB153" s="21">
        <f>IFERROR(ROUND(AA153*(1-Z153/100),1),0)</f>
        <v/>
      </c>
      <c r="AC153" s="13">
        <f>IF(AND(Z153&gt;=50,AA153&lt;50),"🟢  Resilientes",IF(AND(Z153&gt;=50,AA153&gt;=50),"🟠  Expuestas Adaptables",IF(AND(Z153&lt;50,AA153&lt;50),"⬜  Riesgo Latente","🔴  Riesgo Crítico")))</f>
        <v/>
      </c>
      <c r="AD153" s="13">
        <f>IF(G153=0,"🚫  Inh. vigente OSCE","")</f>
        <v/>
      </c>
      <c r="AE153" s="22">
        <f>IFERROR(MATRIZ_174!W152,0)</f>
        <v/>
      </c>
      <c r="AF153" s="22">
        <f>IFERROR(MATRIZ_174!X152,0)</f>
        <v/>
      </c>
      <c r="AG153" s="22">
        <f>IFERROR(MATRIZ_174!Y152,0)</f>
        <v/>
      </c>
      <c r="AH153" s="22">
        <f>IFERROR(MATRIZ_174!Z152,0)</f>
        <v/>
      </c>
      <c r="AI153" s="17">
        <f>IFERROR(MATRIZ_174!AP152,"N/A")</f>
        <v/>
      </c>
      <c r="AJ153" s="17">
        <f>IFERROR(MATRIZ_174!AO152,"N/A")</f>
        <v/>
      </c>
      <c r="AK153" s="23">
        <f>IFERROR(ROUND(POWER((E153*F153*G153*H153*I153*J153*K153),1/7)*0.875+((L153+M153)/2)*0.125,1),"N/A")</f>
        <v/>
      </c>
      <c r="AL153" s="24">
        <f>IFERROR(IF(OR(AK153="N/A",AI153="N/A"),"N/A",ROUND(0.7*AK153+0.3*AI153*100,1)),"N/A")</f>
        <v/>
      </c>
    </row>
    <row r="154" ht="16.05" customHeight="1" s="37">
      <c r="A154" s="13" t="inlineStr">
        <is>
          <t>20605228489</t>
        </is>
      </c>
      <c r="B154" s="14" t="inlineStr">
        <is>
          <t xml:space="preserve">ASOCIACION AGROINDUSTRIAL DE MUJERES PRODUCTORAS DE CACAO Y </t>
        </is>
      </c>
      <c r="C154" s="13" t="inlineStr">
        <is>
          <t>CUSCO</t>
        </is>
      </c>
      <c r="D154" s="15" t="n">
        <v>0</v>
      </c>
      <c r="E154" s="16" t="n">
        <v>0</v>
      </c>
      <c r="F154" s="17">
        <f>IFERROR(SCORECARDS!H153,"")</f>
        <v/>
      </c>
      <c r="G154" s="17">
        <f>IFERROR(MATRIZ_174!U153,0)</f>
        <v/>
      </c>
      <c r="H154" s="16" t="n">
        <v>0</v>
      </c>
      <c r="I154" s="17">
        <f>IFERROR(SCORECARDS!I153,"")</f>
        <v/>
      </c>
      <c r="J154" s="17">
        <f>IFERROR(SCORECARDS!J153,"")</f>
        <v/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7">
        <f>IFERROR(F154,0)</f>
        <v/>
      </c>
      <c r="Q154" s="17">
        <f>IFERROR(SQRT(G154*H154),0)</f>
        <v/>
      </c>
      <c r="R154" s="17">
        <f>IFERROR((I154+J154+L154)/3,0)</f>
        <v/>
      </c>
      <c r="S154" s="17">
        <f>IFERROR((J154+F154)/2,0)</f>
        <v/>
      </c>
      <c r="T154" s="17">
        <f>IFERROR((K154+M154+MATRIZ_174!O153)/3,0)</f>
        <v/>
      </c>
      <c r="U154" s="18">
        <f>IFERROR(MIN(100,ROUND(MATRIZ_174!M153,1)),0)</f>
        <v/>
      </c>
      <c r="V154" s="18">
        <f>IFERROR(IF(E154=0,50,E154),0)</f>
        <v/>
      </c>
      <c r="W154" s="18">
        <f>IFERROR(IF(MATRIZ_174!R153=0,65,IF(MATRIZ_174!R153/MATRIZ_174!Q153&gt;=2,35,IF(MATRIZ_174!R153/MATRIZ_174!Q153&gt;=0.5,50,65))),65)</f>
        <v/>
      </c>
      <c r="X154" s="18">
        <f>IF(MATRIZ_174!O153=0,70,30)</f>
        <v/>
      </c>
      <c r="Y154" s="18">
        <f>IF(OR(MATRIZ_174!P153="ASOCIACION",MATRIZ_174!P153="PENDIENTE"),65,40)</f>
        <v/>
      </c>
      <c r="Z154" s="19">
        <f>IFERROR(ROUND(AVERAGE(P154,Q154,R154,S154,T154),1),0)</f>
        <v/>
      </c>
      <c r="AA154" s="20">
        <f>IFERROR(ROUND(AVERAGE(U154,V154,W154,X154,Y154),1),0)</f>
        <v/>
      </c>
      <c r="AB154" s="21">
        <f>IFERROR(ROUND(AA154*(1-Z154/100),1),0)</f>
        <v/>
      </c>
      <c r="AC154" s="13">
        <f>IF(AND(Z154&gt;=50,AA154&lt;50),"🟢  Resilientes",IF(AND(Z154&gt;=50,AA154&gt;=50),"🟠  Expuestas Adaptables",IF(AND(Z154&lt;50,AA154&lt;50),"⬜  Riesgo Latente","🔴  Riesgo Crítico")))</f>
        <v/>
      </c>
      <c r="AD154" s="13">
        <f>IF(G154=0,"🚫  Inh. vigente OSCE","")</f>
        <v/>
      </c>
      <c r="AE154" s="22">
        <f>IFERROR(MATRIZ_174!W153,0)</f>
        <v/>
      </c>
      <c r="AF154" s="22">
        <f>IFERROR(MATRIZ_174!X153,0)</f>
        <v/>
      </c>
      <c r="AG154" s="22">
        <f>IFERROR(MATRIZ_174!Y153,0)</f>
        <v/>
      </c>
      <c r="AH154" s="22">
        <f>IFERROR(MATRIZ_174!Z153,0)</f>
        <v/>
      </c>
      <c r="AI154" s="17">
        <f>IFERROR(MATRIZ_174!AP153,"N/A")</f>
        <v/>
      </c>
      <c r="AJ154" s="17">
        <f>IFERROR(MATRIZ_174!AO153,"N/A")</f>
        <v/>
      </c>
      <c r="AK154" s="23">
        <f>IFERROR(ROUND(POWER((E154*F154*G154*H154*I154*J154*K154),1/7)*0.875+((L154+M154)/2)*0.125,1),"N/A")</f>
        <v/>
      </c>
      <c r="AL154" s="24">
        <f>IFERROR(IF(OR(AK154="N/A",AI154="N/A"),"N/A",ROUND(0.7*AK154+0.3*AI154*100,1)),"N/A")</f>
        <v/>
      </c>
    </row>
    <row r="155" ht="16.05" customHeight="1" s="37">
      <c r="A155" s="13" t="inlineStr">
        <is>
          <t>20605500430</t>
        </is>
      </c>
      <c r="B155" s="14" t="inlineStr">
        <is>
          <t>COOPERATIVA AGRARIA DE PRODUCTORES ECOLOGICOS LOS CHANKAS VA</t>
        </is>
      </c>
      <c r="C155" s="13" t="inlineStr">
        <is>
          <t>JUNIN</t>
        </is>
      </c>
      <c r="D155" s="15" t="n">
        <v>0</v>
      </c>
      <c r="E155" s="16" t="n">
        <v>0</v>
      </c>
      <c r="F155" s="17">
        <f>IFERROR(SCORECARDS!H154,"")</f>
        <v/>
      </c>
      <c r="G155" s="17">
        <f>IFERROR(MATRIZ_174!U154,0)</f>
        <v/>
      </c>
      <c r="H155" s="16" t="n">
        <v>0</v>
      </c>
      <c r="I155" s="17">
        <f>IFERROR(SCORECARDS!I154,"")</f>
        <v/>
      </c>
      <c r="J155" s="17">
        <f>IFERROR(SCORECARDS!J154,"")</f>
        <v/>
      </c>
      <c r="K155" s="16" t="n">
        <v>0</v>
      </c>
      <c r="L155" s="16" t="n">
        <v>0</v>
      </c>
      <c r="M155" s="16" t="n">
        <v>0</v>
      </c>
      <c r="N155" s="16" t="n">
        <v>0</v>
      </c>
      <c r="O155" s="16" t="n">
        <v>0</v>
      </c>
      <c r="P155" s="17">
        <f>IFERROR(F155,0)</f>
        <v/>
      </c>
      <c r="Q155" s="17">
        <f>IFERROR(SQRT(G155*H155),0)</f>
        <v/>
      </c>
      <c r="R155" s="17">
        <f>IFERROR((I155+J155+L155)/3,0)</f>
        <v/>
      </c>
      <c r="S155" s="17">
        <f>IFERROR((J155+F155)/2,0)</f>
        <v/>
      </c>
      <c r="T155" s="17">
        <f>IFERROR((K155+M155+MATRIZ_174!O154)/3,0)</f>
        <v/>
      </c>
      <c r="U155" s="18">
        <f>IFERROR(MIN(100,ROUND(MATRIZ_174!M154,1)),0)</f>
        <v/>
      </c>
      <c r="V155" s="18">
        <f>IFERROR(IF(E155=0,50,E155),0)</f>
        <v/>
      </c>
      <c r="W155" s="18">
        <f>IFERROR(IF(MATRIZ_174!R154=0,65,IF(MATRIZ_174!R154/MATRIZ_174!Q154&gt;=2,35,IF(MATRIZ_174!R154/MATRIZ_174!Q154&gt;=0.5,50,65))),65)</f>
        <v/>
      </c>
      <c r="X155" s="18">
        <f>IF(MATRIZ_174!O154=0,70,30)</f>
        <v/>
      </c>
      <c r="Y155" s="18">
        <f>IF(OR(MATRIZ_174!P154="ASOCIACION",MATRIZ_174!P154="PENDIENTE"),65,40)</f>
        <v/>
      </c>
      <c r="Z155" s="19">
        <f>IFERROR(ROUND(AVERAGE(P155,Q155,R155,S155,T155),1),0)</f>
        <v/>
      </c>
      <c r="AA155" s="20">
        <f>IFERROR(ROUND(AVERAGE(U155,V155,W155,X155,Y155),1),0)</f>
        <v/>
      </c>
      <c r="AB155" s="21">
        <f>IFERROR(ROUND(AA155*(1-Z155/100),1),0)</f>
        <v/>
      </c>
      <c r="AC155" s="13">
        <f>IF(AND(Z155&gt;=50,AA155&lt;50),"🟢  Resilientes",IF(AND(Z155&gt;=50,AA155&gt;=50),"🟠  Expuestas Adaptables",IF(AND(Z155&lt;50,AA155&lt;50),"⬜  Riesgo Latente","🔴  Riesgo Crítico")))</f>
        <v/>
      </c>
      <c r="AD155" s="13">
        <f>IF(G155=0,"🚫  Inh. vigente OSCE","")</f>
        <v/>
      </c>
      <c r="AE155" s="22">
        <f>IFERROR(MATRIZ_174!W154,0)</f>
        <v/>
      </c>
      <c r="AF155" s="22">
        <f>IFERROR(MATRIZ_174!X154,0)</f>
        <v/>
      </c>
      <c r="AG155" s="22">
        <f>IFERROR(MATRIZ_174!Y154,0)</f>
        <v/>
      </c>
      <c r="AH155" s="22">
        <f>IFERROR(MATRIZ_174!Z154,0)</f>
        <v/>
      </c>
      <c r="AI155" s="17">
        <f>IFERROR(MATRIZ_174!AP154,"N/A")</f>
        <v/>
      </c>
      <c r="AJ155" s="17">
        <f>IFERROR(MATRIZ_174!AO154,"N/A")</f>
        <v/>
      </c>
      <c r="AK155" s="23">
        <f>IFERROR(ROUND(POWER((E155*F155*G155*H155*I155*J155*K155),1/7)*0.875+((L155+M155)/2)*0.125,1),"N/A")</f>
        <v/>
      </c>
      <c r="AL155" s="24">
        <f>IFERROR(IF(OR(AK155="N/A",AI155="N/A"),"N/A",ROUND(0.7*AK155+0.3*AI155*100,1)),"N/A")</f>
        <v/>
      </c>
    </row>
    <row r="156" ht="16.05" customHeight="1" s="37">
      <c r="A156" s="13" t="inlineStr">
        <is>
          <t>20605688170</t>
        </is>
      </c>
      <c r="B156" s="14" t="inlineStr">
        <is>
          <t>COOPERATIVA AGRARIA ALEXANDER VON HUMBOLDT LTDA</t>
        </is>
      </c>
      <c r="C156" s="13" t="inlineStr">
        <is>
          <t>UCAYALI</t>
        </is>
      </c>
      <c r="D156" s="15" t="n">
        <v>0</v>
      </c>
      <c r="E156" s="16" t="n">
        <v>0</v>
      </c>
      <c r="F156" s="17">
        <f>IFERROR(SCORECARDS!H155,"")</f>
        <v/>
      </c>
      <c r="G156" s="17">
        <f>IFERROR(MATRIZ_174!U155,0)</f>
        <v/>
      </c>
      <c r="H156" s="16" t="n">
        <v>0</v>
      </c>
      <c r="I156" s="17">
        <f>IFERROR(SCORECARDS!I155,"")</f>
        <v/>
      </c>
      <c r="J156" s="17">
        <f>IFERROR(SCORECARDS!J155,"")</f>
        <v/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7">
        <f>IFERROR(F156,0)</f>
        <v/>
      </c>
      <c r="Q156" s="17">
        <f>IFERROR(SQRT(G156*H156),0)</f>
        <v/>
      </c>
      <c r="R156" s="17">
        <f>IFERROR((I156+J156+L156)/3,0)</f>
        <v/>
      </c>
      <c r="S156" s="17">
        <f>IFERROR((J156+F156)/2,0)</f>
        <v/>
      </c>
      <c r="T156" s="17">
        <f>IFERROR((K156+M156+MATRIZ_174!O155)/3,0)</f>
        <v/>
      </c>
      <c r="U156" s="18">
        <f>IFERROR(MIN(100,ROUND(MATRIZ_174!M155,1)),0)</f>
        <v/>
      </c>
      <c r="V156" s="18">
        <f>IFERROR(IF(E156=0,50,E156),0)</f>
        <v/>
      </c>
      <c r="W156" s="18">
        <f>IFERROR(IF(MATRIZ_174!R155=0,65,IF(MATRIZ_174!R155/MATRIZ_174!Q155&gt;=2,35,IF(MATRIZ_174!R155/MATRIZ_174!Q155&gt;=0.5,50,65))),65)</f>
        <v/>
      </c>
      <c r="X156" s="18">
        <f>IF(MATRIZ_174!O155=0,70,30)</f>
        <v/>
      </c>
      <c r="Y156" s="18">
        <f>IF(OR(MATRIZ_174!P155="ASOCIACION",MATRIZ_174!P155="PENDIENTE"),65,40)</f>
        <v/>
      </c>
      <c r="Z156" s="19">
        <f>IFERROR(ROUND(AVERAGE(P156,Q156,R156,S156,T156),1),0)</f>
        <v/>
      </c>
      <c r="AA156" s="20">
        <f>IFERROR(ROUND(AVERAGE(U156,V156,W156,X156,Y156),1),0)</f>
        <v/>
      </c>
      <c r="AB156" s="21">
        <f>IFERROR(ROUND(AA156*(1-Z156/100),1),0)</f>
        <v/>
      </c>
      <c r="AC156" s="13">
        <f>IF(AND(Z156&gt;=50,AA156&lt;50),"🟢  Resilientes",IF(AND(Z156&gt;=50,AA156&gt;=50),"🟠  Expuestas Adaptables",IF(AND(Z156&lt;50,AA156&lt;50),"⬜  Riesgo Latente","🔴  Riesgo Crítico")))</f>
        <v/>
      </c>
      <c r="AD156" s="13">
        <f>IF(G156=0,"🚫  Inh. vigente OSCE","")</f>
        <v/>
      </c>
      <c r="AE156" s="22">
        <f>IFERROR(MATRIZ_174!W155,0)</f>
        <v/>
      </c>
      <c r="AF156" s="22">
        <f>IFERROR(MATRIZ_174!X155,0)</f>
        <v/>
      </c>
      <c r="AG156" s="22">
        <f>IFERROR(MATRIZ_174!Y155,0)</f>
        <v/>
      </c>
      <c r="AH156" s="22">
        <f>IFERROR(MATRIZ_174!Z155,0)</f>
        <v/>
      </c>
      <c r="AI156" s="17">
        <f>IFERROR(MATRIZ_174!AP155,"N/A")</f>
        <v/>
      </c>
      <c r="AJ156" s="17">
        <f>IFERROR(MATRIZ_174!AO155,"N/A")</f>
        <v/>
      </c>
      <c r="AK156" s="23">
        <f>IFERROR(ROUND(POWER((E156*F156*G156*H156*I156*J156*K156),1/7)*0.875+((L156+M156)/2)*0.125,1),"N/A")</f>
        <v/>
      </c>
      <c r="AL156" s="24">
        <f>IFERROR(IF(OR(AK156="N/A",AI156="N/A"),"N/A",ROUND(0.7*AK156+0.3*AI156*100,1)),"N/A")</f>
        <v/>
      </c>
    </row>
    <row r="157" ht="16.05" customHeight="1" s="37">
      <c r="A157" s="13" t="inlineStr">
        <is>
          <t>20606041382</t>
        </is>
      </c>
      <c r="B157" s="14" t="inlineStr">
        <is>
          <t>ASOCIACION AROMA DE MUJER LLAQUE</t>
        </is>
      </c>
      <c r="C157" s="13" t="inlineStr">
        <is>
          <t>LAMBAYEQUE</t>
        </is>
      </c>
      <c r="D157" s="15" t="n">
        <v>0</v>
      </c>
      <c r="E157" s="16" t="n">
        <v>0</v>
      </c>
      <c r="F157" s="17">
        <f>IFERROR(SCORECARDS!H156,"")</f>
        <v/>
      </c>
      <c r="G157" s="17">
        <f>IFERROR(MATRIZ_174!U156,0)</f>
        <v/>
      </c>
      <c r="H157" s="16" t="n">
        <v>0</v>
      </c>
      <c r="I157" s="17">
        <f>IFERROR(SCORECARDS!I156,"")</f>
        <v/>
      </c>
      <c r="J157" s="17">
        <f>IFERROR(SCORECARDS!J156,"")</f>
        <v/>
      </c>
      <c r="K157" s="16" t="n">
        <v>0</v>
      </c>
      <c r="L157" s="16" t="n">
        <v>0</v>
      </c>
      <c r="M157" s="16" t="n">
        <v>0</v>
      </c>
      <c r="N157" s="16" t="n">
        <v>0</v>
      </c>
      <c r="O157" s="16" t="n">
        <v>0</v>
      </c>
      <c r="P157" s="17">
        <f>IFERROR(F157,0)</f>
        <v/>
      </c>
      <c r="Q157" s="17">
        <f>IFERROR(SQRT(G157*H157),0)</f>
        <v/>
      </c>
      <c r="R157" s="17">
        <f>IFERROR((I157+J157+L157)/3,0)</f>
        <v/>
      </c>
      <c r="S157" s="17">
        <f>IFERROR((J157+F157)/2,0)</f>
        <v/>
      </c>
      <c r="T157" s="17">
        <f>IFERROR((K157+M157+MATRIZ_174!O156)/3,0)</f>
        <v/>
      </c>
      <c r="U157" s="18">
        <f>IFERROR(MIN(100,ROUND(MATRIZ_174!M156,1)),0)</f>
        <v/>
      </c>
      <c r="V157" s="18">
        <f>IFERROR(IF(E157=0,50,E157),0)</f>
        <v/>
      </c>
      <c r="W157" s="18">
        <f>IFERROR(IF(MATRIZ_174!R156=0,65,IF(MATRIZ_174!R156/MATRIZ_174!Q156&gt;=2,35,IF(MATRIZ_174!R156/MATRIZ_174!Q156&gt;=0.5,50,65))),65)</f>
        <v/>
      </c>
      <c r="X157" s="18">
        <f>IF(MATRIZ_174!O156=0,70,30)</f>
        <v/>
      </c>
      <c r="Y157" s="18">
        <f>IF(OR(MATRIZ_174!P156="ASOCIACION",MATRIZ_174!P156="PENDIENTE"),65,40)</f>
        <v/>
      </c>
      <c r="Z157" s="19">
        <f>IFERROR(ROUND(AVERAGE(P157,Q157,R157,S157,T157),1),0)</f>
        <v/>
      </c>
      <c r="AA157" s="20">
        <f>IFERROR(ROUND(AVERAGE(U157,V157,W157,X157,Y157),1),0)</f>
        <v/>
      </c>
      <c r="AB157" s="21">
        <f>IFERROR(ROUND(AA157*(1-Z157/100),1),0)</f>
        <v/>
      </c>
      <c r="AC157" s="13">
        <f>IF(AND(Z157&gt;=50,AA157&lt;50),"🟢  Resilientes",IF(AND(Z157&gt;=50,AA157&gt;=50),"🟠  Expuestas Adaptables",IF(AND(Z157&lt;50,AA157&lt;50),"⬜  Riesgo Latente","🔴  Riesgo Crítico")))</f>
        <v/>
      </c>
      <c r="AD157" s="13">
        <f>IF(G157=0,"🚫  Inh. vigente OSCE","")</f>
        <v/>
      </c>
      <c r="AE157" s="22">
        <f>IFERROR(MATRIZ_174!W156,0)</f>
        <v/>
      </c>
      <c r="AF157" s="22">
        <f>IFERROR(MATRIZ_174!X156,0)</f>
        <v/>
      </c>
      <c r="AG157" s="22">
        <f>IFERROR(MATRIZ_174!Y156,0)</f>
        <v/>
      </c>
      <c r="AH157" s="22">
        <f>IFERROR(MATRIZ_174!Z156,0)</f>
        <v/>
      </c>
      <c r="AI157" s="17">
        <f>IFERROR(MATRIZ_174!AP156,"N/A")</f>
        <v/>
      </c>
      <c r="AJ157" s="17">
        <f>IFERROR(MATRIZ_174!AO156,"N/A")</f>
        <v/>
      </c>
      <c r="AK157" s="23">
        <f>IFERROR(ROUND(POWER((E157*F157*G157*H157*I157*J157*K157),1/7)*0.875+((L157+M157)/2)*0.125,1),"N/A")</f>
        <v/>
      </c>
      <c r="AL157" s="24">
        <f>IFERROR(IF(OR(AK157="N/A",AI157="N/A"),"N/A",ROUND(0.7*AK157+0.3*AI157*100,1)),"N/A")</f>
        <v/>
      </c>
    </row>
    <row r="158" ht="16.05" customHeight="1" s="37">
      <c r="A158" s="13" t="inlineStr">
        <is>
          <t>20606451122</t>
        </is>
      </c>
      <c r="B158" s="14" t="inlineStr">
        <is>
          <t>ASOCIACIÓN DE PRODUCTORES CERRO BLANCO</t>
        </is>
      </c>
      <c r="C158" s="13" t="inlineStr">
        <is>
          <t>SAN MARTIN</t>
        </is>
      </c>
      <c r="D158" s="15" t="n">
        <v>76135.47</v>
      </c>
      <c r="E158" s="16" t="n">
        <v>0</v>
      </c>
      <c r="F158" s="17">
        <f>IFERROR(SCORECARDS!H157,"")</f>
        <v/>
      </c>
      <c r="G158" s="17">
        <f>IFERROR(MATRIZ_174!U157,0)</f>
        <v/>
      </c>
      <c r="H158" s="16" t="n">
        <v>0</v>
      </c>
      <c r="I158" s="17">
        <f>IFERROR(SCORECARDS!I157,"")</f>
        <v/>
      </c>
      <c r="J158" s="17">
        <f>IFERROR(SCORECARDS!J157,"")</f>
        <v/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7">
        <f>IFERROR(F158,0)</f>
        <v/>
      </c>
      <c r="Q158" s="17">
        <f>IFERROR(SQRT(G158*H158),0)</f>
        <v/>
      </c>
      <c r="R158" s="17">
        <f>IFERROR((I158+J158+L158)/3,0)</f>
        <v/>
      </c>
      <c r="S158" s="17">
        <f>IFERROR((J158+F158)/2,0)</f>
        <v/>
      </c>
      <c r="T158" s="17">
        <f>IFERROR((K158+M158+MATRIZ_174!O157)/3,0)</f>
        <v/>
      </c>
      <c r="U158" s="18">
        <f>IFERROR(MIN(100,ROUND(MATRIZ_174!M157,1)),0)</f>
        <v/>
      </c>
      <c r="V158" s="18">
        <f>IFERROR(IF(E158=0,50,E158),0)</f>
        <v/>
      </c>
      <c r="W158" s="18">
        <f>IFERROR(IF(MATRIZ_174!R157=0,65,IF(MATRIZ_174!R157/MATRIZ_174!Q157&gt;=2,35,IF(MATRIZ_174!R157/MATRIZ_174!Q157&gt;=0.5,50,65))),65)</f>
        <v/>
      </c>
      <c r="X158" s="18">
        <f>IF(MATRIZ_174!O157=0,70,30)</f>
        <v/>
      </c>
      <c r="Y158" s="18">
        <f>IF(OR(MATRIZ_174!P157="ASOCIACION",MATRIZ_174!P157="PENDIENTE"),65,40)</f>
        <v/>
      </c>
      <c r="Z158" s="19">
        <f>IFERROR(ROUND(AVERAGE(P158,Q158,R158,S158,T158),1),0)</f>
        <v/>
      </c>
      <c r="AA158" s="20">
        <f>IFERROR(ROUND(AVERAGE(U158,V158,W158,X158,Y158),1),0)</f>
        <v/>
      </c>
      <c r="AB158" s="21">
        <f>IFERROR(ROUND(AA158*(1-Z158/100),1),0)</f>
        <v/>
      </c>
      <c r="AC158" s="13">
        <f>IF(AND(Z158&gt;=50,AA158&lt;50),"🟢  Resilientes",IF(AND(Z158&gt;=50,AA158&gt;=50),"🟠  Expuestas Adaptables",IF(AND(Z158&lt;50,AA158&lt;50),"⬜  Riesgo Latente","🔴  Riesgo Crítico")))</f>
        <v/>
      </c>
      <c r="AD158" s="13">
        <f>IF(G158=0,"🚫  Inh. vigente OSCE","")</f>
        <v/>
      </c>
      <c r="AE158" s="22">
        <f>IFERROR(MATRIZ_174!W157,0)</f>
        <v/>
      </c>
      <c r="AF158" s="22">
        <f>IFERROR(MATRIZ_174!X157,0)</f>
        <v/>
      </c>
      <c r="AG158" s="22">
        <f>IFERROR(MATRIZ_174!Y157,0)</f>
        <v/>
      </c>
      <c r="AH158" s="22">
        <f>IFERROR(MATRIZ_174!Z157,0)</f>
        <v/>
      </c>
      <c r="AI158" s="17">
        <f>IFERROR(MATRIZ_174!AP157,"N/A")</f>
        <v/>
      </c>
      <c r="AJ158" s="17">
        <f>IFERROR(MATRIZ_174!AO157,"N/A")</f>
        <v/>
      </c>
      <c r="AK158" s="23">
        <f>IFERROR(ROUND(POWER((E158*F158*G158*H158*I158*J158*K158),1/7)*0.875+((L158+M158)/2)*0.125,1),"N/A")</f>
        <v/>
      </c>
      <c r="AL158" s="24">
        <f>IFERROR(IF(OR(AK158="N/A",AI158="N/A"),"N/A",ROUND(0.7*AK158+0.3*AI158*100,1)),"N/A")</f>
        <v/>
      </c>
    </row>
    <row r="159" ht="16.05" customHeight="1" s="37">
      <c r="A159" s="13" t="inlineStr">
        <is>
          <t>20606485281</t>
        </is>
      </c>
      <c r="B159" s="14" t="inlineStr">
        <is>
          <t>COOPERATIVA AGROINDUSTRIAL DE LA GRAN NACION ASHANINKA</t>
        </is>
      </c>
      <c r="C159" s="13" t="inlineStr">
        <is>
          <t>JUNIN</t>
        </is>
      </c>
      <c r="D159" s="15" t="n">
        <v>0</v>
      </c>
      <c r="E159" s="16" t="n">
        <v>0</v>
      </c>
      <c r="F159" s="17">
        <f>IFERROR(SCORECARDS!H158,"")</f>
        <v/>
      </c>
      <c r="G159" s="17">
        <f>IFERROR(MATRIZ_174!U158,0)</f>
        <v/>
      </c>
      <c r="H159" s="16" t="n">
        <v>0</v>
      </c>
      <c r="I159" s="17">
        <f>IFERROR(SCORECARDS!I158,"")</f>
        <v/>
      </c>
      <c r="J159" s="17">
        <f>IFERROR(SCORECARDS!J158,"")</f>
        <v/>
      </c>
      <c r="K159" s="16" t="n">
        <v>0</v>
      </c>
      <c r="L159" s="16" t="n">
        <v>0</v>
      </c>
      <c r="M159" s="16" t="n">
        <v>0</v>
      </c>
      <c r="N159" s="16" t="n">
        <v>0</v>
      </c>
      <c r="O159" s="16" t="n">
        <v>0</v>
      </c>
      <c r="P159" s="17">
        <f>IFERROR(F159,0)</f>
        <v/>
      </c>
      <c r="Q159" s="17">
        <f>IFERROR(SQRT(G159*H159),0)</f>
        <v/>
      </c>
      <c r="R159" s="17">
        <f>IFERROR((I159+J159+L159)/3,0)</f>
        <v/>
      </c>
      <c r="S159" s="17">
        <f>IFERROR((J159+F159)/2,0)</f>
        <v/>
      </c>
      <c r="T159" s="17">
        <f>IFERROR((K159+M159+MATRIZ_174!O158)/3,0)</f>
        <v/>
      </c>
      <c r="U159" s="18">
        <f>IFERROR(MIN(100,ROUND(MATRIZ_174!M158,1)),0)</f>
        <v/>
      </c>
      <c r="V159" s="18">
        <f>IFERROR(IF(E159=0,50,E159),0)</f>
        <v/>
      </c>
      <c r="W159" s="18">
        <f>IFERROR(IF(MATRIZ_174!R158=0,65,IF(MATRIZ_174!R158/MATRIZ_174!Q158&gt;=2,35,IF(MATRIZ_174!R158/MATRIZ_174!Q158&gt;=0.5,50,65))),65)</f>
        <v/>
      </c>
      <c r="X159" s="18">
        <f>IF(MATRIZ_174!O158=0,70,30)</f>
        <v/>
      </c>
      <c r="Y159" s="18">
        <f>IF(OR(MATRIZ_174!P158="ASOCIACION",MATRIZ_174!P158="PENDIENTE"),65,40)</f>
        <v/>
      </c>
      <c r="Z159" s="19">
        <f>IFERROR(ROUND(AVERAGE(P159,Q159,R159,S159,T159),1),0)</f>
        <v/>
      </c>
      <c r="AA159" s="20">
        <f>IFERROR(ROUND(AVERAGE(U159,V159,W159,X159,Y159),1),0)</f>
        <v/>
      </c>
      <c r="AB159" s="21">
        <f>IFERROR(ROUND(AA159*(1-Z159/100),1),0)</f>
        <v/>
      </c>
      <c r="AC159" s="13">
        <f>IF(AND(Z159&gt;=50,AA159&lt;50),"🟢  Resilientes",IF(AND(Z159&gt;=50,AA159&gt;=50),"🟠  Expuestas Adaptables",IF(AND(Z159&lt;50,AA159&lt;50),"⬜  Riesgo Latente","🔴  Riesgo Crítico")))</f>
        <v/>
      </c>
      <c r="AD159" s="13">
        <f>IF(G159=0,"🚫  Inh. vigente OSCE","")</f>
        <v/>
      </c>
      <c r="AE159" s="22">
        <f>IFERROR(MATRIZ_174!W158,0)</f>
        <v/>
      </c>
      <c r="AF159" s="22">
        <f>IFERROR(MATRIZ_174!X158,0)</f>
        <v/>
      </c>
      <c r="AG159" s="22">
        <f>IFERROR(MATRIZ_174!Y158,0)</f>
        <v/>
      </c>
      <c r="AH159" s="22">
        <f>IFERROR(MATRIZ_174!Z158,0)</f>
        <v/>
      </c>
      <c r="AI159" s="17">
        <f>IFERROR(MATRIZ_174!AP158,"N/A")</f>
        <v/>
      </c>
      <c r="AJ159" s="17">
        <f>IFERROR(MATRIZ_174!AO158,"N/A")</f>
        <v/>
      </c>
      <c r="AK159" s="23">
        <f>IFERROR(ROUND(POWER((E159*F159*G159*H159*I159*J159*K159),1/7)*0.875+((L159+M159)/2)*0.125,1),"N/A")</f>
        <v/>
      </c>
      <c r="AL159" s="24">
        <f>IFERROR(IF(OR(AK159="N/A",AI159="N/A"),"N/A",ROUND(0.7*AK159+0.3*AI159*100,1)),"N/A")</f>
        <v/>
      </c>
    </row>
    <row r="160" ht="16.05" customHeight="1" s="37">
      <c r="A160" s="13" t="inlineStr">
        <is>
          <t>20606556331</t>
        </is>
      </c>
      <c r="B160" s="14" t="inlineStr">
        <is>
          <t>ASOCIACIÓN ABISEO SAN MARTIN - ASABISAM</t>
        </is>
      </c>
      <c r="C160" s="13" t="inlineStr">
        <is>
          <t>SAN MARTIN</t>
        </is>
      </c>
      <c r="D160" s="15" t="n">
        <v>0</v>
      </c>
      <c r="E160" s="16" t="n">
        <v>0</v>
      </c>
      <c r="F160" s="17">
        <f>IFERROR(SCORECARDS!H159,"")</f>
        <v/>
      </c>
      <c r="G160" s="17">
        <f>IFERROR(MATRIZ_174!U159,0)</f>
        <v/>
      </c>
      <c r="H160" s="16" t="n">
        <v>0</v>
      </c>
      <c r="I160" s="17">
        <f>IFERROR(SCORECARDS!I159,"")</f>
        <v/>
      </c>
      <c r="J160" s="17">
        <f>IFERROR(SCORECARDS!J159,"")</f>
        <v/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7">
        <f>IFERROR(F160,0)</f>
        <v/>
      </c>
      <c r="Q160" s="17">
        <f>IFERROR(SQRT(G160*H160),0)</f>
        <v/>
      </c>
      <c r="R160" s="17">
        <f>IFERROR((I160+J160+L160)/3,0)</f>
        <v/>
      </c>
      <c r="S160" s="17">
        <f>IFERROR((J160+F160)/2,0)</f>
        <v/>
      </c>
      <c r="T160" s="17">
        <f>IFERROR((K160+M160+MATRIZ_174!O159)/3,0)</f>
        <v/>
      </c>
      <c r="U160" s="18">
        <f>IFERROR(MIN(100,ROUND(MATRIZ_174!M159,1)),0)</f>
        <v/>
      </c>
      <c r="V160" s="18">
        <f>IFERROR(IF(E160=0,50,E160),0)</f>
        <v/>
      </c>
      <c r="W160" s="18">
        <f>IFERROR(IF(MATRIZ_174!R159=0,65,IF(MATRIZ_174!R159/MATRIZ_174!Q159&gt;=2,35,IF(MATRIZ_174!R159/MATRIZ_174!Q159&gt;=0.5,50,65))),65)</f>
        <v/>
      </c>
      <c r="X160" s="18">
        <f>IF(MATRIZ_174!O159=0,70,30)</f>
        <v/>
      </c>
      <c r="Y160" s="18">
        <f>IF(OR(MATRIZ_174!P159="ASOCIACION",MATRIZ_174!P159="PENDIENTE"),65,40)</f>
        <v/>
      </c>
      <c r="Z160" s="19">
        <f>IFERROR(ROUND(AVERAGE(P160,Q160,R160,S160,T160),1),0)</f>
        <v/>
      </c>
      <c r="AA160" s="20">
        <f>IFERROR(ROUND(AVERAGE(U160,V160,W160,X160,Y160),1),0)</f>
        <v/>
      </c>
      <c r="AB160" s="21">
        <f>IFERROR(ROUND(AA160*(1-Z160/100),1),0)</f>
        <v/>
      </c>
      <c r="AC160" s="13">
        <f>IF(AND(Z160&gt;=50,AA160&lt;50),"🟢  Resilientes",IF(AND(Z160&gt;=50,AA160&gt;=50),"🟠  Expuestas Adaptables",IF(AND(Z160&lt;50,AA160&lt;50),"⬜  Riesgo Latente","🔴  Riesgo Crítico")))</f>
        <v/>
      </c>
      <c r="AD160" s="13">
        <f>IF(G160=0,"🚫  Inh. vigente OSCE","")</f>
        <v/>
      </c>
      <c r="AE160" s="22">
        <f>IFERROR(MATRIZ_174!W159,0)</f>
        <v/>
      </c>
      <c r="AF160" s="22">
        <f>IFERROR(MATRIZ_174!X159,0)</f>
        <v/>
      </c>
      <c r="AG160" s="22">
        <f>IFERROR(MATRIZ_174!Y159,0)</f>
        <v/>
      </c>
      <c r="AH160" s="22">
        <f>IFERROR(MATRIZ_174!Z159,0)</f>
        <v/>
      </c>
      <c r="AI160" s="17">
        <f>IFERROR(MATRIZ_174!AP159,"N/A")</f>
        <v/>
      </c>
      <c r="AJ160" s="17">
        <f>IFERROR(MATRIZ_174!AO159,"N/A")</f>
        <v/>
      </c>
      <c r="AK160" s="23">
        <f>IFERROR(ROUND(POWER((E160*F160*G160*H160*I160*J160*K160),1/7)*0.875+((L160+M160)/2)*0.125,1),"N/A")</f>
        <v/>
      </c>
      <c r="AL160" s="24">
        <f>IFERROR(IF(OR(AK160="N/A",AI160="N/A"),"N/A",ROUND(0.7*AK160+0.3*AI160*100,1)),"N/A")</f>
        <v/>
      </c>
    </row>
    <row r="161" ht="16.05" customHeight="1" s="37">
      <c r="A161" s="13" t="inlineStr">
        <is>
          <t>20606717475</t>
        </is>
      </c>
      <c r="B161" s="14" t="inlineStr">
        <is>
          <t>ASOCIACION DE PEQUEÑOS PRODUCTORES AGROPECUARIOS ULLMA</t>
        </is>
      </c>
      <c r="C161" s="13" t="inlineStr">
        <is>
          <t>PIURA</t>
        </is>
      </c>
      <c r="D161" s="15" t="n">
        <v>0</v>
      </c>
      <c r="E161" s="16" t="n">
        <v>0</v>
      </c>
      <c r="F161" s="17">
        <f>IFERROR(SCORECARDS!H160,"")</f>
        <v/>
      </c>
      <c r="G161" s="17">
        <f>IFERROR(MATRIZ_174!U160,0)</f>
        <v/>
      </c>
      <c r="H161" s="16" t="n">
        <v>0</v>
      </c>
      <c r="I161" s="17">
        <f>IFERROR(SCORECARDS!I160,"")</f>
        <v/>
      </c>
      <c r="J161" s="17">
        <f>IFERROR(SCORECARDS!J160,"")</f>
        <v/>
      </c>
      <c r="K161" s="16" t="n">
        <v>0</v>
      </c>
      <c r="L161" s="16" t="n">
        <v>0</v>
      </c>
      <c r="M161" s="16" t="n">
        <v>0</v>
      </c>
      <c r="N161" s="16" t="n">
        <v>0</v>
      </c>
      <c r="O161" s="16" t="n">
        <v>0</v>
      </c>
      <c r="P161" s="17">
        <f>IFERROR(F161,0)</f>
        <v/>
      </c>
      <c r="Q161" s="17">
        <f>IFERROR(SQRT(G161*H161),0)</f>
        <v/>
      </c>
      <c r="R161" s="17">
        <f>IFERROR((I161+J161+L161)/3,0)</f>
        <v/>
      </c>
      <c r="S161" s="17">
        <f>IFERROR((J161+F161)/2,0)</f>
        <v/>
      </c>
      <c r="T161" s="17">
        <f>IFERROR((K161+M161+MATRIZ_174!O160)/3,0)</f>
        <v/>
      </c>
      <c r="U161" s="18">
        <f>IFERROR(MIN(100,ROUND(MATRIZ_174!M160,1)),0)</f>
        <v/>
      </c>
      <c r="V161" s="18">
        <f>IFERROR(IF(E161=0,50,E161),0)</f>
        <v/>
      </c>
      <c r="W161" s="18">
        <f>IFERROR(IF(MATRIZ_174!R160=0,65,IF(MATRIZ_174!R160/MATRIZ_174!Q160&gt;=2,35,IF(MATRIZ_174!R160/MATRIZ_174!Q160&gt;=0.5,50,65))),65)</f>
        <v/>
      </c>
      <c r="X161" s="18">
        <f>IF(MATRIZ_174!O160=0,70,30)</f>
        <v/>
      </c>
      <c r="Y161" s="18">
        <f>IF(OR(MATRIZ_174!P160="ASOCIACION",MATRIZ_174!P160="PENDIENTE"),65,40)</f>
        <v/>
      </c>
      <c r="Z161" s="19">
        <f>IFERROR(ROUND(AVERAGE(P161,Q161,R161,S161,T161),1),0)</f>
        <v/>
      </c>
      <c r="AA161" s="20">
        <f>IFERROR(ROUND(AVERAGE(U161,V161,W161,X161,Y161),1),0)</f>
        <v/>
      </c>
      <c r="AB161" s="21">
        <f>IFERROR(ROUND(AA161*(1-Z161/100),1),0)</f>
        <v/>
      </c>
      <c r="AC161" s="13">
        <f>IF(AND(Z161&gt;=50,AA161&lt;50),"🟢  Resilientes",IF(AND(Z161&gt;=50,AA161&gt;=50),"🟠  Expuestas Adaptables",IF(AND(Z161&lt;50,AA161&lt;50),"⬜  Riesgo Latente","🔴  Riesgo Crítico")))</f>
        <v/>
      </c>
      <c r="AD161" s="13">
        <f>IF(G161=0,"🚫  Inh. vigente OSCE","")</f>
        <v/>
      </c>
      <c r="AE161" s="22">
        <f>IFERROR(MATRIZ_174!W160,0)</f>
        <v/>
      </c>
      <c r="AF161" s="22">
        <f>IFERROR(MATRIZ_174!X160,0)</f>
        <v/>
      </c>
      <c r="AG161" s="22">
        <f>IFERROR(MATRIZ_174!Y160,0)</f>
        <v/>
      </c>
      <c r="AH161" s="22">
        <f>IFERROR(MATRIZ_174!Z160,0)</f>
        <v/>
      </c>
      <c r="AI161" s="17">
        <f>IFERROR(MATRIZ_174!AP160,"N/A")</f>
        <v/>
      </c>
      <c r="AJ161" s="17">
        <f>IFERROR(MATRIZ_174!AO160,"N/A")</f>
        <v/>
      </c>
      <c r="AK161" s="23">
        <f>IFERROR(ROUND(POWER((E161*F161*G161*H161*I161*J161*K161),1/7)*0.875+((L161+M161)/2)*0.125,1),"N/A")</f>
        <v/>
      </c>
      <c r="AL161" s="24">
        <f>IFERROR(IF(OR(AK161="N/A",AI161="N/A"),"N/A",ROUND(0.7*AK161+0.3*AI161*100,1)),"N/A")</f>
        <v/>
      </c>
    </row>
    <row r="162" ht="16.05" customHeight="1" s="37">
      <c r="A162" s="13" t="inlineStr">
        <is>
          <t>20607265624</t>
        </is>
      </c>
      <c r="B162" s="14" t="inlineStr">
        <is>
          <t>ASOCIACION DE PEQUEÑOS PRODUCTORES AGROPECUARIOS PENACHI-KER</t>
        </is>
      </c>
      <c r="C162" s="13" t="inlineStr">
        <is>
          <t>LAMBAYEQUE</t>
        </is>
      </c>
      <c r="D162" s="15" t="n">
        <v>0</v>
      </c>
      <c r="E162" s="16" t="n">
        <v>0</v>
      </c>
      <c r="F162" s="17">
        <f>IFERROR(SCORECARDS!H161,"")</f>
        <v/>
      </c>
      <c r="G162" s="17">
        <f>IFERROR(MATRIZ_174!U161,0)</f>
        <v/>
      </c>
      <c r="H162" s="16" t="n">
        <v>0</v>
      </c>
      <c r="I162" s="17">
        <f>IFERROR(SCORECARDS!I161,"")</f>
        <v/>
      </c>
      <c r="J162" s="17">
        <f>IFERROR(SCORECARDS!J161,"")</f>
        <v/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7">
        <f>IFERROR(F162,0)</f>
        <v/>
      </c>
      <c r="Q162" s="17">
        <f>IFERROR(SQRT(G162*H162),0)</f>
        <v/>
      </c>
      <c r="R162" s="17">
        <f>IFERROR((I162+J162+L162)/3,0)</f>
        <v/>
      </c>
      <c r="S162" s="17">
        <f>IFERROR((J162+F162)/2,0)</f>
        <v/>
      </c>
      <c r="T162" s="17">
        <f>IFERROR((K162+M162+MATRIZ_174!O161)/3,0)</f>
        <v/>
      </c>
      <c r="U162" s="18">
        <f>IFERROR(MIN(100,ROUND(MATRIZ_174!M161,1)),0)</f>
        <v/>
      </c>
      <c r="V162" s="18">
        <f>IFERROR(IF(E162=0,50,E162),0)</f>
        <v/>
      </c>
      <c r="W162" s="18">
        <f>IFERROR(IF(MATRIZ_174!R161=0,65,IF(MATRIZ_174!R161/MATRIZ_174!Q161&gt;=2,35,IF(MATRIZ_174!R161/MATRIZ_174!Q161&gt;=0.5,50,65))),65)</f>
        <v/>
      </c>
      <c r="X162" s="18">
        <f>IF(MATRIZ_174!O161=0,70,30)</f>
        <v/>
      </c>
      <c r="Y162" s="18">
        <f>IF(OR(MATRIZ_174!P161="ASOCIACION",MATRIZ_174!P161="PENDIENTE"),65,40)</f>
        <v/>
      </c>
      <c r="Z162" s="19">
        <f>IFERROR(ROUND(AVERAGE(P162,Q162,R162,S162,T162),1),0)</f>
        <v/>
      </c>
      <c r="AA162" s="20">
        <f>IFERROR(ROUND(AVERAGE(U162,V162,W162,X162,Y162),1),0)</f>
        <v/>
      </c>
      <c r="AB162" s="21">
        <f>IFERROR(ROUND(AA162*(1-Z162/100),1),0)</f>
        <v/>
      </c>
      <c r="AC162" s="13">
        <f>IF(AND(Z162&gt;=50,AA162&lt;50),"🟢  Resilientes",IF(AND(Z162&gt;=50,AA162&gt;=50),"🟠  Expuestas Adaptables",IF(AND(Z162&lt;50,AA162&lt;50),"⬜  Riesgo Latente","🔴  Riesgo Crítico")))</f>
        <v/>
      </c>
      <c r="AD162" s="13">
        <f>IF(G162=0,"🚫  Inh. vigente OSCE","")</f>
        <v/>
      </c>
      <c r="AE162" s="22">
        <f>IFERROR(MATRIZ_174!W161,0)</f>
        <v/>
      </c>
      <c r="AF162" s="22">
        <f>IFERROR(MATRIZ_174!X161,0)</f>
        <v/>
      </c>
      <c r="AG162" s="22">
        <f>IFERROR(MATRIZ_174!Y161,0)</f>
        <v/>
      </c>
      <c r="AH162" s="22">
        <f>IFERROR(MATRIZ_174!Z161,0)</f>
        <v/>
      </c>
      <c r="AI162" s="17">
        <f>IFERROR(MATRIZ_174!AP161,"N/A")</f>
        <v/>
      </c>
      <c r="AJ162" s="17">
        <f>IFERROR(MATRIZ_174!AO161,"N/A")</f>
        <v/>
      </c>
      <c r="AK162" s="23">
        <f>IFERROR(ROUND(POWER((E162*F162*G162*H162*I162*J162*K162),1/7)*0.875+((L162+M162)/2)*0.125,1),"N/A")</f>
        <v/>
      </c>
      <c r="AL162" s="24">
        <f>IFERROR(IF(OR(AK162="N/A",AI162="N/A"),"N/A",ROUND(0.7*AK162+0.3*AI162*100,1)),"N/A")</f>
        <v/>
      </c>
    </row>
    <row r="163" ht="16.05" customHeight="1" s="37">
      <c r="A163" s="13" t="inlineStr">
        <is>
          <t>20607382604</t>
        </is>
      </c>
      <c r="B163" s="14" t="inlineStr">
        <is>
          <t>ASOCIACION DE PEQUEÑOS PRODUCTORES AGROPECUARIOS SAN LORENZO</t>
        </is>
      </c>
      <c r="C163" s="13" t="inlineStr">
        <is>
          <t>PIURA</t>
        </is>
      </c>
      <c r="D163" s="15" t="n">
        <v>0</v>
      </c>
      <c r="E163" s="16" t="n">
        <v>0</v>
      </c>
      <c r="F163" s="17">
        <f>IFERROR(SCORECARDS!H162,"")</f>
        <v/>
      </c>
      <c r="G163" s="17">
        <f>IFERROR(MATRIZ_174!U162,0)</f>
        <v/>
      </c>
      <c r="H163" s="16" t="n">
        <v>0</v>
      </c>
      <c r="I163" s="17">
        <f>IFERROR(SCORECARDS!I162,"")</f>
        <v/>
      </c>
      <c r="J163" s="17">
        <f>IFERROR(SCORECARDS!J162,"")</f>
        <v/>
      </c>
      <c r="K163" s="16" t="n">
        <v>0</v>
      </c>
      <c r="L163" s="16" t="n">
        <v>0</v>
      </c>
      <c r="M163" s="16" t="n">
        <v>0</v>
      </c>
      <c r="N163" s="16" t="n">
        <v>0</v>
      </c>
      <c r="O163" s="16" t="n">
        <v>0</v>
      </c>
      <c r="P163" s="17">
        <f>IFERROR(F163,0)</f>
        <v/>
      </c>
      <c r="Q163" s="17">
        <f>IFERROR(SQRT(G163*H163),0)</f>
        <v/>
      </c>
      <c r="R163" s="17">
        <f>IFERROR((I163+J163+L163)/3,0)</f>
        <v/>
      </c>
      <c r="S163" s="17">
        <f>IFERROR((J163+F163)/2,0)</f>
        <v/>
      </c>
      <c r="T163" s="17">
        <f>IFERROR((K163+M163+MATRIZ_174!O162)/3,0)</f>
        <v/>
      </c>
      <c r="U163" s="18">
        <f>IFERROR(MIN(100,ROUND(MATRIZ_174!M162,1)),0)</f>
        <v/>
      </c>
      <c r="V163" s="18">
        <f>IFERROR(IF(E163=0,50,E163),0)</f>
        <v/>
      </c>
      <c r="W163" s="18">
        <f>IFERROR(IF(MATRIZ_174!R162=0,65,IF(MATRIZ_174!R162/MATRIZ_174!Q162&gt;=2,35,IF(MATRIZ_174!R162/MATRIZ_174!Q162&gt;=0.5,50,65))),65)</f>
        <v/>
      </c>
      <c r="X163" s="18">
        <f>IF(MATRIZ_174!O162=0,70,30)</f>
        <v/>
      </c>
      <c r="Y163" s="18">
        <f>IF(OR(MATRIZ_174!P162="ASOCIACION",MATRIZ_174!P162="PENDIENTE"),65,40)</f>
        <v/>
      </c>
      <c r="Z163" s="19">
        <f>IFERROR(ROUND(AVERAGE(P163,Q163,R163,S163,T163),1),0)</f>
        <v/>
      </c>
      <c r="AA163" s="20">
        <f>IFERROR(ROUND(AVERAGE(U163,V163,W163,X163,Y163),1),0)</f>
        <v/>
      </c>
      <c r="AB163" s="21">
        <f>IFERROR(ROUND(AA163*(1-Z163/100),1),0)</f>
        <v/>
      </c>
      <c r="AC163" s="13">
        <f>IF(AND(Z163&gt;=50,AA163&lt;50),"🟢  Resilientes",IF(AND(Z163&gt;=50,AA163&gt;=50),"🟠  Expuestas Adaptables",IF(AND(Z163&lt;50,AA163&lt;50),"⬜  Riesgo Latente","🔴  Riesgo Crítico")))</f>
        <v/>
      </c>
      <c r="AD163" s="13">
        <f>IF(G163=0,"🚫  Inh. vigente OSCE","")</f>
        <v/>
      </c>
      <c r="AE163" s="22">
        <f>IFERROR(MATRIZ_174!W162,0)</f>
        <v/>
      </c>
      <c r="AF163" s="22">
        <f>IFERROR(MATRIZ_174!X162,0)</f>
        <v/>
      </c>
      <c r="AG163" s="22">
        <f>IFERROR(MATRIZ_174!Y162,0)</f>
        <v/>
      </c>
      <c r="AH163" s="22">
        <f>IFERROR(MATRIZ_174!Z162,0)</f>
        <v/>
      </c>
      <c r="AI163" s="17">
        <f>IFERROR(MATRIZ_174!AP162,"N/A")</f>
        <v/>
      </c>
      <c r="AJ163" s="17">
        <f>IFERROR(MATRIZ_174!AO162,"N/A")</f>
        <v/>
      </c>
      <c r="AK163" s="23">
        <f>IFERROR(ROUND(POWER((E163*F163*G163*H163*I163*J163*K163),1/7)*0.875+((L163+M163)/2)*0.125,1),"N/A")</f>
        <v/>
      </c>
      <c r="AL163" s="24">
        <f>IFERROR(IF(OR(AK163="N/A",AI163="N/A"),"N/A",ROUND(0.7*AK163+0.3*AI163*100,1)),"N/A")</f>
        <v/>
      </c>
    </row>
    <row r="164" ht="16.05" customHeight="1" s="37">
      <c r="A164" s="13" t="inlineStr">
        <is>
          <t>20607536016</t>
        </is>
      </c>
      <c r="B164" s="14" t="inlineStr">
        <is>
          <t>COOPERATIVA AGRARIA COOPAGRO LTDA - COOPERATIVA COOPAGRO</t>
        </is>
      </c>
      <c r="C164" s="13" t="inlineStr">
        <is>
          <t>CAJAMARCA</t>
        </is>
      </c>
      <c r="D164" s="15" t="n">
        <v>1501109.51</v>
      </c>
      <c r="E164" s="16" t="n">
        <v>0</v>
      </c>
      <c r="F164" s="17">
        <f>IFERROR(SCORECARDS!H163,"")</f>
        <v/>
      </c>
      <c r="G164" s="17">
        <f>IFERROR(MATRIZ_174!U163,0)</f>
        <v/>
      </c>
      <c r="H164" s="16" t="n">
        <v>0</v>
      </c>
      <c r="I164" s="17">
        <f>IFERROR(SCORECARDS!I163,"")</f>
        <v/>
      </c>
      <c r="J164" s="17">
        <f>IFERROR(SCORECARDS!J163,"")</f>
        <v/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7">
        <f>IFERROR(F164,0)</f>
        <v/>
      </c>
      <c r="Q164" s="17">
        <f>IFERROR(SQRT(G164*H164),0)</f>
        <v/>
      </c>
      <c r="R164" s="17">
        <f>IFERROR((I164+J164+L164)/3,0)</f>
        <v/>
      </c>
      <c r="S164" s="17">
        <f>IFERROR((J164+F164)/2,0)</f>
        <v/>
      </c>
      <c r="T164" s="17">
        <f>IFERROR((K164+M164+MATRIZ_174!O163)/3,0)</f>
        <v/>
      </c>
      <c r="U164" s="18">
        <f>IFERROR(MIN(100,ROUND(MATRIZ_174!M163,1)),0)</f>
        <v/>
      </c>
      <c r="V164" s="18">
        <f>IFERROR(IF(E164=0,50,E164),0)</f>
        <v/>
      </c>
      <c r="W164" s="18">
        <f>IFERROR(IF(MATRIZ_174!R163=0,65,IF(MATRIZ_174!R163/MATRIZ_174!Q163&gt;=2,35,IF(MATRIZ_174!R163/MATRIZ_174!Q163&gt;=0.5,50,65))),65)</f>
        <v/>
      </c>
      <c r="X164" s="18">
        <f>IF(MATRIZ_174!O163=0,70,30)</f>
        <v/>
      </c>
      <c r="Y164" s="18">
        <f>IF(OR(MATRIZ_174!P163="ASOCIACION",MATRIZ_174!P163="PENDIENTE"),65,40)</f>
        <v/>
      </c>
      <c r="Z164" s="19">
        <f>IFERROR(ROUND(AVERAGE(P164,Q164,R164,S164,T164),1),0)</f>
        <v/>
      </c>
      <c r="AA164" s="20">
        <f>IFERROR(ROUND(AVERAGE(U164,V164,W164,X164,Y164),1),0)</f>
        <v/>
      </c>
      <c r="AB164" s="21">
        <f>IFERROR(ROUND(AA164*(1-Z164/100),1),0)</f>
        <v/>
      </c>
      <c r="AC164" s="13">
        <f>IF(AND(Z164&gt;=50,AA164&lt;50),"🟢  Resilientes",IF(AND(Z164&gt;=50,AA164&gt;=50),"🟠  Expuestas Adaptables",IF(AND(Z164&lt;50,AA164&lt;50),"⬜  Riesgo Latente","🔴  Riesgo Crítico")))</f>
        <v/>
      </c>
      <c r="AD164" s="13">
        <f>IF(G164=0,"🚫  Inh. vigente OSCE","")</f>
        <v/>
      </c>
      <c r="AE164" s="22">
        <f>IFERROR(MATRIZ_174!W163,0)</f>
        <v/>
      </c>
      <c r="AF164" s="22">
        <f>IFERROR(MATRIZ_174!X163,0)</f>
        <v/>
      </c>
      <c r="AG164" s="22">
        <f>IFERROR(MATRIZ_174!Y163,0)</f>
        <v/>
      </c>
      <c r="AH164" s="22">
        <f>IFERROR(MATRIZ_174!Z163,0)</f>
        <v/>
      </c>
      <c r="AI164" s="17">
        <f>IFERROR(MATRIZ_174!AP163,"N/A")</f>
        <v/>
      </c>
      <c r="AJ164" s="17">
        <f>IFERROR(MATRIZ_174!AO163,"N/A")</f>
        <v/>
      </c>
      <c r="AK164" s="23">
        <f>IFERROR(ROUND(POWER((E164*F164*G164*H164*I164*J164*K164),1/7)*0.875+((L164+M164)/2)*0.125,1),"N/A")</f>
        <v/>
      </c>
      <c r="AL164" s="24">
        <f>IFERROR(IF(OR(AK164="N/A",AI164="N/A"),"N/A",ROUND(0.7*AK164+0.3*AI164*100,1)),"N/A")</f>
        <v/>
      </c>
    </row>
    <row r="165" ht="16.05" customHeight="1" s="37">
      <c r="A165" s="13" t="inlineStr">
        <is>
          <t>20607558559</t>
        </is>
      </c>
      <c r="B165" s="14" t="inlineStr">
        <is>
          <t>COOPERATIVA AGRARIA INDÍGENA AWAJUN WAMPIS TUNTANAIN LTDA</t>
        </is>
      </c>
      <c r="C165" s="13" t="inlineStr">
        <is>
          <t>AMAZONAS</t>
        </is>
      </c>
      <c r="D165" s="15" t="n">
        <v>0</v>
      </c>
      <c r="E165" s="16" t="n">
        <v>0</v>
      </c>
      <c r="F165" s="17">
        <f>IFERROR(SCORECARDS!H164,"")</f>
        <v/>
      </c>
      <c r="G165" s="17">
        <f>IFERROR(MATRIZ_174!U164,0)</f>
        <v/>
      </c>
      <c r="H165" s="16" t="n">
        <v>0</v>
      </c>
      <c r="I165" s="17">
        <f>IFERROR(SCORECARDS!I164,"")</f>
        <v/>
      </c>
      <c r="J165" s="17">
        <f>IFERROR(SCORECARDS!J164,"")</f>
        <v/>
      </c>
      <c r="K165" s="16" t="n">
        <v>0</v>
      </c>
      <c r="L165" s="16" t="n">
        <v>0</v>
      </c>
      <c r="M165" s="16" t="n">
        <v>0</v>
      </c>
      <c r="N165" s="16" t="n">
        <v>0</v>
      </c>
      <c r="O165" s="16" t="n">
        <v>0</v>
      </c>
      <c r="P165" s="17">
        <f>IFERROR(F165,0)</f>
        <v/>
      </c>
      <c r="Q165" s="17">
        <f>IFERROR(SQRT(G165*H165),0)</f>
        <v/>
      </c>
      <c r="R165" s="17">
        <f>IFERROR((I165+J165+L165)/3,0)</f>
        <v/>
      </c>
      <c r="S165" s="17">
        <f>IFERROR((J165+F165)/2,0)</f>
        <v/>
      </c>
      <c r="T165" s="17">
        <f>IFERROR((K165+M165+MATRIZ_174!O164)/3,0)</f>
        <v/>
      </c>
      <c r="U165" s="18">
        <f>IFERROR(MIN(100,ROUND(MATRIZ_174!M164,1)),0)</f>
        <v/>
      </c>
      <c r="V165" s="18">
        <f>IFERROR(IF(E165=0,50,E165),0)</f>
        <v/>
      </c>
      <c r="W165" s="18">
        <f>IFERROR(IF(MATRIZ_174!R164=0,65,IF(MATRIZ_174!R164/MATRIZ_174!Q164&gt;=2,35,IF(MATRIZ_174!R164/MATRIZ_174!Q164&gt;=0.5,50,65))),65)</f>
        <v/>
      </c>
      <c r="X165" s="18">
        <f>IF(MATRIZ_174!O164=0,70,30)</f>
        <v/>
      </c>
      <c r="Y165" s="18">
        <f>IF(OR(MATRIZ_174!P164="ASOCIACION",MATRIZ_174!P164="PENDIENTE"),65,40)</f>
        <v/>
      </c>
      <c r="Z165" s="19">
        <f>IFERROR(ROUND(AVERAGE(P165,Q165,R165,S165,T165),1),0)</f>
        <v/>
      </c>
      <c r="AA165" s="20">
        <f>IFERROR(ROUND(AVERAGE(U165,V165,W165,X165,Y165),1),0)</f>
        <v/>
      </c>
      <c r="AB165" s="21">
        <f>IFERROR(ROUND(AA165*(1-Z165/100),1),0)</f>
        <v/>
      </c>
      <c r="AC165" s="13">
        <f>IF(AND(Z165&gt;=50,AA165&lt;50),"🟢  Resilientes",IF(AND(Z165&gt;=50,AA165&gt;=50),"🟠  Expuestas Adaptables",IF(AND(Z165&lt;50,AA165&lt;50),"⬜  Riesgo Latente","🔴  Riesgo Crítico")))</f>
        <v/>
      </c>
      <c r="AD165" s="13">
        <f>IF(G165=0,"🚫  Inh. vigente OSCE","")</f>
        <v/>
      </c>
      <c r="AE165" s="22">
        <f>IFERROR(MATRIZ_174!W164,0)</f>
        <v/>
      </c>
      <c r="AF165" s="22">
        <f>IFERROR(MATRIZ_174!X164,0)</f>
        <v/>
      </c>
      <c r="AG165" s="22">
        <f>IFERROR(MATRIZ_174!Y164,0)</f>
        <v/>
      </c>
      <c r="AH165" s="22">
        <f>IFERROR(MATRIZ_174!Z164,0)</f>
        <v/>
      </c>
      <c r="AI165" s="17">
        <f>IFERROR(MATRIZ_174!AP164,"N/A")</f>
        <v/>
      </c>
      <c r="AJ165" s="17">
        <f>IFERROR(MATRIZ_174!AO164,"N/A")</f>
        <v/>
      </c>
      <c r="AK165" s="23">
        <f>IFERROR(ROUND(POWER((E165*F165*G165*H165*I165*J165*K165),1/7)*0.875+((L165+M165)/2)*0.125,1),"N/A")</f>
        <v/>
      </c>
      <c r="AL165" s="24">
        <f>IFERROR(IF(OR(AK165="N/A",AI165="N/A"),"N/A",ROUND(0.7*AK165+0.3*AI165*100,1)),"N/A")</f>
        <v/>
      </c>
    </row>
    <row r="166" ht="16.05" customHeight="1" s="37">
      <c r="A166" s="13" t="inlineStr">
        <is>
          <t>20607775185</t>
        </is>
      </c>
      <c r="B166" s="14" t="inlineStr">
        <is>
          <t>ASOCIACION DE PRODUCTORES ANDINOS SOLIDARIOS-KAÑARIS</t>
        </is>
      </c>
      <c r="C166" s="13" t="inlineStr">
        <is>
          <t>LAMBAYEQUE</t>
        </is>
      </c>
      <c r="D166" s="15" t="n">
        <v>0</v>
      </c>
      <c r="E166" s="16" t="n">
        <v>0</v>
      </c>
      <c r="F166" s="17">
        <f>IFERROR(SCORECARDS!H165,"")</f>
        <v/>
      </c>
      <c r="G166" s="17">
        <f>IFERROR(MATRIZ_174!U165,0)</f>
        <v/>
      </c>
      <c r="H166" s="16" t="n">
        <v>0</v>
      </c>
      <c r="I166" s="17">
        <f>IFERROR(SCORECARDS!I165,"")</f>
        <v/>
      </c>
      <c r="J166" s="17">
        <f>IFERROR(SCORECARDS!J165,"")</f>
        <v/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7">
        <f>IFERROR(F166,0)</f>
        <v/>
      </c>
      <c r="Q166" s="17">
        <f>IFERROR(SQRT(G166*H166),0)</f>
        <v/>
      </c>
      <c r="R166" s="17">
        <f>IFERROR((I166+J166+L166)/3,0)</f>
        <v/>
      </c>
      <c r="S166" s="17">
        <f>IFERROR((J166+F166)/2,0)</f>
        <v/>
      </c>
      <c r="T166" s="17">
        <f>IFERROR((K166+M166+MATRIZ_174!O165)/3,0)</f>
        <v/>
      </c>
      <c r="U166" s="18">
        <f>IFERROR(MIN(100,ROUND(MATRIZ_174!M165,1)),0)</f>
        <v/>
      </c>
      <c r="V166" s="18">
        <f>IFERROR(IF(E166=0,50,E166),0)</f>
        <v/>
      </c>
      <c r="W166" s="18">
        <f>IFERROR(IF(MATRIZ_174!R165=0,65,IF(MATRIZ_174!R165/MATRIZ_174!Q165&gt;=2,35,IF(MATRIZ_174!R165/MATRIZ_174!Q165&gt;=0.5,50,65))),65)</f>
        <v/>
      </c>
      <c r="X166" s="18">
        <f>IF(MATRIZ_174!O165=0,70,30)</f>
        <v/>
      </c>
      <c r="Y166" s="18">
        <f>IF(OR(MATRIZ_174!P165="ASOCIACION",MATRIZ_174!P165="PENDIENTE"),65,40)</f>
        <v/>
      </c>
      <c r="Z166" s="19">
        <f>IFERROR(ROUND(AVERAGE(P166,Q166,R166,S166,T166),1),0)</f>
        <v/>
      </c>
      <c r="AA166" s="20">
        <f>IFERROR(ROUND(AVERAGE(U166,V166,W166,X166,Y166),1),0)</f>
        <v/>
      </c>
      <c r="AB166" s="21">
        <f>IFERROR(ROUND(AA166*(1-Z166/100),1),0)</f>
        <v/>
      </c>
      <c r="AC166" s="13">
        <f>IF(AND(Z166&gt;=50,AA166&lt;50),"🟢  Resilientes",IF(AND(Z166&gt;=50,AA166&gt;=50),"🟠  Expuestas Adaptables",IF(AND(Z166&lt;50,AA166&lt;50),"⬜  Riesgo Latente","🔴  Riesgo Crítico")))</f>
        <v/>
      </c>
      <c r="AD166" s="13">
        <f>IF(G166=0,"🚫  Inh. vigente OSCE","")</f>
        <v/>
      </c>
      <c r="AE166" s="22">
        <f>IFERROR(MATRIZ_174!W165,0)</f>
        <v/>
      </c>
      <c r="AF166" s="22">
        <f>IFERROR(MATRIZ_174!X165,0)</f>
        <v/>
      </c>
      <c r="AG166" s="22">
        <f>IFERROR(MATRIZ_174!Y165,0)</f>
        <v/>
      </c>
      <c r="AH166" s="22">
        <f>IFERROR(MATRIZ_174!Z165,0)</f>
        <v/>
      </c>
      <c r="AI166" s="17">
        <f>IFERROR(MATRIZ_174!AP165,"N/A")</f>
        <v/>
      </c>
      <c r="AJ166" s="17">
        <f>IFERROR(MATRIZ_174!AO165,"N/A")</f>
        <v/>
      </c>
      <c r="AK166" s="23">
        <f>IFERROR(ROUND(POWER((E166*F166*G166*H166*I166*J166*K166),1/7)*0.875+((L166+M166)/2)*0.125,1),"N/A")</f>
        <v/>
      </c>
      <c r="AL166" s="24">
        <f>IFERROR(IF(OR(AK166="N/A",AI166="N/A"),"N/A",ROUND(0.7*AK166+0.3*AI166*100,1)),"N/A")</f>
        <v/>
      </c>
    </row>
    <row r="167" ht="16.05" customHeight="1" s="37">
      <c r="A167" s="13" t="inlineStr">
        <is>
          <t>20608235648</t>
        </is>
      </c>
      <c r="B167" s="14" t="inlineStr">
        <is>
          <t>ASOCIACIÓN DE PRODUCTORES DE CACAO ORGÁNICO PUSHARO MANU</t>
        </is>
      </c>
      <c r="C167" s="13" t="inlineStr">
        <is>
          <t>MADRE DE DIOS</t>
        </is>
      </c>
      <c r="D167" s="15" t="n">
        <v>0</v>
      </c>
      <c r="E167" s="16" t="n">
        <v>0</v>
      </c>
      <c r="F167" s="17">
        <f>IFERROR(SCORECARDS!H166,"")</f>
        <v/>
      </c>
      <c r="G167" s="17">
        <f>IFERROR(MATRIZ_174!U166,0)</f>
        <v/>
      </c>
      <c r="H167" s="16" t="n">
        <v>0</v>
      </c>
      <c r="I167" s="17">
        <f>IFERROR(SCORECARDS!I166,"")</f>
        <v/>
      </c>
      <c r="J167" s="17">
        <f>IFERROR(SCORECARDS!J166,"")</f>
        <v/>
      </c>
      <c r="K167" s="16" t="n">
        <v>0</v>
      </c>
      <c r="L167" s="16" t="n">
        <v>0</v>
      </c>
      <c r="M167" s="16" t="n">
        <v>0</v>
      </c>
      <c r="N167" s="16" t="n">
        <v>0</v>
      </c>
      <c r="O167" s="16" t="n">
        <v>0</v>
      </c>
      <c r="P167" s="17">
        <f>IFERROR(F167,0)</f>
        <v/>
      </c>
      <c r="Q167" s="17">
        <f>IFERROR(SQRT(G167*H167),0)</f>
        <v/>
      </c>
      <c r="R167" s="17">
        <f>IFERROR((I167+J167+L167)/3,0)</f>
        <v/>
      </c>
      <c r="S167" s="17">
        <f>IFERROR((J167+F167)/2,0)</f>
        <v/>
      </c>
      <c r="T167" s="17">
        <f>IFERROR((K167+M167+MATRIZ_174!O166)/3,0)</f>
        <v/>
      </c>
      <c r="U167" s="18">
        <f>IFERROR(MIN(100,ROUND(MATRIZ_174!M166,1)),0)</f>
        <v/>
      </c>
      <c r="V167" s="18">
        <f>IFERROR(IF(E167=0,50,E167),0)</f>
        <v/>
      </c>
      <c r="W167" s="18">
        <f>IFERROR(IF(MATRIZ_174!R166=0,65,IF(MATRIZ_174!R166/MATRIZ_174!Q166&gt;=2,35,IF(MATRIZ_174!R166/MATRIZ_174!Q166&gt;=0.5,50,65))),65)</f>
        <v/>
      </c>
      <c r="X167" s="18">
        <f>IF(MATRIZ_174!O166=0,70,30)</f>
        <v/>
      </c>
      <c r="Y167" s="18">
        <f>IF(OR(MATRIZ_174!P166="ASOCIACION",MATRIZ_174!P166="PENDIENTE"),65,40)</f>
        <v/>
      </c>
      <c r="Z167" s="19">
        <f>IFERROR(ROUND(AVERAGE(P167,Q167,R167,S167,T167),1),0)</f>
        <v/>
      </c>
      <c r="AA167" s="20">
        <f>IFERROR(ROUND(AVERAGE(U167,V167,W167,X167,Y167),1),0)</f>
        <v/>
      </c>
      <c r="AB167" s="21">
        <f>IFERROR(ROUND(AA167*(1-Z167/100),1),0)</f>
        <v/>
      </c>
      <c r="AC167" s="13">
        <f>IF(AND(Z167&gt;=50,AA167&lt;50),"🟢  Resilientes",IF(AND(Z167&gt;=50,AA167&gt;=50),"🟠  Expuestas Adaptables",IF(AND(Z167&lt;50,AA167&lt;50),"⬜  Riesgo Latente","🔴  Riesgo Crítico")))</f>
        <v/>
      </c>
      <c r="AD167" s="13">
        <f>IF(G167=0,"🚫  Inh. vigente OSCE","")</f>
        <v/>
      </c>
      <c r="AE167" s="22">
        <f>IFERROR(MATRIZ_174!W166,0)</f>
        <v/>
      </c>
      <c r="AF167" s="22">
        <f>IFERROR(MATRIZ_174!X166,0)</f>
        <v/>
      </c>
      <c r="AG167" s="22">
        <f>IFERROR(MATRIZ_174!Y166,0)</f>
        <v/>
      </c>
      <c r="AH167" s="22">
        <f>IFERROR(MATRIZ_174!Z166,0)</f>
        <v/>
      </c>
      <c r="AI167" s="17">
        <f>IFERROR(MATRIZ_174!AP166,"N/A")</f>
        <v/>
      </c>
      <c r="AJ167" s="17">
        <f>IFERROR(MATRIZ_174!AO166,"N/A")</f>
        <v/>
      </c>
      <c r="AK167" s="23">
        <f>IFERROR(ROUND(POWER((E167*F167*G167*H167*I167*J167*K167),1/7)*0.875+((L167+M167)/2)*0.125,1),"N/A")</f>
        <v/>
      </c>
      <c r="AL167" s="24">
        <f>IFERROR(IF(OR(AK167="N/A",AI167="N/A"),"N/A",ROUND(0.7*AK167+0.3*AI167*100,1)),"N/A")</f>
        <v/>
      </c>
    </row>
    <row r="168" ht="16.05" customHeight="1" s="37">
      <c r="A168" s="13" t="inlineStr">
        <is>
          <t>20608294512</t>
        </is>
      </c>
      <c r="B168" s="14" t="inlineStr">
        <is>
          <t>COOPERATIVA AGRARIA KURI VALLE DEL SISA LTDA</t>
        </is>
      </c>
      <c r="C168" s="13" t="inlineStr">
        <is>
          <t>SAN MARTIN</t>
        </is>
      </c>
      <c r="D168" s="15" t="n">
        <v>0</v>
      </c>
      <c r="E168" s="16" t="n">
        <v>0</v>
      </c>
      <c r="F168" s="17">
        <f>IFERROR(SCORECARDS!H167,"")</f>
        <v/>
      </c>
      <c r="G168" s="17">
        <f>IFERROR(MATRIZ_174!U167,0)</f>
        <v/>
      </c>
      <c r="H168" s="16" t="n">
        <v>0</v>
      </c>
      <c r="I168" s="17">
        <f>IFERROR(SCORECARDS!I167,"")</f>
        <v/>
      </c>
      <c r="J168" s="17">
        <f>IFERROR(SCORECARDS!J167,"")</f>
        <v/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7">
        <f>IFERROR(F168,0)</f>
        <v/>
      </c>
      <c r="Q168" s="17">
        <f>IFERROR(SQRT(G168*H168),0)</f>
        <v/>
      </c>
      <c r="R168" s="17">
        <f>IFERROR((I168+J168+L168)/3,0)</f>
        <v/>
      </c>
      <c r="S168" s="17">
        <f>IFERROR((J168+F168)/2,0)</f>
        <v/>
      </c>
      <c r="T168" s="17">
        <f>IFERROR((K168+M168+MATRIZ_174!O167)/3,0)</f>
        <v/>
      </c>
      <c r="U168" s="18">
        <f>IFERROR(MIN(100,ROUND(MATRIZ_174!M167,1)),0)</f>
        <v/>
      </c>
      <c r="V168" s="18">
        <f>IFERROR(IF(E168=0,50,E168),0)</f>
        <v/>
      </c>
      <c r="W168" s="18">
        <f>IFERROR(IF(MATRIZ_174!R167=0,65,IF(MATRIZ_174!R167/MATRIZ_174!Q167&gt;=2,35,IF(MATRIZ_174!R167/MATRIZ_174!Q167&gt;=0.5,50,65))),65)</f>
        <v/>
      </c>
      <c r="X168" s="18">
        <f>IF(MATRIZ_174!O167=0,70,30)</f>
        <v/>
      </c>
      <c r="Y168" s="18">
        <f>IF(OR(MATRIZ_174!P167="ASOCIACION",MATRIZ_174!P167="PENDIENTE"),65,40)</f>
        <v/>
      </c>
      <c r="Z168" s="19">
        <f>IFERROR(ROUND(AVERAGE(P168,Q168,R168,S168,T168),1),0)</f>
        <v/>
      </c>
      <c r="AA168" s="20">
        <f>IFERROR(ROUND(AVERAGE(U168,V168,W168,X168,Y168),1),0)</f>
        <v/>
      </c>
      <c r="AB168" s="21">
        <f>IFERROR(ROUND(AA168*(1-Z168/100),1),0)</f>
        <v/>
      </c>
      <c r="AC168" s="13">
        <f>IF(AND(Z168&gt;=50,AA168&lt;50),"🟢  Resilientes",IF(AND(Z168&gt;=50,AA168&gt;=50),"🟠  Expuestas Adaptables",IF(AND(Z168&lt;50,AA168&lt;50),"⬜  Riesgo Latente","🔴  Riesgo Crítico")))</f>
        <v/>
      </c>
      <c r="AD168" s="13">
        <f>IF(G168=0,"🚫  Inh. vigente OSCE","")</f>
        <v/>
      </c>
      <c r="AE168" s="22">
        <f>IFERROR(MATRIZ_174!W167,0)</f>
        <v/>
      </c>
      <c r="AF168" s="22">
        <f>IFERROR(MATRIZ_174!X167,0)</f>
        <v/>
      </c>
      <c r="AG168" s="22">
        <f>IFERROR(MATRIZ_174!Y167,0)</f>
        <v/>
      </c>
      <c r="AH168" s="22">
        <f>IFERROR(MATRIZ_174!Z167,0)</f>
        <v/>
      </c>
      <c r="AI168" s="17">
        <f>IFERROR(MATRIZ_174!AP167,"N/A")</f>
        <v/>
      </c>
      <c r="AJ168" s="17">
        <f>IFERROR(MATRIZ_174!AO167,"N/A")</f>
        <v/>
      </c>
      <c r="AK168" s="23">
        <f>IFERROR(ROUND(POWER((E168*F168*G168*H168*I168*J168*K168),1/7)*0.875+((L168+M168)/2)*0.125,1),"N/A")</f>
        <v/>
      </c>
      <c r="AL168" s="24">
        <f>IFERROR(IF(OR(AK168="N/A",AI168="N/A"),"N/A",ROUND(0.7*AK168+0.3*AI168*100,1)),"N/A")</f>
        <v/>
      </c>
    </row>
    <row r="169" ht="16.05" customHeight="1" s="37">
      <c r="A169" s="13" t="inlineStr">
        <is>
          <t>20608478311</t>
        </is>
      </c>
      <c r="B169" s="14" t="inlineStr">
        <is>
          <t>COOPERATIVA AGRARIA YAKATHEO DEL AMAZONAS COOPAYAKAT</t>
        </is>
      </c>
      <c r="C169" s="13" t="inlineStr">
        <is>
          <t>AMAZONAS</t>
        </is>
      </c>
      <c r="D169" s="15" t="n">
        <v>0</v>
      </c>
      <c r="E169" s="16" t="n">
        <v>0</v>
      </c>
      <c r="F169" s="17">
        <f>IFERROR(SCORECARDS!H168,"")</f>
        <v/>
      </c>
      <c r="G169" s="17">
        <f>IFERROR(MATRIZ_174!U168,0)</f>
        <v/>
      </c>
      <c r="H169" s="16" t="n">
        <v>0</v>
      </c>
      <c r="I169" s="17">
        <f>IFERROR(SCORECARDS!I168,"")</f>
        <v/>
      </c>
      <c r="J169" s="17">
        <f>IFERROR(SCORECARDS!J168,"")</f>
        <v/>
      </c>
      <c r="K169" s="16" t="n">
        <v>0</v>
      </c>
      <c r="L169" s="16" t="n">
        <v>0</v>
      </c>
      <c r="M169" s="16" t="n">
        <v>0</v>
      </c>
      <c r="N169" s="16" t="n">
        <v>0</v>
      </c>
      <c r="O169" s="16" t="n">
        <v>0</v>
      </c>
      <c r="P169" s="17">
        <f>IFERROR(F169,0)</f>
        <v/>
      </c>
      <c r="Q169" s="17">
        <f>IFERROR(SQRT(G169*H169),0)</f>
        <v/>
      </c>
      <c r="R169" s="17">
        <f>IFERROR((I169+J169+L169)/3,0)</f>
        <v/>
      </c>
      <c r="S169" s="17">
        <f>IFERROR((J169+F169)/2,0)</f>
        <v/>
      </c>
      <c r="T169" s="17">
        <f>IFERROR((K169+M169+MATRIZ_174!O168)/3,0)</f>
        <v/>
      </c>
      <c r="U169" s="18">
        <f>IFERROR(MIN(100,ROUND(MATRIZ_174!M168,1)),0)</f>
        <v/>
      </c>
      <c r="V169" s="18">
        <f>IFERROR(IF(E169=0,50,E169),0)</f>
        <v/>
      </c>
      <c r="W169" s="18">
        <f>IFERROR(IF(MATRIZ_174!R168=0,65,IF(MATRIZ_174!R168/MATRIZ_174!Q168&gt;=2,35,IF(MATRIZ_174!R168/MATRIZ_174!Q168&gt;=0.5,50,65))),65)</f>
        <v/>
      </c>
      <c r="X169" s="18">
        <f>IF(MATRIZ_174!O168=0,70,30)</f>
        <v/>
      </c>
      <c r="Y169" s="18">
        <f>IF(OR(MATRIZ_174!P168="ASOCIACION",MATRIZ_174!P168="PENDIENTE"),65,40)</f>
        <v/>
      </c>
      <c r="Z169" s="19">
        <f>IFERROR(ROUND(AVERAGE(P169,Q169,R169,S169,T169),1),0)</f>
        <v/>
      </c>
      <c r="AA169" s="20">
        <f>IFERROR(ROUND(AVERAGE(U169,V169,W169,X169,Y169),1),0)</f>
        <v/>
      </c>
      <c r="AB169" s="21">
        <f>IFERROR(ROUND(AA169*(1-Z169/100),1),0)</f>
        <v/>
      </c>
      <c r="AC169" s="13">
        <f>IF(AND(Z169&gt;=50,AA169&lt;50),"🟢  Resilientes",IF(AND(Z169&gt;=50,AA169&gt;=50),"🟠  Expuestas Adaptables",IF(AND(Z169&lt;50,AA169&lt;50),"⬜  Riesgo Latente","🔴  Riesgo Crítico")))</f>
        <v/>
      </c>
      <c r="AD169" s="13">
        <f>IF(G169=0,"🚫  Inh. vigente OSCE","")</f>
        <v/>
      </c>
      <c r="AE169" s="22">
        <f>IFERROR(MATRIZ_174!W168,0)</f>
        <v/>
      </c>
      <c r="AF169" s="22">
        <f>IFERROR(MATRIZ_174!X168,0)</f>
        <v/>
      </c>
      <c r="AG169" s="22">
        <f>IFERROR(MATRIZ_174!Y168,0)</f>
        <v/>
      </c>
      <c r="AH169" s="22">
        <f>IFERROR(MATRIZ_174!Z168,0)</f>
        <v/>
      </c>
      <c r="AI169" s="17">
        <f>IFERROR(MATRIZ_174!AP168,"N/A")</f>
        <v/>
      </c>
      <c r="AJ169" s="17">
        <f>IFERROR(MATRIZ_174!AO168,"N/A")</f>
        <v/>
      </c>
      <c r="AK169" s="23">
        <f>IFERROR(ROUND(POWER((E169*F169*G169*H169*I169*J169*K169),1/7)*0.875+((L169+M169)/2)*0.125,1),"N/A")</f>
        <v/>
      </c>
      <c r="AL169" s="24">
        <f>IFERROR(IF(OR(AK169="N/A",AI169="N/A"),"N/A",ROUND(0.7*AK169+0.3*AI169*100,1)),"N/A")</f>
        <v/>
      </c>
    </row>
    <row r="170" ht="16.05" customHeight="1" s="37">
      <c r="A170" s="13" t="inlineStr">
        <is>
          <t>20609025353</t>
        </is>
      </c>
      <c r="B170" s="14" t="inlineStr">
        <is>
          <t>ASOCIACION DE PRODUCTORES AGROPERU MANDOVA</t>
        </is>
      </c>
      <c r="C170" s="13" t="inlineStr">
        <is>
          <t>CAJAMARCA</t>
        </is>
      </c>
      <c r="D170" s="15" t="n">
        <v>0</v>
      </c>
      <c r="E170" s="16" t="n">
        <v>0</v>
      </c>
      <c r="F170" s="17">
        <f>IFERROR(SCORECARDS!H169,"")</f>
        <v/>
      </c>
      <c r="G170" s="17">
        <f>IFERROR(MATRIZ_174!U169,0)</f>
        <v/>
      </c>
      <c r="H170" s="16" t="n">
        <v>0</v>
      </c>
      <c r="I170" s="17">
        <f>IFERROR(SCORECARDS!I169,"")</f>
        <v/>
      </c>
      <c r="J170" s="17">
        <f>IFERROR(SCORECARDS!J169,"")</f>
        <v/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7">
        <f>IFERROR(F170,0)</f>
        <v/>
      </c>
      <c r="Q170" s="17">
        <f>IFERROR(SQRT(G170*H170),0)</f>
        <v/>
      </c>
      <c r="R170" s="17">
        <f>IFERROR((I170+J170+L170)/3,0)</f>
        <v/>
      </c>
      <c r="S170" s="17">
        <f>IFERROR((J170+F170)/2,0)</f>
        <v/>
      </c>
      <c r="T170" s="17">
        <f>IFERROR((K170+M170+MATRIZ_174!O169)/3,0)</f>
        <v/>
      </c>
      <c r="U170" s="18">
        <f>IFERROR(MIN(100,ROUND(MATRIZ_174!M169,1)),0)</f>
        <v/>
      </c>
      <c r="V170" s="18">
        <f>IFERROR(IF(E170=0,50,E170),0)</f>
        <v/>
      </c>
      <c r="W170" s="18">
        <f>IFERROR(IF(MATRIZ_174!R169=0,65,IF(MATRIZ_174!R169/MATRIZ_174!Q169&gt;=2,35,IF(MATRIZ_174!R169/MATRIZ_174!Q169&gt;=0.5,50,65))),65)</f>
        <v/>
      </c>
      <c r="X170" s="18">
        <f>IF(MATRIZ_174!O169=0,70,30)</f>
        <v/>
      </c>
      <c r="Y170" s="18">
        <f>IF(OR(MATRIZ_174!P169="ASOCIACION",MATRIZ_174!P169="PENDIENTE"),65,40)</f>
        <v/>
      </c>
      <c r="Z170" s="19">
        <f>IFERROR(ROUND(AVERAGE(P170,Q170,R170,S170,T170),1),0)</f>
        <v/>
      </c>
      <c r="AA170" s="20">
        <f>IFERROR(ROUND(AVERAGE(U170,V170,W170,X170,Y170),1),0)</f>
        <v/>
      </c>
      <c r="AB170" s="21">
        <f>IFERROR(ROUND(AA170*(1-Z170/100),1),0)</f>
        <v/>
      </c>
      <c r="AC170" s="13">
        <f>IF(AND(Z170&gt;=50,AA170&lt;50),"🟢  Resilientes",IF(AND(Z170&gt;=50,AA170&gt;=50),"🟠  Expuestas Adaptables",IF(AND(Z170&lt;50,AA170&lt;50),"⬜  Riesgo Latente","🔴  Riesgo Crítico")))</f>
        <v/>
      </c>
      <c r="AD170" s="13">
        <f>IF(G170=0,"🚫  Inh. vigente OSCE","")</f>
        <v/>
      </c>
      <c r="AE170" s="22">
        <f>IFERROR(MATRIZ_174!W169,0)</f>
        <v/>
      </c>
      <c r="AF170" s="22">
        <f>IFERROR(MATRIZ_174!X169,0)</f>
        <v/>
      </c>
      <c r="AG170" s="22">
        <f>IFERROR(MATRIZ_174!Y169,0)</f>
        <v/>
      </c>
      <c r="AH170" s="22">
        <f>IFERROR(MATRIZ_174!Z169,0)</f>
        <v/>
      </c>
      <c r="AI170" s="17">
        <f>IFERROR(MATRIZ_174!AP169,"N/A")</f>
        <v/>
      </c>
      <c r="AJ170" s="17">
        <f>IFERROR(MATRIZ_174!AO169,"N/A")</f>
        <v/>
      </c>
      <c r="AK170" s="23">
        <f>IFERROR(ROUND(POWER((E170*F170*G170*H170*I170*J170*K170),1/7)*0.875+((L170+M170)/2)*0.125,1),"N/A")</f>
        <v/>
      </c>
      <c r="AL170" s="24">
        <f>IFERROR(IF(OR(AK170="N/A",AI170="N/A"),"N/A",ROUND(0.7*AK170+0.3*AI170*100,1)),"N/A")</f>
        <v/>
      </c>
    </row>
    <row r="171" ht="16.05" customHeight="1" s="37">
      <c r="A171" s="13" t="inlineStr">
        <is>
          <t>20609555395</t>
        </is>
      </c>
      <c r="B171" s="14" t="inlineStr">
        <is>
          <t>COOPERATIVA AGRARIA BANAQUI CURIMANA</t>
        </is>
      </c>
      <c r="C171" s="13" t="inlineStr">
        <is>
          <t>UCAYALI</t>
        </is>
      </c>
      <c r="D171" s="15" t="n">
        <v>0</v>
      </c>
      <c r="E171" s="16" t="n">
        <v>0</v>
      </c>
      <c r="F171" s="17">
        <f>IFERROR(SCORECARDS!H170,"")</f>
        <v/>
      </c>
      <c r="G171" s="17">
        <f>IFERROR(MATRIZ_174!U170,0)</f>
        <v/>
      </c>
      <c r="H171" s="16" t="n">
        <v>0</v>
      </c>
      <c r="I171" s="17">
        <f>IFERROR(SCORECARDS!I170,"")</f>
        <v/>
      </c>
      <c r="J171" s="17">
        <f>IFERROR(SCORECARDS!J170,"")</f>
        <v/>
      </c>
      <c r="K171" s="16" t="n">
        <v>0</v>
      </c>
      <c r="L171" s="16" t="n">
        <v>0</v>
      </c>
      <c r="M171" s="16" t="n">
        <v>0</v>
      </c>
      <c r="N171" s="16" t="n">
        <v>0</v>
      </c>
      <c r="O171" s="16" t="n">
        <v>0</v>
      </c>
      <c r="P171" s="17">
        <f>IFERROR(F171,0)</f>
        <v/>
      </c>
      <c r="Q171" s="17">
        <f>IFERROR(SQRT(G171*H171),0)</f>
        <v/>
      </c>
      <c r="R171" s="17">
        <f>IFERROR((I171+J171+L171)/3,0)</f>
        <v/>
      </c>
      <c r="S171" s="17">
        <f>IFERROR((J171+F171)/2,0)</f>
        <v/>
      </c>
      <c r="T171" s="17">
        <f>IFERROR((K171+M171+MATRIZ_174!O170)/3,0)</f>
        <v/>
      </c>
      <c r="U171" s="18">
        <f>IFERROR(MIN(100,ROUND(MATRIZ_174!M170,1)),0)</f>
        <v/>
      </c>
      <c r="V171" s="18">
        <f>IFERROR(IF(E171=0,50,E171),0)</f>
        <v/>
      </c>
      <c r="W171" s="18">
        <f>IFERROR(IF(MATRIZ_174!R170=0,65,IF(MATRIZ_174!R170/MATRIZ_174!Q170&gt;=2,35,IF(MATRIZ_174!R170/MATRIZ_174!Q170&gt;=0.5,50,65))),65)</f>
        <v/>
      </c>
      <c r="X171" s="18">
        <f>IF(MATRIZ_174!O170=0,70,30)</f>
        <v/>
      </c>
      <c r="Y171" s="18">
        <f>IF(OR(MATRIZ_174!P170="ASOCIACION",MATRIZ_174!P170="PENDIENTE"),65,40)</f>
        <v/>
      </c>
      <c r="Z171" s="19">
        <f>IFERROR(ROUND(AVERAGE(P171,Q171,R171,S171,T171),1),0)</f>
        <v/>
      </c>
      <c r="AA171" s="20">
        <f>IFERROR(ROUND(AVERAGE(U171,V171,W171,X171,Y171),1),0)</f>
        <v/>
      </c>
      <c r="AB171" s="21">
        <f>IFERROR(ROUND(AA171*(1-Z171/100),1),0)</f>
        <v/>
      </c>
      <c r="AC171" s="13">
        <f>IF(AND(Z171&gt;=50,AA171&lt;50),"🟢  Resilientes",IF(AND(Z171&gt;=50,AA171&gt;=50),"🟠  Expuestas Adaptables",IF(AND(Z171&lt;50,AA171&lt;50),"⬜  Riesgo Latente","🔴  Riesgo Crítico")))</f>
        <v/>
      </c>
      <c r="AD171" s="13">
        <f>IF(G171=0,"🚫  Inh. vigente OSCE","")</f>
        <v/>
      </c>
      <c r="AE171" s="22">
        <f>IFERROR(MATRIZ_174!W170,0)</f>
        <v/>
      </c>
      <c r="AF171" s="22">
        <f>IFERROR(MATRIZ_174!X170,0)</f>
        <v/>
      </c>
      <c r="AG171" s="22">
        <f>IFERROR(MATRIZ_174!Y170,0)</f>
        <v/>
      </c>
      <c r="AH171" s="22">
        <f>IFERROR(MATRIZ_174!Z170,0)</f>
        <v/>
      </c>
      <c r="AI171" s="17">
        <f>IFERROR(MATRIZ_174!AP170,"N/A")</f>
        <v/>
      </c>
      <c r="AJ171" s="17">
        <f>IFERROR(MATRIZ_174!AO170,"N/A")</f>
        <v/>
      </c>
      <c r="AK171" s="23">
        <f>IFERROR(ROUND(POWER((E171*F171*G171*H171*I171*J171*K171),1/7)*0.875+((L171+M171)/2)*0.125,1),"N/A")</f>
        <v/>
      </c>
      <c r="AL171" s="24">
        <f>IFERROR(IF(OR(AK171="N/A",AI171="N/A"),"N/A",ROUND(0.7*AK171+0.3*AI171*100,1)),"N/A")</f>
        <v/>
      </c>
    </row>
    <row r="172" ht="16.05" customHeight="1" s="37">
      <c r="A172" s="13" t="inlineStr">
        <is>
          <t>20609846314</t>
        </is>
      </c>
      <c r="B172" s="14" t="inlineStr">
        <is>
          <t>COOPERATIVA AGRARIA DE FAMILIAS CAMPESINAS EMPRENDEDORAS Y R</t>
        </is>
      </c>
      <c r="C172" s="13" t="inlineStr">
        <is>
          <t>SAN MARTIN</t>
        </is>
      </c>
      <c r="D172" s="15" t="n">
        <v>0</v>
      </c>
      <c r="E172" s="16" t="n">
        <v>0</v>
      </c>
      <c r="F172" s="17">
        <f>IFERROR(SCORECARDS!H171,"")</f>
        <v/>
      </c>
      <c r="G172" s="17">
        <f>IFERROR(MATRIZ_174!U171,0)</f>
        <v/>
      </c>
      <c r="H172" s="16" t="n">
        <v>0</v>
      </c>
      <c r="I172" s="17">
        <f>IFERROR(SCORECARDS!I171,"")</f>
        <v/>
      </c>
      <c r="J172" s="17">
        <f>IFERROR(SCORECARDS!J171,"")</f>
        <v/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7">
        <f>IFERROR(F172,0)</f>
        <v/>
      </c>
      <c r="Q172" s="17">
        <f>IFERROR(SQRT(G172*H172),0)</f>
        <v/>
      </c>
      <c r="R172" s="17">
        <f>IFERROR((I172+J172+L172)/3,0)</f>
        <v/>
      </c>
      <c r="S172" s="17">
        <f>IFERROR((J172+F172)/2,0)</f>
        <v/>
      </c>
      <c r="T172" s="17">
        <f>IFERROR((K172+M172+MATRIZ_174!O171)/3,0)</f>
        <v/>
      </c>
      <c r="U172" s="18">
        <f>IFERROR(MIN(100,ROUND(MATRIZ_174!M171,1)),0)</f>
        <v/>
      </c>
      <c r="V172" s="18">
        <f>IFERROR(IF(E172=0,50,E172),0)</f>
        <v/>
      </c>
      <c r="W172" s="18">
        <f>IFERROR(IF(MATRIZ_174!R171=0,65,IF(MATRIZ_174!R171/MATRIZ_174!Q171&gt;=2,35,IF(MATRIZ_174!R171/MATRIZ_174!Q171&gt;=0.5,50,65))),65)</f>
        <v/>
      </c>
      <c r="X172" s="18">
        <f>IF(MATRIZ_174!O171=0,70,30)</f>
        <v/>
      </c>
      <c r="Y172" s="18">
        <f>IF(OR(MATRIZ_174!P171="ASOCIACION",MATRIZ_174!P171="PENDIENTE"),65,40)</f>
        <v/>
      </c>
      <c r="Z172" s="19">
        <f>IFERROR(ROUND(AVERAGE(P172,Q172,R172,S172,T172),1),0)</f>
        <v/>
      </c>
      <c r="AA172" s="20">
        <f>IFERROR(ROUND(AVERAGE(U172,V172,W172,X172,Y172),1),0)</f>
        <v/>
      </c>
      <c r="AB172" s="21">
        <f>IFERROR(ROUND(AA172*(1-Z172/100),1),0)</f>
        <v/>
      </c>
      <c r="AC172" s="13">
        <f>IF(AND(Z172&gt;=50,AA172&lt;50),"🟢  Resilientes",IF(AND(Z172&gt;=50,AA172&gt;=50),"🟠  Expuestas Adaptables",IF(AND(Z172&lt;50,AA172&lt;50),"⬜  Riesgo Latente","🔴  Riesgo Crítico")))</f>
        <v/>
      </c>
      <c r="AD172" s="13">
        <f>IF(G172=0,"🚫  Inh. vigente OSCE","")</f>
        <v/>
      </c>
      <c r="AE172" s="22">
        <f>IFERROR(MATRIZ_174!W171,0)</f>
        <v/>
      </c>
      <c r="AF172" s="22">
        <f>IFERROR(MATRIZ_174!X171,0)</f>
        <v/>
      </c>
      <c r="AG172" s="22">
        <f>IFERROR(MATRIZ_174!Y171,0)</f>
        <v/>
      </c>
      <c r="AH172" s="22">
        <f>IFERROR(MATRIZ_174!Z171,0)</f>
        <v/>
      </c>
      <c r="AI172" s="17">
        <f>IFERROR(MATRIZ_174!AP171,"N/A")</f>
        <v/>
      </c>
      <c r="AJ172" s="17">
        <f>IFERROR(MATRIZ_174!AO171,"N/A")</f>
        <v/>
      </c>
      <c r="AK172" s="23">
        <f>IFERROR(ROUND(POWER((E172*F172*G172*H172*I172*J172*K172),1/7)*0.875+((L172+M172)/2)*0.125,1),"N/A")</f>
        <v/>
      </c>
      <c r="AL172" s="24">
        <f>IFERROR(IF(OR(AK172="N/A",AI172="N/A"),"N/A",ROUND(0.7*AK172+0.3*AI172*100,1)),"N/A")</f>
        <v/>
      </c>
    </row>
    <row r="173" ht="16.05" customHeight="1" s="37">
      <c r="A173" s="13" t="inlineStr">
        <is>
          <t>20610739491</t>
        </is>
      </c>
      <c r="B173" s="14" t="inlineStr">
        <is>
          <t>ASOCIACION DE PRODUCTORES AGROPECUARIOS DON ANDRES-AMAZONAS</t>
        </is>
      </c>
      <c r="C173" s="13" t="inlineStr">
        <is>
          <t>AMAZONAS</t>
        </is>
      </c>
      <c r="D173" s="15" t="n">
        <v>0</v>
      </c>
      <c r="E173" s="16" t="n">
        <v>0</v>
      </c>
      <c r="F173" s="17">
        <f>IFERROR(SCORECARDS!H172,"")</f>
        <v/>
      </c>
      <c r="G173" s="17">
        <f>IFERROR(MATRIZ_174!U172,0)</f>
        <v/>
      </c>
      <c r="H173" s="16" t="n">
        <v>0</v>
      </c>
      <c r="I173" s="17">
        <f>IFERROR(SCORECARDS!I172,"")</f>
        <v/>
      </c>
      <c r="J173" s="17">
        <f>IFERROR(SCORECARDS!J172,"")</f>
        <v/>
      </c>
      <c r="K173" s="16" t="n">
        <v>0</v>
      </c>
      <c r="L173" s="16" t="n">
        <v>0</v>
      </c>
      <c r="M173" s="16" t="n">
        <v>0</v>
      </c>
      <c r="N173" s="16" t="n">
        <v>0</v>
      </c>
      <c r="O173" s="16" t="n">
        <v>0</v>
      </c>
      <c r="P173" s="17">
        <f>IFERROR(F173,0)</f>
        <v/>
      </c>
      <c r="Q173" s="17">
        <f>IFERROR(SQRT(G173*H173),0)</f>
        <v/>
      </c>
      <c r="R173" s="17">
        <f>IFERROR((I173+J173+L173)/3,0)</f>
        <v/>
      </c>
      <c r="S173" s="17">
        <f>IFERROR((J173+F173)/2,0)</f>
        <v/>
      </c>
      <c r="T173" s="17">
        <f>IFERROR((K173+M173+MATRIZ_174!O172)/3,0)</f>
        <v/>
      </c>
      <c r="U173" s="18">
        <f>IFERROR(MIN(100,ROUND(MATRIZ_174!M172,1)),0)</f>
        <v/>
      </c>
      <c r="V173" s="18">
        <f>IFERROR(IF(E173=0,50,E173),0)</f>
        <v/>
      </c>
      <c r="W173" s="18">
        <f>IFERROR(IF(MATRIZ_174!R172=0,65,IF(MATRIZ_174!R172/MATRIZ_174!Q172&gt;=2,35,IF(MATRIZ_174!R172/MATRIZ_174!Q172&gt;=0.5,50,65))),65)</f>
        <v/>
      </c>
      <c r="X173" s="18">
        <f>IF(MATRIZ_174!O172=0,70,30)</f>
        <v/>
      </c>
      <c r="Y173" s="18">
        <f>IF(OR(MATRIZ_174!P172="ASOCIACION",MATRIZ_174!P172="PENDIENTE"),65,40)</f>
        <v/>
      </c>
      <c r="Z173" s="19">
        <f>IFERROR(ROUND(AVERAGE(P173,Q173,R173,S173,T173),1),0)</f>
        <v/>
      </c>
      <c r="AA173" s="20">
        <f>IFERROR(ROUND(AVERAGE(U173,V173,W173,X173,Y173),1),0)</f>
        <v/>
      </c>
      <c r="AB173" s="21">
        <f>IFERROR(ROUND(AA173*(1-Z173/100),1),0)</f>
        <v/>
      </c>
      <c r="AC173" s="13">
        <f>IF(AND(Z173&gt;=50,AA173&lt;50),"🟢  Resilientes",IF(AND(Z173&gt;=50,AA173&gt;=50),"🟠  Expuestas Adaptables",IF(AND(Z173&lt;50,AA173&lt;50),"⬜  Riesgo Latente","🔴  Riesgo Crítico")))</f>
        <v/>
      </c>
      <c r="AD173" s="13">
        <f>IF(G173=0,"🚫  Inh. vigente OSCE","")</f>
        <v/>
      </c>
      <c r="AE173" s="22">
        <f>IFERROR(MATRIZ_174!W172,0)</f>
        <v/>
      </c>
      <c r="AF173" s="22">
        <f>IFERROR(MATRIZ_174!X172,0)</f>
        <v/>
      </c>
      <c r="AG173" s="22">
        <f>IFERROR(MATRIZ_174!Y172,0)</f>
        <v/>
      </c>
      <c r="AH173" s="22">
        <f>IFERROR(MATRIZ_174!Z172,0)</f>
        <v/>
      </c>
      <c r="AI173" s="17">
        <f>IFERROR(MATRIZ_174!AP172,"N/A")</f>
        <v/>
      </c>
      <c r="AJ173" s="17">
        <f>IFERROR(MATRIZ_174!AO172,"N/A")</f>
        <v/>
      </c>
      <c r="AK173" s="23">
        <f>IFERROR(ROUND(POWER((E173*F173*G173*H173*I173*J173*K173),1/7)*0.875+((L173+M173)/2)*0.125,1),"N/A")</f>
        <v/>
      </c>
      <c r="AL173" s="24">
        <f>IFERROR(IF(OR(AK173="N/A",AI173="N/A"),"N/A",ROUND(0.7*AK173+0.3*AI173*100,1)),"N/A")</f>
        <v/>
      </c>
    </row>
    <row r="174" ht="16.05" customHeight="1" s="37">
      <c r="A174" s="13" t="inlineStr">
        <is>
          <t>20610772553</t>
        </is>
      </c>
      <c r="B174" s="14" t="inlineStr">
        <is>
          <t>ASOCIACION DE MUJERES CAFICULTORAS DE CHINYAMA</t>
        </is>
      </c>
      <c r="C174" s="13" t="inlineStr">
        <is>
          <t>LAMBAYEQUE</t>
        </is>
      </c>
      <c r="D174" s="15" t="n">
        <v>0</v>
      </c>
      <c r="E174" s="16" t="n">
        <v>0</v>
      </c>
      <c r="F174" s="17">
        <f>IFERROR(SCORECARDS!H173,"")</f>
        <v/>
      </c>
      <c r="G174" s="17">
        <f>IFERROR(MATRIZ_174!U173,0)</f>
        <v/>
      </c>
      <c r="H174" s="16" t="n">
        <v>0</v>
      </c>
      <c r="I174" s="17">
        <f>IFERROR(SCORECARDS!I173,"")</f>
        <v/>
      </c>
      <c r="J174" s="17">
        <f>IFERROR(SCORECARDS!J173,"")</f>
        <v/>
      </c>
      <c r="K174" s="16" t="n">
        <v>0</v>
      </c>
      <c r="L174" s="16" t="n">
        <v>0</v>
      </c>
      <c r="M174" s="16" t="n">
        <v>0</v>
      </c>
      <c r="N174" s="16" t="n">
        <v>0</v>
      </c>
      <c r="O174" s="16" t="n">
        <v>0</v>
      </c>
      <c r="P174" s="17">
        <f>IFERROR(F174,0)</f>
        <v/>
      </c>
      <c r="Q174" s="17">
        <f>IFERROR(SQRT(G174*H174),0)</f>
        <v/>
      </c>
      <c r="R174" s="17">
        <f>IFERROR((I174+J174+L174)/3,0)</f>
        <v/>
      </c>
      <c r="S174" s="17">
        <f>IFERROR((J174+F174)/2,0)</f>
        <v/>
      </c>
      <c r="T174" s="17">
        <f>IFERROR((K174+M174+MATRIZ_174!O173)/3,0)</f>
        <v/>
      </c>
      <c r="U174" s="18">
        <f>IFERROR(MIN(100,ROUND(MATRIZ_174!M173,1)),0)</f>
        <v/>
      </c>
      <c r="V174" s="18">
        <f>IFERROR(IF(E174=0,50,E174),0)</f>
        <v/>
      </c>
      <c r="W174" s="18">
        <f>IFERROR(IF(MATRIZ_174!R173=0,65,IF(MATRIZ_174!R173/MATRIZ_174!Q173&gt;=2,35,IF(MATRIZ_174!R173/MATRIZ_174!Q173&gt;=0.5,50,65))),65)</f>
        <v/>
      </c>
      <c r="X174" s="18">
        <f>IF(MATRIZ_174!O173=0,70,30)</f>
        <v/>
      </c>
      <c r="Y174" s="18">
        <f>IF(OR(MATRIZ_174!P173="ASOCIACION",MATRIZ_174!P173="PENDIENTE"),65,40)</f>
        <v/>
      </c>
      <c r="Z174" s="19">
        <f>IFERROR(ROUND(AVERAGE(P174,Q174,R174,S174,T174),1),0)</f>
        <v/>
      </c>
      <c r="AA174" s="20">
        <f>IFERROR(ROUND(AVERAGE(U174,V174,W174,X174,Y174),1),0)</f>
        <v/>
      </c>
      <c r="AB174" s="21">
        <f>IFERROR(ROUND(AA174*(1-Z174/100),1),0)</f>
        <v/>
      </c>
      <c r="AC174" s="13">
        <f>IF(AND(Z174&gt;=50,AA174&lt;50),"🟢  Resilientes",IF(AND(Z174&gt;=50,AA174&gt;=50),"🟠  Expuestas Adaptables",IF(AND(Z174&lt;50,AA174&lt;50),"⬜  Riesgo Latente","🔴  Riesgo Crítico")))</f>
        <v/>
      </c>
      <c r="AD174" s="13">
        <f>IF(G174=0,"🚫  Inh. vigente OSCE","")</f>
        <v/>
      </c>
      <c r="AE174" s="22">
        <f>IFERROR(MATRIZ_174!W173,0)</f>
        <v/>
      </c>
      <c r="AF174" s="22">
        <f>IFERROR(MATRIZ_174!X173,0)</f>
        <v/>
      </c>
      <c r="AG174" s="22">
        <f>IFERROR(MATRIZ_174!Y173,0)</f>
        <v/>
      </c>
      <c r="AH174" s="22">
        <f>IFERROR(MATRIZ_174!Z173,0)</f>
        <v/>
      </c>
      <c r="AI174" s="17">
        <f>IFERROR(MATRIZ_174!AP173,"N/A")</f>
        <v/>
      </c>
      <c r="AJ174" s="17">
        <f>IFERROR(MATRIZ_174!AO173,"N/A")</f>
        <v/>
      </c>
      <c r="AK174" s="23">
        <f>IFERROR(ROUND(POWER((E174*F174*G174*H174*I174*J174*K174),1/7)*0.875+((L174+M174)/2)*0.125,1),"N/A")</f>
        <v/>
      </c>
      <c r="AL174" s="24">
        <f>IFERROR(IF(OR(AK174="N/A",AI174="N/A"),"N/A",ROUND(0.7*AK174+0.3*AI174*100,1)),"N/A")</f>
        <v/>
      </c>
    </row>
    <row r="175" ht="16.05" customHeight="1" s="37">
      <c r="A175" s="13" t="inlineStr">
        <is>
          <t>20611316616</t>
        </is>
      </c>
      <c r="B175" s="14" t="inlineStr">
        <is>
          <t>nan</t>
        </is>
      </c>
      <c r="C175" s="13" t="inlineStr">
        <is>
          <t>nan</t>
        </is>
      </c>
      <c r="D175" s="15" t="n">
        <v>0</v>
      </c>
      <c r="E175" s="16" t="n">
        <v>0</v>
      </c>
      <c r="F175" s="17">
        <f>IFERROR(SCORECARDS!H174,"")</f>
        <v/>
      </c>
      <c r="G175" s="17">
        <f>IFERROR(MATRIZ_174!U174,0)</f>
        <v/>
      </c>
      <c r="H175" s="16" t="n">
        <v>0</v>
      </c>
      <c r="I175" s="17">
        <f>IFERROR(SCORECARDS!I174,"")</f>
        <v/>
      </c>
      <c r="J175" s="17">
        <f>IFERROR(SCORECARDS!J174,"")</f>
        <v/>
      </c>
      <c r="K175" s="16" t="n">
        <v>0</v>
      </c>
      <c r="L175" s="16" t="n">
        <v>0</v>
      </c>
      <c r="M175" s="16" t="n">
        <v>0</v>
      </c>
      <c r="N175" s="16" t="n">
        <v>0</v>
      </c>
      <c r="O175" s="16" t="n">
        <v>0</v>
      </c>
      <c r="P175" s="17">
        <f>IFERROR(F175,0)</f>
        <v/>
      </c>
      <c r="Q175" s="17">
        <f>IFERROR(SQRT(G175*H175),0)</f>
        <v/>
      </c>
      <c r="R175" s="17">
        <f>IFERROR((I175+J175+L175)/3,0)</f>
        <v/>
      </c>
      <c r="S175" s="17">
        <f>IFERROR((J175+F175)/2,0)</f>
        <v/>
      </c>
      <c r="T175" s="17">
        <f>IFERROR((K175+M175+MATRIZ_174!O174)/3,0)</f>
        <v/>
      </c>
      <c r="U175" s="18">
        <f>IFERROR(MIN(100,ROUND(MATRIZ_174!M174,1)),0)</f>
        <v/>
      </c>
      <c r="V175" s="18">
        <f>IFERROR(IF(E175=0,50,E175),0)</f>
        <v/>
      </c>
      <c r="W175" s="18">
        <f>IFERROR(IF(MATRIZ_174!R174=0,65,IF(MATRIZ_174!R174/MATRIZ_174!Q174&gt;=2,35,IF(MATRIZ_174!R174/MATRIZ_174!Q174&gt;=0.5,50,65))),65)</f>
        <v/>
      </c>
      <c r="X175" s="18">
        <f>IF(MATRIZ_174!O174=0,70,30)</f>
        <v/>
      </c>
      <c r="Y175" s="18">
        <f>IF(OR(MATRIZ_174!P174="ASOCIACION",MATRIZ_174!P174="PENDIENTE"),65,40)</f>
        <v/>
      </c>
      <c r="Z175" s="19">
        <f>IFERROR(ROUND(AVERAGE(P175,Q175,R175,S175,T175),1),0)</f>
        <v/>
      </c>
      <c r="AA175" s="20">
        <f>IFERROR(ROUND(AVERAGE(U175,V175,W175,X175,Y175),1),0)</f>
        <v/>
      </c>
      <c r="AB175" s="21">
        <f>IFERROR(ROUND(AA175*(1-Z175/100),1),0)</f>
        <v/>
      </c>
      <c r="AC175" s="13">
        <f>IF(AND(Z175&gt;=50,AA175&lt;50),"🟢  Resilientes",IF(AND(Z175&gt;=50,AA175&gt;=50),"🟠  Expuestas Adaptables",IF(AND(Z175&lt;50,AA175&lt;50),"⬜  Riesgo Latente","🔴  Riesgo Crítico")))</f>
        <v/>
      </c>
      <c r="AD175" s="13">
        <f>IF(G175=0,"🚫  Inh. vigente OSCE","")</f>
        <v/>
      </c>
      <c r="AE175" s="22">
        <f>IFERROR(MATRIZ_174!W174,0)</f>
        <v/>
      </c>
      <c r="AF175" s="22">
        <f>IFERROR(MATRIZ_174!X174,0)</f>
        <v/>
      </c>
      <c r="AG175" s="22">
        <f>IFERROR(MATRIZ_174!Y174,0)</f>
        <v/>
      </c>
      <c r="AH175" s="22">
        <f>IFERROR(MATRIZ_174!Z174,0)</f>
        <v/>
      </c>
      <c r="AI175" s="17">
        <f>IFERROR(MATRIZ_174!AP174,"N/A")</f>
        <v/>
      </c>
      <c r="AJ175" s="17">
        <f>IFERROR(MATRIZ_174!AO174,"N/A")</f>
        <v/>
      </c>
      <c r="AK175" s="23">
        <f>IFERROR(ROUND(POWER((E175*F175*G175*H175*I175*J175*K175),1/7)*0.875+((L175+M175)/2)*0.125,1),"N/A")</f>
        <v/>
      </c>
      <c r="AL175" s="24">
        <f>IFERROR(IF(OR(AK175="N/A",AI175="N/A"),"N/A",ROUND(0.7*AK175+0.3*AI175*100,1)),"N/A")</f>
        <v/>
      </c>
    </row>
    <row r="176" ht="16.05" customHeight="1" s="37">
      <c r="A176" s="13" t="inlineStr">
        <is>
          <t>20611935243</t>
        </is>
      </c>
      <c r="B176" s="14" t="inlineStr">
        <is>
          <t>COOPERATIVA AGRARIA ECOLOGICA CANIARI AMAZONICA CAECAM</t>
        </is>
      </c>
      <c r="C176" s="13" t="inlineStr">
        <is>
          <t>UCAYALI</t>
        </is>
      </c>
      <c r="D176" s="15" t="n">
        <v>3861667.52</v>
      </c>
      <c r="E176" s="16" t="n">
        <v>0</v>
      </c>
      <c r="F176" s="17">
        <f>IFERROR(SCORECARDS!H175,"")</f>
        <v/>
      </c>
      <c r="G176" s="17">
        <f>IFERROR(MATRIZ_174!U175,0)</f>
        <v/>
      </c>
      <c r="H176" s="16" t="n">
        <v>0</v>
      </c>
      <c r="I176" s="17">
        <f>IFERROR(SCORECARDS!I175,"")</f>
        <v/>
      </c>
      <c r="J176" s="17">
        <f>IFERROR(SCORECARDS!J175,"")</f>
        <v/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7">
        <f>IFERROR(F176,0)</f>
        <v/>
      </c>
      <c r="Q176" s="17">
        <f>IFERROR(SQRT(G176*H176),0)</f>
        <v/>
      </c>
      <c r="R176" s="17">
        <f>IFERROR((I176+J176+L176)/3,0)</f>
        <v/>
      </c>
      <c r="S176" s="17">
        <f>IFERROR((J176+F176)/2,0)</f>
        <v/>
      </c>
      <c r="T176" s="17">
        <f>IFERROR((K176+M176+MATRIZ_174!O175)/3,0)</f>
        <v/>
      </c>
      <c r="U176" s="18">
        <f>IFERROR(MIN(100,ROUND(MATRIZ_174!M175,1)),0)</f>
        <v/>
      </c>
      <c r="V176" s="18">
        <f>IFERROR(IF(E176=0,50,E176),0)</f>
        <v/>
      </c>
      <c r="W176" s="18">
        <f>IFERROR(IF(MATRIZ_174!R175=0,65,IF(MATRIZ_174!R175/MATRIZ_174!Q175&gt;=2,35,IF(MATRIZ_174!R175/MATRIZ_174!Q175&gt;=0.5,50,65))),65)</f>
        <v/>
      </c>
      <c r="X176" s="18">
        <f>IF(MATRIZ_174!O175=0,70,30)</f>
        <v/>
      </c>
      <c r="Y176" s="18">
        <f>IF(OR(MATRIZ_174!P175="ASOCIACION",MATRIZ_174!P175="PENDIENTE"),65,40)</f>
        <v/>
      </c>
      <c r="Z176" s="19">
        <f>IFERROR(ROUND(AVERAGE(P176,Q176,R176,S176,T176),1),0)</f>
        <v/>
      </c>
      <c r="AA176" s="20">
        <f>IFERROR(ROUND(AVERAGE(U176,V176,W176,X176,Y176),1),0)</f>
        <v/>
      </c>
      <c r="AB176" s="21">
        <f>IFERROR(ROUND(AA176*(1-Z176/100),1),0)</f>
        <v/>
      </c>
      <c r="AC176" s="13">
        <f>IF(AND(Z176&gt;=50,AA176&lt;50),"🟢  Resilientes",IF(AND(Z176&gt;=50,AA176&gt;=50),"🟠  Expuestas Adaptables",IF(AND(Z176&lt;50,AA176&lt;50),"⬜  Riesgo Latente","🔴  Riesgo Crítico")))</f>
        <v/>
      </c>
      <c r="AD176" s="13">
        <f>IF(G176=0,"🚫  Inh. vigente OSCE","")</f>
        <v/>
      </c>
      <c r="AE176" s="22">
        <f>IFERROR(MATRIZ_174!W175,0)</f>
        <v/>
      </c>
      <c r="AF176" s="22">
        <f>IFERROR(MATRIZ_174!X175,0)</f>
        <v/>
      </c>
      <c r="AG176" s="22">
        <f>IFERROR(MATRIZ_174!Y175,0)</f>
        <v/>
      </c>
      <c r="AH176" s="22">
        <f>IFERROR(MATRIZ_174!Z175,0)</f>
        <v/>
      </c>
      <c r="AI176" s="17">
        <f>IFERROR(MATRIZ_174!AP175,"N/A")</f>
        <v/>
      </c>
      <c r="AJ176" s="17">
        <f>IFERROR(MATRIZ_174!AO175,"N/A")</f>
        <v/>
      </c>
      <c r="AK176" s="23">
        <f>IFERROR(ROUND(POWER((E176*F176*G176*H176*I176*J176*K176),1/7)*0.875+((L176+M176)/2)*0.125,1),"N/A")</f>
        <v/>
      </c>
      <c r="AL176" s="24">
        <f>IFERROR(IF(OR(AK176="N/A",AI176="N/A"),"N/A",ROUND(0.7*AK176+0.3*AI176*100,1)),"N/A")</f>
        <v/>
      </c>
    </row>
    <row r="177" ht="16.05" customHeight="1" s="37">
      <c r="A177" s="13" t="inlineStr">
        <is>
          <t>20612331821</t>
        </is>
      </c>
      <c r="B177" s="14" t="inlineStr">
        <is>
          <t>ASOCIACIÓN DE MUJERES LAS FLORES DE LUYA</t>
        </is>
      </c>
      <c r="C177" s="13" t="inlineStr">
        <is>
          <t>AMAZONAS</t>
        </is>
      </c>
      <c r="D177" s="15" t="n">
        <v>0</v>
      </c>
      <c r="E177" s="16" t="n">
        <v>0</v>
      </c>
      <c r="F177" s="17">
        <f>IFERROR(SCORECARDS!H176,"")</f>
        <v/>
      </c>
      <c r="G177" s="17">
        <f>IFERROR(MATRIZ_174!U176,0)</f>
        <v/>
      </c>
      <c r="H177" s="16" t="n">
        <v>0</v>
      </c>
      <c r="I177" s="17">
        <f>IFERROR(SCORECARDS!I176,"")</f>
        <v/>
      </c>
      <c r="J177" s="17">
        <f>IFERROR(SCORECARDS!J176,"")</f>
        <v/>
      </c>
      <c r="K177" s="16" t="n">
        <v>0</v>
      </c>
      <c r="L177" s="16" t="n">
        <v>0</v>
      </c>
      <c r="M177" s="16" t="n">
        <v>0</v>
      </c>
      <c r="N177" s="16" t="n">
        <v>0</v>
      </c>
      <c r="O177" s="16" t="n">
        <v>0</v>
      </c>
      <c r="P177" s="17">
        <f>IFERROR(F177,0)</f>
        <v/>
      </c>
      <c r="Q177" s="17">
        <f>IFERROR(SQRT(G177*H177),0)</f>
        <v/>
      </c>
      <c r="R177" s="17">
        <f>IFERROR((I177+J177+L177)/3,0)</f>
        <v/>
      </c>
      <c r="S177" s="17">
        <f>IFERROR((J177+F177)/2,0)</f>
        <v/>
      </c>
      <c r="T177" s="17">
        <f>IFERROR((K177+M177+MATRIZ_174!O176)/3,0)</f>
        <v/>
      </c>
      <c r="U177" s="18">
        <f>IFERROR(MIN(100,ROUND(MATRIZ_174!M176,1)),0)</f>
        <v/>
      </c>
      <c r="V177" s="18">
        <f>IFERROR(IF(E177=0,50,E177),0)</f>
        <v/>
      </c>
      <c r="W177" s="18">
        <f>IFERROR(IF(MATRIZ_174!R176=0,65,IF(MATRIZ_174!R176/MATRIZ_174!Q176&gt;=2,35,IF(MATRIZ_174!R176/MATRIZ_174!Q176&gt;=0.5,50,65))),65)</f>
        <v/>
      </c>
      <c r="X177" s="18">
        <f>IF(MATRIZ_174!O176=0,70,30)</f>
        <v/>
      </c>
      <c r="Y177" s="18">
        <f>IF(OR(MATRIZ_174!P176="ASOCIACION",MATRIZ_174!P176="PENDIENTE"),65,40)</f>
        <v/>
      </c>
      <c r="Z177" s="19">
        <f>IFERROR(ROUND(AVERAGE(P177,Q177,R177,S177,T177),1),0)</f>
        <v/>
      </c>
      <c r="AA177" s="20">
        <f>IFERROR(ROUND(AVERAGE(U177,V177,W177,X177,Y177),1),0)</f>
        <v/>
      </c>
      <c r="AB177" s="21">
        <f>IFERROR(ROUND(AA177*(1-Z177/100),1),0)</f>
        <v/>
      </c>
      <c r="AC177" s="13">
        <f>IF(AND(Z177&gt;=50,AA177&lt;50),"🟢  Resilientes",IF(AND(Z177&gt;=50,AA177&gt;=50),"🟠  Expuestas Adaptables",IF(AND(Z177&lt;50,AA177&lt;50),"⬜  Riesgo Latente","🔴  Riesgo Crítico")))</f>
        <v/>
      </c>
      <c r="AD177" s="13">
        <f>IF(G177=0,"🚫  Inh. vigente OSCE","")</f>
        <v/>
      </c>
      <c r="AE177" s="22">
        <f>IFERROR(MATRIZ_174!W176,0)</f>
        <v/>
      </c>
      <c r="AF177" s="22">
        <f>IFERROR(MATRIZ_174!X176,0)</f>
        <v/>
      </c>
      <c r="AG177" s="22">
        <f>IFERROR(MATRIZ_174!Y176,0)</f>
        <v/>
      </c>
      <c r="AH177" s="22">
        <f>IFERROR(MATRIZ_174!Z176,0)</f>
        <v/>
      </c>
      <c r="AI177" s="17">
        <f>IFERROR(MATRIZ_174!AP176,"N/A")</f>
        <v/>
      </c>
      <c r="AJ177" s="17">
        <f>IFERROR(MATRIZ_174!AO176,"N/A")</f>
        <v/>
      </c>
      <c r="AK177" s="23">
        <f>IFERROR(ROUND(POWER((E177*F177*G177*H177*I177*J177*K177),1/7)*0.875+((L177+M177)/2)*0.125,1),"N/A")</f>
        <v/>
      </c>
      <c r="AL177" s="24">
        <f>IFERROR(IF(OR(AK177="N/A",AI177="N/A"),"N/A",ROUND(0.7*AK177+0.3*AI177*100,1)),"N/A")</f>
        <v/>
      </c>
    </row>
    <row r="178" ht="22.05" customHeight="1" s="37">
      <c r="A178" s="39" t="inlineStr">
        <is>
          <t>PROMEDIO MUESTRAL</t>
        </is>
      </c>
      <c r="B178" s="40" t="n"/>
      <c r="C178" s="40" t="n"/>
      <c r="D178" s="41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26">
        <f>IFERROR(AVERAGE(Z4:Z177),"—")</f>
        <v/>
      </c>
      <c r="AA178" s="26">
        <f>IFERROR(AVERAGE(AA4:AA177),"—")</f>
        <v/>
      </c>
      <c r="AB178" s="26">
        <f>IFERROR(AVERAGE(AB4:AB177),"—")</f>
        <v/>
      </c>
      <c r="AC178" s="39" t="inlineStr">
        <is>
          <t>n = 174 organizaciones</t>
        </is>
      </c>
      <c r="AD178" s="39" t="n"/>
      <c r="AE178" s="39" t="n"/>
      <c r="AF178" s="39" t="n"/>
      <c r="AG178" s="39" t="n"/>
      <c r="AH178" s="39" t="n"/>
      <c r="AI178" s="39" t="n"/>
      <c r="AJ178" s="39" t="n"/>
      <c r="AK178" s="39" t="n"/>
      <c r="AL178" s="26">
        <f>IFERROR(AVERAGE(AL4:AL177),"—")</f>
        <v/>
      </c>
    </row>
    <row r="180" ht="30" customHeight="1" s="37">
      <c r="A180" s="42" t="inlineStr">
        <is>
          <t>METODOLOGÍA ISCAM  |  ISA-EUDR = 0.875×(D1×D2×...×D7)^(1/7) + 0.125×(D8+D9)/2  |  ISA-PV = Promedio(D12:D15)  |  ISA-Completo = 0.70×ISA-EUDR + 0.30×ISA-PV  |  IP = Promedio(IP1..IP5): IP1=D2, IP2=√(D3×D4), IP3=(D5+D6+D8)/3, IP4=(D6+D2)/2, IP5=(D7+D9+Cert)/3  |  IV = Promedio(IV1..IV5): IV1=ISA-PV×50, IV2=D1(base=50), IV3=ha&gt;0?→65:35, IV4=cert=0?→70:30, IV5=tipo Asoc?→65:40  |  RE = IV×(1−IP/100)  |  Corte 2×2: 50  |  █ GRIS=pendiente Inst.2  █ AZUL=Datos llenos  █ NARANJA=IV  █ ROJO=RE  █ VERDE=Ambiental  █ OSCURO=ISA</t>
        </is>
      </c>
    </row>
  </sheetData>
  <mergeCells count="4">
    <mergeCell ref="A1:AL1"/>
    <mergeCell ref="A178:D178"/>
    <mergeCell ref="A180:AL180"/>
    <mergeCell ref="A2:A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3" sqref="A3"/>
    </sheetView>
  </sheetViews>
  <sheetFormatPr baseColWidth="10" defaultColWidth="8.88671875" defaultRowHeight="14.4"/>
  <cols>
    <col width="12" customWidth="1" style="37" min="1" max="1"/>
    <col width="24" customWidth="1" style="37" min="2" max="2"/>
    <col width="48" customWidth="1" style="37" min="3" max="3"/>
    <col width="16" customWidth="1" style="37" min="4" max="4"/>
  </cols>
  <sheetData>
    <row r="1" ht="28.05" customHeight="1" s="37">
      <c r="A1" t="inlineStr">
        <is>
          <t>BLOQUE DE SUPUESTOS — PONDERACIONES DEL ÍNDICE PVE</t>
        </is>
      </c>
    </row>
    <row r="2">
      <c r="A2" t="inlineStr">
        <is>
          <t>LEYENDA DE COLORES</t>
        </is>
      </c>
    </row>
    <row r="3">
      <c r="A3" t="inlineStr">
        <is>
          <t>🔵 Azul</t>
        </is>
      </c>
      <c r="B3" t="inlineStr">
        <is>
          <t>Input hardcoded — valor primario, editable</t>
        </is>
      </c>
    </row>
    <row r="4">
      <c r="A4" t="inlineStr">
        <is>
          <t>⚫ Negro</t>
        </is>
      </c>
      <c r="B4" t="inlineStr">
        <is>
          <t>Fórmula calculada — no editar manualmente</t>
        </is>
      </c>
    </row>
    <row r="5">
      <c r="A5" t="inlineStr">
        <is>
          <t>🟡 Amarillo</t>
        </is>
      </c>
      <c r="B5" t="inlineStr">
        <is>
          <t>Input editable — cambiar ponderación aquí</t>
        </is>
      </c>
    </row>
    <row r="6">
      <c r="A6" t="inlineStr">
        <is>
          <t>🟢 Verde</t>
        </is>
      </c>
      <c r="B6" t="inlineStr">
        <is>
          <t>Resultado positivo (cumple)</t>
        </is>
      </c>
    </row>
    <row r="7">
      <c r="A7" t="inlineStr">
        <is>
          <t>🔴 Rojo</t>
        </is>
      </c>
      <c r="B7" t="inlineStr">
        <is>
          <t>Resultado negativo (no cumple)</t>
        </is>
      </c>
    </row>
    <row r="8">
      <c r="A8" t="inlineStr">
        <is>
          <t>⬜ Gris</t>
        </is>
      </c>
      <c r="B8" t="inlineStr">
        <is>
          <t>Dato pendiente de capturar</t>
        </is>
      </c>
    </row>
    <row r="10">
      <c r="A10" t="inlineStr">
        <is>
          <t>PONDERACIONES — MODIFICAR SOLO LAS CELDAS AMARILLAS</t>
        </is>
      </c>
    </row>
    <row r="11">
      <c r="A11" t="inlineStr">
        <is>
          <t>Componente</t>
        </is>
      </c>
      <c r="B11" t="inlineStr">
        <is>
          <t>Dimensión EUDR</t>
        </is>
      </c>
      <c r="C11" t="inlineStr">
        <is>
          <t>Variable</t>
        </is>
      </c>
      <c r="D11" t="inlineStr">
        <is>
          <t>Ponderación (%)</t>
        </is>
      </c>
    </row>
    <row r="12" ht="18" customHeight="1" s="37">
      <c r="A12" t="inlineStr">
        <is>
          <t>EXP_UE</t>
        </is>
      </c>
      <c r="B12" t="inlineStr">
        <is>
          <t>D7 / Exposición UE</t>
        </is>
      </c>
      <c r="C12" t="inlineStr">
        <is>
          <t>% FOB exportado a UE sobre FOB total</t>
        </is>
      </c>
      <c r="D12" t="n">
        <v>25</v>
      </c>
    </row>
    <row r="13" ht="18" customHeight="1" s="37">
      <c r="A13" t="inlineStr">
        <is>
          <t>TRAZA</t>
        </is>
      </c>
      <c r="B13" t="inlineStr">
        <is>
          <t>D2 / Trazabilidad</t>
        </is>
      </c>
      <c r="C13" t="inlineStr">
        <is>
          <t>¿Existe vínculo lote → parcela con coords?</t>
        </is>
      </c>
      <c r="D13" t="n">
        <v>20</v>
      </c>
    </row>
    <row r="14" ht="18" customHeight="1" s="37">
      <c r="A14" t="inlineStr">
        <is>
          <t>DILIG</t>
        </is>
      </c>
      <c r="B14" t="inlineStr">
        <is>
          <t>D5 / Debida diligencia</t>
        </is>
      </c>
      <c r="C14" t="inlineStr">
        <is>
          <t>¿Existe proceso de evaluación de riesgo?</t>
        </is>
      </c>
      <c r="D14" t="n">
        <v>15</v>
      </c>
    </row>
    <row r="15" ht="18" customHeight="1" s="37">
      <c r="A15" t="inlineStr">
        <is>
          <t>CAPAC</t>
        </is>
      </c>
      <c r="B15" t="inlineStr">
        <is>
          <t>D6 / Capacidad digital</t>
        </is>
      </c>
      <c r="C15" t="inlineStr">
        <is>
          <t>¿Tiene personal dedicado a datos?</t>
        </is>
      </c>
      <c r="D15" t="n">
        <v>10</v>
      </c>
    </row>
    <row r="16" ht="18" customHeight="1" s="37">
      <c r="A16" t="inlineStr">
        <is>
          <t>PRESION</t>
        </is>
      </c>
      <c r="B16" t="inlineStr">
        <is>
          <t>D7 / Presión comprador</t>
        </is>
      </c>
      <c r="C16" t="inlineStr">
        <is>
          <t>¿Comprador UE exige EUDR?</t>
        </is>
      </c>
      <c r="D16" t="n">
        <v>15</v>
      </c>
    </row>
    <row r="17" ht="18" customHeight="1" s="37">
      <c r="A17" t="inlineStr">
        <is>
          <t>CERTIF</t>
        </is>
      </c>
      <c r="B17" t="inlineStr">
        <is>
          <t>D8 / Certificaciones (variable Cert — NO confundir con D8 Gobernanza de ISCAM_Score)</t>
        </is>
      </c>
      <c r="C17" t="inlineStr">
        <is>
          <t>Score de certificaciones vigentes (Org + Ftrade)</t>
        </is>
      </c>
      <c r="D17" t="n">
        <v>10</v>
      </c>
    </row>
    <row r="18" ht="18" customHeight="1" s="37">
      <c r="A18" t="inlineStr">
        <is>
          <t>PPWR</t>
        </is>
      </c>
      <c r="B18" t="inlineStr">
        <is>
          <t>D14 / Envases PPWR — NO confundir con D14 Economía Circular de ISCAM_Score</t>
        </is>
      </c>
      <c r="C18" t="inlineStr">
        <is>
          <t>¿Usa sacos reutilizables o certificados?</t>
        </is>
      </c>
      <c r="D18" t="n">
        <v>5</v>
      </c>
    </row>
    <row r="19" ht="19.95" customHeight="1" s="37">
      <c r="A19" t="inlineStr">
        <is>
          <t>TOTAL</t>
        </is>
      </c>
      <c r="D19">
        <f>SUM(D12:D18)</f>
        <v/>
      </c>
    </row>
    <row r="21">
      <c r="A21" t="inlineStr">
        <is>
          <t>⚠  El TOTAL debe sumar 100. Si lo ajustas, el Índice PVE en SCORECARDS se recalcula automáticamente.</t>
        </is>
      </c>
    </row>
    <row r="23">
      <c r="A23" s="44" t="inlineStr">
        <is>
          <t>VERSION ISCAM (2026-10-12) — Pesos mostrados para transparencia (fijos, no editables)</t>
        </is>
      </c>
    </row>
    <row r="24">
      <c r="A24" s="45" t="inlineStr">
        <is>
          <t>ISA-EUDR e ISA-PV usan pesos FIJOS (87.5%/12.5% y 70%/30%). IP/IV pesan 20% cada sub-dim.</t>
        </is>
      </c>
    </row>
    <row r="25">
      <c r="A25" s="27" t="inlineStr">
        <is>
          <t>SUBDIM</t>
        </is>
      </c>
      <c r="B25" s="27" t="inlineStr">
        <is>
          <t>FÓRMULA</t>
        </is>
      </c>
      <c r="C25" s="27" t="inlineStr">
        <is>
          <t>PESO</t>
        </is>
      </c>
    </row>
    <row r="26">
      <c r="A26" s="28" t="inlineStr">
        <is>
          <t>ISA-EUDR</t>
        </is>
      </c>
      <c r="B26" s="29" t="inlineStr">
        <is>
          <t>Geom(D1:D7)^(1/7)×0.875 + ((D8+D9)/2)×0.125 — ver ISCAM_Score!AK</t>
        </is>
      </c>
      <c r="C26" s="27" t="inlineStr">
        <is>
          <t>100%</t>
        </is>
      </c>
    </row>
    <row r="27">
      <c r="A27" s="14" t="n"/>
      <c r="B27" s="14" t="n"/>
      <c r="C27" s="13" t="n"/>
    </row>
    <row r="28" ht="28.8" customHeight="1" s="37">
      <c r="A28" s="28" t="inlineStr">
        <is>
          <t>ISA-PactoVerde</t>
        </is>
      </c>
      <c r="B28" s="29" t="inlineStr">
        <is>
          <t>AVG(D12:D15) — ver ISCAM_Score!AI y MATRIZ_174!AP</t>
        </is>
      </c>
      <c r="C28" s="27" t="inlineStr">
        <is>
          <t>100%</t>
        </is>
      </c>
    </row>
    <row r="29">
      <c r="A29" s="14" t="n"/>
      <c r="B29" s="14" t="n"/>
      <c r="C29" s="13" t="n"/>
    </row>
    <row r="30" ht="28.8" customHeight="1" s="37">
      <c r="A30" s="28" t="inlineStr">
        <is>
          <t>ISA-Completo</t>
        </is>
      </c>
      <c r="B30" s="29" t="inlineStr">
        <is>
          <t>0.70×ISA-EUDR + 0.30×ISA-PV — ver ISCAM_Score!AL</t>
        </is>
      </c>
      <c r="C30" s="27" t="inlineStr">
        <is>
          <t>100%</t>
        </is>
      </c>
    </row>
    <row r="31">
      <c r="A31" s="14" t="n"/>
      <c r="B31" s="14" t="n"/>
      <c r="C31" s="13" t="n"/>
    </row>
    <row r="32">
      <c r="A32" s="30" t="inlineStr">
        <is>
          <t>IP1</t>
        </is>
      </c>
      <c r="B32" s="31">
        <f> D2 — ver ISCAM_Score!P</f>
        <v/>
      </c>
      <c r="C32" s="32" t="inlineStr">
        <is>
          <t>20%</t>
        </is>
      </c>
    </row>
    <row r="33">
      <c r="A33" s="33" t="inlineStr">
        <is>
          <t>IP2</t>
        </is>
      </c>
      <c r="B33" s="34" t="inlineStr">
        <is>
          <t>SQRT(D3 × D4) — ver ISCAM_Score!Q</t>
        </is>
      </c>
      <c r="C33" s="35" t="inlineStr">
        <is>
          <t>20%</t>
        </is>
      </c>
    </row>
    <row r="34">
      <c r="A34" s="30" t="inlineStr">
        <is>
          <t>IP3</t>
        </is>
      </c>
      <c r="B34" s="31" t="inlineStr">
        <is>
          <t>(D5 + D6 + D8) / 3 — ver ISCAM_Score!R</t>
        </is>
      </c>
      <c r="C34" s="32" t="inlineStr">
        <is>
          <t>20%</t>
        </is>
      </c>
    </row>
    <row r="35">
      <c r="A35" s="33" t="inlineStr">
        <is>
          <t>IP4</t>
        </is>
      </c>
      <c r="B35" s="34" t="inlineStr">
        <is>
          <t>(D6 + D2) / 2 — ver ISCAM_Score!S</t>
        </is>
      </c>
      <c r="C35" s="35" t="inlineStr">
        <is>
          <t>20%</t>
        </is>
      </c>
    </row>
    <row r="36">
      <c r="A36" s="30" t="inlineStr">
        <is>
          <t>IP5</t>
        </is>
      </c>
      <c r="B36" s="31" t="inlineStr">
        <is>
          <t>(D7 + D9 + Cert) / 3 — ver ISCAM_Score!T</t>
        </is>
      </c>
      <c r="C36" s="32" t="inlineStr">
        <is>
          <t>20%</t>
        </is>
      </c>
    </row>
    <row r="37">
      <c r="A37" s="33" t="inlineStr">
        <is>
          <t>IP (total)</t>
        </is>
      </c>
      <c r="B37" s="34" t="inlineStr">
        <is>
          <t>AVG(IP1:IP5) — ver ISCAM_Score!Z</t>
        </is>
      </c>
      <c r="C37" s="35" t="inlineStr">
        <is>
          <t>100%</t>
        </is>
      </c>
    </row>
    <row r="38">
      <c r="A38" s="14" t="n"/>
      <c r="B38" s="14" t="n"/>
      <c r="C38" s="13" t="n"/>
    </row>
    <row r="39">
      <c r="A39" s="33" t="inlineStr">
        <is>
          <t>IV1</t>
        </is>
      </c>
      <c r="B39" s="34" t="inlineStr">
        <is>
          <t>Exposición UE = % FOB UE (MATRIZ_174!M) — ver ISCAM_Score!U</t>
        </is>
      </c>
      <c r="C39" s="35" t="inlineStr">
        <is>
          <t>20%</t>
        </is>
      </c>
    </row>
    <row r="40">
      <c r="A40" s="30" t="inlineStr">
        <is>
          <t>IV2</t>
        </is>
      </c>
      <c r="B40" s="31" t="inlineStr">
        <is>
          <t>D1 (base 50 si D1=0) — ver ISCAM_Score!V</t>
        </is>
      </c>
      <c r="C40" s="32" t="inlineStr">
        <is>
          <t>20%</t>
        </is>
      </c>
    </row>
    <row r="41">
      <c r="A41" s="33" t="inlineStr">
        <is>
          <t>IV3</t>
        </is>
      </c>
      <c r="B41" s="34" t="inlineStr">
        <is>
          <t>Tamaño de parcela ha/socio (Q/R); sin dato → 65 — ver ISCAM_Score!W</t>
        </is>
      </c>
      <c r="C41" s="35" t="inlineStr">
        <is>
          <t>20%</t>
        </is>
      </c>
    </row>
    <row r="42">
      <c r="A42" s="30" t="inlineStr">
        <is>
          <t>IV4</t>
        </is>
      </c>
      <c r="B42" s="31" t="inlineStr">
        <is>
          <t>Certificación: Cert=0 → 70 / Cert&gt;0 → 30 — ver ISCAM_Score!X</t>
        </is>
      </c>
      <c r="C42" s="32" t="inlineStr">
        <is>
          <t>20%</t>
        </is>
      </c>
    </row>
    <row r="43">
      <c r="A43" s="33" t="inlineStr">
        <is>
          <t>IV5</t>
        </is>
      </c>
      <c r="B43" s="34" t="inlineStr">
        <is>
          <t>Tipo de organización (PENDIENTE/Asociación → 65) — ver ISCAM_Score!Y</t>
        </is>
      </c>
      <c r="C43" s="35" t="inlineStr">
        <is>
          <t>20%</t>
        </is>
      </c>
    </row>
    <row r="44">
      <c r="A44" s="30" t="inlineStr">
        <is>
          <t>IV (total)</t>
        </is>
      </c>
      <c r="B44" s="31" t="inlineStr">
        <is>
          <t>AVG(IV1:IV5) — ver ISCAM_Score!AA</t>
        </is>
      </c>
      <c r="C44" s="32" t="inlineStr">
        <is>
          <t>100%</t>
        </is>
      </c>
    </row>
    <row r="45">
      <c r="A45" s="14" t="n"/>
      <c r="B45" s="14" t="n"/>
      <c r="C45" s="13" t="n"/>
    </row>
    <row r="46">
      <c r="A46" s="30" t="inlineStr">
        <is>
          <t>RE</t>
        </is>
      </c>
      <c r="B46" s="31" t="n"/>
      <c r="C46" s="32" t="inlineStr">
        <is>
          <t>—</t>
        </is>
      </c>
    </row>
    <row r="47" ht="28.8" customHeight="1" s="37">
      <c r="A47" s="33" t="inlineStr">
        <is>
          <t>Cuadrante 2×2</t>
        </is>
      </c>
      <c r="B47" s="34" t="inlineStr">
        <is>
          <t>IP≥50 vs &lt;50  ×  IV≥50 vs &lt;50</t>
        </is>
      </c>
      <c r="C47" s="35" t="inlineStr">
        <is>
          <t>Corte=50</t>
        </is>
      </c>
    </row>
    <row r="48">
      <c r="A48" t="inlineStr">
        <is>
          <t>NOTAS 2026-10-14:</t>
        </is>
      </c>
      <c r="B48" t="inlineStr">
        <is>
          <t>IV1–IV5 son proxies documentados mientras se ingesta el Instrumento 2; sus definiciones de diseño usan B0.7/P1/P1b/P4/D7.26a (IV1), B0.4/B0.10/B0.11/B0.13/B0.14 (IV3) y B0.12 + D3.14i (IV4/IV5).</t>
        </is>
      </c>
    </row>
    <row r="49">
      <c r="A49" t="inlineStr">
        <is>
          <t>P_Global</t>
        </is>
      </c>
      <c r="B49" t="inlineStr">
        <is>
          <t>DECIDIDO 2026-10-14: P_Global NO entra en ISA-Completo. El índice es el regresor/predictor del objetivo (f); la performance es la variable dependiente. ISCAM (Fase 4, paso 12) usa los indicadores de performance como validación externa del índice (certificaciones, % volumen trazable, continuidad exportadora, acceso a mercado UE): P_Global es esa variable de validación, no un insumo del índice. Fuente: Metodologia - Indice de Alineamiento (ISA) §5, Comparativa §3.3, Propuesta ISCAM IP-IV-RE.</t>
        </is>
      </c>
    </row>
    <row r="50">
      <c r="A50" t="inlineStr">
        <is>
          <t>Escalas</t>
        </is>
      </c>
      <c r="B50" t="inlineStr">
        <is>
          <t>ISA-EUDR e ISA-Completo en 0–100; ISA-PV en 0–1 (MATRIZ_174!AP); el 0.30 de ISA-Completo multiplica ISA-PV ×100 (corregido 2026-10-14).</t>
        </is>
      </c>
    </row>
  </sheetData>
  <mergeCells count="7">
    <mergeCell ref="A1:D1"/>
    <mergeCell ref="A23:D23"/>
    <mergeCell ref="B19:C19"/>
    <mergeCell ref="A21:D21"/>
    <mergeCell ref="A24:D24"/>
    <mergeCell ref="A2:D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76"/>
  <sheetViews>
    <sheetView workbookViewId="0">
      <pane xSplit="2" ySplit="2" topLeftCell="C97" activePane="bottomRight" state="frozen"/>
      <selection pane="topRight" activeCell="A1" sqref="A1"/>
      <selection pane="bottomLeft" activeCell="A1" sqref="A1"/>
      <selection pane="bottomRight" activeCell="J4" sqref="J4"/>
    </sheetView>
  </sheetViews>
  <sheetFormatPr baseColWidth="10" defaultColWidth="8.88671875" defaultRowHeight="14.4"/>
  <cols>
    <col width="14" customWidth="1" style="37" min="1" max="1"/>
    <col width="65.6640625" bestFit="1" customWidth="1" style="37" min="2" max="2"/>
    <col width="14" customWidth="1" style="37" min="3" max="3"/>
    <col width="12" customWidth="1" style="37" min="4" max="4"/>
    <col width="14" customWidth="1" style="37" min="5" max="5"/>
    <col width="8" customWidth="1" style="37" min="6" max="6"/>
    <col width="9" customWidth="1" style="37" min="7" max="7"/>
    <col width="14" customWidth="1" style="37" min="8" max="12"/>
    <col width="10" customWidth="1" style="37" min="13" max="13"/>
    <col width="14" customWidth="1" style="37" min="14" max="15"/>
    <col width="12" customWidth="1" style="37" min="16" max="16"/>
    <col width="14" customWidth="1" style="37" min="17" max="20"/>
    <col width="22" customWidth="1" style="37" min="23" max="26"/>
    <col width="20" customWidth="1" style="37" min="27" max="40"/>
    <col width="16" customWidth="1" style="37" min="41" max="42"/>
  </cols>
  <sheetData>
    <row r="1" ht="28.05" customHeight="1" s="37">
      <c r="A1" t="inlineStr">
        <is>
          <t>MATRIZ 174 — Datos existentes de organizaciones</t>
        </is>
      </c>
      <c r="W1" t="inlineStr">
        <is>
          <t>D12</t>
        </is>
      </c>
      <c r="X1" t="inlineStr">
        <is>
          <t>D13</t>
        </is>
      </c>
      <c r="Y1" t="inlineStr">
        <is>
          <t>D14</t>
        </is>
      </c>
      <c r="Z1" t="inlineStr">
        <is>
          <t>D15</t>
        </is>
      </c>
      <c r="AA1" t="inlineStr">
        <is>
          <t>P1</t>
        </is>
      </c>
      <c r="AB1" t="inlineStr">
        <is>
          <t>P2</t>
        </is>
      </c>
      <c r="AC1" t="inlineStr">
        <is>
          <t>P3</t>
        </is>
      </c>
      <c r="AD1" t="inlineStr">
        <is>
          <t>P4</t>
        </is>
      </c>
      <c r="AE1" t="inlineStr">
        <is>
          <t>P5</t>
        </is>
      </c>
      <c r="AF1" t="inlineStr">
        <is>
          <t>P6</t>
        </is>
      </c>
      <c r="AG1" t="inlineStr">
        <is>
          <t>P7</t>
        </is>
      </c>
      <c r="AH1" t="inlineStr">
        <is>
          <t>P8</t>
        </is>
      </c>
      <c r="AI1" t="inlineStr">
        <is>
          <t>P9</t>
        </is>
      </c>
      <c r="AJ1" t="inlineStr">
        <is>
          <t>P10</t>
        </is>
      </c>
      <c r="AK1" t="inlineStr">
        <is>
          <t>P11</t>
        </is>
      </c>
      <c r="AL1" t="inlineStr">
        <is>
          <t>P12</t>
        </is>
      </c>
      <c r="AM1" t="inlineStr">
        <is>
          <t>P13</t>
        </is>
      </c>
      <c r="AN1" t="inlineStr">
        <is>
          <t>P14</t>
        </is>
      </c>
      <c r="AO1" t="inlineStr">
        <is>
          <t>Bloque P
Score (0-1)</t>
        </is>
      </c>
      <c r="AP1" t="inlineStr">
        <is>
          <t>ISA-PactoVerde
(0-1)</t>
        </is>
      </c>
    </row>
    <row r="2" ht="100.05" customHeight="1" s="37">
      <c r="A2" t="inlineStr">
        <is>
          <t>RUC</t>
        </is>
      </c>
      <c r="B2" t="inlineStr">
        <is>
          <t>Razón Social (SUNAT)</t>
        </is>
      </c>
      <c r="C2" t="inlineStr">
        <is>
          <t>Depto</t>
        </is>
      </c>
      <c r="D2" t="inlineStr">
        <is>
          <t>Producto</t>
        </is>
      </c>
      <c r="E2" t="inlineStr">
        <is>
          <t>FOB Total USD</t>
        </is>
      </c>
      <c r="F2" t="inlineStr">
        <is>
          <t>N° DUAs</t>
        </is>
      </c>
      <c r="G2" t="inlineStr">
        <is>
          <t>Exporta</t>
        </is>
      </c>
      <c r="H2" t="inlineStr">
        <is>
          <t>Cert. Orgánica</t>
        </is>
      </c>
      <c r="I2" t="inlineStr">
        <is>
          <t>Cert. Fairtrade</t>
        </is>
      </c>
      <c r="J2" t="inlineStr">
        <is>
          <t>Estado SUNAT</t>
        </is>
      </c>
      <c r="K2" t="inlineStr">
        <is>
          <t>Avance EUDR</t>
        </is>
      </c>
      <c r="L2" t="inlineStr">
        <is>
          <t>FOB UE USD</t>
        </is>
      </c>
      <c r="M2" t="inlineStr">
        <is>
          <t>% UE/FOB</t>
        </is>
      </c>
      <c r="N2" t="inlineStr">
        <is>
          <t>HS Code principal</t>
        </is>
      </c>
      <c r="O2" t="inlineStr">
        <is>
          <t>Score Cert (0-1)</t>
        </is>
      </c>
      <c r="P2" t="inlineStr">
        <is>
          <t>Tipo org.</t>
        </is>
      </c>
      <c r="Q2" t="inlineStr">
        <is>
          <t>N° aprox. socios</t>
        </is>
      </c>
      <c r="R2" t="inlineStr">
        <is>
          <t>Hectáreas aprox.</t>
        </is>
      </c>
      <c r="S2" t="inlineStr">
        <is>
          <t>PVE Score (0-100)</t>
        </is>
      </c>
      <c r="T2" t="inlineStr">
        <is>
          <t>Clasificación</t>
        </is>
      </c>
      <c r="U2" t="inlineStr">
        <is>
          <t>D3 Score (OSCE)</t>
        </is>
      </c>
      <c r="V2" t="inlineStr">
        <is>
          <t>D3 Observación</t>
        </is>
      </c>
      <c r="W2" t="inlineStr">
        <is>
          <t>D12 — Huella Carbono
0=Sin medición
1=En curso (ha conocidas)
2=Certificado
─────────────────────
NOTA: Valor actual = proxy FAO/IPCC
(ha × factor IPCC/FAO por cultivo).
Reemplazar tras Instrumento 2 Q40-Q44.</t>
        </is>
      </c>
      <c r="X2" t="inlineStr">
        <is>
          <t>Reporte Sostenibilidad (D13)
0=No, 1=En curso, 2=Publicado</t>
        </is>
      </c>
      <c r="Y2" t="inlineStr">
        <is>
          <t>Economía Circular (D14)
0=No, 1=En transición, 2=Avanzado</t>
        </is>
      </c>
      <c r="Z2" t="inlineStr">
        <is>
          <t>Fitosanitario/LMR (D15)
0=No verificado, 1=En monitoreo, 2=Cumple UE</t>
        </is>
      </c>
      <c r="AA2" t="inlineStr">
        <is>
          <t>P1 — Productividad (USD/ha/año)</t>
        </is>
      </c>
      <c r="AB2" t="inlineStr">
        <is>
          <t>P2 — Ingreso neto (USD/ha)</t>
        </is>
      </c>
      <c r="AC2" t="inlineStr">
        <is>
          <t>P3 — % socios con acceso crédito</t>
        </is>
      </c>
      <c r="AD2" t="inlineStr">
        <is>
          <t>P4 — Gender score (% muj. en org.)</t>
        </is>
      </c>
      <c r="AE2" t="inlineStr">
        <is>
          <t>P5 — Formalización laboral (%)</t>
        </is>
      </c>
      <c r="AF2" t="inlineStr">
        <is>
          <t>P6 — Capacitación/año/persona</t>
        </is>
      </c>
      <c r="AG2" t="inlineStr">
        <is>
          <t>P7 — Tasa retención socios (%)</t>
        </is>
      </c>
      <c r="AH2" t="inlineStr">
        <is>
          <t>P8 — Diversificación ingresos (%)</t>
        </is>
      </c>
      <c r="AI2" t="inlineStr">
        <is>
          <t>P9 — Acceso mercados premium (%)</t>
        </is>
      </c>
      <c r="AJ2" t="inlineStr">
        <is>
          <t>P10 — Inversión EUDR (USD/año)</t>
        </is>
      </c>
      <c r="AK2" t="inlineStr">
        <is>
          <t>P11 — Score trazabilidad (%)</t>
        </is>
      </c>
      <c r="AL2" t="inlineStr">
        <is>
          <t>P12 — Quejas resueltas (%)</t>
        </is>
      </c>
      <c r="AM2" t="inlineStr">
        <is>
          <t>P13 — Energía renovable (%)</t>
        </is>
      </c>
      <c r="AN2" t="inlineStr">
        <is>
          <t>P14 — Residuos gestionados (%)</t>
        </is>
      </c>
      <c r="AO2" t="inlineStr">
        <is>
          <t>P_Global — Promedio P1:P14
(0=None, 1=满分)</t>
        </is>
      </c>
      <c r="AP2" t="inlineStr">
        <is>
          <t>ISA-PactoVerde = AVG(D12:D15)/2
0=Nada, 2=Certificado</t>
        </is>
      </c>
    </row>
    <row r="3" ht="16.05" customHeight="1" s="37">
      <c r="A3" t="inlineStr">
        <is>
          <t>20118578415</t>
        </is>
      </c>
      <c r="B3" t="inlineStr">
        <is>
          <t>CENT.DE COOP.AGR. CAF.VALLES SANDIA LTDA</t>
        </is>
      </c>
      <c r="C3" t="inlineStr">
        <is>
          <t>PUNO</t>
        </is>
      </c>
      <c r="D3" t="inlineStr">
        <is>
          <t>CAFÉ</t>
        </is>
      </c>
      <c r="E3" t="n">
        <v>5107246.619999999</v>
      </c>
      <c r="F3" t="n">
        <v>38</v>
      </c>
      <c r="G3" t="inlineStr">
        <is>
          <t>SI</t>
        </is>
      </c>
      <c r="H3" t="inlineStr">
        <is>
          <t>nan</t>
        </is>
      </c>
      <c r="I3" t="inlineStr">
        <is>
          <t>nan</t>
        </is>
      </c>
      <c r="J3" t="inlineStr">
        <is>
          <t>ACTIVO</t>
        </is>
      </c>
      <c r="K3" t="inlineStr">
        <is>
          <t>nan</t>
        </is>
      </c>
      <c r="L3" t="n">
        <v>2553623.31</v>
      </c>
      <c r="M3">
        <f>IF(E3&gt;0,ROUND(L3/E3*100,1),0)</f>
        <v/>
      </c>
      <c r="N3" t="inlineStr">
        <is>
          <t>PENDIENTE</t>
        </is>
      </c>
      <c r="O3">
        <f>IF(H3="SI",1,0)*0.6+IF(I3="SI",1,0)*0.4</f>
        <v/>
      </c>
      <c r="P3" t="inlineStr">
        <is>
          <t>PENDIENTE</t>
        </is>
      </c>
      <c r="S3">
        <f>IFERROR(SCORECARDS!C3,"")</f>
        <v/>
      </c>
      <c r="T3">
        <f>IF(NOT(ISNUMBER(S3)),"—",IF(S3&lt;34,"🔴 Crítico",IF(S3&lt;67,"🟡 Vulnerable","🟢 Preparado")))</f>
        <v/>
      </c>
      <c r="U3" t="n">
        <v>1</v>
      </c>
      <c r="V3" t="inlineStr">
        <is>
          <t>Sin hallazgos OSCE / OEFA</t>
        </is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>
        <f>IFERROR(AVERAGE(AA3,AB3,AC3,AD3,AE3,AF3,AG3,AH3,AI3,AJ3,AK3,AL3,AM3,AN3),"N/A")</f>
        <v/>
      </c>
      <c r="AP3">
        <f>IFERROR(AVERAGE(W3,X3,Y3,Z3)/2,"N/A")</f>
        <v/>
      </c>
    </row>
    <row r="4" ht="16.05" customHeight="1" s="37">
      <c r="A4" t="inlineStr">
        <is>
          <t>20129156083</t>
        </is>
      </c>
      <c r="B4" t="inlineStr">
        <is>
          <t>COOP AGRARIA CAFET VALLE RIO APURIMAC</t>
        </is>
      </c>
      <c r="C4" t="inlineStr">
        <is>
          <t>AYACUCHO</t>
        </is>
      </c>
      <c r="D4" t="inlineStr">
        <is>
          <t>CACAO</t>
        </is>
      </c>
      <c r="E4" t="n">
        <v>0</v>
      </c>
      <c r="G4" t="inlineStr">
        <is>
          <t>NO</t>
        </is>
      </c>
      <c r="H4" t="inlineStr">
        <is>
          <t>nan</t>
        </is>
      </c>
      <c r="I4" t="inlineStr">
        <is>
          <t>nan</t>
        </is>
      </c>
      <c r="J4" t="inlineStr">
        <is>
          <t>ACTIVO</t>
        </is>
      </c>
      <c r="K4" t="inlineStr">
        <is>
          <t>nan</t>
        </is>
      </c>
      <c r="L4" t="n">
        <v>0</v>
      </c>
      <c r="M4">
        <f>IF(E4&gt;0,ROUND(L4/E4*100,1),0)</f>
        <v/>
      </c>
      <c r="N4" t="inlineStr">
        <is>
          <t>PENDIENTE</t>
        </is>
      </c>
      <c r="O4">
        <f>IF(H4="SI",1,0)*0.6+IF(I4="SI",1,0)*0.4</f>
        <v/>
      </c>
      <c r="P4" t="inlineStr">
        <is>
          <t>PENDIENTE</t>
        </is>
      </c>
      <c r="S4">
        <f>IFERROR(SCORECARDS!C4,"")</f>
        <v/>
      </c>
      <c r="T4">
        <f>IF(NOT(ISNUMBER(S4)),"—",IF(S4&lt;34,"🔴 Crítico",IF(S4&lt;67,"🟡 Vulnerable","🟢 Preparado")))</f>
        <v/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>
        <f>IFERROR(AVERAGE(AA4,AB4,AC4,AD4,AE4,AF4,AG4,AH4,AI4,AJ4,AK4,AL4,AM4,AN4),"N/A")</f>
        <v/>
      </c>
      <c r="AP4">
        <f>IFERROR(AVERAGE(W4,X4,Y4,Z4)/2,"N/A")</f>
        <v/>
      </c>
    </row>
    <row r="5" ht="16.05" customHeight="1" s="37">
      <c r="A5" t="inlineStr">
        <is>
          <t>20129529530</t>
        </is>
      </c>
      <c r="B5" t="inlineStr">
        <is>
          <t>COOP AGRARIA CAFETALERA SATIPO LTDA</t>
        </is>
      </c>
      <c r="C5" t="inlineStr">
        <is>
          <t>JUNIN</t>
        </is>
      </c>
      <c r="E5" t="n">
        <v>9603968.119999999</v>
      </c>
      <c r="F5" t="n">
        <v>41</v>
      </c>
      <c r="G5" t="inlineStr">
        <is>
          <t>SI</t>
        </is>
      </c>
      <c r="H5" t="inlineStr">
        <is>
          <t>nan</t>
        </is>
      </c>
      <c r="I5" t="inlineStr">
        <is>
          <t>nan</t>
        </is>
      </c>
      <c r="J5" t="inlineStr">
        <is>
          <t>ACTIVO</t>
        </is>
      </c>
      <c r="K5" t="inlineStr">
        <is>
          <t>nan</t>
        </is>
      </c>
      <c r="L5" t="n">
        <v>4801984.06</v>
      </c>
      <c r="M5">
        <f>IF(E5&gt;0,ROUND(L5/E5*100,1),0)</f>
        <v/>
      </c>
      <c r="N5" t="inlineStr">
        <is>
          <t>PENDIENTE</t>
        </is>
      </c>
      <c r="O5">
        <f>IF(H5="SI",1,0)*0.6+IF(I5="SI",1,0)*0.4</f>
        <v/>
      </c>
      <c r="P5" t="inlineStr">
        <is>
          <t>PENDIENTE</t>
        </is>
      </c>
      <c r="S5">
        <f>IFERROR(SCORECARDS!C5,"")</f>
        <v/>
      </c>
      <c r="T5">
        <f>IF(NOT(ISNUMBER(S5)),"—",IF(S5&lt;34,"🔴 Crítico",IF(S5&lt;67,"🟡 Vulnerable","🟢 Preparado")))</f>
        <v/>
      </c>
      <c r="U5" t="n">
        <v>1</v>
      </c>
      <c r="V5" t="inlineStr">
        <is>
          <t>Sin hallazgos OSCE / OEFA</t>
        </is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>
        <f>IFERROR(AVERAGE(AA5,AB5,AC5,AD5,AE5,AF5,AG5,AH5,AI5,AJ5,AK5,AL5,AM5,AN5),"N/A")</f>
        <v/>
      </c>
      <c r="AP5">
        <f>IFERROR(AVERAGE(W5,X5,Y5,Z5)/2,"N/A")</f>
        <v/>
      </c>
    </row>
    <row r="6" ht="16.05" customHeight="1" s="37">
      <c r="A6" t="inlineStr">
        <is>
          <t>20132489824</t>
        </is>
      </c>
      <c r="B6" t="inlineStr">
        <is>
          <t>COOPERATIVA AGRARIA CAFETALERA CHANCAMAYO LTDA. N° 008-B-VII</t>
        </is>
      </c>
      <c r="C6" t="inlineStr">
        <is>
          <t>CUSCO</t>
        </is>
      </c>
      <c r="G6" t="inlineStr">
        <is>
          <t>NO</t>
        </is>
      </c>
      <c r="H6" t="inlineStr">
        <is>
          <t>Cer</t>
        </is>
      </c>
      <c r="I6" t="inlineStr">
        <is>
          <t>Vig</t>
        </is>
      </c>
      <c r="J6" t="inlineStr">
        <is>
          <t>ACTIVO</t>
        </is>
      </c>
      <c r="K6" t="inlineStr">
        <is>
          <t>nan</t>
        </is>
      </c>
      <c r="L6" t="n">
        <v>0</v>
      </c>
      <c r="M6">
        <f>IF(E6&gt;0,ROUND(L6/E6*100,1),0)</f>
        <v/>
      </c>
      <c r="N6" t="inlineStr">
        <is>
          <t>PENDIENTE</t>
        </is>
      </c>
      <c r="O6">
        <f>IF(H6="SI",1,0)*0.6+IF(I6="SI",1,0)*0.4</f>
        <v/>
      </c>
      <c r="P6" t="inlineStr">
        <is>
          <t>PENDIENTE</t>
        </is>
      </c>
      <c r="Q6" t="n">
        <v>44</v>
      </c>
      <c r="R6" t="n">
        <v>44</v>
      </c>
      <c r="S6">
        <f>IFERROR(SCORECARDS!C6,"")</f>
        <v/>
      </c>
      <c r="T6">
        <f>IF(NOT(ISNUMBER(S6)),"—",IF(S6&lt;34,"🔴 Crítico",IF(S6&lt;67,"🟡 Vulnerable","🟢 Preparado")))</f>
        <v/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>
        <f>IFERROR(AVERAGE(AA6,AB6,AC6,AD6,AE6,AF6,AG6,AH6,AI6,AJ6,AK6,AL6,AM6,AN6),"N/A")</f>
        <v/>
      </c>
      <c r="AP6">
        <f>IFERROR(AVERAGE(W6,X6,Y6,Z6)/2,"N/A")</f>
        <v/>
      </c>
    </row>
    <row r="7" ht="16.05" customHeight="1" s="37">
      <c r="A7" t="inlineStr">
        <is>
          <t>20132505455</t>
        </is>
      </c>
      <c r="B7" t="inlineStr">
        <is>
          <t>COOPERATIVA AGRARIA CAFETALERA AGUILAYOC LTDA. 084</t>
        </is>
      </c>
      <c r="C7" t="inlineStr">
        <is>
          <t>CUSCO</t>
        </is>
      </c>
      <c r="D7" t="inlineStr">
        <is>
          <t>CAFÉ</t>
        </is>
      </c>
      <c r="G7" t="inlineStr">
        <is>
          <t>NO</t>
        </is>
      </c>
      <c r="H7" t="inlineStr">
        <is>
          <t>Cer</t>
        </is>
      </c>
      <c r="I7" t="inlineStr">
        <is>
          <t>nan</t>
        </is>
      </c>
      <c r="J7" t="inlineStr">
        <is>
          <t>ACTIVO</t>
        </is>
      </c>
      <c r="K7" t="inlineStr">
        <is>
          <t>0.75</t>
        </is>
      </c>
      <c r="L7" t="n">
        <v>0</v>
      </c>
      <c r="M7">
        <f>IF(E7&gt;0,ROUND(L7/E7*100,1),0)</f>
        <v/>
      </c>
      <c r="N7" t="inlineStr">
        <is>
          <t>PENDIENTE</t>
        </is>
      </c>
      <c r="O7">
        <f>IF(H7="SI",1,0)*0.6+IF(I7="SI",1,0)*0.4</f>
        <v/>
      </c>
      <c r="P7" t="inlineStr">
        <is>
          <t>PENDIENTE</t>
        </is>
      </c>
      <c r="Q7" t="n">
        <v>100</v>
      </c>
      <c r="R7" t="n">
        <v>218</v>
      </c>
      <c r="S7">
        <f>IFERROR(SCORECARDS!C7,"")</f>
        <v/>
      </c>
      <c r="T7">
        <f>IF(NOT(ISNUMBER(S7)),"—",IF(S7&lt;34,"🔴 Crítico",IF(S7&lt;67,"🟡 Vulnerable","🟢 Preparado")))</f>
        <v/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>
        <f>IFERROR(AVERAGE(AA7,AB7,AC7,AD7,AE7,AF7,AG7,AH7,AI7,AJ7,AK7,AL7,AM7,AN7),"N/A")</f>
        <v/>
      </c>
      <c r="AP7">
        <f>IFERROR(AVERAGE(W7,X7,Y7,Z7)/2,"N/A")</f>
        <v/>
      </c>
    </row>
    <row r="8" ht="16.05" customHeight="1" s="37">
      <c r="A8" t="inlineStr">
        <is>
          <t>20132509795</t>
        </is>
      </c>
      <c r="B8" t="inlineStr">
        <is>
          <t>COOPERATIVA AGRARIA CAFETALERA JOSE OLAYA LTDA N° 252</t>
        </is>
      </c>
      <c r="C8" t="inlineStr">
        <is>
          <t>CUSCO</t>
        </is>
      </c>
      <c r="D8" t="inlineStr">
        <is>
          <t>CAFÉ</t>
        </is>
      </c>
      <c r="E8" t="n">
        <v>2477083.5</v>
      </c>
      <c r="F8" t="n">
        <v>14</v>
      </c>
      <c r="G8" t="inlineStr">
        <is>
          <t>SI</t>
        </is>
      </c>
      <c r="H8" t="inlineStr">
        <is>
          <t>nan</t>
        </is>
      </c>
      <c r="I8" t="inlineStr">
        <is>
          <t>nan</t>
        </is>
      </c>
      <c r="J8" t="inlineStr">
        <is>
          <t>ACTIVO</t>
        </is>
      </c>
      <c r="K8" t="inlineStr">
        <is>
          <t>nan</t>
        </is>
      </c>
      <c r="L8" t="n">
        <v>1238541.75</v>
      </c>
      <c r="M8">
        <f>IF(E8&gt;0,ROUND(L8/E8*100,1),0)</f>
        <v/>
      </c>
      <c r="N8" t="inlineStr">
        <is>
          <t>PENDIENTE</t>
        </is>
      </c>
      <c r="O8">
        <f>IF(H8="SI",1,0)*0.6+IF(I8="SI",1,0)*0.4</f>
        <v/>
      </c>
      <c r="P8" t="inlineStr">
        <is>
          <t>PENDIENTE</t>
        </is>
      </c>
      <c r="S8">
        <f>IFERROR(SCORECARDS!C8,"")</f>
        <v/>
      </c>
      <c r="T8">
        <f>IF(NOT(ISNUMBER(S8)),"—",IF(S8&lt;34,"🔴 Crítico",IF(S8&lt;67,"🟡 Vulnerable","🟢 Preparado")))</f>
        <v/>
      </c>
      <c r="U8" t="n">
        <v>1</v>
      </c>
      <c r="V8" t="inlineStr">
        <is>
          <t>Sin hallazgos OSCE / OEFA</t>
        </is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>
        <f>IFERROR(AVERAGE(AA8,AB8,AC8,AD8,AE8,AF8,AG8,AH8,AI8,AJ8,AK8,AL8,AM8,AN8),"N/A")</f>
        <v/>
      </c>
      <c r="AP8">
        <f>IFERROR(AVERAGE(W8,X8,Y8,Z8)/2,"N/A")</f>
        <v/>
      </c>
    </row>
    <row r="9" ht="16.05" customHeight="1" s="37">
      <c r="A9" t="inlineStr">
        <is>
          <t>20132509876</t>
        </is>
      </c>
      <c r="B9" t="inlineStr">
        <is>
          <t>COOPERATIVA AGRARIA CAFETALERA MARANURA LTDA. 129</t>
        </is>
      </c>
      <c r="C9" t="inlineStr">
        <is>
          <t>CUSCO</t>
        </is>
      </c>
      <c r="D9" t="inlineStr">
        <is>
          <t>CAFÉ</t>
        </is>
      </c>
      <c r="E9" t="n">
        <v>1689820.33</v>
      </c>
      <c r="F9" t="n">
        <v>5</v>
      </c>
      <c r="G9" t="inlineStr">
        <is>
          <t>SI</t>
        </is>
      </c>
      <c r="H9" t="inlineStr">
        <is>
          <t>nan</t>
        </is>
      </c>
      <c r="I9" t="inlineStr">
        <is>
          <t>nan</t>
        </is>
      </c>
      <c r="J9" t="inlineStr">
        <is>
          <t>ACTIVO</t>
        </is>
      </c>
      <c r="K9" t="inlineStr">
        <is>
          <t>nan</t>
        </is>
      </c>
      <c r="L9" t="n">
        <v>0</v>
      </c>
      <c r="M9">
        <f>IF(E9&gt;0,ROUND(L9/E9*100,1),0)</f>
        <v/>
      </c>
      <c r="N9" t="inlineStr">
        <is>
          <t>PENDIENTE</t>
        </is>
      </c>
      <c r="O9">
        <f>IF(H9="SI",1,0)*0.6+IF(I9="SI",1,0)*0.4</f>
        <v/>
      </c>
      <c r="P9" t="inlineStr">
        <is>
          <t>PENDIENTE</t>
        </is>
      </c>
      <c r="S9">
        <f>IFERROR(SCORECARDS!C9,"")</f>
        <v/>
      </c>
      <c r="T9">
        <f>IF(NOT(ISNUMBER(S9)),"—",IF(S9&lt;34,"🔴 Crítico",IF(S9&lt;67,"🟡 Vulnerable","🟢 Preparado")))</f>
        <v/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>
        <f>IFERROR(AVERAGE(AA9,AB9,AC9,AD9,AE9,AF9,AG9,AH9,AI9,AJ9,AK9,AL9,AM9,AN9),"N/A")</f>
        <v/>
      </c>
      <c r="AP9">
        <f>IFERROR(AVERAGE(W9,X9,Y9,Z9)/2,"N/A")</f>
        <v/>
      </c>
    </row>
    <row r="10" ht="16.05" customHeight="1" s="37">
      <c r="A10" t="inlineStr">
        <is>
          <t>20132517119</t>
        </is>
      </c>
      <c r="B10" t="inlineStr">
        <is>
          <t>COOPERATIVA AGRARIA CAFETALERA MATEO PUMACAHUA LTDA N° 185</t>
        </is>
      </c>
      <c r="C10" t="inlineStr">
        <is>
          <t>CUSCO</t>
        </is>
      </c>
      <c r="D10" t="inlineStr">
        <is>
          <t>CAFÉ</t>
        </is>
      </c>
      <c r="E10" t="n">
        <v>0</v>
      </c>
      <c r="G10" t="inlineStr">
        <is>
          <t>NO</t>
        </is>
      </c>
      <c r="H10" t="inlineStr">
        <is>
          <t>Cer</t>
        </is>
      </c>
      <c r="I10" t="inlineStr">
        <is>
          <t>Fai</t>
        </is>
      </c>
      <c r="J10" t="inlineStr">
        <is>
          <t>ACTIVO</t>
        </is>
      </c>
      <c r="K10" t="inlineStr">
        <is>
          <t>0.75</t>
        </is>
      </c>
      <c r="L10" t="n">
        <v>0</v>
      </c>
      <c r="M10">
        <f>IF(E10&gt;0,ROUND(L10/E10*100,1),0)</f>
        <v/>
      </c>
      <c r="N10" t="inlineStr">
        <is>
          <t>PENDIENTE</t>
        </is>
      </c>
      <c r="O10">
        <f>IF(H10="SI",1,0)*0.6+IF(I10="SI",1,0)*0.4</f>
        <v/>
      </c>
      <c r="P10" t="inlineStr">
        <is>
          <t>PENDIENTE</t>
        </is>
      </c>
      <c r="Q10" t="n">
        <v>177</v>
      </c>
      <c r="R10" t="n">
        <v>469</v>
      </c>
      <c r="S10">
        <f>IFERROR(SCORECARDS!C10,"")</f>
        <v/>
      </c>
      <c r="T10">
        <f>IF(NOT(ISNUMBER(S10)),"—",IF(S10&lt;34,"🔴 Crítico",IF(S10&lt;67,"🟡 Vulnerable","🟢 Preparado")))</f>
        <v/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>
        <f>IFERROR(AVERAGE(AA10,AB10,AC10,AD10,AE10,AF10,AG10,AH10,AI10,AJ10,AK10,AL10,AM10,AN10),"N/A")</f>
        <v/>
      </c>
      <c r="AP10">
        <f>IFERROR(AVERAGE(W10,X10,Y10,Z10)/2,"N/A")</f>
        <v/>
      </c>
    </row>
    <row r="11" ht="16.05" customHeight="1" s="37">
      <c r="A11" t="inlineStr">
        <is>
          <t>20136201132</t>
        </is>
      </c>
      <c r="B11" t="inlineStr">
        <is>
          <t>COOPERATIVA AGRARIA CAFETALERA ALTO URUBAMBA LTDA N° 239</t>
        </is>
      </c>
      <c r="C11" t="inlineStr">
        <is>
          <t>CUSCO</t>
        </is>
      </c>
      <c r="D11" t="inlineStr">
        <is>
          <t>CAFÉ</t>
        </is>
      </c>
      <c r="E11" t="n">
        <v>681394.36</v>
      </c>
      <c r="F11" t="n">
        <v>6</v>
      </c>
      <c r="G11" t="inlineStr">
        <is>
          <t>SI</t>
        </is>
      </c>
      <c r="H11" t="inlineStr">
        <is>
          <t>nan</t>
        </is>
      </c>
      <c r="I11" t="inlineStr">
        <is>
          <t>nan</t>
        </is>
      </c>
      <c r="J11" t="inlineStr">
        <is>
          <t>ACTIVO</t>
        </is>
      </c>
      <c r="K11" t="inlineStr">
        <is>
          <t>nan</t>
        </is>
      </c>
      <c r="L11" t="n">
        <v>0</v>
      </c>
      <c r="M11">
        <f>IF(E11&gt;0,ROUND(L11/E11*100,1),0)</f>
        <v/>
      </c>
      <c r="N11" t="inlineStr">
        <is>
          <t>PENDIENTE</t>
        </is>
      </c>
      <c r="O11">
        <f>IF(H11="SI",1,0)*0.6+IF(I11="SI",1,0)*0.4</f>
        <v/>
      </c>
      <c r="P11" t="inlineStr">
        <is>
          <t>PENDIENTE</t>
        </is>
      </c>
      <c r="S11">
        <f>IFERROR(SCORECARDS!C11,"")</f>
        <v/>
      </c>
      <c r="T11">
        <f>IF(NOT(ISNUMBER(S11)),"—",IF(S11&lt;34,"🔴 Crítico",IF(S11&lt;67,"🟡 Vulnerable","🟢 Preparado")))</f>
        <v/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>
        <f>IFERROR(AVERAGE(AA11,AB11,AC11,AD11,AE11,AF11,AG11,AH11,AI11,AJ11,AK11,AL11,AM11,AN11),"N/A")</f>
        <v/>
      </c>
      <c r="AP11">
        <f>IFERROR(AVERAGE(W11,X11,Y11,Z11)/2,"N/A")</f>
        <v/>
      </c>
    </row>
    <row r="12" ht="16.05" customHeight="1" s="37">
      <c r="A12" t="inlineStr">
        <is>
          <t>20136201213</t>
        </is>
      </c>
      <c r="B12" t="inlineStr">
        <is>
          <t xml:space="preserve">CENTRAL DE COOPERATIVAS AGRARIAS CAFETALERAS COCLA LTDA. N° </t>
        </is>
      </c>
      <c r="C12" t="inlineStr">
        <is>
          <t>CUSCO</t>
        </is>
      </c>
      <c r="D12" t="inlineStr">
        <is>
          <t>CAFÉ</t>
        </is>
      </c>
      <c r="E12" t="n">
        <v>4445611.599999998</v>
      </c>
      <c r="F12" t="n">
        <v>33</v>
      </c>
      <c r="G12" t="inlineStr">
        <is>
          <t>SI</t>
        </is>
      </c>
      <c r="H12" t="inlineStr">
        <is>
          <t>Cer</t>
        </is>
      </c>
      <c r="I12" t="inlineStr">
        <is>
          <t>Fai</t>
        </is>
      </c>
      <c r="J12" t="inlineStr">
        <is>
          <t>ACTIVO</t>
        </is>
      </c>
      <c r="K12" t="inlineStr">
        <is>
          <t>0.75</t>
        </is>
      </c>
      <c r="L12" t="n">
        <v>894391.27</v>
      </c>
      <c r="M12">
        <f>IF(E12&gt;0,ROUND(L12/E12*100,1),0)</f>
        <v/>
      </c>
      <c r="N12" t="inlineStr">
        <is>
          <t>PENDIENTE</t>
        </is>
      </c>
      <c r="O12">
        <f>IF(H12="SI",1,0)*0.6+IF(I12="SI",1,0)*0.4</f>
        <v/>
      </c>
      <c r="P12" t="inlineStr">
        <is>
          <t>PENDIENTE</t>
        </is>
      </c>
      <c r="Q12" t="n">
        <v>660</v>
      </c>
      <c r="R12" t="n">
        <v>1670</v>
      </c>
      <c r="S12">
        <f>IFERROR(SCORECARDS!C12,"")</f>
        <v/>
      </c>
      <c r="T12">
        <f>IF(NOT(ISNUMBER(S12)),"—",IF(S12&lt;34,"🔴 Crítico",IF(S12&lt;67,"🟡 Vulnerable","🟢 Preparado")))</f>
        <v/>
      </c>
      <c r="U12" t="n">
        <v>0.75</v>
      </c>
      <c r="V12" t="inlineStr">
        <is>
          <t>⚠ 1 infracc. ambiental (OEFA)</t>
        </is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>
        <f>IFERROR(AVERAGE(AA12,AB12,AC12,AD12,AE12,AF12,AG12,AH12,AI12,AJ12,AK12,AL12,AM12,AN12),"N/A")</f>
        <v/>
      </c>
      <c r="AP12">
        <f>IFERROR(AVERAGE(W12,X12,Y12,Z12)/2,"N/A")</f>
        <v/>
      </c>
    </row>
    <row r="13" ht="16.05" customHeight="1" s="37">
      <c r="A13" t="inlineStr">
        <is>
          <t>20140292657</t>
        </is>
      </c>
      <c r="B13" t="inlineStr">
        <is>
          <t>COOPERATIVA AGRARIA CAFETALERA CCOCHAPAMPA LTDA.</t>
        </is>
      </c>
      <c r="C13" t="inlineStr">
        <is>
          <t>CUSCO</t>
        </is>
      </c>
      <c r="D13" t="inlineStr">
        <is>
          <t>CAFÉ</t>
        </is>
      </c>
      <c r="E13" t="n">
        <v>0</v>
      </c>
      <c r="G13" t="inlineStr">
        <is>
          <t>NO</t>
        </is>
      </c>
      <c r="H13" t="inlineStr">
        <is>
          <t>Cer</t>
        </is>
      </c>
      <c r="I13" t="inlineStr">
        <is>
          <t xml:space="preserve">
Fa</t>
        </is>
      </c>
      <c r="J13" t="inlineStr">
        <is>
          <t>ACTIVO</t>
        </is>
      </c>
      <c r="K13" t="inlineStr">
        <is>
          <t>0.75</t>
        </is>
      </c>
      <c r="L13" t="n">
        <v>0</v>
      </c>
      <c r="M13">
        <f>IF(E13&gt;0,ROUND(L13/E13*100,1),0)</f>
        <v/>
      </c>
      <c r="N13" t="inlineStr">
        <is>
          <t>PENDIENTE</t>
        </is>
      </c>
      <c r="O13">
        <f>IF(H13="SI",1,0)*0.6+IF(I13="SI",1,0)*0.4</f>
        <v/>
      </c>
      <c r="P13" t="inlineStr">
        <is>
          <t>PENDIENTE</t>
        </is>
      </c>
      <c r="Q13" t="n">
        <v>49</v>
      </c>
      <c r="R13" t="n">
        <v>136.9</v>
      </c>
      <c r="S13">
        <f>IFERROR(SCORECARDS!C13,"")</f>
        <v/>
      </c>
      <c r="T13">
        <f>IF(NOT(ISNUMBER(S13)),"—",IF(S13&lt;34,"🔴 Crítico",IF(S13&lt;67,"🟡 Vulnerable","🟢 Preparado")))</f>
        <v/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>
        <f>IFERROR(AVERAGE(AA13,AB13,AC13,AD13,AE13,AF13,AG13,AH13,AI13,AJ13,AK13,AL13,AM13,AN13),"N/A")</f>
        <v/>
      </c>
      <c r="AP13">
        <f>IFERROR(AVERAGE(W13,X13,Y13,Z13)/2,"N/A")</f>
        <v/>
      </c>
    </row>
    <row r="14" ht="16.05" customHeight="1" s="37">
      <c r="A14" t="inlineStr">
        <is>
          <t>20143692010</t>
        </is>
      </c>
      <c r="B14" t="inlineStr">
        <is>
          <t>COOPERATIVA AGRARIA EL QUINACHO LTDA. N° 078</t>
        </is>
      </c>
      <c r="C14" t="inlineStr">
        <is>
          <t>AYACUCHO</t>
        </is>
      </c>
      <c r="D14" t="inlineStr">
        <is>
          <t>CACAO</t>
        </is>
      </c>
      <c r="E14" t="n">
        <v>4030694.66</v>
      </c>
      <c r="F14" t="n">
        <v>14</v>
      </c>
      <c r="G14" t="inlineStr">
        <is>
          <t>SI</t>
        </is>
      </c>
      <c r="H14" t="inlineStr">
        <is>
          <t>nan</t>
        </is>
      </c>
      <c r="I14" t="inlineStr">
        <is>
          <t>nan</t>
        </is>
      </c>
      <c r="J14" t="inlineStr">
        <is>
          <t>ACTIVO</t>
        </is>
      </c>
      <c r="K14" t="inlineStr">
        <is>
          <t>nan</t>
        </is>
      </c>
      <c r="L14" t="n">
        <v>2015347.33</v>
      </c>
      <c r="M14">
        <f>IF(E14&gt;0,ROUND(L14/E14*100,1),0)</f>
        <v/>
      </c>
      <c r="N14" t="inlineStr">
        <is>
          <t>PENDIENTE</t>
        </is>
      </c>
      <c r="O14">
        <f>IF(H14="SI",1,0)*0.6+IF(I14="SI",1,0)*0.4</f>
        <v/>
      </c>
      <c r="P14" t="inlineStr">
        <is>
          <t>PENDIENTE</t>
        </is>
      </c>
      <c r="S14">
        <f>IFERROR(SCORECARDS!C14,"")</f>
        <v/>
      </c>
      <c r="T14">
        <f>IF(NOT(ISNUMBER(S14)),"—",IF(S14&lt;34,"🔴 Crítico",IF(S14&lt;67,"🟡 Vulnerable","🟢 Preparado")))</f>
        <v/>
      </c>
      <c r="U14" t="n">
        <v>1</v>
      </c>
      <c r="V14" t="inlineStr">
        <is>
          <t>Sin hallazgos OSCE / OEFA</t>
        </is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>
        <f>IFERROR(AVERAGE(AA14,AB14,AC14,AD14,AE14,AF14,AG14,AH14,AI14,AJ14,AK14,AL14,AM14,AN14),"N/A")</f>
        <v/>
      </c>
      <c r="AP14">
        <f>IFERROR(AVERAGE(W14,X14,Y14,Z14)/2,"N/A")</f>
        <v/>
      </c>
    </row>
    <row r="15" ht="16.05" customHeight="1" s="37">
      <c r="A15" t="inlineStr">
        <is>
          <t>20145484597</t>
        </is>
      </c>
      <c r="B15" t="inlineStr">
        <is>
          <t>COOPERATIVA AGRARIA CAFETALERA SAN IGNACIO LTDA.</t>
        </is>
      </c>
      <c r="C15" t="inlineStr">
        <is>
          <t>PUNO</t>
        </is>
      </c>
      <c r="D15" t="inlineStr">
        <is>
          <t>CAFÉ</t>
        </is>
      </c>
      <c r="G15" t="inlineStr">
        <is>
          <t>NO</t>
        </is>
      </c>
      <c r="H15" t="inlineStr">
        <is>
          <t>nan</t>
        </is>
      </c>
      <c r="I15" t="inlineStr">
        <is>
          <t>nan</t>
        </is>
      </c>
      <c r="J15" t="inlineStr">
        <is>
          <t>ACTIVO</t>
        </is>
      </c>
      <c r="K15" t="inlineStr">
        <is>
          <t>nan</t>
        </is>
      </c>
      <c r="L15" t="n">
        <v>0</v>
      </c>
      <c r="M15">
        <f>IF(E15&gt;0,ROUND(L15/E15*100,1),0)</f>
        <v/>
      </c>
      <c r="N15" t="inlineStr">
        <is>
          <t>PENDIENTE</t>
        </is>
      </c>
      <c r="O15">
        <f>IF(H15="SI",1,0)*0.6+IF(I15="SI",1,0)*0.4</f>
        <v/>
      </c>
      <c r="P15" t="inlineStr">
        <is>
          <t>PENDIENTE</t>
        </is>
      </c>
      <c r="S15">
        <f>IFERROR(SCORECARDS!C15,"")</f>
        <v/>
      </c>
      <c r="T15">
        <f>IF(NOT(ISNUMBER(S15)),"—",IF(S15&lt;34,"🔴 Crítico",IF(S15&lt;67,"🟡 Vulnerable","🟢 Preparado")))</f>
        <v/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>
        <f>IFERROR(AVERAGE(AA15,AB15,AC15,AD15,AE15,AF15,AG15,AH15,AI15,AJ15,AK15,AL15,AM15,AN15),"N/A")</f>
        <v/>
      </c>
      <c r="AP15">
        <f>IFERROR(AVERAGE(W15,X15,Y15,Z15)/2,"N/A")</f>
        <v/>
      </c>
    </row>
    <row r="16" ht="16.05" customHeight="1" s="37">
      <c r="A16" t="inlineStr">
        <is>
          <t>20146696041</t>
        </is>
      </c>
      <c r="B16" t="inlineStr">
        <is>
          <t>COOP AGRARIA CAFET JOSE GABRIEL CONDORCA</t>
        </is>
      </c>
      <c r="C16" t="inlineStr">
        <is>
          <t>PIURA</t>
        </is>
      </c>
      <c r="D16" t="inlineStr">
        <is>
          <t>CAFÉ</t>
        </is>
      </c>
      <c r="G16" t="inlineStr">
        <is>
          <t>NO</t>
        </is>
      </c>
      <c r="H16" t="inlineStr">
        <is>
          <t>nan</t>
        </is>
      </c>
      <c r="I16" t="inlineStr">
        <is>
          <t>nan</t>
        </is>
      </c>
      <c r="J16" t="inlineStr">
        <is>
          <t>ACTIVO</t>
        </is>
      </c>
      <c r="K16" t="inlineStr">
        <is>
          <t>nan</t>
        </is>
      </c>
      <c r="L16" t="n">
        <v>0</v>
      </c>
      <c r="M16">
        <f>IF(E16&gt;0,ROUND(L16/E16*100,1),0)</f>
        <v/>
      </c>
      <c r="N16" t="inlineStr">
        <is>
          <t>PENDIENTE</t>
        </is>
      </c>
      <c r="O16">
        <f>IF(H16="SI",1,0)*0.6+IF(I16="SI",1,0)*0.4</f>
        <v/>
      </c>
      <c r="P16" t="inlineStr">
        <is>
          <t>PENDIENTE</t>
        </is>
      </c>
      <c r="S16">
        <f>IFERROR(SCORECARDS!C16,"")</f>
        <v/>
      </c>
      <c r="T16">
        <f>IF(NOT(ISNUMBER(S16)),"—",IF(S16&lt;34,"🔴 Crítico",IF(S16&lt;67,"🟡 Vulnerable","🟢 Preparado")))</f>
        <v/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>
        <f>IFERROR(AVERAGE(AA16,AB16,AC16,AD16,AE16,AF16,AG16,AH16,AI16,AJ16,AK16,AL16,AM16,AN16),"N/A")</f>
        <v/>
      </c>
      <c r="AP16">
        <f>IFERROR(AVERAGE(W16,X16,Y16,Z16)/2,"N/A")</f>
        <v/>
      </c>
    </row>
    <row r="17" ht="16.05" customHeight="1" s="37">
      <c r="A17" t="inlineStr">
        <is>
          <t>20147443120</t>
        </is>
      </c>
      <c r="B17" t="inlineStr">
        <is>
          <t>COOPERATIVA AGRARIA CAFETALERA TIRIJUAY PAVAYOC LTDA 013-B-V</t>
        </is>
      </c>
      <c r="C17" t="inlineStr">
        <is>
          <t>CUSCO</t>
        </is>
      </c>
      <c r="G17" t="inlineStr">
        <is>
          <t>NO</t>
        </is>
      </c>
      <c r="H17" t="inlineStr">
        <is>
          <t>Cer</t>
        </is>
      </c>
      <c r="I17" t="inlineStr">
        <is>
          <t>Vig</t>
        </is>
      </c>
      <c r="J17" t="inlineStr">
        <is>
          <t>SUSPENSION TEMPORAL</t>
        </is>
      </c>
      <c r="K17" t="inlineStr">
        <is>
          <t>nan</t>
        </is>
      </c>
      <c r="L17" t="n">
        <v>0</v>
      </c>
      <c r="M17">
        <f>IF(E17&gt;0,ROUND(L17/E17*100,1),0)</f>
        <v/>
      </c>
      <c r="N17" t="inlineStr">
        <is>
          <t>PENDIENTE</t>
        </is>
      </c>
      <c r="O17">
        <f>IF(H17="SI",1,0)*0.6+IF(I17="SI",1,0)*0.4</f>
        <v/>
      </c>
      <c r="P17" t="inlineStr">
        <is>
          <t>PENDIENTE</t>
        </is>
      </c>
      <c r="Q17" t="n">
        <v>74</v>
      </c>
      <c r="R17" t="n">
        <v>150</v>
      </c>
      <c r="S17">
        <f>IFERROR(SCORECARDS!C17,"")</f>
        <v/>
      </c>
      <c r="T17">
        <f>IF(NOT(ISNUMBER(S17)),"—",IF(S17&lt;34,"🔴 Crítico",IF(S17&lt;67,"🟡 Vulnerable","🟢 Preparado")))</f>
        <v/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>
        <f>IFERROR(AVERAGE(AA17,AB17,AC17,AD17,AE17,AF17,AG17,AH17,AI17,AJ17,AK17,AL17,AM17,AN17),"N/A")</f>
        <v/>
      </c>
      <c r="AP17">
        <f>IFERROR(AVERAGE(W17,X17,Y17,Z17)/2,"N/A")</f>
        <v/>
      </c>
    </row>
    <row r="18" ht="16.05" customHeight="1" s="37">
      <c r="A18" t="inlineStr">
        <is>
          <t>20166786861</t>
        </is>
      </c>
      <c r="B18" t="inlineStr">
        <is>
          <t>COMITE CENTRAL DE PRODUCTORES AGROPECUARIOS DE SAN ALEJANDRO</t>
        </is>
      </c>
      <c r="C18" t="inlineStr">
        <is>
          <t>UCAYALI</t>
        </is>
      </c>
      <c r="D18" t="inlineStr">
        <is>
          <t>CACAO</t>
        </is>
      </c>
      <c r="G18" t="inlineStr">
        <is>
          <t>NO</t>
        </is>
      </c>
      <c r="H18" t="inlineStr">
        <is>
          <t>nan</t>
        </is>
      </c>
      <c r="I18" t="inlineStr">
        <is>
          <t>nan</t>
        </is>
      </c>
      <c r="J18" t="inlineStr">
        <is>
          <t>ACTIVO</t>
        </is>
      </c>
      <c r="K18" t="inlineStr">
        <is>
          <t>nan</t>
        </is>
      </c>
      <c r="L18" t="n">
        <v>0</v>
      </c>
      <c r="M18">
        <f>IF(E18&gt;0,ROUND(L18/E18*100,1),0)</f>
        <v/>
      </c>
      <c r="N18" t="inlineStr">
        <is>
          <t>PENDIENTE</t>
        </is>
      </c>
      <c r="O18">
        <f>IF(H18="SI",1,0)*0.6+IF(I18="SI",1,0)*0.4</f>
        <v/>
      </c>
      <c r="P18" t="inlineStr">
        <is>
          <t>PENDIENTE</t>
        </is>
      </c>
      <c r="S18">
        <f>IFERROR(SCORECARDS!C18,"")</f>
        <v/>
      </c>
      <c r="T18">
        <f>IF(NOT(ISNUMBER(S18)),"—",IF(S18&lt;34,"🔴 Crítico",IF(S18&lt;67,"🟡 Vulnerable","🟢 Preparado")))</f>
        <v/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>
        <f>IFERROR(AVERAGE(AA18,AB18,AC18,AD18,AE18,AF18,AG18,AH18,AI18,AJ18,AK18,AL18,AM18,AN18),"N/A")</f>
        <v/>
      </c>
      <c r="AP18">
        <f>IFERROR(AVERAGE(W18,X18,Y18,Z18)/2,"N/A")</f>
        <v/>
      </c>
    </row>
    <row r="19" ht="16.05" customHeight="1" s="37">
      <c r="A19" t="inlineStr">
        <is>
          <t>20170142773</t>
        </is>
      </c>
      <c r="B19" t="inlineStr">
        <is>
          <t>COOPERATIVA AGRARIA CAFETALERA BAGUA GRANDE LIMITADA</t>
        </is>
      </c>
      <c r="C19" t="inlineStr">
        <is>
          <t>AMAZONAS</t>
        </is>
      </c>
      <c r="D19" t="inlineStr">
        <is>
          <t>CAFÉ</t>
        </is>
      </c>
      <c r="E19" t="n">
        <v>9070756.880000001</v>
      </c>
      <c r="F19" t="n">
        <v>41</v>
      </c>
      <c r="G19" t="inlineStr">
        <is>
          <t>SI</t>
        </is>
      </c>
      <c r="H19" t="inlineStr">
        <is>
          <t>nan</t>
        </is>
      </c>
      <c r="I19" t="inlineStr">
        <is>
          <t>nan</t>
        </is>
      </c>
      <c r="J19" t="inlineStr">
        <is>
          <t>ACTIVO</t>
        </is>
      </c>
      <c r="K19" t="inlineStr">
        <is>
          <t>nan</t>
        </is>
      </c>
      <c r="L19" t="n">
        <v>4535378.44</v>
      </c>
      <c r="M19">
        <f>IF(E19&gt;0,ROUND(L19/E19*100,1),0)</f>
        <v/>
      </c>
      <c r="N19" t="inlineStr">
        <is>
          <t>PENDIENTE</t>
        </is>
      </c>
      <c r="O19">
        <f>IF(H19="SI",1,0)*0.6+IF(I19="SI",1,0)*0.4</f>
        <v/>
      </c>
      <c r="P19" t="inlineStr">
        <is>
          <t>PENDIENTE</t>
        </is>
      </c>
      <c r="S19">
        <f>IFERROR(SCORECARDS!C19,"")</f>
        <v/>
      </c>
      <c r="T19">
        <f>IF(NOT(ISNUMBER(S19)),"—",IF(S19&lt;34,"🔴 Crítico",IF(S19&lt;67,"🟡 Vulnerable","🟢 Preparado")))</f>
        <v/>
      </c>
      <c r="U19" t="n">
        <v>1</v>
      </c>
      <c r="V19" t="inlineStr">
        <is>
          <t>Sin hallazgos OSCE / OEFA</t>
        </is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>
        <f>IFERROR(AVERAGE(AA19,AB19,AC19,AD19,AE19,AF19,AG19,AH19,AI19,AJ19,AK19,AL19,AM19,AN19),"N/A")</f>
        <v/>
      </c>
      <c r="AP19">
        <f>IFERROR(AVERAGE(W19,X19,Y19,Z19)/2,"N/A")</f>
        <v/>
      </c>
    </row>
    <row r="20" ht="16.05" customHeight="1" s="37">
      <c r="A20" t="inlineStr">
        <is>
          <t>20200880448</t>
        </is>
      </c>
      <c r="B20" t="inlineStr">
        <is>
          <t>COOPERATIVA AGRARIA CAFETALERA JORGE CHAVEZ LTDA</t>
        </is>
      </c>
      <c r="C20" t="inlineStr">
        <is>
          <t>CUSCO</t>
        </is>
      </c>
      <c r="G20" t="inlineStr">
        <is>
          <t>NO</t>
        </is>
      </c>
      <c r="H20" t="inlineStr">
        <is>
          <t>Cer</t>
        </is>
      </c>
      <c r="I20" t="inlineStr">
        <is>
          <t>Vig</t>
        </is>
      </c>
      <c r="J20" t="inlineStr">
        <is>
          <t>ACTIVO</t>
        </is>
      </c>
      <c r="K20" t="inlineStr">
        <is>
          <t>nan</t>
        </is>
      </c>
      <c r="L20" t="n">
        <v>0</v>
      </c>
      <c r="M20">
        <f>IF(E20&gt;0,ROUND(L20/E20*100,1),0)</f>
        <v/>
      </c>
      <c r="N20" t="inlineStr">
        <is>
          <t>PENDIENTE</t>
        </is>
      </c>
      <c r="O20">
        <f>IF(H20="SI",1,0)*0.6+IF(I20="SI",1,0)*0.4</f>
        <v/>
      </c>
      <c r="P20" t="inlineStr">
        <is>
          <t>PENDIENTE</t>
        </is>
      </c>
      <c r="Q20" t="n">
        <v>36</v>
      </c>
      <c r="R20" t="n">
        <v>38</v>
      </c>
      <c r="S20">
        <f>IFERROR(SCORECARDS!C20,"")</f>
        <v/>
      </c>
      <c r="T20">
        <f>IF(NOT(ISNUMBER(S20)),"—",IF(S20&lt;34,"🔴 Crítico",IF(S20&lt;67,"🟡 Vulnerable","🟢 Preparado")))</f>
        <v/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>
        <f>IFERROR(AVERAGE(AA20,AB20,AC20,AD20,AE20,AF20,AG20,AH20,AI20,AJ20,AK20,AL20,AM20,AN20),"N/A")</f>
        <v/>
      </c>
      <c r="AP20">
        <f>IFERROR(AVERAGE(W20,X20,Y20,Z20)/2,"N/A")</f>
        <v/>
      </c>
    </row>
    <row r="21" ht="16.05" customHeight="1" s="37">
      <c r="A21" t="inlineStr">
        <is>
          <t>20352417018</t>
        </is>
      </c>
      <c r="B21" t="inlineStr">
        <is>
          <t>COOPERATIVA AGRARIA DE CACAOTEROS TECNIFICADOS DE PADRE ABAD</t>
        </is>
      </c>
      <c r="C21" t="inlineStr">
        <is>
          <t>UCAYALI</t>
        </is>
      </c>
      <c r="D21" t="inlineStr">
        <is>
          <t>CACAO</t>
        </is>
      </c>
      <c r="E21" t="n">
        <v>0</v>
      </c>
      <c r="G21" t="inlineStr">
        <is>
          <t>NO</t>
        </is>
      </c>
      <c r="H21" t="inlineStr">
        <is>
          <t>nan</t>
        </is>
      </c>
      <c r="I21" t="inlineStr">
        <is>
          <t>nan</t>
        </is>
      </c>
      <c r="J21" t="inlineStr">
        <is>
          <t>SUSPENSION TEMPORAL</t>
        </is>
      </c>
      <c r="K21" t="inlineStr">
        <is>
          <t>nan</t>
        </is>
      </c>
      <c r="L21" t="n">
        <v>0</v>
      </c>
      <c r="M21">
        <f>IF(E21&gt;0,ROUND(L21/E21*100,1),0)</f>
        <v/>
      </c>
      <c r="N21" t="inlineStr">
        <is>
          <t>PENDIENTE</t>
        </is>
      </c>
      <c r="O21">
        <f>IF(H21="SI",1,0)*0.6+IF(I21="SI",1,0)*0.4</f>
        <v/>
      </c>
      <c r="P21" t="inlineStr">
        <is>
          <t>PENDIENTE</t>
        </is>
      </c>
      <c r="S21">
        <f>IFERROR(SCORECARDS!C21,"")</f>
        <v/>
      </c>
      <c r="T21">
        <f>IF(NOT(ISNUMBER(S21)),"—",IF(S21&lt;34,"🔴 Crítico",IF(S21&lt;67,"🟡 Vulnerable","🟢 Preparado")))</f>
        <v/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>
        <f>IFERROR(AVERAGE(AA21,AB21,AC21,AD21,AE21,AF21,AG21,AH21,AI21,AJ21,AK21,AL21,AM21,AN21),"N/A")</f>
        <v/>
      </c>
      <c r="AP21">
        <f>IFERROR(AVERAGE(W21,X21,Y21,Z21)/2,"N/A")</f>
        <v/>
      </c>
    </row>
    <row r="22" ht="16.05" customHeight="1" s="37">
      <c r="A22" t="inlineStr">
        <is>
          <t>20352423921</t>
        </is>
      </c>
      <c r="B22" t="inlineStr">
        <is>
          <t>COOPERATIVA AGRARIA CAFETALERA DIVISORIA LTDA</t>
        </is>
      </c>
      <c r="C22" t="inlineStr">
        <is>
          <t>HUANUCO</t>
        </is>
      </c>
      <c r="D22" t="inlineStr">
        <is>
          <t>CAFÉ</t>
        </is>
      </c>
      <c r="E22" t="n">
        <v>0</v>
      </c>
      <c r="G22" t="inlineStr">
        <is>
          <t>NO</t>
        </is>
      </c>
      <c r="H22" t="inlineStr">
        <is>
          <t>nan</t>
        </is>
      </c>
      <c r="I22" t="inlineStr">
        <is>
          <t>nan</t>
        </is>
      </c>
      <c r="J22" t="inlineStr">
        <is>
          <t>ACTIVO</t>
        </is>
      </c>
      <c r="K22" t="inlineStr">
        <is>
          <t>nan</t>
        </is>
      </c>
      <c r="L22" t="n">
        <v>0</v>
      </c>
      <c r="M22">
        <f>IF(E22&gt;0,ROUND(L22/E22*100,1),0)</f>
        <v/>
      </c>
      <c r="N22" t="inlineStr">
        <is>
          <t>PENDIENTE</t>
        </is>
      </c>
      <c r="O22">
        <f>IF(H22="SI",1,0)*0.6+IF(I22="SI",1,0)*0.4</f>
        <v/>
      </c>
      <c r="P22" t="inlineStr">
        <is>
          <t>PENDIENTE</t>
        </is>
      </c>
      <c r="S22">
        <f>IFERROR(SCORECARDS!C22,"")</f>
        <v/>
      </c>
      <c r="T22">
        <f>IF(NOT(ISNUMBER(S22)),"—",IF(S22&lt;34,"🔴 Crítico",IF(S22&lt;67,"🟡 Vulnerable","🟢 Preparado")))</f>
        <v/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>
        <f>IFERROR(AVERAGE(AA22,AB22,AC22,AD22,AE22,AF22,AG22,AH22,AI22,AJ22,AK22,AL22,AM22,AN22),"N/A")</f>
        <v/>
      </c>
      <c r="AP22">
        <f>IFERROR(AVERAGE(W22,X22,Y22,Z22)/2,"N/A")</f>
        <v/>
      </c>
    </row>
    <row r="23" ht="16.05" customHeight="1" s="37">
      <c r="A23" t="inlineStr">
        <is>
          <t>20393152207</t>
        </is>
      </c>
      <c r="B23" t="inlineStr">
        <is>
          <t>COOPERATIVA AGRO INDUSTRIAL APCTVASH</t>
        </is>
      </c>
      <c r="C23" t="inlineStr">
        <is>
          <t>UCAYALI</t>
        </is>
      </c>
      <c r="D23" t="inlineStr">
        <is>
          <t>CACAO</t>
        </is>
      </c>
      <c r="G23" t="inlineStr">
        <is>
          <t>NO</t>
        </is>
      </c>
      <c r="H23" t="inlineStr">
        <is>
          <t>nan</t>
        </is>
      </c>
      <c r="I23" t="inlineStr">
        <is>
          <t>nan</t>
        </is>
      </c>
      <c r="J23" t="inlineStr">
        <is>
          <t>ACTIVO</t>
        </is>
      </c>
      <c r="K23" t="inlineStr">
        <is>
          <t>nan</t>
        </is>
      </c>
      <c r="L23" t="n">
        <v>0</v>
      </c>
      <c r="M23">
        <f>IF(E23&gt;0,ROUND(L23/E23*100,1),0)</f>
        <v/>
      </c>
      <c r="N23" t="inlineStr">
        <is>
          <t>PENDIENTE</t>
        </is>
      </c>
      <c r="O23">
        <f>IF(H23="SI",1,0)*0.6+IF(I23="SI",1,0)*0.4</f>
        <v/>
      </c>
      <c r="P23" t="inlineStr">
        <is>
          <t>PENDIENTE</t>
        </is>
      </c>
      <c r="S23">
        <f>IFERROR(SCORECARDS!C23,"")</f>
        <v/>
      </c>
      <c r="T23">
        <f>IF(NOT(ISNUMBER(S23)),"—",IF(S23&lt;34,"🔴 Crítico",IF(S23&lt;67,"🟡 Vulnerable","🟢 Preparado")))</f>
        <v/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>
        <f>IFERROR(AVERAGE(AA23,AB23,AC23,AD23,AE23,AF23,AG23,AH23,AI23,AJ23,AK23,AL23,AM23,AN23),"N/A")</f>
        <v/>
      </c>
      <c r="AP23">
        <f>IFERROR(AVERAGE(W23,X23,Y23,Z23)/2,"N/A")</f>
        <v/>
      </c>
    </row>
    <row r="24" ht="16.05" customHeight="1" s="37">
      <c r="A24" t="inlineStr">
        <is>
          <t>20393593670</t>
        </is>
      </c>
      <c r="B24" t="inlineStr">
        <is>
          <t>COMITE CENTRAL CON DESARROLLO AL FUTURO DE CURIMANA</t>
        </is>
      </c>
      <c r="C24" t="inlineStr">
        <is>
          <t>UCAYALI</t>
        </is>
      </c>
      <c r="D24" t="inlineStr">
        <is>
          <t>CACAO</t>
        </is>
      </c>
      <c r="E24" t="n">
        <v>0</v>
      </c>
      <c r="G24" t="inlineStr">
        <is>
          <t>NO</t>
        </is>
      </c>
      <c r="H24" t="inlineStr">
        <is>
          <t>nan</t>
        </is>
      </c>
      <c r="I24" t="inlineStr">
        <is>
          <t>nan</t>
        </is>
      </c>
      <c r="J24" t="inlineStr">
        <is>
          <t>BAJA DE OFICIO</t>
        </is>
      </c>
      <c r="K24" t="inlineStr">
        <is>
          <t>nan</t>
        </is>
      </c>
      <c r="L24" t="n">
        <v>0</v>
      </c>
      <c r="M24">
        <f>IF(E24&gt;0,ROUND(L24/E24*100,1),0)</f>
        <v/>
      </c>
      <c r="N24" t="inlineStr">
        <is>
          <t>PENDIENTE</t>
        </is>
      </c>
      <c r="O24">
        <f>IF(H24="SI",1,0)*0.6+IF(I24="SI",1,0)*0.4</f>
        <v/>
      </c>
      <c r="P24" t="inlineStr">
        <is>
          <t>PENDIENTE</t>
        </is>
      </c>
      <c r="S24">
        <f>IFERROR(SCORECARDS!C24,"")</f>
        <v/>
      </c>
      <c r="T24">
        <f>IF(NOT(ISNUMBER(S24)),"—",IF(S24&lt;34,"🔴 Crítico",IF(S24&lt;67,"🟡 Vulnerable","🟢 Preparado")))</f>
        <v/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>
        <f>IFERROR(AVERAGE(AA24,AB24,AC24,AD24,AE24,AF24,AG24,AH24,AI24,AJ24,AK24,AL24,AM24,AN24),"N/A")</f>
        <v/>
      </c>
      <c r="AP24">
        <f>IFERROR(AVERAGE(W24,X24,Y24,Z24)/2,"N/A")</f>
        <v/>
      </c>
    </row>
    <row r="25" ht="16.05" customHeight="1" s="37">
      <c r="A25" t="inlineStr">
        <is>
          <t>20393692228</t>
        </is>
      </c>
      <c r="B25" t="inlineStr">
        <is>
          <t>COOPERATIVA AGRARIA CACAOTERA SAN ALEJANDRO LTDA</t>
        </is>
      </c>
      <c r="C25" t="inlineStr">
        <is>
          <t>UCAYALI</t>
        </is>
      </c>
      <c r="D25" t="inlineStr">
        <is>
          <t>CACAO</t>
        </is>
      </c>
      <c r="E25" t="n">
        <v>0</v>
      </c>
      <c r="G25" t="inlineStr">
        <is>
          <t>NO</t>
        </is>
      </c>
      <c r="H25" t="inlineStr">
        <is>
          <t>nan</t>
        </is>
      </c>
      <c r="I25" t="inlineStr">
        <is>
          <t>nan</t>
        </is>
      </c>
      <c r="J25" t="inlineStr">
        <is>
          <t>ACTIVO</t>
        </is>
      </c>
      <c r="K25" t="inlineStr">
        <is>
          <t>nan</t>
        </is>
      </c>
      <c r="L25" t="n">
        <v>0</v>
      </c>
      <c r="M25">
        <f>IF(E25&gt;0,ROUND(L25/E25*100,1),0)</f>
        <v/>
      </c>
      <c r="N25" t="inlineStr">
        <is>
          <t>PENDIENTE</t>
        </is>
      </c>
      <c r="O25">
        <f>IF(H25="SI",1,0)*0.6+IF(I25="SI",1,0)*0.4</f>
        <v/>
      </c>
      <c r="P25" t="inlineStr">
        <is>
          <t>PENDIENTE</t>
        </is>
      </c>
      <c r="S25">
        <f>IFERROR(SCORECARDS!C25,"")</f>
        <v/>
      </c>
      <c r="T25">
        <f>IF(NOT(ISNUMBER(S25)),"—",IF(S25&lt;34,"🔴 Crítico",IF(S25&lt;67,"🟡 Vulnerable","🟢 Preparado")))</f>
        <v/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>
        <f>IFERROR(AVERAGE(AA25,AB25,AC25,AD25,AE25,AF25,AG25,AH25,AI25,AJ25,AK25,AL25,AM25,AN25),"N/A")</f>
        <v/>
      </c>
      <c r="AP25">
        <f>IFERROR(AVERAGE(W25,X25,Y25,Z25)/2,"N/A")</f>
        <v/>
      </c>
    </row>
    <row r="26" ht="16.05" customHeight="1" s="37">
      <c r="A26" t="inlineStr">
        <is>
          <t>20393786044</t>
        </is>
      </c>
      <c r="B26" t="inlineStr">
        <is>
          <t>COOPERATIVA AGRARIA CAFETALERA COORDILLERA AZUL DE UCAYALI L</t>
        </is>
      </c>
      <c r="C26" t="inlineStr">
        <is>
          <t>UCAYALI</t>
        </is>
      </c>
      <c r="D26" t="inlineStr">
        <is>
          <t>CAFÉ</t>
        </is>
      </c>
      <c r="G26" t="inlineStr">
        <is>
          <t>NO</t>
        </is>
      </c>
      <c r="H26" t="inlineStr">
        <is>
          <t>nan</t>
        </is>
      </c>
      <c r="I26" t="inlineStr">
        <is>
          <t>nan</t>
        </is>
      </c>
      <c r="J26" t="inlineStr">
        <is>
          <t>ACTIVO</t>
        </is>
      </c>
      <c r="K26" t="inlineStr">
        <is>
          <t>nan</t>
        </is>
      </c>
      <c r="L26" t="n">
        <v>0</v>
      </c>
      <c r="M26">
        <f>IF(E26&gt;0,ROUND(L26/E26*100,1),0)</f>
        <v/>
      </c>
      <c r="N26" t="inlineStr">
        <is>
          <t>PENDIENTE</t>
        </is>
      </c>
      <c r="O26">
        <f>IF(H26="SI",1,0)*0.6+IF(I26="SI",1,0)*0.4</f>
        <v/>
      </c>
      <c r="P26" t="inlineStr">
        <is>
          <t>PENDIENTE</t>
        </is>
      </c>
      <c r="S26">
        <f>IFERROR(SCORECARDS!C26,"")</f>
        <v/>
      </c>
      <c r="T26">
        <f>IF(NOT(ISNUMBER(S26)),"—",IF(S26&lt;34,"🔴 Crítico",IF(S26&lt;67,"🟡 Vulnerable","🟢 Preparado")))</f>
        <v/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>
        <f>IFERROR(AVERAGE(AA26,AB26,AC26,AD26,AE26,AF26,AG26,AH26,AI26,AJ26,AK26,AL26,AM26,AN26),"N/A")</f>
        <v/>
      </c>
      <c r="AP26">
        <f>IFERROR(AVERAGE(W26,X26,Y26,Z26)/2,"N/A")</f>
        <v/>
      </c>
    </row>
    <row r="27" ht="16.05" customHeight="1" s="37">
      <c r="A27" t="inlineStr">
        <is>
          <t>20393816211</t>
        </is>
      </c>
      <c r="B27" t="inlineStr">
        <is>
          <t>COOPERATIVA AGRARIA SAN JUAN BAUTISTA</t>
        </is>
      </c>
      <c r="C27" t="inlineStr">
        <is>
          <t>UCAYALI</t>
        </is>
      </c>
      <c r="D27" t="inlineStr">
        <is>
          <t>CACAO</t>
        </is>
      </c>
      <c r="E27" t="n">
        <v>0</v>
      </c>
      <c r="G27" t="inlineStr">
        <is>
          <t>NO</t>
        </is>
      </c>
      <c r="H27" t="inlineStr">
        <is>
          <t>nan</t>
        </is>
      </c>
      <c r="I27" t="inlineStr">
        <is>
          <t>nan</t>
        </is>
      </c>
      <c r="J27" t="inlineStr">
        <is>
          <t>ACTIVO</t>
        </is>
      </c>
      <c r="K27" t="inlineStr">
        <is>
          <t>nan</t>
        </is>
      </c>
      <c r="L27" t="n">
        <v>0</v>
      </c>
      <c r="M27">
        <f>IF(E27&gt;0,ROUND(L27/E27*100,1),0)</f>
        <v/>
      </c>
      <c r="N27" t="inlineStr">
        <is>
          <t>PENDIENTE</t>
        </is>
      </c>
      <c r="O27">
        <f>IF(H27="SI",1,0)*0.6+IF(I27="SI",1,0)*0.4</f>
        <v/>
      </c>
      <c r="P27" t="inlineStr">
        <is>
          <t>PENDIENTE</t>
        </is>
      </c>
      <c r="S27">
        <f>IFERROR(SCORECARDS!C27,"")</f>
        <v/>
      </c>
      <c r="T27">
        <f>IF(NOT(ISNUMBER(S27)),"—",IF(S27&lt;34,"🔴 Crítico",IF(S27&lt;67,"🟡 Vulnerable","🟢 Preparado")))</f>
        <v/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>
        <f>IFERROR(AVERAGE(AA27,AB27,AC27,AD27,AE27,AF27,AG27,AH27,AI27,AJ27,AK27,AL27,AM27,AN27),"N/A")</f>
        <v/>
      </c>
      <c r="AP27">
        <f>IFERROR(AVERAGE(W27,X27,Y27,Z27)/2,"N/A")</f>
        <v/>
      </c>
    </row>
    <row r="28" ht="16.05" customHeight="1" s="37">
      <c r="A28" t="inlineStr">
        <is>
          <t>20393882868</t>
        </is>
      </c>
      <c r="B28" t="inlineStr">
        <is>
          <t>COOPERATIVA AGRARIA ASCAH</t>
        </is>
      </c>
      <c r="C28" t="inlineStr">
        <is>
          <t>UCAYALI</t>
        </is>
      </c>
      <c r="D28" t="inlineStr">
        <is>
          <t>CACAO</t>
        </is>
      </c>
      <c r="G28" t="inlineStr">
        <is>
          <t>NO</t>
        </is>
      </c>
      <c r="H28" t="inlineStr">
        <is>
          <t>nan</t>
        </is>
      </c>
      <c r="I28" t="inlineStr">
        <is>
          <t>nan</t>
        </is>
      </c>
      <c r="J28" t="inlineStr">
        <is>
          <t>ACTIVO</t>
        </is>
      </c>
      <c r="K28" t="inlineStr">
        <is>
          <t>nan</t>
        </is>
      </c>
      <c r="L28" t="n">
        <v>0</v>
      </c>
      <c r="M28">
        <f>IF(E28&gt;0,ROUND(L28/E28*100,1),0)</f>
        <v/>
      </c>
      <c r="N28" t="inlineStr">
        <is>
          <t>PENDIENTE</t>
        </is>
      </c>
      <c r="O28">
        <f>IF(H28="SI",1,0)*0.6+IF(I28="SI",1,0)*0.4</f>
        <v/>
      </c>
      <c r="P28" t="inlineStr">
        <is>
          <t>PENDIENTE</t>
        </is>
      </c>
      <c r="S28">
        <f>IFERROR(SCORECARDS!C28,"")</f>
        <v/>
      </c>
      <c r="T28">
        <f>IF(NOT(ISNUMBER(S28)),"—",IF(S28&lt;34,"🔴 Crítico",IF(S28&lt;67,"🟡 Vulnerable","🟢 Preparado")))</f>
        <v/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>
        <f>IFERROR(AVERAGE(AA28,AB28,AC28,AD28,AE28,AF28,AG28,AH28,AI28,AJ28,AK28,AL28,AM28,AN28),"N/A")</f>
        <v/>
      </c>
      <c r="AP28">
        <f>IFERROR(AVERAGE(W28,X28,Y28,Z28)/2,"N/A")</f>
        <v/>
      </c>
    </row>
    <row r="29" ht="16.05" customHeight="1" s="37">
      <c r="A29" t="inlineStr">
        <is>
          <t>20393972000</t>
        </is>
      </c>
      <c r="B29" t="inlineStr">
        <is>
          <t>ASOCIACION DE MUJERES EMPRENDEDORAS FLOR DE BOQUERON</t>
        </is>
      </c>
      <c r="C29" t="inlineStr">
        <is>
          <t>UCAYALI</t>
        </is>
      </c>
      <c r="D29" t="inlineStr">
        <is>
          <t>CACAO</t>
        </is>
      </c>
      <c r="G29" t="inlineStr">
        <is>
          <t>NO</t>
        </is>
      </c>
      <c r="H29" t="inlineStr">
        <is>
          <t>nan</t>
        </is>
      </c>
      <c r="I29" t="inlineStr">
        <is>
          <t>nan</t>
        </is>
      </c>
      <c r="J29" t="inlineStr">
        <is>
          <t>ACTIVO</t>
        </is>
      </c>
      <c r="K29" t="inlineStr">
        <is>
          <t>nan</t>
        </is>
      </c>
      <c r="L29" t="n">
        <v>0</v>
      </c>
      <c r="M29">
        <f>IF(E29&gt;0,ROUND(L29/E29*100,1),0)</f>
        <v/>
      </c>
      <c r="N29" t="inlineStr">
        <is>
          <t>PENDIENTE</t>
        </is>
      </c>
      <c r="O29">
        <f>IF(H29="SI",1,0)*0.6+IF(I29="SI",1,0)*0.4</f>
        <v/>
      </c>
      <c r="P29" t="inlineStr">
        <is>
          <t>PENDIENTE</t>
        </is>
      </c>
      <c r="S29">
        <f>IFERROR(SCORECARDS!C29,"")</f>
        <v/>
      </c>
      <c r="T29">
        <f>IF(NOT(ISNUMBER(S29)),"—",IF(S29&lt;34,"🔴 Crítico",IF(S29&lt;67,"🟡 Vulnerable","🟢 Preparado")))</f>
        <v/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>
        <f>IFERROR(AVERAGE(AA29,AB29,AC29,AD29,AE29,AF29,AG29,AH29,AI29,AJ29,AK29,AL29,AM29,AN29),"N/A")</f>
        <v/>
      </c>
      <c r="AP29">
        <f>IFERROR(AVERAGE(W29,X29,Y29,Z29)/2,"N/A")</f>
        <v/>
      </c>
    </row>
    <row r="30" ht="16.05" customHeight="1" s="37">
      <c r="A30" t="inlineStr">
        <is>
          <t>20447888701</t>
        </is>
      </c>
      <c r="B30" t="inlineStr">
        <is>
          <t>COOPERATIVA AGRARIA INDUSTRIAL SAN GABAN LTDA.</t>
        </is>
      </c>
      <c r="C30" t="inlineStr">
        <is>
          <t>PUNO</t>
        </is>
      </c>
      <c r="D30" t="inlineStr">
        <is>
          <t>CACAO</t>
        </is>
      </c>
      <c r="G30" t="inlineStr">
        <is>
          <t>NO</t>
        </is>
      </c>
      <c r="H30" t="inlineStr">
        <is>
          <t>nan</t>
        </is>
      </c>
      <c r="I30" t="inlineStr">
        <is>
          <t>nan</t>
        </is>
      </c>
      <c r="J30" t="inlineStr">
        <is>
          <t>ACTIVO</t>
        </is>
      </c>
      <c r="K30" t="inlineStr">
        <is>
          <t>nan</t>
        </is>
      </c>
      <c r="L30" t="n">
        <v>0</v>
      </c>
      <c r="M30">
        <f>IF(E30&gt;0,ROUND(L30/E30*100,1),0)</f>
        <v/>
      </c>
      <c r="N30" t="inlineStr">
        <is>
          <t>PENDIENTE</t>
        </is>
      </c>
      <c r="O30">
        <f>IF(H30="SI",1,0)*0.6+IF(I30="SI",1,0)*0.4</f>
        <v/>
      </c>
      <c r="P30" t="inlineStr">
        <is>
          <t>PENDIENTE</t>
        </is>
      </c>
      <c r="S30">
        <f>IFERROR(SCORECARDS!C30,"")</f>
        <v/>
      </c>
      <c r="T30">
        <f>IF(NOT(ISNUMBER(S30)),"—",IF(S30&lt;34,"🔴 Crítico",IF(S30&lt;67,"🟡 Vulnerable","🟢 Preparado")))</f>
        <v/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>
        <f>IFERROR(AVERAGE(AA30,AB30,AC30,AD30,AE30,AF30,AG30,AH30,AI30,AJ30,AK30,AL30,AM30,AN30),"N/A")</f>
        <v/>
      </c>
      <c r="AP30">
        <f>IFERROR(AVERAGE(W30,X30,Y30,Z30)/2,"N/A")</f>
        <v/>
      </c>
    </row>
    <row r="31" ht="16.05" customHeight="1" s="37">
      <c r="A31" t="inlineStr">
        <is>
          <t>20450189201</t>
        </is>
      </c>
      <c r="B31" t="inlineStr">
        <is>
          <t>COOPERATIVA DE SERVICIOS MULTIPLES FRUTOS DE SELVA</t>
        </is>
      </c>
      <c r="C31" t="inlineStr">
        <is>
          <t>SAN MARTIN</t>
        </is>
      </c>
      <c r="D31" t="inlineStr">
        <is>
          <t>CAFÉ</t>
        </is>
      </c>
      <c r="E31" t="n">
        <v>0</v>
      </c>
      <c r="G31" t="inlineStr">
        <is>
          <t>NO</t>
        </is>
      </c>
      <c r="H31" t="inlineStr">
        <is>
          <t>nan</t>
        </is>
      </c>
      <c r="I31" t="inlineStr">
        <is>
          <t>nan</t>
        </is>
      </c>
      <c r="J31" t="inlineStr">
        <is>
          <t>ACTIVO</t>
        </is>
      </c>
      <c r="K31" t="inlineStr">
        <is>
          <t>nan</t>
        </is>
      </c>
      <c r="L31" t="n">
        <v>0</v>
      </c>
      <c r="M31">
        <f>IF(E31&gt;0,ROUND(L31/E31*100,1),0)</f>
        <v/>
      </c>
      <c r="N31" t="inlineStr">
        <is>
          <t>PENDIENTE</t>
        </is>
      </c>
      <c r="O31">
        <f>IF(H31="SI",1,0)*0.6+IF(I31="SI",1,0)*0.4</f>
        <v/>
      </c>
      <c r="P31" t="inlineStr">
        <is>
          <t>PENDIENTE</t>
        </is>
      </c>
      <c r="S31">
        <f>IFERROR(SCORECARDS!C31,"")</f>
        <v/>
      </c>
      <c r="T31">
        <f>IF(NOT(ISNUMBER(S31)),"—",IF(S31&lt;34,"🔴 Crítico",IF(S31&lt;67,"🟡 Vulnerable","🟢 Preparado")))</f>
        <v/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>
        <f>IFERROR(AVERAGE(AA31,AB31,AC31,AD31,AE31,AF31,AG31,AH31,AI31,AJ31,AK31,AL31,AM31,AN31),"N/A")</f>
        <v/>
      </c>
      <c r="AP31">
        <f>IFERROR(AVERAGE(W31,X31,Y31,Z31)/2,"N/A")</f>
        <v/>
      </c>
    </row>
    <row r="32" ht="16.05" customHeight="1" s="37">
      <c r="A32" t="inlineStr">
        <is>
          <t>20450207544</t>
        </is>
      </c>
      <c r="B32" t="inlineStr">
        <is>
          <t>COOPERATIVA AGRARIA UCHIZA LTDA</t>
        </is>
      </c>
      <c r="C32" t="inlineStr">
        <is>
          <t>SAN MARTIN</t>
        </is>
      </c>
      <c r="D32" t="inlineStr">
        <is>
          <t>CACAO</t>
        </is>
      </c>
      <c r="E32" t="n">
        <v>0</v>
      </c>
      <c r="G32" t="inlineStr">
        <is>
          <t>NO</t>
        </is>
      </c>
      <c r="H32" t="inlineStr">
        <is>
          <t>nan</t>
        </is>
      </c>
      <c r="I32" t="inlineStr">
        <is>
          <t>nan</t>
        </is>
      </c>
      <c r="J32" t="inlineStr">
        <is>
          <t>ACTIVO</t>
        </is>
      </c>
      <c r="K32" t="inlineStr">
        <is>
          <t>nan</t>
        </is>
      </c>
      <c r="L32" t="n">
        <v>0</v>
      </c>
      <c r="M32">
        <f>IF(E32&gt;0,ROUND(L32/E32*100,1),0)</f>
        <v/>
      </c>
      <c r="N32" t="inlineStr">
        <is>
          <t>PENDIENTE</t>
        </is>
      </c>
      <c r="O32">
        <f>IF(H32="SI",1,0)*0.6+IF(I32="SI",1,0)*0.4</f>
        <v/>
      </c>
      <c r="P32" t="inlineStr">
        <is>
          <t>PENDIENTE</t>
        </is>
      </c>
      <c r="S32">
        <f>IFERROR(SCORECARDS!C32,"")</f>
        <v/>
      </c>
      <c r="T32">
        <f>IF(NOT(ISNUMBER(S32)),"—",IF(S32&lt;34,"🔴 Crítico",IF(S32&lt;67,"🟡 Vulnerable","🟢 Preparado")))</f>
        <v/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>
        <f>IFERROR(AVERAGE(AA32,AB32,AC32,AD32,AE32,AF32,AG32,AH32,AI32,AJ32,AK32,AL32,AM32,AN32),"N/A")</f>
        <v/>
      </c>
      <c r="AP32">
        <f>IFERROR(AVERAGE(W32,X32,Y32,Z32)/2,"N/A")</f>
        <v/>
      </c>
    </row>
    <row r="33" ht="16.05" customHeight="1" s="37">
      <c r="A33" t="inlineStr">
        <is>
          <t>20450242021</t>
        </is>
      </c>
      <c r="B33" t="inlineStr">
        <is>
          <t>COOPERATIVA DE SERVICIOS MULTIPLES CAPEMA</t>
        </is>
      </c>
      <c r="C33" t="inlineStr">
        <is>
          <t>SAN MARTIN</t>
        </is>
      </c>
      <c r="D33" t="inlineStr">
        <is>
          <t>CAFÉ</t>
        </is>
      </c>
      <c r="E33" t="n">
        <v>0</v>
      </c>
      <c r="G33" t="inlineStr">
        <is>
          <t>NO</t>
        </is>
      </c>
      <c r="H33" t="inlineStr">
        <is>
          <t>nan</t>
        </is>
      </c>
      <c r="I33" t="inlineStr">
        <is>
          <t>nan</t>
        </is>
      </c>
      <c r="J33" t="inlineStr">
        <is>
          <t>ACTIVO</t>
        </is>
      </c>
      <c r="K33" t="inlineStr">
        <is>
          <t>nan</t>
        </is>
      </c>
      <c r="L33" t="n">
        <v>0</v>
      </c>
      <c r="M33">
        <f>IF(E33&gt;0,ROUND(L33/E33*100,1),0)</f>
        <v/>
      </c>
      <c r="N33" t="inlineStr">
        <is>
          <t>PENDIENTE</t>
        </is>
      </c>
      <c r="O33">
        <f>IF(H33="SI",1,0)*0.6+IF(I33="SI",1,0)*0.4</f>
        <v/>
      </c>
      <c r="P33" t="inlineStr">
        <is>
          <t>PENDIENTE</t>
        </is>
      </c>
      <c r="S33">
        <f>IFERROR(SCORECARDS!C33,"")</f>
        <v/>
      </c>
      <c r="T33">
        <f>IF(NOT(ISNUMBER(S33)),"—",IF(S33&lt;34,"🔴 Crítico",IF(S33&lt;67,"🟡 Vulnerable","🟢 Preparado")))</f>
        <v/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>
        <f>IFERROR(AVERAGE(AA33,AB33,AC33,AD33,AE33,AF33,AG33,AH33,AI33,AJ33,AK33,AL33,AM33,AN33),"N/A")</f>
        <v/>
      </c>
      <c r="AP33">
        <f>IFERROR(AVERAGE(W33,X33,Y33,Z33)/2,"N/A")</f>
        <v/>
      </c>
    </row>
    <row r="34" ht="16.05" customHeight="1" s="37">
      <c r="A34" t="inlineStr">
        <is>
          <t>20450319423</t>
        </is>
      </c>
      <c r="B34" t="inlineStr">
        <is>
          <t>COOPERATIVA AGRARIA DE SERVICIOS MULTIPLES CAFE DONCEL</t>
        </is>
      </c>
      <c r="C34" t="inlineStr">
        <is>
          <t>SAN MARTIN</t>
        </is>
      </c>
      <c r="D34" t="inlineStr">
        <is>
          <t>CAFÉ</t>
        </is>
      </c>
      <c r="G34" t="inlineStr">
        <is>
          <t>NO</t>
        </is>
      </c>
      <c r="H34" t="inlineStr">
        <is>
          <t>nan</t>
        </is>
      </c>
      <c r="I34" t="inlineStr">
        <is>
          <t>nan</t>
        </is>
      </c>
      <c r="J34" t="inlineStr">
        <is>
          <t>ACTIVO</t>
        </is>
      </c>
      <c r="K34" t="inlineStr">
        <is>
          <t>nan</t>
        </is>
      </c>
      <c r="L34" t="n">
        <v>0</v>
      </c>
      <c r="M34">
        <f>IF(E34&gt;0,ROUND(L34/E34*100,1),0)</f>
        <v/>
      </c>
      <c r="N34" t="inlineStr">
        <is>
          <t>PENDIENTE</t>
        </is>
      </c>
      <c r="O34">
        <f>IF(H34="SI",1,0)*0.6+IF(I34="SI",1,0)*0.4</f>
        <v/>
      </c>
      <c r="P34" t="inlineStr">
        <is>
          <t>PENDIENTE</t>
        </is>
      </c>
      <c r="S34">
        <f>IFERROR(SCORECARDS!C34,"")</f>
        <v/>
      </c>
      <c r="T34">
        <f>IF(NOT(ISNUMBER(S34)),"—",IF(S34&lt;34,"🔴 Crítico",IF(S34&lt;67,"🟡 Vulnerable","🟢 Preparado")))</f>
        <v/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>
        <f>IFERROR(AVERAGE(AA34,AB34,AC34,AD34,AE34,AF34,AG34,AH34,AI34,AJ34,AK34,AL34,AM34,AN34),"N/A")</f>
        <v/>
      </c>
      <c r="AP34">
        <f>IFERROR(AVERAGE(W34,X34,Y34,Z34)/2,"N/A")</f>
        <v/>
      </c>
    </row>
    <row r="35" ht="16.05" customHeight="1" s="37">
      <c r="A35" t="inlineStr">
        <is>
          <t>20452774705</t>
        </is>
      </c>
      <c r="B35" t="inlineStr">
        <is>
          <t>COOPERATIVA AGRARIA CACAO VRAE</t>
        </is>
      </c>
      <c r="C35" t="inlineStr">
        <is>
          <t>CUSCO</t>
        </is>
      </c>
      <c r="D35" t="inlineStr">
        <is>
          <t>CACAO</t>
        </is>
      </c>
      <c r="E35" t="n">
        <v>1931452.7</v>
      </c>
      <c r="F35" t="n">
        <v>7</v>
      </c>
      <c r="G35" t="inlineStr">
        <is>
          <t>SI</t>
        </is>
      </c>
      <c r="H35" t="inlineStr">
        <is>
          <t>nan</t>
        </is>
      </c>
      <c r="I35" t="inlineStr">
        <is>
          <t>nan</t>
        </is>
      </c>
      <c r="J35" t="inlineStr">
        <is>
          <t>ACTIVO</t>
        </is>
      </c>
      <c r="K35" t="inlineStr">
        <is>
          <t>nan</t>
        </is>
      </c>
      <c r="L35" t="n">
        <v>965726.35</v>
      </c>
      <c r="M35">
        <f>IF(E35&gt;0,ROUND(L35/E35*100,1),0)</f>
        <v/>
      </c>
      <c r="N35" t="inlineStr">
        <is>
          <t>PENDIENTE</t>
        </is>
      </c>
      <c r="O35">
        <f>IF(H35="SI",1,0)*0.6+IF(I35="SI",1,0)*0.4</f>
        <v/>
      </c>
      <c r="P35" t="inlineStr">
        <is>
          <t>PENDIENTE</t>
        </is>
      </c>
      <c r="S35">
        <f>IFERROR(SCORECARDS!C35,"")</f>
        <v/>
      </c>
      <c r="T35">
        <f>IF(NOT(ISNUMBER(S35)),"—",IF(S35&lt;34,"🔴 Crítico",IF(S35&lt;67,"🟡 Vulnerable","🟢 Preparado")))</f>
        <v/>
      </c>
      <c r="U35" t="n">
        <v>1</v>
      </c>
      <c r="V35" t="inlineStr">
        <is>
          <t>Sin hallazgos OSCE / OEFA</t>
        </is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>
        <f>IFERROR(AVERAGE(AA35,AB35,AC35,AD35,AE35,AF35,AG35,AH35,AI35,AJ35,AK35,AL35,AM35,AN35),"N/A")</f>
        <v/>
      </c>
      <c r="AP35">
        <f>IFERROR(AVERAGE(W35,X35,Y35,Z35)/2,"N/A")</f>
        <v/>
      </c>
    </row>
    <row r="36" ht="16.05" customHeight="1" s="37">
      <c r="A36" t="inlineStr">
        <is>
          <t>20479595276</t>
        </is>
      </c>
      <c r="B36" t="inlineStr">
        <is>
          <t>COOPERATIVA AGRARIA CAFETALERA CASIL LTDA.</t>
        </is>
      </c>
      <c r="C36" t="inlineStr">
        <is>
          <t>CAJAMARCA</t>
        </is>
      </c>
      <c r="D36" t="inlineStr">
        <is>
          <t>CAFÉ</t>
        </is>
      </c>
      <c r="E36" t="n">
        <v>4538578.93</v>
      </c>
      <c r="F36" t="n">
        <v>24</v>
      </c>
      <c r="G36" t="inlineStr">
        <is>
          <t>SI</t>
        </is>
      </c>
      <c r="H36" t="inlineStr">
        <is>
          <t>SI</t>
        </is>
      </c>
      <c r="I36" t="inlineStr">
        <is>
          <t>SI</t>
        </is>
      </c>
      <c r="J36" t="inlineStr">
        <is>
          <t>ACTIVO</t>
        </is>
      </c>
      <c r="K36" t="inlineStr">
        <is>
          <t>nan</t>
        </is>
      </c>
      <c r="L36" t="n">
        <v>965167.45</v>
      </c>
      <c r="M36">
        <f>IF(E36&gt;0,ROUND(L36/E36*100,1),0)</f>
        <v/>
      </c>
      <c r="N36" t="inlineStr">
        <is>
          <t>PENDIENTE</t>
        </is>
      </c>
      <c r="O36">
        <f>IF(H36="SI",1,0)*0.6+IF(I36="SI",1,0)*0.4</f>
        <v/>
      </c>
      <c r="P36" t="inlineStr">
        <is>
          <t>PENDIENTE</t>
        </is>
      </c>
      <c r="Q36" t="n">
        <v>178</v>
      </c>
      <c r="R36" t="n">
        <v>437</v>
      </c>
      <c r="S36">
        <f>IFERROR(SCORECARDS!C36,"")</f>
        <v/>
      </c>
      <c r="T36">
        <f>IF(NOT(ISNUMBER(S36)),"—",IF(S36&lt;34,"🔴 Crítico",IF(S36&lt;67,"🟡 Vulnerable","🟢 Preparado")))</f>
        <v/>
      </c>
      <c r="U36" t="n">
        <v>1</v>
      </c>
      <c r="V36" t="inlineStr">
        <is>
          <t>Sin hallazgos OSCE / OEFA</t>
        </is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>
        <f>IFERROR(AVERAGE(AA36,AB36,AC36,AD36,AE36,AF36,AG36,AH36,AI36,AJ36,AK36,AL36,AM36,AN36),"N/A")</f>
        <v/>
      </c>
      <c r="AP36">
        <f>IFERROR(AVERAGE(W36,X36,Y36,Z36)/2,"N/A")</f>
        <v/>
      </c>
    </row>
    <row r="37" ht="16.05" customHeight="1" s="37">
      <c r="A37" t="inlineStr">
        <is>
          <t>20479622699</t>
        </is>
      </c>
      <c r="B37" t="inlineStr">
        <is>
          <t>COOPERATIVA AGRARIA JUAN MARCO EL PALTO</t>
        </is>
      </c>
      <c r="C37" t="inlineStr">
        <is>
          <t>AMAZONAS</t>
        </is>
      </c>
      <c r="D37" t="inlineStr">
        <is>
          <t>CAFÉ</t>
        </is>
      </c>
      <c r="E37" t="n">
        <v>0</v>
      </c>
      <c r="G37" t="inlineStr">
        <is>
          <t>NO</t>
        </is>
      </c>
      <c r="H37" t="inlineStr">
        <is>
          <t>nan</t>
        </is>
      </c>
      <c r="I37" t="inlineStr">
        <is>
          <t>nan</t>
        </is>
      </c>
      <c r="J37" t="inlineStr">
        <is>
          <t>ACTIVO</t>
        </is>
      </c>
      <c r="K37" t="inlineStr">
        <is>
          <t>nan</t>
        </is>
      </c>
      <c r="L37" t="n">
        <v>0</v>
      </c>
      <c r="M37">
        <f>IF(E37&gt;0,ROUND(L37/E37*100,1),0)</f>
        <v/>
      </c>
      <c r="N37" t="inlineStr">
        <is>
          <t>PENDIENTE</t>
        </is>
      </c>
      <c r="O37">
        <f>IF(H37="SI",1,0)*0.6+IF(I37="SI",1,0)*0.4</f>
        <v/>
      </c>
      <c r="P37" t="inlineStr">
        <is>
          <t>PENDIENTE</t>
        </is>
      </c>
      <c r="S37">
        <f>IFERROR(SCORECARDS!C37,"")</f>
        <v/>
      </c>
      <c r="T37">
        <f>IF(NOT(ISNUMBER(S37)),"—",IF(S37&lt;34,"🔴 Crítico",IF(S37&lt;67,"🟡 Vulnerable","🟢 Preparado")))</f>
        <v/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>
        <f>IFERROR(AVERAGE(AA37,AB37,AC37,AD37,AE37,AF37,AG37,AH37,AI37,AJ37,AK37,AL37,AM37,AN37),"N/A")</f>
        <v/>
      </c>
      <c r="AP37">
        <f>IFERROR(AVERAGE(W37,X37,Y37,Z37)/2,"N/A")</f>
        <v/>
      </c>
    </row>
    <row r="38" ht="16.05" customHeight="1" s="37">
      <c r="A38" t="inlineStr">
        <is>
          <t>20479856258</t>
        </is>
      </c>
      <c r="B38" t="inlineStr">
        <is>
          <t>ASOCIACION DE PRODUCTORES AGROPECUARIOS LUIS SOLIBARRIA</t>
        </is>
      </c>
      <c r="C38" t="inlineStr">
        <is>
          <t>AMAZONAS</t>
        </is>
      </c>
      <c r="G38" t="inlineStr">
        <is>
          <t>NO</t>
        </is>
      </c>
      <c r="H38" t="inlineStr">
        <is>
          <t>nan</t>
        </is>
      </c>
      <c r="I38" t="inlineStr">
        <is>
          <t>nan</t>
        </is>
      </c>
      <c r="J38" t="inlineStr">
        <is>
          <t>BAJA DE OFICIO</t>
        </is>
      </c>
      <c r="K38" t="inlineStr">
        <is>
          <t>nan</t>
        </is>
      </c>
      <c r="L38" t="n">
        <v>0</v>
      </c>
      <c r="M38">
        <f>IF(E38&gt;0,ROUND(L38/E38*100,1),0)</f>
        <v/>
      </c>
      <c r="N38" t="inlineStr">
        <is>
          <t>PENDIENTE</t>
        </is>
      </c>
      <c r="O38">
        <f>IF(H38="SI",1,0)*0.6+IF(I38="SI",1,0)*0.4</f>
        <v/>
      </c>
      <c r="P38" t="inlineStr">
        <is>
          <t>PENDIENTE</t>
        </is>
      </c>
      <c r="S38">
        <f>IFERROR(SCORECARDS!C38,"")</f>
        <v/>
      </c>
      <c r="T38">
        <f>IF(NOT(ISNUMBER(S38)),"—",IF(S38&lt;34,"🔴 Crítico",IF(S38&lt;67,"🟡 Vulnerable","🟢 Preparado")))</f>
        <v/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>
        <f>IFERROR(AVERAGE(AA38,AB38,AC38,AD38,AE38,AF38,AG38,AH38,AI38,AJ38,AK38,AL38,AM38,AN38),"N/A")</f>
        <v/>
      </c>
      <c r="AP38">
        <f>IFERROR(AVERAGE(W38,X38,Y38,Z38)/2,"N/A")</f>
        <v/>
      </c>
    </row>
    <row r="39" ht="16.05" customHeight="1" s="37">
      <c r="A39" t="inlineStr">
        <is>
          <t>20479917141</t>
        </is>
      </c>
      <c r="B39" t="inlineStr">
        <is>
          <t>COOPERATIVA AGRARIA CENTRAL DE PRODUCTORES DE AMAZONAS</t>
        </is>
      </c>
      <c r="C39" t="inlineStr">
        <is>
          <t>AMAZONAS</t>
        </is>
      </c>
      <c r="D39" t="inlineStr">
        <is>
          <t>CACAO</t>
        </is>
      </c>
      <c r="E39" t="n">
        <v>1175215.28</v>
      </c>
      <c r="F39" t="n">
        <v>7</v>
      </c>
      <c r="G39" t="inlineStr">
        <is>
          <t>SI</t>
        </is>
      </c>
      <c r="H39" t="inlineStr">
        <is>
          <t>nan</t>
        </is>
      </c>
      <c r="I39" t="inlineStr">
        <is>
          <t>nan</t>
        </is>
      </c>
      <c r="J39" t="inlineStr">
        <is>
          <t>ACTIVO</t>
        </is>
      </c>
      <c r="K39" t="inlineStr">
        <is>
          <t>nan</t>
        </is>
      </c>
      <c r="L39" t="n">
        <v>587607.64</v>
      </c>
      <c r="M39">
        <f>IF(E39&gt;0,ROUND(L39/E39*100,1),0)</f>
        <v/>
      </c>
      <c r="N39" t="inlineStr">
        <is>
          <t>PENDIENTE</t>
        </is>
      </c>
      <c r="O39">
        <f>IF(H39="SI",1,0)*0.6+IF(I39="SI",1,0)*0.4</f>
        <v/>
      </c>
      <c r="P39" t="inlineStr">
        <is>
          <t>PENDIENTE</t>
        </is>
      </c>
      <c r="S39">
        <f>IFERROR(SCORECARDS!C39,"")</f>
        <v/>
      </c>
      <c r="T39">
        <f>IF(NOT(ISNUMBER(S39)),"—",IF(S39&lt;34,"🔴 Crítico",IF(S39&lt;67,"🟡 Vulnerable","🟢 Preparado")))</f>
        <v/>
      </c>
      <c r="U39" t="n">
        <v>1</v>
      </c>
      <c r="V39" t="inlineStr">
        <is>
          <t>Sin hallazgos OSCE / OEFA</t>
        </is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>
        <f>IFERROR(AVERAGE(AA39,AB39,AC39,AD39,AE39,AF39,AG39,AH39,AI39,AJ39,AK39,AL39,AM39,AN39),"N/A")</f>
        <v/>
      </c>
      <c r="AP39">
        <f>IFERROR(AVERAGE(W39,X39,Y39,Z39)/2,"N/A")</f>
        <v/>
      </c>
    </row>
    <row r="40" ht="16.05" customHeight="1" s="37">
      <c r="A40" t="inlineStr">
        <is>
          <t>20480458550</t>
        </is>
      </c>
      <c r="B40" t="inlineStr">
        <is>
          <t>COOPERATIVA AGRARIA APROCAM</t>
        </is>
      </c>
      <c r="C40" t="inlineStr">
        <is>
          <t>AMAZONAS</t>
        </is>
      </c>
      <c r="D40" t="inlineStr">
        <is>
          <t>CACAO</t>
        </is>
      </c>
      <c r="E40" t="n">
        <v>1684429.98</v>
      </c>
      <c r="F40" t="n">
        <v>14</v>
      </c>
      <c r="G40" t="inlineStr">
        <is>
          <t>SI</t>
        </is>
      </c>
      <c r="H40" t="inlineStr">
        <is>
          <t>nan</t>
        </is>
      </c>
      <c r="I40" t="inlineStr">
        <is>
          <t>nan</t>
        </is>
      </c>
      <c r="J40" t="inlineStr">
        <is>
          <t>ACTIVO</t>
        </is>
      </c>
      <c r="K40" t="inlineStr">
        <is>
          <t>nan</t>
        </is>
      </c>
      <c r="L40" t="n">
        <v>842214.99</v>
      </c>
      <c r="M40">
        <f>IF(E40&gt;0,ROUND(L40/E40*100,1),0)</f>
        <v/>
      </c>
      <c r="N40" t="inlineStr">
        <is>
          <t>PENDIENTE</t>
        </is>
      </c>
      <c r="O40">
        <f>IF(H40="SI",1,0)*0.6+IF(I40="SI",1,0)*0.4</f>
        <v/>
      </c>
      <c r="P40" t="inlineStr">
        <is>
          <t>PENDIENTE</t>
        </is>
      </c>
      <c r="S40">
        <f>IFERROR(SCORECARDS!C40,"")</f>
        <v/>
      </c>
      <c r="T40">
        <f>IF(NOT(ISNUMBER(S40)),"—",IF(S40&lt;34,"🔴 Crítico",IF(S40&lt;67,"🟡 Vulnerable","🟢 Preparado")))</f>
        <v/>
      </c>
      <c r="U40" t="n">
        <v>1</v>
      </c>
      <c r="V40" t="inlineStr">
        <is>
          <t>Sin hallazgos OSCE / OEFA</t>
        </is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>
        <f>IFERROR(AVERAGE(AA40,AB40,AC40,AD40,AE40,AF40,AG40,AH40,AI40,AJ40,AK40,AL40,AM40,AN40),"N/A")</f>
        <v/>
      </c>
      <c r="AP40">
        <f>IFERROR(AVERAGE(W40,X40,Y40,Z40)/2,"N/A")</f>
        <v/>
      </c>
    </row>
    <row r="41" ht="16.05" customHeight="1" s="37">
      <c r="A41" t="inlineStr">
        <is>
          <t>20480762895</t>
        </is>
      </c>
      <c r="B41" t="inlineStr">
        <is>
          <t>ASOCIACION DE PRODUCTORES AGROPECUARIOS LA FLOR DE CAFE</t>
        </is>
      </c>
      <c r="C41" t="inlineStr">
        <is>
          <t>AMAZONAS</t>
        </is>
      </c>
      <c r="D41" t="inlineStr">
        <is>
          <t>CAFÉ</t>
        </is>
      </c>
      <c r="E41" t="n">
        <v>0</v>
      </c>
      <c r="G41" t="inlineStr">
        <is>
          <t>NO</t>
        </is>
      </c>
      <c r="H41" t="inlineStr">
        <is>
          <t>nan</t>
        </is>
      </c>
      <c r="I41" t="inlineStr">
        <is>
          <t>nan</t>
        </is>
      </c>
      <c r="J41" t="inlineStr">
        <is>
          <t>BAJA DE OFICIO</t>
        </is>
      </c>
      <c r="K41" t="inlineStr">
        <is>
          <t>nan</t>
        </is>
      </c>
      <c r="L41" t="n">
        <v>0</v>
      </c>
      <c r="M41">
        <f>IF(E41&gt;0,ROUND(L41/E41*100,1),0)</f>
        <v/>
      </c>
      <c r="N41" t="inlineStr">
        <is>
          <t>PENDIENTE</t>
        </is>
      </c>
      <c r="O41">
        <f>IF(H41="SI",1,0)*0.6+IF(I41="SI",1,0)*0.4</f>
        <v/>
      </c>
      <c r="P41" t="inlineStr">
        <is>
          <t>PENDIENTE</t>
        </is>
      </c>
      <c r="S41">
        <f>IFERROR(SCORECARDS!C41,"")</f>
        <v/>
      </c>
      <c r="T41">
        <f>IF(NOT(ISNUMBER(S41)),"—",IF(S41&lt;34,"🔴 Crítico",IF(S41&lt;67,"🟡 Vulnerable","🟢 Preparado")))</f>
        <v/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>
        <f>IFERROR(AVERAGE(AA41,AB41,AC41,AD41,AE41,AF41,AG41,AH41,AI41,AJ41,AK41,AL41,AM41,AN41),"N/A")</f>
        <v/>
      </c>
      <c r="AP41">
        <f>IFERROR(AVERAGE(W41,X41,Y41,Z41)/2,"N/A")</f>
        <v/>
      </c>
    </row>
    <row r="42" ht="16.05" customHeight="1" s="37">
      <c r="A42" t="inlineStr">
        <is>
          <t>20484163902</t>
        </is>
      </c>
      <c r="B42" t="inlineStr">
        <is>
          <t>COOPERATIVA AGRARIA APPROCAP LTDA</t>
        </is>
      </c>
      <c r="C42" t="inlineStr">
        <is>
          <t>PIURA</t>
        </is>
      </c>
      <c r="D42" t="inlineStr">
        <is>
          <t>CACAO</t>
        </is>
      </c>
      <c r="E42" t="n">
        <v>817000</v>
      </c>
      <c r="F42" t="n">
        <v>6</v>
      </c>
      <c r="G42" t="inlineStr">
        <is>
          <t>SI</t>
        </is>
      </c>
      <c r="H42" t="inlineStr">
        <is>
          <t>nan</t>
        </is>
      </c>
      <c r="I42" t="inlineStr">
        <is>
          <t>nan</t>
        </is>
      </c>
      <c r="J42" t="inlineStr">
        <is>
          <t>ACTIVO</t>
        </is>
      </c>
      <c r="K42" t="inlineStr">
        <is>
          <t>nan</t>
        </is>
      </c>
      <c r="L42" t="n">
        <v>408500</v>
      </c>
      <c r="M42">
        <f>IF(E42&gt;0,ROUND(L42/E42*100,1),0)</f>
        <v/>
      </c>
      <c r="N42" t="inlineStr">
        <is>
          <t>PENDIENTE</t>
        </is>
      </c>
      <c r="O42">
        <f>IF(H42="SI",1,0)*0.6+IF(I42="SI",1,0)*0.4</f>
        <v/>
      </c>
      <c r="P42" t="inlineStr">
        <is>
          <t>PENDIENTE</t>
        </is>
      </c>
      <c r="S42">
        <f>IFERROR(SCORECARDS!C42,"")</f>
        <v/>
      </c>
      <c r="T42">
        <f>IF(NOT(ISNUMBER(S42)),"—",IF(S42&lt;34,"🔴 Crítico",IF(S42&lt;67,"🟡 Vulnerable","🟢 Preparado")))</f>
        <v/>
      </c>
      <c r="U42" t="n">
        <v>1</v>
      </c>
      <c r="V42" t="inlineStr">
        <is>
          <t>Sin hallazgos OSCE / OEFA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>
        <f>IFERROR(AVERAGE(AA42,AB42,AC42,AD42,AE42,AF42,AG42,AH42,AI42,AJ42,AK42,AL42,AM42,AN42),"N/A")</f>
        <v/>
      </c>
      <c r="AP42">
        <f>IFERROR(AVERAGE(W42,X42,Y42,Z42)/2,"N/A")</f>
        <v/>
      </c>
    </row>
    <row r="43" ht="16.05" customHeight="1" s="37">
      <c r="A43" t="inlineStr">
        <is>
          <t>20485945815</t>
        </is>
      </c>
      <c r="B43" t="inlineStr">
        <is>
          <t>COOPERATIVA AGRARIA CAFETALERA ECOLOGICO ALTO PALOMAR</t>
        </is>
      </c>
      <c r="C43" t="inlineStr">
        <is>
          <t>JUNIN</t>
        </is>
      </c>
      <c r="D43" t="inlineStr">
        <is>
          <t>CAFÉ</t>
        </is>
      </c>
      <c r="E43" t="n">
        <v>0</v>
      </c>
      <c r="G43" t="inlineStr">
        <is>
          <t>NO</t>
        </is>
      </c>
      <c r="H43" t="inlineStr">
        <is>
          <t>nan</t>
        </is>
      </c>
      <c r="I43" t="inlineStr">
        <is>
          <t>nan</t>
        </is>
      </c>
      <c r="J43" t="inlineStr">
        <is>
          <t>SUSPENSION TEMPORAL</t>
        </is>
      </c>
      <c r="K43" t="inlineStr">
        <is>
          <t>nan</t>
        </is>
      </c>
      <c r="L43" t="n">
        <v>0</v>
      </c>
      <c r="M43">
        <f>IF(E43&gt;0,ROUND(L43/E43*100,1),0)</f>
        <v/>
      </c>
      <c r="N43" t="inlineStr">
        <is>
          <t>PENDIENTE</t>
        </is>
      </c>
      <c r="O43">
        <f>IF(H43="SI",1,0)*0.6+IF(I43="SI",1,0)*0.4</f>
        <v/>
      </c>
      <c r="P43" t="inlineStr">
        <is>
          <t>PENDIENTE</t>
        </is>
      </c>
      <c r="S43">
        <f>IFERROR(SCORECARDS!C43,"")</f>
        <v/>
      </c>
      <c r="T43">
        <f>IF(NOT(ISNUMBER(S43)),"—",IF(S43&lt;34,"🔴 Crítico",IF(S43&lt;67,"🟡 Vulnerable","🟢 Preparado")))</f>
        <v/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>
        <f>IFERROR(AVERAGE(AA43,AB43,AC43,AD43,AE43,AF43,AG43,AH43,AI43,AJ43,AK43,AL43,AM43,AN43),"N/A")</f>
        <v/>
      </c>
      <c r="AP43">
        <f>IFERROR(AVERAGE(W43,X43,Y43,Z43)/2,"N/A")</f>
        <v/>
      </c>
    </row>
    <row r="44" ht="16.05" customHeight="1" s="37">
      <c r="A44" t="inlineStr">
        <is>
          <t>20486094657</t>
        </is>
      </c>
      <c r="B44" t="inlineStr">
        <is>
          <t>ASOCIACION DE PRODUCTORES DE CAFES ESPECIALES MOUNTAIN COFFE</t>
        </is>
      </c>
      <c r="C44" t="inlineStr">
        <is>
          <t>JUNIN</t>
        </is>
      </c>
      <c r="D44" t="inlineStr">
        <is>
          <t>CAFÉ</t>
        </is>
      </c>
      <c r="E44" t="n">
        <v>0</v>
      </c>
      <c r="G44" t="inlineStr">
        <is>
          <t>NO</t>
        </is>
      </c>
      <c r="H44" t="inlineStr">
        <is>
          <t>nan</t>
        </is>
      </c>
      <c r="I44" t="inlineStr">
        <is>
          <t>nan</t>
        </is>
      </c>
      <c r="J44" t="inlineStr">
        <is>
          <t>ACTIVO</t>
        </is>
      </c>
      <c r="K44" t="inlineStr">
        <is>
          <t>nan</t>
        </is>
      </c>
      <c r="L44" t="n">
        <v>0</v>
      </c>
      <c r="M44">
        <f>IF(E44&gt;0,ROUND(L44/E44*100,1),0)</f>
        <v/>
      </c>
      <c r="N44" t="inlineStr">
        <is>
          <t>PENDIENTE</t>
        </is>
      </c>
      <c r="O44">
        <f>IF(H44="SI",1,0)*0.6+IF(I44="SI",1,0)*0.4</f>
        <v/>
      </c>
      <c r="P44" t="inlineStr">
        <is>
          <t>PENDIENTE</t>
        </is>
      </c>
      <c r="S44">
        <f>IFERROR(SCORECARDS!C44,"")</f>
        <v/>
      </c>
      <c r="T44">
        <f>IF(NOT(ISNUMBER(S44)),"—",IF(S44&lt;34,"🔴 Crítico",IF(S44&lt;67,"🟡 Vulnerable","🟢 Preparado")))</f>
        <v/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>
        <f>IFERROR(AVERAGE(AA44,AB44,AC44,AD44,AE44,AF44,AG44,AH44,AI44,AJ44,AK44,AL44,AM44,AN44),"N/A")</f>
        <v/>
      </c>
      <c r="AP44">
        <f>IFERROR(AVERAGE(W44,X44,Y44,Z44)/2,"N/A")</f>
        <v/>
      </c>
    </row>
    <row r="45" ht="16.05" customHeight="1" s="37">
      <c r="A45" t="inlineStr">
        <is>
          <t>20486255090</t>
        </is>
      </c>
      <c r="B45" t="inlineStr">
        <is>
          <t>COOPERATIVA AGRARIA SANGARENI</t>
        </is>
      </c>
      <c r="C45" t="inlineStr">
        <is>
          <t>JUNIN</t>
        </is>
      </c>
      <c r="D45" t="inlineStr">
        <is>
          <t>CAFÉ</t>
        </is>
      </c>
      <c r="E45" t="n">
        <v>13207692.05</v>
      </c>
      <c r="F45" t="n">
        <v>41</v>
      </c>
      <c r="G45" t="inlineStr">
        <is>
          <t>SI</t>
        </is>
      </c>
      <c r="H45" t="inlineStr">
        <is>
          <t>nan</t>
        </is>
      </c>
      <c r="I45" t="inlineStr">
        <is>
          <t>nan</t>
        </is>
      </c>
      <c r="J45" t="inlineStr">
        <is>
          <t>ACTIVO</t>
        </is>
      </c>
      <c r="K45" t="inlineStr">
        <is>
          <t>nan</t>
        </is>
      </c>
      <c r="L45" t="n">
        <v>6603846.03</v>
      </c>
      <c r="M45">
        <f>IF(E45&gt;0,ROUND(L45/E45*100,1),0)</f>
        <v/>
      </c>
      <c r="N45" t="inlineStr">
        <is>
          <t>PENDIENTE</t>
        </is>
      </c>
      <c r="O45">
        <f>IF(H45="SI",1,0)*0.6+IF(I45="SI",1,0)*0.4</f>
        <v/>
      </c>
      <c r="P45" t="inlineStr">
        <is>
          <t>PENDIENTE</t>
        </is>
      </c>
      <c r="S45">
        <f>IFERROR(SCORECARDS!C45,"")</f>
        <v/>
      </c>
      <c r="T45">
        <f>IF(NOT(ISNUMBER(S45)),"—",IF(S45&lt;34,"🔴 Crítico",IF(S45&lt;67,"🟡 Vulnerable","🟢 Preparado")))</f>
        <v/>
      </c>
      <c r="U45" t="n">
        <v>1</v>
      </c>
      <c r="V45" t="inlineStr">
        <is>
          <t>Sin hallazgos OSCE / OEFA</t>
        </is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>
        <f>IFERROR(AVERAGE(AA45,AB45,AC45,AD45,AE45,AF45,AG45,AH45,AI45,AJ45,AK45,AL45,AM45,AN45),"N/A")</f>
        <v/>
      </c>
      <c r="AP45">
        <f>IFERROR(AVERAGE(W45,X45,Y45,Z45)/2,"N/A")</f>
        <v/>
      </c>
    </row>
    <row r="46" ht="16.05" customHeight="1" s="37">
      <c r="A46" t="inlineStr">
        <is>
          <t>20486668335</t>
        </is>
      </c>
      <c r="B46" t="inlineStr">
        <is>
          <t>COOPERATIVA AGROINDUSTRIAL SONOMORO LTDA</t>
        </is>
      </c>
      <c r="C46" t="inlineStr">
        <is>
          <t>JUNIN</t>
        </is>
      </c>
      <c r="E46" t="n">
        <v>0</v>
      </c>
      <c r="G46" t="inlineStr">
        <is>
          <t>NO</t>
        </is>
      </c>
      <c r="H46" t="inlineStr">
        <is>
          <t>nan</t>
        </is>
      </c>
      <c r="I46" t="inlineStr">
        <is>
          <t>nan</t>
        </is>
      </c>
      <c r="J46" t="inlineStr">
        <is>
          <t>SUSPENSION TEMPORAL</t>
        </is>
      </c>
      <c r="K46" t="inlineStr">
        <is>
          <t>nan</t>
        </is>
      </c>
      <c r="L46" t="n">
        <v>0</v>
      </c>
      <c r="M46">
        <f>IF(E46&gt;0,ROUND(L46/E46*100,1),0)</f>
        <v/>
      </c>
      <c r="N46" t="inlineStr">
        <is>
          <t>PENDIENTE</t>
        </is>
      </c>
      <c r="O46">
        <f>IF(H46="SI",1,0)*0.6+IF(I46="SI",1,0)*0.4</f>
        <v/>
      </c>
      <c r="P46" t="inlineStr">
        <is>
          <t>PENDIENTE</t>
        </is>
      </c>
      <c r="S46">
        <f>IFERROR(SCORECARDS!C46,"")</f>
        <v/>
      </c>
      <c r="T46">
        <f>IF(NOT(ISNUMBER(S46)),"—",IF(S46&lt;34,"🔴 Crítico",IF(S46&lt;67,"🟡 Vulnerable","🟢 Preparado")))</f>
        <v/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>
        <f>IFERROR(AVERAGE(AA46,AB46,AC46,AD46,AE46,AF46,AG46,AH46,AI46,AJ46,AK46,AL46,AM46,AN46),"N/A")</f>
        <v/>
      </c>
      <c r="AP46">
        <f>IFERROR(AVERAGE(W46,X46,Y46,Z46)/2,"N/A")</f>
        <v/>
      </c>
    </row>
    <row r="47" ht="16.05" customHeight="1" s="37">
      <c r="A47" t="inlineStr">
        <is>
          <t>20486876019</t>
        </is>
      </c>
      <c r="B47" t="inlineStr">
        <is>
          <t>COOPERATIVA AGROECOLOGICO INDUSTRIAL MAZAMARI LTDA</t>
        </is>
      </c>
      <c r="C47" t="inlineStr">
        <is>
          <t>JUNIN</t>
        </is>
      </c>
      <c r="D47" t="inlineStr">
        <is>
          <t>CACAO</t>
        </is>
      </c>
      <c r="G47" t="inlineStr">
        <is>
          <t>NO</t>
        </is>
      </c>
      <c r="H47" t="inlineStr">
        <is>
          <t>nan</t>
        </is>
      </c>
      <c r="I47" t="inlineStr">
        <is>
          <t>nan</t>
        </is>
      </c>
      <c r="J47" t="inlineStr">
        <is>
          <t>ACTIVO</t>
        </is>
      </c>
      <c r="K47" t="inlineStr">
        <is>
          <t>nan</t>
        </is>
      </c>
      <c r="L47" t="n">
        <v>0</v>
      </c>
      <c r="M47">
        <f>IF(E47&gt;0,ROUND(L47/E47*100,1),0)</f>
        <v/>
      </c>
      <c r="N47" t="inlineStr">
        <is>
          <t>PENDIENTE</t>
        </is>
      </c>
      <c r="O47">
        <f>IF(H47="SI",1,0)*0.6+IF(I47="SI",1,0)*0.4</f>
        <v/>
      </c>
      <c r="P47" t="inlineStr">
        <is>
          <t>PENDIENTE</t>
        </is>
      </c>
      <c r="S47">
        <f>IFERROR(SCORECARDS!C47,"")</f>
        <v/>
      </c>
      <c r="T47">
        <f>IF(NOT(ISNUMBER(S47)),"—",IF(S47&lt;34,"🔴 Crítico",IF(S47&lt;67,"🟡 Vulnerable","🟢 Preparado")))</f>
        <v/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>
        <f>IFERROR(AVERAGE(AA47,AB47,AC47,AD47,AE47,AF47,AG47,AH47,AI47,AJ47,AK47,AL47,AM47,AN47),"N/A")</f>
        <v/>
      </c>
      <c r="AP47">
        <f>IFERROR(AVERAGE(W47,X47,Y47,Z47)/2,"N/A")</f>
        <v/>
      </c>
    </row>
    <row r="48" ht="16.05" customHeight="1" s="37">
      <c r="A48" t="inlineStr">
        <is>
          <t>20486973219</t>
        </is>
      </c>
      <c r="B48" t="inlineStr">
        <is>
          <t>COOPERATIVA AGRARIA SONOMORO DEL VRAEM LTDA</t>
        </is>
      </c>
      <c r="C48" t="inlineStr">
        <is>
          <t>JUNIN</t>
        </is>
      </c>
      <c r="D48" t="inlineStr">
        <is>
          <t>CACAO</t>
        </is>
      </c>
      <c r="E48" t="n">
        <v>30342293.08</v>
      </c>
      <c r="F48" t="n">
        <v>108</v>
      </c>
      <c r="G48" t="inlineStr">
        <is>
          <t>SI</t>
        </is>
      </c>
      <c r="H48" t="inlineStr">
        <is>
          <t>nan</t>
        </is>
      </c>
      <c r="I48" t="inlineStr">
        <is>
          <t>nan</t>
        </is>
      </c>
      <c r="J48" t="inlineStr">
        <is>
          <t>ACTIVO</t>
        </is>
      </c>
      <c r="K48" t="inlineStr">
        <is>
          <t>nan</t>
        </is>
      </c>
      <c r="L48" t="n">
        <v>15171146.54</v>
      </c>
      <c r="M48">
        <f>IF(E48&gt;0,ROUND(L48/E48*100,1),0)</f>
        <v/>
      </c>
      <c r="N48" t="inlineStr">
        <is>
          <t>PENDIENTE</t>
        </is>
      </c>
      <c r="O48">
        <f>IF(H48="SI",1,0)*0.6+IF(I48="SI",1,0)*0.4</f>
        <v/>
      </c>
      <c r="P48" t="inlineStr">
        <is>
          <t>PENDIENTE</t>
        </is>
      </c>
      <c r="S48">
        <f>IFERROR(SCORECARDS!C48,"")</f>
        <v/>
      </c>
      <c r="T48">
        <f>IF(NOT(ISNUMBER(S48)),"—",IF(S48&lt;34,"🔴 Crítico",IF(S48&lt;67,"🟡 Vulnerable","🟢 Preparado")))</f>
        <v/>
      </c>
      <c r="U48" t="n">
        <v>1</v>
      </c>
      <c r="V48" t="inlineStr">
        <is>
          <t>Sin hallazgos OSCE / OEFA</t>
        </is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>
        <f>IFERROR(AVERAGE(AA48,AB48,AC48,AD48,AE48,AF48,AG48,AH48,AI48,AJ48,AK48,AL48,AM48,AN48),"N/A")</f>
        <v/>
      </c>
      <c r="AP48">
        <f>IFERROR(AVERAGE(W48,X48,Y48,Z48)/2,"N/A")</f>
        <v/>
      </c>
    </row>
    <row r="49" ht="16.05" customHeight="1" s="37">
      <c r="A49" t="inlineStr">
        <is>
          <t>20487242994</t>
        </is>
      </c>
      <c r="B49" t="inlineStr">
        <is>
          <t>COOPERATIVA AGRARIA ECOLOGICA CACAOTERA VALLE RIO ENE - COOP</t>
        </is>
      </c>
      <c r="C49" t="inlineStr">
        <is>
          <t>JUNIN</t>
        </is>
      </c>
      <c r="D49" t="inlineStr">
        <is>
          <t>CACAO</t>
        </is>
      </c>
      <c r="E49" t="n">
        <v>2290978.7</v>
      </c>
      <c r="F49" t="n">
        <v>10</v>
      </c>
      <c r="G49" t="inlineStr">
        <is>
          <t>SI</t>
        </is>
      </c>
      <c r="H49" t="inlineStr">
        <is>
          <t>nan</t>
        </is>
      </c>
      <c r="I49" t="inlineStr">
        <is>
          <t>nan</t>
        </is>
      </c>
      <c r="J49" t="inlineStr">
        <is>
          <t>ACTIVO</t>
        </is>
      </c>
      <c r="K49" t="inlineStr">
        <is>
          <t>nan</t>
        </is>
      </c>
      <c r="L49" t="n">
        <v>1145489.35</v>
      </c>
      <c r="M49">
        <f>IF(E49&gt;0,ROUND(L49/E49*100,1),0)</f>
        <v/>
      </c>
      <c r="N49" t="inlineStr">
        <is>
          <t>PENDIENTE</t>
        </is>
      </c>
      <c r="O49">
        <f>IF(H49="SI",1,0)*0.6+IF(I49="SI",1,0)*0.4</f>
        <v/>
      </c>
      <c r="P49" t="inlineStr">
        <is>
          <t>PENDIENTE</t>
        </is>
      </c>
      <c r="S49">
        <f>IFERROR(SCORECARDS!C49,"")</f>
        <v/>
      </c>
      <c r="T49">
        <f>IF(NOT(ISNUMBER(S49)),"—",IF(S49&lt;34,"🔴 Crítico",IF(S49&lt;67,"🟡 Vulnerable","🟢 Preparado")))</f>
        <v/>
      </c>
      <c r="U49" t="n">
        <v>1</v>
      </c>
      <c r="V49" t="inlineStr">
        <is>
          <t>Sin hallazgos OSCE / OEFA</t>
        </is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>
        <f>IFERROR(AVERAGE(AA49,AB49,AC49,AD49,AE49,AF49,AG49,AH49,AI49,AJ49,AK49,AL49,AM49,AN49),"N/A")</f>
        <v/>
      </c>
      <c r="AP49">
        <f>IFERROR(AVERAGE(W49,X49,Y49,Z49)/2,"N/A")</f>
        <v/>
      </c>
    </row>
    <row r="50" ht="16.05" customHeight="1" s="37">
      <c r="A50" t="inlineStr">
        <is>
          <t>20487351343</t>
        </is>
      </c>
      <c r="B50" t="inlineStr">
        <is>
          <t>ASOCIACION DE PRODUCTORES AGROPECUARIOS TUPAC AMARU DE CHIÑA</t>
        </is>
      </c>
      <c r="C50" t="inlineStr">
        <is>
          <t>LAMBAYEQUE</t>
        </is>
      </c>
      <c r="D50" t="inlineStr">
        <is>
          <t>CAFÉ</t>
        </is>
      </c>
      <c r="G50" t="inlineStr">
        <is>
          <t>NO</t>
        </is>
      </c>
      <c r="H50" t="inlineStr">
        <is>
          <t>nan</t>
        </is>
      </c>
      <c r="I50" t="inlineStr">
        <is>
          <t>nan</t>
        </is>
      </c>
      <c r="J50" t="inlineStr">
        <is>
          <t>BAJA DE OFICIO</t>
        </is>
      </c>
      <c r="K50" t="inlineStr">
        <is>
          <t>nan</t>
        </is>
      </c>
      <c r="L50" t="n">
        <v>0</v>
      </c>
      <c r="M50">
        <f>IF(E50&gt;0,ROUND(L50/E50*100,1),0)</f>
        <v/>
      </c>
      <c r="N50" t="inlineStr">
        <is>
          <t>PENDIENTE</t>
        </is>
      </c>
      <c r="O50">
        <f>IF(H50="SI",1,0)*0.6+IF(I50="SI",1,0)*0.4</f>
        <v/>
      </c>
      <c r="P50" t="inlineStr">
        <is>
          <t>PENDIENTE</t>
        </is>
      </c>
      <c r="S50">
        <f>IFERROR(SCORECARDS!C50,"")</f>
        <v/>
      </c>
      <c r="T50">
        <f>IF(NOT(ISNUMBER(S50)),"—",IF(S50&lt;34,"🔴 Crítico",IF(S50&lt;67,"🟡 Vulnerable","🟢 Preparado")))</f>
        <v/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>
        <f>IFERROR(AVERAGE(AA50,AB50,AC50,AD50,AE50,AF50,AG50,AH50,AI50,AJ50,AK50,AL50,AM50,AN50),"N/A")</f>
        <v/>
      </c>
      <c r="AP50">
        <f>IFERROR(AVERAGE(W50,X50,Y50,Z50)/2,"N/A")</f>
        <v/>
      </c>
    </row>
    <row r="51" ht="16.05" customHeight="1" s="37">
      <c r="A51" t="inlineStr">
        <is>
          <t>20487661539</t>
        </is>
      </c>
      <c r="B51" t="inlineStr">
        <is>
          <t>ASOCIACION DE PRODUCTORES CACAOTEROS DEL DISTRITO DE HUARANG</t>
        </is>
      </c>
      <c r="C51" t="inlineStr">
        <is>
          <t>CAJAMARCA</t>
        </is>
      </c>
      <c r="D51" t="inlineStr">
        <is>
          <t>CACAO</t>
        </is>
      </c>
      <c r="G51" t="inlineStr">
        <is>
          <t>NO</t>
        </is>
      </c>
      <c r="H51" t="inlineStr">
        <is>
          <t>nan</t>
        </is>
      </c>
      <c r="I51" t="inlineStr">
        <is>
          <t>nan</t>
        </is>
      </c>
      <c r="J51" t="inlineStr">
        <is>
          <t>ACTIVO</t>
        </is>
      </c>
      <c r="K51" t="inlineStr">
        <is>
          <t>nan</t>
        </is>
      </c>
      <c r="L51" t="n">
        <v>0</v>
      </c>
      <c r="M51">
        <f>IF(E51&gt;0,ROUND(L51/E51*100,1),0)</f>
        <v/>
      </c>
      <c r="N51" t="inlineStr">
        <is>
          <t>PENDIENTE</t>
        </is>
      </c>
      <c r="O51">
        <f>IF(H51="SI",1,0)*0.6+IF(I51="SI",1,0)*0.4</f>
        <v/>
      </c>
      <c r="P51" t="inlineStr">
        <is>
          <t>PENDIENTE</t>
        </is>
      </c>
      <c r="S51">
        <f>IFERROR(SCORECARDS!C51,"")</f>
        <v/>
      </c>
      <c r="T51">
        <f>IF(NOT(ISNUMBER(S51)),"—",IF(S51&lt;34,"🔴 Crítico",IF(S51&lt;67,"🟡 Vulnerable","🟢 Preparado")))</f>
        <v/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>
        <f>IFERROR(AVERAGE(AA51,AB51,AC51,AD51,AE51,AF51,AG51,AH51,AI51,AJ51,AK51,AL51,AM51,AN51),"N/A")</f>
        <v/>
      </c>
      <c r="AP51">
        <f>IFERROR(AVERAGE(W51,X51,Y51,Z51)/2,"N/A")</f>
        <v/>
      </c>
    </row>
    <row r="52" ht="16.05" customHeight="1" s="37">
      <c r="A52" t="inlineStr">
        <is>
          <t>20490726196</t>
        </is>
      </c>
      <c r="B52" t="inlineStr">
        <is>
          <t>ASOCIACIÓN DE PRODUCTORES AGROPECUARIOS VALLESITO - CHAHUARE</t>
        </is>
      </c>
      <c r="C52" t="inlineStr">
        <is>
          <t>CUSCO</t>
        </is>
      </c>
      <c r="D52" t="inlineStr">
        <is>
          <t>CACAO</t>
        </is>
      </c>
      <c r="G52" t="inlineStr">
        <is>
          <t>NO</t>
        </is>
      </c>
      <c r="H52" t="inlineStr">
        <is>
          <t>nan</t>
        </is>
      </c>
      <c r="I52" t="inlineStr">
        <is>
          <t>nan</t>
        </is>
      </c>
      <c r="J52" t="inlineStr">
        <is>
          <t>ACTIVO</t>
        </is>
      </c>
      <c r="K52" t="inlineStr">
        <is>
          <t>nan</t>
        </is>
      </c>
      <c r="L52" t="n">
        <v>0</v>
      </c>
      <c r="M52">
        <f>IF(E52&gt;0,ROUND(L52/E52*100,1),0)</f>
        <v/>
      </c>
      <c r="N52" t="inlineStr">
        <is>
          <t>PENDIENTE</t>
        </is>
      </c>
      <c r="O52">
        <f>IF(H52="SI",1,0)*0.6+IF(I52="SI",1,0)*0.4</f>
        <v/>
      </c>
      <c r="P52" t="inlineStr">
        <is>
          <t>PENDIENTE</t>
        </is>
      </c>
      <c r="S52">
        <f>IFERROR(SCORECARDS!C52,"")</f>
        <v/>
      </c>
      <c r="T52">
        <f>IF(NOT(ISNUMBER(S52)),"—",IF(S52&lt;34,"🔴 Crítico",IF(S52&lt;67,"🟡 Vulnerable","🟢 Preparado")))</f>
        <v/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>
        <f>IFERROR(AVERAGE(AA52,AB52,AC52,AD52,AE52,AF52,AG52,AH52,AI52,AJ52,AK52,AL52,AM52,AN52),"N/A")</f>
        <v/>
      </c>
      <c r="AP52">
        <f>IFERROR(AVERAGE(W52,X52,Y52,Z52)/2,"N/A")</f>
        <v/>
      </c>
    </row>
    <row r="53" ht="16.05" customHeight="1" s="37">
      <c r="A53" t="inlineStr">
        <is>
          <t>20493934822</t>
        </is>
      </c>
      <c r="B53" t="inlineStr">
        <is>
          <t>COOPERATIVA AGRARIA NUEVO AMANECER LTDA.</t>
        </is>
      </c>
      <c r="C53" t="inlineStr">
        <is>
          <t>SAN MARTIN</t>
        </is>
      </c>
      <c r="D53" t="inlineStr">
        <is>
          <t>CACAO</t>
        </is>
      </c>
      <c r="E53" t="n">
        <v>0</v>
      </c>
      <c r="G53" t="inlineStr">
        <is>
          <t>NO</t>
        </is>
      </c>
      <c r="H53" t="inlineStr">
        <is>
          <t>nan</t>
        </is>
      </c>
      <c r="I53" t="inlineStr">
        <is>
          <t>nan</t>
        </is>
      </c>
      <c r="J53" t="inlineStr">
        <is>
          <t>ACTIVO</t>
        </is>
      </c>
      <c r="K53" t="inlineStr">
        <is>
          <t>nan</t>
        </is>
      </c>
      <c r="L53" t="n">
        <v>0</v>
      </c>
      <c r="M53">
        <f>IF(E53&gt;0,ROUND(L53/E53*100,1),0)</f>
        <v/>
      </c>
      <c r="N53" t="inlineStr">
        <is>
          <t>PENDIENTE</t>
        </is>
      </c>
      <c r="O53">
        <f>IF(H53="SI",1,0)*0.6+IF(I53="SI",1,0)*0.4</f>
        <v/>
      </c>
      <c r="P53" t="inlineStr">
        <is>
          <t>PENDIENTE</t>
        </is>
      </c>
      <c r="S53">
        <f>IFERROR(SCORECARDS!C53,"")</f>
        <v/>
      </c>
      <c r="T53">
        <f>IF(NOT(ISNUMBER(S53)),"—",IF(S53&lt;34,"🔴 Crítico",IF(S53&lt;67,"🟡 Vulnerable","🟢 Preparado")))</f>
        <v/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>
        <f>IFERROR(AVERAGE(AA53,AB53,AC53,AD53,AE53,AF53,AG53,AH53,AI53,AJ53,AK53,AL53,AM53,AN53),"N/A")</f>
        <v/>
      </c>
      <c r="AP53">
        <f>IFERROR(AVERAGE(W53,X53,Y53,Z53)/2,"N/A")</f>
        <v/>
      </c>
    </row>
    <row r="54" ht="16.05" customHeight="1" s="37">
      <c r="A54" t="inlineStr">
        <is>
          <t>20493959574</t>
        </is>
      </c>
      <c r="B54" t="inlineStr">
        <is>
          <t>COOPERATIVA AGRARIA DE SERVICIOS MUJERES TECNOLOGAS CACAOTER</t>
        </is>
      </c>
      <c r="C54" t="inlineStr">
        <is>
          <t>SAN MARTIN</t>
        </is>
      </c>
      <c r="D54" t="inlineStr">
        <is>
          <t>CACAO</t>
        </is>
      </c>
      <c r="G54" t="inlineStr">
        <is>
          <t>NO</t>
        </is>
      </c>
      <c r="H54" t="inlineStr">
        <is>
          <t>nan</t>
        </is>
      </c>
      <c r="I54" t="inlineStr">
        <is>
          <t>nan</t>
        </is>
      </c>
      <c r="J54" t="inlineStr">
        <is>
          <t>SUSPENSION TEMPORAL</t>
        </is>
      </c>
      <c r="K54" t="inlineStr">
        <is>
          <t>nan</t>
        </is>
      </c>
      <c r="L54" t="n">
        <v>0</v>
      </c>
      <c r="M54">
        <f>IF(E54&gt;0,ROUND(L54/E54*100,1),0)</f>
        <v/>
      </c>
      <c r="N54" t="inlineStr">
        <is>
          <t>PENDIENTE</t>
        </is>
      </c>
      <c r="O54">
        <f>IF(H54="SI",1,0)*0.6+IF(I54="SI",1,0)*0.4</f>
        <v/>
      </c>
      <c r="P54" t="inlineStr">
        <is>
          <t>PENDIENTE</t>
        </is>
      </c>
      <c r="S54">
        <f>IFERROR(SCORECARDS!C54,"")</f>
        <v/>
      </c>
      <c r="T54">
        <f>IF(NOT(ISNUMBER(S54)),"—",IF(S54&lt;34,"🔴 Crítico",IF(S54&lt;67,"🟡 Vulnerable","🟢 Preparado")))</f>
        <v/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>
        <f>IFERROR(AVERAGE(AA54,AB54,AC54,AD54,AE54,AF54,AG54,AH54,AI54,AJ54,AK54,AL54,AM54,AN54),"N/A")</f>
        <v/>
      </c>
      <c r="AP54">
        <f>IFERROR(AVERAGE(W54,X54,Y54,Z54)/2,"N/A")</f>
        <v/>
      </c>
    </row>
    <row r="55" ht="16.05" customHeight="1" s="37">
      <c r="A55" t="inlineStr">
        <is>
          <t>20494126819</t>
        </is>
      </c>
      <c r="B55" t="inlineStr">
        <is>
          <t>ASOCIACION DE PRODUCTORES AGROPECUARIOS RIO MAYO SHANAO</t>
        </is>
      </c>
      <c r="C55" t="inlineStr">
        <is>
          <t>SAN MARTIN</t>
        </is>
      </c>
      <c r="D55" t="inlineStr">
        <is>
          <t>CACAO</t>
        </is>
      </c>
      <c r="G55" t="inlineStr">
        <is>
          <t>NO</t>
        </is>
      </c>
      <c r="H55" t="inlineStr">
        <is>
          <t>nan</t>
        </is>
      </c>
      <c r="I55" t="inlineStr">
        <is>
          <t>nan</t>
        </is>
      </c>
      <c r="J55" t="inlineStr">
        <is>
          <t>ACTIVO</t>
        </is>
      </c>
      <c r="K55" t="inlineStr">
        <is>
          <t>nan</t>
        </is>
      </c>
      <c r="L55" t="n">
        <v>0</v>
      </c>
      <c r="M55">
        <f>IF(E55&gt;0,ROUND(L55/E55*100,1),0)</f>
        <v/>
      </c>
      <c r="N55" t="inlineStr">
        <is>
          <t>PENDIENTE</t>
        </is>
      </c>
      <c r="O55">
        <f>IF(H55="SI",1,0)*0.6+IF(I55="SI",1,0)*0.4</f>
        <v/>
      </c>
      <c r="P55" t="inlineStr">
        <is>
          <t>PENDIENTE</t>
        </is>
      </c>
      <c r="S55">
        <f>IFERROR(SCORECARDS!C55,"")</f>
        <v/>
      </c>
      <c r="T55">
        <f>IF(NOT(ISNUMBER(S55)),"—",IF(S55&lt;34,"🔴 Crítico",IF(S55&lt;67,"🟡 Vulnerable","🟢 Preparado")))</f>
        <v/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>
        <f>IFERROR(AVERAGE(AA55,AB55,AC55,AD55,AE55,AF55,AG55,AH55,AI55,AJ55,AK55,AL55,AM55,AN55),"N/A")</f>
        <v/>
      </c>
      <c r="AP55">
        <f>IFERROR(AVERAGE(W55,X55,Y55,Z55)/2,"N/A")</f>
        <v/>
      </c>
    </row>
    <row r="56" ht="16.05" customHeight="1" s="37">
      <c r="A56" t="inlineStr">
        <is>
          <t>20494145791</t>
        </is>
      </c>
      <c r="B56" t="inlineStr">
        <is>
          <t>ASOCIACION ECOLOGICA Y DE PRODUCTORES AGROPECUARIOS SAN JOSE</t>
        </is>
      </c>
      <c r="C56" t="inlineStr">
        <is>
          <t>LORETO</t>
        </is>
      </c>
      <c r="D56" t="inlineStr">
        <is>
          <t>CACAO</t>
        </is>
      </c>
      <c r="G56" t="inlineStr">
        <is>
          <t>NO</t>
        </is>
      </c>
      <c r="H56" t="inlineStr">
        <is>
          <t>nan</t>
        </is>
      </c>
      <c r="I56" t="inlineStr">
        <is>
          <t>nan</t>
        </is>
      </c>
      <c r="J56" t="inlineStr">
        <is>
          <t>ACTIVO</t>
        </is>
      </c>
      <c r="K56" t="inlineStr">
        <is>
          <t>nan</t>
        </is>
      </c>
      <c r="L56" t="n">
        <v>0</v>
      </c>
      <c r="M56">
        <f>IF(E56&gt;0,ROUND(L56/E56*100,1),0)</f>
        <v/>
      </c>
      <c r="N56" t="inlineStr">
        <is>
          <t>PENDIENTE</t>
        </is>
      </c>
      <c r="O56">
        <f>IF(H56="SI",1,0)*0.6+IF(I56="SI",1,0)*0.4</f>
        <v/>
      </c>
      <c r="P56" t="inlineStr">
        <is>
          <t>PENDIENTE</t>
        </is>
      </c>
      <c r="S56">
        <f>IFERROR(SCORECARDS!C56,"")</f>
        <v/>
      </c>
      <c r="T56">
        <f>IF(NOT(ISNUMBER(S56)),"—",IF(S56&lt;34,"🔴 Crítico",IF(S56&lt;67,"🟡 Vulnerable","🟢 Preparado")))</f>
        <v/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>
        <f>IFERROR(AVERAGE(AA56,AB56,AC56,AD56,AE56,AF56,AG56,AH56,AI56,AJ56,AK56,AL56,AM56,AN56),"N/A")</f>
        <v/>
      </c>
      <c r="AP56">
        <f>IFERROR(AVERAGE(W56,X56,Y56,Z56)/2,"N/A")</f>
        <v/>
      </c>
    </row>
    <row r="57" ht="16.05" customHeight="1" s="37">
      <c r="A57" t="inlineStr">
        <is>
          <t>20494699690</t>
        </is>
      </c>
      <c r="B57" t="inlineStr">
        <is>
          <t>ASOCIACION DE PRODUCTORES DE CACAO ECOLOGICO DE KIMBIRI - AP</t>
        </is>
      </c>
      <c r="C57" t="inlineStr">
        <is>
          <t>CUSCO</t>
        </is>
      </c>
      <c r="D57" t="inlineStr">
        <is>
          <t>CACAO</t>
        </is>
      </c>
      <c r="G57" t="inlineStr">
        <is>
          <t>NO</t>
        </is>
      </c>
      <c r="H57" t="inlineStr">
        <is>
          <t>nan</t>
        </is>
      </c>
      <c r="I57" t="inlineStr">
        <is>
          <t>nan</t>
        </is>
      </c>
      <c r="J57" t="inlineStr">
        <is>
          <t>ACTIVO</t>
        </is>
      </c>
      <c r="K57" t="inlineStr">
        <is>
          <t>nan</t>
        </is>
      </c>
      <c r="L57" t="n">
        <v>0</v>
      </c>
      <c r="M57">
        <f>IF(E57&gt;0,ROUND(L57/E57*100,1),0)</f>
        <v/>
      </c>
      <c r="N57" t="inlineStr">
        <is>
          <t>PENDIENTE</t>
        </is>
      </c>
      <c r="O57">
        <f>IF(H57="SI",1,0)*0.6+IF(I57="SI",1,0)*0.4</f>
        <v/>
      </c>
      <c r="P57" t="inlineStr">
        <is>
          <t>PENDIENTE</t>
        </is>
      </c>
      <c r="S57">
        <f>IFERROR(SCORECARDS!C57,"")</f>
        <v/>
      </c>
      <c r="T57">
        <f>IF(NOT(ISNUMBER(S57)),"—",IF(S57&lt;34,"🔴 Crítico",IF(S57&lt;67,"🟡 Vulnerable","🟢 Preparado")))</f>
        <v/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>
        <f>IFERROR(AVERAGE(AA57,AB57,AC57,AD57,AE57,AF57,AG57,AH57,AI57,AJ57,AK57,AL57,AM57,AN57),"N/A")</f>
        <v/>
      </c>
      <c r="AP57">
        <f>IFERROR(AVERAGE(W57,X57,Y57,Z57)/2,"N/A")</f>
        <v/>
      </c>
    </row>
    <row r="58" ht="16.05" customHeight="1" s="37">
      <c r="A58" t="inlineStr">
        <is>
          <t>20525969551</t>
        </is>
      </c>
      <c r="B58" t="inlineStr">
        <is>
          <t>COOPERATIVA AGRARIA DE PRODUCTORES DE BANANO, CACAO ORGANICO</t>
        </is>
      </c>
      <c r="C58" t="inlineStr">
        <is>
          <t>PIURA</t>
        </is>
      </c>
      <c r="D58" t="inlineStr">
        <is>
          <t>CACAO</t>
        </is>
      </c>
      <c r="E58" t="n">
        <v>105840</v>
      </c>
      <c r="F58" t="n">
        <v>7</v>
      </c>
      <c r="G58" t="inlineStr">
        <is>
          <t>SI</t>
        </is>
      </c>
      <c r="H58" t="inlineStr">
        <is>
          <t>nan</t>
        </is>
      </c>
      <c r="I58" t="inlineStr">
        <is>
          <t>nan</t>
        </is>
      </c>
      <c r="J58" t="inlineStr">
        <is>
          <t>ACTIVO</t>
        </is>
      </c>
      <c r="K58" t="inlineStr">
        <is>
          <t>nan</t>
        </is>
      </c>
      <c r="L58" t="n">
        <v>52920</v>
      </c>
      <c r="M58">
        <f>IF(E58&gt;0,ROUND(L58/E58*100,1),0)</f>
        <v/>
      </c>
      <c r="N58" t="inlineStr">
        <is>
          <t>PENDIENTE</t>
        </is>
      </c>
      <c r="O58">
        <f>IF(H58="SI",1,0)*0.6+IF(I58="SI",1,0)*0.4</f>
        <v/>
      </c>
      <c r="P58" t="inlineStr">
        <is>
          <t>PENDIENTE</t>
        </is>
      </c>
      <c r="S58">
        <f>IFERROR(SCORECARDS!C58,"")</f>
        <v/>
      </c>
      <c r="T58">
        <f>IF(NOT(ISNUMBER(S58)),"—",IF(S58&lt;34,"🔴 Crítico",IF(S58&lt;67,"🟡 Vulnerable","🟢 Preparado")))</f>
        <v/>
      </c>
      <c r="U58" t="n">
        <v>1</v>
      </c>
      <c r="V58" t="inlineStr">
        <is>
          <t>Sin hallazgos OSCE / OEFA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>
        <f>IFERROR(AVERAGE(AA58,AB58,AC58,AD58,AE58,AF58,AG58,AH58,AI58,AJ58,AK58,AL58,AM58,AN58),"N/A")</f>
        <v/>
      </c>
      <c r="AP58">
        <f>IFERROR(AVERAGE(W58,X58,Y58,Z58)/2,"N/A")</f>
        <v/>
      </c>
    </row>
    <row r="59" ht="16.05" customHeight="1" s="37">
      <c r="A59" t="inlineStr">
        <is>
          <t>20526514689</t>
        </is>
      </c>
      <c r="B59" t="inlineStr">
        <is>
          <t>ASOCIACION DE PRODUCTORES AGROPECUARIOS ARTESANALES E INDUST</t>
        </is>
      </c>
      <c r="C59" t="inlineStr">
        <is>
          <t>PIURA</t>
        </is>
      </c>
      <c r="D59" t="inlineStr">
        <is>
          <t>CACAO</t>
        </is>
      </c>
      <c r="G59" t="inlineStr">
        <is>
          <t>NO</t>
        </is>
      </c>
      <c r="H59" t="inlineStr">
        <is>
          <t>nan</t>
        </is>
      </c>
      <c r="I59" t="inlineStr">
        <is>
          <t>nan</t>
        </is>
      </c>
      <c r="J59" t="inlineStr">
        <is>
          <t>BAJA DE OFICIO</t>
        </is>
      </c>
      <c r="K59" t="inlineStr">
        <is>
          <t>nan</t>
        </is>
      </c>
      <c r="L59" t="n">
        <v>0</v>
      </c>
      <c r="M59">
        <f>IF(E59&gt;0,ROUND(L59/E59*100,1),0)</f>
        <v/>
      </c>
      <c r="N59" t="inlineStr">
        <is>
          <t>PENDIENTE</t>
        </is>
      </c>
      <c r="O59">
        <f>IF(H59="SI",1,0)*0.6+IF(I59="SI",1,0)*0.4</f>
        <v/>
      </c>
      <c r="P59" t="inlineStr">
        <is>
          <t>PENDIENTE</t>
        </is>
      </c>
      <c r="S59">
        <f>IFERROR(SCORECARDS!C59,"")</f>
        <v/>
      </c>
      <c r="T59">
        <f>IF(NOT(ISNUMBER(S59)),"—",IF(S59&lt;34,"🔴 Crítico",IF(S59&lt;67,"🟡 Vulnerable","🟢 Preparado")))</f>
        <v/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>
        <f>IFERROR(AVERAGE(AA59,AB59,AC59,AD59,AE59,AF59,AG59,AH59,AI59,AJ59,AK59,AL59,AM59,AN59),"N/A")</f>
        <v/>
      </c>
      <c r="AP59">
        <f>IFERROR(AVERAGE(W59,X59,Y59,Z59)/2,"N/A")</f>
        <v/>
      </c>
    </row>
    <row r="60" ht="16.05" customHeight="1" s="37">
      <c r="A60" t="inlineStr">
        <is>
          <t>20527565376</t>
        </is>
      </c>
      <c r="B60" t="inlineStr">
        <is>
          <t>COOPERATIVA AGRARIA CAFETALERA VALLE DE INCAHUASI</t>
        </is>
      </c>
      <c r="C60" t="inlineStr">
        <is>
          <t>APURIMAC</t>
        </is>
      </c>
      <c r="D60" t="inlineStr">
        <is>
          <t>CAFÉ</t>
        </is>
      </c>
      <c r="E60" t="n">
        <v>10746930.95</v>
      </c>
      <c r="F60" t="n">
        <v>59</v>
      </c>
      <c r="G60" t="inlineStr">
        <is>
          <t>SI</t>
        </is>
      </c>
      <c r="H60" t="inlineStr">
        <is>
          <t>nan</t>
        </is>
      </c>
      <c r="I60" t="inlineStr">
        <is>
          <t>nan</t>
        </is>
      </c>
      <c r="J60" t="inlineStr">
        <is>
          <t>ACTIVO</t>
        </is>
      </c>
      <c r="K60" t="inlineStr">
        <is>
          <t>nan</t>
        </is>
      </c>
      <c r="L60" t="n">
        <v>5373465.47</v>
      </c>
      <c r="M60">
        <f>IF(E60&gt;0,ROUND(L60/E60*100,1),0)</f>
        <v/>
      </c>
      <c r="N60" t="inlineStr">
        <is>
          <t>PENDIENTE</t>
        </is>
      </c>
      <c r="O60">
        <f>IF(H60="SI",1,0)*0.6+IF(I60="SI",1,0)*0.4</f>
        <v/>
      </c>
      <c r="P60" t="inlineStr">
        <is>
          <t>PENDIENTE</t>
        </is>
      </c>
      <c r="S60">
        <f>IFERROR(SCORECARDS!C60,"")</f>
        <v/>
      </c>
      <c r="T60">
        <f>IF(NOT(ISNUMBER(S60)),"—",IF(S60&lt;34,"🔴 Crítico",IF(S60&lt;67,"🟡 Vulnerable","🟢 Preparado")))</f>
        <v/>
      </c>
      <c r="U60" t="n">
        <v>1</v>
      </c>
      <c r="V60" t="inlineStr">
        <is>
          <t>Sin hallazgos OSCE / OEFA</t>
        </is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>
        <f>IFERROR(AVERAGE(AA60,AB60,AC60,AD60,AE60,AF60,AG60,AH60,AI60,AJ60,AK60,AL60,AM60,AN60),"N/A")</f>
        <v/>
      </c>
      <c r="AP60">
        <f>IFERROR(AVERAGE(W60,X60,Y60,Z60)/2,"N/A")</f>
        <v/>
      </c>
    </row>
    <row r="61" ht="16.05" customHeight="1" s="37">
      <c r="A61" t="inlineStr">
        <is>
          <t>20528996214</t>
        </is>
      </c>
      <c r="B61" t="inlineStr">
        <is>
          <t>COOPERATIVA AGRARIA CAFETALERA MILAGROS - MONZON</t>
        </is>
      </c>
      <c r="C61" t="inlineStr">
        <is>
          <t>HUANUCO</t>
        </is>
      </c>
      <c r="D61" t="inlineStr">
        <is>
          <t>CAFÉ</t>
        </is>
      </c>
      <c r="G61" t="inlineStr">
        <is>
          <t>NO</t>
        </is>
      </c>
      <c r="H61" t="inlineStr">
        <is>
          <t>nan</t>
        </is>
      </c>
      <c r="I61" t="inlineStr">
        <is>
          <t>nan</t>
        </is>
      </c>
      <c r="J61" t="inlineStr">
        <is>
          <t>ACTIVO</t>
        </is>
      </c>
      <c r="K61" t="inlineStr">
        <is>
          <t>nan</t>
        </is>
      </c>
      <c r="L61" t="n">
        <v>0</v>
      </c>
      <c r="M61">
        <f>IF(E61&gt;0,ROUND(L61/E61*100,1),0)</f>
        <v/>
      </c>
      <c r="N61" t="inlineStr">
        <is>
          <t>PENDIENTE</t>
        </is>
      </c>
      <c r="O61">
        <f>IF(H61="SI",1,0)*0.6+IF(I61="SI",1,0)*0.4</f>
        <v/>
      </c>
      <c r="P61" t="inlineStr">
        <is>
          <t>PENDIENTE</t>
        </is>
      </c>
      <c r="S61">
        <f>IFERROR(SCORECARDS!C61,"")</f>
        <v/>
      </c>
      <c r="T61">
        <f>IF(NOT(ISNUMBER(S61)),"—",IF(S61&lt;34,"🔴 Crítico",IF(S61&lt;67,"🟡 Vulnerable","🟢 Preparado")))</f>
        <v/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>
        <f>IFERROR(AVERAGE(AA61,AB61,AC61,AD61,AE61,AF61,AG61,AH61,AI61,AJ61,AK61,AL61,AM61,AN61),"N/A")</f>
        <v/>
      </c>
      <c r="AP61">
        <f>IFERROR(AVERAGE(W61,X61,Y61,Z61)/2,"N/A")</f>
        <v/>
      </c>
    </row>
    <row r="62" ht="16.05" customHeight="1" s="37">
      <c r="A62" t="inlineStr">
        <is>
          <t>20529801433</t>
        </is>
      </c>
      <c r="B62" t="inlineStr">
        <is>
          <t>OPA MARAY-ULLMA SAN LORENZO</t>
        </is>
      </c>
      <c r="C62" t="inlineStr">
        <is>
          <t>PIURA</t>
        </is>
      </c>
      <c r="D62" t="inlineStr">
        <is>
          <t>CAFÉ</t>
        </is>
      </c>
      <c r="G62" t="inlineStr">
        <is>
          <t>NO</t>
        </is>
      </c>
      <c r="H62" t="inlineStr">
        <is>
          <t>nan</t>
        </is>
      </c>
      <c r="I62" t="inlineStr">
        <is>
          <t>nan</t>
        </is>
      </c>
      <c r="J62" t="inlineStr">
        <is>
          <t>BAJA DE OFICIO</t>
        </is>
      </c>
      <c r="K62" t="inlineStr">
        <is>
          <t>nan</t>
        </is>
      </c>
      <c r="L62" t="n">
        <v>0</v>
      </c>
      <c r="M62">
        <f>IF(E62&gt;0,ROUND(L62/E62*100,1),0)</f>
        <v/>
      </c>
      <c r="N62" t="inlineStr">
        <is>
          <t>PENDIENTE</t>
        </is>
      </c>
      <c r="O62">
        <f>IF(H62="SI",1,0)*0.6+IF(I62="SI",1,0)*0.4</f>
        <v/>
      </c>
      <c r="P62" t="inlineStr">
        <is>
          <t>PENDIENTE</t>
        </is>
      </c>
      <c r="S62">
        <f>IFERROR(SCORECARDS!C62,"")</f>
        <v/>
      </c>
      <c r="T62">
        <f>IF(NOT(ISNUMBER(S62)),"—",IF(S62&lt;34,"🔴 Crítico",IF(S62&lt;67,"🟡 Vulnerable","🟢 Preparado")))</f>
        <v/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>
        <f>IFERROR(AVERAGE(AA62,AB62,AC62,AD62,AE62,AF62,AG62,AH62,AI62,AJ62,AK62,AL62,AM62,AN62),"N/A")</f>
        <v/>
      </c>
      <c r="AP62">
        <f>IFERROR(AVERAGE(W62,X62,Y62,Z62)/2,"N/A")</f>
        <v/>
      </c>
    </row>
    <row r="63" ht="16.05" customHeight="1" s="37">
      <c r="A63" t="inlineStr">
        <is>
          <t>20529822350</t>
        </is>
      </c>
      <c r="B63" t="inlineStr">
        <is>
          <t>OPA PAPAYO - LA LAGUNA</t>
        </is>
      </c>
      <c r="C63" t="inlineStr">
        <is>
          <t>PIURA</t>
        </is>
      </c>
      <c r="D63" t="inlineStr">
        <is>
          <t>CAFÉ</t>
        </is>
      </c>
      <c r="G63" t="inlineStr">
        <is>
          <t>NO</t>
        </is>
      </c>
      <c r="H63" t="inlineStr">
        <is>
          <t>nan</t>
        </is>
      </c>
      <c r="I63" t="inlineStr">
        <is>
          <t>nan</t>
        </is>
      </c>
      <c r="J63" t="inlineStr">
        <is>
          <t>BAJA DE OFICIO</t>
        </is>
      </c>
      <c r="K63" t="inlineStr">
        <is>
          <t>nan</t>
        </is>
      </c>
      <c r="L63" t="n">
        <v>0</v>
      </c>
      <c r="M63">
        <f>IF(E63&gt;0,ROUND(L63/E63*100,1),0)</f>
        <v/>
      </c>
      <c r="N63" t="inlineStr">
        <is>
          <t>PENDIENTE</t>
        </is>
      </c>
      <c r="O63">
        <f>IF(H63="SI",1,0)*0.6+IF(I63="SI",1,0)*0.4</f>
        <v/>
      </c>
      <c r="P63" t="inlineStr">
        <is>
          <t>PENDIENTE</t>
        </is>
      </c>
      <c r="S63">
        <f>IFERROR(SCORECARDS!C63,"")</f>
        <v/>
      </c>
      <c r="T63">
        <f>IF(NOT(ISNUMBER(S63)),"—",IF(S63&lt;34,"🔴 Crítico",IF(S63&lt;67,"🟡 Vulnerable","🟢 Preparado")))</f>
        <v/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>
        <f>IFERROR(AVERAGE(AA63,AB63,AC63,AD63,AE63,AF63,AG63,AH63,AI63,AJ63,AK63,AL63,AM63,AN63),"N/A")</f>
        <v/>
      </c>
      <c r="AP63">
        <f>IFERROR(AVERAGE(W63,X63,Y63,Z63)/2,"N/A")</f>
        <v/>
      </c>
    </row>
    <row r="64" ht="16.05" customHeight="1" s="37">
      <c r="A64" t="inlineStr">
        <is>
          <t>20531405723</t>
        </is>
      </c>
      <c r="B64" t="inlineStr">
        <is>
          <t>COOPERATIVA DE SERVICIOS MULTIPLES ADISA NARANJOS</t>
        </is>
      </c>
      <c r="C64" t="inlineStr">
        <is>
          <t>SAN MARTIN</t>
        </is>
      </c>
      <c r="D64" t="inlineStr">
        <is>
          <t>CAFÉ</t>
        </is>
      </c>
      <c r="E64" t="n">
        <v>0</v>
      </c>
      <c r="G64" t="inlineStr">
        <is>
          <t>NO</t>
        </is>
      </c>
      <c r="H64" t="inlineStr">
        <is>
          <t>nan</t>
        </is>
      </c>
      <c r="I64" t="inlineStr">
        <is>
          <t>nan</t>
        </is>
      </c>
      <c r="J64" t="inlineStr">
        <is>
          <t>ACTIVO</t>
        </is>
      </c>
      <c r="K64" t="inlineStr">
        <is>
          <t>nan</t>
        </is>
      </c>
      <c r="L64" t="n">
        <v>0</v>
      </c>
      <c r="M64">
        <f>IF(E64&gt;0,ROUND(L64/E64*100,1),0)</f>
        <v/>
      </c>
      <c r="N64" t="inlineStr">
        <is>
          <t>PENDIENTE</t>
        </is>
      </c>
      <c r="O64">
        <f>IF(H64="SI",1,0)*0.6+IF(I64="SI",1,0)*0.4</f>
        <v/>
      </c>
      <c r="P64" t="inlineStr">
        <is>
          <t>PENDIENTE</t>
        </is>
      </c>
      <c r="S64">
        <f>IFERROR(SCORECARDS!C64,"")</f>
        <v/>
      </c>
      <c r="T64">
        <f>IF(NOT(ISNUMBER(S64)),"—",IF(S64&lt;34,"🔴 Crítico",IF(S64&lt;67,"🟡 Vulnerable","🟢 Preparado")))</f>
        <v/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>
        <f>IFERROR(AVERAGE(AA64,AB64,AC64,AD64,AE64,AF64,AG64,AH64,AI64,AJ64,AK64,AL64,AM64,AN64),"N/A")</f>
        <v/>
      </c>
      <c r="AP64">
        <f>IFERROR(AVERAGE(W64,X64,Y64,Z64)/2,"N/A")</f>
        <v/>
      </c>
    </row>
    <row r="65" ht="16.05" customHeight="1" s="37">
      <c r="A65" t="inlineStr">
        <is>
          <t>20531441797</t>
        </is>
      </c>
      <c r="B65" t="inlineStr">
        <is>
          <t>COOPERATIVA AGRARIA ALLIMA CACAO LTDA.</t>
        </is>
      </c>
      <c r="C65" t="inlineStr">
        <is>
          <t>SAN MARTIN</t>
        </is>
      </c>
      <c r="D65" t="inlineStr">
        <is>
          <t>CACAO</t>
        </is>
      </c>
      <c r="E65" t="n">
        <v>1984.05</v>
      </c>
      <c r="F65" t="n">
        <v>1</v>
      </c>
      <c r="G65" t="inlineStr">
        <is>
          <t>SI</t>
        </is>
      </c>
      <c r="H65" t="inlineStr">
        <is>
          <t>nan</t>
        </is>
      </c>
      <c r="I65" t="inlineStr">
        <is>
          <t>nan</t>
        </is>
      </c>
      <c r="J65" t="inlineStr">
        <is>
          <t>ACTIVO</t>
        </is>
      </c>
      <c r="K65" t="inlineStr">
        <is>
          <t>nan</t>
        </is>
      </c>
      <c r="L65" t="n">
        <v>0</v>
      </c>
      <c r="M65">
        <f>IF(E65&gt;0,ROUND(L65/E65*100,1),0)</f>
        <v/>
      </c>
      <c r="N65" t="inlineStr">
        <is>
          <t>PENDIENTE</t>
        </is>
      </c>
      <c r="O65">
        <f>IF(H65="SI",1,0)*0.6+IF(I65="SI",1,0)*0.4</f>
        <v/>
      </c>
      <c r="P65" t="inlineStr">
        <is>
          <t>PENDIENTE</t>
        </is>
      </c>
      <c r="S65">
        <f>IFERROR(SCORECARDS!C65,"")</f>
        <v/>
      </c>
      <c r="T65">
        <f>IF(NOT(ISNUMBER(S65)),"—",IF(S65&lt;34,"🔴 Crítico",IF(S65&lt;67,"🟡 Vulnerable","🟢 Preparado")))</f>
        <v/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>
        <f>IFERROR(AVERAGE(AA65,AB65,AC65,AD65,AE65,AF65,AG65,AH65,AI65,AJ65,AK65,AL65,AM65,AN65),"N/A")</f>
        <v/>
      </c>
      <c r="AP65">
        <f>IFERROR(AVERAGE(W65,X65,Y65,Z65)/2,"N/A")</f>
        <v/>
      </c>
    </row>
    <row r="66" ht="16.05" customHeight="1" s="37">
      <c r="A66" t="inlineStr">
        <is>
          <t>20534524774</t>
        </is>
      </c>
      <c r="B66" t="inlineStr">
        <is>
          <t>COOPERATIVA AGRARIA TROPICAL ECOLOGICA DE KIMBIRI</t>
        </is>
      </c>
      <c r="C66" t="inlineStr">
        <is>
          <t>CUSCO</t>
        </is>
      </c>
      <c r="D66" t="inlineStr">
        <is>
          <t>CAFÉ</t>
        </is>
      </c>
      <c r="G66" t="inlineStr">
        <is>
          <t>NO</t>
        </is>
      </c>
      <c r="H66" t="inlineStr">
        <is>
          <t>nan</t>
        </is>
      </c>
      <c r="I66" t="inlineStr">
        <is>
          <t>nan</t>
        </is>
      </c>
      <c r="J66" t="inlineStr">
        <is>
          <t>ACTIVO</t>
        </is>
      </c>
      <c r="K66" t="inlineStr">
        <is>
          <t>nan</t>
        </is>
      </c>
      <c r="L66" t="n">
        <v>0</v>
      </c>
      <c r="M66">
        <f>IF(E66&gt;0,ROUND(L66/E66*100,1),0)</f>
        <v/>
      </c>
      <c r="N66" t="inlineStr">
        <is>
          <t>PENDIENTE</t>
        </is>
      </c>
      <c r="O66">
        <f>IF(H66="SI",1,0)*0.6+IF(I66="SI",1,0)*0.4</f>
        <v/>
      </c>
      <c r="P66" t="inlineStr">
        <is>
          <t>PENDIENTE</t>
        </is>
      </c>
      <c r="S66">
        <f>IFERROR(SCORECARDS!C66,"")</f>
        <v/>
      </c>
      <c r="T66">
        <f>IF(NOT(ISNUMBER(S66)),"—",IF(S66&lt;34,"🔴 Crítico",IF(S66&lt;67,"🟡 Vulnerable","🟢 Preparado")))</f>
        <v/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>
        <f>IFERROR(AVERAGE(AA66,AB66,AC66,AD66,AE66,AF66,AG66,AH66,AI66,AJ66,AK66,AL66,AM66,AN66),"N/A")</f>
        <v/>
      </c>
      <c r="AP66">
        <f>IFERROR(AVERAGE(W66,X66,Y66,Z66)/2,"N/A")</f>
        <v/>
      </c>
    </row>
    <row r="67" ht="16.05" customHeight="1" s="37">
      <c r="A67" t="inlineStr">
        <is>
          <t>20539205600</t>
        </is>
      </c>
      <c r="B67" t="inlineStr">
        <is>
          <t>ASOCIACION DE PRODUCTORES Y EXPORTADORES DE CAFE RODRIGUEZ D</t>
        </is>
      </c>
      <c r="C67" t="inlineStr">
        <is>
          <t>AMAZONAS</t>
        </is>
      </c>
      <c r="D67" t="inlineStr">
        <is>
          <t>CAFÉ</t>
        </is>
      </c>
      <c r="G67" t="inlineStr">
        <is>
          <t>NO</t>
        </is>
      </c>
      <c r="H67" t="inlineStr">
        <is>
          <t>nan</t>
        </is>
      </c>
      <c r="I67" t="inlineStr">
        <is>
          <t>nan</t>
        </is>
      </c>
      <c r="J67" t="inlineStr">
        <is>
          <t>ACTIVO</t>
        </is>
      </c>
      <c r="K67" t="inlineStr">
        <is>
          <t>nan</t>
        </is>
      </c>
      <c r="L67" t="n">
        <v>0</v>
      </c>
      <c r="M67">
        <f>IF(E67&gt;0,ROUND(L67/E67*100,1),0)</f>
        <v/>
      </c>
      <c r="N67" t="inlineStr">
        <is>
          <t>PENDIENTE</t>
        </is>
      </c>
      <c r="O67">
        <f>IF(H67="SI",1,0)*0.6+IF(I67="SI",1,0)*0.4</f>
        <v/>
      </c>
      <c r="P67" t="inlineStr">
        <is>
          <t>PENDIENTE</t>
        </is>
      </c>
      <c r="S67">
        <f>IFERROR(SCORECARDS!C67,"")</f>
        <v/>
      </c>
      <c r="T67">
        <f>IF(NOT(ISNUMBER(S67)),"—",IF(S67&lt;34,"🔴 Crítico",IF(S67&lt;67,"🟡 Vulnerable","🟢 Preparado")))</f>
        <v/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>
        <f>IFERROR(AVERAGE(AA67,AB67,AC67,AD67,AE67,AF67,AG67,AH67,AI67,AJ67,AK67,AL67,AM67,AN67),"N/A")</f>
        <v/>
      </c>
      <c r="AP67">
        <f>IFERROR(AVERAGE(W67,X67,Y67,Z67)/2,"N/A")</f>
        <v/>
      </c>
    </row>
    <row r="68" ht="16.05" customHeight="1" s="37">
      <c r="A68" t="inlineStr">
        <is>
          <t>20539241665</t>
        </is>
      </c>
      <c r="B68" t="inlineStr">
        <is>
          <t>ASOCIACION DE PRODUCTORES DE CAFES ORGANICOS Y CAFES ESPECIA</t>
        </is>
      </c>
      <c r="C68" t="inlineStr">
        <is>
          <t>AMAZONAS</t>
        </is>
      </c>
      <c r="D68" t="inlineStr">
        <is>
          <t>CAFÉ</t>
        </is>
      </c>
      <c r="G68" t="inlineStr">
        <is>
          <t>NO</t>
        </is>
      </c>
      <c r="H68" t="inlineStr">
        <is>
          <t>nan</t>
        </is>
      </c>
      <c r="I68" t="inlineStr">
        <is>
          <t>nan</t>
        </is>
      </c>
      <c r="J68" t="inlineStr">
        <is>
          <t>ACTIVO</t>
        </is>
      </c>
      <c r="K68" t="inlineStr">
        <is>
          <t>nan</t>
        </is>
      </c>
      <c r="L68" t="n">
        <v>0</v>
      </c>
      <c r="M68">
        <f>IF(E68&gt;0,ROUND(L68/E68*100,1),0)</f>
        <v/>
      </c>
      <c r="N68" t="inlineStr">
        <is>
          <t>PENDIENTE</t>
        </is>
      </c>
      <c r="O68">
        <f>IF(H68="SI",1,0)*0.6+IF(I68="SI",1,0)*0.4</f>
        <v/>
      </c>
      <c r="P68" t="inlineStr">
        <is>
          <t>PENDIENTE</t>
        </is>
      </c>
      <c r="S68">
        <f>IFERROR(SCORECARDS!C68,"")</f>
        <v/>
      </c>
      <c r="T68">
        <f>IF(NOT(ISNUMBER(S68)),"—",IF(S68&lt;34,"🔴 Crítico",IF(S68&lt;67,"🟡 Vulnerable","🟢 Preparado")))</f>
        <v/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>
        <f>IFERROR(AVERAGE(AA68,AB68,AC68,AD68,AE68,AF68,AG68,AH68,AI68,AJ68,AK68,AL68,AM68,AN68),"N/A")</f>
        <v/>
      </c>
      <c r="AP68">
        <f>IFERROR(AVERAGE(W68,X68,Y68,Z68)/2,"N/A")</f>
        <v/>
      </c>
    </row>
    <row r="69" ht="16.05" customHeight="1" s="37">
      <c r="A69" t="inlineStr">
        <is>
          <t>20539280644</t>
        </is>
      </c>
      <c r="B69" t="inlineStr">
        <is>
          <t>ASOCIACION DE PEQUEÑOS AGRICULTORES PARA LA PRODUCCION ECOLO</t>
        </is>
      </c>
      <c r="C69" t="inlineStr">
        <is>
          <t>LAMBAYEQUE</t>
        </is>
      </c>
      <c r="D69" t="inlineStr">
        <is>
          <t>CAFÉ</t>
        </is>
      </c>
      <c r="G69" t="inlineStr">
        <is>
          <t>NO</t>
        </is>
      </c>
      <c r="H69" t="inlineStr">
        <is>
          <t>nan</t>
        </is>
      </c>
      <c r="I69" t="inlineStr">
        <is>
          <t>nan</t>
        </is>
      </c>
      <c r="J69" t="inlineStr">
        <is>
          <t>BAJA DE OFICIO</t>
        </is>
      </c>
      <c r="K69" t="inlineStr">
        <is>
          <t>nan</t>
        </is>
      </c>
      <c r="L69" t="n">
        <v>0</v>
      </c>
      <c r="M69">
        <f>IF(E69&gt;0,ROUND(L69/E69*100,1),0)</f>
        <v/>
      </c>
      <c r="N69" t="inlineStr">
        <is>
          <t>PENDIENTE</t>
        </is>
      </c>
      <c r="O69">
        <f>IF(H69="SI",1,0)*0.6+IF(I69="SI",1,0)*0.4</f>
        <v/>
      </c>
      <c r="P69" t="inlineStr">
        <is>
          <t>PENDIENTE</t>
        </is>
      </c>
      <c r="S69">
        <f>IFERROR(SCORECARDS!C69,"")</f>
        <v/>
      </c>
      <c r="T69">
        <f>IF(NOT(ISNUMBER(S69)),"—",IF(S69&lt;34,"🔴 Crítico",IF(S69&lt;67,"🟡 Vulnerable","🟢 Preparado")))</f>
        <v/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>
        <f>IFERROR(AVERAGE(AA69,AB69,AC69,AD69,AE69,AF69,AG69,AH69,AI69,AJ69,AK69,AL69,AM69,AN69),"N/A")</f>
        <v/>
      </c>
      <c r="AP69">
        <f>IFERROR(AVERAGE(W69,X69,Y69,Z69)/2,"N/A")</f>
        <v/>
      </c>
    </row>
    <row r="70" ht="16.05" customHeight="1" s="37">
      <c r="A70" t="inlineStr">
        <is>
          <t>20542209951</t>
        </is>
      </c>
      <c r="B70" t="inlineStr">
        <is>
          <t>COOPERATIVA AGRARIA VALLE GRANDE</t>
        </is>
      </c>
      <c r="C70" t="inlineStr">
        <is>
          <t>SAN MARTIN</t>
        </is>
      </c>
      <c r="D70" t="inlineStr">
        <is>
          <t>CAFÉ</t>
        </is>
      </c>
      <c r="E70" t="n">
        <v>13246408.59</v>
      </c>
      <c r="F70" t="n">
        <v>46</v>
      </c>
      <c r="G70" t="inlineStr">
        <is>
          <t>SI</t>
        </is>
      </c>
      <c r="H70" t="inlineStr">
        <is>
          <t xml:space="preserve">Si </t>
        </is>
      </c>
      <c r="I70" t="inlineStr">
        <is>
          <t xml:space="preserve">Si </t>
        </is>
      </c>
      <c r="J70" t="inlineStr">
        <is>
          <t>ACTIVO</t>
        </is>
      </c>
      <c r="K70" t="inlineStr">
        <is>
          <t>1</t>
        </is>
      </c>
      <c r="L70" t="n">
        <v>7878141.73</v>
      </c>
      <c r="M70">
        <f>IF(E70&gt;0,ROUND(L70/E70*100,1),0)</f>
        <v/>
      </c>
      <c r="N70" t="inlineStr">
        <is>
          <t>PENDIENTE</t>
        </is>
      </c>
      <c r="O70">
        <f>IF(H70="SI",1,0)*0.6+IF(I70="SI",1,0)*0.4</f>
        <v/>
      </c>
      <c r="P70" t="inlineStr">
        <is>
          <t>PENDIENTE</t>
        </is>
      </c>
      <c r="Q70" t="n">
        <v>622</v>
      </c>
      <c r="R70" t="n">
        <v>4031</v>
      </c>
      <c r="S70">
        <f>IFERROR(SCORECARDS!C70,"")</f>
        <v/>
      </c>
      <c r="T70">
        <f>IF(NOT(ISNUMBER(S70)),"—",IF(S70&lt;34,"🔴 Crítico",IF(S70&lt;67,"🟡 Vulnerable","🟢 Preparado")))</f>
        <v/>
      </c>
      <c r="U70" t="n">
        <v>1</v>
      </c>
      <c r="V70" t="inlineStr">
        <is>
          <t>Sin hallazgos OSCE / OEFA</t>
        </is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>
        <f>IFERROR(AVERAGE(AA70,AB70,AC70,AD70,AE70,AF70,AG70,AH70,AI70,AJ70,AK70,AL70,AM70,AN70),"N/A")</f>
        <v/>
      </c>
      <c r="AP70">
        <f>IFERROR(AVERAGE(W70,X70,Y70,Z70)/2,"N/A")</f>
        <v/>
      </c>
    </row>
    <row r="71" ht="16.05" customHeight="1" s="37">
      <c r="A71" t="inlineStr">
        <is>
          <t>20542251990</t>
        </is>
      </c>
      <c r="B71" t="inlineStr">
        <is>
          <t>ASOCIACION DE MUJERES EMPRENDEDORAS DE NUEVO PROGRESO</t>
        </is>
      </c>
      <c r="C71" t="inlineStr">
        <is>
          <t>SAN MARTIN</t>
        </is>
      </c>
      <c r="D71" t="inlineStr">
        <is>
          <t>CACAO</t>
        </is>
      </c>
      <c r="G71" t="inlineStr">
        <is>
          <t>NO</t>
        </is>
      </c>
      <c r="H71" t="inlineStr">
        <is>
          <t>nan</t>
        </is>
      </c>
      <c r="I71" t="inlineStr">
        <is>
          <t>nan</t>
        </is>
      </c>
      <c r="J71" t="inlineStr">
        <is>
          <t>ACTIVO</t>
        </is>
      </c>
      <c r="K71" t="inlineStr">
        <is>
          <t>nan</t>
        </is>
      </c>
      <c r="L71" t="n">
        <v>0</v>
      </c>
      <c r="M71">
        <f>IF(E71&gt;0,ROUND(L71/E71*100,1),0)</f>
        <v/>
      </c>
      <c r="N71" t="inlineStr">
        <is>
          <t>PENDIENTE</t>
        </is>
      </c>
      <c r="O71">
        <f>IF(H71="SI",1,0)*0.6+IF(I71="SI",1,0)*0.4</f>
        <v/>
      </c>
      <c r="P71" t="inlineStr">
        <is>
          <t>PENDIENTE</t>
        </is>
      </c>
      <c r="S71">
        <f>IFERROR(SCORECARDS!C71,"")</f>
        <v/>
      </c>
      <c r="T71">
        <f>IF(NOT(ISNUMBER(S71)),"—",IF(S71&lt;34,"🔴 Crítico",IF(S71&lt;67,"🟡 Vulnerable","🟢 Preparado")))</f>
        <v/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>
        <f>IFERROR(AVERAGE(AA71,AB71,AC71,AD71,AE71,AF71,AG71,AH71,AI71,AJ71,AK71,AL71,AM71,AN71),"N/A")</f>
        <v/>
      </c>
      <c r="AP71">
        <f>IFERROR(AVERAGE(W71,X71,Y71,Z71)/2,"N/A")</f>
        <v/>
      </c>
    </row>
    <row r="72" ht="16.05" customHeight="1" s="37">
      <c r="A72" t="inlineStr">
        <is>
          <t>20542257416</t>
        </is>
      </c>
      <c r="B72" t="inlineStr">
        <is>
          <t>EMPRESA INDUSTRIAL ORO VERDE SOCIEDAD ANONIMA CERRADA</t>
        </is>
      </c>
      <c r="C72" t="inlineStr">
        <is>
          <t>SAN MARTIN</t>
        </is>
      </c>
      <c r="D72" t="inlineStr">
        <is>
          <t>CACAO</t>
        </is>
      </c>
      <c r="E72" t="n">
        <v>2826075</v>
      </c>
      <c r="F72" t="n">
        <v>12</v>
      </c>
      <c r="G72" t="inlineStr">
        <is>
          <t>SI</t>
        </is>
      </c>
      <c r="H72" t="inlineStr">
        <is>
          <t>nan</t>
        </is>
      </c>
      <c r="I72" t="inlineStr">
        <is>
          <t>nan</t>
        </is>
      </c>
      <c r="J72" t="inlineStr">
        <is>
          <t>ACTIVO</t>
        </is>
      </c>
      <c r="K72" t="inlineStr">
        <is>
          <t>nan</t>
        </is>
      </c>
      <c r="L72" t="n">
        <v>1413037.5</v>
      </c>
      <c r="M72">
        <f>IF(E72&gt;0,ROUND(L72/E72*100,1),0)</f>
        <v/>
      </c>
      <c r="N72" t="inlineStr">
        <is>
          <t>PENDIENTE</t>
        </is>
      </c>
      <c r="O72">
        <f>IF(H72="SI",1,0)*0.6+IF(I72="SI",1,0)*0.4</f>
        <v/>
      </c>
      <c r="P72" t="inlineStr">
        <is>
          <t>PENDIENTE</t>
        </is>
      </c>
      <c r="S72">
        <f>IFERROR(SCORECARDS!C72,"")</f>
        <v/>
      </c>
      <c r="T72">
        <f>IF(NOT(ISNUMBER(S72)),"—",IF(S72&lt;34,"🔴 Crítico",IF(S72&lt;67,"🟡 Vulnerable","🟢 Preparado")))</f>
        <v/>
      </c>
      <c r="U72" t="n">
        <v>1</v>
      </c>
      <c r="V72" t="inlineStr">
        <is>
          <t>Sin hallazgos OSCE / OEFA</t>
        </is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>
        <f>IFERROR(AVERAGE(AA72,AB72,AC72,AD72,AE72,AF72,AG72,AH72,AI72,AJ72,AK72,AL72,AM72,AN72),"N/A")</f>
        <v/>
      </c>
      <c r="AP72">
        <f>IFERROR(AVERAGE(W72,X72,Y72,Z72)/2,"N/A")</f>
        <v/>
      </c>
    </row>
    <row r="73" ht="16.05" customHeight="1" s="37">
      <c r="A73" t="inlineStr">
        <is>
          <t>20542264544</t>
        </is>
      </c>
      <c r="B73" t="inlineStr">
        <is>
          <t>COOPERATIVA AGRARIA VALLE DEL BIAVO LTDA</t>
        </is>
      </c>
      <c r="C73" t="inlineStr">
        <is>
          <t>SAN MARTIN</t>
        </is>
      </c>
      <c r="D73" t="inlineStr">
        <is>
          <t>CAFÉ</t>
        </is>
      </c>
      <c r="E73" t="n">
        <v>1187600.46</v>
      </c>
      <c r="F73" t="n">
        <v>6</v>
      </c>
      <c r="G73" t="inlineStr">
        <is>
          <t>SI</t>
        </is>
      </c>
      <c r="H73" t="inlineStr">
        <is>
          <t>PE-</t>
        </is>
      </c>
      <c r="I73" t="inlineStr">
        <is>
          <t>FLO</t>
        </is>
      </c>
      <c r="J73" t="inlineStr">
        <is>
          <t>ACTIVO</t>
        </is>
      </c>
      <c r="K73" t="inlineStr">
        <is>
          <t>1</t>
        </is>
      </c>
      <c r="L73" t="n">
        <v>1187600.48</v>
      </c>
      <c r="M73">
        <f>IF(E73&gt;0,ROUND(L73/E73*100,1),0)</f>
        <v/>
      </c>
      <c r="N73" t="inlineStr">
        <is>
          <t>PENDIENTE</t>
        </is>
      </c>
      <c r="O73">
        <f>IF(H73="SI",1,0)*0.6+IF(I73="SI",1,0)*0.4</f>
        <v/>
      </c>
      <c r="P73" t="inlineStr">
        <is>
          <t>PENDIENTE</t>
        </is>
      </c>
      <c r="Q73" t="n">
        <v>416</v>
      </c>
      <c r="R73" t="n">
        <v>1248</v>
      </c>
      <c r="S73">
        <f>IFERROR(SCORECARDS!C73,"")</f>
        <v/>
      </c>
      <c r="T73">
        <f>IF(NOT(ISNUMBER(S73)),"—",IF(S73&lt;34,"🔴 Crítico",IF(S73&lt;67,"🟡 Vulnerable","🟢 Preparado")))</f>
        <v/>
      </c>
      <c r="U73" t="n">
        <v>1</v>
      </c>
      <c r="V73" t="inlineStr">
        <is>
          <t>Sin hallazgos OSCE / OEFA</t>
        </is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>
        <f>IFERROR(AVERAGE(AA73,AB73,AC73,AD73,AE73,AF73,AG73,AH73,AI73,AJ73,AK73,AL73,AM73,AN73),"N/A")</f>
        <v/>
      </c>
      <c r="AP73">
        <f>IFERROR(AVERAGE(W73,X73,Y73,Z73)/2,"N/A")</f>
        <v/>
      </c>
    </row>
    <row r="74" ht="16.05" customHeight="1" s="37">
      <c r="A74" t="inlineStr">
        <is>
          <t>20542289024</t>
        </is>
      </c>
      <c r="B74" t="inlineStr">
        <is>
          <t>CUENCAS DEL HUALLAGA ASOCIACION DE PRODUCTORES AGROPECUARIOS</t>
        </is>
      </c>
      <c r="C74" t="inlineStr">
        <is>
          <t>SAN MARTIN</t>
        </is>
      </c>
      <c r="D74" t="inlineStr">
        <is>
          <t>CACAO</t>
        </is>
      </c>
      <c r="E74" t="n">
        <v>24285431.82</v>
      </c>
      <c r="F74" t="n">
        <v>111</v>
      </c>
      <c r="G74" t="inlineStr">
        <is>
          <t>SI</t>
        </is>
      </c>
      <c r="H74" t="inlineStr">
        <is>
          <t>nan</t>
        </is>
      </c>
      <c r="I74" t="inlineStr">
        <is>
          <t>nan</t>
        </is>
      </c>
      <c r="J74" t="inlineStr">
        <is>
          <t>ACTIVO</t>
        </is>
      </c>
      <c r="K74" t="inlineStr">
        <is>
          <t>nan</t>
        </is>
      </c>
      <c r="L74" t="n">
        <v>12142715.91</v>
      </c>
      <c r="M74">
        <f>IF(E74&gt;0,ROUND(L74/E74*100,1),0)</f>
        <v/>
      </c>
      <c r="N74" t="inlineStr">
        <is>
          <t>PENDIENTE</t>
        </is>
      </c>
      <c r="O74">
        <f>IF(H74="SI",1,0)*0.6+IF(I74="SI",1,0)*0.4</f>
        <v/>
      </c>
      <c r="P74" t="inlineStr">
        <is>
          <t>PENDIENTE</t>
        </is>
      </c>
      <c r="S74">
        <f>IFERROR(SCORECARDS!C74,"")</f>
        <v/>
      </c>
      <c r="T74">
        <f>IF(NOT(ISNUMBER(S74)),"—",IF(S74&lt;34,"🔴 Crítico",IF(S74&lt;67,"🟡 Vulnerable","🟢 Preparado")))</f>
        <v/>
      </c>
      <c r="U74" t="n">
        <v>1</v>
      </c>
      <c r="V74" t="inlineStr">
        <is>
          <t>Sin hallazgos OSCE / OEFA</t>
        </is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>
        <f>IFERROR(AVERAGE(AA74,AB74,AC74,AD74,AE74,AF74,AG74,AH74,AI74,AJ74,AK74,AL74,AM74,AN74),"N/A")</f>
        <v/>
      </c>
      <c r="AP74">
        <f>IFERROR(AVERAGE(W74,X74,Y74,Z74)/2,"N/A")</f>
        <v/>
      </c>
    </row>
    <row r="75" ht="16.05" customHeight="1" s="37">
      <c r="A75" t="inlineStr">
        <is>
          <t>20542299330</t>
        </is>
      </c>
      <c r="B75" t="inlineStr">
        <is>
          <t xml:space="preserve">ASOCIACION DE PRODUCTORES AGROPECUARIOS DE SHUCUSHYACU FLOR </t>
        </is>
      </c>
      <c r="C75" t="inlineStr">
        <is>
          <t>LORETO</t>
        </is>
      </c>
      <c r="D75" t="inlineStr">
        <is>
          <t>CACAO</t>
        </is>
      </c>
      <c r="G75" t="inlineStr">
        <is>
          <t>NO</t>
        </is>
      </c>
      <c r="H75" t="inlineStr">
        <is>
          <t>nan</t>
        </is>
      </c>
      <c r="I75" t="inlineStr">
        <is>
          <t>nan</t>
        </is>
      </c>
      <c r="J75" t="inlineStr">
        <is>
          <t>ACTIVO</t>
        </is>
      </c>
      <c r="K75" t="inlineStr">
        <is>
          <t>nan</t>
        </is>
      </c>
      <c r="L75" t="n">
        <v>0</v>
      </c>
      <c r="M75">
        <f>IF(E75&gt;0,ROUND(L75/E75*100,1),0)</f>
        <v/>
      </c>
      <c r="N75" t="inlineStr">
        <is>
          <t>PENDIENTE</t>
        </is>
      </c>
      <c r="O75">
        <f>IF(H75="SI",1,0)*0.6+IF(I75="SI",1,0)*0.4</f>
        <v/>
      </c>
      <c r="P75" t="inlineStr">
        <is>
          <t>PENDIENTE</t>
        </is>
      </c>
      <c r="S75">
        <f>IFERROR(SCORECARDS!C75,"")</f>
        <v/>
      </c>
      <c r="T75">
        <f>IF(NOT(ISNUMBER(S75)),"—",IF(S75&lt;34,"🔴 Crítico",IF(S75&lt;67,"🟡 Vulnerable","🟢 Preparado")))</f>
        <v/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>
        <f>IFERROR(AVERAGE(AA75,AB75,AC75,AD75,AE75,AF75,AG75,AH75,AI75,AJ75,AK75,AL75,AM75,AN75),"N/A")</f>
        <v/>
      </c>
      <c r="AP75">
        <f>IFERROR(AVERAGE(W75,X75,Y75,Z75)/2,"N/A")</f>
        <v/>
      </c>
    </row>
    <row r="76" ht="16.05" customHeight="1" s="37">
      <c r="A76" t="inlineStr">
        <is>
          <t>20542311569</t>
        </is>
      </c>
      <c r="B76" t="inlineStr">
        <is>
          <t>COOPERATIVA AGRARIA ACHUAR SHAKAIM LTDA</t>
        </is>
      </c>
      <c r="C76" t="inlineStr">
        <is>
          <t>LORETO</t>
        </is>
      </c>
      <c r="D76" t="inlineStr">
        <is>
          <t>CACAO</t>
        </is>
      </c>
      <c r="G76" t="inlineStr">
        <is>
          <t>NO</t>
        </is>
      </c>
      <c r="H76" t="inlineStr">
        <is>
          <t>nan</t>
        </is>
      </c>
      <c r="I76" t="inlineStr">
        <is>
          <t>nan</t>
        </is>
      </c>
      <c r="J76" t="inlineStr">
        <is>
          <t>ACTIVO</t>
        </is>
      </c>
      <c r="K76" t="inlineStr">
        <is>
          <t>nan</t>
        </is>
      </c>
      <c r="L76" t="n">
        <v>0</v>
      </c>
      <c r="M76">
        <f>IF(E76&gt;0,ROUND(L76/E76*100,1),0)</f>
        <v/>
      </c>
      <c r="N76" t="inlineStr">
        <is>
          <t>PENDIENTE</t>
        </is>
      </c>
      <c r="O76">
        <f>IF(H76="SI",1,0)*0.6+IF(I76="SI",1,0)*0.4</f>
        <v/>
      </c>
      <c r="P76" t="inlineStr">
        <is>
          <t>PENDIENTE</t>
        </is>
      </c>
      <c r="S76">
        <f>IFERROR(SCORECARDS!C76,"")</f>
        <v/>
      </c>
      <c r="T76">
        <f>IF(NOT(ISNUMBER(S76)),"—",IF(S76&lt;34,"🔴 Crítico",IF(S76&lt;67,"🟡 Vulnerable","🟢 Preparado")))</f>
        <v/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>
        <f>IFERROR(AVERAGE(AA76,AB76,AC76,AD76,AE76,AF76,AG76,AH76,AI76,AJ76,AK76,AL76,AM76,AN76),"N/A")</f>
        <v/>
      </c>
      <c r="AP76">
        <f>IFERROR(AVERAGE(W76,X76,Y76,Z76)/2,"N/A")</f>
        <v/>
      </c>
    </row>
    <row r="77" ht="16.05" customHeight="1" s="37">
      <c r="A77" t="inlineStr">
        <is>
          <t>20542380455</t>
        </is>
      </c>
      <c r="B77" t="inlineStr">
        <is>
          <t>COOPERATIVA AGRARIA ECOFOREST</t>
        </is>
      </c>
      <c r="C77" t="inlineStr">
        <is>
          <t>CAJAMARCA</t>
        </is>
      </c>
      <c r="D77" t="inlineStr">
        <is>
          <t>CAFÉ</t>
        </is>
      </c>
      <c r="E77" t="n">
        <v>16891006.49</v>
      </c>
      <c r="F77" t="n">
        <v>81</v>
      </c>
      <c r="G77" t="inlineStr">
        <is>
          <t>SI</t>
        </is>
      </c>
      <c r="H77" t="inlineStr">
        <is>
          <t>nan</t>
        </is>
      </c>
      <c r="I77" t="inlineStr">
        <is>
          <t>nan</t>
        </is>
      </c>
      <c r="J77" t="inlineStr">
        <is>
          <t>ACTIVO</t>
        </is>
      </c>
      <c r="K77" t="inlineStr">
        <is>
          <t>nan</t>
        </is>
      </c>
      <c r="L77" t="n">
        <v>8445503.24</v>
      </c>
      <c r="M77">
        <f>IF(E77&gt;0,ROUND(L77/E77*100,1),0)</f>
        <v/>
      </c>
      <c r="N77" t="inlineStr">
        <is>
          <t>PENDIENTE</t>
        </is>
      </c>
      <c r="O77">
        <f>IF(H77="SI",1,0)*0.6+IF(I77="SI",1,0)*0.4</f>
        <v/>
      </c>
      <c r="P77" t="inlineStr">
        <is>
          <t>PENDIENTE</t>
        </is>
      </c>
      <c r="S77">
        <f>IFERROR(SCORECARDS!C77,"")</f>
        <v/>
      </c>
      <c r="T77">
        <f>IF(NOT(ISNUMBER(S77)),"—",IF(S77&lt;34,"🔴 Crítico",IF(S77&lt;67,"🟡 Vulnerable","🟢 Preparado")))</f>
        <v/>
      </c>
      <c r="U77" t="n">
        <v>1</v>
      </c>
      <c r="V77" t="inlineStr">
        <is>
          <t>Sin hallazgos OSCE / OEFA</t>
        </is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>
        <f>IFERROR(AVERAGE(AA77,AB77,AC77,AD77,AE77,AF77,AG77,AH77,AI77,AJ77,AK77,AL77,AM77,AN77),"N/A")</f>
        <v/>
      </c>
      <c r="AP77">
        <f>IFERROR(AVERAGE(W77,X77,Y77,Z77)/2,"N/A")</f>
        <v/>
      </c>
    </row>
    <row r="78" ht="16.05" customHeight="1" s="37">
      <c r="A78" t="inlineStr">
        <is>
          <t>20542482886</t>
        </is>
      </c>
      <c r="B78" t="inlineStr">
        <is>
          <t>COOPERATIVA AGROINDUSTRIAL APCCA</t>
        </is>
      </c>
      <c r="C78" t="inlineStr">
        <is>
          <t>HUANUCO</t>
        </is>
      </c>
      <c r="D78" t="inlineStr">
        <is>
          <t>CACAO</t>
        </is>
      </c>
      <c r="G78" t="inlineStr">
        <is>
          <t>NO</t>
        </is>
      </c>
      <c r="H78" t="inlineStr">
        <is>
          <t>nan</t>
        </is>
      </c>
      <c r="I78" t="inlineStr">
        <is>
          <t>nan</t>
        </is>
      </c>
      <c r="J78" t="inlineStr">
        <is>
          <t>SUSPENSION TEMPORAL</t>
        </is>
      </c>
      <c r="K78" t="inlineStr">
        <is>
          <t>nan</t>
        </is>
      </c>
      <c r="L78" t="n">
        <v>0</v>
      </c>
      <c r="M78">
        <f>IF(E78&gt;0,ROUND(L78/E78*100,1),0)</f>
        <v/>
      </c>
      <c r="N78" t="inlineStr">
        <is>
          <t>PENDIENTE</t>
        </is>
      </c>
      <c r="O78">
        <f>IF(H78="SI",1,0)*0.6+IF(I78="SI",1,0)*0.4</f>
        <v/>
      </c>
      <c r="P78" t="inlineStr">
        <is>
          <t>PENDIENTE</t>
        </is>
      </c>
      <c r="S78">
        <f>IFERROR(SCORECARDS!C78,"")</f>
        <v/>
      </c>
      <c r="T78">
        <f>IF(NOT(ISNUMBER(S78)),"—",IF(S78&lt;34,"🔴 Crítico",IF(S78&lt;67,"🟡 Vulnerable","🟢 Preparado")))</f>
        <v/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>
        <f>IFERROR(AVERAGE(AA78,AB78,AC78,AD78,AE78,AF78,AG78,AH78,AI78,AJ78,AK78,AL78,AM78,AN78),"N/A")</f>
        <v/>
      </c>
      <c r="AP78">
        <f>IFERROR(AVERAGE(W78,X78,Y78,Z78)/2,"N/A")</f>
        <v/>
      </c>
    </row>
    <row r="79" ht="16.05" customHeight="1" s="37">
      <c r="A79" t="inlineStr">
        <is>
          <t>20542825163</t>
        </is>
      </c>
      <c r="B79" t="inlineStr">
        <is>
          <t>COOPERATIVA AGRARIA CACAO FINO AGROBOSQUE</t>
        </is>
      </c>
      <c r="C79" t="inlineStr">
        <is>
          <t>MADRE DE DIOS</t>
        </is>
      </c>
      <c r="D79" t="inlineStr">
        <is>
          <t>CACAO</t>
        </is>
      </c>
      <c r="E79" t="n">
        <v>0</v>
      </c>
      <c r="G79" t="inlineStr">
        <is>
          <t>NO</t>
        </is>
      </c>
      <c r="H79" t="inlineStr">
        <is>
          <t>nan</t>
        </is>
      </c>
      <c r="I79" t="inlineStr">
        <is>
          <t>nan</t>
        </is>
      </c>
      <c r="J79" t="inlineStr">
        <is>
          <t>ACTIVO</t>
        </is>
      </c>
      <c r="K79" t="inlineStr">
        <is>
          <t>nan</t>
        </is>
      </c>
      <c r="L79" t="n">
        <v>0</v>
      </c>
      <c r="M79">
        <f>IF(E79&gt;0,ROUND(L79/E79*100,1),0)</f>
        <v/>
      </c>
      <c r="N79" t="inlineStr">
        <is>
          <t>PENDIENTE</t>
        </is>
      </c>
      <c r="O79">
        <f>IF(H79="SI",1,0)*0.6+IF(I79="SI",1,0)*0.4</f>
        <v/>
      </c>
      <c r="P79" t="inlineStr">
        <is>
          <t>PENDIENTE</t>
        </is>
      </c>
      <c r="S79">
        <f>IFERROR(SCORECARDS!C79,"")</f>
        <v/>
      </c>
      <c r="T79">
        <f>IF(NOT(ISNUMBER(S79)),"—",IF(S79&lt;34,"🔴 Crítico",IF(S79&lt;67,"🟡 Vulnerable","🟢 Preparado")))</f>
        <v/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>
        <f>IFERROR(AVERAGE(AA79,AB79,AC79,AD79,AE79,AF79,AG79,AH79,AI79,AJ79,AK79,AL79,AM79,AN79),"N/A")</f>
        <v/>
      </c>
      <c r="AP79">
        <f>IFERROR(AVERAGE(W79,X79,Y79,Z79)/2,"N/A")</f>
        <v/>
      </c>
    </row>
    <row r="80" ht="16.05" customHeight="1" s="37">
      <c r="A80" t="inlineStr">
        <is>
          <t>20561140091</t>
        </is>
      </c>
      <c r="B80" t="inlineStr">
        <is>
          <t>COOPERATIVA AGRARIA ECOLOGICA CAFETALERA DE LONYA GRANDE</t>
        </is>
      </c>
      <c r="C80" t="inlineStr">
        <is>
          <t>AMAZONAS</t>
        </is>
      </c>
      <c r="D80" t="inlineStr">
        <is>
          <t>CAFÉ</t>
        </is>
      </c>
      <c r="E80" t="n">
        <v>0</v>
      </c>
      <c r="G80" t="inlineStr">
        <is>
          <t>NO</t>
        </is>
      </c>
      <c r="H80" t="inlineStr">
        <is>
          <t>SI(</t>
        </is>
      </c>
      <c r="I80" t="inlineStr">
        <is>
          <t>NO</t>
        </is>
      </c>
      <c r="J80" t="inlineStr">
        <is>
          <t>SUSPENSION TEMPORAL</t>
        </is>
      </c>
      <c r="K80" t="inlineStr">
        <is>
          <t>0.5</t>
        </is>
      </c>
      <c r="L80" t="n">
        <v>0</v>
      </c>
      <c r="M80">
        <f>IF(E80&gt;0,ROUND(L80/E80*100,1),0)</f>
        <v/>
      </c>
      <c r="N80" t="inlineStr">
        <is>
          <t>PENDIENTE</t>
        </is>
      </c>
      <c r="O80">
        <f>IF(H80="SI",1,0)*0.6+IF(I80="SI",1,0)*0.4</f>
        <v/>
      </c>
      <c r="P80" t="inlineStr">
        <is>
          <t>PENDIENTE</t>
        </is>
      </c>
      <c r="Q80" t="n">
        <v>351</v>
      </c>
      <c r="R80" t="n">
        <v>1045.6</v>
      </c>
      <c r="S80">
        <f>IFERROR(SCORECARDS!C80,"")</f>
        <v/>
      </c>
      <c r="T80">
        <f>IF(NOT(ISNUMBER(S80)),"—",IF(S80&lt;34,"🔴 Crítico",IF(S80&lt;67,"🟡 Vulnerable","🟢 Preparado")))</f>
        <v/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>
        <f>IFERROR(AVERAGE(AA80,AB80,AC80,AD80,AE80,AF80,AG80,AH80,AI80,AJ80,AK80,AL80,AM80,AN80),"N/A")</f>
        <v/>
      </c>
      <c r="AP80">
        <f>IFERROR(AVERAGE(W80,X80,Y80,Z80)/2,"N/A")</f>
        <v/>
      </c>
    </row>
    <row r="81" ht="16.05" customHeight="1" s="37">
      <c r="A81" t="inlineStr">
        <is>
          <t>20564032485</t>
        </is>
      </c>
      <c r="B81" t="inlineStr">
        <is>
          <t>ASOCIACION DE PRODUCTORES ECOLOGICOS DE CACAO MEDIO URUBAMBA</t>
        </is>
      </c>
      <c r="C81" t="inlineStr">
        <is>
          <t>CUSCO</t>
        </is>
      </c>
      <c r="D81" t="inlineStr">
        <is>
          <t>CACAO</t>
        </is>
      </c>
      <c r="E81" t="n">
        <v>0</v>
      </c>
      <c r="G81" t="inlineStr">
        <is>
          <t>NO</t>
        </is>
      </c>
      <c r="H81" t="inlineStr">
        <is>
          <t>nan</t>
        </is>
      </c>
      <c r="I81" t="inlineStr">
        <is>
          <t>nan</t>
        </is>
      </c>
      <c r="J81" t="inlineStr">
        <is>
          <t>ACTIVO</t>
        </is>
      </c>
      <c r="K81" t="inlineStr">
        <is>
          <t>nan</t>
        </is>
      </c>
      <c r="L81" t="n">
        <v>0</v>
      </c>
      <c r="M81">
        <f>IF(E81&gt;0,ROUND(L81/E81*100,1),0)</f>
        <v/>
      </c>
      <c r="N81" t="inlineStr">
        <is>
          <t>PENDIENTE</t>
        </is>
      </c>
      <c r="O81">
        <f>IF(H81="SI",1,0)*0.6+IF(I81="SI",1,0)*0.4</f>
        <v/>
      </c>
      <c r="P81" t="inlineStr">
        <is>
          <t>PENDIENTE</t>
        </is>
      </c>
      <c r="S81">
        <f>IFERROR(SCORECARDS!C81,"")</f>
        <v/>
      </c>
      <c r="T81">
        <f>IF(NOT(ISNUMBER(S81)),"—",IF(S81&lt;34,"🔴 Crítico",IF(S81&lt;67,"🟡 Vulnerable","🟢 Preparado")))</f>
        <v/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>
        <f>IFERROR(AVERAGE(AA81,AB81,AC81,AD81,AE81,AF81,AG81,AH81,AI81,AJ81,AK81,AL81,AM81,AN81),"N/A")</f>
        <v/>
      </c>
      <c r="AP81">
        <f>IFERROR(AVERAGE(W81,X81,Y81,Z81)/2,"N/A")</f>
        <v/>
      </c>
    </row>
    <row r="82" ht="16.05" customHeight="1" s="37">
      <c r="A82" t="inlineStr">
        <is>
          <t>20568071281</t>
        </is>
      </c>
      <c r="B82" t="inlineStr">
        <is>
          <t>COOPERATIVA AGRARIA CAFETALERA CEPRO YANESHA</t>
        </is>
      </c>
      <c r="C82" t="inlineStr">
        <is>
          <t>PASCO</t>
        </is>
      </c>
      <c r="D82" t="inlineStr">
        <is>
          <t>CAFÉ</t>
        </is>
      </c>
      <c r="E82" t="n">
        <v>1435723.71</v>
      </c>
      <c r="F82" t="n">
        <v>10</v>
      </c>
      <c r="G82" t="inlineStr">
        <is>
          <t>SI</t>
        </is>
      </c>
      <c r="H82" t="inlineStr">
        <is>
          <t>nan</t>
        </is>
      </c>
      <c r="I82" t="inlineStr">
        <is>
          <t>nan</t>
        </is>
      </c>
      <c r="J82" t="inlineStr">
        <is>
          <t>ACTIVO</t>
        </is>
      </c>
      <c r="K82" t="inlineStr">
        <is>
          <t>nan</t>
        </is>
      </c>
      <c r="L82" t="n">
        <v>717861.85</v>
      </c>
      <c r="M82">
        <f>IF(E82&gt;0,ROUND(L82/E82*100,1),0)</f>
        <v/>
      </c>
      <c r="N82" t="inlineStr">
        <is>
          <t>PENDIENTE</t>
        </is>
      </c>
      <c r="O82">
        <f>IF(H82="SI",1,0)*0.6+IF(I82="SI",1,0)*0.4</f>
        <v/>
      </c>
      <c r="P82" t="inlineStr">
        <is>
          <t>PENDIENTE</t>
        </is>
      </c>
      <c r="S82">
        <f>IFERROR(SCORECARDS!C82,"")</f>
        <v/>
      </c>
      <c r="T82">
        <f>IF(NOT(ISNUMBER(S82)),"—",IF(S82&lt;34,"🔴 Crítico",IF(S82&lt;67,"🟡 Vulnerable","🟢 Preparado")))</f>
        <v/>
      </c>
      <c r="U82" t="n">
        <v>1</v>
      </c>
      <c r="V82" t="inlineStr">
        <is>
          <t>Sin hallazgos OSCE / OEFA</t>
        </is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>
        <f>IFERROR(AVERAGE(AA82,AB82,AC82,AD82,AE82,AF82,AG82,AH82,AI82,AJ82,AK82,AL82,AM82,AN82),"N/A")</f>
        <v/>
      </c>
      <c r="AP82">
        <f>IFERROR(AVERAGE(W82,X82,Y82,Z82)/2,"N/A")</f>
        <v/>
      </c>
    </row>
    <row r="83" ht="16.05" customHeight="1" s="37">
      <c r="A83" t="inlineStr">
        <is>
          <t>20568080948</t>
        </is>
      </c>
      <c r="B83" t="inlineStr">
        <is>
          <t>CONSEJO REGULADOR DE LA DENOMINACION DE ORIGEN CAFE VILLA RI</t>
        </is>
      </c>
      <c r="C83" t="inlineStr">
        <is>
          <t>PASCO</t>
        </is>
      </c>
      <c r="D83" t="inlineStr">
        <is>
          <t>CAFÉ</t>
        </is>
      </c>
      <c r="G83" t="inlineStr">
        <is>
          <t>NO</t>
        </is>
      </c>
      <c r="H83" t="inlineStr">
        <is>
          <t>nan</t>
        </is>
      </c>
      <c r="I83" t="inlineStr">
        <is>
          <t>nan</t>
        </is>
      </c>
      <c r="J83" t="inlineStr">
        <is>
          <t>ACTIVO</t>
        </is>
      </c>
      <c r="K83" t="inlineStr">
        <is>
          <t>nan</t>
        </is>
      </c>
      <c r="L83" t="n">
        <v>0</v>
      </c>
      <c r="M83">
        <f>IF(E83&gt;0,ROUND(L83/E83*100,1),0)</f>
        <v/>
      </c>
      <c r="N83" t="inlineStr">
        <is>
          <t>PENDIENTE</t>
        </is>
      </c>
      <c r="O83">
        <f>IF(H83="SI",1,0)*0.6+IF(I83="SI",1,0)*0.4</f>
        <v/>
      </c>
      <c r="P83" t="inlineStr">
        <is>
          <t>PENDIENTE</t>
        </is>
      </c>
      <c r="S83">
        <f>IFERROR(SCORECARDS!C83,"")</f>
        <v/>
      </c>
      <c r="T83">
        <f>IF(NOT(ISNUMBER(S83)),"—",IF(S83&lt;34,"🔴 Crítico",IF(S83&lt;67,"🟡 Vulnerable","🟢 Preparado")))</f>
        <v/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>
        <f>IFERROR(AVERAGE(AA83,AB83,AC83,AD83,AE83,AF83,AG83,AH83,AI83,AJ83,AK83,AL83,AM83,AN83),"N/A")</f>
        <v/>
      </c>
      <c r="AP83">
        <f>IFERROR(AVERAGE(W83,X83,Y83,Z83)/2,"N/A")</f>
        <v/>
      </c>
    </row>
    <row r="84" ht="16.05" customHeight="1" s="37">
      <c r="A84" t="inlineStr">
        <is>
          <t>20568190450</t>
        </is>
      </c>
      <c r="B84" t="inlineStr">
        <is>
          <t>COOPERATIVA AGRARIA KEMITO ENE LTDA. - KEMITO ENE</t>
        </is>
      </c>
      <c r="C84" t="inlineStr">
        <is>
          <t>JUNIN</t>
        </is>
      </c>
      <c r="D84" t="inlineStr">
        <is>
          <t>CACAO</t>
        </is>
      </c>
      <c r="E84" t="n">
        <v>113466.98</v>
      </c>
      <c r="F84" t="n">
        <v>10</v>
      </c>
      <c r="G84" t="inlineStr">
        <is>
          <t>SI</t>
        </is>
      </c>
      <c r="H84" t="inlineStr">
        <is>
          <t>nan</t>
        </is>
      </c>
      <c r="I84" t="inlineStr">
        <is>
          <t>nan</t>
        </is>
      </c>
      <c r="J84" t="inlineStr">
        <is>
          <t>ACTIVO</t>
        </is>
      </c>
      <c r="K84" t="inlineStr">
        <is>
          <t>nan</t>
        </is>
      </c>
      <c r="L84" t="n">
        <v>0</v>
      </c>
      <c r="M84">
        <f>IF(E84&gt;0,ROUND(L84/E84*100,1),0)</f>
        <v/>
      </c>
      <c r="N84" t="inlineStr">
        <is>
          <t>PENDIENTE</t>
        </is>
      </c>
      <c r="O84">
        <f>IF(H84="SI",1,0)*0.6+IF(I84="SI",1,0)*0.4</f>
        <v/>
      </c>
      <c r="P84" t="inlineStr">
        <is>
          <t>PENDIENTE</t>
        </is>
      </c>
      <c r="S84">
        <f>IFERROR(SCORECARDS!C84,"")</f>
        <v/>
      </c>
      <c r="T84">
        <f>IF(NOT(ISNUMBER(S84)),"—",IF(S84&lt;34,"🔴 Crítico",IF(S84&lt;67,"🟡 Vulnerable","🟢 Preparado")))</f>
        <v/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>
        <f>IFERROR(AVERAGE(AA84,AB84,AC84,AD84,AE84,AF84,AG84,AH84,AI84,AJ84,AK84,AL84,AM84,AN84),"N/A")</f>
        <v/>
      </c>
      <c r="AP84">
        <f>IFERROR(AVERAGE(W84,X84,Y84,Z84)/2,"N/A")</f>
        <v/>
      </c>
    </row>
    <row r="85" ht="16.05" customHeight="1" s="37">
      <c r="A85" t="inlineStr">
        <is>
          <t>20568194951</t>
        </is>
      </c>
      <c r="B85" t="inlineStr">
        <is>
          <t>ASOCIACION DE PRODUCTORES AGROSOSTENIBLES VILLA ECOLOGICA PE</t>
        </is>
      </c>
      <c r="C85" t="inlineStr">
        <is>
          <t>JUNIN</t>
        </is>
      </c>
      <c r="D85" t="inlineStr">
        <is>
          <t>CAFÉ</t>
        </is>
      </c>
      <c r="E85" t="n">
        <v>5355025.229999999</v>
      </c>
      <c r="F85" t="n">
        <v>27</v>
      </c>
      <c r="G85" t="inlineStr">
        <is>
          <t>SI</t>
        </is>
      </c>
      <c r="H85" t="inlineStr">
        <is>
          <t>nan</t>
        </is>
      </c>
      <c r="I85" t="inlineStr">
        <is>
          <t>nan</t>
        </is>
      </c>
      <c r="J85" t="inlineStr">
        <is>
          <t>ACTIVO</t>
        </is>
      </c>
      <c r="K85" t="inlineStr">
        <is>
          <t>nan</t>
        </is>
      </c>
      <c r="L85" t="n">
        <v>2677512.61</v>
      </c>
      <c r="M85">
        <f>IF(E85&gt;0,ROUND(L85/E85*100,1),0)</f>
        <v/>
      </c>
      <c r="N85" t="inlineStr">
        <is>
          <t>PENDIENTE</t>
        </is>
      </c>
      <c r="O85">
        <f>IF(H85="SI",1,0)*0.6+IF(I85="SI",1,0)*0.4</f>
        <v/>
      </c>
      <c r="P85" t="inlineStr">
        <is>
          <t>PENDIENTE</t>
        </is>
      </c>
      <c r="S85">
        <f>IFERROR(SCORECARDS!C85,"")</f>
        <v/>
      </c>
      <c r="T85">
        <f>IF(NOT(ISNUMBER(S85)),"—",IF(S85&lt;34,"🔴 Crítico",IF(S85&lt;67,"🟡 Vulnerable","🟢 Preparado")))</f>
        <v/>
      </c>
      <c r="U85" t="n">
        <v>1</v>
      </c>
      <c r="V85" t="inlineStr">
        <is>
          <t>Sin hallazgos OSCE / OEFA</t>
        </is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>
        <f>IFERROR(AVERAGE(AA85,AB85,AC85,AD85,AE85,AF85,AG85,AH85,AI85,AJ85,AK85,AL85,AM85,AN85),"N/A")</f>
        <v/>
      </c>
      <c r="AP85">
        <f>IFERROR(AVERAGE(W85,X85,Y85,Z85)/2,"N/A")</f>
        <v/>
      </c>
    </row>
    <row r="86" ht="16.05" customHeight="1" s="37">
      <c r="A86" t="inlineStr">
        <is>
          <t>20568428375</t>
        </is>
      </c>
      <c r="B86" t="inlineStr">
        <is>
          <t>COOPERATIVA AGRARIA ASHANINKA DEL VALLE PICHIS</t>
        </is>
      </c>
      <c r="C86" t="inlineStr">
        <is>
          <t>PASCO</t>
        </is>
      </c>
      <c r="D86" t="inlineStr">
        <is>
          <t>CACAO</t>
        </is>
      </c>
      <c r="G86" t="inlineStr">
        <is>
          <t>NO</t>
        </is>
      </c>
      <c r="H86" t="inlineStr">
        <is>
          <t>nan</t>
        </is>
      </c>
      <c r="I86" t="inlineStr">
        <is>
          <t>nan</t>
        </is>
      </c>
      <c r="J86" t="inlineStr">
        <is>
          <t>ACTIVO</t>
        </is>
      </c>
      <c r="K86" t="inlineStr">
        <is>
          <t>nan</t>
        </is>
      </c>
      <c r="L86" t="n">
        <v>0</v>
      </c>
      <c r="M86">
        <f>IF(E86&gt;0,ROUND(L86/E86*100,1),0)</f>
        <v/>
      </c>
      <c r="N86" t="inlineStr">
        <is>
          <t>PENDIENTE</t>
        </is>
      </c>
      <c r="O86">
        <f>IF(H86="SI",1,0)*0.6+IF(I86="SI",1,0)*0.4</f>
        <v/>
      </c>
      <c r="P86" t="inlineStr">
        <is>
          <t>PENDIENTE</t>
        </is>
      </c>
      <c r="S86">
        <f>IFERROR(SCORECARDS!C86,"")</f>
        <v/>
      </c>
      <c r="T86">
        <f>IF(NOT(ISNUMBER(S86)),"—",IF(S86&lt;34,"🔴 Crítico",IF(S86&lt;67,"🟡 Vulnerable","🟢 Preparado")))</f>
        <v/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>
        <f>IFERROR(AVERAGE(AA86,AB86,AC86,AD86,AE86,AF86,AG86,AH86,AI86,AJ86,AK86,AL86,AM86,AN86),"N/A")</f>
        <v/>
      </c>
      <c r="AP86">
        <f>IFERROR(AVERAGE(W86,X86,Y86,Z86)/2,"N/A")</f>
        <v/>
      </c>
    </row>
    <row r="87" ht="16.05" customHeight="1" s="37">
      <c r="A87" t="inlineStr">
        <is>
          <t>20568549083</t>
        </is>
      </c>
      <c r="B87" t="inlineStr">
        <is>
          <t>COOPERATIVA AGRARIA INDUSTRIAL APASC SANCORE-PALCAZU LTDA</t>
        </is>
      </c>
      <c r="C87" t="inlineStr">
        <is>
          <t>PASCO</t>
        </is>
      </c>
      <c r="D87" t="inlineStr">
        <is>
          <t>CACAO</t>
        </is>
      </c>
      <c r="G87" t="inlineStr">
        <is>
          <t>NO</t>
        </is>
      </c>
      <c r="H87" t="inlineStr">
        <is>
          <t>nan</t>
        </is>
      </c>
      <c r="I87" t="inlineStr">
        <is>
          <t>nan</t>
        </is>
      </c>
      <c r="J87" t="inlineStr">
        <is>
          <t>ACTIVO</t>
        </is>
      </c>
      <c r="K87" t="inlineStr">
        <is>
          <t>nan</t>
        </is>
      </c>
      <c r="L87" t="n">
        <v>0</v>
      </c>
      <c r="M87">
        <f>IF(E87&gt;0,ROUND(L87/E87*100,1),0)</f>
        <v/>
      </c>
      <c r="N87" t="inlineStr">
        <is>
          <t>PENDIENTE</t>
        </is>
      </c>
      <c r="O87">
        <f>IF(H87="SI",1,0)*0.6+IF(I87="SI",1,0)*0.4</f>
        <v/>
      </c>
      <c r="P87" t="inlineStr">
        <is>
          <t>PENDIENTE</t>
        </is>
      </c>
      <c r="S87">
        <f>IFERROR(SCORECARDS!C87,"")</f>
        <v/>
      </c>
      <c r="T87">
        <f>IF(NOT(ISNUMBER(S87)),"—",IF(S87&lt;34,"🔴 Crítico",IF(S87&lt;67,"🟡 Vulnerable","🟢 Preparado")))</f>
        <v/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>
        <f>IFERROR(AVERAGE(AA87,AB87,AC87,AD87,AE87,AF87,AG87,AH87,AI87,AJ87,AK87,AL87,AM87,AN87),"N/A")</f>
        <v/>
      </c>
      <c r="AP87">
        <f>IFERROR(AVERAGE(W87,X87,Y87,Z87)/2,"N/A")</f>
        <v/>
      </c>
    </row>
    <row r="88" ht="16.05" customHeight="1" s="37">
      <c r="A88" t="inlineStr">
        <is>
          <t>20568560133</t>
        </is>
      </c>
      <c r="B88" t="inlineStr">
        <is>
          <t>COOPERATIVA AGRARIA ECOLOGICO ALTO PALCAZU LAGUNA RAYA</t>
        </is>
      </c>
      <c r="C88" t="inlineStr">
        <is>
          <t>PASCO</t>
        </is>
      </c>
      <c r="D88" t="inlineStr">
        <is>
          <t>CACAO</t>
        </is>
      </c>
      <c r="G88" t="inlineStr">
        <is>
          <t>NO</t>
        </is>
      </c>
      <c r="H88" t="inlineStr">
        <is>
          <t>nan</t>
        </is>
      </c>
      <c r="I88" t="inlineStr">
        <is>
          <t>nan</t>
        </is>
      </c>
      <c r="J88" t="inlineStr">
        <is>
          <t>ACTIVO</t>
        </is>
      </c>
      <c r="K88" t="inlineStr">
        <is>
          <t>nan</t>
        </is>
      </c>
      <c r="L88" t="n">
        <v>0</v>
      </c>
      <c r="M88">
        <f>IF(E88&gt;0,ROUND(L88/E88*100,1),0)</f>
        <v/>
      </c>
      <c r="N88" t="inlineStr">
        <is>
          <t>PENDIENTE</t>
        </is>
      </c>
      <c r="O88">
        <f>IF(H88="SI",1,0)*0.6+IF(I88="SI",1,0)*0.4</f>
        <v/>
      </c>
      <c r="P88" t="inlineStr">
        <is>
          <t>PENDIENTE</t>
        </is>
      </c>
      <c r="S88">
        <f>IFERROR(SCORECARDS!C88,"")</f>
        <v/>
      </c>
      <c r="T88">
        <f>IF(NOT(ISNUMBER(S88)),"—",IF(S88&lt;34,"🔴 Crítico",IF(S88&lt;67,"🟡 Vulnerable","🟢 Preparado")))</f>
        <v/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>
        <f>IFERROR(AVERAGE(AA88,AB88,AC88,AD88,AE88,AF88,AG88,AH88,AI88,AJ88,AK88,AL88,AM88,AN88),"N/A")</f>
        <v/>
      </c>
      <c r="AP88">
        <f>IFERROR(AVERAGE(W88,X88,Y88,Z88)/2,"N/A")</f>
        <v/>
      </c>
    </row>
    <row r="89" ht="16.05" customHeight="1" s="37">
      <c r="A89" t="inlineStr">
        <is>
          <t>20568567731</t>
        </is>
      </c>
      <c r="B89" t="inlineStr">
        <is>
          <t>COOPERATIVA AGRARIA VILLA RICA GOLDEN COFFEE LTDA.</t>
        </is>
      </c>
      <c r="C89" t="inlineStr">
        <is>
          <t>PASCO</t>
        </is>
      </c>
      <c r="D89" t="inlineStr">
        <is>
          <t>CAFÉ</t>
        </is>
      </c>
      <c r="E89" t="n">
        <v>0</v>
      </c>
      <c r="G89" t="inlineStr">
        <is>
          <t>NO</t>
        </is>
      </c>
      <c r="H89" t="inlineStr">
        <is>
          <t>nan</t>
        </is>
      </c>
      <c r="I89" t="inlineStr">
        <is>
          <t>nan</t>
        </is>
      </c>
      <c r="J89" t="inlineStr">
        <is>
          <t>ACTIVO</t>
        </is>
      </c>
      <c r="K89" t="inlineStr">
        <is>
          <t>nan</t>
        </is>
      </c>
      <c r="L89" t="n">
        <v>0</v>
      </c>
      <c r="M89">
        <f>IF(E89&gt;0,ROUND(L89/E89*100,1),0)</f>
        <v/>
      </c>
      <c r="N89" t="inlineStr">
        <is>
          <t>PENDIENTE</t>
        </is>
      </c>
      <c r="O89">
        <f>IF(H89="SI",1,0)*0.6+IF(I89="SI",1,0)*0.4</f>
        <v/>
      </c>
      <c r="P89" t="inlineStr">
        <is>
          <t>PENDIENTE</t>
        </is>
      </c>
      <c r="S89">
        <f>IFERROR(SCORECARDS!C89,"")</f>
        <v/>
      </c>
      <c r="T89">
        <f>IF(NOT(ISNUMBER(S89)),"—",IF(S89&lt;34,"🔴 Crítico",IF(S89&lt;67,"🟡 Vulnerable","🟢 Preparado")))</f>
        <v/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>
        <f>IFERROR(AVERAGE(AA89,AB89,AC89,AD89,AE89,AF89,AG89,AH89,AI89,AJ89,AK89,AL89,AM89,AN89),"N/A")</f>
        <v/>
      </c>
      <c r="AP89">
        <f>IFERROR(AVERAGE(W89,X89,Y89,Z89)/2,"N/A")</f>
        <v/>
      </c>
    </row>
    <row r="90" ht="16.05" customHeight="1" s="37">
      <c r="A90" t="inlineStr">
        <is>
          <t>20568609833</t>
        </is>
      </c>
      <c r="B90" t="inlineStr">
        <is>
          <t xml:space="preserve">ASOCIACION DE MUJERES PRODUCTORAS ARTESANAS CACAO JENTARI - </t>
        </is>
      </c>
      <c r="C90" t="inlineStr">
        <is>
          <t>JUNIN</t>
        </is>
      </c>
      <c r="D90" t="inlineStr">
        <is>
          <t>CACAO</t>
        </is>
      </c>
      <c r="G90" t="inlineStr">
        <is>
          <t>NO</t>
        </is>
      </c>
      <c r="H90" t="inlineStr">
        <is>
          <t>nan</t>
        </is>
      </c>
      <c r="I90" t="inlineStr">
        <is>
          <t>nan</t>
        </is>
      </c>
      <c r="J90" t="inlineStr">
        <is>
          <t>BAJA DE OFICIO</t>
        </is>
      </c>
      <c r="K90" t="inlineStr">
        <is>
          <t>nan</t>
        </is>
      </c>
      <c r="L90" t="n">
        <v>0</v>
      </c>
      <c r="M90">
        <f>IF(E90&gt;0,ROUND(L90/E90*100,1),0)</f>
        <v/>
      </c>
      <c r="N90" t="inlineStr">
        <is>
          <t>PENDIENTE</t>
        </is>
      </c>
      <c r="O90">
        <f>IF(H90="SI",1,0)*0.6+IF(I90="SI",1,0)*0.4</f>
        <v/>
      </c>
      <c r="P90" t="inlineStr">
        <is>
          <t>PENDIENTE</t>
        </is>
      </c>
      <c r="S90">
        <f>IFERROR(SCORECARDS!C90,"")</f>
        <v/>
      </c>
      <c r="T90">
        <f>IF(NOT(ISNUMBER(S90)),"—",IF(S90&lt;34,"🔴 Crítico",IF(S90&lt;67,"🟡 Vulnerable","🟢 Preparado")))</f>
        <v/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>
        <f>IFERROR(AVERAGE(AA90,AB90,AC90,AD90,AE90,AF90,AG90,AH90,AI90,AJ90,AK90,AL90,AM90,AN90),"N/A")</f>
        <v/>
      </c>
      <c r="AP90">
        <f>IFERROR(AVERAGE(W90,X90,Y90,Z90)/2,"N/A")</f>
        <v/>
      </c>
    </row>
    <row r="91" ht="16.05" customHeight="1" s="37">
      <c r="A91" t="inlineStr">
        <is>
          <t>20568962282</t>
        </is>
      </c>
      <c r="B91" t="inlineStr">
        <is>
          <t>ASOCIACIÓN DE PRODUCTORES CENTRO COFFEE</t>
        </is>
      </c>
      <c r="C91" t="inlineStr">
        <is>
          <t>JUNIN</t>
        </is>
      </c>
      <c r="D91" t="inlineStr">
        <is>
          <t>CAFÉ</t>
        </is>
      </c>
      <c r="E91" t="n">
        <v>0</v>
      </c>
      <c r="G91" t="inlineStr">
        <is>
          <t>NO</t>
        </is>
      </c>
      <c r="H91" t="inlineStr">
        <is>
          <t>nan</t>
        </is>
      </c>
      <c r="I91" t="inlineStr">
        <is>
          <t>nan</t>
        </is>
      </c>
      <c r="J91" t="inlineStr">
        <is>
          <t>SUSPENSION TEMPORAL</t>
        </is>
      </c>
      <c r="K91" t="inlineStr">
        <is>
          <t>nan</t>
        </is>
      </c>
      <c r="L91" t="n">
        <v>0</v>
      </c>
      <c r="M91">
        <f>IF(E91&gt;0,ROUND(L91/E91*100,1),0)</f>
        <v/>
      </c>
      <c r="N91" t="inlineStr">
        <is>
          <t>PENDIENTE</t>
        </is>
      </c>
      <c r="O91">
        <f>IF(H91="SI",1,0)*0.6+IF(I91="SI",1,0)*0.4</f>
        <v/>
      </c>
      <c r="P91" t="inlineStr">
        <is>
          <t>PENDIENTE</t>
        </is>
      </c>
      <c r="S91">
        <f>IFERROR(SCORECARDS!C91,"")</f>
        <v/>
      </c>
      <c r="T91">
        <f>IF(NOT(ISNUMBER(S91)),"—",IF(S91&lt;34,"🔴 Crítico",IF(S91&lt;67,"🟡 Vulnerable","🟢 Preparado")))</f>
        <v/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>
        <f>IFERROR(AVERAGE(AA91,AB91,AC91,AD91,AE91,AF91,AG91,AH91,AI91,AJ91,AK91,AL91,AM91,AN91),"N/A")</f>
        <v/>
      </c>
      <c r="AP91">
        <f>IFERROR(AVERAGE(W91,X91,Y91,Z91)/2,"N/A")</f>
        <v/>
      </c>
    </row>
    <row r="92" ht="16.05" customHeight="1" s="37">
      <c r="A92" t="inlineStr">
        <is>
          <t>20570706927</t>
        </is>
      </c>
      <c r="B92" t="inlineStr">
        <is>
          <t>COOPERATIVA AGRARIA RUTAS DEL INCA</t>
        </is>
      </c>
      <c r="C92" t="inlineStr">
        <is>
          <t>CAJAMARCA</t>
        </is>
      </c>
      <c r="D92" t="inlineStr">
        <is>
          <t>CAFÉ</t>
        </is>
      </c>
      <c r="E92" t="n">
        <v>9585341.800000001</v>
      </c>
      <c r="F92" t="n">
        <v>58</v>
      </c>
      <c r="G92" t="inlineStr">
        <is>
          <t>SI</t>
        </is>
      </c>
      <c r="H92" t="inlineStr">
        <is>
          <t>nan</t>
        </is>
      </c>
      <c r="I92" t="inlineStr">
        <is>
          <t>nan</t>
        </is>
      </c>
      <c r="J92" t="inlineStr">
        <is>
          <t>ACTIVO</t>
        </is>
      </c>
      <c r="K92" t="inlineStr">
        <is>
          <t>nan</t>
        </is>
      </c>
      <c r="L92" t="n">
        <v>4792670.9</v>
      </c>
      <c r="M92">
        <f>IF(E92&gt;0,ROUND(L92/E92*100,1),0)</f>
        <v/>
      </c>
      <c r="N92" t="inlineStr">
        <is>
          <t>PENDIENTE</t>
        </is>
      </c>
      <c r="O92">
        <f>IF(H92="SI",1,0)*0.6+IF(I92="SI",1,0)*0.4</f>
        <v/>
      </c>
      <c r="P92" t="inlineStr">
        <is>
          <t>PENDIENTE</t>
        </is>
      </c>
      <c r="S92">
        <f>IFERROR(SCORECARDS!C92,"")</f>
        <v/>
      </c>
      <c r="T92">
        <f>IF(NOT(ISNUMBER(S92)),"—",IF(S92&lt;34,"🔴 Crítico",IF(S92&lt;67,"🟡 Vulnerable","🟢 Preparado")))</f>
        <v/>
      </c>
      <c r="U92" t="n">
        <v>1</v>
      </c>
      <c r="V92" t="inlineStr">
        <is>
          <t>Sin hallazgos OSCE / OEFA</t>
        </is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>
        <f>IFERROR(AVERAGE(AA92,AB92,AC92,AD92,AE92,AF92,AG92,AH92,AI92,AJ92,AK92,AL92,AM92,AN92),"N/A")</f>
        <v/>
      </c>
      <c r="AP92">
        <f>IFERROR(AVERAGE(W92,X92,Y92,Z92)/2,"N/A")</f>
        <v/>
      </c>
    </row>
    <row r="93" ht="16.05" customHeight="1" s="37">
      <c r="A93" t="inlineStr">
        <is>
          <t>20572111131</t>
        </is>
      </c>
      <c r="B93" t="inlineStr">
        <is>
          <t>ASOCIACION DE MUJERES ORGANIZADAS CHOCO WARMIS</t>
        </is>
      </c>
      <c r="C93" t="inlineStr">
        <is>
          <t>SAN MARTIN</t>
        </is>
      </c>
      <c r="G93" t="inlineStr">
        <is>
          <t>NO</t>
        </is>
      </c>
      <c r="H93" t="inlineStr">
        <is>
          <t>nan</t>
        </is>
      </c>
      <c r="I93" t="inlineStr">
        <is>
          <t>nan</t>
        </is>
      </c>
      <c r="J93" t="inlineStr">
        <is>
          <t>ACTIVO</t>
        </is>
      </c>
      <c r="K93" t="inlineStr">
        <is>
          <t>nan</t>
        </is>
      </c>
      <c r="L93" t="n">
        <v>0</v>
      </c>
      <c r="M93">
        <f>IF(E93&gt;0,ROUND(L93/E93*100,1),0)</f>
        <v/>
      </c>
      <c r="N93" t="inlineStr">
        <is>
          <t>PENDIENTE</t>
        </is>
      </c>
      <c r="O93">
        <f>IF(H93="SI",1,0)*0.6+IF(I93="SI",1,0)*0.4</f>
        <v/>
      </c>
      <c r="P93" t="inlineStr">
        <is>
          <t>PENDIENTE</t>
        </is>
      </c>
      <c r="S93">
        <f>IFERROR(SCORECARDS!C93,"")</f>
        <v/>
      </c>
      <c r="T93">
        <f>IF(NOT(ISNUMBER(S93)),"—",IF(S93&lt;34,"🔴 Crítico",IF(S93&lt;67,"🟡 Vulnerable","🟢 Preparado")))</f>
        <v/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>
        <f>IFERROR(AVERAGE(AA93,AB93,AC93,AD93,AE93,AF93,AG93,AH93,AI93,AJ93,AK93,AL93,AM93,AN93),"N/A")</f>
        <v/>
      </c>
      <c r="AP93">
        <f>IFERROR(AVERAGE(W93,X93,Y93,Z93)/2,"N/A")</f>
        <v/>
      </c>
    </row>
    <row r="94" ht="16.05" customHeight="1" s="37">
      <c r="A94" t="inlineStr">
        <is>
          <t>20572190251</t>
        </is>
      </c>
      <c r="B94" t="inlineStr">
        <is>
          <t>CENTRAL DE COOPERATIVAS AGRARIAS CACAO AROMA DE TOCACHE LTDA</t>
        </is>
      </c>
      <c r="C94" t="inlineStr">
        <is>
          <t>SAN MARTIN</t>
        </is>
      </c>
      <c r="E94" t="n">
        <v>3777944.83</v>
      </c>
      <c r="F94" t="n">
        <v>14</v>
      </c>
      <c r="G94" t="inlineStr">
        <is>
          <t>SI</t>
        </is>
      </c>
      <c r="H94" t="inlineStr">
        <is>
          <t>nan</t>
        </is>
      </c>
      <c r="I94" t="inlineStr">
        <is>
          <t>nan</t>
        </is>
      </c>
      <c r="J94" t="inlineStr">
        <is>
          <t>ACTIVO</t>
        </is>
      </c>
      <c r="K94" t="inlineStr">
        <is>
          <t>nan</t>
        </is>
      </c>
      <c r="L94" t="n">
        <v>1888972.42</v>
      </c>
      <c r="M94">
        <f>IF(E94&gt;0,ROUND(L94/E94*100,1),0)</f>
        <v/>
      </c>
      <c r="N94" t="inlineStr">
        <is>
          <t>PENDIENTE</t>
        </is>
      </c>
      <c r="O94">
        <f>IF(H94="SI",1,0)*0.6+IF(I94="SI",1,0)*0.4</f>
        <v/>
      </c>
      <c r="P94" t="inlineStr">
        <is>
          <t>PENDIENTE</t>
        </is>
      </c>
      <c r="S94">
        <f>IFERROR(SCORECARDS!C94,"")</f>
        <v/>
      </c>
      <c r="T94">
        <f>IF(NOT(ISNUMBER(S94)),"—",IF(S94&lt;34,"🔴 Crítico",IF(S94&lt;67,"🟡 Vulnerable","🟢 Preparado")))</f>
        <v/>
      </c>
      <c r="U94" t="n">
        <v>1</v>
      </c>
      <c r="V94" t="inlineStr">
        <is>
          <t>Sin hallazgos OSCE / OEFA</t>
        </is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>
        <f>IFERROR(AVERAGE(AA94,AB94,AC94,AD94,AE94,AF94,AG94,AH94,AI94,AJ94,AK94,AL94,AM94,AN94),"N/A")</f>
        <v/>
      </c>
      <c r="AP94">
        <f>IFERROR(AVERAGE(W94,X94,Y94,Z94)/2,"N/A")</f>
        <v/>
      </c>
    </row>
    <row r="95" ht="16.05" customHeight="1" s="37">
      <c r="A95" t="inlineStr">
        <is>
          <t>20573049102</t>
        </is>
      </c>
      <c r="B95" t="inlineStr">
        <is>
          <t>COOPERATIVA AGRARIA CACAOTERA PUERTO INCA</t>
        </is>
      </c>
      <c r="C95" t="inlineStr">
        <is>
          <t>HUANUCO</t>
        </is>
      </c>
      <c r="D95" t="inlineStr">
        <is>
          <t>CACAO</t>
        </is>
      </c>
      <c r="G95" t="inlineStr">
        <is>
          <t>NO</t>
        </is>
      </c>
      <c r="H95" t="inlineStr">
        <is>
          <t>nan</t>
        </is>
      </c>
      <c r="I95" t="inlineStr">
        <is>
          <t>nan</t>
        </is>
      </c>
      <c r="J95" t="inlineStr">
        <is>
          <t>ACTIVO</t>
        </is>
      </c>
      <c r="K95" t="inlineStr">
        <is>
          <t>nan</t>
        </is>
      </c>
      <c r="L95" t="n">
        <v>0</v>
      </c>
      <c r="M95">
        <f>IF(E95&gt;0,ROUND(L95/E95*100,1),0)</f>
        <v/>
      </c>
      <c r="N95" t="inlineStr">
        <is>
          <t>PENDIENTE</t>
        </is>
      </c>
      <c r="O95">
        <f>IF(H95="SI",1,0)*0.6+IF(I95="SI",1,0)*0.4</f>
        <v/>
      </c>
      <c r="P95" t="inlineStr">
        <is>
          <t>PENDIENTE</t>
        </is>
      </c>
      <c r="S95">
        <f>IFERROR(SCORECARDS!C95,"")</f>
        <v/>
      </c>
      <c r="T95">
        <f>IF(NOT(ISNUMBER(S95)),"—",IF(S95&lt;34,"🔴 Crítico",IF(S95&lt;67,"🟡 Vulnerable","🟢 Preparado")))</f>
        <v/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>
        <f>IFERROR(AVERAGE(AA95,AB95,AC95,AD95,AE95,AF95,AG95,AH95,AI95,AJ95,AK95,AL95,AM95,AN95),"N/A")</f>
        <v/>
      </c>
      <c r="AP95">
        <f>IFERROR(AVERAGE(W95,X95,Y95,Z95)/2,"N/A")</f>
        <v/>
      </c>
    </row>
    <row r="96" ht="16.05" customHeight="1" s="37">
      <c r="A96" t="inlineStr">
        <is>
          <t>20573057385</t>
        </is>
      </c>
      <c r="B96" t="inlineStr">
        <is>
          <t>COOPERATIVA AGRARIA PARAISO</t>
        </is>
      </c>
      <c r="C96" t="inlineStr">
        <is>
          <t>HUANUCO</t>
        </is>
      </c>
      <c r="D96" t="inlineStr">
        <is>
          <t>CACAO</t>
        </is>
      </c>
      <c r="E96" t="n">
        <v>0</v>
      </c>
      <c r="G96" t="inlineStr">
        <is>
          <t>NO</t>
        </is>
      </c>
      <c r="H96" t="inlineStr">
        <is>
          <t>nan</t>
        </is>
      </c>
      <c r="I96" t="inlineStr">
        <is>
          <t>nan</t>
        </is>
      </c>
      <c r="J96" t="inlineStr">
        <is>
          <t>ACTIVO</t>
        </is>
      </c>
      <c r="K96" t="inlineStr">
        <is>
          <t>nan</t>
        </is>
      </c>
      <c r="L96" t="n">
        <v>0</v>
      </c>
      <c r="M96">
        <f>IF(E96&gt;0,ROUND(L96/E96*100,1),0)</f>
        <v/>
      </c>
      <c r="N96" t="inlineStr">
        <is>
          <t>PENDIENTE</t>
        </is>
      </c>
      <c r="O96">
        <f>IF(H96="SI",1,0)*0.6+IF(I96="SI",1,0)*0.4</f>
        <v/>
      </c>
      <c r="P96" t="inlineStr">
        <is>
          <t>PENDIENTE</t>
        </is>
      </c>
      <c r="S96">
        <f>IFERROR(SCORECARDS!C96,"")</f>
        <v/>
      </c>
      <c r="T96">
        <f>IF(NOT(ISNUMBER(S96)),"—",IF(S96&lt;34,"🔴 Crítico",IF(S96&lt;67,"🟡 Vulnerable","🟢 Preparado")))</f>
        <v/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>
        <f>IFERROR(AVERAGE(AA96,AB96,AC96,AD96,AE96,AF96,AG96,AH96,AI96,AJ96,AK96,AL96,AM96,AN96),"N/A")</f>
        <v/>
      </c>
      <c r="AP96">
        <f>IFERROR(AVERAGE(W96,X96,Y96,Z96)/2,"N/A")</f>
        <v/>
      </c>
    </row>
    <row r="97" ht="16.05" customHeight="1" s="37">
      <c r="A97" t="inlineStr">
        <is>
          <t>20573138202</t>
        </is>
      </c>
      <c r="B97" t="inlineStr">
        <is>
          <t>ASOCIACION DE PRODUCTORES AGROPECUARIOS Y FORESTALES EL ALVA</t>
        </is>
      </c>
      <c r="C97" t="inlineStr">
        <is>
          <t>HUANUCO</t>
        </is>
      </c>
      <c r="D97" t="inlineStr">
        <is>
          <t>CACAO</t>
        </is>
      </c>
      <c r="G97" t="inlineStr">
        <is>
          <t>NO</t>
        </is>
      </c>
      <c r="H97" t="inlineStr">
        <is>
          <t>nan</t>
        </is>
      </c>
      <c r="I97" t="inlineStr">
        <is>
          <t>nan</t>
        </is>
      </c>
      <c r="J97" t="inlineStr">
        <is>
          <t>BAJA DE OFICIO</t>
        </is>
      </c>
      <c r="K97" t="inlineStr">
        <is>
          <t>nan</t>
        </is>
      </c>
      <c r="L97" t="n">
        <v>0</v>
      </c>
      <c r="M97">
        <f>IF(E97&gt;0,ROUND(L97/E97*100,1),0)</f>
        <v/>
      </c>
      <c r="N97" t="inlineStr">
        <is>
          <t>PENDIENTE</t>
        </is>
      </c>
      <c r="O97">
        <f>IF(H97="SI",1,0)*0.6+IF(I97="SI",1,0)*0.4</f>
        <v/>
      </c>
      <c r="P97" t="inlineStr">
        <is>
          <t>PENDIENTE</t>
        </is>
      </c>
      <c r="S97">
        <f>IFERROR(SCORECARDS!C97,"")</f>
        <v/>
      </c>
      <c r="T97">
        <f>IF(NOT(ISNUMBER(S97)),"—",IF(S97&lt;34,"🔴 Crítico",IF(S97&lt;67,"🟡 Vulnerable","🟢 Preparado")))</f>
        <v/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>
        <f>IFERROR(AVERAGE(AA97,AB97,AC97,AD97,AE97,AF97,AG97,AH97,AI97,AJ97,AK97,AL97,AM97,AN97),"N/A")</f>
        <v/>
      </c>
      <c r="AP97">
        <f>IFERROR(AVERAGE(W97,X97,Y97,Z97)/2,"N/A")</f>
        <v/>
      </c>
    </row>
    <row r="98" ht="16.05" customHeight="1" s="37">
      <c r="A98" t="inlineStr">
        <is>
          <t>20573260008</t>
        </is>
      </c>
      <c r="B98" t="inlineStr">
        <is>
          <t>COOPERATIVA AGRARIA AUCAYACU</t>
        </is>
      </c>
      <c r="C98" t="inlineStr">
        <is>
          <t>HUANUCO</t>
        </is>
      </c>
      <c r="D98" t="inlineStr">
        <is>
          <t>CACAO</t>
        </is>
      </c>
      <c r="G98" t="inlineStr">
        <is>
          <t>NO</t>
        </is>
      </c>
      <c r="H98" t="inlineStr">
        <is>
          <t>nan</t>
        </is>
      </c>
      <c r="I98" t="inlineStr">
        <is>
          <t>nan</t>
        </is>
      </c>
      <c r="J98" t="inlineStr">
        <is>
          <t>ACTIVO</t>
        </is>
      </c>
      <c r="K98" t="inlineStr">
        <is>
          <t>nan</t>
        </is>
      </c>
      <c r="L98" t="n">
        <v>0</v>
      </c>
      <c r="M98">
        <f>IF(E98&gt;0,ROUND(L98/E98*100,1),0)</f>
        <v/>
      </c>
      <c r="N98" t="inlineStr">
        <is>
          <t>PENDIENTE</t>
        </is>
      </c>
      <c r="O98">
        <f>IF(H98="SI",1,0)*0.6+IF(I98="SI",1,0)*0.4</f>
        <v/>
      </c>
      <c r="P98" t="inlineStr">
        <is>
          <t>PENDIENTE</t>
        </is>
      </c>
      <c r="S98">
        <f>IFERROR(SCORECARDS!C98,"")</f>
        <v/>
      </c>
      <c r="T98">
        <f>IF(NOT(ISNUMBER(S98)),"—",IF(S98&lt;34,"🔴 Crítico",IF(S98&lt;67,"🟡 Vulnerable","🟢 Preparado")))</f>
        <v/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>
        <f>IFERROR(AVERAGE(AA98,AB98,AC98,AD98,AE98,AF98,AG98,AH98,AI98,AJ98,AK98,AL98,AM98,AN98),"N/A")</f>
        <v/>
      </c>
      <c r="AP98">
        <f>IFERROR(AVERAGE(W98,X98,Y98,Z98)/2,"N/A")</f>
        <v/>
      </c>
    </row>
    <row r="99" ht="16.05" customHeight="1" s="37">
      <c r="A99" t="inlineStr">
        <is>
          <t>20573344791</t>
        </is>
      </c>
      <c r="B99" t="inlineStr">
        <is>
          <t>ASOCIACION AGROECOLOGICO HUANGANAPAMPA</t>
        </is>
      </c>
      <c r="C99" t="inlineStr">
        <is>
          <t>HUANUCO</t>
        </is>
      </c>
      <c r="D99" t="inlineStr">
        <is>
          <t>PLÁTANO</t>
        </is>
      </c>
      <c r="G99" t="inlineStr">
        <is>
          <t>NO</t>
        </is>
      </c>
      <c r="H99" t="inlineStr">
        <is>
          <t>nan</t>
        </is>
      </c>
      <c r="I99" t="inlineStr">
        <is>
          <t>nan</t>
        </is>
      </c>
      <c r="J99" t="inlineStr">
        <is>
          <t>BAJA DE OFICIO</t>
        </is>
      </c>
      <c r="K99" t="inlineStr">
        <is>
          <t>nan</t>
        </is>
      </c>
      <c r="L99" t="n">
        <v>0</v>
      </c>
      <c r="M99">
        <f>IF(E99&gt;0,ROUND(L99/E99*100,1),0)</f>
        <v/>
      </c>
      <c r="N99" t="inlineStr">
        <is>
          <t>PENDIENTE</t>
        </is>
      </c>
      <c r="O99">
        <f>IF(H99="SI",1,0)*0.6+IF(I99="SI",1,0)*0.4</f>
        <v/>
      </c>
      <c r="P99" t="inlineStr">
        <is>
          <t>PENDIENTE</t>
        </is>
      </c>
      <c r="S99">
        <f>IFERROR(SCORECARDS!C99,"")</f>
        <v/>
      </c>
      <c r="T99">
        <f>IF(NOT(ISNUMBER(S99)),"—",IF(S99&lt;34,"🔴 Crítico",IF(S99&lt;67,"🟡 Vulnerable","🟢 Preparado")))</f>
        <v/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>
        <f>IFERROR(AVERAGE(AA99,AB99,AC99,AD99,AE99,AF99,AG99,AH99,AI99,AJ99,AK99,AL99,AM99,AN99),"N/A")</f>
        <v/>
      </c>
      <c r="AP99">
        <f>IFERROR(AVERAGE(W99,X99,Y99,Z99)/2,"N/A")</f>
        <v/>
      </c>
    </row>
    <row r="100" ht="16.05" customHeight="1" s="37">
      <c r="A100" t="inlineStr">
        <is>
          <t>20574797013</t>
        </is>
      </c>
      <c r="B100" t="inlineStr">
        <is>
          <t>ASOCIACION DE PRODUCTORES AGROPECUARIOS DE PARAISO CENTRAL</t>
        </is>
      </c>
      <c r="C100" t="inlineStr">
        <is>
          <t>CUSCO</t>
        </is>
      </c>
      <c r="D100" t="inlineStr">
        <is>
          <t>CACAO</t>
        </is>
      </c>
      <c r="G100" t="inlineStr">
        <is>
          <t>NO</t>
        </is>
      </c>
      <c r="H100" t="inlineStr">
        <is>
          <t>nan</t>
        </is>
      </c>
      <c r="I100" t="inlineStr">
        <is>
          <t>nan</t>
        </is>
      </c>
      <c r="J100" t="inlineStr">
        <is>
          <t>ACTIVO</t>
        </is>
      </c>
      <c r="K100" t="inlineStr">
        <is>
          <t>nan</t>
        </is>
      </c>
      <c r="L100" t="n">
        <v>0</v>
      </c>
      <c r="M100">
        <f>IF(E100&gt;0,ROUND(L100/E100*100,1),0)</f>
        <v/>
      </c>
      <c r="N100" t="inlineStr">
        <is>
          <t>PENDIENTE</t>
        </is>
      </c>
      <c r="O100">
        <f>IF(H100="SI",1,0)*0.6+IF(I100="SI",1,0)*0.4</f>
        <v/>
      </c>
      <c r="P100" t="inlineStr">
        <is>
          <t>PENDIENTE</t>
        </is>
      </c>
      <c r="S100">
        <f>IFERROR(SCORECARDS!C100,"")</f>
        <v/>
      </c>
      <c r="T100">
        <f>IF(NOT(ISNUMBER(S100)),"—",IF(S100&lt;34,"🔴 Crítico",IF(S100&lt;67,"🟡 Vulnerable","🟢 Preparado")))</f>
        <v/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>
        <f>IFERROR(AVERAGE(AA100,AB100,AC100,AD100,AE100,AF100,AG100,AH100,AI100,AJ100,AK100,AL100,AM100,AN100),"N/A")</f>
        <v/>
      </c>
      <c r="AP100">
        <f>IFERROR(AVERAGE(W100,X100,Y100,Z100)/2,"N/A")</f>
        <v/>
      </c>
    </row>
    <row r="101" ht="16.05" customHeight="1" s="37">
      <c r="A101" t="inlineStr">
        <is>
          <t>20600001109</t>
        </is>
      </c>
      <c r="B101" t="inlineStr">
        <is>
          <t>COOPERATIVA AGRARIA CAFETALERA PRODUCTORA COMERCIAL EXPORTAD</t>
        </is>
      </c>
      <c r="C101" t="inlineStr">
        <is>
          <t>AMAZONAS</t>
        </is>
      </c>
      <c r="D101" t="inlineStr">
        <is>
          <t>CAFÉ</t>
        </is>
      </c>
      <c r="G101" t="inlineStr">
        <is>
          <t>NO</t>
        </is>
      </c>
      <c r="H101" t="inlineStr">
        <is>
          <t>nan</t>
        </is>
      </c>
      <c r="I101" t="inlineStr">
        <is>
          <t>nan</t>
        </is>
      </c>
      <c r="J101" t="inlineStr">
        <is>
          <t>ACTIVO</t>
        </is>
      </c>
      <c r="K101" t="inlineStr">
        <is>
          <t>nan</t>
        </is>
      </c>
      <c r="L101" t="n">
        <v>0</v>
      </c>
      <c r="M101">
        <f>IF(E101&gt;0,ROUND(L101/E101*100,1),0)</f>
        <v/>
      </c>
      <c r="N101" t="inlineStr">
        <is>
          <t>PENDIENTE</t>
        </is>
      </c>
      <c r="O101">
        <f>IF(H101="SI",1,0)*0.6+IF(I101="SI",1,0)*0.4</f>
        <v/>
      </c>
      <c r="P101" t="inlineStr">
        <is>
          <t>PENDIENTE</t>
        </is>
      </c>
      <c r="S101">
        <f>IFERROR(SCORECARDS!C101,"")</f>
        <v/>
      </c>
      <c r="T101">
        <f>IF(NOT(ISNUMBER(S101)),"—",IF(S101&lt;34,"🔴 Crítico",IF(S101&lt;67,"🟡 Vulnerable","🟢 Preparado")))</f>
        <v/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>
        <f>IFERROR(AVERAGE(AA101,AB101,AC101,AD101,AE101,AF101,AG101,AH101,AI101,AJ101,AK101,AL101,AM101,AN101),"N/A")</f>
        <v/>
      </c>
      <c r="AP101">
        <f>IFERROR(AVERAGE(W101,X101,Y101,Z101)/2,"N/A")</f>
        <v/>
      </c>
    </row>
    <row r="102" ht="16.05" customHeight="1" s="37">
      <c r="A102" t="inlineStr">
        <is>
          <t>20600010086</t>
        </is>
      </c>
      <c r="B102" t="inlineStr">
        <is>
          <t>COOPERATIVA AGRARIA VALLE DEL CUCHARA LTDA</t>
        </is>
      </c>
      <c r="C102" t="inlineStr">
        <is>
          <t>HUANUCO</t>
        </is>
      </c>
      <c r="D102" t="inlineStr">
        <is>
          <t>CACAO</t>
        </is>
      </c>
      <c r="G102" t="inlineStr">
        <is>
          <t>NO</t>
        </is>
      </c>
      <c r="H102" t="inlineStr">
        <is>
          <t>nan</t>
        </is>
      </c>
      <c r="I102" t="inlineStr">
        <is>
          <t>nan</t>
        </is>
      </c>
      <c r="J102" t="inlineStr">
        <is>
          <t>ACTIVO</t>
        </is>
      </c>
      <c r="K102" t="inlineStr">
        <is>
          <t>nan</t>
        </is>
      </c>
      <c r="L102" t="n">
        <v>0</v>
      </c>
      <c r="M102">
        <f>IF(E102&gt;0,ROUND(L102/E102*100,1),0)</f>
        <v/>
      </c>
      <c r="N102" t="inlineStr">
        <is>
          <t>PENDIENTE</t>
        </is>
      </c>
      <c r="O102">
        <f>IF(H102="SI",1,0)*0.6+IF(I102="SI",1,0)*0.4</f>
        <v/>
      </c>
      <c r="P102" t="inlineStr">
        <is>
          <t>PENDIENTE</t>
        </is>
      </c>
      <c r="S102">
        <f>IFERROR(SCORECARDS!C102,"")</f>
        <v/>
      </c>
      <c r="T102">
        <f>IF(NOT(ISNUMBER(S102)),"—",IF(S102&lt;34,"🔴 Crítico",IF(S102&lt;67,"🟡 Vulnerable","🟢 Preparado")))</f>
        <v/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>
        <f>IFERROR(AVERAGE(AA102,AB102,AC102,AD102,AE102,AF102,AG102,AH102,AI102,AJ102,AK102,AL102,AM102,AN102),"N/A")</f>
        <v/>
      </c>
      <c r="AP102">
        <f>IFERROR(AVERAGE(W102,X102,Y102,Z102)/2,"N/A")</f>
        <v/>
      </c>
    </row>
    <row r="103" ht="16.05" customHeight="1" s="37">
      <c r="A103" t="inlineStr">
        <is>
          <t>20600029887</t>
        </is>
      </c>
      <c r="B103" t="inlineStr">
        <is>
          <t>COOPERATIVA AGRARIA INTEGRAL LUZ DE LA ESPERANZA</t>
        </is>
      </c>
      <c r="C103" t="inlineStr">
        <is>
          <t>LORETO</t>
        </is>
      </c>
      <c r="D103" t="inlineStr">
        <is>
          <t>CACAO</t>
        </is>
      </c>
      <c r="G103" t="inlineStr">
        <is>
          <t>NO</t>
        </is>
      </c>
      <c r="H103" t="inlineStr">
        <is>
          <t>nan</t>
        </is>
      </c>
      <c r="I103" t="inlineStr">
        <is>
          <t>nan</t>
        </is>
      </c>
      <c r="J103" t="inlineStr">
        <is>
          <t>ACTIVO</t>
        </is>
      </c>
      <c r="K103" t="inlineStr">
        <is>
          <t>nan</t>
        </is>
      </c>
      <c r="L103" t="n">
        <v>0</v>
      </c>
      <c r="M103">
        <f>IF(E103&gt;0,ROUND(L103/E103*100,1),0)</f>
        <v/>
      </c>
      <c r="N103" t="inlineStr">
        <is>
          <t>PENDIENTE</t>
        </is>
      </c>
      <c r="O103">
        <f>IF(H103="SI",1,0)*0.6+IF(I103="SI",1,0)*0.4</f>
        <v/>
      </c>
      <c r="P103" t="inlineStr">
        <is>
          <t>PENDIENTE</t>
        </is>
      </c>
      <c r="S103">
        <f>IFERROR(SCORECARDS!C103,"")</f>
        <v/>
      </c>
      <c r="T103">
        <f>IF(NOT(ISNUMBER(S103)),"—",IF(S103&lt;34,"🔴 Crítico",IF(S103&lt;67,"🟡 Vulnerable","🟢 Preparado")))</f>
        <v/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>
        <f>IFERROR(AVERAGE(AA103,AB103,AC103,AD103,AE103,AF103,AG103,AH103,AI103,AJ103,AK103,AL103,AM103,AN103),"N/A")</f>
        <v/>
      </c>
      <c r="AP103">
        <f>IFERROR(AVERAGE(W103,X103,Y103,Z103)/2,"N/A")</f>
        <v/>
      </c>
    </row>
    <row r="104" ht="16.05" customHeight="1" s="37">
      <c r="A104" t="inlineStr">
        <is>
          <t>20600146689</t>
        </is>
      </c>
      <c r="B104" t="inlineStr">
        <is>
          <t>COOPERATIVA AGRARIA DE SERVICIOS AGRICOLAS TAMBOPATA CANDAMO</t>
        </is>
      </c>
      <c r="C104" t="inlineStr">
        <is>
          <t>MADRE DE DIOS</t>
        </is>
      </c>
      <c r="D104" t="inlineStr">
        <is>
          <t>CACAO</t>
        </is>
      </c>
      <c r="E104" t="n">
        <v>0</v>
      </c>
      <c r="G104" t="inlineStr">
        <is>
          <t>NO</t>
        </is>
      </c>
      <c r="H104" t="inlineStr">
        <is>
          <t>nan</t>
        </is>
      </c>
      <c r="I104" t="inlineStr">
        <is>
          <t>nan</t>
        </is>
      </c>
      <c r="J104" t="inlineStr">
        <is>
          <t>ACTIVO</t>
        </is>
      </c>
      <c r="K104" t="inlineStr">
        <is>
          <t>nan</t>
        </is>
      </c>
      <c r="L104" t="n">
        <v>0</v>
      </c>
      <c r="M104">
        <f>IF(E104&gt;0,ROUND(L104/E104*100,1),0)</f>
        <v/>
      </c>
      <c r="N104" t="inlineStr">
        <is>
          <t>PENDIENTE</t>
        </is>
      </c>
      <c r="O104">
        <f>IF(H104="SI",1,0)*0.6+IF(I104="SI",1,0)*0.4</f>
        <v/>
      </c>
      <c r="P104" t="inlineStr">
        <is>
          <t>PENDIENTE</t>
        </is>
      </c>
      <c r="S104">
        <f>IFERROR(SCORECARDS!C104,"")</f>
        <v/>
      </c>
      <c r="T104">
        <f>IF(NOT(ISNUMBER(S104)),"—",IF(S104&lt;34,"🔴 Crítico",IF(S104&lt;67,"🟡 Vulnerable","🟢 Preparado")))</f>
        <v/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>
        <f>IFERROR(AVERAGE(AA104,AB104,AC104,AD104,AE104,AF104,AG104,AH104,AI104,AJ104,AK104,AL104,AM104,AN104),"N/A")</f>
        <v/>
      </c>
      <c r="AP104">
        <f>IFERROR(AVERAGE(W104,X104,Y104,Z104)/2,"N/A")</f>
        <v/>
      </c>
    </row>
    <row r="105" ht="16.05" customHeight="1" s="37">
      <c r="A105" t="inlineStr">
        <is>
          <t>20600200756</t>
        </is>
      </c>
      <c r="B105" t="inlineStr">
        <is>
          <t>COOPERATIVA AGRARIA CAFETALERA MONTAÑA AZUL LTDA. - COOPACMA</t>
        </is>
      </c>
      <c r="C105" t="inlineStr">
        <is>
          <t>AMAZONAS</t>
        </is>
      </c>
      <c r="D105" t="inlineStr">
        <is>
          <t>CAFÉ</t>
        </is>
      </c>
      <c r="E105" t="n">
        <v>0</v>
      </c>
      <c r="G105" t="inlineStr">
        <is>
          <t>NO</t>
        </is>
      </c>
      <c r="H105" t="inlineStr">
        <is>
          <t>nan</t>
        </is>
      </c>
      <c r="I105" t="inlineStr">
        <is>
          <t>nan</t>
        </is>
      </c>
      <c r="J105" t="inlineStr">
        <is>
          <t>ACTIVO</t>
        </is>
      </c>
      <c r="K105" t="inlineStr">
        <is>
          <t>nan</t>
        </is>
      </c>
      <c r="L105" t="n">
        <v>0</v>
      </c>
      <c r="M105">
        <f>IF(E105&gt;0,ROUND(L105/E105*100,1),0)</f>
        <v/>
      </c>
      <c r="N105" t="inlineStr">
        <is>
          <t>PENDIENTE</t>
        </is>
      </c>
      <c r="O105">
        <f>IF(H105="SI",1,0)*0.6+IF(I105="SI",1,0)*0.4</f>
        <v/>
      </c>
      <c r="P105" t="inlineStr">
        <is>
          <t>PENDIENTE</t>
        </is>
      </c>
      <c r="S105">
        <f>IFERROR(SCORECARDS!C105,"")</f>
        <v/>
      </c>
      <c r="T105">
        <f>IF(NOT(ISNUMBER(S105)),"—",IF(S105&lt;34,"🔴 Crítico",IF(S105&lt;67,"🟡 Vulnerable","🟢 Preparado")))</f>
        <v/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>
        <f>IFERROR(AVERAGE(AA105,AB105,AC105,AD105,AE105,AF105,AG105,AH105,AI105,AJ105,AK105,AL105,AM105,AN105),"N/A")</f>
        <v/>
      </c>
      <c r="AP105">
        <f>IFERROR(AVERAGE(W105,X105,Y105,Z105)/2,"N/A")</f>
        <v/>
      </c>
    </row>
    <row r="106" ht="16.05" customHeight="1" s="37">
      <c r="A106" t="inlineStr">
        <is>
          <t>20600263286</t>
        </is>
      </c>
      <c r="B106" t="inlineStr">
        <is>
          <t>ASOCIACIÓN DE PRODUCTORES SELVA NORORIENTAL</t>
        </is>
      </c>
      <c r="C106" t="inlineStr">
        <is>
          <t>SAN MARTIN</t>
        </is>
      </c>
      <c r="D106" t="inlineStr">
        <is>
          <t>CAFÉ</t>
        </is>
      </c>
      <c r="E106" t="n">
        <v>4154567.790000001</v>
      </c>
      <c r="F106" t="n">
        <v>25</v>
      </c>
      <c r="G106" t="inlineStr">
        <is>
          <t>SI</t>
        </is>
      </c>
      <c r="H106" t="inlineStr">
        <is>
          <t xml:space="preserve">Si </t>
        </is>
      </c>
      <c r="I106" t="inlineStr">
        <is>
          <t xml:space="preserve">Si </t>
        </is>
      </c>
      <c r="J106" t="inlineStr">
        <is>
          <t>ACTIVO</t>
        </is>
      </c>
      <c r="K106" t="inlineStr">
        <is>
          <t>1</t>
        </is>
      </c>
      <c r="L106" t="n">
        <v>2059443.82</v>
      </c>
      <c r="M106">
        <f>IF(E106&gt;0,ROUND(L106/E106*100,1),0)</f>
        <v/>
      </c>
      <c r="N106" t="inlineStr">
        <is>
          <t>PENDIENTE</t>
        </is>
      </c>
      <c r="O106">
        <f>IF(H106="SI",1,0)*0.6+IF(I106="SI",1,0)*0.4</f>
        <v/>
      </c>
      <c r="P106" t="inlineStr">
        <is>
          <t>PENDIENTE</t>
        </is>
      </c>
      <c r="Q106" t="n">
        <v>797</v>
      </c>
      <c r="R106" t="n">
        <v>2110</v>
      </c>
      <c r="S106">
        <f>IFERROR(SCORECARDS!C106,"")</f>
        <v/>
      </c>
      <c r="T106">
        <f>IF(NOT(ISNUMBER(S106)),"—",IF(S106&lt;34,"🔴 Crítico",IF(S106&lt;67,"🟡 Vulnerable","🟢 Preparado")))</f>
        <v/>
      </c>
      <c r="U106" t="n">
        <v>1</v>
      </c>
      <c r="V106" t="inlineStr">
        <is>
          <t>Sin hallazgos OSCE / OEFA</t>
        </is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>
        <f>IFERROR(AVERAGE(AA106,AB106,AC106,AD106,AE106,AF106,AG106,AH106,AI106,AJ106,AK106,AL106,AM106,AN106),"N/A")</f>
        <v/>
      </c>
      <c r="AP106">
        <f>IFERROR(AVERAGE(W106,X106,Y106,Z106)/2,"N/A")</f>
        <v/>
      </c>
    </row>
    <row r="107" ht="16.05" customHeight="1" s="37">
      <c r="A107" t="inlineStr">
        <is>
          <t>20600382064</t>
        </is>
      </c>
      <c r="B107" t="inlineStr">
        <is>
          <t>COOPERATIVA AGRARIA ECOLOGICA AGROINDUSTRIAL DE CURIMANA LTD</t>
        </is>
      </c>
      <c r="C107" t="inlineStr">
        <is>
          <t>UCAYALI</t>
        </is>
      </c>
      <c r="D107" t="inlineStr">
        <is>
          <t>CACAO</t>
        </is>
      </c>
      <c r="G107" t="inlineStr">
        <is>
          <t>NO</t>
        </is>
      </c>
      <c r="H107" t="inlineStr">
        <is>
          <t>nan</t>
        </is>
      </c>
      <c r="I107" t="inlineStr">
        <is>
          <t>nan</t>
        </is>
      </c>
      <c r="J107" t="inlineStr">
        <is>
          <t>ACTIVO</t>
        </is>
      </c>
      <c r="K107" t="inlineStr">
        <is>
          <t>nan</t>
        </is>
      </c>
      <c r="L107" t="n">
        <v>0</v>
      </c>
      <c r="M107">
        <f>IF(E107&gt;0,ROUND(L107/E107*100,1),0)</f>
        <v/>
      </c>
      <c r="N107" t="inlineStr">
        <is>
          <t>PENDIENTE</t>
        </is>
      </c>
      <c r="O107">
        <f>IF(H107="SI",1,0)*0.6+IF(I107="SI",1,0)*0.4</f>
        <v/>
      </c>
      <c r="P107" t="inlineStr">
        <is>
          <t>PENDIENTE</t>
        </is>
      </c>
      <c r="S107">
        <f>IFERROR(SCORECARDS!C107,"")</f>
        <v/>
      </c>
      <c r="T107">
        <f>IF(NOT(ISNUMBER(S107)),"—",IF(S107&lt;34,"🔴 Crítico",IF(S107&lt;67,"🟡 Vulnerable","🟢 Preparado")))</f>
        <v/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>
        <f>IFERROR(AVERAGE(AA107,AB107,AC107,AD107,AE107,AF107,AG107,AH107,AI107,AJ107,AK107,AL107,AM107,AN107),"N/A")</f>
        <v/>
      </c>
      <c r="AP107">
        <f>IFERROR(AVERAGE(W107,X107,Y107,Z107)/2,"N/A")</f>
        <v/>
      </c>
    </row>
    <row r="108" ht="16.05" customHeight="1" s="37">
      <c r="A108" t="inlineStr">
        <is>
          <t>20600390911</t>
        </is>
      </c>
      <c r="B108" t="inlineStr">
        <is>
          <t>COOPERATIVA AGRARIA DE CACAO AROMATICO COLPA DE LOROS</t>
        </is>
      </c>
      <c r="C108" t="inlineStr">
        <is>
          <t>UCAYALI</t>
        </is>
      </c>
      <c r="D108" t="inlineStr">
        <is>
          <t>CACAO</t>
        </is>
      </c>
      <c r="E108" t="n">
        <v>21233720.82000001</v>
      </c>
      <c r="F108" t="n">
        <v>93</v>
      </c>
      <c r="G108" t="inlineStr">
        <is>
          <t>SI</t>
        </is>
      </c>
      <c r="H108" t="inlineStr">
        <is>
          <t>nan</t>
        </is>
      </c>
      <c r="I108" t="inlineStr">
        <is>
          <t>nan</t>
        </is>
      </c>
      <c r="J108" t="inlineStr">
        <is>
          <t>ACTIVO</t>
        </is>
      </c>
      <c r="K108" t="inlineStr">
        <is>
          <t>nan</t>
        </is>
      </c>
      <c r="L108" t="n">
        <v>10616860.41</v>
      </c>
      <c r="M108">
        <f>IF(E108&gt;0,ROUND(L108/E108*100,1),0)</f>
        <v/>
      </c>
      <c r="N108" t="inlineStr">
        <is>
          <t>PENDIENTE</t>
        </is>
      </c>
      <c r="O108">
        <f>IF(H108="SI",1,0)*0.6+IF(I108="SI",1,0)*0.4</f>
        <v/>
      </c>
      <c r="P108" t="inlineStr">
        <is>
          <t>PENDIENTE</t>
        </is>
      </c>
      <c r="S108">
        <f>IFERROR(SCORECARDS!C108,"")</f>
        <v/>
      </c>
      <c r="T108">
        <f>IF(NOT(ISNUMBER(S108)),"—",IF(S108&lt;34,"🔴 Crítico",IF(S108&lt;67,"🟡 Vulnerable","🟢 Preparado")))</f>
        <v/>
      </c>
      <c r="U108" t="n">
        <v>1</v>
      </c>
      <c r="V108" t="inlineStr">
        <is>
          <t>Sin hallazgos OSCE / OEFA</t>
        </is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>
        <f>IFERROR(AVERAGE(AA108,AB108,AC108,AD108,AE108,AF108,AG108,AH108,AI108,AJ108,AK108,AL108,AM108,AN108),"N/A")</f>
        <v/>
      </c>
      <c r="AP108">
        <f>IFERROR(AVERAGE(W108,X108,Y108,Z108)/2,"N/A")</f>
        <v/>
      </c>
    </row>
    <row r="109" ht="16.05" customHeight="1" s="37">
      <c r="A109" t="inlineStr">
        <is>
          <t>20600529693</t>
        </is>
      </c>
      <c r="B109" t="inlineStr">
        <is>
          <t>AGRO ASOCIACION Y SERVICIOS TINKUY</t>
        </is>
      </c>
      <c r="C109" t="inlineStr">
        <is>
          <t>AYACUCHO</t>
        </is>
      </c>
      <c r="D109" t="inlineStr">
        <is>
          <t>CACAO</t>
        </is>
      </c>
      <c r="G109" t="inlineStr">
        <is>
          <t>NO</t>
        </is>
      </c>
      <c r="H109" t="inlineStr">
        <is>
          <t>nan</t>
        </is>
      </c>
      <c r="I109" t="inlineStr">
        <is>
          <t>nan</t>
        </is>
      </c>
      <c r="J109" t="inlineStr">
        <is>
          <t>BAJA DE OFICIO</t>
        </is>
      </c>
      <c r="K109" t="inlineStr">
        <is>
          <t>nan</t>
        </is>
      </c>
      <c r="L109" t="n">
        <v>0</v>
      </c>
      <c r="M109">
        <f>IF(E109&gt;0,ROUND(L109/E109*100,1),0)</f>
        <v/>
      </c>
      <c r="N109" t="inlineStr">
        <is>
          <t>PENDIENTE</t>
        </is>
      </c>
      <c r="O109">
        <f>IF(H109="SI",1,0)*0.6+IF(I109="SI",1,0)*0.4</f>
        <v/>
      </c>
      <c r="P109" t="inlineStr">
        <is>
          <t>PENDIENTE</t>
        </is>
      </c>
      <c r="S109">
        <f>IFERROR(SCORECARDS!C109,"")</f>
        <v/>
      </c>
      <c r="T109">
        <f>IF(NOT(ISNUMBER(S109)),"—",IF(S109&lt;34,"🔴 Crítico",IF(S109&lt;67,"🟡 Vulnerable","🟢 Preparado")))</f>
        <v/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>
        <f>IFERROR(AVERAGE(AA109,AB109,AC109,AD109,AE109,AF109,AG109,AH109,AI109,AJ109,AK109,AL109,AM109,AN109),"N/A")</f>
        <v/>
      </c>
      <c r="AP109">
        <f>IFERROR(AVERAGE(W109,X109,Y109,Z109)/2,"N/A")</f>
        <v/>
      </c>
    </row>
    <row r="110" ht="16.05" customHeight="1" s="37">
      <c r="A110" t="inlineStr">
        <is>
          <t>20600668430</t>
        </is>
      </c>
      <c r="B110" t="inlineStr">
        <is>
          <t>COOPERATIVA AGRARIA DEL CENTRO POBLADO DE BELLA BAJO MONZON</t>
        </is>
      </c>
      <c r="C110" t="inlineStr">
        <is>
          <t>HUANUCO</t>
        </is>
      </c>
      <c r="D110" t="inlineStr">
        <is>
          <t>CACAO</t>
        </is>
      </c>
      <c r="G110" t="inlineStr">
        <is>
          <t>NO</t>
        </is>
      </c>
      <c r="H110" t="inlineStr">
        <is>
          <t>nan</t>
        </is>
      </c>
      <c r="I110" t="inlineStr">
        <is>
          <t>nan</t>
        </is>
      </c>
      <c r="J110" t="inlineStr">
        <is>
          <t>ACTIVO</t>
        </is>
      </c>
      <c r="K110" t="inlineStr">
        <is>
          <t>nan</t>
        </is>
      </c>
      <c r="L110" t="n">
        <v>0</v>
      </c>
      <c r="M110">
        <f>IF(E110&gt;0,ROUND(L110/E110*100,1),0)</f>
        <v/>
      </c>
      <c r="N110" t="inlineStr">
        <is>
          <t>PENDIENTE</t>
        </is>
      </c>
      <c r="O110">
        <f>IF(H110="SI",1,0)*0.6+IF(I110="SI",1,0)*0.4</f>
        <v/>
      </c>
      <c r="P110" t="inlineStr">
        <is>
          <t>PENDIENTE</t>
        </is>
      </c>
      <c r="S110">
        <f>IFERROR(SCORECARDS!C110,"")</f>
        <v/>
      </c>
      <c r="T110">
        <f>IF(NOT(ISNUMBER(S110)),"—",IF(S110&lt;34,"🔴 Crítico",IF(S110&lt;67,"🟡 Vulnerable","🟢 Preparado")))</f>
        <v/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>
        <f>IFERROR(AVERAGE(AA110,AB110,AC110,AD110,AE110,AF110,AG110,AH110,AI110,AJ110,AK110,AL110,AM110,AN110),"N/A")</f>
        <v/>
      </c>
      <c r="AP110">
        <f>IFERROR(AVERAGE(W110,X110,Y110,Z110)/2,"N/A")</f>
        <v/>
      </c>
    </row>
    <row r="111" ht="16.05" customHeight="1" s="37">
      <c r="A111" t="inlineStr">
        <is>
          <t>20600682386</t>
        </is>
      </c>
      <c r="B111" t="inlineStr">
        <is>
          <t>ASOCIACION DE PRODUCTORES AGROPECUARIOS VALLE VERDE DE RODRI</t>
        </is>
      </c>
      <c r="C111" t="inlineStr">
        <is>
          <t>AMAZONAS</t>
        </is>
      </c>
      <c r="D111" t="inlineStr">
        <is>
          <t>CAFÉ</t>
        </is>
      </c>
      <c r="E111" t="n">
        <v>3887946.29</v>
      </c>
      <c r="F111" t="n">
        <v>16</v>
      </c>
      <c r="G111" t="inlineStr">
        <is>
          <t>SI</t>
        </is>
      </c>
      <c r="H111" t="inlineStr">
        <is>
          <t>nan</t>
        </is>
      </c>
      <c r="I111" t="inlineStr">
        <is>
          <t>nan</t>
        </is>
      </c>
      <c r="J111" t="inlineStr">
        <is>
          <t>ACTIVO</t>
        </is>
      </c>
      <c r="K111" t="inlineStr">
        <is>
          <t>nan</t>
        </is>
      </c>
      <c r="L111" t="n">
        <v>0</v>
      </c>
      <c r="M111">
        <f>IF(E111&gt;0,ROUND(L111/E111*100,1),0)</f>
        <v/>
      </c>
      <c r="N111" t="inlineStr">
        <is>
          <t>PENDIENTE</t>
        </is>
      </c>
      <c r="O111">
        <f>IF(H111="SI",1,0)*0.6+IF(I111="SI",1,0)*0.4</f>
        <v/>
      </c>
      <c r="P111" t="inlineStr">
        <is>
          <t>PENDIENTE</t>
        </is>
      </c>
      <c r="S111">
        <f>IFERROR(SCORECARDS!C111,"")</f>
        <v/>
      </c>
      <c r="T111">
        <f>IF(NOT(ISNUMBER(S111)),"—",IF(S111&lt;34,"🔴 Crítico",IF(S111&lt;67,"🟡 Vulnerable","🟢 Preparado")))</f>
        <v/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>
        <f>IFERROR(AVERAGE(AA111,AB111,AC111,AD111,AE111,AF111,AG111,AH111,AI111,AJ111,AK111,AL111,AM111,AN111),"N/A")</f>
        <v/>
      </c>
      <c r="AP111">
        <f>IFERROR(AVERAGE(W111,X111,Y111,Z111)/2,"N/A")</f>
        <v/>
      </c>
    </row>
    <row r="112" ht="16.05" customHeight="1" s="37">
      <c r="A112" t="inlineStr">
        <is>
          <t>20600720733</t>
        </is>
      </c>
      <c r="B112" t="inlineStr">
        <is>
          <t>COOPERATIVA AGRARIA VALLE DEL MONZON CAV MONZON</t>
        </is>
      </c>
      <c r="C112" t="inlineStr">
        <is>
          <t>HUANUCO</t>
        </is>
      </c>
      <c r="D112" t="inlineStr">
        <is>
          <t>CACAO</t>
        </is>
      </c>
      <c r="G112" t="inlineStr">
        <is>
          <t>NO</t>
        </is>
      </c>
      <c r="H112" t="inlineStr">
        <is>
          <t>nan</t>
        </is>
      </c>
      <c r="I112" t="inlineStr">
        <is>
          <t>nan</t>
        </is>
      </c>
      <c r="J112" t="inlineStr">
        <is>
          <t>ACTIVO</t>
        </is>
      </c>
      <c r="K112" t="inlineStr">
        <is>
          <t>nan</t>
        </is>
      </c>
      <c r="L112" t="n">
        <v>0</v>
      </c>
      <c r="M112">
        <f>IF(E112&gt;0,ROUND(L112/E112*100,1),0)</f>
        <v/>
      </c>
      <c r="N112" t="inlineStr">
        <is>
          <t>PENDIENTE</t>
        </is>
      </c>
      <c r="O112">
        <f>IF(H112="SI",1,0)*0.6+IF(I112="SI",1,0)*0.4</f>
        <v/>
      </c>
      <c r="P112" t="inlineStr">
        <is>
          <t>PENDIENTE</t>
        </is>
      </c>
      <c r="S112">
        <f>IFERROR(SCORECARDS!C112,"")</f>
        <v/>
      </c>
      <c r="T112">
        <f>IF(NOT(ISNUMBER(S112)),"—",IF(S112&lt;34,"🔴 Crítico",IF(S112&lt;67,"🟡 Vulnerable","🟢 Preparado")))</f>
        <v/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>
        <f>IFERROR(AVERAGE(AA112,AB112,AC112,AD112,AE112,AF112,AG112,AH112,AI112,AJ112,AK112,AL112,AM112,AN112),"N/A")</f>
        <v/>
      </c>
      <c r="AP112">
        <f>IFERROR(AVERAGE(W112,X112,Y112,Z112)/2,"N/A")</f>
        <v/>
      </c>
    </row>
    <row r="113" ht="16.05" customHeight="1" s="37">
      <c r="A113" t="inlineStr">
        <is>
          <t>20600785541</t>
        </is>
      </c>
      <c r="B113" t="inlineStr">
        <is>
          <t>ASOCIACION DE PRODUCTORES CAFETALEROS ANDINOS SIERRA VERDE</t>
        </is>
      </c>
      <c r="C113" t="inlineStr">
        <is>
          <t>CAJAMARCA</t>
        </is>
      </c>
      <c r="D113" t="inlineStr">
        <is>
          <t>CAFÉ</t>
        </is>
      </c>
      <c r="E113" t="n">
        <v>464428.88</v>
      </c>
      <c r="F113" t="n">
        <v>3</v>
      </c>
      <c r="G113" t="inlineStr">
        <is>
          <t>SI</t>
        </is>
      </c>
      <c r="H113" t="inlineStr">
        <is>
          <t>nan</t>
        </is>
      </c>
      <c r="I113" t="inlineStr">
        <is>
          <t>nan</t>
        </is>
      </c>
      <c r="J113" t="inlineStr">
        <is>
          <t>ACTIVO</t>
        </is>
      </c>
      <c r="K113" t="inlineStr">
        <is>
          <t>nan</t>
        </is>
      </c>
      <c r="L113" t="n">
        <v>0</v>
      </c>
      <c r="M113">
        <f>IF(E113&gt;0,ROUND(L113/E113*100,1),0)</f>
        <v/>
      </c>
      <c r="N113" t="inlineStr">
        <is>
          <t>PENDIENTE</t>
        </is>
      </c>
      <c r="O113">
        <f>IF(H113="SI",1,0)*0.6+IF(I113="SI",1,0)*0.4</f>
        <v/>
      </c>
      <c r="P113" t="inlineStr">
        <is>
          <t>PENDIENTE</t>
        </is>
      </c>
      <c r="S113">
        <f>IFERROR(SCORECARDS!C113,"")</f>
        <v/>
      </c>
      <c r="T113">
        <f>IF(NOT(ISNUMBER(S113)),"—",IF(S113&lt;34,"🔴 Crítico",IF(S113&lt;67,"🟡 Vulnerable","🟢 Preparado")))</f>
        <v/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>
        <f>IFERROR(AVERAGE(AA113,AB113,AC113,AD113,AE113,AF113,AG113,AH113,AI113,AJ113,AK113,AL113,AM113,AN113),"N/A")</f>
        <v/>
      </c>
      <c r="AP113">
        <f>IFERROR(AVERAGE(W113,X113,Y113,Z113)/2,"N/A")</f>
        <v/>
      </c>
    </row>
    <row r="114" ht="16.05" customHeight="1" s="37">
      <c r="A114" t="inlineStr">
        <is>
          <t>20600796683</t>
        </is>
      </c>
      <c r="B114" t="inlineStr">
        <is>
          <t>ASOCIACION DE PRODUCTORES DE CACAO SAN FRANCISCO MADRE DE DI</t>
        </is>
      </c>
      <c r="C114" t="inlineStr">
        <is>
          <t>MADRE DE DIOS</t>
        </is>
      </c>
      <c r="D114" t="inlineStr">
        <is>
          <t>CACAO</t>
        </is>
      </c>
      <c r="G114" t="inlineStr">
        <is>
          <t>NO</t>
        </is>
      </c>
      <c r="H114" t="inlineStr">
        <is>
          <t>nan</t>
        </is>
      </c>
      <c r="I114" t="inlineStr">
        <is>
          <t>nan</t>
        </is>
      </c>
      <c r="J114" t="inlineStr">
        <is>
          <t>ACTIVO</t>
        </is>
      </c>
      <c r="K114" t="inlineStr">
        <is>
          <t>nan</t>
        </is>
      </c>
      <c r="L114" t="n">
        <v>0</v>
      </c>
      <c r="M114">
        <f>IF(E114&gt;0,ROUND(L114/E114*100,1),0)</f>
        <v/>
      </c>
      <c r="N114" t="inlineStr">
        <is>
          <t>PENDIENTE</t>
        </is>
      </c>
      <c r="O114">
        <f>IF(H114="SI",1,0)*0.6+IF(I114="SI",1,0)*0.4</f>
        <v/>
      </c>
      <c r="P114" t="inlineStr">
        <is>
          <t>PENDIENTE</t>
        </is>
      </c>
      <c r="S114">
        <f>IFERROR(SCORECARDS!C114,"")</f>
        <v/>
      </c>
      <c r="T114">
        <f>IF(NOT(ISNUMBER(S114)),"—",IF(S114&lt;34,"🔴 Crítico",IF(S114&lt;67,"🟡 Vulnerable","🟢 Preparado")))</f>
        <v/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>
        <f>IFERROR(AVERAGE(AA114,AB114,AC114,AD114,AE114,AF114,AG114,AH114,AI114,AJ114,AK114,AL114,AM114,AN114),"N/A")</f>
        <v/>
      </c>
      <c r="AP114">
        <f>IFERROR(AVERAGE(W114,X114,Y114,Z114)/2,"N/A")</f>
        <v/>
      </c>
    </row>
    <row r="115" ht="16.05" customHeight="1" s="37">
      <c r="A115" t="inlineStr">
        <is>
          <t>20600796721</t>
        </is>
      </c>
      <c r="B115" t="inlineStr">
        <is>
          <t>ASOCIACIÓN DE PRODUCTORES AMAZONAS - ALTO MAYO</t>
        </is>
      </c>
      <c r="C115" t="inlineStr">
        <is>
          <t>SAN MARTIN</t>
        </is>
      </c>
      <c r="D115" t="inlineStr">
        <is>
          <t>CAFÉ</t>
        </is>
      </c>
      <c r="E115" t="n">
        <v>1789601.59</v>
      </c>
      <c r="F115" t="n">
        <v>11</v>
      </c>
      <c r="G115" t="inlineStr">
        <is>
          <t>SI</t>
        </is>
      </c>
      <c r="H115" t="inlineStr">
        <is>
          <t>nan</t>
        </is>
      </c>
      <c r="I115" t="inlineStr">
        <is>
          <t>nan</t>
        </is>
      </c>
      <c r="J115" t="inlineStr">
        <is>
          <t>ACTIVO</t>
        </is>
      </c>
      <c r="K115" t="inlineStr">
        <is>
          <t>nan</t>
        </is>
      </c>
      <c r="L115" t="n">
        <v>0</v>
      </c>
      <c r="M115">
        <f>IF(E115&gt;0,ROUND(L115/E115*100,1),0)</f>
        <v/>
      </c>
      <c r="N115" t="inlineStr">
        <is>
          <t>PENDIENTE</t>
        </is>
      </c>
      <c r="O115">
        <f>IF(H115="SI",1,0)*0.6+IF(I115="SI",1,0)*0.4</f>
        <v/>
      </c>
      <c r="P115" t="inlineStr">
        <is>
          <t>PENDIENTE</t>
        </is>
      </c>
      <c r="S115">
        <f>IFERROR(SCORECARDS!C115,"")</f>
        <v/>
      </c>
      <c r="T115">
        <f>IF(NOT(ISNUMBER(S115)),"—",IF(S115&lt;34,"🔴 Crítico",IF(S115&lt;67,"🟡 Vulnerable","🟢 Preparado")))</f>
        <v/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>
        <f>IFERROR(AVERAGE(AA115,AB115,AC115,AD115,AE115,AF115,AG115,AH115,AI115,AJ115,AK115,AL115,AM115,AN115),"N/A")</f>
        <v/>
      </c>
      <c r="AP115">
        <f>IFERROR(AVERAGE(W115,X115,Y115,Z115)/2,"N/A")</f>
        <v/>
      </c>
    </row>
    <row r="116" ht="16.05" customHeight="1" s="37">
      <c r="A116" t="inlineStr">
        <is>
          <t>20600874919</t>
        </is>
      </c>
      <c r="B116" t="inlineStr">
        <is>
          <t>COOPERATIVA AGRARIA DE LA INTER OCEANICA LIMITADA</t>
        </is>
      </c>
      <c r="C116" t="inlineStr">
        <is>
          <t>MADRE DE DIOS</t>
        </is>
      </c>
      <c r="D116" t="inlineStr">
        <is>
          <t>CACAO</t>
        </is>
      </c>
      <c r="G116" t="inlineStr">
        <is>
          <t>NO</t>
        </is>
      </c>
      <c r="H116" t="inlineStr">
        <is>
          <t>nan</t>
        </is>
      </c>
      <c r="I116" t="inlineStr">
        <is>
          <t>nan</t>
        </is>
      </c>
      <c r="J116" t="inlineStr">
        <is>
          <t>ACTIVO</t>
        </is>
      </c>
      <c r="K116" t="inlineStr">
        <is>
          <t>nan</t>
        </is>
      </c>
      <c r="L116" t="n">
        <v>0</v>
      </c>
      <c r="M116">
        <f>IF(E116&gt;0,ROUND(L116/E116*100,1),0)</f>
        <v/>
      </c>
      <c r="N116" t="inlineStr">
        <is>
          <t>PENDIENTE</t>
        </is>
      </c>
      <c r="O116">
        <f>IF(H116="SI",1,0)*0.6+IF(I116="SI",1,0)*0.4</f>
        <v/>
      </c>
      <c r="P116" t="inlineStr">
        <is>
          <t>PENDIENTE</t>
        </is>
      </c>
      <c r="S116">
        <f>IFERROR(SCORECARDS!C116,"")</f>
        <v/>
      </c>
      <c r="T116">
        <f>IF(NOT(ISNUMBER(S116)),"—",IF(S116&lt;34,"🔴 Crítico",IF(S116&lt;67,"🟡 Vulnerable","🟢 Preparado")))</f>
        <v/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>
        <f>IFERROR(AVERAGE(AA116,AB116,AC116,AD116,AE116,AF116,AG116,AH116,AI116,AJ116,AK116,AL116,AM116,AN116),"N/A")</f>
        <v/>
      </c>
      <c r="AP116">
        <f>IFERROR(AVERAGE(W116,X116,Y116,Z116)/2,"N/A")</f>
        <v/>
      </c>
    </row>
    <row r="117" ht="16.05" customHeight="1" s="37">
      <c r="A117" t="inlineStr">
        <is>
          <t>20600964080</t>
        </is>
      </c>
      <c r="B117" t="inlineStr">
        <is>
          <t>ASOCIACION DE AGRICULTORES KERGUERANOS</t>
        </is>
      </c>
      <c r="C117" t="inlineStr">
        <is>
          <t>LAMBAYEQUE</t>
        </is>
      </c>
      <c r="D117" t="inlineStr">
        <is>
          <t>CAFÉ</t>
        </is>
      </c>
      <c r="G117" t="inlineStr">
        <is>
          <t>NO</t>
        </is>
      </c>
      <c r="H117" t="inlineStr">
        <is>
          <t>nan</t>
        </is>
      </c>
      <c r="I117" t="inlineStr">
        <is>
          <t>nan</t>
        </is>
      </c>
      <c r="J117" t="inlineStr">
        <is>
          <t>ACTIVO</t>
        </is>
      </c>
      <c r="K117" t="inlineStr">
        <is>
          <t>nan</t>
        </is>
      </c>
      <c r="L117" t="n">
        <v>0</v>
      </c>
      <c r="M117">
        <f>IF(E117&gt;0,ROUND(L117/E117*100,1),0)</f>
        <v/>
      </c>
      <c r="N117" t="inlineStr">
        <is>
          <t>PENDIENTE</t>
        </is>
      </c>
      <c r="O117">
        <f>IF(H117="SI",1,0)*0.6+IF(I117="SI",1,0)*0.4</f>
        <v/>
      </c>
      <c r="P117" t="inlineStr">
        <is>
          <t>PENDIENTE</t>
        </is>
      </c>
      <c r="S117">
        <f>IFERROR(SCORECARDS!C117,"")</f>
        <v/>
      </c>
      <c r="T117">
        <f>IF(NOT(ISNUMBER(S117)),"—",IF(S117&lt;34,"🔴 Crítico",IF(S117&lt;67,"🟡 Vulnerable","🟢 Preparado")))</f>
        <v/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>
        <f>IFERROR(AVERAGE(AA117,AB117,AC117,AD117,AE117,AF117,AG117,AH117,AI117,AJ117,AK117,AL117,AM117,AN117),"N/A")</f>
        <v/>
      </c>
      <c r="AP117">
        <f>IFERROR(AVERAGE(W117,X117,Y117,Z117)/2,"N/A")</f>
        <v/>
      </c>
    </row>
    <row r="118" ht="16.05" customHeight="1" s="37">
      <c r="A118" t="inlineStr">
        <is>
          <t>20601067146</t>
        </is>
      </c>
      <c r="B118" t="inlineStr">
        <is>
          <t>COOPERATIVA AGRARIA INDUSTRIAL MONTE ALEGRE - REGION UCAYALI</t>
        </is>
      </c>
      <c r="C118" t="inlineStr">
        <is>
          <t>UCAYALI</t>
        </is>
      </c>
      <c r="D118" t="inlineStr">
        <is>
          <t>CACAO</t>
        </is>
      </c>
      <c r="G118" t="inlineStr">
        <is>
          <t>NO</t>
        </is>
      </c>
      <c r="H118" t="inlineStr">
        <is>
          <t>nan</t>
        </is>
      </c>
      <c r="I118" t="inlineStr">
        <is>
          <t>nan</t>
        </is>
      </c>
      <c r="J118" t="inlineStr">
        <is>
          <t>SUSPENSION TEMPORAL</t>
        </is>
      </c>
      <c r="K118" t="inlineStr">
        <is>
          <t>nan</t>
        </is>
      </c>
      <c r="L118" t="n">
        <v>0</v>
      </c>
      <c r="M118">
        <f>IF(E118&gt;0,ROUND(L118/E118*100,1),0)</f>
        <v/>
      </c>
      <c r="N118" t="inlineStr">
        <is>
          <t>PENDIENTE</t>
        </is>
      </c>
      <c r="O118">
        <f>IF(H118="SI",1,0)*0.6+IF(I118="SI",1,0)*0.4</f>
        <v/>
      </c>
      <c r="P118" t="inlineStr">
        <is>
          <t>PENDIENTE</t>
        </is>
      </c>
      <c r="S118">
        <f>IFERROR(SCORECARDS!C118,"")</f>
        <v/>
      </c>
      <c r="T118">
        <f>IF(NOT(ISNUMBER(S118)),"—",IF(S118&lt;34,"🔴 Crítico",IF(S118&lt;67,"🟡 Vulnerable","🟢 Preparado")))</f>
        <v/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>
        <f>IFERROR(AVERAGE(AA118,AB118,AC118,AD118,AE118,AF118,AG118,AH118,AI118,AJ118,AK118,AL118,AM118,AN118),"N/A")</f>
        <v/>
      </c>
      <c r="AP118">
        <f>IFERROR(AVERAGE(W118,X118,Y118,Z118)/2,"N/A")</f>
        <v/>
      </c>
    </row>
    <row r="119" ht="16.05" customHeight="1" s="37">
      <c r="A119" t="inlineStr">
        <is>
          <t>20601119316</t>
        </is>
      </c>
      <c r="B119" t="inlineStr">
        <is>
          <t>COOPERATIVA DE PRODUCTORES DE CACAO FINO Y DE AROMA</t>
        </is>
      </c>
      <c r="C119" t="inlineStr">
        <is>
          <t>UCAYALI</t>
        </is>
      </c>
      <c r="D119" t="inlineStr">
        <is>
          <t>CACAO</t>
        </is>
      </c>
      <c r="G119" t="inlineStr">
        <is>
          <t>NO</t>
        </is>
      </c>
      <c r="H119" t="inlineStr">
        <is>
          <t>nan</t>
        </is>
      </c>
      <c r="I119" t="inlineStr">
        <is>
          <t>nan</t>
        </is>
      </c>
      <c r="J119" t="inlineStr">
        <is>
          <t>ACTIVO</t>
        </is>
      </c>
      <c r="K119" t="inlineStr">
        <is>
          <t>nan</t>
        </is>
      </c>
      <c r="L119" t="n">
        <v>0</v>
      </c>
      <c r="M119">
        <f>IF(E119&gt;0,ROUND(L119/E119*100,1),0)</f>
        <v/>
      </c>
      <c r="N119" t="inlineStr">
        <is>
          <t>PENDIENTE</t>
        </is>
      </c>
      <c r="O119">
        <f>IF(H119="SI",1,0)*0.6+IF(I119="SI",1,0)*0.4</f>
        <v/>
      </c>
      <c r="P119" t="inlineStr">
        <is>
          <t>PENDIENTE</t>
        </is>
      </c>
      <c r="S119">
        <f>IFERROR(SCORECARDS!C119,"")</f>
        <v/>
      </c>
      <c r="T119">
        <f>IF(NOT(ISNUMBER(S119)),"—",IF(S119&lt;34,"🔴 Crítico",IF(S119&lt;67,"🟡 Vulnerable","🟢 Preparado")))</f>
        <v/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>
        <f>IFERROR(AVERAGE(AA119,AB119,AC119,AD119,AE119,AF119,AG119,AH119,AI119,AJ119,AK119,AL119,AM119,AN119),"N/A")</f>
        <v/>
      </c>
      <c r="AP119">
        <f>IFERROR(AVERAGE(W119,X119,Y119,Z119)/2,"N/A")</f>
        <v/>
      </c>
    </row>
    <row r="120" ht="16.05" customHeight="1" s="37">
      <c r="A120" t="inlineStr">
        <is>
          <t>20601186986</t>
        </is>
      </c>
      <c r="B120" t="inlineStr">
        <is>
          <t>COOPERATIVA AGRARIA LOS AMBIENTALISTAS LTDA</t>
        </is>
      </c>
      <c r="C120" t="inlineStr">
        <is>
          <t>CAJAMARCA</t>
        </is>
      </c>
      <c r="D120" t="inlineStr">
        <is>
          <t>CAFÉ</t>
        </is>
      </c>
      <c r="G120" t="inlineStr">
        <is>
          <t>NO</t>
        </is>
      </c>
      <c r="H120" t="inlineStr">
        <is>
          <t>nan</t>
        </is>
      </c>
      <c r="I120" t="inlineStr">
        <is>
          <t>nan</t>
        </is>
      </c>
      <c r="J120" t="inlineStr">
        <is>
          <t>ACTIVO</t>
        </is>
      </c>
      <c r="K120" t="inlineStr">
        <is>
          <t>nan</t>
        </is>
      </c>
      <c r="L120" t="n">
        <v>0</v>
      </c>
      <c r="M120">
        <f>IF(E120&gt;0,ROUND(L120/E120*100,1),0)</f>
        <v/>
      </c>
      <c r="N120" t="inlineStr">
        <is>
          <t>PENDIENTE</t>
        </is>
      </c>
      <c r="O120">
        <f>IF(H120="SI",1,0)*0.6+IF(I120="SI",1,0)*0.4</f>
        <v/>
      </c>
      <c r="P120" t="inlineStr">
        <is>
          <t>PENDIENTE</t>
        </is>
      </c>
      <c r="S120">
        <f>IFERROR(SCORECARDS!C120,"")</f>
        <v/>
      </c>
      <c r="T120">
        <f>IF(NOT(ISNUMBER(S120)),"—",IF(S120&lt;34,"🔴 Crítico",IF(S120&lt;67,"🟡 Vulnerable","🟢 Preparado")))</f>
        <v/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>
        <f>IFERROR(AVERAGE(AA120,AB120,AC120,AD120,AE120,AF120,AG120,AH120,AI120,AJ120,AK120,AL120,AM120,AN120),"N/A")</f>
        <v/>
      </c>
      <c r="AP120">
        <f>IFERROR(AVERAGE(W120,X120,Y120,Z120)/2,"N/A")</f>
        <v/>
      </c>
    </row>
    <row r="121" ht="16.05" customHeight="1" s="37">
      <c r="A121" t="inlineStr">
        <is>
          <t>20601329159</t>
        </is>
      </c>
      <c r="B121" t="inlineStr">
        <is>
          <t>COOPERATIVA AGRARIA CAFETALERA DE LA NACION YANESHA</t>
        </is>
      </c>
      <c r="C121" t="inlineStr">
        <is>
          <t>PASCO</t>
        </is>
      </c>
      <c r="D121" t="inlineStr">
        <is>
          <t>CAFÉ</t>
        </is>
      </c>
      <c r="G121" t="inlineStr">
        <is>
          <t>NO</t>
        </is>
      </c>
      <c r="H121" t="inlineStr">
        <is>
          <t>nan</t>
        </is>
      </c>
      <c r="I121" t="inlineStr">
        <is>
          <t>nan</t>
        </is>
      </c>
      <c r="J121" t="inlineStr">
        <is>
          <t>ACTIVO</t>
        </is>
      </c>
      <c r="K121" t="inlineStr">
        <is>
          <t>nan</t>
        </is>
      </c>
      <c r="L121" t="n">
        <v>0</v>
      </c>
      <c r="M121">
        <f>IF(E121&gt;0,ROUND(L121/E121*100,1),0)</f>
        <v/>
      </c>
      <c r="N121" t="inlineStr">
        <is>
          <t>PENDIENTE</t>
        </is>
      </c>
      <c r="O121">
        <f>IF(H121="SI",1,0)*0.6+IF(I121="SI",1,0)*0.4</f>
        <v/>
      </c>
      <c r="P121" t="inlineStr">
        <is>
          <t>PENDIENTE</t>
        </is>
      </c>
      <c r="S121">
        <f>IFERROR(SCORECARDS!C121,"")</f>
        <v/>
      </c>
      <c r="T121">
        <f>IF(NOT(ISNUMBER(S121)),"—",IF(S121&lt;34,"🔴 Crítico",IF(S121&lt;67,"🟡 Vulnerable","🟢 Preparado")))</f>
        <v/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>
        <f>IFERROR(AVERAGE(AA121,AB121,AC121,AD121,AE121,AF121,AG121,AH121,AI121,AJ121,AK121,AL121,AM121,AN121),"N/A")</f>
        <v/>
      </c>
      <c r="AP121">
        <f>IFERROR(AVERAGE(W121,X121,Y121,Z121)/2,"N/A")</f>
        <v/>
      </c>
    </row>
    <row r="122" ht="16.05" customHeight="1" s="37">
      <c r="A122" t="inlineStr">
        <is>
          <t>20601339090</t>
        </is>
      </c>
      <c r="B122" t="inlineStr">
        <is>
          <t>COOPERATIVA AGROINDUSTRIAL CAFETALERA CACOTERA MONZON LTDA</t>
        </is>
      </c>
      <c r="C122" t="inlineStr">
        <is>
          <t>HUANUCO</t>
        </is>
      </c>
      <c r="D122" t="inlineStr">
        <is>
          <t>CAFÉ</t>
        </is>
      </c>
      <c r="G122" t="inlineStr">
        <is>
          <t>NO</t>
        </is>
      </c>
      <c r="H122" t="inlineStr">
        <is>
          <t>nan</t>
        </is>
      </c>
      <c r="I122" t="inlineStr">
        <is>
          <t>nan</t>
        </is>
      </c>
      <c r="J122" t="inlineStr">
        <is>
          <t>ACTIVO</t>
        </is>
      </c>
      <c r="K122" t="inlineStr">
        <is>
          <t>nan</t>
        </is>
      </c>
      <c r="L122" t="n">
        <v>0</v>
      </c>
      <c r="M122">
        <f>IF(E122&gt;0,ROUND(L122/E122*100,1),0)</f>
        <v/>
      </c>
      <c r="N122" t="inlineStr">
        <is>
          <t>PENDIENTE</t>
        </is>
      </c>
      <c r="O122">
        <f>IF(H122="SI",1,0)*0.6+IF(I122="SI",1,0)*0.4</f>
        <v/>
      </c>
      <c r="P122" t="inlineStr">
        <is>
          <t>PENDIENTE</t>
        </is>
      </c>
      <c r="S122">
        <f>IFERROR(SCORECARDS!C122,"")</f>
        <v/>
      </c>
      <c r="T122">
        <f>IF(NOT(ISNUMBER(S122)),"—",IF(S122&lt;34,"🔴 Crítico",IF(S122&lt;67,"🟡 Vulnerable","🟢 Preparado")))</f>
        <v/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>
        <f>IFERROR(AVERAGE(AA122,AB122,AC122,AD122,AE122,AF122,AG122,AH122,AI122,AJ122,AK122,AL122,AM122,AN122),"N/A")</f>
        <v/>
      </c>
      <c r="AP122">
        <f>IFERROR(AVERAGE(W122,X122,Y122,Z122)/2,"N/A")</f>
        <v/>
      </c>
    </row>
    <row r="123" ht="16.05" customHeight="1" s="37">
      <c r="A123" t="inlineStr">
        <is>
          <t>20601537771</t>
        </is>
      </c>
      <c r="B123" t="inlineStr">
        <is>
          <t>ASOCIACION DE PRODUCTORES SOSTENIBLES EL AYNI</t>
        </is>
      </c>
      <c r="C123" t="inlineStr">
        <is>
          <t>JUNIN</t>
        </is>
      </c>
      <c r="D123" t="inlineStr">
        <is>
          <t>CAFÉ</t>
        </is>
      </c>
      <c r="E123" t="n">
        <v>0</v>
      </c>
      <c r="G123" t="inlineStr">
        <is>
          <t>NO</t>
        </is>
      </c>
      <c r="H123" t="inlineStr">
        <is>
          <t>nan</t>
        </is>
      </c>
      <c r="I123" t="inlineStr">
        <is>
          <t>nan</t>
        </is>
      </c>
      <c r="J123" t="inlineStr">
        <is>
          <t>BAJA DE OFICIO</t>
        </is>
      </c>
      <c r="K123" t="inlineStr">
        <is>
          <t>nan</t>
        </is>
      </c>
      <c r="L123" t="n">
        <v>0</v>
      </c>
      <c r="M123">
        <f>IF(E123&gt;0,ROUND(L123/E123*100,1),0)</f>
        <v/>
      </c>
      <c r="N123" t="inlineStr">
        <is>
          <t>PENDIENTE</t>
        </is>
      </c>
      <c r="O123">
        <f>IF(H123="SI",1,0)*0.6+IF(I123="SI",1,0)*0.4</f>
        <v/>
      </c>
      <c r="P123" t="inlineStr">
        <is>
          <t>PENDIENTE</t>
        </is>
      </c>
      <c r="S123">
        <f>IFERROR(SCORECARDS!C123,"")</f>
        <v/>
      </c>
      <c r="T123">
        <f>IF(NOT(ISNUMBER(S123)),"—",IF(S123&lt;34,"🔴 Crítico",IF(S123&lt;67,"🟡 Vulnerable","🟢 Preparado")))</f>
        <v/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>
        <f>IFERROR(AVERAGE(AA123,AB123,AC123,AD123,AE123,AF123,AG123,AH123,AI123,AJ123,AK123,AL123,AM123,AN123),"N/A")</f>
        <v/>
      </c>
      <c r="AP123">
        <f>IFERROR(AVERAGE(W123,X123,Y123,Z123)/2,"N/A")</f>
        <v/>
      </c>
    </row>
    <row r="124" ht="16.05" customHeight="1" s="37">
      <c r="A124" t="inlineStr">
        <is>
          <t>20601558204</t>
        </is>
      </c>
      <c r="B124" t="inlineStr">
        <is>
          <t>COOPERATIVA AGRARIA CAFETALERA OCUMAL</t>
        </is>
      </c>
      <c r="C124" t="inlineStr">
        <is>
          <t>AMAZONAS</t>
        </is>
      </c>
      <c r="D124" t="inlineStr">
        <is>
          <t>CAFÉ</t>
        </is>
      </c>
      <c r="E124" t="n">
        <v>442439.35</v>
      </c>
      <c r="F124" t="n">
        <v>4</v>
      </c>
      <c r="G124" t="inlineStr">
        <is>
          <t>SI</t>
        </is>
      </c>
      <c r="H124" t="inlineStr">
        <is>
          <t>SI(</t>
        </is>
      </c>
      <c r="I124" t="inlineStr">
        <is>
          <t xml:space="preserve">SI </t>
        </is>
      </c>
      <c r="J124" t="inlineStr">
        <is>
          <t>ACTIVO</t>
        </is>
      </c>
      <c r="K124" t="inlineStr">
        <is>
          <t>50 %</t>
        </is>
      </c>
      <c r="L124" t="n">
        <v>0</v>
      </c>
      <c r="M124">
        <f>IF(E124&gt;0,ROUND(L124/E124*100,1),0)</f>
        <v/>
      </c>
      <c r="N124" t="inlineStr">
        <is>
          <t>PENDIENTE</t>
        </is>
      </c>
      <c r="O124">
        <f>IF(H124="SI",1,0)*0.6+IF(I124="SI",1,0)*0.4</f>
        <v/>
      </c>
      <c r="P124" t="inlineStr">
        <is>
          <t>PENDIENTE</t>
        </is>
      </c>
      <c r="Q124" t="n">
        <v>256</v>
      </c>
      <c r="R124" t="n">
        <v>685</v>
      </c>
      <c r="S124">
        <f>IFERROR(SCORECARDS!C124,"")</f>
        <v/>
      </c>
      <c r="T124">
        <f>IF(NOT(ISNUMBER(S124)),"—",IF(S124&lt;34,"🔴 Crítico",IF(S124&lt;67,"🟡 Vulnerable","🟢 Preparado")))</f>
        <v/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>
        <f>IFERROR(AVERAGE(AA124,AB124,AC124,AD124,AE124,AF124,AG124,AH124,AI124,AJ124,AK124,AL124,AM124,AN124),"N/A")</f>
        <v/>
      </c>
      <c r="AP124">
        <f>IFERROR(AVERAGE(W124,X124,Y124,Z124)/2,"N/A")</f>
        <v/>
      </c>
    </row>
    <row r="125" ht="16.05" customHeight="1" s="37">
      <c r="A125" t="inlineStr">
        <is>
          <t>20601667526</t>
        </is>
      </c>
      <c r="B125" t="inlineStr">
        <is>
          <t>COOP BESACARI - PERU</t>
        </is>
      </c>
      <c r="C125" t="inlineStr">
        <is>
          <t>JUNIN</t>
        </is>
      </c>
      <c r="D125" t="inlineStr">
        <is>
          <t>CACAO</t>
        </is>
      </c>
      <c r="G125" t="inlineStr">
        <is>
          <t>NO</t>
        </is>
      </c>
      <c r="H125" t="inlineStr">
        <is>
          <t>nan</t>
        </is>
      </c>
      <c r="I125" t="inlineStr">
        <is>
          <t>nan</t>
        </is>
      </c>
      <c r="J125" t="inlineStr">
        <is>
          <t>ACTIVO</t>
        </is>
      </c>
      <c r="K125" t="inlineStr">
        <is>
          <t>nan</t>
        </is>
      </c>
      <c r="L125" t="n">
        <v>0</v>
      </c>
      <c r="M125">
        <f>IF(E125&gt;0,ROUND(L125/E125*100,1),0)</f>
        <v/>
      </c>
      <c r="N125" t="inlineStr">
        <is>
          <t>PENDIENTE</t>
        </is>
      </c>
      <c r="O125">
        <f>IF(H125="SI",1,0)*0.6+IF(I125="SI",1,0)*0.4</f>
        <v/>
      </c>
      <c r="P125" t="inlineStr">
        <is>
          <t>PENDIENTE</t>
        </is>
      </c>
      <c r="S125">
        <f>IFERROR(SCORECARDS!C125,"")</f>
        <v/>
      </c>
      <c r="T125">
        <f>IF(NOT(ISNUMBER(S125)),"—",IF(S125&lt;34,"🔴 Crítico",IF(S125&lt;67,"🟡 Vulnerable","🟢 Preparado")))</f>
        <v/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>
        <f>IFERROR(AVERAGE(AA125,AB125,AC125,AD125,AE125,AF125,AG125,AH125,AI125,AJ125,AK125,AL125,AM125,AN125),"N/A")</f>
        <v/>
      </c>
      <c r="AP125">
        <f>IFERROR(AVERAGE(W125,X125,Y125,Z125)/2,"N/A")</f>
        <v/>
      </c>
    </row>
    <row r="126" ht="16.05" customHeight="1" s="37">
      <c r="A126" t="inlineStr">
        <is>
          <t>20601919657</t>
        </is>
      </c>
      <c r="B126" t="inlineStr">
        <is>
          <t>COOPERATIVA AGRARIA INNOVACION CACAO Y CAFE DEL VRAEM</t>
        </is>
      </c>
      <c r="C126" t="inlineStr">
        <is>
          <t>JUNIN</t>
        </is>
      </c>
      <c r="D126" t="inlineStr">
        <is>
          <t>CACAO</t>
        </is>
      </c>
      <c r="E126" t="n">
        <v>0</v>
      </c>
      <c r="G126" t="inlineStr">
        <is>
          <t>NO</t>
        </is>
      </c>
      <c r="H126" t="inlineStr">
        <is>
          <t>nan</t>
        </is>
      </c>
      <c r="I126" t="inlineStr">
        <is>
          <t>nan</t>
        </is>
      </c>
      <c r="J126" t="inlineStr">
        <is>
          <t>ACTIVO</t>
        </is>
      </c>
      <c r="K126" t="inlineStr">
        <is>
          <t>nan</t>
        </is>
      </c>
      <c r="L126" t="n">
        <v>0</v>
      </c>
      <c r="M126">
        <f>IF(E126&gt;0,ROUND(L126/E126*100,1),0)</f>
        <v/>
      </c>
      <c r="N126" t="inlineStr">
        <is>
          <t>PENDIENTE</t>
        </is>
      </c>
      <c r="O126">
        <f>IF(H126="SI",1,0)*0.6+IF(I126="SI",1,0)*0.4</f>
        <v/>
      </c>
      <c r="P126" t="inlineStr">
        <is>
          <t>PENDIENTE</t>
        </is>
      </c>
      <c r="S126">
        <f>IFERROR(SCORECARDS!C126,"")</f>
        <v/>
      </c>
      <c r="T126">
        <f>IF(NOT(ISNUMBER(S126)),"—",IF(S126&lt;34,"🔴 Crítico",IF(S126&lt;67,"🟡 Vulnerable","🟢 Preparado")))</f>
        <v/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>
        <f>IFERROR(AVERAGE(AA126,AB126,AC126,AD126,AE126,AF126,AG126,AH126,AI126,AJ126,AK126,AL126,AM126,AN126),"N/A")</f>
        <v/>
      </c>
      <c r="AP126">
        <f>IFERROR(AVERAGE(W126,X126,Y126,Z126)/2,"N/A")</f>
        <v/>
      </c>
    </row>
    <row r="127" ht="16.05" customHeight="1" s="37">
      <c r="A127" t="inlineStr">
        <is>
          <t>20601939402</t>
        </is>
      </c>
      <c r="B127" t="inlineStr">
        <is>
          <t>COOPERATIVA AGRARIA ASHANINKA KEMITO SANKORI LTDA</t>
        </is>
      </c>
      <c r="C127" t="inlineStr">
        <is>
          <t>JUNIN</t>
        </is>
      </c>
      <c r="D127" t="inlineStr">
        <is>
          <t>CACAO</t>
        </is>
      </c>
      <c r="E127" t="n">
        <v>0</v>
      </c>
      <c r="G127" t="inlineStr">
        <is>
          <t>NO</t>
        </is>
      </c>
      <c r="H127" t="inlineStr">
        <is>
          <t>nan</t>
        </is>
      </c>
      <c r="I127" t="inlineStr">
        <is>
          <t>nan</t>
        </is>
      </c>
      <c r="J127" t="inlineStr">
        <is>
          <t>ACTIVO</t>
        </is>
      </c>
      <c r="K127" t="inlineStr">
        <is>
          <t>nan</t>
        </is>
      </c>
      <c r="L127" t="n">
        <v>0</v>
      </c>
      <c r="M127">
        <f>IF(E127&gt;0,ROUND(L127/E127*100,1),0)</f>
        <v/>
      </c>
      <c r="N127" t="inlineStr">
        <is>
          <t>PENDIENTE</t>
        </is>
      </c>
      <c r="O127">
        <f>IF(H127="SI",1,0)*0.6+IF(I127="SI",1,0)*0.4</f>
        <v/>
      </c>
      <c r="P127" t="inlineStr">
        <is>
          <t>PENDIENTE</t>
        </is>
      </c>
      <c r="S127">
        <f>IFERROR(SCORECARDS!C127,"")</f>
        <v/>
      </c>
      <c r="T127">
        <f>IF(NOT(ISNUMBER(S127)),"—",IF(S127&lt;34,"🔴 Crítico",IF(S127&lt;67,"🟡 Vulnerable","🟢 Preparado")))</f>
        <v/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>
        <f>IFERROR(AVERAGE(AA127,AB127,AC127,AD127,AE127,AF127,AG127,AH127,AI127,AJ127,AK127,AL127,AM127,AN127),"N/A")</f>
        <v/>
      </c>
      <c r="AP127">
        <f>IFERROR(AVERAGE(W127,X127,Y127,Z127)/2,"N/A")</f>
        <v/>
      </c>
    </row>
    <row r="128" ht="16.05" customHeight="1" s="37">
      <c r="A128" t="inlineStr">
        <is>
          <t>20601958911</t>
        </is>
      </c>
      <c r="B128" t="inlineStr">
        <is>
          <t>COOPERATIVA AGRARIA CAFETALERA LAGUNA DE LOS CÓNDORES</t>
        </is>
      </c>
      <c r="C128" t="inlineStr">
        <is>
          <t>AMAZONAS</t>
        </is>
      </c>
      <c r="D128" t="inlineStr">
        <is>
          <t>CAFÉ</t>
        </is>
      </c>
      <c r="E128" t="n">
        <v>13966273.33</v>
      </c>
      <c r="F128" t="n">
        <v>80</v>
      </c>
      <c r="G128" t="inlineStr">
        <is>
          <t>SI</t>
        </is>
      </c>
      <c r="H128" t="inlineStr">
        <is>
          <t>nan</t>
        </is>
      </c>
      <c r="I128" t="inlineStr">
        <is>
          <t>nan</t>
        </is>
      </c>
      <c r="J128" t="inlineStr">
        <is>
          <t>ACTIVO</t>
        </is>
      </c>
      <c r="K128" t="inlineStr">
        <is>
          <t>nan</t>
        </is>
      </c>
      <c r="L128" t="n">
        <v>6983136.67</v>
      </c>
      <c r="M128">
        <f>IF(E128&gt;0,ROUND(L128/E128*100,1),0)</f>
        <v/>
      </c>
      <c r="N128" t="inlineStr">
        <is>
          <t>PENDIENTE</t>
        </is>
      </c>
      <c r="O128">
        <f>IF(H128="SI",1,0)*0.6+IF(I128="SI",1,0)*0.4</f>
        <v/>
      </c>
      <c r="P128" t="inlineStr">
        <is>
          <t>PENDIENTE</t>
        </is>
      </c>
      <c r="S128">
        <f>IFERROR(SCORECARDS!C128,"")</f>
        <v/>
      </c>
      <c r="T128">
        <f>IF(NOT(ISNUMBER(S128)),"—",IF(S128&lt;34,"🔴 Crítico",IF(S128&lt;67,"🟡 Vulnerable","🟢 Preparado")))</f>
        <v/>
      </c>
      <c r="U128" t="n">
        <v>1</v>
      </c>
      <c r="V128" t="inlineStr">
        <is>
          <t>Sin hallazgos OSCE / OEFA</t>
        </is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>
        <f>IFERROR(AVERAGE(AA128,AB128,AC128,AD128,AE128,AF128,AG128,AH128,AI128,AJ128,AK128,AL128,AM128,AN128),"N/A")</f>
        <v/>
      </c>
      <c r="AP128">
        <f>IFERROR(AVERAGE(W128,X128,Y128,Z128)/2,"N/A")</f>
        <v/>
      </c>
    </row>
    <row r="129" ht="16.05" customHeight="1" s="37">
      <c r="A129" t="inlineStr">
        <is>
          <t>20602047025</t>
        </is>
      </c>
      <c r="B129" t="inlineStr">
        <is>
          <t>ASOCIACION DE MUJERES CHOCOLATERAS CHOCOLATE CORAZON DE NOLB</t>
        </is>
      </c>
      <c r="C129" t="inlineStr">
        <is>
          <t>UCAYALI</t>
        </is>
      </c>
      <c r="D129" t="inlineStr">
        <is>
          <t>CACAO</t>
        </is>
      </c>
      <c r="G129" t="inlineStr">
        <is>
          <t>NO</t>
        </is>
      </c>
      <c r="H129" t="inlineStr">
        <is>
          <t>nan</t>
        </is>
      </c>
      <c r="I129" t="inlineStr">
        <is>
          <t>nan</t>
        </is>
      </c>
      <c r="J129" t="inlineStr">
        <is>
          <t>ACTIVO</t>
        </is>
      </c>
      <c r="K129" t="inlineStr">
        <is>
          <t>nan</t>
        </is>
      </c>
      <c r="L129" t="n">
        <v>0</v>
      </c>
      <c r="M129">
        <f>IF(E129&gt;0,ROUND(L129/E129*100,1),0)</f>
        <v/>
      </c>
      <c r="N129" t="inlineStr">
        <is>
          <t>PENDIENTE</t>
        </is>
      </c>
      <c r="O129">
        <f>IF(H129="SI",1,0)*0.6+IF(I129="SI",1,0)*0.4</f>
        <v/>
      </c>
      <c r="P129" t="inlineStr">
        <is>
          <t>PENDIENTE</t>
        </is>
      </c>
      <c r="S129">
        <f>IFERROR(SCORECARDS!C129,"")</f>
        <v/>
      </c>
      <c r="T129">
        <f>IF(NOT(ISNUMBER(S129)),"—",IF(S129&lt;34,"🔴 Crítico",IF(S129&lt;67,"🟡 Vulnerable","🟢 Preparado")))</f>
        <v/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>
        <f>IFERROR(AVERAGE(AA129,AB129,AC129,AD129,AE129,AF129,AG129,AH129,AI129,AJ129,AK129,AL129,AM129,AN129),"N/A")</f>
        <v/>
      </c>
      <c r="AP129">
        <f>IFERROR(AVERAGE(W129,X129,Y129,Z129)/2,"N/A")</f>
        <v/>
      </c>
    </row>
    <row r="130" ht="16.05" customHeight="1" s="37">
      <c r="A130" t="inlineStr">
        <is>
          <t>20602054480</t>
        </is>
      </c>
      <c r="B130" t="inlineStr">
        <is>
          <t>COOPERATIVA AGRARIA ECOLOGICA DE MUJERES CAFETALERAS VILLA R</t>
        </is>
      </c>
      <c r="C130" t="inlineStr">
        <is>
          <t>PASCO</t>
        </is>
      </c>
      <c r="D130" t="inlineStr">
        <is>
          <t>CAFÉ</t>
        </is>
      </c>
      <c r="E130" t="n">
        <v>826100.75</v>
      </c>
      <c r="F130" t="n">
        <v>5</v>
      </c>
      <c r="G130" t="inlineStr">
        <is>
          <t>SI</t>
        </is>
      </c>
      <c r="H130" t="inlineStr">
        <is>
          <t xml:space="preserve">SI </t>
        </is>
      </c>
      <c r="I130" t="inlineStr">
        <is>
          <t xml:space="preserve">SI </t>
        </is>
      </c>
      <c r="J130" t="inlineStr">
        <is>
          <t>ACTIVO</t>
        </is>
      </c>
      <c r="K130" t="inlineStr">
        <is>
          <t>Empadronados PPA 64.8%</t>
        </is>
      </c>
      <c r="L130" t="n">
        <v>0</v>
      </c>
      <c r="M130">
        <f>IF(E130&gt;0,ROUND(L130/E130*100,1),0)</f>
        <v/>
      </c>
      <c r="N130" t="inlineStr">
        <is>
          <t>PENDIENTE</t>
        </is>
      </c>
      <c r="O130">
        <f>IF(H130="SI",1,0)*0.6+IF(I130="SI",1,0)*0.4</f>
        <v/>
      </c>
      <c r="P130" t="inlineStr">
        <is>
          <t>PENDIENTE</t>
        </is>
      </c>
      <c r="Q130" t="n">
        <v>177</v>
      </c>
      <c r="R130" t="n">
        <v>213</v>
      </c>
      <c r="S130">
        <f>IFERROR(SCORECARDS!C130,"")</f>
        <v/>
      </c>
      <c r="T130">
        <f>IF(NOT(ISNUMBER(S130)),"—",IF(S130&lt;34,"🔴 Crítico",IF(S130&lt;67,"🟡 Vulnerable","🟢 Preparado")))</f>
        <v/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>
        <f>IFERROR(AVERAGE(AA130,AB130,AC130,AD130,AE130,AF130,AG130,AH130,AI130,AJ130,AK130,AL130,AM130,AN130),"N/A")</f>
        <v/>
      </c>
      <c r="AP130">
        <f>IFERROR(AVERAGE(W130,X130,Y130,Z130)/2,"N/A")</f>
        <v/>
      </c>
    </row>
    <row r="131" ht="16.05" customHeight="1" s="37">
      <c r="A131" t="inlineStr">
        <is>
          <t>20602161081</t>
        </is>
      </c>
      <c r="B131" t="inlineStr">
        <is>
          <t>APROVAPERU</t>
        </is>
      </c>
      <c r="C131" t="inlineStr">
        <is>
          <t>JUNIN</t>
        </is>
      </c>
      <c r="D131" t="inlineStr">
        <is>
          <t>CAFÉ</t>
        </is>
      </c>
      <c r="E131" t="n">
        <v>0</v>
      </c>
      <c r="G131" t="inlineStr">
        <is>
          <t>NO</t>
        </is>
      </c>
      <c r="H131" t="inlineStr">
        <is>
          <t>nan</t>
        </is>
      </c>
      <c r="I131" t="inlineStr">
        <is>
          <t>nan</t>
        </is>
      </c>
      <c r="J131" t="inlineStr">
        <is>
          <t>BAJA DE OFICIO</t>
        </is>
      </c>
      <c r="K131" t="inlineStr">
        <is>
          <t>nan</t>
        </is>
      </c>
      <c r="L131" t="n">
        <v>0</v>
      </c>
      <c r="M131">
        <f>IF(E131&gt;0,ROUND(L131/E131*100,1),0)</f>
        <v/>
      </c>
      <c r="N131" t="inlineStr">
        <is>
          <t>PENDIENTE</t>
        </is>
      </c>
      <c r="O131">
        <f>IF(H131="SI",1,0)*0.6+IF(I131="SI",1,0)*0.4</f>
        <v/>
      </c>
      <c r="P131" t="inlineStr">
        <is>
          <t>PENDIENTE</t>
        </is>
      </c>
      <c r="S131">
        <f>IFERROR(SCORECARDS!C131,"")</f>
        <v/>
      </c>
      <c r="T131">
        <f>IF(NOT(ISNUMBER(S131)),"—",IF(S131&lt;34,"🔴 Crítico",IF(S131&lt;67,"🟡 Vulnerable","🟢 Preparado")))</f>
        <v/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>
        <f>IFERROR(AVERAGE(AA131,AB131,AC131,AD131,AE131,AF131,AG131,AH131,AI131,AJ131,AK131,AL131,AM131,AN131),"N/A")</f>
        <v/>
      </c>
      <c r="AP131">
        <f>IFERROR(AVERAGE(W131,X131,Y131,Z131)/2,"N/A")</f>
        <v/>
      </c>
    </row>
    <row r="132" ht="16.05" customHeight="1" s="37">
      <c r="A132" t="inlineStr">
        <is>
          <t>20602194265</t>
        </is>
      </c>
      <c r="B132" t="inlineStr">
        <is>
          <t>ASOCIACION DE AGRICULTORES DE CACAO Y REFORESTADORES DE CURI</t>
        </is>
      </c>
      <c r="C132" t="inlineStr">
        <is>
          <t>UCAYALI</t>
        </is>
      </c>
      <c r="D132" t="inlineStr">
        <is>
          <t>CACAO</t>
        </is>
      </c>
      <c r="G132" t="inlineStr">
        <is>
          <t>NO</t>
        </is>
      </c>
      <c r="H132" t="inlineStr">
        <is>
          <t>nan</t>
        </is>
      </c>
      <c r="I132" t="inlineStr">
        <is>
          <t>nan</t>
        </is>
      </c>
      <c r="J132" t="inlineStr">
        <is>
          <t>BAJA DE OFICIO</t>
        </is>
      </c>
      <c r="K132" t="inlineStr">
        <is>
          <t>nan</t>
        </is>
      </c>
      <c r="L132" t="n">
        <v>0</v>
      </c>
      <c r="M132">
        <f>IF(E132&gt;0,ROUND(L132/E132*100,1),0)</f>
        <v/>
      </c>
      <c r="N132" t="inlineStr">
        <is>
          <t>PENDIENTE</t>
        </is>
      </c>
      <c r="O132">
        <f>IF(H132="SI",1,0)*0.6+IF(I132="SI",1,0)*0.4</f>
        <v/>
      </c>
      <c r="P132" t="inlineStr">
        <is>
          <t>PENDIENTE</t>
        </is>
      </c>
      <c r="S132">
        <f>IFERROR(SCORECARDS!C132,"")</f>
        <v/>
      </c>
      <c r="T132">
        <f>IF(NOT(ISNUMBER(S132)),"—",IF(S132&lt;34,"🔴 Crítico",IF(S132&lt;67,"🟡 Vulnerable","🟢 Preparado")))</f>
        <v/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>
        <f>IFERROR(AVERAGE(AA132,AB132,AC132,AD132,AE132,AF132,AG132,AH132,AI132,AJ132,AK132,AL132,AM132,AN132),"N/A")</f>
        <v/>
      </c>
      <c r="AP132">
        <f>IFERROR(AVERAGE(W132,X132,Y132,Z132)/2,"N/A")</f>
        <v/>
      </c>
    </row>
    <row r="133" ht="16.05" customHeight="1" s="37">
      <c r="A133" t="inlineStr">
        <is>
          <t>20602242464</t>
        </is>
      </c>
      <c r="B133" t="inlineStr">
        <is>
          <t>COOPERATIVA AGROPECUARIA MARCELINO VASQUEZ HUAMAN - COOPAMAV</t>
        </is>
      </c>
      <c r="C133" t="inlineStr">
        <is>
          <t>PIURA</t>
        </is>
      </c>
      <c r="D133" t="inlineStr">
        <is>
          <t>CACAO</t>
        </is>
      </c>
      <c r="G133" t="inlineStr">
        <is>
          <t>NO</t>
        </is>
      </c>
      <c r="H133" t="inlineStr">
        <is>
          <t>nan</t>
        </is>
      </c>
      <c r="I133" t="inlineStr">
        <is>
          <t>nan</t>
        </is>
      </c>
      <c r="J133" t="inlineStr">
        <is>
          <t>ACTIVO</t>
        </is>
      </c>
      <c r="K133" t="inlineStr">
        <is>
          <t>nan</t>
        </is>
      </c>
      <c r="L133" t="n">
        <v>0</v>
      </c>
      <c r="M133">
        <f>IF(E133&gt;0,ROUND(L133/E133*100,1),0)</f>
        <v/>
      </c>
      <c r="N133" t="inlineStr">
        <is>
          <t>PENDIENTE</t>
        </is>
      </c>
      <c r="O133">
        <f>IF(H133="SI",1,0)*0.6+IF(I133="SI",1,0)*0.4</f>
        <v/>
      </c>
      <c r="P133" t="inlineStr">
        <is>
          <t>PENDIENTE</t>
        </is>
      </c>
      <c r="S133">
        <f>IFERROR(SCORECARDS!C133,"")</f>
        <v/>
      </c>
      <c r="T133">
        <f>IF(NOT(ISNUMBER(S133)),"—",IF(S133&lt;34,"🔴 Crítico",IF(S133&lt;67,"🟡 Vulnerable","🟢 Preparado")))</f>
        <v/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>
        <f>IFERROR(AVERAGE(AA133,AB133,AC133,AD133,AE133,AF133,AG133,AH133,AI133,AJ133,AK133,AL133,AM133,AN133),"N/A")</f>
        <v/>
      </c>
      <c r="AP133">
        <f>IFERROR(AVERAGE(W133,X133,Y133,Z133)/2,"N/A")</f>
        <v/>
      </c>
    </row>
    <row r="134" ht="16.05" customHeight="1" s="37">
      <c r="A134" t="inlineStr">
        <is>
          <t>20602488927</t>
        </is>
      </c>
      <c r="B134" t="inlineStr">
        <is>
          <t>COOPERATIVA AGRARIA ECOLOGICO ROSAS PAMPA LTDA - CAECO ROSAS</t>
        </is>
      </c>
      <c r="C134" t="inlineStr">
        <is>
          <t>JUNIN</t>
        </is>
      </c>
      <c r="D134" t="inlineStr">
        <is>
          <t>CAFÉ</t>
        </is>
      </c>
      <c r="E134" t="n">
        <v>0</v>
      </c>
      <c r="G134" t="inlineStr">
        <is>
          <t>NO</t>
        </is>
      </c>
      <c r="H134" t="inlineStr">
        <is>
          <t xml:space="preserve">SI </t>
        </is>
      </c>
      <c r="I134" t="inlineStr">
        <is>
          <t>SI.</t>
        </is>
      </c>
      <c r="J134" t="inlineStr">
        <is>
          <t>ACTIVO</t>
        </is>
      </c>
      <c r="K134" t="inlineStr">
        <is>
          <t>0.93</t>
        </is>
      </c>
      <c r="L134" t="n">
        <v>0</v>
      </c>
      <c r="M134">
        <f>IF(E134&gt;0,ROUND(L134/E134*100,1),0)</f>
        <v/>
      </c>
      <c r="N134" t="inlineStr">
        <is>
          <t>PENDIENTE</t>
        </is>
      </c>
      <c r="O134">
        <f>IF(H134="SI",1,0)*0.6+IF(I134="SI",1,0)*0.4</f>
        <v/>
      </c>
      <c r="P134" t="inlineStr">
        <is>
          <t>PENDIENTE</t>
        </is>
      </c>
      <c r="Q134" t="n">
        <v>162</v>
      </c>
      <c r="R134" t="n">
        <v>454.5</v>
      </c>
      <c r="S134">
        <f>IFERROR(SCORECARDS!C134,"")</f>
        <v/>
      </c>
      <c r="T134">
        <f>IF(NOT(ISNUMBER(S134)),"—",IF(S134&lt;34,"🔴 Crítico",IF(S134&lt;67,"🟡 Vulnerable","🟢 Preparado")))</f>
        <v/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>
        <f>IFERROR(AVERAGE(AA134,AB134,AC134,AD134,AE134,AF134,AG134,AH134,AI134,AJ134,AK134,AL134,AM134,AN134),"N/A")</f>
        <v/>
      </c>
      <c r="AP134">
        <f>IFERROR(AVERAGE(W134,X134,Y134,Z134)/2,"N/A")</f>
        <v/>
      </c>
    </row>
    <row r="135" ht="16.05" customHeight="1" s="37">
      <c r="A135" t="inlineStr">
        <is>
          <t>20602650643</t>
        </is>
      </c>
      <c r="B135" t="inlineStr">
        <is>
          <t>ASOCIACIÓN AGROEXPORTADORA DE LA REGIÓN SAN MARTÍN</t>
        </is>
      </c>
      <c r="C135" t="inlineStr">
        <is>
          <t>SAN MARTIN</t>
        </is>
      </c>
      <c r="D135" t="inlineStr">
        <is>
          <t>CAFÉ</t>
        </is>
      </c>
      <c r="E135" t="n">
        <v>6836861.45</v>
      </c>
      <c r="F135" t="n">
        <v>36</v>
      </c>
      <c r="G135" t="inlineStr">
        <is>
          <t>SI</t>
        </is>
      </c>
      <c r="H135" t="inlineStr">
        <is>
          <t xml:space="preserve">Si </t>
        </is>
      </c>
      <c r="I135" t="inlineStr">
        <is>
          <t xml:space="preserve">Si </t>
        </is>
      </c>
      <c r="J135" t="inlineStr">
        <is>
          <t>ACTIVO</t>
        </is>
      </c>
      <c r="K135" t="inlineStr">
        <is>
          <t>0.8</t>
        </is>
      </c>
      <c r="L135" t="n">
        <v>4575551.37</v>
      </c>
      <c r="M135">
        <f>IF(E135&gt;0,ROUND(L135/E135*100,1),0)</f>
        <v/>
      </c>
      <c r="N135" t="inlineStr">
        <is>
          <t>PENDIENTE</t>
        </is>
      </c>
      <c r="O135">
        <f>IF(H135="SI",1,0)*0.6+IF(I135="SI",1,0)*0.4</f>
        <v/>
      </c>
      <c r="P135" t="inlineStr">
        <is>
          <t>PENDIENTE</t>
        </is>
      </c>
      <c r="Q135" t="n">
        <v>762</v>
      </c>
      <c r="R135" t="n">
        <v>1500</v>
      </c>
      <c r="S135">
        <f>IFERROR(SCORECARDS!C135,"")</f>
        <v/>
      </c>
      <c r="T135">
        <f>IF(NOT(ISNUMBER(S135)),"—",IF(S135&lt;34,"🔴 Crítico",IF(S135&lt;67,"🟡 Vulnerable","🟢 Preparado")))</f>
        <v/>
      </c>
      <c r="U135" t="n">
        <v>1</v>
      </c>
      <c r="V135" t="inlineStr">
        <is>
          <t>Sin hallazgos OSCE / OEFA</t>
        </is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>
        <f>IFERROR(AVERAGE(AA135,AB135,AC135,AD135,AE135,AF135,AG135,AH135,AI135,AJ135,AK135,AL135,AM135,AN135),"N/A")</f>
        <v/>
      </c>
      <c r="AP135">
        <f>IFERROR(AVERAGE(W135,X135,Y135,Z135)/2,"N/A")</f>
        <v/>
      </c>
    </row>
    <row r="136" ht="16.05" customHeight="1" s="37">
      <c r="A136" t="inlineStr">
        <is>
          <t>20602712657</t>
        </is>
      </c>
      <c r="B136" t="inlineStr">
        <is>
          <t>COOPERATIVA AGRARIA CAFETALERA RIO TAMBO LIMITADA</t>
        </is>
      </c>
      <c r="C136" t="inlineStr">
        <is>
          <t>JUNIN</t>
        </is>
      </c>
      <c r="D136" t="inlineStr">
        <is>
          <t>CAFÉ</t>
        </is>
      </c>
      <c r="G136" t="inlineStr">
        <is>
          <t>NO</t>
        </is>
      </c>
      <c r="H136" t="inlineStr">
        <is>
          <t>nan</t>
        </is>
      </c>
      <c r="I136" t="inlineStr">
        <is>
          <t>nan</t>
        </is>
      </c>
      <c r="J136" t="inlineStr">
        <is>
          <t>ACTIVO</t>
        </is>
      </c>
      <c r="K136" t="inlineStr">
        <is>
          <t>nan</t>
        </is>
      </c>
      <c r="L136" t="n">
        <v>0</v>
      </c>
      <c r="M136">
        <f>IF(E136&gt;0,ROUND(L136/E136*100,1),0)</f>
        <v/>
      </c>
      <c r="N136" t="inlineStr">
        <is>
          <t>PENDIENTE</t>
        </is>
      </c>
      <c r="O136">
        <f>IF(H136="SI",1,0)*0.6+IF(I136="SI",1,0)*0.4</f>
        <v/>
      </c>
      <c r="P136" t="inlineStr">
        <is>
          <t>PENDIENTE</t>
        </is>
      </c>
      <c r="S136">
        <f>IFERROR(SCORECARDS!C136,"")</f>
        <v/>
      </c>
      <c r="T136">
        <f>IF(NOT(ISNUMBER(S136)),"—",IF(S136&lt;34,"🔴 Crítico",IF(S136&lt;67,"🟡 Vulnerable","🟢 Preparado")))</f>
        <v/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>
        <f>IFERROR(AVERAGE(AA136,AB136,AC136,AD136,AE136,AF136,AG136,AH136,AI136,AJ136,AK136,AL136,AM136,AN136),"N/A")</f>
        <v/>
      </c>
      <c r="AP136">
        <f>IFERROR(AVERAGE(W136,X136,Y136,Z136)/2,"N/A")</f>
        <v/>
      </c>
    </row>
    <row r="137" ht="16.05" customHeight="1" s="37">
      <c r="A137" t="inlineStr">
        <is>
          <t>20602881971</t>
        </is>
      </c>
      <c r="B137" t="inlineStr">
        <is>
          <t>ASOCIACION DE PRODUCTORES AGRARIOS DE CACAO (APAC) ECHALACPE</t>
        </is>
      </c>
      <c r="C137" t="inlineStr">
        <is>
          <t>CUSCO</t>
        </is>
      </c>
      <c r="D137" t="inlineStr">
        <is>
          <t>CACAO</t>
        </is>
      </c>
      <c r="G137" t="inlineStr">
        <is>
          <t>NO</t>
        </is>
      </c>
      <c r="H137" t="inlineStr">
        <is>
          <t>nan</t>
        </is>
      </c>
      <c r="I137" t="inlineStr">
        <is>
          <t>nan</t>
        </is>
      </c>
      <c r="J137" t="inlineStr">
        <is>
          <t>ACTIVO</t>
        </is>
      </c>
      <c r="K137" t="inlineStr">
        <is>
          <t>nan</t>
        </is>
      </c>
      <c r="L137" t="n">
        <v>0</v>
      </c>
      <c r="M137">
        <f>IF(E137&gt;0,ROUND(L137/E137*100,1),0)</f>
        <v/>
      </c>
      <c r="N137" t="inlineStr">
        <is>
          <t>PENDIENTE</t>
        </is>
      </c>
      <c r="O137">
        <f>IF(H137="SI",1,0)*0.6+IF(I137="SI",1,0)*0.4</f>
        <v/>
      </c>
      <c r="P137" t="inlineStr">
        <is>
          <t>PENDIENTE</t>
        </is>
      </c>
      <c r="S137">
        <f>IFERROR(SCORECARDS!C137,"")</f>
        <v/>
      </c>
      <c r="T137">
        <f>IF(NOT(ISNUMBER(S137)),"—",IF(S137&lt;34,"🔴 Crítico",IF(S137&lt;67,"🟡 Vulnerable","🟢 Preparado")))</f>
        <v/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>
        <f>IFERROR(AVERAGE(AA137,AB137,AC137,AD137,AE137,AF137,AG137,AH137,AI137,AJ137,AK137,AL137,AM137,AN137),"N/A")</f>
        <v/>
      </c>
      <c r="AP137">
        <f>IFERROR(AVERAGE(W137,X137,Y137,Z137)/2,"N/A")</f>
        <v/>
      </c>
    </row>
    <row r="138" ht="16.05" customHeight="1" s="37">
      <c r="A138" t="inlineStr">
        <is>
          <t>20603320621</t>
        </is>
      </c>
      <c r="B138" t="inlineStr">
        <is>
          <t>COOPERATIVA AGRARIA CAFETALERA ALTA MONTAÑA</t>
        </is>
      </c>
      <c r="C138" t="inlineStr">
        <is>
          <t>AMAZONAS</t>
        </is>
      </c>
      <c r="D138" t="inlineStr">
        <is>
          <t>CAFÉ</t>
        </is>
      </c>
      <c r="E138" t="n">
        <v>161000</v>
      </c>
      <c r="F138" t="n">
        <v>1</v>
      </c>
      <c r="G138" t="inlineStr">
        <is>
          <t>SI</t>
        </is>
      </c>
      <c r="H138" t="inlineStr">
        <is>
          <t>nan</t>
        </is>
      </c>
      <c r="I138" t="inlineStr">
        <is>
          <t>nan</t>
        </is>
      </c>
      <c r="J138" t="inlineStr">
        <is>
          <t>ACTIVO</t>
        </is>
      </c>
      <c r="K138" t="inlineStr">
        <is>
          <t>nan</t>
        </is>
      </c>
      <c r="L138" t="n">
        <v>80500</v>
      </c>
      <c r="M138">
        <f>IF(E138&gt;0,ROUND(L138/E138*100,1),0)</f>
        <v/>
      </c>
      <c r="N138" t="inlineStr">
        <is>
          <t>PENDIENTE</t>
        </is>
      </c>
      <c r="O138">
        <f>IF(H138="SI",1,0)*0.6+IF(I138="SI",1,0)*0.4</f>
        <v/>
      </c>
      <c r="P138" t="inlineStr">
        <is>
          <t>PENDIENTE</t>
        </is>
      </c>
      <c r="S138">
        <f>IFERROR(SCORECARDS!C138,"")</f>
        <v/>
      </c>
      <c r="T138">
        <f>IF(NOT(ISNUMBER(S138)),"—",IF(S138&lt;34,"🔴 Crítico",IF(S138&lt;67,"🟡 Vulnerable","🟢 Preparado")))</f>
        <v/>
      </c>
      <c r="U138" t="n">
        <v>1</v>
      </c>
      <c r="V138" t="inlineStr">
        <is>
          <t>Sin hallazgos OSCE / OEFA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>
        <f>IFERROR(AVERAGE(AA138,AB138,AC138,AD138,AE138,AF138,AG138,AH138,AI138,AJ138,AK138,AL138,AM138,AN138),"N/A")</f>
        <v/>
      </c>
      <c r="AP138">
        <f>IFERROR(AVERAGE(W138,X138,Y138,Z138)/2,"N/A")</f>
        <v/>
      </c>
    </row>
    <row r="139" ht="16.05" customHeight="1" s="37">
      <c r="A139" t="inlineStr">
        <is>
          <t>20603526423</t>
        </is>
      </c>
      <c r="B139" t="inlineStr">
        <is>
          <t>COOPERATIVA AGROINDUSTRIAL PERLA DEL HUALLAGA LTDA - CAPH LT</t>
        </is>
      </c>
      <c r="C139" t="inlineStr">
        <is>
          <t>LORETO</t>
        </is>
      </c>
      <c r="D139" t="inlineStr">
        <is>
          <t>CACAO</t>
        </is>
      </c>
      <c r="G139" t="inlineStr">
        <is>
          <t>NO</t>
        </is>
      </c>
      <c r="H139" t="inlineStr">
        <is>
          <t>nan</t>
        </is>
      </c>
      <c r="I139" t="inlineStr">
        <is>
          <t>nan</t>
        </is>
      </c>
      <c r="J139" t="inlineStr">
        <is>
          <t>ACTIVO</t>
        </is>
      </c>
      <c r="K139" t="inlineStr">
        <is>
          <t>nan</t>
        </is>
      </c>
      <c r="L139" t="n">
        <v>0</v>
      </c>
      <c r="M139">
        <f>IF(E139&gt;0,ROUND(L139/E139*100,1),0)</f>
        <v/>
      </c>
      <c r="N139" t="inlineStr">
        <is>
          <t>PENDIENTE</t>
        </is>
      </c>
      <c r="O139">
        <f>IF(H139="SI",1,0)*0.6+IF(I139="SI",1,0)*0.4</f>
        <v/>
      </c>
      <c r="P139" t="inlineStr">
        <is>
          <t>PENDIENTE</t>
        </is>
      </c>
      <c r="S139">
        <f>IFERROR(SCORECARDS!C139,"")</f>
        <v/>
      </c>
      <c r="T139">
        <f>IF(NOT(ISNUMBER(S139)),"—",IF(S139&lt;34,"🔴 Crítico",IF(S139&lt;67,"🟡 Vulnerable","🟢 Preparado")))</f>
        <v/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>
        <f>IFERROR(AVERAGE(AA139,AB139,AC139,AD139,AE139,AF139,AG139,AH139,AI139,AJ139,AK139,AL139,AM139,AN139),"N/A")</f>
        <v/>
      </c>
      <c r="AP139">
        <f>IFERROR(AVERAGE(W139,X139,Y139,Z139)/2,"N/A")</f>
        <v/>
      </c>
    </row>
    <row r="140" ht="16.05" customHeight="1" s="37">
      <c r="A140" t="inlineStr">
        <is>
          <t>20603557825</t>
        </is>
      </c>
      <c r="B140" t="inlineStr">
        <is>
          <t>COOPERATIVA AGRARIA KAFFEE SATIPO</t>
        </is>
      </c>
      <c r="C140" t="inlineStr">
        <is>
          <t>JUNIN</t>
        </is>
      </c>
      <c r="D140" t="inlineStr">
        <is>
          <t>CAFÉ</t>
        </is>
      </c>
      <c r="E140" t="n">
        <v>378122</v>
      </c>
      <c r="F140" t="n">
        <v>3</v>
      </c>
      <c r="G140" t="inlineStr">
        <is>
          <t>SI</t>
        </is>
      </c>
      <c r="H140" t="inlineStr">
        <is>
          <t>nan</t>
        </is>
      </c>
      <c r="I140" t="inlineStr">
        <is>
          <t>nan</t>
        </is>
      </c>
      <c r="J140" t="inlineStr">
        <is>
          <t>ACTIVO</t>
        </is>
      </c>
      <c r="K140" t="inlineStr">
        <is>
          <t>nan</t>
        </is>
      </c>
      <c r="L140" t="n">
        <v>0</v>
      </c>
      <c r="M140">
        <f>IF(E140&gt;0,ROUND(L140/E140*100,1),0)</f>
        <v/>
      </c>
      <c r="N140" t="inlineStr">
        <is>
          <t>PENDIENTE</t>
        </is>
      </c>
      <c r="O140">
        <f>IF(H140="SI",1,0)*0.6+IF(I140="SI",1,0)*0.4</f>
        <v/>
      </c>
      <c r="P140" t="inlineStr">
        <is>
          <t>PENDIENTE</t>
        </is>
      </c>
      <c r="S140">
        <f>IFERROR(SCORECARDS!C140,"")</f>
        <v/>
      </c>
      <c r="T140">
        <f>IF(NOT(ISNUMBER(S140)),"—",IF(S140&lt;34,"🔴 Crítico",IF(S140&lt;67,"🟡 Vulnerable","🟢 Preparado")))</f>
        <v/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>
        <f>IFERROR(AVERAGE(AA140,AB140,AC140,AD140,AE140,AF140,AG140,AH140,AI140,AJ140,AK140,AL140,AM140,AN140),"N/A")</f>
        <v/>
      </c>
      <c r="AP140">
        <f>IFERROR(AVERAGE(W140,X140,Y140,Z140)/2,"N/A")</f>
        <v/>
      </c>
    </row>
    <row r="141" ht="16.05" customHeight="1" s="37">
      <c r="A141" t="inlineStr">
        <is>
          <t>20603675551</t>
        </is>
      </c>
      <c r="B141" t="inlineStr">
        <is>
          <t xml:space="preserve">ASOCIACION DE PRODUCTORES AGROPECUARIOS MADRE SELVA - LACCO </t>
        </is>
      </c>
      <c r="C141" t="inlineStr">
        <is>
          <t>CUSCO</t>
        </is>
      </c>
      <c r="D141" t="inlineStr">
        <is>
          <t>CACAO</t>
        </is>
      </c>
      <c r="G141" t="inlineStr">
        <is>
          <t>NO</t>
        </is>
      </c>
      <c r="H141" t="inlineStr">
        <is>
          <t>nan</t>
        </is>
      </c>
      <c r="I141" t="inlineStr">
        <is>
          <t>nan</t>
        </is>
      </c>
      <c r="J141" t="inlineStr">
        <is>
          <t>ACTIVO</t>
        </is>
      </c>
      <c r="K141" t="inlineStr">
        <is>
          <t>nan</t>
        </is>
      </c>
      <c r="L141" t="n">
        <v>0</v>
      </c>
      <c r="M141">
        <f>IF(E141&gt;0,ROUND(L141/E141*100,1),0)</f>
        <v/>
      </c>
      <c r="N141" t="inlineStr">
        <is>
          <t>PENDIENTE</t>
        </is>
      </c>
      <c r="O141">
        <f>IF(H141="SI",1,0)*0.6+IF(I141="SI",1,0)*0.4</f>
        <v/>
      </c>
      <c r="P141" t="inlineStr">
        <is>
          <t>PENDIENTE</t>
        </is>
      </c>
      <c r="S141">
        <f>IFERROR(SCORECARDS!C141,"")</f>
        <v/>
      </c>
      <c r="T141">
        <f>IF(NOT(ISNUMBER(S141)),"—",IF(S141&lt;34,"🔴 Crítico",IF(S141&lt;67,"🟡 Vulnerable","🟢 Preparado")))</f>
        <v/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>
        <f>IFERROR(AVERAGE(AA141,AB141,AC141,AD141,AE141,AF141,AG141,AH141,AI141,AJ141,AK141,AL141,AM141,AN141),"N/A")</f>
        <v/>
      </c>
      <c r="AP141">
        <f>IFERROR(AVERAGE(W141,X141,Y141,Z141)/2,"N/A")</f>
        <v/>
      </c>
    </row>
    <row r="142" ht="16.05" customHeight="1" s="37">
      <c r="A142" t="inlineStr">
        <is>
          <t>20603676476</t>
        </is>
      </c>
      <c r="B142" t="inlineStr">
        <is>
          <t>ASOCIACION DE PRODUCTORES AGROPECUARIOS PONGO MAYNIQUE DE LA</t>
        </is>
      </c>
      <c r="C142" t="inlineStr">
        <is>
          <t>CUSCO</t>
        </is>
      </c>
      <c r="D142" t="inlineStr">
        <is>
          <t>CACAO</t>
        </is>
      </c>
      <c r="G142" t="inlineStr">
        <is>
          <t>NO</t>
        </is>
      </c>
      <c r="H142" t="inlineStr">
        <is>
          <t>nan</t>
        </is>
      </c>
      <c r="I142" t="inlineStr">
        <is>
          <t>nan</t>
        </is>
      </c>
      <c r="J142" t="inlineStr">
        <is>
          <t>ACTIVO</t>
        </is>
      </c>
      <c r="K142" t="inlineStr">
        <is>
          <t>nan</t>
        </is>
      </c>
      <c r="L142" t="n">
        <v>0</v>
      </c>
      <c r="M142">
        <f>IF(E142&gt;0,ROUND(L142/E142*100,1),0)</f>
        <v/>
      </c>
      <c r="N142" t="inlineStr">
        <is>
          <t>PENDIENTE</t>
        </is>
      </c>
      <c r="O142">
        <f>IF(H142="SI",1,0)*0.6+IF(I142="SI",1,0)*0.4</f>
        <v/>
      </c>
      <c r="P142" t="inlineStr">
        <is>
          <t>PENDIENTE</t>
        </is>
      </c>
      <c r="S142">
        <f>IFERROR(SCORECARDS!C142,"")</f>
        <v/>
      </c>
      <c r="T142">
        <f>IF(NOT(ISNUMBER(S142)),"—",IF(S142&lt;34,"🔴 Crítico",IF(S142&lt;67,"🟡 Vulnerable","🟢 Preparado")))</f>
        <v/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>
        <f>IFERROR(AVERAGE(AA142,AB142,AC142,AD142,AE142,AF142,AG142,AH142,AI142,AJ142,AK142,AL142,AM142,AN142),"N/A")</f>
        <v/>
      </c>
      <c r="AP142">
        <f>IFERROR(AVERAGE(W142,X142,Y142,Z142)/2,"N/A")</f>
        <v/>
      </c>
    </row>
    <row r="143" ht="16.05" customHeight="1" s="37">
      <c r="A143" t="inlineStr">
        <is>
          <t>20603820691</t>
        </is>
      </c>
      <c r="B143" t="inlineStr">
        <is>
          <t>COOPERATIVA AGRARIA DE SERVICIOS MULTIPLES CORDILLERA AZUL -</t>
        </is>
      </c>
      <c r="C143" t="inlineStr">
        <is>
          <t>SAN MARTIN</t>
        </is>
      </c>
      <c r="D143" t="inlineStr">
        <is>
          <t>CAFÉ</t>
        </is>
      </c>
      <c r="E143" t="n">
        <v>1201126.56</v>
      </c>
      <c r="F143" t="n">
        <v>8</v>
      </c>
      <c r="G143" t="inlineStr">
        <is>
          <t>SI</t>
        </is>
      </c>
      <c r="H143" t="inlineStr">
        <is>
          <t xml:space="preserve">UE </t>
        </is>
      </c>
      <c r="I143" t="inlineStr">
        <is>
          <t>FLO</t>
        </is>
      </c>
      <c r="J143" t="inlineStr">
        <is>
          <t>ACTIVO</t>
        </is>
      </c>
      <c r="K143" t="inlineStr">
        <is>
          <t>1</t>
        </is>
      </c>
      <c r="L143" t="n">
        <v>852880.4399999999</v>
      </c>
      <c r="M143">
        <f>IF(E143&gt;0,ROUND(L143/E143*100,1),0)</f>
        <v/>
      </c>
      <c r="N143" t="inlineStr">
        <is>
          <t>PENDIENTE</t>
        </is>
      </c>
      <c r="O143">
        <f>IF(H143="SI",1,0)*0.6+IF(I143="SI",1,0)*0.4</f>
        <v/>
      </c>
      <c r="P143" t="inlineStr">
        <is>
          <t>PENDIENTE</t>
        </is>
      </c>
      <c r="Q143" t="n">
        <v>381</v>
      </c>
      <c r="R143" t="n">
        <v>1143</v>
      </c>
      <c r="S143">
        <f>IFERROR(SCORECARDS!C143,"")</f>
        <v/>
      </c>
      <c r="T143">
        <f>IF(NOT(ISNUMBER(S143)),"—",IF(S143&lt;34,"🔴 Crítico",IF(S143&lt;67,"🟡 Vulnerable","🟢 Preparado")))</f>
        <v/>
      </c>
      <c r="U143" t="n">
        <v>1</v>
      </c>
      <c r="V143" t="inlineStr">
        <is>
          <t>Sin hallazgos OSCE / OEFA</t>
        </is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>
        <f>IFERROR(AVERAGE(AA143,AB143,AC143,AD143,AE143,AF143,AG143,AH143,AI143,AJ143,AK143,AL143,AM143,AN143),"N/A")</f>
        <v/>
      </c>
      <c r="AP143">
        <f>IFERROR(AVERAGE(W143,X143,Y143,Z143)/2,"N/A")</f>
        <v/>
      </c>
    </row>
    <row r="144" ht="16.05" customHeight="1" s="37">
      <c r="A144" t="inlineStr">
        <is>
          <t>20603829515</t>
        </is>
      </c>
      <c r="B144" t="inlineStr">
        <is>
          <t>ASOCIACION DE PRODUCTORES AGROPECUARIOS LOS NOGALES ALTO ITA</t>
        </is>
      </c>
      <c r="C144" t="inlineStr">
        <is>
          <t>CUSCO</t>
        </is>
      </c>
      <c r="D144" t="inlineStr">
        <is>
          <t>CACAO</t>
        </is>
      </c>
      <c r="G144" t="inlineStr">
        <is>
          <t>NO</t>
        </is>
      </c>
      <c r="H144" t="inlineStr">
        <is>
          <t>nan</t>
        </is>
      </c>
      <c r="I144" t="inlineStr">
        <is>
          <t>nan</t>
        </is>
      </c>
      <c r="J144" t="inlineStr">
        <is>
          <t>ACTIVO</t>
        </is>
      </c>
      <c r="K144" t="inlineStr">
        <is>
          <t>nan</t>
        </is>
      </c>
      <c r="L144" t="n">
        <v>0</v>
      </c>
      <c r="M144">
        <f>IF(E144&gt;0,ROUND(L144/E144*100,1),0)</f>
        <v/>
      </c>
      <c r="N144" t="inlineStr">
        <is>
          <t>PENDIENTE</t>
        </is>
      </c>
      <c r="O144">
        <f>IF(H144="SI",1,0)*0.6+IF(I144="SI",1,0)*0.4</f>
        <v/>
      </c>
      <c r="P144" t="inlineStr">
        <is>
          <t>PENDIENTE</t>
        </is>
      </c>
      <c r="S144">
        <f>IFERROR(SCORECARDS!C144,"")</f>
        <v/>
      </c>
      <c r="T144">
        <f>IF(NOT(ISNUMBER(S144)),"—",IF(S144&lt;34,"🔴 Crítico",IF(S144&lt;67,"🟡 Vulnerable","🟢 Preparado")))</f>
        <v/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>
        <f>IFERROR(AVERAGE(AA144,AB144,AC144,AD144,AE144,AF144,AG144,AH144,AI144,AJ144,AK144,AL144,AM144,AN144),"N/A")</f>
        <v/>
      </c>
      <c r="AP144">
        <f>IFERROR(AVERAGE(W144,X144,Y144,Z144)/2,"N/A")</f>
        <v/>
      </c>
    </row>
    <row r="145" ht="16.05" customHeight="1" s="37">
      <c r="A145" t="inlineStr">
        <is>
          <t>20603842511</t>
        </is>
      </c>
      <c r="B145" t="inlineStr">
        <is>
          <t>ASOCIACION DE PRODUCTORES AGROPECUARIOS RIQ´CHARI DE TINTINI</t>
        </is>
      </c>
      <c r="C145" t="inlineStr">
        <is>
          <t>CUSCO</t>
        </is>
      </c>
      <c r="D145" t="inlineStr">
        <is>
          <t>CACAO</t>
        </is>
      </c>
      <c r="G145" t="inlineStr">
        <is>
          <t>NO</t>
        </is>
      </c>
      <c r="H145" t="inlineStr">
        <is>
          <t>nan</t>
        </is>
      </c>
      <c r="I145" t="inlineStr">
        <is>
          <t>nan</t>
        </is>
      </c>
      <c r="J145" t="inlineStr">
        <is>
          <t>ACTIVO</t>
        </is>
      </c>
      <c r="K145" t="inlineStr">
        <is>
          <t>nan</t>
        </is>
      </c>
      <c r="L145" t="n">
        <v>0</v>
      </c>
      <c r="M145">
        <f>IF(E145&gt;0,ROUND(L145/E145*100,1),0)</f>
        <v/>
      </c>
      <c r="N145" t="inlineStr">
        <is>
          <t>PENDIENTE</t>
        </is>
      </c>
      <c r="O145">
        <f>IF(H145="SI",1,0)*0.6+IF(I145="SI",1,0)*0.4</f>
        <v/>
      </c>
      <c r="P145" t="inlineStr">
        <is>
          <t>PENDIENTE</t>
        </is>
      </c>
      <c r="S145">
        <f>IFERROR(SCORECARDS!C145,"")</f>
        <v/>
      </c>
      <c r="T145">
        <f>IF(NOT(ISNUMBER(S145)),"—",IF(S145&lt;34,"🔴 Crítico",IF(S145&lt;67,"🟡 Vulnerable","🟢 Preparado")))</f>
        <v/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>
        <f>IFERROR(AVERAGE(AA145,AB145,AC145,AD145,AE145,AF145,AG145,AH145,AI145,AJ145,AK145,AL145,AM145,AN145),"N/A")</f>
        <v/>
      </c>
      <c r="AP145">
        <f>IFERROR(AVERAGE(W145,X145,Y145,Z145)/2,"N/A")</f>
        <v/>
      </c>
    </row>
    <row r="146" ht="16.05" customHeight="1" s="37">
      <c r="A146" t="inlineStr">
        <is>
          <t>20603862369</t>
        </is>
      </c>
      <c r="B146" t="inlineStr">
        <is>
          <t>COOPERATIVA AGRARIA TROPICALS PRODUCTS</t>
        </is>
      </c>
      <c r="C146" t="inlineStr">
        <is>
          <t>JUNIN</t>
        </is>
      </c>
      <c r="D146" t="inlineStr">
        <is>
          <t>CAFÉ</t>
        </is>
      </c>
      <c r="E146" t="n">
        <v>332555.16</v>
      </c>
      <c r="F146" t="n">
        <v>2</v>
      </c>
      <c r="G146" t="inlineStr">
        <is>
          <t>SI</t>
        </is>
      </c>
      <c r="H146" t="inlineStr">
        <is>
          <t>251</t>
        </is>
      </c>
      <c r="I146" t="inlineStr">
        <is>
          <t>FLO</t>
        </is>
      </c>
      <c r="J146" t="inlineStr">
        <is>
          <t>ACTIVO</t>
        </is>
      </c>
      <c r="K146" t="inlineStr">
        <is>
          <t>0.75</t>
        </is>
      </c>
      <c r="L146" t="n">
        <v>332555.16</v>
      </c>
      <c r="M146">
        <f>IF(E146&gt;0,ROUND(L146/E146*100,1),0)</f>
        <v/>
      </c>
      <c r="N146" t="inlineStr">
        <is>
          <t>PENDIENTE</t>
        </is>
      </c>
      <c r="O146">
        <f>IF(H146="SI",1,0)*0.6+IF(I146="SI",1,0)*0.4</f>
        <v/>
      </c>
      <c r="P146" t="inlineStr">
        <is>
          <t>PENDIENTE</t>
        </is>
      </c>
      <c r="Q146" t="n">
        <v>203</v>
      </c>
      <c r="R146" t="n">
        <v>609</v>
      </c>
      <c r="S146">
        <f>IFERROR(SCORECARDS!C146,"")</f>
        <v/>
      </c>
      <c r="T146">
        <f>IF(NOT(ISNUMBER(S146)),"—",IF(S146&lt;34,"🔴 Crítico",IF(S146&lt;67,"🟡 Vulnerable","🟢 Preparado")))</f>
        <v/>
      </c>
      <c r="U146" t="n">
        <v>1</v>
      </c>
      <c r="V146" t="inlineStr">
        <is>
          <t>Sin hallazgos OSCE / OEFA</t>
        </is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>
        <f>IFERROR(AVERAGE(AA146,AB146,AC146,AD146,AE146,AF146,AG146,AH146,AI146,AJ146,AK146,AL146,AM146,AN146),"N/A")</f>
        <v/>
      </c>
      <c r="AP146">
        <f>IFERROR(AVERAGE(W146,X146,Y146,Z146)/2,"N/A")</f>
        <v/>
      </c>
    </row>
    <row r="147" ht="16.05" customHeight="1" s="37">
      <c r="A147" t="inlineStr">
        <is>
          <t>20604151954</t>
        </is>
      </c>
      <c r="B147" t="inlineStr">
        <is>
          <t>COOPERATIVA AGRARIA DE SERVICIOS MULTIPLES SUR ORIENTE - COO</t>
        </is>
      </c>
      <c r="C147" t="inlineStr">
        <is>
          <t>MADRE DE DIOS</t>
        </is>
      </c>
      <c r="D147" t="inlineStr">
        <is>
          <t>CACAO</t>
        </is>
      </c>
      <c r="E147" t="n">
        <v>543961.38</v>
      </c>
      <c r="F147" t="n">
        <v>5</v>
      </c>
      <c r="G147" t="inlineStr">
        <is>
          <t>SI</t>
        </is>
      </c>
      <c r="H147" t="inlineStr">
        <is>
          <t>nan</t>
        </is>
      </c>
      <c r="I147" t="inlineStr">
        <is>
          <t>nan</t>
        </is>
      </c>
      <c r="J147" t="inlineStr">
        <is>
          <t>ACTIVO</t>
        </is>
      </c>
      <c r="K147" t="inlineStr">
        <is>
          <t>nan</t>
        </is>
      </c>
      <c r="L147" t="n">
        <v>271980.69</v>
      </c>
      <c r="M147">
        <f>IF(E147&gt;0,ROUND(L147/E147*100,1),0)</f>
        <v/>
      </c>
      <c r="N147" t="inlineStr">
        <is>
          <t>PENDIENTE</t>
        </is>
      </c>
      <c r="O147">
        <f>IF(H147="SI",1,0)*0.6+IF(I147="SI",1,0)*0.4</f>
        <v/>
      </c>
      <c r="P147" t="inlineStr">
        <is>
          <t>PENDIENTE</t>
        </is>
      </c>
      <c r="S147">
        <f>IFERROR(SCORECARDS!C147,"")</f>
        <v/>
      </c>
      <c r="T147">
        <f>IF(NOT(ISNUMBER(S147)),"—",IF(S147&lt;34,"🔴 Crítico",IF(S147&lt;67,"🟡 Vulnerable","🟢 Preparado")))</f>
        <v/>
      </c>
      <c r="U147" t="n">
        <v>1</v>
      </c>
      <c r="V147" t="inlineStr">
        <is>
          <t>Sin hallazgos OSCE / OEFA</t>
        </is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>
        <f>IFERROR(AVERAGE(AA147,AB147,AC147,AD147,AE147,AF147,AG147,AH147,AI147,AJ147,AK147,AL147,AM147,AN147),"N/A")</f>
        <v/>
      </c>
      <c r="AP147">
        <f>IFERROR(AVERAGE(W147,X147,Y147,Z147)/2,"N/A")</f>
        <v/>
      </c>
    </row>
    <row r="148" ht="16.05" customHeight="1" s="37">
      <c r="A148" t="inlineStr">
        <is>
          <t>20604215600</t>
        </is>
      </c>
      <c r="B148" t="inlineStr">
        <is>
          <t xml:space="preserve">ASOCIACION DE PRODUCTORES DE CACAO ECOLOGICO DE DISTRITO DE </t>
        </is>
      </c>
      <c r="C148" t="inlineStr">
        <is>
          <t>CUSCO</t>
        </is>
      </c>
      <c r="D148" t="inlineStr">
        <is>
          <t>CACAO</t>
        </is>
      </c>
      <c r="G148" t="inlineStr">
        <is>
          <t>NO</t>
        </is>
      </c>
      <c r="H148" t="inlineStr">
        <is>
          <t>nan</t>
        </is>
      </c>
      <c r="I148" t="inlineStr">
        <is>
          <t>nan</t>
        </is>
      </c>
      <c r="J148" t="inlineStr">
        <is>
          <t>ACTIVO</t>
        </is>
      </c>
      <c r="K148" t="inlineStr">
        <is>
          <t>nan</t>
        </is>
      </c>
      <c r="L148" t="n">
        <v>0</v>
      </c>
      <c r="M148">
        <f>IF(E148&gt;0,ROUND(L148/E148*100,1),0)</f>
        <v/>
      </c>
      <c r="N148" t="inlineStr">
        <is>
          <t>PENDIENTE</t>
        </is>
      </c>
      <c r="O148">
        <f>IF(H148="SI",1,0)*0.6+IF(I148="SI",1,0)*0.4</f>
        <v/>
      </c>
      <c r="P148" t="inlineStr">
        <is>
          <t>PENDIENTE</t>
        </is>
      </c>
      <c r="S148">
        <f>IFERROR(SCORECARDS!C148,"")</f>
        <v/>
      </c>
      <c r="T148">
        <f>IF(NOT(ISNUMBER(S148)),"—",IF(S148&lt;34,"🔴 Crítico",IF(S148&lt;67,"🟡 Vulnerable","🟢 Preparado")))</f>
        <v/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>
        <f>IFERROR(AVERAGE(AA148,AB148,AC148,AD148,AE148,AF148,AG148,AH148,AI148,AJ148,AK148,AL148,AM148,AN148),"N/A")</f>
        <v/>
      </c>
      <c r="AP148">
        <f>IFERROR(AVERAGE(W148,X148,Y148,Z148)/2,"N/A")</f>
        <v/>
      </c>
    </row>
    <row r="149" ht="16.05" customHeight="1" s="37">
      <c r="A149" t="inlineStr">
        <is>
          <t>20604309728</t>
        </is>
      </c>
      <c r="B149" t="inlineStr">
        <is>
          <t>ASOCIACION DE PRODUCTORES CAFETALEROS AGROECOLOGICOS SAN JUA</t>
        </is>
      </c>
      <c r="C149" t="inlineStr">
        <is>
          <t>CAJAMARCA</t>
        </is>
      </c>
      <c r="D149" t="inlineStr">
        <is>
          <t>CAFÉ</t>
        </is>
      </c>
      <c r="E149" t="n">
        <v>7275.18</v>
      </c>
      <c r="F149" t="n">
        <v>1</v>
      </c>
      <c r="G149" t="inlineStr">
        <is>
          <t>SI</t>
        </is>
      </c>
      <c r="H149" t="inlineStr">
        <is>
          <t>SI</t>
        </is>
      </c>
      <c r="I149" t="inlineStr">
        <is>
          <t>SI</t>
        </is>
      </c>
      <c r="J149" t="inlineStr">
        <is>
          <t>ACTIVO</t>
        </is>
      </c>
      <c r="K149" t="inlineStr">
        <is>
          <t>nan</t>
        </is>
      </c>
      <c r="L149" t="n">
        <v>0</v>
      </c>
      <c r="M149">
        <f>IF(E149&gt;0,ROUND(L149/E149*100,1),0)</f>
        <v/>
      </c>
      <c r="N149" t="inlineStr">
        <is>
          <t>PENDIENTE</t>
        </is>
      </c>
      <c r="O149">
        <f>IF(H149="SI",1,0)*0.6+IF(I149="SI",1,0)*0.4</f>
        <v/>
      </c>
      <c r="P149" t="inlineStr">
        <is>
          <t>PENDIENTE</t>
        </is>
      </c>
      <c r="Q149" t="n">
        <v>305</v>
      </c>
      <c r="R149" t="n">
        <v>699</v>
      </c>
      <c r="S149">
        <f>IFERROR(SCORECARDS!C149,"")</f>
        <v/>
      </c>
      <c r="T149">
        <f>IF(NOT(ISNUMBER(S149)),"—",IF(S149&lt;34,"🔴 Crítico",IF(S149&lt;67,"🟡 Vulnerable","🟢 Preparado")))</f>
        <v/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>
        <f>IFERROR(AVERAGE(AA149,AB149,AC149,AD149,AE149,AF149,AG149,AH149,AI149,AJ149,AK149,AL149,AM149,AN149),"N/A")</f>
        <v/>
      </c>
      <c r="AP149">
        <f>IFERROR(AVERAGE(W149,X149,Y149,Z149)/2,"N/A")</f>
        <v/>
      </c>
    </row>
    <row r="150" ht="16.05" customHeight="1" s="37">
      <c r="A150" t="inlineStr">
        <is>
          <t>20604401187</t>
        </is>
      </c>
      <c r="B150" t="inlineStr">
        <is>
          <t>ORGANIZACION ZONAL SAN MIGUEL DEL FAIQUE</t>
        </is>
      </c>
      <c r="C150" t="inlineStr">
        <is>
          <t>PIURA</t>
        </is>
      </c>
      <c r="D150" t="inlineStr">
        <is>
          <t>CAFÉ</t>
        </is>
      </c>
      <c r="G150" t="inlineStr">
        <is>
          <t>NO</t>
        </is>
      </c>
      <c r="H150" t="inlineStr">
        <is>
          <t>nan</t>
        </is>
      </c>
      <c r="I150" t="inlineStr">
        <is>
          <t>nan</t>
        </is>
      </c>
      <c r="J150" t="inlineStr">
        <is>
          <t>BAJA DE OFICIO</t>
        </is>
      </c>
      <c r="K150" t="inlineStr">
        <is>
          <t>nan</t>
        </is>
      </c>
      <c r="L150" t="n">
        <v>0</v>
      </c>
      <c r="M150">
        <f>IF(E150&gt;0,ROUND(L150/E150*100,1),0)</f>
        <v/>
      </c>
      <c r="N150" t="inlineStr">
        <is>
          <t>PENDIENTE</t>
        </is>
      </c>
      <c r="O150">
        <f>IF(H150="SI",1,0)*0.6+IF(I150="SI",1,0)*0.4</f>
        <v/>
      </c>
      <c r="P150" t="inlineStr">
        <is>
          <t>PENDIENTE</t>
        </is>
      </c>
      <c r="S150">
        <f>IFERROR(SCORECARDS!C150,"")</f>
        <v/>
      </c>
      <c r="T150">
        <f>IF(NOT(ISNUMBER(S150)),"—",IF(S150&lt;34,"🔴 Crítico",IF(S150&lt;67,"🟡 Vulnerable","🟢 Preparado")))</f>
        <v/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>
        <f>IFERROR(AVERAGE(AA150,AB150,AC150,AD150,AE150,AF150,AG150,AH150,AI150,AJ150,AK150,AL150,AM150,AN150),"N/A")</f>
        <v/>
      </c>
      <c r="AP150">
        <f>IFERROR(AVERAGE(W150,X150,Y150,Z150)/2,"N/A")</f>
        <v/>
      </c>
    </row>
    <row r="151" ht="16.05" customHeight="1" s="37">
      <c r="A151" t="inlineStr">
        <is>
          <t>20604705411</t>
        </is>
      </c>
      <c r="B151" t="inlineStr">
        <is>
          <t>COOPERATIVA AGRARIA CRUZ DE YANAHUANCA</t>
        </is>
      </c>
      <c r="C151" t="inlineStr">
        <is>
          <t>LAMBAYEQUE</t>
        </is>
      </c>
      <c r="D151" t="inlineStr">
        <is>
          <t>CAFÉ</t>
        </is>
      </c>
      <c r="G151" t="inlineStr">
        <is>
          <t>NO</t>
        </is>
      </c>
      <c r="H151" t="inlineStr">
        <is>
          <t>nan</t>
        </is>
      </c>
      <c r="I151" t="inlineStr">
        <is>
          <t>nan</t>
        </is>
      </c>
      <c r="J151" t="inlineStr">
        <is>
          <t>ACTIVO</t>
        </is>
      </c>
      <c r="K151" t="inlineStr">
        <is>
          <t>nan</t>
        </is>
      </c>
      <c r="L151" t="n">
        <v>0</v>
      </c>
      <c r="M151">
        <f>IF(E151&gt;0,ROUND(L151/E151*100,1),0)</f>
        <v/>
      </c>
      <c r="N151" t="inlineStr">
        <is>
          <t>PENDIENTE</t>
        </is>
      </c>
      <c r="O151">
        <f>IF(H151="SI",1,0)*0.6+IF(I151="SI",1,0)*0.4</f>
        <v/>
      </c>
      <c r="P151" t="inlineStr">
        <is>
          <t>PENDIENTE</t>
        </is>
      </c>
      <c r="S151">
        <f>IFERROR(SCORECARDS!C151,"")</f>
        <v/>
      </c>
      <c r="T151">
        <f>IF(NOT(ISNUMBER(S151)),"—",IF(S151&lt;34,"🔴 Crítico",IF(S151&lt;67,"🟡 Vulnerable","🟢 Preparado")))</f>
        <v/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>
        <f>IFERROR(AVERAGE(AA151,AB151,AC151,AD151,AE151,AF151,AG151,AH151,AI151,AJ151,AK151,AL151,AM151,AN151),"N/A")</f>
        <v/>
      </c>
      <c r="AP151">
        <f>IFERROR(AVERAGE(W151,X151,Y151,Z151)/2,"N/A")</f>
        <v/>
      </c>
    </row>
    <row r="152" ht="16.05" customHeight="1" s="37">
      <c r="A152" t="inlineStr">
        <is>
          <t>20604988200</t>
        </is>
      </c>
      <c r="B152" t="inlineStr">
        <is>
          <t>ASOCIACION DE PRODUCTORES DE CACAO CCAPAQKILLA</t>
        </is>
      </c>
      <c r="C152" t="inlineStr">
        <is>
          <t>CUSCO</t>
        </is>
      </c>
      <c r="D152" t="inlineStr">
        <is>
          <t>CACAO</t>
        </is>
      </c>
      <c r="G152" t="inlineStr">
        <is>
          <t>NO</t>
        </is>
      </c>
      <c r="H152" t="inlineStr">
        <is>
          <t>nan</t>
        </is>
      </c>
      <c r="I152" t="inlineStr">
        <is>
          <t>nan</t>
        </is>
      </c>
      <c r="J152" t="inlineStr">
        <is>
          <t>ACTIVO</t>
        </is>
      </c>
      <c r="K152" t="inlineStr">
        <is>
          <t>nan</t>
        </is>
      </c>
      <c r="L152" t="n">
        <v>0</v>
      </c>
      <c r="M152">
        <f>IF(E152&gt;0,ROUND(L152/E152*100,1),0)</f>
        <v/>
      </c>
      <c r="N152" t="inlineStr">
        <is>
          <t>PENDIENTE</t>
        </is>
      </c>
      <c r="O152">
        <f>IF(H152="SI",1,0)*0.6+IF(I152="SI",1,0)*0.4</f>
        <v/>
      </c>
      <c r="P152" t="inlineStr">
        <is>
          <t>PENDIENTE</t>
        </is>
      </c>
      <c r="S152">
        <f>IFERROR(SCORECARDS!C152,"")</f>
        <v/>
      </c>
      <c r="T152">
        <f>IF(NOT(ISNUMBER(S152)),"—",IF(S152&lt;34,"🔴 Crítico",IF(S152&lt;67,"🟡 Vulnerable","🟢 Preparado")))</f>
        <v/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>
        <f>IFERROR(AVERAGE(AA152,AB152,AC152,AD152,AE152,AF152,AG152,AH152,AI152,AJ152,AK152,AL152,AM152,AN152),"N/A")</f>
        <v/>
      </c>
      <c r="AP152">
        <f>IFERROR(AVERAGE(W152,X152,Y152,Z152)/2,"N/A")</f>
        <v/>
      </c>
    </row>
    <row r="153" ht="16.05" customHeight="1" s="37">
      <c r="A153" t="inlineStr">
        <is>
          <t>20605228489</t>
        </is>
      </c>
      <c r="B153" t="inlineStr">
        <is>
          <t xml:space="preserve">ASOCIACION AGROINDUSTRIAL DE MUJERES PRODUCTORAS DE CACAO Y </t>
        </is>
      </c>
      <c r="C153" t="inlineStr">
        <is>
          <t>CUSCO</t>
        </is>
      </c>
      <c r="D153" t="inlineStr">
        <is>
          <t>CACAO</t>
        </is>
      </c>
      <c r="G153" t="inlineStr">
        <is>
          <t>NO</t>
        </is>
      </c>
      <c r="H153" t="inlineStr">
        <is>
          <t>nan</t>
        </is>
      </c>
      <c r="I153" t="inlineStr">
        <is>
          <t>nan</t>
        </is>
      </c>
      <c r="J153" t="inlineStr">
        <is>
          <t>ACTIVO</t>
        </is>
      </c>
      <c r="K153" t="inlineStr">
        <is>
          <t>nan</t>
        </is>
      </c>
      <c r="L153" t="n">
        <v>0</v>
      </c>
      <c r="M153">
        <f>IF(E153&gt;0,ROUND(L153/E153*100,1),0)</f>
        <v/>
      </c>
      <c r="N153" t="inlineStr">
        <is>
          <t>PENDIENTE</t>
        </is>
      </c>
      <c r="O153">
        <f>IF(H153="SI",1,0)*0.6+IF(I153="SI",1,0)*0.4</f>
        <v/>
      </c>
      <c r="P153" t="inlineStr">
        <is>
          <t>PENDIENTE</t>
        </is>
      </c>
      <c r="S153">
        <f>IFERROR(SCORECARDS!C153,"")</f>
        <v/>
      </c>
      <c r="T153">
        <f>IF(NOT(ISNUMBER(S153)),"—",IF(S153&lt;34,"🔴 Crítico",IF(S153&lt;67,"🟡 Vulnerable","🟢 Preparado")))</f>
        <v/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>
        <f>IFERROR(AVERAGE(AA153,AB153,AC153,AD153,AE153,AF153,AG153,AH153,AI153,AJ153,AK153,AL153,AM153,AN153),"N/A")</f>
        <v/>
      </c>
      <c r="AP153">
        <f>IFERROR(AVERAGE(W153,X153,Y153,Z153)/2,"N/A")</f>
        <v/>
      </c>
    </row>
    <row r="154" ht="16.05" customHeight="1" s="37">
      <c r="A154" t="inlineStr">
        <is>
          <t>20605500430</t>
        </is>
      </c>
      <c r="B154" t="inlineStr">
        <is>
          <t>COOPERATIVA AGRARIA DE PRODUCTORES ECOLOGICOS LOS CHANKAS VA</t>
        </is>
      </c>
      <c r="C154" t="inlineStr">
        <is>
          <t>JUNIN</t>
        </is>
      </c>
      <c r="D154" t="inlineStr">
        <is>
          <t>CAFÉ</t>
        </is>
      </c>
      <c r="E154" t="n">
        <v>147669.48</v>
      </c>
      <c r="F154" t="n">
        <v>1</v>
      </c>
      <c r="G154" t="inlineStr">
        <is>
          <t>SI</t>
        </is>
      </c>
      <c r="H154" t="inlineStr">
        <is>
          <t>nan</t>
        </is>
      </c>
      <c r="I154" t="inlineStr">
        <is>
          <t>FLO</t>
        </is>
      </c>
      <c r="J154" t="inlineStr">
        <is>
          <t>ACTIVO</t>
        </is>
      </c>
      <c r="K154" t="inlineStr">
        <is>
          <t>0.75</t>
        </is>
      </c>
      <c r="L154" t="n">
        <v>0</v>
      </c>
      <c r="M154">
        <f>IF(E154&gt;0,ROUND(L154/E154*100,1),0)</f>
        <v/>
      </c>
      <c r="N154" t="inlineStr">
        <is>
          <t>PENDIENTE</t>
        </is>
      </c>
      <c r="O154">
        <f>IF(H154="SI",1,0)*0.6+IF(I154="SI",1,0)*0.4</f>
        <v/>
      </c>
      <c r="P154" t="inlineStr">
        <is>
          <t>PENDIENTE</t>
        </is>
      </c>
      <c r="Q154" t="n">
        <v>257</v>
      </c>
      <c r="R154" t="n">
        <v>771</v>
      </c>
      <c r="S154">
        <f>IFERROR(SCORECARDS!C154,"")</f>
        <v/>
      </c>
      <c r="T154">
        <f>IF(NOT(ISNUMBER(S154)),"—",IF(S154&lt;34,"🔴 Crítico",IF(S154&lt;67,"🟡 Vulnerable","🟢 Preparado")))</f>
        <v/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>
        <f>IFERROR(AVERAGE(AA154,AB154,AC154,AD154,AE154,AF154,AG154,AH154,AI154,AJ154,AK154,AL154,AM154,AN154),"N/A")</f>
        <v/>
      </c>
      <c r="AP154">
        <f>IFERROR(AVERAGE(W154,X154,Y154,Z154)/2,"N/A")</f>
        <v/>
      </c>
    </row>
    <row r="155" ht="16.05" customHeight="1" s="37">
      <c r="A155" t="inlineStr">
        <is>
          <t>20605688170</t>
        </is>
      </c>
      <c r="B155" t="inlineStr">
        <is>
          <t>COOPERATIVA AGRARIA ALEXANDER VON HUMBOLDT LTDA</t>
        </is>
      </c>
      <c r="C155" t="inlineStr">
        <is>
          <t>UCAYALI</t>
        </is>
      </c>
      <c r="D155" t="inlineStr">
        <is>
          <t>CACAO</t>
        </is>
      </c>
      <c r="G155" t="inlineStr">
        <is>
          <t>NO</t>
        </is>
      </c>
      <c r="H155" t="inlineStr">
        <is>
          <t>nan</t>
        </is>
      </c>
      <c r="I155" t="inlineStr">
        <is>
          <t>nan</t>
        </is>
      </c>
      <c r="J155" t="inlineStr">
        <is>
          <t>ACTIVO</t>
        </is>
      </c>
      <c r="K155" t="inlineStr">
        <is>
          <t>nan</t>
        </is>
      </c>
      <c r="L155" t="n">
        <v>0</v>
      </c>
      <c r="M155">
        <f>IF(E155&gt;0,ROUND(L155/E155*100,1),0)</f>
        <v/>
      </c>
      <c r="N155" t="inlineStr">
        <is>
          <t>PENDIENTE</t>
        </is>
      </c>
      <c r="O155">
        <f>IF(H155="SI",1,0)*0.6+IF(I155="SI",1,0)*0.4</f>
        <v/>
      </c>
      <c r="P155" t="inlineStr">
        <is>
          <t>PENDIENTE</t>
        </is>
      </c>
      <c r="S155">
        <f>IFERROR(SCORECARDS!C155,"")</f>
        <v/>
      </c>
      <c r="T155">
        <f>IF(NOT(ISNUMBER(S155)),"—",IF(S155&lt;34,"🔴 Crítico",IF(S155&lt;67,"🟡 Vulnerable","🟢 Preparado")))</f>
        <v/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>
        <f>IFERROR(AVERAGE(AA155,AB155,AC155,AD155,AE155,AF155,AG155,AH155,AI155,AJ155,AK155,AL155,AM155,AN155),"N/A")</f>
        <v/>
      </c>
      <c r="AP155">
        <f>IFERROR(AVERAGE(W155,X155,Y155,Z155)/2,"N/A")</f>
        <v/>
      </c>
    </row>
    <row r="156" ht="16.05" customHeight="1" s="37">
      <c r="A156" t="inlineStr">
        <is>
          <t>20606041382</t>
        </is>
      </c>
      <c r="B156" t="inlineStr">
        <is>
          <t>ASOCIACION AROMA DE MUJER LLAQUE</t>
        </is>
      </c>
      <c r="C156" t="inlineStr">
        <is>
          <t>LAMBAYEQUE</t>
        </is>
      </c>
      <c r="D156" t="inlineStr">
        <is>
          <t>CAFÉ</t>
        </is>
      </c>
      <c r="G156" t="inlineStr">
        <is>
          <t>NO</t>
        </is>
      </c>
      <c r="H156" t="inlineStr">
        <is>
          <t>nan</t>
        </is>
      </c>
      <c r="I156" t="inlineStr">
        <is>
          <t>nan</t>
        </is>
      </c>
      <c r="J156" t="inlineStr">
        <is>
          <t>BAJA DE OFICIO</t>
        </is>
      </c>
      <c r="K156" t="inlineStr">
        <is>
          <t>nan</t>
        </is>
      </c>
      <c r="L156" t="n">
        <v>0</v>
      </c>
      <c r="M156">
        <f>IF(E156&gt;0,ROUND(L156/E156*100,1),0)</f>
        <v/>
      </c>
      <c r="N156" t="inlineStr">
        <is>
          <t>PENDIENTE</t>
        </is>
      </c>
      <c r="O156">
        <f>IF(H156="SI",1,0)*0.6+IF(I156="SI",1,0)*0.4</f>
        <v/>
      </c>
      <c r="P156" t="inlineStr">
        <is>
          <t>PENDIENTE</t>
        </is>
      </c>
      <c r="S156">
        <f>IFERROR(SCORECARDS!C156,"")</f>
        <v/>
      </c>
      <c r="T156">
        <f>IF(NOT(ISNUMBER(S156)),"—",IF(S156&lt;34,"🔴 Crítico",IF(S156&lt;67,"🟡 Vulnerable","🟢 Preparado")))</f>
        <v/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>
        <f>IFERROR(AVERAGE(AA156,AB156,AC156,AD156,AE156,AF156,AG156,AH156,AI156,AJ156,AK156,AL156,AM156,AN156),"N/A")</f>
        <v/>
      </c>
      <c r="AP156">
        <f>IFERROR(AVERAGE(W156,X156,Y156,Z156)/2,"N/A")</f>
        <v/>
      </c>
    </row>
    <row r="157" ht="16.05" customHeight="1" s="37">
      <c r="A157" t="inlineStr">
        <is>
          <t>20606451122</t>
        </is>
      </c>
      <c r="B157" t="inlineStr">
        <is>
          <t>ASOCIACIÓN DE PRODUCTORES CERRO BLANCO</t>
        </is>
      </c>
      <c r="C157" t="inlineStr">
        <is>
          <t>SAN MARTIN</t>
        </is>
      </c>
      <c r="D157" t="inlineStr">
        <is>
          <t>CAFÉ</t>
        </is>
      </c>
      <c r="E157" t="n">
        <v>940783.3199999999</v>
      </c>
      <c r="F157" t="n">
        <v>7</v>
      </c>
      <c r="G157" t="inlineStr">
        <is>
          <t>SI</t>
        </is>
      </c>
      <c r="H157" t="inlineStr">
        <is>
          <t xml:space="preserve">Si </t>
        </is>
      </c>
      <c r="I157" t="inlineStr">
        <is>
          <t xml:space="preserve">Si </t>
        </is>
      </c>
      <c r="J157" t="inlineStr">
        <is>
          <t>ACTIVO</t>
        </is>
      </c>
      <c r="K157" t="inlineStr">
        <is>
          <t>0.7</t>
        </is>
      </c>
      <c r="L157" t="n">
        <v>76135.47</v>
      </c>
      <c r="M157">
        <f>IF(E157&gt;0,ROUND(L157/E157*100,1),0)</f>
        <v/>
      </c>
      <c r="N157" t="inlineStr">
        <is>
          <t>PENDIENTE</t>
        </is>
      </c>
      <c r="O157">
        <f>IF(H157="SI",1,0)*0.6+IF(I157="SI",1,0)*0.4</f>
        <v/>
      </c>
      <c r="P157" t="inlineStr">
        <is>
          <t>PENDIENTE</t>
        </is>
      </c>
      <c r="Q157" t="n">
        <v>187</v>
      </c>
      <c r="R157" t="n">
        <v>600</v>
      </c>
      <c r="S157">
        <f>IFERROR(SCORECARDS!C157,"")</f>
        <v/>
      </c>
      <c r="T157">
        <f>IF(NOT(ISNUMBER(S157)),"—",IF(S157&lt;34,"🔴 Crítico",IF(S157&lt;67,"🟡 Vulnerable","🟢 Preparado")))</f>
        <v/>
      </c>
      <c r="U157" t="n">
        <v>1</v>
      </c>
      <c r="V157" t="inlineStr">
        <is>
          <t>Sin hallazgos OSCE / OEFA</t>
        </is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>
        <f>IFERROR(AVERAGE(AA157,AB157,AC157,AD157,AE157,AF157,AG157,AH157,AI157,AJ157,AK157,AL157,AM157,AN157),"N/A")</f>
        <v/>
      </c>
      <c r="AP157">
        <f>IFERROR(AVERAGE(W157,X157,Y157,Z157)/2,"N/A")</f>
        <v/>
      </c>
    </row>
    <row r="158" ht="16.05" customHeight="1" s="37">
      <c r="A158" t="inlineStr">
        <is>
          <t>20606485281</t>
        </is>
      </c>
      <c r="B158" t="inlineStr">
        <is>
          <t>COOPERATIVA AGROINDUSTRIAL DE LA GRAN NACION ASHANINKA</t>
        </is>
      </c>
      <c r="C158" t="inlineStr">
        <is>
          <t>JUNIN</t>
        </is>
      </c>
      <c r="G158" t="inlineStr">
        <is>
          <t>NO</t>
        </is>
      </c>
      <c r="H158" t="inlineStr">
        <is>
          <t>nan</t>
        </is>
      </c>
      <c r="I158" t="inlineStr">
        <is>
          <t>nan</t>
        </is>
      </c>
      <c r="J158" t="inlineStr">
        <is>
          <t>ACTIVO</t>
        </is>
      </c>
      <c r="K158" t="inlineStr">
        <is>
          <t>nan</t>
        </is>
      </c>
      <c r="L158" t="n">
        <v>0</v>
      </c>
      <c r="M158">
        <f>IF(E158&gt;0,ROUND(L158/E158*100,1),0)</f>
        <v/>
      </c>
      <c r="N158" t="inlineStr">
        <is>
          <t>PENDIENTE</t>
        </is>
      </c>
      <c r="O158">
        <f>IF(H158="SI",1,0)*0.6+IF(I158="SI",1,0)*0.4</f>
        <v/>
      </c>
      <c r="P158" t="inlineStr">
        <is>
          <t>PENDIENTE</t>
        </is>
      </c>
      <c r="S158">
        <f>IFERROR(SCORECARDS!C158,"")</f>
        <v/>
      </c>
      <c r="T158">
        <f>IF(NOT(ISNUMBER(S158)),"—",IF(S158&lt;34,"🔴 Crítico",IF(S158&lt;67,"🟡 Vulnerable","🟢 Preparado")))</f>
        <v/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>
        <f>IFERROR(AVERAGE(AA158,AB158,AC158,AD158,AE158,AF158,AG158,AH158,AI158,AJ158,AK158,AL158,AM158,AN158),"N/A")</f>
        <v/>
      </c>
      <c r="AP158">
        <f>IFERROR(AVERAGE(W158,X158,Y158,Z158)/2,"N/A")</f>
        <v/>
      </c>
    </row>
    <row r="159" ht="16.05" customHeight="1" s="37">
      <c r="A159" t="inlineStr">
        <is>
          <t>20606556331</t>
        </is>
      </c>
      <c r="B159" t="inlineStr">
        <is>
          <t>ASOCIACIÓN ABISEO SAN MARTIN - ASABISAM</t>
        </is>
      </c>
      <c r="C159" t="inlineStr">
        <is>
          <t>SAN MARTIN</t>
        </is>
      </c>
      <c r="D159" t="inlineStr">
        <is>
          <t>CACAO</t>
        </is>
      </c>
      <c r="G159" t="inlineStr">
        <is>
          <t>NO</t>
        </is>
      </c>
      <c r="H159" t="inlineStr">
        <is>
          <t>nan</t>
        </is>
      </c>
      <c r="I159" t="inlineStr">
        <is>
          <t>nan</t>
        </is>
      </c>
      <c r="J159" t="inlineStr">
        <is>
          <t>ACTIVO</t>
        </is>
      </c>
      <c r="K159" t="inlineStr">
        <is>
          <t>nan</t>
        </is>
      </c>
      <c r="L159" t="n">
        <v>0</v>
      </c>
      <c r="M159">
        <f>IF(E159&gt;0,ROUND(L159/E159*100,1),0)</f>
        <v/>
      </c>
      <c r="N159" t="inlineStr">
        <is>
          <t>PENDIENTE</t>
        </is>
      </c>
      <c r="O159">
        <f>IF(H159="SI",1,0)*0.6+IF(I159="SI",1,0)*0.4</f>
        <v/>
      </c>
      <c r="P159" t="inlineStr">
        <is>
          <t>PENDIENTE</t>
        </is>
      </c>
      <c r="S159">
        <f>IFERROR(SCORECARDS!C159,"")</f>
        <v/>
      </c>
      <c r="T159">
        <f>IF(NOT(ISNUMBER(S159)),"—",IF(S159&lt;34,"🔴 Crítico",IF(S159&lt;67,"🟡 Vulnerable","🟢 Preparado")))</f>
        <v/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>
        <f>IFERROR(AVERAGE(AA159,AB159,AC159,AD159,AE159,AF159,AG159,AH159,AI159,AJ159,AK159,AL159,AM159,AN159),"N/A")</f>
        <v/>
      </c>
      <c r="AP159">
        <f>IFERROR(AVERAGE(W159,X159,Y159,Z159)/2,"N/A")</f>
        <v/>
      </c>
    </row>
    <row r="160" ht="16.05" customHeight="1" s="37">
      <c r="A160" t="inlineStr">
        <is>
          <t>20606717475</t>
        </is>
      </c>
      <c r="B160" t="inlineStr">
        <is>
          <t>ASOCIACION DE PEQUEÑOS PRODUCTORES AGROPECUARIOS ULLMA</t>
        </is>
      </c>
      <c r="C160" t="inlineStr">
        <is>
          <t>PIURA</t>
        </is>
      </c>
      <c r="D160" t="inlineStr">
        <is>
          <t>CAFÉ</t>
        </is>
      </c>
      <c r="G160" t="inlineStr">
        <is>
          <t>NO</t>
        </is>
      </c>
      <c r="H160" t="inlineStr">
        <is>
          <t>nan</t>
        </is>
      </c>
      <c r="I160" t="inlineStr">
        <is>
          <t>nan</t>
        </is>
      </c>
      <c r="J160" t="inlineStr">
        <is>
          <t>BAJA PROV. POR OFICIO</t>
        </is>
      </c>
      <c r="K160" t="inlineStr">
        <is>
          <t>nan</t>
        </is>
      </c>
      <c r="L160" t="n">
        <v>0</v>
      </c>
      <c r="M160">
        <f>IF(E160&gt;0,ROUND(L160/E160*100,1),0)</f>
        <v/>
      </c>
      <c r="N160" t="inlineStr">
        <is>
          <t>PENDIENTE</t>
        </is>
      </c>
      <c r="O160">
        <f>IF(H160="SI",1,0)*0.6+IF(I160="SI",1,0)*0.4</f>
        <v/>
      </c>
      <c r="P160" t="inlineStr">
        <is>
          <t>PENDIENTE</t>
        </is>
      </c>
      <c r="S160">
        <f>IFERROR(SCORECARDS!C160,"")</f>
        <v/>
      </c>
      <c r="T160">
        <f>IF(NOT(ISNUMBER(S160)),"—",IF(S160&lt;34,"🔴 Crítico",IF(S160&lt;67,"🟡 Vulnerable","🟢 Preparado")))</f>
        <v/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>
        <f>IFERROR(AVERAGE(AA160,AB160,AC160,AD160,AE160,AF160,AG160,AH160,AI160,AJ160,AK160,AL160,AM160,AN160),"N/A")</f>
        <v/>
      </c>
      <c r="AP160">
        <f>IFERROR(AVERAGE(W160,X160,Y160,Z160)/2,"N/A")</f>
        <v/>
      </c>
    </row>
    <row r="161" ht="16.05" customHeight="1" s="37">
      <c r="A161" t="inlineStr">
        <is>
          <t>20607265624</t>
        </is>
      </c>
      <c r="B161" t="inlineStr">
        <is>
          <t>ASOCIACION DE PEQUEÑOS PRODUCTORES AGROPECUARIOS PENACHI-KER</t>
        </is>
      </c>
      <c r="C161" t="inlineStr">
        <is>
          <t>LAMBAYEQUE</t>
        </is>
      </c>
      <c r="D161" t="inlineStr">
        <is>
          <t>CAFÉ</t>
        </is>
      </c>
      <c r="G161" t="inlineStr">
        <is>
          <t>NO</t>
        </is>
      </c>
      <c r="H161" t="inlineStr">
        <is>
          <t>nan</t>
        </is>
      </c>
      <c r="I161" t="inlineStr">
        <is>
          <t>nan</t>
        </is>
      </c>
      <c r="J161" t="inlineStr">
        <is>
          <t>ACTIVO</t>
        </is>
      </c>
      <c r="K161" t="inlineStr">
        <is>
          <t>nan</t>
        </is>
      </c>
      <c r="L161" t="n">
        <v>0</v>
      </c>
      <c r="M161">
        <f>IF(E161&gt;0,ROUND(L161/E161*100,1),0)</f>
        <v/>
      </c>
      <c r="N161" t="inlineStr">
        <is>
          <t>PENDIENTE</t>
        </is>
      </c>
      <c r="O161">
        <f>IF(H161="SI",1,0)*0.6+IF(I161="SI",1,0)*0.4</f>
        <v/>
      </c>
      <c r="P161" t="inlineStr">
        <is>
          <t>PENDIENTE</t>
        </is>
      </c>
      <c r="S161">
        <f>IFERROR(SCORECARDS!C161,"")</f>
        <v/>
      </c>
      <c r="T161">
        <f>IF(NOT(ISNUMBER(S161)),"—",IF(S161&lt;34,"🔴 Crítico",IF(S161&lt;67,"🟡 Vulnerable","🟢 Preparado")))</f>
        <v/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>
        <f>IFERROR(AVERAGE(AA161,AB161,AC161,AD161,AE161,AF161,AG161,AH161,AI161,AJ161,AK161,AL161,AM161,AN161),"N/A")</f>
        <v/>
      </c>
      <c r="AP161">
        <f>IFERROR(AVERAGE(W161,X161,Y161,Z161)/2,"N/A")</f>
        <v/>
      </c>
    </row>
    <row r="162" ht="16.05" customHeight="1" s="37">
      <c r="A162" t="inlineStr">
        <is>
          <t>20607382604</t>
        </is>
      </c>
      <c r="B162" t="inlineStr">
        <is>
          <t>ASOCIACION DE PEQUEÑOS PRODUCTORES AGROPECUARIOS SAN LORENZO</t>
        </is>
      </c>
      <c r="C162" t="inlineStr">
        <is>
          <t>PIURA</t>
        </is>
      </c>
      <c r="D162" t="inlineStr">
        <is>
          <t>CAFÉ</t>
        </is>
      </c>
      <c r="G162" t="inlineStr">
        <is>
          <t>NO</t>
        </is>
      </c>
      <c r="H162" t="inlineStr">
        <is>
          <t>nan</t>
        </is>
      </c>
      <c r="I162" t="inlineStr">
        <is>
          <t>nan</t>
        </is>
      </c>
      <c r="J162" t="inlineStr">
        <is>
          <t>ACTIVO</t>
        </is>
      </c>
      <c r="K162" t="inlineStr">
        <is>
          <t>nan</t>
        </is>
      </c>
      <c r="L162" t="n">
        <v>0</v>
      </c>
      <c r="M162">
        <f>IF(E162&gt;0,ROUND(L162/E162*100,1),0)</f>
        <v/>
      </c>
      <c r="N162" t="inlineStr">
        <is>
          <t>PENDIENTE</t>
        </is>
      </c>
      <c r="O162">
        <f>IF(H162="SI",1,0)*0.6+IF(I162="SI",1,0)*0.4</f>
        <v/>
      </c>
      <c r="P162" t="inlineStr">
        <is>
          <t>PENDIENTE</t>
        </is>
      </c>
      <c r="S162">
        <f>IFERROR(SCORECARDS!C162,"")</f>
        <v/>
      </c>
      <c r="T162">
        <f>IF(NOT(ISNUMBER(S162)),"—",IF(S162&lt;34,"🔴 Crítico",IF(S162&lt;67,"🟡 Vulnerable","🟢 Preparado")))</f>
        <v/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>
        <f>IFERROR(AVERAGE(AA162,AB162,AC162,AD162,AE162,AF162,AG162,AH162,AI162,AJ162,AK162,AL162,AM162,AN162),"N/A")</f>
        <v/>
      </c>
      <c r="AP162">
        <f>IFERROR(AVERAGE(W162,X162,Y162,Z162)/2,"N/A")</f>
        <v/>
      </c>
    </row>
    <row r="163" ht="16.05" customHeight="1" s="37">
      <c r="A163" t="inlineStr">
        <is>
          <t>20607536016</t>
        </is>
      </c>
      <c r="B163" t="inlineStr">
        <is>
          <t>COOPERATIVA AGRARIA COOPAGRO LTDA - COOPERATIVA COOPAGRO</t>
        </is>
      </c>
      <c r="C163" t="inlineStr">
        <is>
          <t>CAJAMARCA</t>
        </is>
      </c>
      <c r="D163" t="inlineStr">
        <is>
          <t>CAFÉ</t>
        </is>
      </c>
      <c r="E163" t="n">
        <v>3002219.02</v>
      </c>
      <c r="F163" t="n">
        <v>19</v>
      </c>
      <c r="G163" t="inlineStr">
        <is>
          <t>SI</t>
        </is>
      </c>
      <c r="H163" t="inlineStr">
        <is>
          <t>nan</t>
        </is>
      </c>
      <c r="I163" t="inlineStr">
        <is>
          <t>nan</t>
        </is>
      </c>
      <c r="J163" t="inlineStr">
        <is>
          <t>ACTIVO</t>
        </is>
      </c>
      <c r="K163" t="inlineStr">
        <is>
          <t>nan</t>
        </is>
      </c>
      <c r="L163" t="n">
        <v>1501109.51</v>
      </c>
      <c r="M163">
        <f>IF(E163&gt;0,ROUND(L163/E163*100,1),0)</f>
        <v/>
      </c>
      <c r="N163" t="inlineStr">
        <is>
          <t>PENDIENTE</t>
        </is>
      </c>
      <c r="O163">
        <f>IF(H163="SI",1,0)*0.6+IF(I163="SI",1,0)*0.4</f>
        <v/>
      </c>
      <c r="P163" t="inlineStr">
        <is>
          <t>PENDIENTE</t>
        </is>
      </c>
      <c r="S163">
        <f>IFERROR(SCORECARDS!C163,"")</f>
        <v/>
      </c>
      <c r="T163">
        <f>IF(NOT(ISNUMBER(S163)),"—",IF(S163&lt;34,"🔴 Crítico",IF(S163&lt;67,"🟡 Vulnerable","🟢 Preparado")))</f>
        <v/>
      </c>
      <c r="U163" t="n">
        <v>1</v>
      </c>
      <c r="V163" t="inlineStr">
        <is>
          <t>Sin hallazgos OSCE / OEFA</t>
        </is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>
        <f>IFERROR(AVERAGE(AA163,AB163,AC163,AD163,AE163,AF163,AG163,AH163,AI163,AJ163,AK163,AL163,AM163,AN163),"N/A")</f>
        <v/>
      </c>
      <c r="AP163">
        <f>IFERROR(AVERAGE(W163,X163,Y163,Z163)/2,"N/A")</f>
        <v/>
      </c>
    </row>
    <row r="164" ht="16.05" customHeight="1" s="37">
      <c r="A164" t="inlineStr">
        <is>
          <t>20607558559</t>
        </is>
      </c>
      <c r="B164" t="inlineStr">
        <is>
          <t>COOPERATIVA AGRARIA INDÍGENA AWAJUN WAMPIS TUNTANAIN LTDA</t>
        </is>
      </c>
      <c r="C164" t="inlineStr">
        <is>
          <t>AMAZONAS</t>
        </is>
      </c>
      <c r="D164" t="inlineStr">
        <is>
          <t>CACAO</t>
        </is>
      </c>
      <c r="G164" t="inlineStr">
        <is>
          <t>NO</t>
        </is>
      </c>
      <c r="H164" t="inlineStr">
        <is>
          <t>nan</t>
        </is>
      </c>
      <c r="I164" t="inlineStr">
        <is>
          <t>nan</t>
        </is>
      </c>
      <c r="J164" t="inlineStr">
        <is>
          <t>ACTIVO</t>
        </is>
      </c>
      <c r="K164" t="inlineStr">
        <is>
          <t>nan</t>
        </is>
      </c>
      <c r="L164" t="n">
        <v>0</v>
      </c>
      <c r="M164">
        <f>IF(E164&gt;0,ROUND(L164/E164*100,1),0)</f>
        <v/>
      </c>
      <c r="N164" t="inlineStr">
        <is>
          <t>PENDIENTE</t>
        </is>
      </c>
      <c r="O164">
        <f>IF(H164="SI",1,0)*0.6+IF(I164="SI",1,0)*0.4</f>
        <v/>
      </c>
      <c r="P164" t="inlineStr">
        <is>
          <t>PENDIENTE</t>
        </is>
      </c>
      <c r="S164">
        <f>IFERROR(SCORECARDS!C164,"")</f>
        <v/>
      </c>
      <c r="T164">
        <f>IF(NOT(ISNUMBER(S164)),"—",IF(S164&lt;34,"🔴 Crítico",IF(S164&lt;67,"🟡 Vulnerable","🟢 Preparado")))</f>
        <v/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>
        <f>IFERROR(AVERAGE(AA164,AB164,AC164,AD164,AE164,AF164,AG164,AH164,AI164,AJ164,AK164,AL164,AM164,AN164),"N/A")</f>
        <v/>
      </c>
      <c r="AP164">
        <f>IFERROR(AVERAGE(W164,X164,Y164,Z164)/2,"N/A")</f>
        <v/>
      </c>
    </row>
    <row r="165" ht="16.05" customHeight="1" s="37">
      <c r="A165" t="inlineStr">
        <is>
          <t>20607775185</t>
        </is>
      </c>
      <c r="B165" t="inlineStr">
        <is>
          <t>ASOCIACION DE PRODUCTORES ANDINOS SOLIDARIOS-KAÑARIS</t>
        </is>
      </c>
      <c r="C165" t="inlineStr">
        <is>
          <t>LAMBAYEQUE</t>
        </is>
      </c>
      <c r="D165" t="inlineStr">
        <is>
          <t>CAFÉ</t>
        </is>
      </c>
      <c r="G165" t="inlineStr">
        <is>
          <t>NO</t>
        </is>
      </c>
      <c r="H165" t="inlineStr">
        <is>
          <t>nan</t>
        </is>
      </c>
      <c r="I165" t="inlineStr">
        <is>
          <t>nan</t>
        </is>
      </c>
      <c r="J165" t="inlineStr">
        <is>
          <t>BAJA DE OFICIO</t>
        </is>
      </c>
      <c r="K165" t="inlineStr">
        <is>
          <t>nan</t>
        </is>
      </c>
      <c r="L165" t="n">
        <v>0</v>
      </c>
      <c r="M165">
        <f>IF(E165&gt;0,ROUND(L165/E165*100,1),0)</f>
        <v/>
      </c>
      <c r="N165" t="inlineStr">
        <is>
          <t>PENDIENTE</t>
        </is>
      </c>
      <c r="O165">
        <f>IF(H165="SI",1,0)*0.6+IF(I165="SI",1,0)*0.4</f>
        <v/>
      </c>
      <c r="P165" t="inlineStr">
        <is>
          <t>PENDIENTE</t>
        </is>
      </c>
      <c r="S165">
        <f>IFERROR(SCORECARDS!C165,"")</f>
        <v/>
      </c>
      <c r="T165">
        <f>IF(NOT(ISNUMBER(S165)),"—",IF(S165&lt;34,"🔴 Crítico",IF(S165&lt;67,"🟡 Vulnerable","🟢 Preparado")))</f>
        <v/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>
        <f>IFERROR(AVERAGE(AA165,AB165,AC165,AD165,AE165,AF165,AG165,AH165,AI165,AJ165,AK165,AL165,AM165,AN165),"N/A")</f>
        <v/>
      </c>
      <c r="AP165">
        <f>IFERROR(AVERAGE(W165,X165,Y165,Z165)/2,"N/A")</f>
        <v/>
      </c>
    </row>
    <row r="166" ht="16.05" customHeight="1" s="37">
      <c r="A166" t="inlineStr">
        <is>
          <t>20608235648</t>
        </is>
      </c>
      <c r="B166" t="inlineStr">
        <is>
          <t>ASOCIACIÓN DE PRODUCTORES DE CACAO ORGÁNICO PUSHARO MANU</t>
        </is>
      </c>
      <c r="C166" t="inlineStr">
        <is>
          <t>MADRE DE DIOS</t>
        </is>
      </c>
      <c r="D166" t="inlineStr">
        <is>
          <t>CACAO</t>
        </is>
      </c>
      <c r="G166" t="inlineStr">
        <is>
          <t>NO</t>
        </is>
      </c>
      <c r="H166" t="inlineStr">
        <is>
          <t>nan</t>
        </is>
      </c>
      <c r="I166" t="inlineStr">
        <is>
          <t>nan</t>
        </is>
      </c>
      <c r="J166" t="inlineStr">
        <is>
          <t>ACTIVO</t>
        </is>
      </c>
      <c r="K166" t="inlineStr">
        <is>
          <t>nan</t>
        </is>
      </c>
      <c r="L166" t="n">
        <v>0</v>
      </c>
      <c r="M166">
        <f>IF(E166&gt;0,ROUND(L166/E166*100,1),0)</f>
        <v/>
      </c>
      <c r="N166" t="inlineStr">
        <is>
          <t>PENDIENTE</t>
        </is>
      </c>
      <c r="O166">
        <f>IF(H166="SI",1,0)*0.6+IF(I166="SI",1,0)*0.4</f>
        <v/>
      </c>
      <c r="P166" t="inlineStr">
        <is>
          <t>PENDIENTE</t>
        </is>
      </c>
      <c r="S166">
        <f>IFERROR(SCORECARDS!C166,"")</f>
        <v/>
      </c>
      <c r="T166">
        <f>IF(NOT(ISNUMBER(S166)),"—",IF(S166&lt;34,"🔴 Crítico",IF(S166&lt;67,"🟡 Vulnerable","🟢 Preparado")))</f>
        <v/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>
        <f>IFERROR(AVERAGE(AA166,AB166,AC166,AD166,AE166,AF166,AG166,AH166,AI166,AJ166,AK166,AL166,AM166,AN166),"N/A")</f>
        <v/>
      </c>
      <c r="AP166">
        <f>IFERROR(AVERAGE(W166,X166,Y166,Z166)/2,"N/A")</f>
        <v/>
      </c>
    </row>
    <row r="167" ht="16.05" customHeight="1" s="37">
      <c r="A167" t="inlineStr">
        <is>
          <t>20608294512</t>
        </is>
      </c>
      <c r="B167" t="inlineStr">
        <is>
          <t>COOPERATIVA AGRARIA KURI VALLE DEL SISA LTDA</t>
        </is>
      </c>
      <c r="C167" t="inlineStr">
        <is>
          <t>SAN MARTIN</t>
        </is>
      </c>
      <c r="D167" t="inlineStr">
        <is>
          <t>CACAO</t>
        </is>
      </c>
      <c r="E167" t="n">
        <v>4097</v>
      </c>
      <c r="F167" t="n">
        <v>2</v>
      </c>
      <c r="G167" t="inlineStr">
        <is>
          <t>SI</t>
        </is>
      </c>
      <c r="H167" t="inlineStr">
        <is>
          <t>nan</t>
        </is>
      </c>
      <c r="I167" t="inlineStr">
        <is>
          <t>nan</t>
        </is>
      </c>
      <c r="J167" t="inlineStr">
        <is>
          <t>ACTIVO</t>
        </is>
      </c>
      <c r="K167" t="inlineStr">
        <is>
          <t>nan</t>
        </is>
      </c>
      <c r="L167" t="n">
        <v>0</v>
      </c>
      <c r="M167">
        <f>IF(E167&gt;0,ROUND(L167/E167*100,1),0)</f>
        <v/>
      </c>
      <c r="N167" t="inlineStr">
        <is>
          <t>PENDIENTE</t>
        </is>
      </c>
      <c r="O167">
        <f>IF(H167="SI",1,0)*0.6+IF(I167="SI",1,0)*0.4</f>
        <v/>
      </c>
      <c r="P167" t="inlineStr">
        <is>
          <t>PENDIENTE</t>
        </is>
      </c>
      <c r="S167">
        <f>IFERROR(SCORECARDS!C167,"")</f>
        <v/>
      </c>
      <c r="T167">
        <f>IF(NOT(ISNUMBER(S167)),"—",IF(S167&lt;34,"🔴 Crítico",IF(S167&lt;67,"🟡 Vulnerable","🟢 Preparado")))</f>
        <v/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>
        <f>IFERROR(AVERAGE(AA167,AB167,AC167,AD167,AE167,AF167,AG167,AH167,AI167,AJ167,AK167,AL167,AM167,AN167),"N/A")</f>
        <v/>
      </c>
      <c r="AP167">
        <f>IFERROR(AVERAGE(W167,X167,Y167,Z167)/2,"N/A")</f>
        <v/>
      </c>
    </row>
    <row r="168" ht="16.05" customHeight="1" s="37">
      <c r="A168" t="inlineStr">
        <is>
          <t>20608478311</t>
        </is>
      </c>
      <c r="B168" t="inlineStr">
        <is>
          <t>COOPERATIVA AGRARIA YAKATHEO DEL AMAZONAS COOPAYAKAT</t>
        </is>
      </c>
      <c r="C168" t="inlineStr">
        <is>
          <t>AMAZONAS</t>
        </is>
      </c>
      <c r="D168" t="inlineStr">
        <is>
          <t>CACAO</t>
        </is>
      </c>
      <c r="E168" t="n">
        <v>19111.5</v>
      </c>
      <c r="F168" t="n">
        <v>1</v>
      </c>
      <c r="G168" t="inlineStr">
        <is>
          <t>SI</t>
        </is>
      </c>
      <c r="H168" t="inlineStr">
        <is>
          <t>nan</t>
        </is>
      </c>
      <c r="I168" t="inlineStr">
        <is>
          <t>nan</t>
        </is>
      </c>
      <c r="J168" t="inlineStr">
        <is>
          <t>ACTIVO</t>
        </is>
      </c>
      <c r="K168" t="inlineStr">
        <is>
          <t>nan</t>
        </is>
      </c>
      <c r="L168" t="n">
        <v>0</v>
      </c>
      <c r="M168">
        <f>IF(E168&gt;0,ROUND(L168/E168*100,1),0)</f>
        <v/>
      </c>
      <c r="N168" t="inlineStr">
        <is>
          <t>PENDIENTE</t>
        </is>
      </c>
      <c r="O168">
        <f>IF(H168="SI",1,0)*0.6+IF(I168="SI",1,0)*0.4</f>
        <v/>
      </c>
      <c r="P168" t="inlineStr">
        <is>
          <t>PENDIENTE</t>
        </is>
      </c>
      <c r="S168">
        <f>IFERROR(SCORECARDS!C168,"")</f>
        <v/>
      </c>
      <c r="T168">
        <f>IF(NOT(ISNUMBER(S168)),"—",IF(S168&lt;34,"🔴 Crítico",IF(S168&lt;67,"🟡 Vulnerable","🟢 Preparado")))</f>
        <v/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>
        <f>IFERROR(AVERAGE(AA168,AB168,AC168,AD168,AE168,AF168,AG168,AH168,AI168,AJ168,AK168,AL168,AM168,AN168),"N/A")</f>
        <v/>
      </c>
      <c r="AP168">
        <f>IFERROR(AVERAGE(W168,X168,Y168,Z168)/2,"N/A")</f>
        <v/>
      </c>
    </row>
    <row r="169" ht="16.05" customHeight="1" s="37">
      <c r="A169" t="inlineStr">
        <is>
          <t>20609025353</t>
        </is>
      </c>
      <c r="B169" t="inlineStr">
        <is>
          <t>ASOCIACION DE PRODUCTORES AGROPERU MANDOVA</t>
        </is>
      </c>
      <c r="C169" t="inlineStr">
        <is>
          <t>CAJAMARCA</t>
        </is>
      </c>
      <c r="D169" t="inlineStr">
        <is>
          <t>CAFÉ</t>
        </is>
      </c>
      <c r="G169" t="inlineStr">
        <is>
          <t>NO</t>
        </is>
      </c>
      <c r="H169" t="inlineStr">
        <is>
          <t>nan</t>
        </is>
      </c>
      <c r="I169" t="inlineStr">
        <is>
          <t>nan</t>
        </is>
      </c>
      <c r="J169" t="inlineStr">
        <is>
          <t>ACTIVO</t>
        </is>
      </c>
      <c r="K169" t="inlineStr">
        <is>
          <t>nan</t>
        </is>
      </c>
      <c r="L169" t="n">
        <v>0</v>
      </c>
      <c r="M169">
        <f>IF(E169&gt;0,ROUND(L169/E169*100,1),0)</f>
        <v/>
      </c>
      <c r="N169" t="inlineStr">
        <is>
          <t>PENDIENTE</t>
        </is>
      </c>
      <c r="O169">
        <f>IF(H169="SI",1,0)*0.6+IF(I169="SI",1,0)*0.4</f>
        <v/>
      </c>
      <c r="P169" t="inlineStr">
        <is>
          <t>PENDIENTE</t>
        </is>
      </c>
      <c r="S169">
        <f>IFERROR(SCORECARDS!C169,"")</f>
        <v/>
      </c>
      <c r="T169">
        <f>IF(NOT(ISNUMBER(S169)),"—",IF(S169&lt;34,"🔴 Crítico",IF(S169&lt;67,"🟡 Vulnerable","🟢 Preparado")))</f>
        <v/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>
        <f>IFERROR(AVERAGE(AA169,AB169,AC169,AD169,AE169,AF169,AG169,AH169,AI169,AJ169,AK169,AL169,AM169,AN169),"N/A")</f>
        <v/>
      </c>
      <c r="AP169">
        <f>IFERROR(AVERAGE(W169,X169,Y169,Z169)/2,"N/A")</f>
        <v/>
      </c>
    </row>
    <row r="170" ht="16.05" customHeight="1" s="37">
      <c r="A170" t="inlineStr">
        <is>
          <t>20609555395</t>
        </is>
      </c>
      <c r="B170" t="inlineStr">
        <is>
          <t>COOPERATIVA AGRARIA BANAQUI CURIMANA</t>
        </is>
      </c>
      <c r="C170" t="inlineStr">
        <is>
          <t>UCAYALI</t>
        </is>
      </c>
      <c r="D170" t="inlineStr">
        <is>
          <t>CACAO</t>
        </is>
      </c>
      <c r="E170" t="n">
        <v>1265261.9</v>
      </c>
      <c r="F170" t="n">
        <v>6</v>
      </c>
      <c r="G170" t="inlineStr">
        <is>
          <t>SI</t>
        </is>
      </c>
      <c r="H170" t="inlineStr">
        <is>
          <t>nan</t>
        </is>
      </c>
      <c r="I170" t="inlineStr">
        <is>
          <t>nan</t>
        </is>
      </c>
      <c r="J170" t="inlineStr">
        <is>
          <t>ACTIVO</t>
        </is>
      </c>
      <c r="K170" t="inlineStr">
        <is>
          <t>nan</t>
        </is>
      </c>
      <c r="L170" t="n">
        <v>0</v>
      </c>
      <c r="M170">
        <f>IF(E170&gt;0,ROUND(L170/E170*100,1),0)</f>
        <v/>
      </c>
      <c r="N170" t="inlineStr">
        <is>
          <t>PENDIENTE</t>
        </is>
      </c>
      <c r="O170">
        <f>IF(H170="SI",1,0)*0.6+IF(I170="SI",1,0)*0.4</f>
        <v/>
      </c>
      <c r="P170" t="inlineStr">
        <is>
          <t>PENDIENTE</t>
        </is>
      </c>
      <c r="S170">
        <f>IFERROR(SCORECARDS!C170,"")</f>
        <v/>
      </c>
      <c r="T170">
        <f>IF(NOT(ISNUMBER(S170)),"—",IF(S170&lt;34,"🔴 Crítico",IF(S170&lt;67,"🟡 Vulnerable","🟢 Preparado")))</f>
        <v/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>
        <f>IFERROR(AVERAGE(AA170,AB170,AC170,AD170,AE170,AF170,AG170,AH170,AI170,AJ170,AK170,AL170,AM170,AN170),"N/A")</f>
        <v/>
      </c>
      <c r="AP170">
        <f>IFERROR(AVERAGE(W170,X170,Y170,Z170)/2,"N/A")</f>
        <v/>
      </c>
    </row>
    <row r="171" ht="16.05" customHeight="1" s="37">
      <c r="A171" t="inlineStr">
        <is>
          <t>20609846314</t>
        </is>
      </c>
      <c r="B171" t="inlineStr">
        <is>
          <t>COOPERATIVA AGRARIA DE FAMILIAS CAMPESINAS EMPRENDEDORAS Y R</t>
        </is>
      </c>
      <c r="C171" t="inlineStr">
        <is>
          <t>SAN MARTIN</t>
        </is>
      </c>
      <c r="D171" t="inlineStr">
        <is>
          <t>CAFÉ</t>
        </is>
      </c>
      <c r="G171" t="inlineStr">
        <is>
          <t>NO</t>
        </is>
      </c>
      <c r="H171" t="inlineStr">
        <is>
          <t>SI</t>
        </is>
      </c>
      <c r="J171" t="inlineStr">
        <is>
          <t>ACTIVO</t>
        </is>
      </c>
      <c r="K171" t="inlineStr">
        <is>
          <t>0.7</t>
        </is>
      </c>
      <c r="L171" t="n">
        <v>0</v>
      </c>
      <c r="M171">
        <f>IF(E171&gt;0,ROUND(L171/E171*100,1),0)</f>
        <v/>
      </c>
      <c r="N171" t="inlineStr">
        <is>
          <t>PENDIENTE</t>
        </is>
      </c>
      <c r="O171">
        <f>IF(H171="SI",1,0)*0.6+IF(I171="SI",1,0)*0.4</f>
        <v/>
      </c>
      <c r="P171" t="inlineStr">
        <is>
          <t>PENDIENTE</t>
        </is>
      </c>
      <c r="Q171" t="n">
        <v>698</v>
      </c>
      <c r="R171" t="n">
        <v>921.1</v>
      </c>
      <c r="S171">
        <f>IFERROR(SCORECARDS!C171,"")</f>
        <v/>
      </c>
      <c r="T171">
        <f>IF(NOT(ISNUMBER(S171)),"—",IF(S171&lt;34,"🔴 Crítico",IF(S171&lt;67,"🟡 Vulnerable","🟢 Preparado")))</f>
        <v/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>
        <f>IFERROR(AVERAGE(AA171,AB171,AC171,AD171,AE171,AF171,AG171,AH171,AI171,AJ171,AK171,AL171,AM171,AN171),"N/A")</f>
        <v/>
      </c>
      <c r="AP171">
        <f>IFERROR(AVERAGE(W171,X171,Y171,Z171)/2,"N/A")</f>
        <v/>
      </c>
    </row>
    <row r="172" ht="16.05" customHeight="1" s="37">
      <c r="A172" t="inlineStr">
        <is>
          <t>20610739491</t>
        </is>
      </c>
      <c r="B172" t="inlineStr">
        <is>
          <t>ASOCIACION DE PRODUCTORES AGROPECUARIOS DON ANDRES-AMAZONAS</t>
        </is>
      </c>
      <c r="C172" t="inlineStr">
        <is>
          <t>AMAZONAS</t>
        </is>
      </c>
      <c r="D172" t="inlineStr">
        <is>
          <t>CAFÉ</t>
        </is>
      </c>
      <c r="E172" t="n">
        <v>0</v>
      </c>
      <c r="G172" t="inlineStr">
        <is>
          <t>NO</t>
        </is>
      </c>
      <c r="H172" t="inlineStr">
        <is>
          <t>nan</t>
        </is>
      </c>
      <c r="I172" t="inlineStr">
        <is>
          <t>nan</t>
        </is>
      </c>
      <c r="J172" t="inlineStr">
        <is>
          <t>ACTIVO</t>
        </is>
      </c>
      <c r="K172" t="inlineStr">
        <is>
          <t>nan</t>
        </is>
      </c>
      <c r="L172" t="n">
        <v>0</v>
      </c>
      <c r="M172">
        <f>IF(E172&gt;0,ROUND(L172/E172*100,1),0)</f>
        <v/>
      </c>
      <c r="N172" t="inlineStr">
        <is>
          <t>PENDIENTE</t>
        </is>
      </c>
      <c r="O172">
        <f>IF(H172="SI",1,0)*0.6+IF(I172="SI",1,0)*0.4</f>
        <v/>
      </c>
      <c r="P172" t="inlineStr">
        <is>
          <t>PENDIENTE</t>
        </is>
      </c>
      <c r="S172">
        <f>IFERROR(SCORECARDS!C172,"")</f>
        <v/>
      </c>
      <c r="T172">
        <f>IF(NOT(ISNUMBER(S172)),"—",IF(S172&lt;34,"🔴 Crítico",IF(S172&lt;67,"🟡 Vulnerable","🟢 Preparado")))</f>
        <v/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>
        <f>IFERROR(AVERAGE(AA172,AB172,AC172,AD172,AE172,AF172,AG172,AH172,AI172,AJ172,AK172,AL172,AM172,AN172),"N/A")</f>
        <v/>
      </c>
      <c r="AP172">
        <f>IFERROR(AVERAGE(W172,X172,Y172,Z172)/2,"N/A")</f>
        <v/>
      </c>
    </row>
    <row r="173" ht="16.05" customHeight="1" s="37">
      <c r="A173" t="inlineStr">
        <is>
          <t>20610772553</t>
        </is>
      </c>
      <c r="B173" t="inlineStr">
        <is>
          <t>ASOCIACION DE MUJERES CAFICULTORAS DE CHINYAMA</t>
        </is>
      </c>
      <c r="C173" t="inlineStr">
        <is>
          <t>LAMBAYEQUE</t>
        </is>
      </c>
      <c r="D173" t="inlineStr">
        <is>
          <t>CAFÉ</t>
        </is>
      </c>
      <c r="G173" t="inlineStr">
        <is>
          <t>NO</t>
        </is>
      </c>
      <c r="H173" t="inlineStr">
        <is>
          <t>nan</t>
        </is>
      </c>
      <c r="I173" t="inlineStr">
        <is>
          <t>nan</t>
        </is>
      </c>
      <c r="J173" t="inlineStr">
        <is>
          <t>BAJA DE OFICIO</t>
        </is>
      </c>
      <c r="K173" t="inlineStr">
        <is>
          <t>nan</t>
        </is>
      </c>
      <c r="L173" t="n">
        <v>0</v>
      </c>
      <c r="M173">
        <f>IF(E173&gt;0,ROUND(L173/E173*100,1),0)</f>
        <v/>
      </c>
      <c r="N173" t="inlineStr">
        <is>
          <t>PENDIENTE</t>
        </is>
      </c>
      <c r="O173">
        <f>IF(H173="SI",1,0)*0.6+IF(I173="SI",1,0)*0.4</f>
        <v/>
      </c>
      <c r="P173" t="inlineStr">
        <is>
          <t>PENDIENTE</t>
        </is>
      </c>
      <c r="S173">
        <f>IFERROR(SCORECARDS!C173,"")</f>
        <v/>
      </c>
      <c r="T173">
        <f>IF(NOT(ISNUMBER(S173)),"—",IF(S173&lt;34,"🔴 Crítico",IF(S173&lt;67,"🟡 Vulnerable","🟢 Preparado")))</f>
        <v/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>
        <f>IFERROR(AVERAGE(AA173,AB173,AC173,AD173,AE173,AF173,AG173,AH173,AI173,AJ173,AK173,AL173,AM173,AN173),"N/A")</f>
        <v/>
      </c>
      <c r="AP173">
        <f>IFERROR(AVERAGE(W173,X173,Y173,Z173)/2,"N/A")</f>
        <v/>
      </c>
    </row>
    <row r="174" ht="16.05" customHeight="1" s="37">
      <c r="A174" t="inlineStr">
        <is>
          <t>20611316616</t>
        </is>
      </c>
      <c r="C174" t="inlineStr">
        <is>
          <t>OTROS</t>
        </is>
      </c>
      <c r="G174" t="inlineStr">
        <is>
          <t>nan</t>
        </is>
      </c>
      <c r="H174" t="inlineStr">
        <is>
          <t>nan</t>
        </is>
      </c>
      <c r="I174" t="inlineStr">
        <is>
          <t>nan</t>
        </is>
      </c>
      <c r="J174" t="inlineStr">
        <is>
          <t>nan</t>
        </is>
      </c>
      <c r="K174" t="inlineStr">
        <is>
          <t>nan</t>
        </is>
      </c>
      <c r="L174" t="n">
        <v>0</v>
      </c>
      <c r="M174">
        <f>IF(E174&gt;0,ROUND(L174/E174*100,1),0)</f>
        <v/>
      </c>
      <c r="N174" t="inlineStr">
        <is>
          <t>PENDIENTE</t>
        </is>
      </c>
      <c r="O174">
        <f>IF(H174="SI",1,0)*0.6+IF(I174="SI",1,0)*0.4</f>
        <v/>
      </c>
      <c r="P174" t="inlineStr">
        <is>
          <t>PENDIENTE</t>
        </is>
      </c>
      <c r="S174">
        <f>IFERROR(SCORECARDS!C174,"")</f>
        <v/>
      </c>
      <c r="T174">
        <f>IF(NOT(ISNUMBER(S174)),"—",IF(S174&lt;34,"🔴 Crítico",IF(S174&lt;67,"🟡 Vulnerable","🟢 Preparado")))</f>
        <v/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>
        <f>IFERROR(AVERAGE(AA174,AB174,AC174,AD174,AE174,AF174,AG174,AH174,AI174,AJ174,AK174,AL174,AM174,AN174),"N/A")</f>
        <v/>
      </c>
      <c r="AP174">
        <f>IFERROR(AVERAGE(W174,X174,Y174,Z174)/2,"N/A")</f>
        <v/>
      </c>
    </row>
    <row r="175" ht="16.05" customHeight="1" s="37">
      <c r="A175" t="inlineStr">
        <is>
          <t>20611935243</t>
        </is>
      </c>
      <c r="B175" t="inlineStr">
        <is>
          <t>COOPERATIVA AGRARIA ECOLOGICA CANIARI AMAZONICA CAECAM</t>
        </is>
      </c>
      <c r="C175" t="inlineStr">
        <is>
          <t>UCAYALI</t>
        </is>
      </c>
      <c r="D175" t="inlineStr">
        <is>
          <t>CACAO</t>
        </is>
      </c>
      <c r="E175" t="n">
        <v>7723335.029999999</v>
      </c>
      <c r="F175" t="n">
        <v>17</v>
      </c>
      <c r="G175" t="inlineStr">
        <is>
          <t>SI</t>
        </is>
      </c>
      <c r="H175" t="inlineStr">
        <is>
          <t>nan</t>
        </is>
      </c>
      <c r="I175" t="inlineStr">
        <is>
          <t>nan</t>
        </is>
      </c>
      <c r="J175" t="inlineStr">
        <is>
          <t>ACTIVO</t>
        </is>
      </c>
      <c r="K175" t="inlineStr">
        <is>
          <t>nan</t>
        </is>
      </c>
      <c r="L175" t="n">
        <v>3861667.52</v>
      </c>
      <c r="M175">
        <f>IF(E175&gt;0,ROUND(L175/E175*100,1),0)</f>
        <v/>
      </c>
      <c r="N175" t="inlineStr">
        <is>
          <t>PENDIENTE</t>
        </is>
      </c>
      <c r="O175">
        <f>IF(H175="SI",1,0)*0.6+IF(I175="SI",1,0)*0.4</f>
        <v/>
      </c>
      <c r="P175" t="inlineStr">
        <is>
          <t>PENDIENTE</t>
        </is>
      </c>
      <c r="S175">
        <f>IFERROR(SCORECARDS!C175,"")</f>
        <v/>
      </c>
      <c r="T175">
        <f>IF(NOT(ISNUMBER(S175)),"—",IF(S175&lt;34,"🔴 Crítico",IF(S175&lt;67,"🟡 Vulnerable","🟢 Preparado")))</f>
        <v/>
      </c>
      <c r="U175" t="n">
        <v>1</v>
      </c>
      <c r="V175" t="inlineStr">
        <is>
          <t>Sin hallazgos OSCE / OEFA</t>
        </is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>
        <f>IFERROR(AVERAGE(AA175,AB175,AC175,AD175,AE175,AF175,AG175,AH175,AI175,AJ175,AK175,AL175,AM175,AN175),"N/A")</f>
        <v/>
      </c>
      <c r="AP175">
        <f>IFERROR(AVERAGE(W175,X175,Y175,Z175)/2,"N/A")</f>
        <v/>
      </c>
    </row>
    <row r="176" ht="16.05" customHeight="1" s="37">
      <c r="A176" t="inlineStr">
        <is>
          <t>20612331821</t>
        </is>
      </c>
      <c r="B176" t="inlineStr">
        <is>
          <t>ASOCIACIÓN DE MUJERES LAS FLORES DE LUYA</t>
        </is>
      </c>
      <c r="C176" t="inlineStr">
        <is>
          <t>AMAZONAS</t>
        </is>
      </c>
      <c r="D176" t="inlineStr">
        <is>
          <t>CAFÉ</t>
        </is>
      </c>
      <c r="E176" t="n">
        <v>300233.07</v>
      </c>
      <c r="F176" t="n">
        <v>2</v>
      </c>
      <c r="G176" t="inlineStr">
        <is>
          <t>SI</t>
        </is>
      </c>
      <c r="H176" t="inlineStr">
        <is>
          <t>nan</t>
        </is>
      </c>
      <c r="I176" t="inlineStr">
        <is>
          <t>nan</t>
        </is>
      </c>
      <c r="J176" t="inlineStr">
        <is>
          <t>ACTIVO</t>
        </is>
      </c>
      <c r="K176" t="inlineStr">
        <is>
          <t>nan</t>
        </is>
      </c>
      <c r="L176" t="n">
        <v>0</v>
      </c>
      <c r="M176">
        <f>IF(E176&gt;0,ROUND(L176/E176*100,1),0)</f>
        <v/>
      </c>
      <c r="N176" t="inlineStr">
        <is>
          <t>PENDIENTE</t>
        </is>
      </c>
      <c r="O176">
        <f>IF(H176="SI",1,0)*0.6+IF(I176="SI",1,0)*0.4</f>
        <v/>
      </c>
      <c r="P176" t="inlineStr">
        <is>
          <t>PENDIENTE</t>
        </is>
      </c>
      <c r="S176">
        <f>IFERROR(SCORECARDS!C176,"")</f>
        <v/>
      </c>
      <c r="T176">
        <f>IF(NOT(ISNUMBER(S176)),"—",IF(S176&lt;34,"🔴 Crítico",IF(S176&lt;67,"🟡 Vulnerable","🟢 Preparado")))</f>
        <v/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>
        <f>IFERROR(AVERAGE(AA176,AB176,AC176,AD176,AE176,AF176,AG176,AH176,AI176,AJ176,AK176,AL176,AM176,AN176),"N/A")</f>
        <v/>
      </c>
      <c r="AP176">
        <f>IFERROR(AVERAGE(W176,X176,Y176,Z176)/2,"N/A")</f>
        <v/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tabSelected="1" workbookViewId="0">
      <pane ySplit="2" topLeftCell="A3" activePane="bottomLeft" state="frozen"/>
      <selection pane="bottomLeft" activeCell="C9" sqref="C9"/>
    </sheetView>
  </sheetViews>
  <sheetFormatPr baseColWidth="10" defaultColWidth="8.88671875" defaultRowHeight="14.4"/>
  <cols>
    <col width="6" customWidth="1" style="37" min="1" max="1"/>
    <col width="5" customWidth="1" style="37" min="2" max="2"/>
    <col width="97.109375" customWidth="1" style="37" min="3" max="3"/>
    <col width="16" customWidth="1" style="37" min="4" max="4"/>
    <col width="11" customWidth="1" style="37" min="5" max="5"/>
    <col width="14" customWidth="1" style="37" min="6" max="6"/>
    <col width="49" customWidth="1" style="37" min="7" max="7"/>
    <col width="22" customWidth="1" style="37" min="8" max="8"/>
  </cols>
  <sheetData>
    <row r="1">
      <c r="A1" t="inlineStr">
        <is>
          <t>PREGUNTAS PROXY — Verificación rápida por dimensión EUDR</t>
        </is>
      </c>
    </row>
    <row r="2">
      <c r="A2" t="inlineStr">
        <is>
          <t>Dim.</t>
        </is>
      </c>
      <c r="B2" t="inlineStr">
        <is>
          <t>#</t>
        </is>
      </c>
      <c r="C2" t="inlineStr">
        <is>
          <t>Pregunta</t>
        </is>
      </c>
      <c r="D2" t="inlineStr">
        <is>
          <t>Respuesta</t>
        </is>
      </c>
      <c r="E2" t="inlineStr">
        <is>
          <t>Score (0-1)</t>
        </is>
      </c>
      <c r="F2" t="inlineStr">
        <is>
          <t>Variable</t>
        </is>
      </c>
      <c r="G2" t="inlineStr">
        <is>
          <t>Fuente</t>
        </is>
      </c>
      <c r="H2" t="inlineStr">
        <is>
          <t>Obs.</t>
        </is>
      </c>
    </row>
    <row r="3">
      <c r="A3" t="inlineStr">
        <is>
          <t>DIMENSIÓN D1  —  Clasificación regulatoria</t>
        </is>
      </c>
    </row>
    <row r="4">
      <c r="A4" t="inlineStr">
        <is>
          <t>D1</t>
        </is>
      </c>
      <c r="B4" t="inlineStr">
        <is>
          <t>1</t>
        </is>
      </c>
      <c r="C4" t="inlineStr">
        <is>
          <t>¿Cuál es el rol principal de la organización?</t>
        </is>
      </c>
      <c r="F4" t="inlineStr">
        <is>
          <t>tipo_rol</t>
        </is>
      </c>
      <c r="G4" t="inlineStr">
        <is>
          <t>Entrevista directiva / SUNAT</t>
        </is>
      </c>
    </row>
    <row r="5">
      <c r="A5" t="inlineStr">
        <is>
          <t>D1</t>
        </is>
      </c>
      <c r="B5" t="inlineStr">
        <is>
          <t>2</t>
        </is>
      </c>
      <c r="C5" t="inlineStr">
        <is>
          <t>¿La organización está inscrita en el RNCA (Registro Nacional de Cooperativas Agrarias)?</t>
        </is>
      </c>
      <c r="F5" t="inlineStr">
        <is>
          <t>rnca</t>
        </is>
      </c>
      <c r="G5" t="inlineStr">
        <is>
          <t>SUNAT / MIDAGRI RNCA</t>
        </is>
      </c>
    </row>
    <row r="6">
      <c r="A6" t="inlineStr">
        <is>
          <t>D1</t>
        </is>
      </c>
      <c r="B6" t="inlineStr">
        <is>
          <t>3</t>
        </is>
      </c>
      <c r="C6" t="inlineStr">
        <is>
          <t>¿Exporta directamente bajo su propio RUC (no a través de un agente)?</t>
        </is>
      </c>
      <c r="F6" t="inlineStr">
        <is>
          <t>exporta_directo</t>
        </is>
      </c>
      <c r="G6" t="inlineStr">
        <is>
          <t>ADUANET / DUAs</t>
        </is>
      </c>
    </row>
    <row r="7">
      <c r="A7" t="inlineStr">
        <is>
          <t>DIMENSIÓN D2  —  Trazabilidad y geolocalización</t>
        </is>
      </c>
    </row>
    <row r="8">
      <c r="A8" t="inlineStr">
        <is>
          <t>D2</t>
        </is>
      </c>
      <c r="B8" t="inlineStr">
        <is>
          <t>1</t>
        </is>
      </c>
      <c r="C8" t="inlineStr">
        <is>
          <t>¿Existe al menos un registro donde cada lote exportado esté vinculado a la parcela de origen?</t>
        </is>
      </c>
      <c r="F8" t="inlineStr">
        <is>
          <t>lote_parcela</t>
        </is>
      </c>
      <c r="G8" t="inlineStr">
        <is>
          <t>Entrevista + revisión documentos</t>
        </is>
      </c>
    </row>
    <row r="9">
      <c r="A9" t="inlineStr">
        <is>
          <t>D2</t>
        </is>
      </c>
      <c r="B9" t="inlineStr">
        <is>
          <t>2</t>
        </is>
      </c>
      <c r="C9" t="inlineStr">
        <is>
          <t>¿Se registran las coordenadas geográficas de las parcelas de los socios?</t>
        </is>
      </c>
      <c r="F9" t="inlineStr">
        <is>
          <t>coords</t>
        </is>
      </c>
      <c r="G9" t="inlineStr">
        <is>
          <t>Entrevista + evidencia</t>
        </is>
      </c>
    </row>
    <row r="10">
      <c r="A10" t="inlineStr">
        <is>
          <t>D2</t>
        </is>
      </c>
      <c r="B10" t="inlineStr">
        <is>
          <t>3</t>
        </is>
      </c>
      <c r="C10" t="inlineStr">
        <is>
          <t>¿Con qué frecuencia se actualizan las coordenadas de parcelas?</t>
        </is>
      </c>
      <c r="F10" t="inlineStr">
        <is>
          <t>frec_coords</t>
        </is>
      </c>
      <c r="G10" t="inlineStr">
        <is>
          <t>Entrevista</t>
        </is>
      </c>
    </row>
    <row r="11">
      <c r="A11" t="inlineStr">
        <is>
          <t>D2</t>
        </is>
      </c>
      <c r="B11" t="inlineStr">
        <is>
          <t>4</t>
        </is>
      </c>
      <c r="C11" t="inlineStr">
        <is>
          <t>¿Se usa balance de masas (mezcla de lotes sin segregación física)?</t>
        </is>
      </c>
      <c r="F11" t="inlineStr">
        <is>
          <t>bal_masas</t>
        </is>
      </c>
      <c r="G11" t="inlineStr">
        <is>
          <t>Entrevista — ROJO si dice Sí</t>
        </is>
      </c>
      <c r="H11" t="inlineStr">
        <is>
          <t>⚠ Bal. de masas prohibido bajo EUDR</t>
        </is>
      </c>
    </row>
    <row r="12">
      <c r="A12" t="inlineStr">
        <is>
          <t>D2</t>
        </is>
      </c>
      <c r="B12" t="inlineStr">
        <is>
          <t>5</t>
        </is>
      </c>
      <c r="C12" t="inlineStr">
        <is>
          <t>¿Los proveedores externos (no socios) representan volumen significativo?</t>
        </is>
      </c>
      <c r="F12" t="inlineStr">
        <is>
          <t>pct_ext</t>
        </is>
      </c>
      <c r="G12" t="inlineStr">
        <is>
          <t>Entrevista</t>
        </is>
      </c>
    </row>
    <row r="13">
      <c r="A13" t="inlineStr">
        <is>
          <t>D2</t>
        </is>
      </c>
      <c r="B13" t="inlineStr">
        <is>
          <t>6</t>
        </is>
      </c>
      <c r="C13" t="inlineStr">
        <is>
          <t>¿Se registra la trazabilidad de proveedores externos (nombre, cantidad, origen)?</t>
        </is>
      </c>
      <c r="F13" t="inlineStr">
        <is>
          <t>traza_ext</t>
        </is>
      </c>
      <c r="G13" t="inlineStr">
        <is>
          <t>Entrevista</t>
        </is>
      </c>
    </row>
    <row r="14">
      <c r="A14" t="inlineStr">
        <is>
          <t>DIMENSIÓN D3  —  Legalidad de la producción</t>
        </is>
      </c>
    </row>
    <row r="15">
      <c r="A15" t="inlineStr">
        <is>
          <t>D3</t>
        </is>
      </c>
      <c r="B15" t="inlineStr">
        <is>
          <t>1</t>
        </is>
      </c>
      <c r="C15" t="inlineStr">
        <is>
          <t>¿Qué porcentaje aproximado de los socios tiene título de propiedad o constancia de posesión inscrita en SUNARP?</t>
        </is>
      </c>
      <c r="F15" t="inlineStr">
        <is>
          <t>pct_titulo</t>
        </is>
      </c>
      <c r="G15" t="inlineStr">
        <is>
          <t>Entrevista / MIDAGRI</t>
        </is>
      </c>
    </row>
    <row r="16">
      <c r="A16" t="inlineStr">
        <is>
          <t>D3</t>
        </is>
      </c>
      <c r="B16" t="inlineStr">
        <is>
          <t>2</t>
        </is>
      </c>
      <c r="C16" t="inlineStr">
        <is>
          <t>¿La zona de producción está en un área natural protegida o zona de amortiguamiento?</t>
        </is>
      </c>
      <c r="F16" t="inlineStr">
        <is>
          <t>anp</t>
        </is>
      </c>
      <c r="G16" t="inlineStr">
        <is>
          <t>GEOSERFOR / SINIA</t>
        </is>
      </c>
    </row>
    <row r="17">
      <c r="A17" t="inlineStr">
        <is>
          <t>D3</t>
        </is>
      </c>
      <c r="B17" t="inlineStr">
        <is>
          <t>3</t>
        </is>
      </c>
      <c r="C17" t="inlineStr">
        <is>
          <t>¿La organización cuenta con autorizaciones ambientales vigentes (EIA, DIA, certificación forestal)?</t>
        </is>
      </c>
      <c r="F17" t="inlineStr">
        <is>
          <t>aut_ambiental</t>
        </is>
      </c>
      <c r="G17" t="inlineStr">
        <is>
          <t>Entrevista / OEFA</t>
        </is>
      </c>
    </row>
    <row r="18">
      <c r="A18" t="inlineStr">
        <is>
          <t>D3</t>
        </is>
      </c>
      <c r="B18" t="inlineStr">
        <is>
          <t>4</t>
        </is>
      </c>
      <c r="C18" t="inlineStr">
        <is>
          <t>¿Hay algún proceso sancionador vigente de OEFA o SINEFA contra la organización?</t>
        </is>
      </c>
      <c r="F18" t="inlineStr">
        <is>
          <t>sancion_oea</t>
        </is>
      </c>
      <c r="G18" t="inlineStr">
        <is>
          <t>OEFA / SINEFA</t>
        </is>
      </c>
    </row>
    <row r="19">
      <c r="A19" t="inlineStr">
        <is>
          <t>DIMENSIÓN D4  —  Riesgo de deforestación</t>
        </is>
      </c>
    </row>
    <row r="20">
      <c r="A20" t="inlineStr">
        <is>
          <t>D4</t>
        </is>
      </c>
      <c r="B20" t="inlineStr">
        <is>
          <t>1</t>
        </is>
      </c>
      <c r="C20" t="inlineStr">
        <is>
          <t>¿La organización ha realizado cruces de sus parcelas contra mapas de deforestación (GEOSERFOR / PNCB)?</t>
        </is>
      </c>
      <c r="F20" t="inlineStr">
        <is>
          <t>cruce_deforest</t>
        </is>
      </c>
      <c r="G20" t="inlineStr">
        <is>
          <t>Entrevista / verificación web</t>
        </is>
      </c>
    </row>
    <row r="21">
      <c r="A21" t="inlineStr">
        <is>
          <t>D4</t>
        </is>
      </c>
      <c r="B21" t="inlineStr">
        <is>
          <t>2</t>
        </is>
      </c>
      <c r="C21" t="inlineStr">
        <is>
          <t>¿Se han detectado alertas de deforestación en parcelas de la organización?</t>
        </is>
      </c>
      <c r="F21" t="inlineStr">
        <is>
          <t>alerta_deforest</t>
        </is>
      </c>
      <c r="G21" t="inlineStr">
        <is>
          <t>GEOSERFOR / GFW</t>
        </is>
      </c>
    </row>
    <row r="22">
      <c r="A22" t="inlineStr">
        <is>
          <t>DIMENSIÓN D5  —  Sistema de debida diligencia</t>
        </is>
      </c>
    </row>
    <row r="23">
      <c r="A23" t="inlineStr">
        <is>
          <t>D5</t>
        </is>
      </c>
      <c r="B23" t="inlineStr">
        <is>
          <t>1</t>
        </is>
      </c>
      <c r="C23" t="inlineStr">
        <is>
          <t>¿Existe un proceso documentado para evaluar riesgo de deforestación antes de exportar?</t>
        </is>
      </c>
      <c r="F23" t="inlineStr">
        <is>
          <t>proc_dd</t>
        </is>
      </c>
      <c r="G23" t="inlineStr">
        <is>
          <t>Entrevista + revisión docs</t>
        </is>
      </c>
    </row>
    <row r="24">
      <c r="A24" t="inlineStr">
        <is>
          <t>D5</t>
        </is>
      </c>
      <c r="B24" t="inlineStr">
        <is>
          <t>2</t>
        </is>
      </c>
      <c r="C24" t="inlineStr">
        <is>
          <t>¿Se registran las alertas o rechazos de compradores europeos en los últimos 2 años?</t>
        </is>
      </c>
      <c r="F24" t="inlineStr">
        <is>
          <t>reg_rechazos</t>
        </is>
      </c>
      <c r="G24" t="inlineStr">
        <is>
          <t>Entrevista</t>
        </is>
      </c>
    </row>
    <row r="25">
      <c r="A25" t="inlineStr">
        <is>
          <t>D5</t>
        </is>
      </c>
      <c r="B25" t="inlineStr">
        <is>
          <t>3</t>
        </is>
      </c>
      <c r="C25" t="inlineStr">
        <is>
          <t>¿La organización elabora un reporte periódico de debida diligencia?</t>
        </is>
      </c>
      <c r="F25" t="inlineStr">
        <is>
          <t>reporte_dd</t>
        </is>
      </c>
      <c r="G25" t="inlineStr">
        <is>
          <t>Entrevista</t>
        </is>
      </c>
    </row>
    <row r="26">
      <c r="A26" t="inlineStr">
        <is>
          <t>DIMENSIÓN D6  —  Capacidad organizacional y digital</t>
        </is>
      </c>
    </row>
    <row r="27">
      <c r="A27" t="inlineStr">
        <is>
          <t>D6</t>
        </is>
      </c>
      <c r="B27" t="inlineStr">
        <is>
          <t>1</t>
        </is>
      </c>
      <c r="C27" t="inlineStr">
        <is>
          <t>¿Hay personal dedicado (tiempo completo o parcial) a tareas de gestión de datos o sistemas?</t>
        </is>
      </c>
      <c r="F27" t="inlineStr">
        <is>
          <t>personal_datos</t>
        </is>
      </c>
      <c r="G27" t="inlineStr">
        <is>
          <t>Entrevista</t>
        </is>
      </c>
    </row>
    <row r="28">
      <c r="A28" t="inlineStr">
        <is>
          <t>D6</t>
        </is>
      </c>
      <c r="B28" t="inlineStr">
        <is>
          <t>2</t>
        </is>
      </c>
      <c r="C28" t="inlineStr">
        <is>
          <t>¿La organización tiene acceso a internet estable en su sede?</t>
        </is>
      </c>
      <c r="F28" t="inlineStr">
        <is>
          <t>internet</t>
        </is>
      </c>
      <c r="G28" t="inlineStr">
        <is>
          <t>Entrevista</t>
        </is>
      </c>
    </row>
    <row r="29">
      <c r="A29" t="inlineStr">
        <is>
          <t>D6</t>
        </is>
      </c>
      <c r="B29" t="inlineStr">
        <is>
          <t>3</t>
        </is>
      </c>
      <c r="C29" t="inlineStr">
        <is>
          <t>¿Usa algún software o herramienta digital para gestionar trazabilidad?</t>
        </is>
      </c>
      <c r="F29" t="inlineStr">
        <is>
          <t>sw_trazabilidad</t>
        </is>
      </c>
      <c r="G29" t="inlineStr">
        <is>
          <t>Entrevista</t>
        </is>
      </c>
    </row>
    <row r="30">
      <c r="A30" t="inlineStr">
        <is>
          <t>D6</t>
        </is>
      </c>
      <c r="B30" t="inlineStr">
        <is>
          <t>4</t>
        </is>
      </c>
      <c r="C30" t="inlineStr">
        <is>
          <t>¿El presupuesto anual incluye una partida para tecnología o datos?</t>
        </is>
      </c>
      <c r="F30" t="inlineStr">
        <is>
          <t>presupuesto_tech</t>
        </is>
      </c>
      <c r="G30" t="inlineStr">
        <is>
          <t>Entrevista directiva</t>
        </is>
      </c>
    </row>
    <row r="31">
      <c r="A31" t="inlineStr">
        <is>
          <t>DIMENSIÓN D7  —  Posición en la cadena de valor</t>
        </is>
      </c>
    </row>
    <row r="32">
      <c r="A32" t="inlineStr">
        <is>
          <t>D7</t>
        </is>
      </c>
      <c r="B32" t="inlineStr">
        <is>
          <t>1</t>
        </is>
      </c>
      <c r="C32" t="inlineStr">
        <is>
          <t>¿Cuál es el destino principal de las exportaciones?</t>
        </is>
      </c>
      <c r="F32" t="inlineStr">
        <is>
          <t>destino_principal</t>
        </is>
      </c>
      <c r="G32" t="inlineStr">
        <is>
          <t>DUAs / Entrevista</t>
        </is>
      </c>
    </row>
    <row r="33">
      <c r="A33" t="inlineStr">
        <is>
          <t>D7</t>
        </is>
      </c>
      <c r="B33" t="inlineStr">
        <is>
          <t>2</t>
        </is>
      </c>
      <c r="C33" t="inlineStr">
        <is>
          <t>¿El comprador principal (primera mano) es una empresa europea o está sujeta a CS3D?</t>
        </is>
      </c>
      <c r="F33" t="inlineStr">
        <is>
          <t>comprador_ue</t>
        </is>
      </c>
      <c r="G33" t="inlineStr">
        <is>
          <t>Entrevista / web</t>
        </is>
      </c>
    </row>
    <row r="34">
      <c r="A34" t="inlineStr">
        <is>
          <t>D7</t>
        </is>
      </c>
      <c r="B34" t="inlineStr">
        <is>
          <t>3</t>
        </is>
      </c>
      <c r="C34" t="inlineStr">
        <is>
          <t>¿El comprador ha solicitado evidencia de trazabilidad o geolocalización?</t>
        </is>
      </c>
      <c r="F34" t="inlineStr">
        <is>
          <t>exige_evidencia</t>
        </is>
      </c>
      <c r="G34" t="inlineStr">
        <is>
          <t>Entrevista</t>
        </is>
      </c>
    </row>
    <row r="35">
      <c r="A35" t="inlineStr">
        <is>
          <t>D7</t>
        </is>
      </c>
      <c r="B35" t="inlineStr">
        <is>
          <t>4</t>
        </is>
      </c>
      <c r="C35" t="inlineStr">
        <is>
          <t>¿Hay contrato escrito con cláusula EUDR o debida diligencia?</t>
        </is>
      </c>
      <c r="F35" t="inlineStr">
        <is>
          <t>contrato_eudr</t>
        </is>
      </c>
      <c r="G35" t="inlineStr">
        <is>
          <t>Entrevista / docs legales</t>
        </is>
      </c>
    </row>
    <row r="36">
      <c r="A36" t="inlineStr">
        <is>
          <t>DIMENSIÓN D8  —  Gobernanza y participación de socios</t>
        </is>
      </c>
    </row>
    <row r="37">
      <c r="A37" t="inlineStr">
        <is>
          <t>D8</t>
        </is>
      </c>
      <c r="B37" t="inlineStr">
        <is>
          <t>1</t>
        </is>
      </c>
      <c r="C37" t="inlineStr">
        <is>
          <t>¿Los socios conocen los requisitos EUDR y sus implicancias?</t>
        </is>
      </c>
      <c r="F37" t="inlineStr">
        <is>
          <t>socios_conocen</t>
        </is>
      </c>
      <c r="G37" t="inlineStr">
        <is>
          <t>Entrevista + observación</t>
        </is>
      </c>
    </row>
    <row r="38">
      <c r="A38" t="inlineStr">
        <is>
          <t>D8</t>
        </is>
      </c>
      <c r="B38" t="inlineStr">
        <is>
          <t>2</t>
        </is>
      </c>
      <c r="C38" t="inlineStr">
        <is>
          <t>¿Existe un mecanismo formal para que los socios entreguen datos de parcelas?</t>
        </is>
      </c>
      <c r="F38" t="inlineStr">
        <is>
          <t>mec_entrega</t>
        </is>
      </c>
      <c r="G38" t="inlineStr">
        <is>
          <t>Entrevista</t>
        </is>
      </c>
    </row>
    <row r="39">
      <c r="A39" t="inlineStr">
        <is>
          <t>DIMENSIÓN D9  —  Sostenibilidad económica del cumplimiento</t>
        </is>
      </c>
    </row>
    <row r="40">
      <c r="A40" t="inlineStr">
        <is>
          <t>D9</t>
        </is>
      </c>
      <c r="B40" t="inlineStr">
        <is>
          <t>1</t>
        </is>
      </c>
      <c r="C40" t="inlineStr">
        <is>
          <t>¿La organización ha estimado el costo de adecuación al EUDR?</t>
        </is>
      </c>
      <c r="F40" t="inlineStr">
        <is>
          <t>costo_estimado</t>
        </is>
      </c>
      <c r="G40" t="inlineStr">
        <is>
          <t>Entrevista directiva</t>
        </is>
      </c>
    </row>
    <row r="41">
      <c r="A41" t="inlineStr">
        <is>
          <t>D9</t>
        </is>
      </c>
      <c r="B41" t="inlineStr">
        <is>
          <t>2</t>
        </is>
      </c>
      <c r="C41" t="inlineStr">
        <is>
          <t>¿Existe una fuente de financiamiento identificada para la adecuación?</t>
        </is>
      </c>
      <c r="F41" t="inlineStr">
        <is>
          <t>financiamiento</t>
        </is>
      </c>
      <c r="G41" t="inlineStr">
        <is>
          <t>Entrevista</t>
        </is>
      </c>
    </row>
    <row r="42">
      <c r="A42" t="inlineStr">
        <is>
          <t>DIMENSIÓN D10  —  Confusión certificación / EUDR</t>
        </is>
      </c>
    </row>
    <row r="43">
      <c r="A43" t="inlineStr">
        <is>
          <t>D10</t>
        </is>
      </c>
      <c r="B43" t="inlineStr">
        <is>
          <t>1</t>
        </is>
      </c>
      <c r="C43" t="inlineStr">
        <is>
          <t>¿La organización cree que sus certificaciones (Orgánica, Fairtrade, Rainforest) cubren los requisitos EUDR?</t>
        </is>
      </c>
      <c r="F43" t="inlineStr">
        <is>
          <t>cree_cubierta</t>
        </is>
      </c>
      <c r="G43" t="inlineStr">
        <is>
          <t>Entrevista — ROJO si dice Sí sin entender EUDR</t>
        </is>
      </c>
    </row>
    <row r="44">
      <c r="A44" t="inlineStr">
        <is>
          <t>D10</t>
        </is>
      </c>
      <c r="B44" t="inlineStr">
        <is>
          <t>2</t>
        </is>
      </c>
      <c r="C44" t="inlineStr">
        <is>
          <t>¿Ha recibido asesoría específica sobre EUDR (no solo genérica de sostenibilidad)?</t>
        </is>
      </c>
      <c r="F44" t="inlineStr">
        <is>
          <t>asesoria_eudr</t>
        </is>
      </c>
      <c r="G44" t="inlineStr">
        <is>
          <t>Entrevista</t>
        </is>
      </c>
    </row>
    <row r="45">
      <c r="A45" t="inlineStr">
        <is>
          <t>DIMENSIÓN D11  —  Ecosistema de apoyo externo</t>
        </is>
      </c>
    </row>
    <row r="46">
      <c r="A46" t="inlineStr">
        <is>
          <t>D11</t>
        </is>
      </c>
      <c r="B46" t="inlineStr">
        <is>
          <t>1</t>
        </is>
      </c>
      <c r="C46" t="inlineStr">
        <is>
          <t>¿Conoce programas de MIDAGRI, GIZ, EFI, PROMPERÚ o cooperación para apoyo EUDR?</t>
        </is>
      </c>
      <c r="F46" t="inlineStr">
        <is>
          <t>prog_apoyo</t>
        </is>
      </c>
      <c r="G46" t="inlineStr">
        <is>
          <t>Entrevista</t>
        </is>
      </c>
    </row>
    <row r="47">
      <c r="A47" t="inlineStr">
        <is>
          <t>D11</t>
        </is>
      </c>
      <c r="B47" t="inlineStr">
        <is>
          <t>2</t>
        </is>
      </c>
      <c r="C47" t="inlineStr">
        <is>
          <t>¿Está inscrita en la plataforma de trazabilidad de APPCACAO o JNC?</t>
        </is>
      </c>
      <c r="F47" t="inlineStr">
        <is>
          <t>plataforma_traz</t>
        </is>
      </c>
      <c r="G47" t="inlineStr">
        <is>
          <t>Verificación web + entrevista</t>
        </is>
      </c>
    </row>
    <row r="48">
      <c r="A48" t="inlineStr">
        <is>
          <t>DIMENSIÓN PPWR  —  Envases y Packaging (PPWR)</t>
        </is>
      </c>
    </row>
    <row r="49">
      <c r="A49" t="inlineStr">
        <is>
          <t>PPWR</t>
        </is>
      </c>
      <c r="B49" t="inlineStr">
        <is>
          <t>P1</t>
        </is>
      </c>
      <c r="C49" t="inlineStr">
        <is>
          <t>¿Qué tipo de sacos de exportación usa principalmente?</t>
        </is>
      </c>
      <c r="F49" t="inlineStr">
        <is>
          <t>tipo_saco</t>
        </is>
      </c>
      <c r="G49" t="inlineStr">
        <is>
          <t>Entrevista</t>
        </is>
      </c>
    </row>
    <row r="50">
      <c r="A50" t="inlineStr">
        <is>
          <t>PPWR</t>
        </is>
      </c>
      <c r="B50" t="inlineStr">
        <is>
          <t>P2</t>
        </is>
      </c>
      <c r="C50" t="inlineStr">
        <is>
          <t>¿Los sacos tienen certificación FSC o equivalente?</t>
        </is>
      </c>
      <c r="F50" t="inlineStr">
        <is>
          <t>fsc</t>
        </is>
      </c>
      <c r="G50" t="inlineStr">
        <is>
          <t>Entrevista / proveedor</t>
        </is>
      </c>
    </row>
    <row r="52">
      <c r="A52" t="inlineStr">
        <is>
          <t>RESUMEN DE SCORES POR DIMENSIÓN</t>
        </is>
      </c>
    </row>
    <row r="53">
      <c r="A53" t="inlineStr">
        <is>
          <t>Dimensión</t>
        </is>
      </c>
      <c r="B53" t="inlineStr">
        <is>
          <t>Score promedio</t>
        </is>
      </c>
      <c r="C53" t="inlineStr">
        <is>
          <t>N° preguntas</t>
        </is>
      </c>
      <c r="D53" t="inlineStr">
        <is>
          <t>Nivel</t>
        </is>
      </c>
    </row>
    <row r="54">
      <c r="A54" t="inlineStr">
        <is>
          <t>D1 — Clasificación regulatoria</t>
        </is>
      </c>
      <c r="B54">
        <f>IFERROR(AVERAGEIF(E3:E6,"&gt;0"),0)</f>
        <v/>
      </c>
      <c r="C54">
        <f>COUNTIF(E3:E6,"&gt;0")</f>
        <v/>
      </c>
      <c r="D54">
        <f>IF(B54&gt;=0.67,"🟢 Verde",IF(B54&gt;=0.34,"🟡 Amarillo","🔴 Rojo"))</f>
        <v/>
      </c>
    </row>
    <row r="55">
      <c r="A55" t="inlineStr">
        <is>
          <t>D2 — Trazabilidad y geolocalización</t>
        </is>
      </c>
      <c r="B55">
        <f>IFERROR(AVERAGEIF(E7:E13,"&gt;0"),0)</f>
        <v/>
      </c>
      <c r="C55">
        <f>COUNTIF(E7:E13,"&gt;0")</f>
        <v/>
      </c>
      <c r="D55">
        <f>IF(B55&gt;=0.67,"🟢 Verde",IF(B55&gt;=0.34,"🟡 Amarillo","🔴 Rojo"))</f>
        <v/>
      </c>
    </row>
    <row r="56">
      <c r="A56" t="inlineStr">
        <is>
          <t>D3 — Legalidad de la producción</t>
        </is>
      </c>
      <c r="B56">
        <f>IFERROR(AVERAGEIF(E14:E18,"&gt;0"),0)</f>
        <v/>
      </c>
      <c r="C56">
        <f>COUNTIF(E14:E18,"&gt;0")</f>
        <v/>
      </c>
      <c r="D56">
        <f>IF(B56&gt;=0.67,"🟢 Verde",IF(B56&gt;=0.34,"🟡 Amarillo","🔴 Rojo"))</f>
        <v/>
      </c>
    </row>
    <row r="57">
      <c r="A57" t="inlineStr">
        <is>
          <t>D4 — Riesgo de deforestación</t>
        </is>
      </c>
      <c r="B57">
        <f>IFERROR(AVERAGEIF(E19:E21,"&gt;0"),0)</f>
        <v/>
      </c>
      <c r="C57">
        <f>COUNTIF(E19:E21,"&gt;0")</f>
        <v/>
      </c>
      <c r="D57">
        <f>IF(B57&gt;=0.67,"🟢 Verde",IF(B57&gt;=0.34,"🟡 Amarillo","🔴 Rojo"))</f>
        <v/>
      </c>
    </row>
    <row r="58">
      <c r="A58" t="inlineStr">
        <is>
          <t>D5 — Sistema de debida diligencia</t>
        </is>
      </c>
      <c r="B58">
        <f>IFERROR(AVERAGEIF(E22:E25,"&gt;0"),0)</f>
        <v/>
      </c>
      <c r="C58">
        <f>COUNTIF(E22:E25,"&gt;0")</f>
        <v/>
      </c>
      <c r="D58">
        <f>IF(B58&gt;=0.67,"🟢 Verde",IF(B58&gt;=0.34,"🟡 Amarillo","🔴 Rojo"))</f>
        <v/>
      </c>
    </row>
    <row r="59">
      <c r="A59" t="inlineStr">
        <is>
          <t>D6 — Capacidad organizacional y digital</t>
        </is>
      </c>
      <c r="B59">
        <f>IFERROR(AVERAGEIF(E26:E30,"&gt;0"),0)</f>
        <v/>
      </c>
      <c r="C59">
        <f>COUNTIF(E26:E30,"&gt;0")</f>
        <v/>
      </c>
      <c r="D59">
        <f>IF(B59&gt;=0.67,"🟢 Verde",IF(B59&gt;=0.34,"🟡 Amarillo","🔴 Rojo"))</f>
        <v/>
      </c>
    </row>
    <row r="60">
      <c r="A60" t="inlineStr">
        <is>
          <t>D7 — Posición en la cadena de valor</t>
        </is>
      </c>
      <c r="B60">
        <f>IFERROR(AVERAGEIF(E31:E35,"&gt;0"),0)</f>
        <v/>
      </c>
      <c r="C60">
        <f>COUNTIF(E31:E35,"&gt;0")</f>
        <v/>
      </c>
      <c r="D60">
        <f>IF(B60&gt;=0.67,"🟢 Verde",IF(B60&gt;=0.34,"🟡 Amarillo","🔴 Rojo"))</f>
        <v/>
      </c>
    </row>
    <row r="61">
      <c r="A61" t="inlineStr">
        <is>
          <t>D8 — Gobernanza y participación de socios</t>
        </is>
      </c>
      <c r="B61">
        <f>IFERROR(AVERAGEIF(E36:E38,"&gt;0"),0)</f>
        <v/>
      </c>
      <c r="C61">
        <f>COUNTIF(E36:E38,"&gt;0")</f>
        <v/>
      </c>
      <c r="D61">
        <f>IF(B61&gt;=0.67,"🟢 Verde",IF(B61&gt;=0.34,"🟡 Amarillo","🔴 Rojo"))</f>
        <v/>
      </c>
    </row>
    <row r="62">
      <c r="A62" t="inlineStr">
        <is>
          <t>D9 — Sostenibilidad económica del cumplimiento</t>
        </is>
      </c>
      <c r="B62">
        <f>IFERROR(AVERAGEIF(E39:E41,"&gt;0"),0)</f>
        <v/>
      </c>
      <c r="C62">
        <f>COUNTIF(E39:E41,"&gt;0")</f>
        <v/>
      </c>
      <c r="D62">
        <f>IF(B62&gt;=0.67,"🟢 Verde",IF(B62&gt;=0.34,"🟡 Amarillo","🔴 Rojo"))</f>
        <v/>
      </c>
    </row>
    <row r="63">
      <c r="A63" t="inlineStr">
        <is>
          <t>D10 — Confusión certificación / EUDR</t>
        </is>
      </c>
      <c r="B63">
        <f>IFERROR(AVERAGEIF(E42:E44,"&gt;0"),0)</f>
        <v/>
      </c>
      <c r="C63">
        <f>COUNTIF(E42:E44,"&gt;0")</f>
        <v/>
      </c>
      <c r="D63">
        <f>IF(B63&gt;=0.67,"🟢 Verde",IF(B63&gt;=0.34,"🟡 Amarillo","🔴 Rojo"))</f>
        <v/>
      </c>
    </row>
    <row r="64">
      <c r="A64" t="inlineStr">
        <is>
          <t>D11 — Ecosistema de apoyo externo</t>
        </is>
      </c>
      <c r="B64">
        <f>IFERROR(AVERAGEIF(E45:E47,"&gt;0"),0)</f>
        <v/>
      </c>
      <c r="C64">
        <f>COUNTIF(E45:E47,"&gt;0")</f>
        <v/>
      </c>
      <c r="D64">
        <f>IF(B64&gt;=0.67,"🟢 Verde",IF(B64&gt;=0.34,"🟡 Amarillo","🔴 Rojo"))</f>
        <v/>
      </c>
    </row>
    <row r="65">
      <c r="A65" t="inlineStr">
        <is>
          <t>PPWR — Envases y Packaging (PPWR)</t>
        </is>
      </c>
      <c r="B65">
        <f>IFERROR(AVERAGEIF(E48:E50,"&gt;0"),0)</f>
        <v/>
      </c>
      <c r="C65">
        <f>COUNTIF(E48:E50,"&gt;0")</f>
        <v/>
      </c>
      <c r="D65">
        <f>IF(B65&gt;=0.67,"🟢 Verde",IF(B65&gt;=0.34,"🟡 Amarillo","🔴 Rojo"))</f>
        <v/>
      </c>
    </row>
  </sheetData>
  <mergeCells count="14">
    <mergeCell ref="A48:H48"/>
    <mergeCell ref="A3:H3"/>
    <mergeCell ref="A26:H26"/>
    <mergeCell ref="A39:H39"/>
    <mergeCell ref="A7:H7"/>
    <mergeCell ref="A52:H52"/>
    <mergeCell ref="A1:I1"/>
    <mergeCell ref="A42:H42"/>
    <mergeCell ref="A19:H19"/>
    <mergeCell ref="A14:H14"/>
    <mergeCell ref="A36:H36"/>
    <mergeCell ref="A45:H45"/>
    <mergeCell ref="A31:H31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O1"/>
    </sheetView>
  </sheetViews>
  <sheetFormatPr baseColWidth="10" defaultColWidth="8.88671875" defaultRowHeight="14.4"/>
  <cols>
    <col width="14" customWidth="1" style="37" min="1" max="1"/>
    <col width="38" customWidth="1" style="37" min="2" max="2"/>
    <col width="11" customWidth="1" style="37" min="3" max="3"/>
    <col width="14" customWidth="1" style="37" min="4" max="4"/>
    <col width="8" customWidth="1" style="37" min="5" max="5"/>
    <col width="14" customWidth="1" style="37" min="6" max="6"/>
    <col width="10" customWidth="1" style="37" min="7" max="7"/>
    <col width="11" customWidth="1" style="37" min="8" max="8"/>
    <col width="12" customWidth="1" style="37" min="9" max="9"/>
    <col width="13" customWidth="1" style="37" min="10" max="10"/>
    <col width="14" customWidth="1" style="37" min="11" max="11"/>
    <col width="10" customWidth="1" style="37" min="12" max="12"/>
    <col width="8" customWidth="1" style="37" min="13" max="13"/>
    <col width="14" customWidth="1" style="37" min="14" max="14"/>
    <col width="16" customWidth="1" style="37" min="15" max="15"/>
  </cols>
  <sheetData>
    <row r="1" ht="28.05" customHeight="1" s="37">
      <c r="A1" t="inlineStr">
        <is>
          <t>SCORECARDS — ISA-Completo · IP · IV · RE · Café y Cacao Perú</t>
        </is>
      </c>
    </row>
    <row r="2" ht="22.05" customHeight="1" s="37">
      <c r="A2" t="inlineStr">
        <is>
          <t>RUC</t>
        </is>
      </c>
      <c r="B2" t="inlineStr">
        <is>
          <t>Razón Social</t>
        </is>
      </c>
      <c r="C2" t="inlineStr">
        <is>
          <t>ISA-Completo
(0-100)</t>
        </is>
      </c>
      <c r="D2" t="inlineStr">
        <is>
          <t>Semáforo</t>
        </is>
      </c>
      <c r="E2" t="inlineStr">
        <is>
          <t>Ranking</t>
        </is>
      </c>
      <c r="F2" t="inlineStr">
        <is>
          <t>FOB UE USD</t>
        </is>
      </c>
      <c r="G2" t="inlineStr">
        <is>
          <t>% UE/FOB</t>
        </is>
      </c>
      <c r="H2" t="inlineStr">
        <is>
          <t>Trazab. (D2)</t>
        </is>
      </c>
      <c r="I2" t="inlineStr">
        <is>
          <t>Dilig. (D5)</t>
        </is>
      </c>
      <c r="J2" t="inlineStr">
        <is>
          <t>Capacidad (D6)</t>
        </is>
      </c>
      <c r="K2" t="inlineStr">
        <is>
          <t>Legalidad
D3 (OSCE)</t>
        </is>
      </c>
      <c r="L2" t="inlineStr">
        <is>
          <t>Cert (0-1)</t>
        </is>
      </c>
      <c r="M2" t="inlineStr">
        <is>
          <t>PPWR</t>
        </is>
      </c>
      <c r="N2" t="inlineStr">
        <is>
          <t>Tipología ISCAM</t>
        </is>
      </c>
      <c r="O2" t="inlineStr">
        <is>
          <t>Segmento</t>
        </is>
      </c>
    </row>
    <row r="3" ht="16.05" customHeight="1" s="37">
      <c r="A3" t="inlineStr">
        <is>
          <t>20118578415</t>
        </is>
      </c>
      <c r="B3" t="inlineStr">
        <is>
          <t>CENT.DE COOP.AGR. CAF.VALLES SANDIA LTDA</t>
        </is>
      </c>
      <c r="C3" s="36">
        <f>IFERROR(ISCAM_Score!AL4,"—")</f>
        <v/>
      </c>
      <c r="D3">
        <f>IF(C3="—","— Sin Inst.2",IF(C3&lt;34,"🔴  Crítico",IF(C3&lt;67,"🟡  Vulnerable","🟢  Preparado")))</f>
        <v/>
      </c>
      <c r="E3">
        <f>IFERROR(RANK(C3,C:C,-1),"")</f>
        <v/>
      </c>
      <c r="F3">
        <f>IFERROR(MATRIZ_174!L3,0)</f>
        <v/>
      </c>
      <c r="G3">
        <f>IFERROR(MATRIZ_174!M3,0)</f>
        <v/>
      </c>
      <c r="H3" t="n">
        <v>0</v>
      </c>
      <c r="I3" t="n">
        <v>0</v>
      </c>
      <c r="J3" t="n">
        <v>0</v>
      </c>
      <c r="K3">
        <f>IFERROR(INDEX(MATRIZ_174!$U:$U,MATCH(A3,MATRIZ_174!$A:$A,0)),"")</f>
        <v/>
      </c>
      <c r="L3">
        <f>IFERROR(MATRIZ_174!O3,0)</f>
        <v/>
      </c>
      <c r="M3" t="n">
        <v>0</v>
      </c>
      <c r="N3">
        <f>IFERROR(ISCAM_Score!AC4,"")</f>
        <v/>
      </c>
      <c r="O3" t="inlineStr">
        <is>
          <t>PUNO</t>
        </is>
      </c>
    </row>
    <row r="4" ht="16.05" customHeight="1" s="37">
      <c r="A4" t="inlineStr">
        <is>
          <t>20129156083</t>
        </is>
      </c>
      <c r="B4" t="inlineStr">
        <is>
          <t>COOP AGRARIA CAFET VALLE RIO APURIMAC</t>
        </is>
      </c>
      <c r="C4" s="36">
        <f>IFERROR(ISCAM_Score!AL5,"—")</f>
        <v/>
      </c>
      <c r="D4">
        <f>IF(C4="—","— Sin Inst.2",IF(C4&lt;34,"🔴  Crítico",IF(C4&lt;67,"🟡  Vulnerable","🟢  Preparado")))</f>
        <v/>
      </c>
      <c r="E4">
        <f>IFERROR(RANK(C4,C:C,-1),"")</f>
        <v/>
      </c>
      <c r="F4">
        <f>IFERROR(MATRIZ_174!L4,0)</f>
        <v/>
      </c>
      <c r="G4">
        <f>IFERROR(MATRIZ_174!M4,0)</f>
        <v/>
      </c>
      <c r="H4" t="n">
        <v>0</v>
      </c>
      <c r="I4" t="n">
        <v>0</v>
      </c>
      <c r="J4" t="n">
        <v>0</v>
      </c>
      <c r="K4">
        <f>IFERROR(INDEX(MATRIZ_174!$U:$U,MATCH(A4,MATRIZ_174!$A:$A,0)),"")</f>
        <v/>
      </c>
      <c r="L4">
        <f>IFERROR(MATRIZ_174!O4,0)</f>
        <v/>
      </c>
      <c r="M4" t="n">
        <v>0</v>
      </c>
      <c r="N4">
        <f>IFERROR(ISCAM_Score!AC5,"")</f>
        <v/>
      </c>
      <c r="O4" t="inlineStr">
        <is>
          <t>AYACUCHO</t>
        </is>
      </c>
    </row>
    <row r="5" ht="16.05" customHeight="1" s="37">
      <c r="A5" t="inlineStr">
        <is>
          <t>20129529530</t>
        </is>
      </c>
      <c r="B5" t="inlineStr">
        <is>
          <t>COOP AGRARIA CAFETALERA SATIPO LTDA</t>
        </is>
      </c>
      <c r="C5" s="36">
        <f>IFERROR(ISCAM_Score!AL6,"—")</f>
        <v/>
      </c>
      <c r="D5">
        <f>IF(C5="—","— Sin Inst.2",IF(C5&lt;34,"🔴  Crítico",IF(C5&lt;67,"🟡  Vulnerable","🟢  Preparado")))</f>
        <v/>
      </c>
      <c r="E5">
        <f>IFERROR(RANK(C5,C:C,-1),"")</f>
        <v/>
      </c>
      <c r="F5">
        <f>IFERROR(MATRIZ_174!L5,0)</f>
        <v/>
      </c>
      <c r="G5">
        <f>IFERROR(MATRIZ_174!M5,0)</f>
        <v/>
      </c>
      <c r="H5" t="n">
        <v>0</v>
      </c>
      <c r="I5" t="n">
        <v>0</v>
      </c>
      <c r="J5" t="n">
        <v>0</v>
      </c>
      <c r="K5">
        <f>IFERROR(INDEX(MATRIZ_174!$U:$U,MATCH(A5,MATRIZ_174!$A:$A,0)),"")</f>
        <v/>
      </c>
      <c r="L5">
        <f>IFERROR(MATRIZ_174!O5,0)</f>
        <v/>
      </c>
      <c r="M5" t="n">
        <v>0</v>
      </c>
      <c r="N5">
        <f>IFERROR(ISCAM_Score!AC6,"")</f>
        <v/>
      </c>
      <c r="O5" t="inlineStr">
        <is>
          <t>JUNIN</t>
        </is>
      </c>
    </row>
    <row r="6" ht="16.05" customHeight="1" s="37">
      <c r="A6" t="inlineStr">
        <is>
          <t>20132489824</t>
        </is>
      </c>
      <c r="B6" t="inlineStr">
        <is>
          <t>COOPERATIVA AGRARIA CAFETALERA CHANCAMAYO LTDA. N° 008-B-VII</t>
        </is>
      </c>
      <c r="C6" s="36">
        <f>IFERROR(ISCAM_Score!AL7,"—")</f>
        <v/>
      </c>
      <c r="D6">
        <f>IF(C6="—","— Sin Inst.2",IF(C6&lt;34,"🔴  Crítico",IF(C6&lt;67,"🟡  Vulnerable","🟢  Preparado")))</f>
        <v/>
      </c>
      <c r="E6">
        <f>IFERROR(RANK(C6,C:C,-1),"")</f>
        <v/>
      </c>
      <c r="F6">
        <f>IFERROR(MATRIZ_174!L6,0)</f>
        <v/>
      </c>
      <c r="G6">
        <f>IFERROR(MATRIZ_174!M6,0)</f>
        <v/>
      </c>
      <c r="H6" t="n">
        <v>0</v>
      </c>
      <c r="I6" t="n">
        <v>0</v>
      </c>
      <c r="J6" t="n">
        <v>0</v>
      </c>
      <c r="K6">
        <f>IFERROR(INDEX(MATRIZ_174!$U:$U,MATCH(A6,MATRIZ_174!$A:$A,0)),"")</f>
        <v/>
      </c>
      <c r="L6">
        <f>IFERROR(MATRIZ_174!O6,0)</f>
        <v/>
      </c>
      <c r="M6" t="n">
        <v>0</v>
      </c>
      <c r="N6">
        <f>IFERROR(ISCAM_Score!AC7,"")</f>
        <v/>
      </c>
      <c r="O6" t="inlineStr">
        <is>
          <t>CUSCO</t>
        </is>
      </c>
    </row>
    <row r="7" ht="16.05" customHeight="1" s="37">
      <c r="A7" t="inlineStr">
        <is>
          <t>20132505455</t>
        </is>
      </c>
      <c r="B7" t="inlineStr">
        <is>
          <t>COOPERATIVA AGRARIA CAFETALERA AGUILAYOC LTDA. 084</t>
        </is>
      </c>
      <c r="C7" s="36">
        <f>IFERROR(ISCAM_Score!AL8,"—")</f>
        <v/>
      </c>
      <c r="D7">
        <f>IF(C7="—","— Sin Inst.2",IF(C7&lt;34,"🔴  Crítico",IF(C7&lt;67,"🟡  Vulnerable","🟢  Preparado")))</f>
        <v/>
      </c>
      <c r="E7">
        <f>IFERROR(RANK(C7,C:C,-1),"")</f>
        <v/>
      </c>
      <c r="F7">
        <f>IFERROR(MATRIZ_174!L7,0)</f>
        <v/>
      </c>
      <c r="G7">
        <f>IFERROR(MATRIZ_174!M7,0)</f>
        <v/>
      </c>
      <c r="H7" t="n">
        <v>0</v>
      </c>
      <c r="I7" t="n">
        <v>0</v>
      </c>
      <c r="J7" t="n">
        <v>0</v>
      </c>
      <c r="K7">
        <f>IFERROR(INDEX(MATRIZ_174!$U:$U,MATCH(A7,MATRIZ_174!$A:$A,0)),"")</f>
        <v/>
      </c>
      <c r="L7">
        <f>IFERROR(MATRIZ_174!O7,0)</f>
        <v/>
      </c>
      <c r="M7" t="n">
        <v>0</v>
      </c>
      <c r="N7">
        <f>IFERROR(ISCAM_Score!AC8,"")</f>
        <v/>
      </c>
      <c r="O7" t="inlineStr">
        <is>
          <t>CUSCO</t>
        </is>
      </c>
    </row>
    <row r="8" ht="16.05" customHeight="1" s="37">
      <c r="A8" t="inlineStr">
        <is>
          <t>20132509795</t>
        </is>
      </c>
      <c r="B8" t="inlineStr">
        <is>
          <t>COOPERATIVA AGRARIA CAFETALERA JOSE OLAYA LTDA N° 252</t>
        </is>
      </c>
      <c r="C8" s="36">
        <f>IFERROR(ISCAM_Score!AL9,"—")</f>
        <v/>
      </c>
      <c r="D8">
        <f>IF(C8="—","— Sin Inst.2",IF(C8&lt;34,"🔴  Crítico",IF(C8&lt;67,"🟡  Vulnerable","🟢  Preparado")))</f>
        <v/>
      </c>
      <c r="E8">
        <f>IFERROR(RANK(C8,C:C,-1),"")</f>
        <v/>
      </c>
      <c r="F8">
        <f>IFERROR(MATRIZ_174!L8,0)</f>
        <v/>
      </c>
      <c r="G8">
        <f>IFERROR(MATRIZ_174!M8,0)</f>
        <v/>
      </c>
      <c r="H8" t="n">
        <v>0</v>
      </c>
      <c r="I8" t="n">
        <v>0</v>
      </c>
      <c r="J8" t="n">
        <v>0</v>
      </c>
      <c r="K8">
        <f>IFERROR(INDEX(MATRIZ_174!$U:$U,MATCH(A8,MATRIZ_174!$A:$A,0)),"")</f>
        <v/>
      </c>
      <c r="L8">
        <f>IFERROR(MATRIZ_174!O8,0)</f>
        <v/>
      </c>
      <c r="M8" t="n">
        <v>0</v>
      </c>
      <c r="N8">
        <f>IFERROR(ISCAM_Score!AC9,"")</f>
        <v/>
      </c>
      <c r="O8" t="inlineStr">
        <is>
          <t>CUSCO</t>
        </is>
      </c>
    </row>
    <row r="9" ht="16.05" customHeight="1" s="37">
      <c r="A9" t="inlineStr">
        <is>
          <t>20132509876</t>
        </is>
      </c>
      <c r="B9" t="inlineStr">
        <is>
          <t>COOPERATIVA AGRARIA CAFETALERA MARANURA LTDA. 129</t>
        </is>
      </c>
      <c r="C9" s="36">
        <f>IFERROR(ISCAM_Score!AL10,"—")</f>
        <v/>
      </c>
      <c r="D9">
        <f>IF(C9="—","— Sin Inst.2",IF(C9&lt;34,"🔴  Crítico",IF(C9&lt;67,"🟡  Vulnerable","🟢  Preparado")))</f>
        <v/>
      </c>
      <c r="E9">
        <f>IFERROR(RANK(C9,C:C,-1),"")</f>
        <v/>
      </c>
      <c r="F9">
        <f>IFERROR(MATRIZ_174!L9,0)</f>
        <v/>
      </c>
      <c r="G9">
        <f>IFERROR(MATRIZ_174!M9,0)</f>
        <v/>
      </c>
      <c r="H9" t="n">
        <v>0</v>
      </c>
      <c r="I9" t="n">
        <v>0</v>
      </c>
      <c r="J9" t="n">
        <v>0</v>
      </c>
      <c r="K9">
        <f>IFERROR(INDEX(MATRIZ_174!$U:$U,MATCH(A9,MATRIZ_174!$A:$A,0)),"")</f>
        <v/>
      </c>
      <c r="L9">
        <f>IFERROR(MATRIZ_174!O9,0)</f>
        <v/>
      </c>
      <c r="M9" t="n">
        <v>0</v>
      </c>
      <c r="N9">
        <f>IFERROR(ISCAM_Score!AC10,"")</f>
        <v/>
      </c>
      <c r="O9" t="inlineStr">
        <is>
          <t>CUSCO</t>
        </is>
      </c>
    </row>
    <row r="10" ht="16.05" customHeight="1" s="37">
      <c r="A10" t="inlineStr">
        <is>
          <t>20132517119</t>
        </is>
      </c>
      <c r="B10" t="inlineStr">
        <is>
          <t>COOPERATIVA AGRARIA CAFETALERA MATEO PUMACAHUA LTDA N° 185</t>
        </is>
      </c>
      <c r="C10" s="36">
        <f>IFERROR(ISCAM_Score!AL11,"—")</f>
        <v/>
      </c>
      <c r="D10">
        <f>IF(C10="—","— Sin Inst.2",IF(C10&lt;34,"🔴  Crítico",IF(C10&lt;67,"🟡  Vulnerable","🟢  Preparado")))</f>
        <v/>
      </c>
      <c r="E10">
        <f>IFERROR(RANK(C10,C:C,-1),"")</f>
        <v/>
      </c>
      <c r="F10">
        <f>IFERROR(MATRIZ_174!L10,0)</f>
        <v/>
      </c>
      <c r="G10">
        <f>IFERROR(MATRIZ_174!M10,0)</f>
        <v/>
      </c>
      <c r="H10" t="n">
        <v>0</v>
      </c>
      <c r="I10" t="n">
        <v>0</v>
      </c>
      <c r="J10" t="n">
        <v>0</v>
      </c>
      <c r="K10">
        <f>IFERROR(INDEX(MATRIZ_174!$U:$U,MATCH(A10,MATRIZ_174!$A:$A,0)),"")</f>
        <v/>
      </c>
      <c r="L10">
        <f>IFERROR(MATRIZ_174!O10,0)</f>
        <v/>
      </c>
      <c r="M10" t="n">
        <v>0</v>
      </c>
      <c r="N10">
        <f>IFERROR(ISCAM_Score!AC11,"")</f>
        <v/>
      </c>
      <c r="O10" t="inlineStr">
        <is>
          <t>CUSCO</t>
        </is>
      </c>
    </row>
    <row r="11" ht="16.05" customHeight="1" s="37">
      <c r="A11" t="inlineStr">
        <is>
          <t>20136201132</t>
        </is>
      </c>
      <c r="B11" t="inlineStr">
        <is>
          <t>COOPERATIVA AGRARIA CAFETALERA ALTO URUBAMBA LTDA N° 239</t>
        </is>
      </c>
      <c r="C11" s="36">
        <f>IFERROR(ISCAM_Score!AL12,"—")</f>
        <v/>
      </c>
      <c r="D11">
        <f>IF(C11="—","— Sin Inst.2",IF(C11&lt;34,"🔴  Crítico",IF(C11&lt;67,"🟡  Vulnerable","🟢  Preparado")))</f>
        <v/>
      </c>
      <c r="E11">
        <f>IFERROR(RANK(C11,C:C,-1),"")</f>
        <v/>
      </c>
      <c r="F11">
        <f>IFERROR(MATRIZ_174!L11,0)</f>
        <v/>
      </c>
      <c r="G11">
        <f>IFERROR(MATRIZ_174!M11,0)</f>
        <v/>
      </c>
      <c r="H11" t="n">
        <v>0</v>
      </c>
      <c r="I11" t="n">
        <v>0</v>
      </c>
      <c r="J11" t="n">
        <v>0</v>
      </c>
      <c r="K11">
        <f>IFERROR(INDEX(MATRIZ_174!$U:$U,MATCH(A11,MATRIZ_174!$A:$A,0)),"")</f>
        <v/>
      </c>
      <c r="L11">
        <f>IFERROR(MATRIZ_174!O11,0)</f>
        <v/>
      </c>
      <c r="M11" t="n">
        <v>0</v>
      </c>
      <c r="N11">
        <f>IFERROR(ISCAM_Score!AC12,"")</f>
        <v/>
      </c>
      <c r="O11" t="inlineStr">
        <is>
          <t>CUSCO</t>
        </is>
      </c>
    </row>
    <row r="12" ht="16.05" customHeight="1" s="37">
      <c r="A12" t="inlineStr">
        <is>
          <t>20136201213</t>
        </is>
      </c>
      <c r="B12" t="inlineStr">
        <is>
          <t xml:space="preserve">CENTRAL DE COOPERATIVAS AGRARIAS CAFETALERAS COCLA LTDA. N° </t>
        </is>
      </c>
      <c r="C12" s="36">
        <f>IFERROR(ISCAM_Score!AL13,"—")</f>
        <v/>
      </c>
      <c r="D12">
        <f>IF(C12="—","— Sin Inst.2",IF(C12&lt;34,"🔴  Crítico",IF(C12&lt;67,"🟡  Vulnerable","🟢  Preparado")))</f>
        <v/>
      </c>
      <c r="E12">
        <f>IFERROR(RANK(C12,C:C,-1),"")</f>
        <v/>
      </c>
      <c r="F12">
        <f>IFERROR(MATRIZ_174!L12,0)</f>
        <v/>
      </c>
      <c r="G12">
        <f>IFERROR(MATRIZ_174!M12,0)</f>
        <v/>
      </c>
      <c r="H12" t="n">
        <v>0</v>
      </c>
      <c r="I12" t="n">
        <v>0</v>
      </c>
      <c r="J12" t="n">
        <v>0</v>
      </c>
      <c r="K12">
        <f>IFERROR(INDEX(MATRIZ_174!$U:$U,MATCH(A12,MATRIZ_174!$A:$A,0)),"")</f>
        <v/>
      </c>
      <c r="L12">
        <f>IFERROR(MATRIZ_174!O12,0)</f>
        <v/>
      </c>
      <c r="M12" t="n">
        <v>0</v>
      </c>
      <c r="N12">
        <f>IFERROR(ISCAM_Score!AC13,"")</f>
        <v/>
      </c>
      <c r="O12" t="inlineStr">
        <is>
          <t>CUSCO</t>
        </is>
      </c>
    </row>
    <row r="13" ht="16.05" customHeight="1" s="37">
      <c r="A13" t="inlineStr">
        <is>
          <t>20140292657</t>
        </is>
      </c>
      <c r="B13" t="inlineStr">
        <is>
          <t>COOPERATIVA AGRARIA CAFETALERA CCOCHAPAMPA LTDA.</t>
        </is>
      </c>
      <c r="C13" s="36">
        <f>IFERROR(ISCAM_Score!AL14,"—")</f>
        <v/>
      </c>
      <c r="D13">
        <f>IF(C13="—","— Sin Inst.2",IF(C13&lt;34,"🔴  Crítico",IF(C13&lt;67,"🟡  Vulnerable","🟢  Preparado")))</f>
        <v/>
      </c>
      <c r="E13">
        <f>IFERROR(RANK(C13,C:C,-1),"")</f>
        <v/>
      </c>
      <c r="F13">
        <f>IFERROR(MATRIZ_174!L13,0)</f>
        <v/>
      </c>
      <c r="G13">
        <f>IFERROR(MATRIZ_174!M13,0)</f>
        <v/>
      </c>
      <c r="H13" t="n">
        <v>0</v>
      </c>
      <c r="I13" t="n">
        <v>0</v>
      </c>
      <c r="J13" t="n">
        <v>0</v>
      </c>
      <c r="K13">
        <f>IFERROR(INDEX(MATRIZ_174!$U:$U,MATCH(A13,MATRIZ_174!$A:$A,0)),"")</f>
        <v/>
      </c>
      <c r="L13">
        <f>IFERROR(MATRIZ_174!O13,0)</f>
        <v/>
      </c>
      <c r="M13" t="n">
        <v>0</v>
      </c>
      <c r="N13">
        <f>IFERROR(ISCAM_Score!AC14,"")</f>
        <v/>
      </c>
      <c r="O13" t="inlineStr">
        <is>
          <t>CUSCO</t>
        </is>
      </c>
    </row>
    <row r="14" ht="16.05" customHeight="1" s="37">
      <c r="A14" t="inlineStr">
        <is>
          <t>20143692010</t>
        </is>
      </c>
      <c r="B14" t="inlineStr">
        <is>
          <t>COOPERATIVA AGRARIA EL QUINACHO LTDA. N° 078</t>
        </is>
      </c>
      <c r="C14" s="36">
        <f>IFERROR(ISCAM_Score!AL15,"—")</f>
        <v/>
      </c>
      <c r="D14">
        <f>IF(C14="—","— Sin Inst.2",IF(C14&lt;34,"🔴  Crítico",IF(C14&lt;67,"🟡  Vulnerable","🟢  Preparado")))</f>
        <v/>
      </c>
      <c r="E14">
        <f>IFERROR(RANK(C14,C:C,-1),"")</f>
        <v/>
      </c>
      <c r="F14">
        <f>IFERROR(MATRIZ_174!L14,0)</f>
        <v/>
      </c>
      <c r="G14">
        <f>IFERROR(MATRIZ_174!M14,0)</f>
        <v/>
      </c>
      <c r="H14" t="n">
        <v>0</v>
      </c>
      <c r="I14" t="n">
        <v>0</v>
      </c>
      <c r="J14" t="n">
        <v>0</v>
      </c>
      <c r="K14">
        <f>IFERROR(INDEX(MATRIZ_174!$U:$U,MATCH(A14,MATRIZ_174!$A:$A,0)),"")</f>
        <v/>
      </c>
      <c r="L14">
        <f>IFERROR(MATRIZ_174!O14,0)</f>
        <v/>
      </c>
      <c r="M14" t="n">
        <v>0</v>
      </c>
      <c r="N14">
        <f>IFERROR(ISCAM_Score!AC15,"")</f>
        <v/>
      </c>
      <c r="O14" t="inlineStr">
        <is>
          <t>AYACUCHO</t>
        </is>
      </c>
    </row>
    <row r="15" ht="16.05" customHeight="1" s="37">
      <c r="A15" t="inlineStr">
        <is>
          <t>20145484597</t>
        </is>
      </c>
      <c r="B15" t="inlineStr">
        <is>
          <t>COOPERATIVA AGRARIA CAFETALERA SAN IGNACIO LTDA.</t>
        </is>
      </c>
      <c r="C15" s="36">
        <f>IFERROR(ISCAM_Score!AL16,"—")</f>
        <v/>
      </c>
      <c r="D15">
        <f>IF(C15="—","— Sin Inst.2",IF(C15&lt;34,"🔴  Crítico",IF(C15&lt;67,"🟡  Vulnerable","🟢  Preparado")))</f>
        <v/>
      </c>
      <c r="E15">
        <f>IFERROR(RANK(C15,C:C,-1),"")</f>
        <v/>
      </c>
      <c r="F15">
        <f>IFERROR(MATRIZ_174!L15,0)</f>
        <v/>
      </c>
      <c r="G15">
        <f>IFERROR(MATRIZ_174!M15,0)</f>
        <v/>
      </c>
      <c r="H15" t="n">
        <v>0</v>
      </c>
      <c r="I15" t="n">
        <v>0</v>
      </c>
      <c r="J15" t="n">
        <v>0</v>
      </c>
      <c r="K15">
        <f>IFERROR(INDEX(MATRIZ_174!$U:$U,MATCH(A15,MATRIZ_174!$A:$A,0)),"")</f>
        <v/>
      </c>
      <c r="L15">
        <f>IFERROR(MATRIZ_174!O15,0)</f>
        <v/>
      </c>
      <c r="M15" t="n">
        <v>0</v>
      </c>
      <c r="N15">
        <f>IFERROR(ISCAM_Score!AC16,"")</f>
        <v/>
      </c>
      <c r="O15" t="inlineStr">
        <is>
          <t>PUNO</t>
        </is>
      </c>
    </row>
    <row r="16" ht="16.05" customHeight="1" s="37">
      <c r="A16" t="inlineStr">
        <is>
          <t>20146696041</t>
        </is>
      </c>
      <c r="B16" t="inlineStr">
        <is>
          <t>COOP AGRARIA CAFET JOSE GABRIEL CONDORCA</t>
        </is>
      </c>
      <c r="C16" s="36">
        <f>IFERROR(ISCAM_Score!AL17,"—")</f>
        <v/>
      </c>
      <c r="D16">
        <f>IF(C16="—","— Sin Inst.2",IF(C16&lt;34,"🔴  Crítico",IF(C16&lt;67,"🟡  Vulnerable","🟢  Preparado")))</f>
        <v/>
      </c>
      <c r="E16">
        <f>IFERROR(RANK(C16,C:C,-1),"")</f>
        <v/>
      </c>
      <c r="F16">
        <f>IFERROR(MATRIZ_174!L16,0)</f>
        <v/>
      </c>
      <c r="G16">
        <f>IFERROR(MATRIZ_174!M16,0)</f>
        <v/>
      </c>
      <c r="H16" t="n">
        <v>0</v>
      </c>
      <c r="I16" t="n">
        <v>0</v>
      </c>
      <c r="J16" t="n">
        <v>0</v>
      </c>
      <c r="K16">
        <f>IFERROR(INDEX(MATRIZ_174!$U:$U,MATCH(A16,MATRIZ_174!$A:$A,0)),"")</f>
        <v/>
      </c>
      <c r="L16">
        <f>IFERROR(MATRIZ_174!O16,0)</f>
        <v/>
      </c>
      <c r="M16" t="n">
        <v>0</v>
      </c>
      <c r="N16">
        <f>IFERROR(ISCAM_Score!AC17,"")</f>
        <v/>
      </c>
      <c r="O16" t="inlineStr">
        <is>
          <t>PIURA</t>
        </is>
      </c>
    </row>
    <row r="17" ht="16.05" customHeight="1" s="37">
      <c r="A17" t="inlineStr">
        <is>
          <t>20147443120</t>
        </is>
      </c>
      <c r="B17" t="inlineStr">
        <is>
          <t>COOPERATIVA AGRARIA CAFETALERA TIRIJUAY PAVAYOC LTDA 013-B-V</t>
        </is>
      </c>
      <c r="C17" s="36">
        <f>IFERROR(ISCAM_Score!AL18,"—")</f>
        <v/>
      </c>
      <c r="D17">
        <f>IF(C17="—","— Sin Inst.2",IF(C17&lt;34,"🔴  Crítico",IF(C17&lt;67,"🟡  Vulnerable","🟢  Preparado")))</f>
        <v/>
      </c>
      <c r="E17">
        <f>IFERROR(RANK(C17,C:C,-1),"")</f>
        <v/>
      </c>
      <c r="F17">
        <f>IFERROR(MATRIZ_174!L17,0)</f>
        <v/>
      </c>
      <c r="G17">
        <f>IFERROR(MATRIZ_174!M17,0)</f>
        <v/>
      </c>
      <c r="H17" t="n">
        <v>0</v>
      </c>
      <c r="I17" t="n">
        <v>0</v>
      </c>
      <c r="J17" t="n">
        <v>0</v>
      </c>
      <c r="K17">
        <f>IFERROR(INDEX(MATRIZ_174!$U:$U,MATCH(A17,MATRIZ_174!$A:$A,0)),"")</f>
        <v/>
      </c>
      <c r="L17">
        <f>IFERROR(MATRIZ_174!O17,0)</f>
        <v/>
      </c>
      <c r="M17" t="n">
        <v>0</v>
      </c>
      <c r="N17">
        <f>IFERROR(ISCAM_Score!AC18,"")</f>
        <v/>
      </c>
      <c r="O17" t="inlineStr">
        <is>
          <t>CUSCO</t>
        </is>
      </c>
    </row>
    <row r="18" ht="16.05" customHeight="1" s="37">
      <c r="A18" t="inlineStr">
        <is>
          <t>20166786861</t>
        </is>
      </c>
      <c r="B18" t="inlineStr">
        <is>
          <t>COMITE CENTRAL DE PRODUCTORES AGROPECUARIOS DE SAN ALEJANDRO</t>
        </is>
      </c>
      <c r="C18" s="36">
        <f>IFERROR(ISCAM_Score!AL19,"—")</f>
        <v/>
      </c>
      <c r="D18">
        <f>IF(C18="—","— Sin Inst.2",IF(C18&lt;34,"🔴  Crítico",IF(C18&lt;67,"🟡  Vulnerable","🟢  Preparado")))</f>
        <v/>
      </c>
      <c r="E18">
        <f>IFERROR(RANK(C18,C:C,-1),"")</f>
        <v/>
      </c>
      <c r="F18">
        <f>IFERROR(MATRIZ_174!L18,0)</f>
        <v/>
      </c>
      <c r="G18">
        <f>IFERROR(MATRIZ_174!M18,0)</f>
        <v/>
      </c>
      <c r="H18" t="n">
        <v>0</v>
      </c>
      <c r="I18" t="n">
        <v>0</v>
      </c>
      <c r="J18" t="n">
        <v>0</v>
      </c>
      <c r="K18">
        <f>IFERROR(INDEX(MATRIZ_174!$U:$U,MATCH(A18,MATRIZ_174!$A:$A,0)),"")</f>
        <v/>
      </c>
      <c r="L18">
        <f>IFERROR(MATRIZ_174!O18,0)</f>
        <v/>
      </c>
      <c r="M18" t="n">
        <v>0</v>
      </c>
      <c r="N18">
        <f>IFERROR(ISCAM_Score!AC19,"")</f>
        <v/>
      </c>
      <c r="O18" t="inlineStr">
        <is>
          <t>UCAYALI</t>
        </is>
      </c>
    </row>
    <row r="19" ht="16.05" customHeight="1" s="37">
      <c r="A19" t="inlineStr">
        <is>
          <t>20170142773</t>
        </is>
      </c>
      <c r="B19" t="inlineStr">
        <is>
          <t>COOPERATIVA AGRARIA CAFETALERA BAGUA GRANDE LIMITADA</t>
        </is>
      </c>
      <c r="C19" s="36">
        <f>IFERROR(ISCAM_Score!AL20,"—")</f>
        <v/>
      </c>
      <c r="D19">
        <f>IF(C19="—","— Sin Inst.2",IF(C19&lt;34,"🔴  Crítico",IF(C19&lt;67,"🟡  Vulnerable","🟢  Preparado")))</f>
        <v/>
      </c>
      <c r="E19">
        <f>IFERROR(RANK(C19,C:C,-1),"")</f>
        <v/>
      </c>
      <c r="F19">
        <f>IFERROR(MATRIZ_174!L19,0)</f>
        <v/>
      </c>
      <c r="G19">
        <f>IFERROR(MATRIZ_174!M19,0)</f>
        <v/>
      </c>
      <c r="H19" t="n">
        <v>0</v>
      </c>
      <c r="I19" t="n">
        <v>0</v>
      </c>
      <c r="J19" t="n">
        <v>0</v>
      </c>
      <c r="K19">
        <f>IFERROR(INDEX(MATRIZ_174!$U:$U,MATCH(A19,MATRIZ_174!$A:$A,0)),"")</f>
        <v/>
      </c>
      <c r="L19">
        <f>IFERROR(MATRIZ_174!O19,0)</f>
        <v/>
      </c>
      <c r="M19" t="n">
        <v>0</v>
      </c>
      <c r="N19">
        <f>IFERROR(ISCAM_Score!AC20,"")</f>
        <v/>
      </c>
      <c r="O19" t="inlineStr">
        <is>
          <t>AMAZONAS</t>
        </is>
      </c>
    </row>
    <row r="20" ht="16.05" customHeight="1" s="37">
      <c r="A20" t="inlineStr">
        <is>
          <t>20200880448</t>
        </is>
      </c>
      <c r="B20" t="inlineStr">
        <is>
          <t>COOPERATIVA AGRARIA CAFETALERA JORGE CHAVEZ LTDA</t>
        </is>
      </c>
      <c r="C20" s="36">
        <f>IFERROR(ISCAM_Score!AL21,"—")</f>
        <v/>
      </c>
      <c r="D20">
        <f>IF(C20="—","— Sin Inst.2",IF(C20&lt;34,"🔴  Crítico",IF(C20&lt;67,"🟡  Vulnerable","🟢  Preparado")))</f>
        <v/>
      </c>
      <c r="E20">
        <f>IFERROR(RANK(C20,C:C,-1),"")</f>
        <v/>
      </c>
      <c r="F20">
        <f>IFERROR(MATRIZ_174!L20,0)</f>
        <v/>
      </c>
      <c r="G20">
        <f>IFERROR(MATRIZ_174!M20,0)</f>
        <v/>
      </c>
      <c r="H20" t="n">
        <v>0</v>
      </c>
      <c r="I20" t="n">
        <v>0</v>
      </c>
      <c r="J20" t="n">
        <v>0</v>
      </c>
      <c r="K20">
        <f>IFERROR(INDEX(MATRIZ_174!$U:$U,MATCH(A20,MATRIZ_174!$A:$A,0)),"")</f>
        <v/>
      </c>
      <c r="L20">
        <f>IFERROR(MATRIZ_174!O20,0)</f>
        <v/>
      </c>
      <c r="M20" t="n">
        <v>0</v>
      </c>
      <c r="N20">
        <f>IFERROR(ISCAM_Score!AC21,"")</f>
        <v/>
      </c>
      <c r="O20" t="inlineStr">
        <is>
          <t>CUSCO</t>
        </is>
      </c>
    </row>
    <row r="21" ht="16.05" customHeight="1" s="37">
      <c r="A21" t="inlineStr">
        <is>
          <t>20352417018</t>
        </is>
      </c>
      <c r="B21" t="inlineStr">
        <is>
          <t>COOPERATIVA AGRARIA DE CACAOTEROS TECNIFICADOS DE PADRE ABAD</t>
        </is>
      </c>
      <c r="C21" s="36">
        <f>IFERROR(ISCAM_Score!AL22,"—")</f>
        <v/>
      </c>
      <c r="D21">
        <f>IF(C21="—","— Sin Inst.2",IF(C21&lt;34,"🔴  Crítico",IF(C21&lt;67,"🟡  Vulnerable","🟢  Preparado")))</f>
        <v/>
      </c>
      <c r="E21">
        <f>IFERROR(RANK(C21,C:C,-1),"")</f>
        <v/>
      </c>
      <c r="F21">
        <f>IFERROR(MATRIZ_174!L21,0)</f>
        <v/>
      </c>
      <c r="G21">
        <f>IFERROR(MATRIZ_174!M21,0)</f>
        <v/>
      </c>
      <c r="H21" t="n">
        <v>0</v>
      </c>
      <c r="I21" t="n">
        <v>0</v>
      </c>
      <c r="J21" t="n">
        <v>0</v>
      </c>
      <c r="K21">
        <f>IFERROR(INDEX(MATRIZ_174!$U:$U,MATCH(A21,MATRIZ_174!$A:$A,0)),"")</f>
        <v/>
      </c>
      <c r="L21">
        <f>IFERROR(MATRIZ_174!O21,0)</f>
        <v/>
      </c>
      <c r="M21" t="n">
        <v>0</v>
      </c>
      <c r="N21">
        <f>IFERROR(ISCAM_Score!AC22,"")</f>
        <v/>
      </c>
      <c r="O21" t="inlineStr">
        <is>
          <t>UCAYALI</t>
        </is>
      </c>
    </row>
    <row r="22" ht="16.05" customHeight="1" s="37">
      <c r="A22" t="inlineStr">
        <is>
          <t>20352423921</t>
        </is>
      </c>
      <c r="B22" t="inlineStr">
        <is>
          <t>COOPERATIVA AGRARIA CAFETALERA DIVISORIA LTDA</t>
        </is>
      </c>
      <c r="C22" s="36">
        <f>IFERROR(ISCAM_Score!AL23,"—")</f>
        <v/>
      </c>
      <c r="D22">
        <f>IF(C22="—","— Sin Inst.2",IF(C22&lt;34,"🔴  Crítico",IF(C22&lt;67,"🟡  Vulnerable","🟢  Preparado")))</f>
        <v/>
      </c>
      <c r="E22">
        <f>IFERROR(RANK(C22,C:C,-1),"")</f>
        <v/>
      </c>
      <c r="F22">
        <f>IFERROR(MATRIZ_174!L22,0)</f>
        <v/>
      </c>
      <c r="G22">
        <f>IFERROR(MATRIZ_174!M22,0)</f>
        <v/>
      </c>
      <c r="H22" t="n">
        <v>0</v>
      </c>
      <c r="I22" t="n">
        <v>0</v>
      </c>
      <c r="J22" t="n">
        <v>0</v>
      </c>
      <c r="K22">
        <f>IFERROR(INDEX(MATRIZ_174!$U:$U,MATCH(A22,MATRIZ_174!$A:$A,0)),"")</f>
        <v/>
      </c>
      <c r="L22">
        <f>IFERROR(MATRIZ_174!O22,0)</f>
        <v/>
      </c>
      <c r="M22" t="n">
        <v>0</v>
      </c>
      <c r="N22">
        <f>IFERROR(ISCAM_Score!AC23,"")</f>
        <v/>
      </c>
      <c r="O22" t="inlineStr">
        <is>
          <t>HUANUCO</t>
        </is>
      </c>
    </row>
    <row r="23" ht="16.05" customHeight="1" s="37">
      <c r="A23" t="inlineStr">
        <is>
          <t>20393152207</t>
        </is>
      </c>
      <c r="B23" t="inlineStr">
        <is>
          <t>COOPERATIVA AGRO INDUSTRIAL APCTVASH</t>
        </is>
      </c>
      <c r="C23" s="36">
        <f>IFERROR(ISCAM_Score!AL24,"—")</f>
        <v/>
      </c>
      <c r="D23">
        <f>IF(C23="—","— Sin Inst.2",IF(C23&lt;34,"🔴  Crítico",IF(C23&lt;67,"🟡  Vulnerable","🟢  Preparado")))</f>
        <v/>
      </c>
      <c r="E23">
        <f>IFERROR(RANK(C23,C:C,-1),"")</f>
        <v/>
      </c>
      <c r="F23">
        <f>IFERROR(MATRIZ_174!L23,0)</f>
        <v/>
      </c>
      <c r="G23">
        <f>IFERROR(MATRIZ_174!M23,0)</f>
        <v/>
      </c>
      <c r="H23" t="n">
        <v>0</v>
      </c>
      <c r="I23" t="n">
        <v>0</v>
      </c>
      <c r="J23" t="n">
        <v>0</v>
      </c>
      <c r="K23">
        <f>IFERROR(INDEX(MATRIZ_174!$U:$U,MATCH(A23,MATRIZ_174!$A:$A,0)),"")</f>
        <v/>
      </c>
      <c r="L23">
        <f>IFERROR(MATRIZ_174!O23,0)</f>
        <v/>
      </c>
      <c r="M23" t="n">
        <v>0</v>
      </c>
      <c r="N23">
        <f>IFERROR(ISCAM_Score!AC24,"")</f>
        <v/>
      </c>
      <c r="O23" t="inlineStr">
        <is>
          <t>UCAYALI</t>
        </is>
      </c>
    </row>
    <row r="24" ht="16.05" customHeight="1" s="37">
      <c r="A24" t="inlineStr">
        <is>
          <t>20393593670</t>
        </is>
      </c>
      <c r="B24" t="inlineStr">
        <is>
          <t>COMITE CENTRAL CON DESARROLLO AL FUTURO DE CURIMANA</t>
        </is>
      </c>
      <c r="C24" s="36">
        <f>IFERROR(ISCAM_Score!AL25,"—")</f>
        <v/>
      </c>
      <c r="D24">
        <f>IF(C24="—","— Sin Inst.2",IF(C24&lt;34,"🔴  Crítico",IF(C24&lt;67,"🟡  Vulnerable","🟢  Preparado")))</f>
        <v/>
      </c>
      <c r="E24">
        <f>IFERROR(RANK(C24,C:C,-1),"")</f>
        <v/>
      </c>
      <c r="F24">
        <f>IFERROR(MATRIZ_174!L24,0)</f>
        <v/>
      </c>
      <c r="G24">
        <f>IFERROR(MATRIZ_174!M24,0)</f>
        <v/>
      </c>
      <c r="H24" t="n">
        <v>0</v>
      </c>
      <c r="I24" t="n">
        <v>0</v>
      </c>
      <c r="J24" t="n">
        <v>0</v>
      </c>
      <c r="K24">
        <f>IFERROR(INDEX(MATRIZ_174!$U:$U,MATCH(A24,MATRIZ_174!$A:$A,0)),"")</f>
        <v/>
      </c>
      <c r="L24">
        <f>IFERROR(MATRIZ_174!O24,0)</f>
        <v/>
      </c>
      <c r="M24" t="n">
        <v>0</v>
      </c>
      <c r="N24">
        <f>IFERROR(ISCAM_Score!AC25,"")</f>
        <v/>
      </c>
      <c r="O24" t="inlineStr">
        <is>
          <t>UCAYALI</t>
        </is>
      </c>
    </row>
    <row r="25" ht="16.05" customHeight="1" s="37">
      <c r="A25" t="inlineStr">
        <is>
          <t>20393692228</t>
        </is>
      </c>
      <c r="B25" t="inlineStr">
        <is>
          <t>COOPERATIVA AGRARIA CACAOTERA SAN ALEJANDRO LTDA</t>
        </is>
      </c>
      <c r="C25" s="36">
        <f>IFERROR(ISCAM_Score!AL26,"—")</f>
        <v/>
      </c>
      <c r="D25">
        <f>IF(C25="—","— Sin Inst.2",IF(C25&lt;34,"🔴  Crítico",IF(C25&lt;67,"🟡  Vulnerable","🟢  Preparado")))</f>
        <v/>
      </c>
      <c r="E25">
        <f>IFERROR(RANK(C25,C:C,-1),"")</f>
        <v/>
      </c>
      <c r="F25">
        <f>IFERROR(MATRIZ_174!L25,0)</f>
        <v/>
      </c>
      <c r="G25">
        <f>IFERROR(MATRIZ_174!M25,0)</f>
        <v/>
      </c>
      <c r="H25" t="n">
        <v>0</v>
      </c>
      <c r="I25" t="n">
        <v>0</v>
      </c>
      <c r="J25" t="n">
        <v>0</v>
      </c>
      <c r="K25">
        <f>IFERROR(INDEX(MATRIZ_174!$U:$U,MATCH(A25,MATRIZ_174!$A:$A,0)),"")</f>
        <v/>
      </c>
      <c r="L25">
        <f>IFERROR(MATRIZ_174!O25,0)</f>
        <v/>
      </c>
      <c r="M25" t="n">
        <v>0</v>
      </c>
      <c r="N25">
        <f>IFERROR(ISCAM_Score!AC26,"")</f>
        <v/>
      </c>
      <c r="O25" t="inlineStr">
        <is>
          <t>UCAYALI</t>
        </is>
      </c>
    </row>
    <row r="26" ht="16.05" customHeight="1" s="37">
      <c r="A26" t="inlineStr">
        <is>
          <t>20393786044</t>
        </is>
      </c>
      <c r="B26" t="inlineStr">
        <is>
          <t>COOPERATIVA AGRARIA CAFETALERA COORDILLERA AZUL DE UCAYALI L</t>
        </is>
      </c>
      <c r="C26" s="36">
        <f>IFERROR(ISCAM_Score!AL27,"—")</f>
        <v/>
      </c>
      <c r="D26">
        <f>IF(C26="—","— Sin Inst.2",IF(C26&lt;34,"🔴  Crítico",IF(C26&lt;67,"🟡  Vulnerable","🟢  Preparado")))</f>
        <v/>
      </c>
      <c r="E26">
        <f>IFERROR(RANK(C26,C:C,-1),"")</f>
        <v/>
      </c>
      <c r="F26">
        <f>IFERROR(MATRIZ_174!L26,0)</f>
        <v/>
      </c>
      <c r="G26">
        <f>IFERROR(MATRIZ_174!M26,0)</f>
        <v/>
      </c>
      <c r="H26" t="n">
        <v>0</v>
      </c>
      <c r="I26" t="n">
        <v>0</v>
      </c>
      <c r="J26" t="n">
        <v>0</v>
      </c>
      <c r="K26">
        <f>IFERROR(INDEX(MATRIZ_174!$U:$U,MATCH(A26,MATRIZ_174!$A:$A,0)),"")</f>
        <v/>
      </c>
      <c r="L26">
        <f>IFERROR(MATRIZ_174!O26,0)</f>
        <v/>
      </c>
      <c r="M26" t="n">
        <v>0</v>
      </c>
      <c r="N26">
        <f>IFERROR(ISCAM_Score!AC27,"")</f>
        <v/>
      </c>
      <c r="O26" t="inlineStr">
        <is>
          <t>UCAYALI</t>
        </is>
      </c>
    </row>
    <row r="27" ht="16.05" customHeight="1" s="37">
      <c r="A27" t="inlineStr">
        <is>
          <t>20393816211</t>
        </is>
      </c>
      <c r="B27" t="inlineStr">
        <is>
          <t>COOPERATIVA AGRARIA SAN JUAN BAUTISTA</t>
        </is>
      </c>
      <c r="C27" s="36">
        <f>IFERROR(ISCAM_Score!AL28,"—")</f>
        <v/>
      </c>
      <c r="D27">
        <f>IF(C27="—","— Sin Inst.2",IF(C27&lt;34,"🔴  Crítico",IF(C27&lt;67,"🟡  Vulnerable","🟢  Preparado")))</f>
        <v/>
      </c>
      <c r="E27">
        <f>IFERROR(RANK(C27,C:C,-1),"")</f>
        <v/>
      </c>
      <c r="F27">
        <f>IFERROR(MATRIZ_174!L27,0)</f>
        <v/>
      </c>
      <c r="G27">
        <f>IFERROR(MATRIZ_174!M27,0)</f>
        <v/>
      </c>
      <c r="H27" t="n">
        <v>0</v>
      </c>
      <c r="I27" t="n">
        <v>0</v>
      </c>
      <c r="J27" t="n">
        <v>0</v>
      </c>
      <c r="K27">
        <f>IFERROR(INDEX(MATRIZ_174!$U:$U,MATCH(A27,MATRIZ_174!$A:$A,0)),"")</f>
        <v/>
      </c>
      <c r="L27">
        <f>IFERROR(MATRIZ_174!O27,0)</f>
        <v/>
      </c>
      <c r="M27" t="n">
        <v>0</v>
      </c>
      <c r="N27">
        <f>IFERROR(ISCAM_Score!AC28,"")</f>
        <v/>
      </c>
      <c r="O27" t="inlineStr">
        <is>
          <t>UCAYALI</t>
        </is>
      </c>
    </row>
    <row r="28" ht="16.05" customHeight="1" s="37">
      <c r="A28" t="inlineStr">
        <is>
          <t>20393882868</t>
        </is>
      </c>
      <c r="B28" t="inlineStr">
        <is>
          <t>COOPERATIVA AGRARIA ASCAH</t>
        </is>
      </c>
      <c r="C28" s="36">
        <f>IFERROR(ISCAM_Score!AL29,"—")</f>
        <v/>
      </c>
      <c r="D28">
        <f>IF(C28="—","— Sin Inst.2",IF(C28&lt;34,"🔴  Crítico",IF(C28&lt;67,"🟡  Vulnerable","🟢  Preparado")))</f>
        <v/>
      </c>
      <c r="E28">
        <f>IFERROR(RANK(C28,C:C,-1),"")</f>
        <v/>
      </c>
      <c r="F28">
        <f>IFERROR(MATRIZ_174!L28,0)</f>
        <v/>
      </c>
      <c r="G28">
        <f>IFERROR(MATRIZ_174!M28,0)</f>
        <v/>
      </c>
      <c r="H28" t="n">
        <v>0</v>
      </c>
      <c r="I28" t="n">
        <v>0</v>
      </c>
      <c r="J28" t="n">
        <v>0</v>
      </c>
      <c r="K28">
        <f>IFERROR(INDEX(MATRIZ_174!$U:$U,MATCH(A28,MATRIZ_174!$A:$A,0)),"")</f>
        <v/>
      </c>
      <c r="L28">
        <f>IFERROR(MATRIZ_174!O28,0)</f>
        <v/>
      </c>
      <c r="M28" t="n">
        <v>0</v>
      </c>
      <c r="N28">
        <f>IFERROR(ISCAM_Score!AC29,"")</f>
        <v/>
      </c>
      <c r="O28" t="inlineStr">
        <is>
          <t>UCAYALI</t>
        </is>
      </c>
    </row>
    <row r="29" ht="16.05" customHeight="1" s="37">
      <c r="A29" t="inlineStr">
        <is>
          <t>20393972000</t>
        </is>
      </c>
      <c r="B29" t="inlineStr">
        <is>
          <t>ASOCIACION DE MUJERES EMPRENDEDORAS FLOR DE BOQUERON</t>
        </is>
      </c>
      <c r="C29" s="36">
        <f>IFERROR(ISCAM_Score!AL30,"—")</f>
        <v/>
      </c>
      <c r="D29">
        <f>IF(C29="—","— Sin Inst.2",IF(C29&lt;34,"🔴  Crítico",IF(C29&lt;67,"🟡  Vulnerable","🟢  Preparado")))</f>
        <v/>
      </c>
      <c r="E29">
        <f>IFERROR(RANK(C29,C:C,-1),"")</f>
        <v/>
      </c>
      <c r="F29">
        <f>IFERROR(MATRIZ_174!L29,0)</f>
        <v/>
      </c>
      <c r="G29">
        <f>IFERROR(MATRIZ_174!M29,0)</f>
        <v/>
      </c>
      <c r="H29" t="n">
        <v>0</v>
      </c>
      <c r="I29" t="n">
        <v>0</v>
      </c>
      <c r="J29" t="n">
        <v>0</v>
      </c>
      <c r="K29">
        <f>IFERROR(INDEX(MATRIZ_174!$U:$U,MATCH(A29,MATRIZ_174!$A:$A,0)),"")</f>
        <v/>
      </c>
      <c r="L29">
        <f>IFERROR(MATRIZ_174!O29,0)</f>
        <v/>
      </c>
      <c r="M29" t="n">
        <v>0</v>
      </c>
      <c r="N29">
        <f>IFERROR(ISCAM_Score!AC30,"")</f>
        <v/>
      </c>
      <c r="O29" t="inlineStr">
        <is>
          <t>UCAYALI</t>
        </is>
      </c>
    </row>
    <row r="30" ht="16.05" customHeight="1" s="37">
      <c r="A30" t="inlineStr">
        <is>
          <t>20447888701</t>
        </is>
      </c>
      <c r="B30" t="inlineStr">
        <is>
          <t>COOPERATIVA AGRARIA INDUSTRIAL SAN GABAN LTDA.</t>
        </is>
      </c>
      <c r="C30" s="36">
        <f>IFERROR(ISCAM_Score!AL31,"—")</f>
        <v/>
      </c>
      <c r="D30">
        <f>IF(C30="—","— Sin Inst.2",IF(C30&lt;34,"🔴  Crítico",IF(C30&lt;67,"🟡  Vulnerable","🟢  Preparado")))</f>
        <v/>
      </c>
      <c r="E30">
        <f>IFERROR(RANK(C30,C:C,-1),"")</f>
        <v/>
      </c>
      <c r="F30">
        <f>IFERROR(MATRIZ_174!L30,0)</f>
        <v/>
      </c>
      <c r="G30">
        <f>IFERROR(MATRIZ_174!M30,0)</f>
        <v/>
      </c>
      <c r="H30" t="n">
        <v>0</v>
      </c>
      <c r="I30" t="n">
        <v>0</v>
      </c>
      <c r="J30" t="n">
        <v>0</v>
      </c>
      <c r="K30">
        <f>IFERROR(INDEX(MATRIZ_174!$U:$U,MATCH(A30,MATRIZ_174!$A:$A,0)),"")</f>
        <v/>
      </c>
      <c r="L30">
        <f>IFERROR(MATRIZ_174!O30,0)</f>
        <v/>
      </c>
      <c r="M30" t="n">
        <v>0</v>
      </c>
      <c r="N30">
        <f>IFERROR(ISCAM_Score!AC31,"")</f>
        <v/>
      </c>
      <c r="O30" t="inlineStr">
        <is>
          <t>PUNO</t>
        </is>
      </c>
    </row>
    <row r="31" ht="16.05" customHeight="1" s="37">
      <c r="A31" t="inlineStr">
        <is>
          <t>20450189201</t>
        </is>
      </c>
      <c r="B31" t="inlineStr">
        <is>
          <t>COOPERATIVA DE SERVICIOS MULTIPLES FRUTOS DE SELVA</t>
        </is>
      </c>
      <c r="C31" s="36">
        <f>IFERROR(ISCAM_Score!AL32,"—")</f>
        <v/>
      </c>
      <c r="D31">
        <f>IF(C31="—","— Sin Inst.2",IF(C31&lt;34,"🔴  Crítico",IF(C31&lt;67,"🟡  Vulnerable","🟢  Preparado")))</f>
        <v/>
      </c>
      <c r="E31">
        <f>IFERROR(RANK(C31,C:C,-1),"")</f>
        <v/>
      </c>
      <c r="F31">
        <f>IFERROR(MATRIZ_174!L31,0)</f>
        <v/>
      </c>
      <c r="G31">
        <f>IFERROR(MATRIZ_174!M31,0)</f>
        <v/>
      </c>
      <c r="H31" t="n">
        <v>0</v>
      </c>
      <c r="I31" t="n">
        <v>0</v>
      </c>
      <c r="J31" t="n">
        <v>0</v>
      </c>
      <c r="K31">
        <f>IFERROR(INDEX(MATRIZ_174!$U:$U,MATCH(A31,MATRIZ_174!$A:$A,0)),"")</f>
        <v/>
      </c>
      <c r="L31">
        <f>IFERROR(MATRIZ_174!O31,0)</f>
        <v/>
      </c>
      <c r="M31" t="n">
        <v>0</v>
      </c>
      <c r="N31">
        <f>IFERROR(ISCAM_Score!AC32,"")</f>
        <v/>
      </c>
      <c r="O31" t="inlineStr">
        <is>
          <t>SAN MARTIN</t>
        </is>
      </c>
    </row>
    <row r="32" ht="16.05" customHeight="1" s="37">
      <c r="A32" t="inlineStr">
        <is>
          <t>20450207544</t>
        </is>
      </c>
      <c r="B32" t="inlineStr">
        <is>
          <t>COOPERATIVA AGRARIA UCHIZA LTDA</t>
        </is>
      </c>
      <c r="C32" s="36">
        <f>IFERROR(ISCAM_Score!AL33,"—")</f>
        <v/>
      </c>
      <c r="D32">
        <f>IF(C32="—","— Sin Inst.2",IF(C32&lt;34,"🔴  Crítico",IF(C32&lt;67,"🟡  Vulnerable","🟢  Preparado")))</f>
        <v/>
      </c>
      <c r="E32">
        <f>IFERROR(RANK(C32,C:C,-1),"")</f>
        <v/>
      </c>
      <c r="F32">
        <f>IFERROR(MATRIZ_174!L32,0)</f>
        <v/>
      </c>
      <c r="G32">
        <f>IFERROR(MATRIZ_174!M32,0)</f>
        <v/>
      </c>
      <c r="H32" t="n">
        <v>0</v>
      </c>
      <c r="I32" t="n">
        <v>0</v>
      </c>
      <c r="J32" t="n">
        <v>0</v>
      </c>
      <c r="K32">
        <f>IFERROR(INDEX(MATRIZ_174!$U:$U,MATCH(A32,MATRIZ_174!$A:$A,0)),"")</f>
        <v/>
      </c>
      <c r="L32">
        <f>IFERROR(MATRIZ_174!O32,0)</f>
        <v/>
      </c>
      <c r="M32" t="n">
        <v>0</v>
      </c>
      <c r="N32">
        <f>IFERROR(ISCAM_Score!AC33,"")</f>
        <v/>
      </c>
      <c r="O32" t="inlineStr">
        <is>
          <t>SAN MARTIN</t>
        </is>
      </c>
    </row>
    <row r="33" ht="16.05" customHeight="1" s="37">
      <c r="A33" t="inlineStr">
        <is>
          <t>20450242021</t>
        </is>
      </c>
      <c r="B33" t="inlineStr">
        <is>
          <t>COOPERATIVA DE SERVICIOS MULTIPLES CAPEMA</t>
        </is>
      </c>
      <c r="C33" s="36">
        <f>IFERROR(ISCAM_Score!AL34,"—")</f>
        <v/>
      </c>
      <c r="D33">
        <f>IF(C33="—","— Sin Inst.2",IF(C33&lt;34,"🔴  Crítico",IF(C33&lt;67,"🟡  Vulnerable","🟢  Preparado")))</f>
        <v/>
      </c>
      <c r="E33">
        <f>IFERROR(RANK(C33,C:C,-1),"")</f>
        <v/>
      </c>
      <c r="F33">
        <f>IFERROR(MATRIZ_174!L33,0)</f>
        <v/>
      </c>
      <c r="G33">
        <f>IFERROR(MATRIZ_174!M33,0)</f>
        <v/>
      </c>
      <c r="H33" t="n">
        <v>0</v>
      </c>
      <c r="I33" t="n">
        <v>0</v>
      </c>
      <c r="J33" t="n">
        <v>0</v>
      </c>
      <c r="K33">
        <f>IFERROR(INDEX(MATRIZ_174!$U:$U,MATCH(A33,MATRIZ_174!$A:$A,0)),"")</f>
        <v/>
      </c>
      <c r="L33">
        <f>IFERROR(MATRIZ_174!O33,0)</f>
        <v/>
      </c>
      <c r="M33" t="n">
        <v>0</v>
      </c>
      <c r="N33">
        <f>IFERROR(ISCAM_Score!AC34,"")</f>
        <v/>
      </c>
      <c r="O33" t="inlineStr">
        <is>
          <t>SAN MARTIN</t>
        </is>
      </c>
    </row>
    <row r="34" ht="16.05" customHeight="1" s="37">
      <c r="A34" t="inlineStr">
        <is>
          <t>20450319423</t>
        </is>
      </c>
      <c r="B34" t="inlineStr">
        <is>
          <t>COOPERATIVA AGRARIA DE SERVICIOS MULTIPLES CAFE DONCEL</t>
        </is>
      </c>
      <c r="C34" s="36">
        <f>IFERROR(ISCAM_Score!AL35,"—")</f>
        <v/>
      </c>
      <c r="D34">
        <f>IF(C34="—","— Sin Inst.2",IF(C34&lt;34,"🔴  Crítico",IF(C34&lt;67,"🟡  Vulnerable","🟢  Preparado")))</f>
        <v/>
      </c>
      <c r="E34">
        <f>IFERROR(RANK(C34,C:C,-1),"")</f>
        <v/>
      </c>
      <c r="F34">
        <f>IFERROR(MATRIZ_174!L34,0)</f>
        <v/>
      </c>
      <c r="G34">
        <f>IFERROR(MATRIZ_174!M34,0)</f>
        <v/>
      </c>
      <c r="H34" t="n">
        <v>0</v>
      </c>
      <c r="I34" t="n">
        <v>0</v>
      </c>
      <c r="J34" t="n">
        <v>0</v>
      </c>
      <c r="K34">
        <f>IFERROR(INDEX(MATRIZ_174!$U:$U,MATCH(A34,MATRIZ_174!$A:$A,0)),"")</f>
        <v/>
      </c>
      <c r="L34">
        <f>IFERROR(MATRIZ_174!O34,0)</f>
        <v/>
      </c>
      <c r="M34" t="n">
        <v>0</v>
      </c>
      <c r="N34">
        <f>IFERROR(ISCAM_Score!AC35,"")</f>
        <v/>
      </c>
      <c r="O34" t="inlineStr">
        <is>
          <t>SAN MARTIN</t>
        </is>
      </c>
    </row>
    <row r="35" ht="16.05" customHeight="1" s="37">
      <c r="A35" t="inlineStr">
        <is>
          <t>20452774705</t>
        </is>
      </c>
      <c r="B35" t="inlineStr">
        <is>
          <t>COOPERATIVA AGRARIA CACAO VRAE</t>
        </is>
      </c>
      <c r="C35" s="36">
        <f>IFERROR(ISCAM_Score!AL36,"—")</f>
        <v/>
      </c>
      <c r="D35">
        <f>IF(C35="—","— Sin Inst.2",IF(C35&lt;34,"🔴  Crítico",IF(C35&lt;67,"🟡  Vulnerable","🟢  Preparado")))</f>
        <v/>
      </c>
      <c r="E35">
        <f>IFERROR(RANK(C35,C:C,-1),"")</f>
        <v/>
      </c>
      <c r="F35">
        <f>IFERROR(MATRIZ_174!L35,0)</f>
        <v/>
      </c>
      <c r="G35">
        <f>IFERROR(MATRIZ_174!M35,0)</f>
        <v/>
      </c>
      <c r="H35" t="n">
        <v>0</v>
      </c>
      <c r="I35" t="n">
        <v>0</v>
      </c>
      <c r="J35" t="n">
        <v>0</v>
      </c>
      <c r="K35">
        <f>IFERROR(INDEX(MATRIZ_174!$U:$U,MATCH(A35,MATRIZ_174!$A:$A,0)),"")</f>
        <v/>
      </c>
      <c r="L35">
        <f>IFERROR(MATRIZ_174!O35,0)</f>
        <v/>
      </c>
      <c r="M35" t="n">
        <v>0</v>
      </c>
      <c r="N35">
        <f>IFERROR(ISCAM_Score!AC36,"")</f>
        <v/>
      </c>
      <c r="O35" t="inlineStr">
        <is>
          <t>CUSCO</t>
        </is>
      </c>
    </row>
    <row r="36" ht="16.05" customHeight="1" s="37">
      <c r="A36" t="inlineStr">
        <is>
          <t>20479595276</t>
        </is>
      </c>
      <c r="B36" t="inlineStr">
        <is>
          <t>COOPERATIVA AGRARIA CAFETALERA CASIL LTDA.</t>
        </is>
      </c>
      <c r="C36" s="36">
        <f>IFERROR(ISCAM_Score!AL37,"—")</f>
        <v/>
      </c>
      <c r="D36">
        <f>IF(C36="—","— Sin Inst.2",IF(C36&lt;34,"🔴  Crítico",IF(C36&lt;67,"🟡  Vulnerable","🟢  Preparado")))</f>
        <v/>
      </c>
      <c r="E36">
        <f>IFERROR(RANK(C36,C:C,-1),"")</f>
        <v/>
      </c>
      <c r="F36">
        <f>IFERROR(MATRIZ_174!L36,0)</f>
        <v/>
      </c>
      <c r="G36">
        <f>IFERROR(MATRIZ_174!M36,0)</f>
        <v/>
      </c>
      <c r="H36" t="n">
        <v>0</v>
      </c>
      <c r="I36" t="n">
        <v>0</v>
      </c>
      <c r="J36" t="n">
        <v>0</v>
      </c>
      <c r="K36">
        <f>IFERROR(INDEX(MATRIZ_174!$U:$U,MATCH(A36,MATRIZ_174!$A:$A,0)),"")</f>
        <v/>
      </c>
      <c r="L36">
        <f>IFERROR(MATRIZ_174!O36,0)</f>
        <v/>
      </c>
      <c r="M36" t="n">
        <v>0</v>
      </c>
      <c r="N36">
        <f>IFERROR(ISCAM_Score!AC37,"")</f>
        <v/>
      </c>
      <c r="O36" t="inlineStr">
        <is>
          <t>CAJAMARCA</t>
        </is>
      </c>
    </row>
    <row r="37" ht="16.05" customHeight="1" s="37">
      <c r="A37" t="inlineStr">
        <is>
          <t>20479622699</t>
        </is>
      </c>
      <c r="B37" t="inlineStr">
        <is>
          <t>COOPERATIVA AGRARIA JUAN MARCO EL PALTO</t>
        </is>
      </c>
      <c r="C37" s="36">
        <f>IFERROR(ISCAM_Score!AL38,"—")</f>
        <v/>
      </c>
      <c r="D37">
        <f>IF(C37="—","— Sin Inst.2",IF(C37&lt;34,"🔴  Crítico",IF(C37&lt;67,"🟡  Vulnerable","🟢  Preparado")))</f>
        <v/>
      </c>
      <c r="E37">
        <f>IFERROR(RANK(C37,C:C,-1),"")</f>
        <v/>
      </c>
      <c r="F37">
        <f>IFERROR(MATRIZ_174!L37,0)</f>
        <v/>
      </c>
      <c r="G37">
        <f>IFERROR(MATRIZ_174!M37,0)</f>
        <v/>
      </c>
      <c r="H37" t="n">
        <v>0</v>
      </c>
      <c r="I37" t="n">
        <v>0</v>
      </c>
      <c r="J37" t="n">
        <v>0</v>
      </c>
      <c r="K37">
        <f>IFERROR(INDEX(MATRIZ_174!$U:$U,MATCH(A37,MATRIZ_174!$A:$A,0)),"")</f>
        <v/>
      </c>
      <c r="L37">
        <f>IFERROR(MATRIZ_174!O37,0)</f>
        <v/>
      </c>
      <c r="M37" t="n">
        <v>0</v>
      </c>
      <c r="N37">
        <f>IFERROR(ISCAM_Score!AC38,"")</f>
        <v/>
      </c>
      <c r="O37" t="inlineStr">
        <is>
          <t>AMAZONAS</t>
        </is>
      </c>
    </row>
    <row r="38" ht="16.05" customHeight="1" s="37">
      <c r="A38" t="inlineStr">
        <is>
          <t>20479856258</t>
        </is>
      </c>
      <c r="B38" t="inlineStr">
        <is>
          <t>ASOCIACION DE PRODUCTORES AGROPECUARIOS LUIS SOLIBARRIA</t>
        </is>
      </c>
      <c r="C38" s="36">
        <f>IFERROR(ISCAM_Score!AL39,"—")</f>
        <v/>
      </c>
      <c r="D38">
        <f>IF(C38="—","— Sin Inst.2",IF(C38&lt;34,"🔴  Crítico",IF(C38&lt;67,"🟡  Vulnerable","🟢  Preparado")))</f>
        <v/>
      </c>
      <c r="E38">
        <f>IFERROR(RANK(C38,C:C,-1),"")</f>
        <v/>
      </c>
      <c r="F38">
        <f>IFERROR(MATRIZ_174!L38,0)</f>
        <v/>
      </c>
      <c r="G38">
        <f>IFERROR(MATRIZ_174!M38,0)</f>
        <v/>
      </c>
      <c r="H38" t="n">
        <v>0</v>
      </c>
      <c r="I38" t="n">
        <v>0</v>
      </c>
      <c r="J38" t="n">
        <v>0</v>
      </c>
      <c r="K38">
        <f>IFERROR(INDEX(MATRIZ_174!$U:$U,MATCH(A38,MATRIZ_174!$A:$A,0)),"")</f>
        <v/>
      </c>
      <c r="L38">
        <f>IFERROR(MATRIZ_174!O38,0)</f>
        <v/>
      </c>
      <c r="M38" t="n">
        <v>0</v>
      </c>
      <c r="N38">
        <f>IFERROR(ISCAM_Score!AC39,"")</f>
        <v/>
      </c>
      <c r="O38" t="inlineStr">
        <is>
          <t>AMAZONAS</t>
        </is>
      </c>
    </row>
    <row r="39" ht="16.05" customHeight="1" s="37">
      <c r="A39" t="inlineStr">
        <is>
          <t>20479917141</t>
        </is>
      </c>
      <c r="B39" t="inlineStr">
        <is>
          <t>COOPERATIVA AGRARIA CENTRAL DE PRODUCTORES DE AMAZONAS</t>
        </is>
      </c>
      <c r="C39" s="36">
        <f>IFERROR(ISCAM_Score!AL40,"—")</f>
        <v/>
      </c>
      <c r="D39">
        <f>IF(C39="—","— Sin Inst.2",IF(C39&lt;34,"🔴  Crítico",IF(C39&lt;67,"🟡  Vulnerable","🟢  Preparado")))</f>
        <v/>
      </c>
      <c r="E39">
        <f>IFERROR(RANK(C39,C:C,-1),"")</f>
        <v/>
      </c>
      <c r="F39">
        <f>IFERROR(MATRIZ_174!L39,0)</f>
        <v/>
      </c>
      <c r="G39">
        <f>IFERROR(MATRIZ_174!M39,0)</f>
        <v/>
      </c>
      <c r="H39" t="n">
        <v>0</v>
      </c>
      <c r="I39" t="n">
        <v>0</v>
      </c>
      <c r="J39" t="n">
        <v>0</v>
      </c>
      <c r="K39">
        <f>IFERROR(INDEX(MATRIZ_174!$U:$U,MATCH(A39,MATRIZ_174!$A:$A,0)),"")</f>
        <v/>
      </c>
      <c r="L39">
        <f>IFERROR(MATRIZ_174!O39,0)</f>
        <v/>
      </c>
      <c r="M39" t="n">
        <v>0</v>
      </c>
      <c r="N39">
        <f>IFERROR(ISCAM_Score!AC40,"")</f>
        <v/>
      </c>
      <c r="O39" t="inlineStr">
        <is>
          <t>AMAZONAS</t>
        </is>
      </c>
    </row>
    <row r="40" ht="16.05" customHeight="1" s="37">
      <c r="A40" t="inlineStr">
        <is>
          <t>20480458550</t>
        </is>
      </c>
      <c r="B40" t="inlineStr">
        <is>
          <t>COOPERATIVA AGRARIA APROCAM</t>
        </is>
      </c>
      <c r="C40" s="36">
        <f>IFERROR(ISCAM_Score!AL41,"—")</f>
        <v/>
      </c>
      <c r="D40">
        <f>IF(C40="—","— Sin Inst.2",IF(C40&lt;34,"🔴  Crítico",IF(C40&lt;67,"🟡  Vulnerable","🟢  Preparado")))</f>
        <v/>
      </c>
      <c r="E40">
        <f>IFERROR(RANK(C40,C:C,-1),"")</f>
        <v/>
      </c>
      <c r="F40">
        <f>IFERROR(MATRIZ_174!L40,0)</f>
        <v/>
      </c>
      <c r="G40">
        <f>IFERROR(MATRIZ_174!M40,0)</f>
        <v/>
      </c>
      <c r="H40" t="n">
        <v>0</v>
      </c>
      <c r="I40" t="n">
        <v>0</v>
      </c>
      <c r="J40" t="n">
        <v>0</v>
      </c>
      <c r="K40">
        <f>IFERROR(INDEX(MATRIZ_174!$U:$U,MATCH(A40,MATRIZ_174!$A:$A,0)),"")</f>
        <v/>
      </c>
      <c r="L40">
        <f>IFERROR(MATRIZ_174!O40,0)</f>
        <v/>
      </c>
      <c r="M40" t="n">
        <v>0</v>
      </c>
      <c r="N40">
        <f>IFERROR(ISCAM_Score!AC41,"")</f>
        <v/>
      </c>
      <c r="O40" t="inlineStr">
        <is>
          <t>AMAZONAS</t>
        </is>
      </c>
    </row>
    <row r="41" ht="16.05" customHeight="1" s="37">
      <c r="A41" t="inlineStr">
        <is>
          <t>20480762895</t>
        </is>
      </c>
      <c r="B41" t="inlineStr">
        <is>
          <t>ASOCIACION DE PRODUCTORES AGROPECUARIOS LA FLOR DE CAFE</t>
        </is>
      </c>
      <c r="C41" s="36">
        <f>IFERROR(ISCAM_Score!AL42,"—")</f>
        <v/>
      </c>
      <c r="D41">
        <f>IF(C41="—","— Sin Inst.2",IF(C41&lt;34,"🔴  Crítico",IF(C41&lt;67,"🟡  Vulnerable","🟢  Preparado")))</f>
        <v/>
      </c>
      <c r="E41">
        <f>IFERROR(RANK(C41,C:C,-1),"")</f>
        <v/>
      </c>
      <c r="F41">
        <f>IFERROR(MATRIZ_174!L41,0)</f>
        <v/>
      </c>
      <c r="G41">
        <f>IFERROR(MATRIZ_174!M41,0)</f>
        <v/>
      </c>
      <c r="H41" t="n">
        <v>0</v>
      </c>
      <c r="I41" t="n">
        <v>0</v>
      </c>
      <c r="J41" t="n">
        <v>0</v>
      </c>
      <c r="K41">
        <f>IFERROR(INDEX(MATRIZ_174!$U:$U,MATCH(A41,MATRIZ_174!$A:$A,0)),"")</f>
        <v/>
      </c>
      <c r="L41">
        <f>IFERROR(MATRIZ_174!O41,0)</f>
        <v/>
      </c>
      <c r="M41" t="n">
        <v>0</v>
      </c>
      <c r="N41">
        <f>IFERROR(ISCAM_Score!AC42,"")</f>
        <v/>
      </c>
      <c r="O41" t="inlineStr">
        <is>
          <t>AMAZONAS</t>
        </is>
      </c>
    </row>
    <row r="42" ht="16.05" customHeight="1" s="37">
      <c r="A42" t="inlineStr">
        <is>
          <t>20484163902</t>
        </is>
      </c>
      <c r="B42" t="inlineStr">
        <is>
          <t>COOPERATIVA AGRARIA APPROCAP LTDA</t>
        </is>
      </c>
      <c r="C42" s="36">
        <f>IFERROR(ISCAM_Score!AL43,"—")</f>
        <v/>
      </c>
      <c r="D42">
        <f>IF(C42="—","— Sin Inst.2",IF(C42&lt;34,"🔴  Crítico",IF(C42&lt;67,"🟡  Vulnerable","🟢  Preparado")))</f>
        <v/>
      </c>
      <c r="E42">
        <f>IFERROR(RANK(C42,C:C,-1),"")</f>
        <v/>
      </c>
      <c r="F42">
        <f>IFERROR(MATRIZ_174!L42,0)</f>
        <v/>
      </c>
      <c r="G42">
        <f>IFERROR(MATRIZ_174!M42,0)</f>
        <v/>
      </c>
      <c r="H42" t="n">
        <v>0</v>
      </c>
      <c r="I42" t="n">
        <v>0</v>
      </c>
      <c r="J42" t="n">
        <v>0</v>
      </c>
      <c r="K42">
        <f>IFERROR(INDEX(MATRIZ_174!$U:$U,MATCH(A42,MATRIZ_174!$A:$A,0)),"")</f>
        <v/>
      </c>
      <c r="L42">
        <f>IFERROR(MATRIZ_174!O42,0)</f>
        <v/>
      </c>
      <c r="M42" t="n">
        <v>0</v>
      </c>
      <c r="N42">
        <f>IFERROR(ISCAM_Score!AC43,"")</f>
        <v/>
      </c>
      <c r="O42" t="inlineStr">
        <is>
          <t>PIURA</t>
        </is>
      </c>
    </row>
    <row r="43" ht="16.05" customHeight="1" s="37">
      <c r="A43" t="inlineStr">
        <is>
          <t>20485945815</t>
        </is>
      </c>
      <c r="B43" t="inlineStr">
        <is>
          <t>COOPERATIVA AGRARIA CAFETALERA ECOLOGICO ALTO PALOMAR</t>
        </is>
      </c>
      <c r="C43" s="36">
        <f>IFERROR(ISCAM_Score!AL44,"—")</f>
        <v/>
      </c>
      <c r="D43">
        <f>IF(C43="—","— Sin Inst.2",IF(C43&lt;34,"🔴  Crítico",IF(C43&lt;67,"🟡  Vulnerable","🟢  Preparado")))</f>
        <v/>
      </c>
      <c r="E43">
        <f>IFERROR(RANK(C43,C:C,-1),"")</f>
        <v/>
      </c>
      <c r="F43">
        <f>IFERROR(MATRIZ_174!L43,0)</f>
        <v/>
      </c>
      <c r="G43">
        <f>IFERROR(MATRIZ_174!M43,0)</f>
        <v/>
      </c>
      <c r="H43" t="n">
        <v>0</v>
      </c>
      <c r="I43" t="n">
        <v>0</v>
      </c>
      <c r="J43" t="n">
        <v>0</v>
      </c>
      <c r="K43">
        <f>IFERROR(INDEX(MATRIZ_174!$U:$U,MATCH(A43,MATRIZ_174!$A:$A,0)),"")</f>
        <v/>
      </c>
      <c r="L43">
        <f>IFERROR(MATRIZ_174!O43,0)</f>
        <v/>
      </c>
      <c r="M43" t="n">
        <v>0</v>
      </c>
      <c r="N43">
        <f>IFERROR(ISCAM_Score!AC44,"")</f>
        <v/>
      </c>
      <c r="O43" t="inlineStr">
        <is>
          <t>JUNIN</t>
        </is>
      </c>
    </row>
    <row r="44" ht="16.05" customHeight="1" s="37">
      <c r="A44" t="inlineStr">
        <is>
          <t>20486094657</t>
        </is>
      </c>
      <c r="B44" t="inlineStr">
        <is>
          <t>ASOCIACION DE PRODUCTORES DE CAFES ESPECIALES MOUNTAIN COFFE</t>
        </is>
      </c>
      <c r="C44" s="36">
        <f>IFERROR(ISCAM_Score!AL45,"—")</f>
        <v/>
      </c>
      <c r="D44">
        <f>IF(C44="—","— Sin Inst.2",IF(C44&lt;34,"🔴  Crítico",IF(C44&lt;67,"🟡  Vulnerable","🟢  Preparado")))</f>
        <v/>
      </c>
      <c r="E44">
        <f>IFERROR(RANK(C44,C:C,-1),"")</f>
        <v/>
      </c>
      <c r="F44">
        <f>IFERROR(MATRIZ_174!L44,0)</f>
        <v/>
      </c>
      <c r="G44">
        <f>IFERROR(MATRIZ_174!M44,0)</f>
        <v/>
      </c>
      <c r="H44" t="n">
        <v>0</v>
      </c>
      <c r="I44" t="n">
        <v>0</v>
      </c>
      <c r="J44" t="n">
        <v>0</v>
      </c>
      <c r="K44">
        <f>IFERROR(INDEX(MATRIZ_174!$U:$U,MATCH(A44,MATRIZ_174!$A:$A,0)),"")</f>
        <v/>
      </c>
      <c r="L44">
        <f>IFERROR(MATRIZ_174!O44,0)</f>
        <v/>
      </c>
      <c r="M44" t="n">
        <v>0</v>
      </c>
      <c r="N44">
        <f>IFERROR(ISCAM_Score!AC45,"")</f>
        <v/>
      </c>
      <c r="O44" t="inlineStr">
        <is>
          <t>JUNIN</t>
        </is>
      </c>
    </row>
    <row r="45" ht="16.05" customHeight="1" s="37">
      <c r="A45" t="inlineStr">
        <is>
          <t>20486255090</t>
        </is>
      </c>
      <c r="B45" t="inlineStr">
        <is>
          <t>COOPERATIVA AGRARIA SANGARENI</t>
        </is>
      </c>
      <c r="C45" s="36">
        <f>IFERROR(ISCAM_Score!AL46,"—")</f>
        <v/>
      </c>
      <c r="D45">
        <f>IF(C45="—","— Sin Inst.2",IF(C45&lt;34,"🔴  Crítico",IF(C45&lt;67,"🟡  Vulnerable","🟢  Preparado")))</f>
        <v/>
      </c>
      <c r="E45">
        <f>IFERROR(RANK(C45,C:C,-1),"")</f>
        <v/>
      </c>
      <c r="F45">
        <f>IFERROR(MATRIZ_174!L45,0)</f>
        <v/>
      </c>
      <c r="G45">
        <f>IFERROR(MATRIZ_174!M45,0)</f>
        <v/>
      </c>
      <c r="H45" t="n">
        <v>0</v>
      </c>
      <c r="I45" t="n">
        <v>0</v>
      </c>
      <c r="J45" t="n">
        <v>0</v>
      </c>
      <c r="K45">
        <f>IFERROR(INDEX(MATRIZ_174!$U:$U,MATCH(A45,MATRIZ_174!$A:$A,0)),"")</f>
        <v/>
      </c>
      <c r="L45">
        <f>IFERROR(MATRIZ_174!O45,0)</f>
        <v/>
      </c>
      <c r="M45" t="n">
        <v>0</v>
      </c>
      <c r="N45">
        <f>IFERROR(ISCAM_Score!AC46,"")</f>
        <v/>
      </c>
      <c r="O45" t="inlineStr">
        <is>
          <t>JUNIN</t>
        </is>
      </c>
    </row>
    <row r="46" ht="16.05" customHeight="1" s="37">
      <c r="A46" t="inlineStr">
        <is>
          <t>20486668335</t>
        </is>
      </c>
      <c r="B46" t="inlineStr">
        <is>
          <t>COOPERATIVA AGROINDUSTRIAL SONOMORO LTDA</t>
        </is>
      </c>
      <c r="C46" s="36">
        <f>IFERROR(ISCAM_Score!AL47,"—")</f>
        <v/>
      </c>
      <c r="D46">
        <f>IF(C46="—","— Sin Inst.2",IF(C46&lt;34,"🔴  Crítico",IF(C46&lt;67,"🟡  Vulnerable","🟢  Preparado")))</f>
        <v/>
      </c>
      <c r="E46">
        <f>IFERROR(RANK(C46,C:C,-1),"")</f>
        <v/>
      </c>
      <c r="F46">
        <f>IFERROR(MATRIZ_174!L46,0)</f>
        <v/>
      </c>
      <c r="G46">
        <f>IFERROR(MATRIZ_174!M46,0)</f>
        <v/>
      </c>
      <c r="H46" t="n">
        <v>0</v>
      </c>
      <c r="I46" t="n">
        <v>0</v>
      </c>
      <c r="J46" t="n">
        <v>0</v>
      </c>
      <c r="K46">
        <f>IFERROR(INDEX(MATRIZ_174!$U:$U,MATCH(A46,MATRIZ_174!$A:$A,0)),"")</f>
        <v/>
      </c>
      <c r="L46">
        <f>IFERROR(MATRIZ_174!O46,0)</f>
        <v/>
      </c>
      <c r="M46" t="n">
        <v>0</v>
      </c>
      <c r="N46">
        <f>IFERROR(ISCAM_Score!AC47,"")</f>
        <v/>
      </c>
      <c r="O46" t="inlineStr">
        <is>
          <t>JUNIN</t>
        </is>
      </c>
    </row>
    <row r="47" ht="16.05" customHeight="1" s="37">
      <c r="A47" t="inlineStr">
        <is>
          <t>20486876019</t>
        </is>
      </c>
      <c r="B47" t="inlineStr">
        <is>
          <t>COOPERATIVA AGROECOLOGICO INDUSTRIAL MAZAMARI LTDA</t>
        </is>
      </c>
      <c r="C47" s="36">
        <f>IFERROR(ISCAM_Score!AL48,"—")</f>
        <v/>
      </c>
      <c r="D47">
        <f>IF(C47="—","— Sin Inst.2",IF(C47&lt;34,"🔴  Crítico",IF(C47&lt;67,"🟡  Vulnerable","🟢  Preparado")))</f>
        <v/>
      </c>
      <c r="E47">
        <f>IFERROR(RANK(C47,C:C,-1),"")</f>
        <v/>
      </c>
      <c r="F47">
        <f>IFERROR(MATRIZ_174!L47,0)</f>
        <v/>
      </c>
      <c r="G47">
        <f>IFERROR(MATRIZ_174!M47,0)</f>
        <v/>
      </c>
      <c r="H47" t="n">
        <v>0</v>
      </c>
      <c r="I47" t="n">
        <v>0</v>
      </c>
      <c r="J47" t="n">
        <v>0</v>
      </c>
      <c r="K47">
        <f>IFERROR(INDEX(MATRIZ_174!$U:$U,MATCH(A47,MATRIZ_174!$A:$A,0)),"")</f>
        <v/>
      </c>
      <c r="L47">
        <f>IFERROR(MATRIZ_174!O47,0)</f>
        <v/>
      </c>
      <c r="M47" t="n">
        <v>0</v>
      </c>
      <c r="N47">
        <f>IFERROR(ISCAM_Score!AC48,"")</f>
        <v/>
      </c>
      <c r="O47" t="inlineStr">
        <is>
          <t>JUNIN</t>
        </is>
      </c>
    </row>
    <row r="48" ht="16.05" customHeight="1" s="37">
      <c r="A48" t="inlineStr">
        <is>
          <t>20486973219</t>
        </is>
      </c>
      <c r="B48" t="inlineStr">
        <is>
          <t>COOPERATIVA AGRARIA SONOMORO DEL VRAEM LTDA</t>
        </is>
      </c>
      <c r="C48" s="36">
        <f>IFERROR(ISCAM_Score!AL49,"—")</f>
        <v/>
      </c>
      <c r="D48">
        <f>IF(C48="—","— Sin Inst.2",IF(C48&lt;34,"🔴  Crítico",IF(C48&lt;67,"🟡  Vulnerable","🟢  Preparado")))</f>
        <v/>
      </c>
      <c r="E48">
        <f>IFERROR(RANK(C48,C:C,-1),"")</f>
        <v/>
      </c>
      <c r="F48">
        <f>IFERROR(MATRIZ_174!L48,0)</f>
        <v/>
      </c>
      <c r="G48">
        <f>IFERROR(MATRIZ_174!M48,0)</f>
        <v/>
      </c>
      <c r="H48" t="n">
        <v>0</v>
      </c>
      <c r="I48" t="n">
        <v>0</v>
      </c>
      <c r="J48" t="n">
        <v>0</v>
      </c>
      <c r="K48">
        <f>IFERROR(INDEX(MATRIZ_174!$U:$U,MATCH(A48,MATRIZ_174!$A:$A,0)),"")</f>
        <v/>
      </c>
      <c r="L48">
        <f>IFERROR(MATRIZ_174!O48,0)</f>
        <v/>
      </c>
      <c r="M48" t="n">
        <v>0</v>
      </c>
      <c r="N48">
        <f>IFERROR(ISCAM_Score!AC49,"")</f>
        <v/>
      </c>
      <c r="O48" t="inlineStr">
        <is>
          <t>JUNIN</t>
        </is>
      </c>
    </row>
    <row r="49" ht="16.05" customHeight="1" s="37">
      <c r="A49" t="inlineStr">
        <is>
          <t>20487242994</t>
        </is>
      </c>
      <c r="B49" t="inlineStr">
        <is>
          <t>COOPERATIVA AGRARIA ECOLOGICA CACAOTERA VALLE RIO ENE - COOP</t>
        </is>
      </c>
      <c r="C49" s="36">
        <f>IFERROR(ISCAM_Score!AL50,"—")</f>
        <v/>
      </c>
      <c r="D49">
        <f>IF(C49="—","— Sin Inst.2",IF(C49&lt;34,"🔴  Crítico",IF(C49&lt;67,"🟡  Vulnerable","🟢  Preparado")))</f>
        <v/>
      </c>
      <c r="E49">
        <f>IFERROR(RANK(C49,C:C,-1),"")</f>
        <v/>
      </c>
      <c r="F49">
        <f>IFERROR(MATRIZ_174!L49,0)</f>
        <v/>
      </c>
      <c r="G49">
        <f>IFERROR(MATRIZ_174!M49,0)</f>
        <v/>
      </c>
      <c r="H49" t="n">
        <v>0</v>
      </c>
      <c r="I49" t="n">
        <v>0</v>
      </c>
      <c r="J49" t="n">
        <v>0</v>
      </c>
      <c r="K49">
        <f>IFERROR(INDEX(MATRIZ_174!$U:$U,MATCH(A49,MATRIZ_174!$A:$A,0)),"")</f>
        <v/>
      </c>
      <c r="L49">
        <f>IFERROR(MATRIZ_174!O49,0)</f>
        <v/>
      </c>
      <c r="M49" t="n">
        <v>0</v>
      </c>
      <c r="N49">
        <f>IFERROR(ISCAM_Score!AC50,"")</f>
        <v/>
      </c>
      <c r="O49" t="inlineStr">
        <is>
          <t>JUNIN</t>
        </is>
      </c>
    </row>
    <row r="50" ht="16.05" customHeight="1" s="37">
      <c r="A50" t="inlineStr">
        <is>
          <t>20487351343</t>
        </is>
      </c>
      <c r="B50" t="inlineStr">
        <is>
          <t>ASOCIACION DE PRODUCTORES AGROPECUARIOS TUPAC AMARU DE CHIÑA</t>
        </is>
      </c>
      <c r="C50" s="36">
        <f>IFERROR(ISCAM_Score!AL51,"—")</f>
        <v/>
      </c>
      <c r="D50">
        <f>IF(C50="—","— Sin Inst.2",IF(C50&lt;34,"🔴  Crítico",IF(C50&lt;67,"🟡  Vulnerable","🟢  Preparado")))</f>
        <v/>
      </c>
      <c r="E50">
        <f>IFERROR(RANK(C50,C:C,-1),"")</f>
        <v/>
      </c>
      <c r="F50">
        <f>IFERROR(MATRIZ_174!L50,0)</f>
        <v/>
      </c>
      <c r="G50">
        <f>IFERROR(MATRIZ_174!M50,0)</f>
        <v/>
      </c>
      <c r="H50" t="n">
        <v>0</v>
      </c>
      <c r="I50" t="n">
        <v>0</v>
      </c>
      <c r="J50" t="n">
        <v>0</v>
      </c>
      <c r="K50">
        <f>IFERROR(INDEX(MATRIZ_174!$U:$U,MATCH(A50,MATRIZ_174!$A:$A,0)),"")</f>
        <v/>
      </c>
      <c r="L50">
        <f>IFERROR(MATRIZ_174!O50,0)</f>
        <v/>
      </c>
      <c r="M50" t="n">
        <v>0</v>
      </c>
      <c r="N50">
        <f>IFERROR(ISCAM_Score!AC51,"")</f>
        <v/>
      </c>
      <c r="O50" t="inlineStr">
        <is>
          <t>LAMBAYEQUE</t>
        </is>
      </c>
    </row>
    <row r="51" ht="16.05" customHeight="1" s="37">
      <c r="A51" t="inlineStr">
        <is>
          <t>20487661539</t>
        </is>
      </c>
      <c r="B51" t="inlineStr">
        <is>
          <t>ASOCIACION DE PRODUCTORES CACAOTEROS DEL DISTRITO DE HUARANG</t>
        </is>
      </c>
      <c r="C51" s="36">
        <f>IFERROR(ISCAM_Score!AL52,"—")</f>
        <v/>
      </c>
      <c r="D51">
        <f>IF(C51="—","— Sin Inst.2",IF(C51&lt;34,"🔴  Crítico",IF(C51&lt;67,"🟡  Vulnerable","🟢  Preparado")))</f>
        <v/>
      </c>
      <c r="E51">
        <f>IFERROR(RANK(C51,C:C,-1),"")</f>
        <v/>
      </c>
      <c r="F51">
        <f>IFERROR(MATRIZ_174!L51,0)</f>
        <v/>
      </c>
      <c r="G51">
        <f>IFERROR(MATRIZ_174!M51,0)</f>
        <v/>
      </c>
      <c r="H51" t="n">
        <v>0</v>
      </c>
      <c r="I51" t="n">
        <v>0</v>
      </c>
      <c r="J51" t="n">
        <v>0</v>
      </c>
      <c r="K51">
        <f>IFERROR(INDEX(MATRIZ_174!$U:$U,MATCH(A51,MATRIZ_174!$A:$A,0)),"")</f>
        <v/>
      </c>
      <c r="L51">
        <f>IFERROR(MATRIZ_174!O51,0)</f>
        <v/>
      </c>
      <c r="M51" t="n">
        <v>0</v>
      </c>
      <c r="N51">
        <f>IFERROR(ISCAM_Score!AC52,"")</f>
        <v/>
      </c>
      <c r="O51" t="inlineStr">
        <is>
          <t>CAJAMARCA</t>
        </is>
      </c>
    </row>
    <row r="52" ht="16.05" customHeight="1" s="37">
      <c r="A52" t="inlineStr">
        <is>
          <t>20490726196</t>
        </is>
      </c>
      <c r="B52" t="inlineStr">
        <is>
          <t>ASOCIACIÓN DE PRODUCTORES AGROPECUARIOS VALLESITO - CHAHUARE</t>
        </is>
      </c>
      <c r="C52" s="36">
        <f>IFERROR(ISCAM_Score!AL53,"—")</f>
        <v/>
      </c>
      <c r="D52">
        <f>IF(C52="—","— Sin Inst.2",IF(C52&lt;34,"🔴  Crítico",IF(C52&lt;67,"🟡  Vulnerable","🟢  Preparado")))</f>
        <v/>
      </c>
      <c r="E52">
        <f>IFERROR(RANK(C52,C:C,-1),"")</f>
        <v/>
      </c>
      <c r="F52">
        <f>IFERROR(MATRIZ_174!L52,0)</f>
        <v/>
      </c>
      <c r="G52">
        <f>IFERROR(MATRIZ_174!M52,0)</f>
        <v/>
      </c>
      <c r="H52" t="n">
        <v>0</v>
      </c>
      <c r="I52" t="n">
        <v>0</v>
      </c>
      <c r="J52" t="n">
        <v>0</v>
      </c>
      <c r="K52">
        <f>IFERROR(INDEX(MATRIZ_174!$U:$U,MATCH(A52,MATRIZ_174!$A:$A,0)),"")</f>
        <v/>
      </c>
      <c r="L52">
        <f>IFERROR(MATRIZ_174!O52,0)</f>
        <v/>
      </c>
      <c r="M52" t="n">
        <v>0</v>
      </c>
      <c r="N52">
        <f>IFERROR(ISCAM_Score!AC53,"")</f>
        <v/>
      </c>
      <c r="O52" t="inlineStr">
        <is>
          <t>CUSCO</t>
        </is>
      </c>
    </row>
    <row r="53" ht="16.05" customHeight="1" s="37">
      <c r="A53" t="inlineStr">
        <is>
          <t>20493934822</t>
        </is>
      </c>
      <c r="B53" t="inlineStr">
        <is>
          <t>COOPERATIVA AGRARIA NUEVO AMANECER LTDA.</t>
        </is>
      </c>
      <c r="C53" s="36">
        <f>IFERROR(ISCAM_Score!AL54,"—")</f>
        <v/>
      </c>
      <c r="D53">
        <f>IF(C53="—","— Sin Inst.2",IF(C53&lt;34,"🔴  Crítico",IF(C53&lt;67,"🟡  Vulnerable","🟢  Preparado")))</f>
        <v/>
      </c>
      <c r="E53">
        <f>IFERROR(RANK(C53,C:C,-1),"")</f>
        <v/>
      </c>
      <c r="F53">
        <f>IFERROR(MATRIZ_174!L53,0)</f>
        <v/>
      </c>
      <c r="G53">
        <f>IFERROR(MATRIZ_174!M53,0)</f>
        <v/>
      </c>
      <c r="H53" t="n">
        <v>0</v>
      </c>
      <c r="I53" t="n">
        <v>0</v>
      </c>
      <c r="J53" t="n">
        <v>0</v>
      </c>
      <c r="K53">
        <f>IFERROR(INDEX(MATRIZ_174!$U:$U,MATCH(A53,MATRIZ_174!$A:$A,0)),"")</f>
        <v/>
      </c>
      <c r="L53">
        <f>IFERROR(MATRIZ_174!O53,0)</f>
        <v/>
      </c>
      <c r="M53" t="n">
        <v>0</v>
      </c>
      <c r="N53">
        <f>IFERROR(ISCAM_Score!AC54,"")</f>
        <v/>
      </c>
      <c r="O53" t="inlineStr">
        <is>
          <t>SAN MARTIN</t>
        </is>
      </c>
    </row>
    <row r="54" ht="16.05" customHeight="1" s="37">
      <c r="A54" t="inlineStr">
        <is>
          <t>20493959574</t>
        </is>
      </c>
      <c r="B54" t="inlineStr">
        <is>
          <t>COOPERATIVA AGRARIA DE SERVICIOS MUJERES TECNOLOGAS CACAOTER</t>
        </is>
      </c>
      <c r="C54" s="36">
        <f>IFERROR(ISCAM_Score!AL55,"—")</f>
        <v/>
      </c>
      <c r="D54">
        <f>IF(C54="—","— Sin Inst.2",IF(C54&lt;34,"🔴  Crítico",IF(C54&lt;67,"🟡  Vulnerable","🟢  Preparado")))</f>
        <v/>
      </c>
      <c r="E54">
        <f>IFERROR(RANK(C54,C:C,-1),"")</f>
        <v/>
      </c>
      <c r="F54">
        <f>IFERROR(MATRIZ_174!L54,0)</f>
        <v/>
      </c>
      <c r="G54">
        <f>IFERROR(MATRIZ_174!M54,0)</f>
        <v/>
      </c>
      <c r="H54" t="n">
        <v>0</v>
      </c>
      <c r="I54" t="n">
        <v>0</v>
      </c>
      <c r="J54" t="n">
        <v>0</v>
      </c>
      <c r="K54">
        <f>IFERROR(INDEX(MATRIZ_174!$U:$U,MATCH(A54,MATRIZ_174!$A:$A,0)),"")</f>
        <v/>
      </c>
      <c r="L54">
        <f>IFERROR(MATRIZ_174!O54,0)</f>
        <v/>
      </c>
      <c r="M54" t="n">
        <v>0</v>
      </c>
      <c r="N54">
        <f>IFERROR(ISCAM_Score!AC55,"")</f>
        <v/>
      </c>
      <c r="O54" t="inlineStr">
        <is>
          <t>SAN MARTIN</t>
        </is>
      </c>
    </row>
    <row r="55" ht="16.05" customHeight="1" s="37">
      <c r="A55" t="inlineStr">
        <is>
          <t>20494126819</t>
        </is>
      </c>
      <c r="B55" t="inlineStr">
        <is>
          <t>ASOCIACION DE PRODUCTORES AGROPECUARIOS RIO MAYO SHANAO</t>
        </is>
      </c>
      <c r="C55" s="36">
        <f>IFERROR(ISCAM_Score!AL56,"—")</f>
        <v/>
      </c>
      <c r="D55">
        <f>IF(C55="—","— Sin Inst.2",IF(C55&lt;34,"🔴  Crítico",IF(C55&lt;67,"🟡  Vulnerable","🟢  Preparado")))</f>
        <v/>
      </c>
      <c r="E55">
        <f>IFERROR(RANK(C55,C:C,-1),"")</f>
        <v/>
      </c>
      <c r="F55">
        <f>IFERROR(MATRIZ_174!L55,0)</f>
        <v/>
      </c>
      <c r="G55">
        <f>IFERROR(MATRIZ_174!M55,0)</f>
        <v/>
      </c>
      <c r="H55" t="n">
        <v>0</v>
      </c>
      <c r="I55" t="n">
        <v>0</v>
      </c>
      <c r="J55" t="n">
        <v>0</v>
      </c>
      <c r="K55">
        <f>IFERROR(INDEX(MATRIZ_174!$U:$U,MATCH(A55,MATRIZ_174!$A:$A,0)),"")</f>
        <v/>
      </c>
      <c r="L55">
        <f>IFERROR(MATRIZ_174!O55,0)</f>
        <v/>
      </c>
      <c r="M55" t="n">
        <v>0</v>
      </c>
      <c r="N55">
        <f>IFERROR(ISCAM_Score!AC56,"")</f>
        <v/>
      </c>
      <c r="O55" t="inlineStr">
        <is>
          <t>SAN MARTIN</t>
        </is>
      </c>
    </row>
    <row r="56" ht="16.05" customHeight="1" s="37">
      <c r="A56" t="inlineStr">
        <is>
          <t>20494145791</t>
        </is>
      </c>
      <c r="B56" t="inlineStr">
        <is>
          <t>ASOCIACION ECOLOGICA Y DE PRODUCTORES AGROPECUARIOS SAN JOSE</t>
        </is>
      </c>
      <c r="C56" s="36">
        <f>IFERROR(ISCAM_Score!AL57,"—")</f>
        <v/>
      </c>
      <c r="D56">
        <f>IF(C56="—","— Sin Inst.2",IF(C56&lt;34,"🔴  Crítico",IF(C56&lt;67,"🟡  Vulnerable","🟢  Preparado")))</f>
        <v/>
      </c>
      <c r="E56">
        <f>IFERROR(RANK(C56,C:C,-1),"")</f>
        <v/>
      </c>
      <c r="F56">
        <f>IFERROR(MATRIZ_174!L56,0)</f>
        <v/>
      </c>
      <c r="G56">
        <f>IFERROR(MATRIZ_174!M56,0)</f>
        <v/>
      </c>
      <c r="H56" t="n">
        <v>0</v>
      </c>
      <c r="I56" t="n">
        <v>0</v>
      </c>
      <c r="J56" t="n">
        <v>0</v>
      </c>
      <c r="K56">
        <f>IFERROR(INDEX(MATRIZ_174!$U:$U,MATCH(A56,MATRIZ_174!$A:$A,0)),"")</f>
        <v/>
      </c>
      <c r="L56">
        <f>IFERROR(MATRIZ_174!O56,0)</f>
        <v/>
      </c>
      <c r="M56" t="n">
        <v>0</v>
      </c>
      <c r="N56">
        <f>IFERROR(ISCAM_Score!AC57,"")</f>
        <v/>
      </c>
      <c r="O56" t="inlineStr">
        <is>
          <t>LORETO</t>
        </is>
      </c>
    </row>
    <row r="57" ht="16.05" customHeight="1" s="37">
      <c r="A57" t="inlineStr">
        <is>
          <t>20494699690</t>
        </is>
      </c>
      <c r="B57" t="inlineStr">
        <is>
          <t>ASOCIACION DE PRODUCTORES DE CACAO ECOLOGICO DE KIMBIRI - AP</t>
        </is>
      </c>
      <c r="C57" s="36">
        <f>IFERROR(ISCAM_Score!AL58,"—")</f>
        <v/>
      </c>
      <c r="D57">
        <f>IF(C57="—","— Sin Inst.2",IF(C57&lt;34,"🔴  Crítico",IF(C57&lt;67,"🟡  Vulnerable","🟢  Preparado")))</f>
        <v/>
      </c>
      <c r="E57">
        <f>IFERROR(RANK(C57,C:C,-1),"")</f>
        <v/>
      </c>
      <c r="F57">
        <f>IFERROR(MATRIZ_174!L57,0)</f>
        <v/>
      </c>
      <c r="G57">
        <f>IFERROR(MATRIZ_174!M57,0)</f>
        <v/>
      </c>
      <c r="H57" t="n">
        <v>0</v>
      </c>
      <c r="I57" t="n">
        <v>0</v>
      </c>
      <c r="J57" t="n">
        <v>0</v>
      </c>
      <c r="K57">
        <f>IFERROR(INDEX(MATRIZ_174!$U:$U,MATCH(A57,MATRIZ_174!$A:$A,0)),"")</f>
        <v/>
      </c>
      <c r="L57">
        <f>IFERROR(MATRIZ_174!O57,0)</f>
        <v/>
      </c>
      <c r="M57" t="n">
        <v>0</v>
      </c>
      <c r="N57">
        <f>IFERROR(ISCAM_Score!AC58,"")</f>
        <v/>
      </c>
      <c r="O57" t="inlineStr">
        <is>
          <t>CUSCO</t>
        </is>
      </c>
    </row>
    <row r="58" ht="16.05" customHeight="1" s="37">
      <c r="A58" t="inlineStr">
        <is>
          <t>20525969551</t>
        </is>
      </c>
      <c r="B58" t="inlineStr">
        <is>
          <t>COOPERATIVA AGRARIA DE PRODUCTORES DE BANANO, CACAO ORGANICO</t>
        </is>
      </c>
      <c r="C58" s="36">
        <f>IFERROR(ISCAM_Score!AL59,"—")</f>
        <v/>
      </c>
      <c r="D58">
        <f>IF(C58="—","— Sin Inst.2",IF(C58&lt;34,"🔴  Crítico",IF(C58&lt;67,"🟡  Vulnerable","🟢  Preparado")))</f>
        <v/>
      </c>
      <c r="E58">
        <f>IFERROR(RANK(C58,C:C,-1),"")</f>
        <v/>
      </c>
      <c r="F58">
        <f>IFERROR(MATRIZ_174!L58,0)</f>
        <v/>
      </c>
      <c r="G58">
        <f>IFERROR(MATRIZ_174!M58,0)</f>
        <v/>
      </c>
      <c r="H58" t="n">
        <v>0</v>
      </c>
      <c r="I58" t="n">
        <v>0</v>
      </c>
      <c r="J58" t="n">
        <v>0</v>
      </c>
      <c r="K58">
        <f>IFERROR(INDEX(MATRIZ_174!$U:$U,MATCH(A58,MATRIZ_174!$A:$A,0)),"")</f>
        <v/>
      </c>
      <c r="L58">
        <f>IFERROR(MATRIZ_174!O58,0)</f>
        <v/>
      </c>
      <c r="M58" t="n">
        <v>0</v>
      </c>
      <c r="N58">
        <f>IFERROR(ISCAM_Score!AC59,"")</f>
        <v/>
      </c>
      <c r="O58" t="inlineStr">
        <is>
          <t>PIURA</t>
        </is>
      </c>
    </row>
    <row r="59" ht="16.05" customHeight="1" s="37">
      <c r="A59" t="inlineStr">
        <is>
          <t>20526514689</t>
        </is>
      </c>
      <c r="B59" t="inlineStr">
        <is>
          <t>ASOCIACION DE PRODUCTORES AGROPECUARIOS ARTESANALES E INDUST</t>
        </is>
      </c>
      <c r="C59" s="36">
        <f>IFERROR(ISCAM_Score!AL60,"—")</f>
        <v/>
      </c>
      <c r="D59">
        <f>IF(C59="—","— Sin Inst.2",IF(C59&lt;34,"🔴  Crítico",IF(C59&lt;67,"🟡  Vulnerable","🟢  Preparado")))</f>
        <v/>
      </c>
      <c r="E59">
        <f>IFERROR(RANK(C59,C:C,-1),"")</f>
        <v/>
      </c>
      <c r="F59">
        <f>IFERROR(MATRIZ_174!L59,0)</f>
        <v/>
      </c>
      <c r="G59">
        <f>IFERROR(MATRIZ_174!M59,0)</f>
        <v/>
      </c>
      <c r="H59" t="n">
        <v>0</v>
      </c>
      <c r="I59" t="n">
        <v>0</v>
      </c>
      <c r="J59" t="n">
        <v>0</v>
      </c>
      <c r="K59">
        <f>IFERROR(INDEX(MATRIZ_174!$U:$U,MATCH(A59,MATRIZ_174!$A:$A,0)),"")</f>
        <v/>
      </c>
      <c r="L59">
        <f>IFERROR(MATRIZ_174!O59,0)</f>
        <v/>
      </c>
      <c r="M59" t="n">
        <v>0</v>
      </c>
      <c r="N59">
        <f>IFERROR(ISCAM_Score!AC60,"")</f>
        <v/>
      </c>
      <c r="O59" t="inlineStr">
        <is>
          <t>PIURA</t>
        </is>
      </c>
    </row>
    <row r="60" ht="16.05" customHeight="1" s="37">
      <c r="A60" t="inlineStr">
        <is>
          <t>20527565376</t>
        </is>
      </c>
      <c r="B60" t="inlineStr">
        <is>
          <t>COOPERATIVA AGRARIA CAFETALERA VALLE DE INCAHUASI</t>
        </is>
      </c>
      <c r="C60" s="36">
        <f>IFERROR(ISCAM_Score!AL61,"—")</f>
        <v/>
      </c>
      <c r="D60">
        <f>IF(C60="—","— Sin Inst.2",IF(C60&lt;34,"🔴  Crítico",IF(C60&lt;67,"🟡  Vulnerable","🟢  Preparado")))</f>
        <v/>
      </c>
      <c r="E60">
        <f>IFERROR(RANK(C60,C:C,-1),"")</f>
        <v/>
      </c>
      <c r="F60">
        <f>IFERROR(MATRIZ_174!L60,0)</f>
        <v/>
      </c>
      <c r="G60">
        <f>IFERROR(MATRIZ_174!M60,0)</f>
        <v/>
      </c>
      <c r="H60" t="n">
        <v>0</v>
      </c>
      <c r="I60" t="n">
        <v>0</v>
      </c>
      <c r="J60" t="n">
        <v>0</v>
      </c>
      <c r="K60">
        <f>IFERROR(INDEX(MATRIZ_174!$U:$U,MATCH(A60,MATRIZ_174!$A:$A,0)),"")</f>
        <v/>
      </c>
      <c r="L60">
        <f>IFERROR(MATRIZ_174!O60,0)</f>
        <v/>
      </c>
      <c r="M60" t="n">
        <v>0</v>
      </c>
      <c r="N60">
        <f>IFERROR(ISCAM_Score!AC61,"")</f>
        <v/>
      </c>
      <c r="O60" t="inlineStr">
        <is>
          <t>APURIMAC</t>
        </is>
      </c>
    </row>
    <row r="61" ht="16.05" customHeight="1" s="37">
      <c r="A61" t="inlineStr">
        <is>
          <t>20528996214</t>
        </is>
      </c>
      <c r="B61" t="inlineStr">
        <is>
          <t>COOPERATIVA AGRARIA CAFETALERA MILAGROS - MONZON</t>
        </is>
      </c>
      <c r="C61" s="36">
        <f>IFERROR(ISCAM_Score!AL62,"—")</f>
        <v/>
      </c>
      <c r="D61">
        <f>IF(C61="—","— Sin Inst.2",IF(C61&lt;34,"🔴  Crítico",IF(C61&lt;67,"🟡  Vulnerable","🟢  Preparado")))</f>
        <v/>
      </c>
      <c r="E61">
        <f>IFERROR(RANK(C61,C:C,-1),"")</f>
        <v/>
      </c>
      <c r="F61">
        <f>IFERROR(MATRIZ_174!L61,0)</f>
        <v/>
      </c>
      <c r="G61">
        <f>IFERROR(MATRIZ_174!M61,0)</f>
        <v/>
      </c>
      <c r="H61" t="n">
        <v>0</v>
      </c>
      <c r="I61" t="n">
        <v>0</v>
      </c>
      <c r="J61" t="n">
        <v>0</v>
      </c>
      <c r="K61">
        <f>IFERROR(INDEX(MATRIZ_174!$U:$U,MATCH(A61,MATRIZ_174!$A:$A,0)),"")</f>
        <v/>
      </c>
      <c r="L61">
        <f>IFERROR(MATRIZ_174!O61,0)</f>
        <v/>
      </c>
      <c r="M61" t="n">
        <v>0</v>
      </c>
      <c r="N61">
        <f>IFERROR(ISCAM_Score!AC62,"")</f>
        <v/>
      </c>
      <c r="O61" t="inlineStr">
        <is>
          <t>HUANUCO</t>
        </is>
      </c>
    </row>
    <row r="62" ht="16.05" customHeight="1" s="37">
      <c r="A62" t="inlineStr">
        <is>
          <t>20529801433</t>
        </is>
      </c>
      <c r="B62" t="inlineStr">
        <is>
          <t>OPA MARAY-ULLMA SAN LORENZO</t>
        </is>
      </c>
      <c r="C62" s="36">
        <f>IFERROR(ISCAM_Score!AL63,"—")</f>
        <v/>
      </c>
      <c r="D62">
        <f>IF(C62="—","— Sin Inst.2",IF(C62&lt;34,"🔴  Crítico",IF(C62&lt;67,"🟡  Vulnerable","🟢  Preparado")))</f>
        <v/>
      </c>
      <c r="E62">
        <f>IFERROR(RANK(C62,C:C,-1),"")</f>
        <v/>
      </c>
      <c r="F62">
        <f>IFERROR(MATRIZ_174!L62,0)</f>
        <v/>
      </c>
      <c r="G62">
        <f>IFERROR(MATRIZ_174!M62,0)</f>
        <v/>
      </c>
      <c r="H62" t="n">
        <v>0</v>
      </c>
      <c r="I62" t="n">
        <v>0</v>
      </c>
      <c r="J62" t="n">
        <v>0</v>
      </c>
      <c r="K62">
        <f>IFERROR(INDEX(MATRIZ_174!$U:$U,MATCH(A62,MATRIZ_174!$A:$A,0)),"")</f>
        <v/>
      </c>
      <c r="L62">
        <f>IFERROR(MATRIZ_174!O62,0)</f>
        <v/>
      </c>
      <c r="M62" t="n">
        <v>0</v>
      </c>
      <c r="N62">
        <f>IFERROR(ISCAM_Score!AC63,"")</f>
        <v/>
      </c>
      <c r="O62" t="inlineStr">
        <is>
          <t>PIURA</t>
        </is>
      </c>
    </row>
    <row r="63" ht="16.05" customHeight="1" s="37">
      <c r="A63" t="inlineStr">
        <is>
          <t>20529822350</t>
        </is>
      </c>
      <c r="B63" t="inlineStr">
        <is>
          <t>OPA PAPAYO - LA LAGUNA</t>
        </is>
      </c>
      <c r="C63" s="36">
        <f>IFERROR(ISCAM_Score!AL64,"—")</f>
        <v/>
      </c>
      <c r="D63">
        <f>IF(C63="—","— Sin Inst.2",IF(C63&lt;34,"🔴  Crítico",IF(C63&lt;67,"🟡  Vulnerable","🟢  Preparado")))</f>
        <v/>
      </c>
      <c r="E63">
        <f>IFERROR(RANK(C63,C:C,-1),"")</f>
        <v/>
      </c>
      <c r="F63">
        <f>IFERROR(MATRIZ_174!L63,0)</f>
        <v/>
      </c>
      <c r="G63">
        <f>IFERROR(MATRIZ_174!M63,0)</f>
        <v/>
      </c>
      <c r="H63" t="n">
        <v>0</v>
      </c>
      <c r="I63" t="n">
        <v>0</v>
      </c>
      <c r="J63" t="n">
        <v>0</v>
      </c>
      <c r="K63">
        <f>IFERROR(INDEX(MATRIZ_174!$U:$U,MATCH(A63,MATRIZ_174!$A:$A,0)),"")</f>
        <v/>
      </c>
      <c r="L63">
        <f>IFERROR(MATRIZ_174!O63,0)</f>
        <v/>
      </c>
      <c r="M63" t="n">
        <v>0</v>
      </c>
      <c r="N63">
        <f>IFERROR(ISCAM_Score!AC64,"")</f>
        <v/>
      </c>
      <c r="O63" t="inlineStr">
        <is>
          <t>PIURA</t>
        </is>
      </c>
    </row>
    <row r="64" ht="16.05" customHeight="1" s="37">
      <c r="A64" t="inlineStr">
        <is>
          <t>20531405723</t>
        </is>
      </c>
      <c r="B64" t="inlineStr">
        <is>
          <t>COOPERATIVA DE SERVICIOS MULTIPLES ADISA NARANJOS</t>
        </is>
      </c>
      <c r="C64" s="36">
        <f>IFERROR(ISCAM_Score!AL65,"—")</f>
        <v/>
      </c>
      <c r="D64">
        <f>IF(C64="—","— Sin Inst.2",IF(C64&lt;34,"🔴  Crítico",IF(C64&lt;67,"🟡  Vulnerable","🟢  Preparado")))</f>
        <v/>
      </c>
      <c r="E64">
        <f>IFERROR(RANK(C64,C:C,-1),"")</f>
        <v/>
      </c>
      <c r="F64">
        <f>IFERROR(MATRIZ_174!L64,0)</f>
        <v/>
      </c>
      <c r="G64">
        <f>IFERROR(MATRIZ_174!M64,0)</f>
        <v/>
      </c>
      <c r="H64" t="n">
        <v>0</v>
      </c>
      <c r="I64" t="n">
        <v>0</v>
      </c>
      <c r="J64" t="n">
        <v>0</v>
      </c>
      <c r="K64">
        <f>IFERROR(INDEX(MATRIZ_174!$U:$U,MATCH(A64,MATRIZ_174!$A:$A,0)),"")</f>
        <v/>
      </c>
      <c r="L64">
        <f>IFERROR(MATRIZ_174!O64,0)</f>
        <v/>
      </c>
      <c r="M64" t="n">
        <v>0</v>
      </c>
      <c r="N64">
        <f>IFERROR(ISCAM_Score!AC65,"")</f>
        <v/>
      </c>
      <c r="O64" t="inlineStr">
        <is>
          <t>SAN MARTIN</t>
        </is>
      </c>
    </row>
    <row r="65" ht="16.05" customHeight="1" s="37">
      <c r="A65" t="inlineStr">
        <is>
          <t>20531441797</t>
        </is>
      </c>
      <c r="B65" t="inlineStr">
        <is>
          <t>COOPERATIVA AGRARIA ALLIMA CACAO LTDA.</t>
        </is>
      </c>
      <c r="C65" s="36">
        <f>IFERROR(ISCAM_Score!AL66,"—")</f>
        <v/>
      </c>
      <c r="D65">
        <f>IF(C65="—","— Sin Inst.2",IF(C65&lt;34,"🔴  Crítico",IF(C65&lt;67,"🟡  Vulnerable","🟢  Preparado")))</f>
        <v/>
      </c>
      <c r="E65">
        <f>IFERROR(RANK(C65,C:C,-1),"")</f>
        <v/>
      </c>
      <c r="F65">
        <f>IFERROR(MATRIZ_174!L65,0)</f>
        <v/>
      </c>
      <c r="G65">
        <f>IFERROR(MATRIZ_174!M65,0)</f>
        <v/>
      </c>
      <c r="H65" t="n">
        <v>0</v>
      </c>
      <c r="I65" t="n">
        <v>0</v>
      </c>
      <c r="J65" t="n">
        <v>0</v>
      </c>
      <c r="K65">
        <f>IFERROR(INDEX(MATRIZ_174!$U:$U,MATCH(A65,MATRIZ_174!$A:$A,0)),"")</f>
        <v/>
      </c>
      <c r="L65">
        <f>IFERROR(MATRIZ_174!O65,0)</f>
        <v/>
      </c>
      <c r="M65" t="n">
        <v>0</v>
      </c>
      <c r="N65">
        <f>IFERROR(ISCAM_Score!AC66,"")</f>
        <v/>
      </c>
      <c r="O65" t="inlineStr">
        <is>
          <t>SAN MARTIN</t>
        </is>
      </c>
    </row>
    <row r="66" ht="16.05" customHeight="1" s="37">
      <c r="A66" t="inlineStr">
        <is>
          <t>20534524774</t>
        </is>
      </c>
      <c r="B66" t="inlineStr">
        <is>
          <t>COOPERATIVA AGRARIA TROPICAL ECOLOGICA DE KIMBIRI</t>
        </is>
      </c>
      <c r="C66" s="36">
        <f>IFERROR(ISCAM_Score!AL67,"—")</f>
        <v/>
      </c>
      <c r="D66">
        <f>IF(C66="—","— Sin Inst.2",IF(C66&lt;34,"🔴  Crítico",IF(C66&lt;67,"🟡  Vulnerable","🟢  Preparado")))</f>
        <v/>
      </c>
      <c r="E66">
        <f>IFERROR(RANK(C66,C:C,-1),"")</f>
        <v/>
      </c>
      <c r="F66">
        <f>IFERROR(MATRIZ_174!L66,0)</f>
        <v/>
      </c>
      <c r="G66">
        <f>IFERROR(MATRIZ_174!M66,0)</f>
        <v/>
      </c>
      <c r="H66" t="n">
        <v>0</v>
      </c>
      <c r="I66" t="n">
        <v>0</v>
      </c>
      <c r="J66" t="n">
        <v>0</v>
      </c>
      <c r="K66">
        <f>IFERROR(INDEX(MATRIZ_174!$U:$U,MATCH(A66,MATRIZ_174!$A:$A,0)),"")</f>
        <v/>
      </c>
      <c r="L66">
        <f>IFERROR(MATRIZ_174!O66,0)</f>
        <v/>
      </c>
      <c r="M66" t="n">
        <v>0</v>
      </c>
      <c r="N66">
        <f>IFERROR(ISCAM_Score!AC67,"")</f>
        <v/>
      </c>
      <c r="O66" t="inlineStr">
        <is>
          <t>CUSCO</t>
        </is>
      </c>
    </row>
    <row r="67" ht="16.05" customHeight="1" s="37">
      <c r="A67" t="inlineStr">
        <is>
          <t>20539205600</t>
        </is>
      </c>
      <c r="B67" t="inlineStr">
        <is>
          <t>ASOCIACION DE PRODUCTORES Y EXPORTADORES DE CAFE RODRIGUEZ D</t>
        </is>
      </c>
      <c r="C67" s="36">
        <f>IFERROR(ISCAM_Score!AL68,"—")</f>
        <v/>
      </c>
      <c r="D67">
        <f>IF(C67="—","— Sin Inst.2",IF(C67&lt;34,"🔴  Crítico",IF(C67&lt;67,"🟡  Vulnerable","🟢  Preparado")))</f>
        <v/>
      </c>
      <c r="E67">
        <f>IFERROR(RANK(C67,C:C,-1),"")</f>
        <v/>
      </c>
      <c r="F67">
        <f>IFERROR(MATRIZ_174!L67,0)</f>
        <v/>
      </c>
      <c r="G67">
        <f>IFERROR(MATRIZ_174!M67,0)</f>
        <v/>
      </c>
      <c r="H67" t="n">
        <v>0</v>
      </c>
      <c r="I67" t="n">
        <v>0</v>
      </c>
      <c r="J67" t="n">
        <v>0</v>
      </c>
      <c r="K67">
        <f>IFERROR(INDEX(MATRIZ_174!$U:$U,MATCH(A67,MATRIZ_174!$A:$A,0)),"")</f>
        <v/>
      </c>
      <c r="L67">
        <f>IFERROR(MATRIZ_174!O67,0)</f>
        <v/>
      </c>
      <c r="M67" t="n">
        <v>0</v>
      </c>
      <c r="N67">
        <f>IFERROR(ISCAM_Score!AC68,"")</f>
        <v/>
      </c>
      <c r="O67" t="inlineStr">
        <is>
          <t>AMAZONAS</t>
        </is>
      </c>
    </row>
    <row r="68" ht="16.05" customHeight="1" s="37">
      <c r="A68" t="inlineStr">
        <is>
          <t>20539241665</t>
        </is>
      </c>
      <c r="B68" t="inlineStr">
        <is>
          <t>ASOCIACION DE PRODUCTORES DE CAFES ORGANICOS Y CAFES ESPECIA</t>
        </is>
      </c>
      <c r="C68" s="36">
        <f>IFERROR(ISCAM_Score!AL69,"—")</f>
        <v/>
      </c>
      <c r="D68">
        <f>IF(C68="—","— Sin Inst.2",IF(C68&lt;34,"🔴  Crítico",IF(C68&lt;67,"🟡  Vulnerable","🟢  Preparado")))</f>
        <v/>
      </c>
      <c r="E68">
        <f>IFERROR(RANK(C68,C:C,-1),"")</f>
        <v/>
      </c>
      <c r="F68">
        <f>IFERROR(MATRIZ_174!L68,0)</f>
        <v/>
      </c>
      <c r="G68">
        <f>IFERROR(MATRIZ_174!M68,0)</f>
        <v/>
      </c>
      <c r="H68" t="n">
        <v>0</v>
      </c>
      <c r="I68" t="n">
        <v>0</v>
      </c>
      <c r="J68" t="n">
        <v>0</v>
      </c>
      <c r="K68">
        <f>IFERROR(INDEX(MATRIZ_174!$U:$U,MATCH(A68,MATRIZ_174!$A:$A,0)),"")</f>
        <v/>
      </c>
      <c r="L68">
        <f>IFERROR(MATRIZ_174!O68,0)</f>
        <v/>
      </c>
      <c r="M68" t="n">
        <v>0</v>
      </c>
      <c r="N68">
        <f>IFERROR(ISCAM_Score!AC69,"")</f>
        <v/>
      </c>
      <c r="O68" t="inlineStr">
        <is>
          <t>AMAZONAS</t>
        </is>
      </c>
    </row>
    <row r="69" ht="16.05" customHeight="1" s="37">
      <c r="A69" t="inlineStr">
        <is>
          <t>20539280644</t>
        </is>
      </c>
      <c r="B69" t="inlineStr">
        <is>
          <t>ASOCIACION DE PEQUEÑOS AGRICULTORES PARA LA PRODUCCION ECOLO</t>
        </is>
      </c>
      <c r="C69" s="36">
        <f>IFERROR(ISCAM_Score!AL70,"—")</f>
        <v/>
      </c>
      <c r="D69">
        <f>IF(C69="—","— Sin Inst.2",IF(C69&lt;34,"🔴  Crítico",IF(C69&lt;67,"🟡  Vulnerable","🟢  Preparado")))</f>
        <v/>
      </c>
      <c r="E69">
        <f>IFERROR(RANK(C69,C:C,-1),"")</f>
        <v/>
      </c>
      <c r="F69">
        <f>IFERROR(MATRIZ_174!L69,0)</f>
        <v/>
      </c>
      <c r="G69">
        <f>IFERROR(MATRIZ_174!M69,0)</f>
        <v/>
      </c>
      <c r="H69" t="n">
        <v>0</v>
      </c>
      <c r="I69" t="n">
        <v>0</v>
      </c>
      <c r="J69" t="n">
        <v>0</v>
      </c>
      <c r="K69">
        <f>IFERROR(INDEX(MATRIZ_174!$U:$U,MATCH(A69,MATRIZ_174!$A:$A,0)),"")</f>
        <v/>
      </c>
      <c r="L69">
        <f>IFERROR(MATRIZ_174!O69,0)</f>
        <v/>
      </c>
      <c r="M69" t="n">
        <v>0</v>
      </c>
      <c r="N69">
        <f>IFERROR(ISCAM_Score!AC70,"")</f>
        <v/>
      </c>
      <c r="O69" t="inlineStr">
        <is>
          <t>LAMBAYEQUE</t>
        </is>
      </c>
    </row>
    <row r="70" ht="16.05" customHeight="1" s="37">
      <c r="A70" t="inlineStr">
        <is>
          <t>20542209951</t>
        </is>
      </c>
      <c r="B70" t="inlineStr">
        <is>
          <t>COOPERATIVA AGRARIA VALLE GRANDE</t>
        </is>
      </c>
      <c r="C70" s="36">
        <f>IFERROR(ISCAM_Score!AL71,"—")</f>
        <v/>
      </c>
      <c r="D70">
        <f>IF(C70="—","— Sin Inst.2",IF(C70&lt;34,"🔴  Crítico",IF(C70&lt;67,"🟡  Vulnerable","🟢  Preparado")))</f>
        <v/>
      </c>
      <c r="E70">
        <f>IFERROR(RANK(C70,C:C,-1),"")</f>
        <v/>
      </c>
      <c r="F70">
        <f>IFERROR(MATRIZ_174!L70,0)</f>
        <v/>
      </c>
      <c r="G70">
        <f>IFERROR(MATRIZ_174!M70,0)</f>
        <v/>
      </c>
      <c r="H70" t="n">
        <v>0</v>
      </c>
      <c r="I70" t="n">
        <v>0</v>
      </c>
      <c r="J70" t="n">
        <v>0</v>
      </c>
      <c r="K70">
        <f>IFERROR(INDEX(MATRIZ_174!$U:$U,MATCH(A70,MATRIZ_174!$A:$A,0)),"")</f>
        <v/>
      </c>
      <c r="L70">
        <f>IFERROR(MATRIZ_174!O70,0)</f>
        <v/>
      </c>
      <c r="M70" t="n">
        <v>0</v>
      </c>
      <c r="N70">
        <f>IFERROR(ISCAM_Score!AC71,"")</f>
        <v/>
      </c>
      <c r="O70" t="inlineStr">
        <is>
          <t>SAN MARTIN</t>
        </is>
      </c>
    </row>
    <row r="71" ht="16.05" customHeight="1" s="37">
      <c r="A71" t="inlineStr">
        <is>
          <t>20542251990</t>
        </is>
      </c>
      <c r="B71" t="inlineStr">
        <is>
          <t>ASOCIACION DE MUJERES EMPRENDEDORAS DE NUEVO PROGRESO</t>
        </is>
      </c>
      <c r="C71" s="36">
        <f>IFERROR(ISCAM_Score!AL72,"—")</f>
        <v/>
      </c>
      <c r="D71">
        <f>IF(C71="—","— Sin Inst.2",IF(C71&lt;34,"🔴  Crítico",IF(C71&lt;67,"🟡  Vulnerable","🟢  Preparado")))</f>
        <v/>
      </c>
      <c r="E71">
        <f>IFERROR(RANK(C71,C:C,-1),"")</f>
        <v/>
      </c>
      <c r="F71">
        <f>IFERROR(MATRIZ_174!L71,0)</f>
        <v/>
      </c>
      <c r="G71">
        <f>IFERROR(MATRIZ_174!M71,0)</f>
        <v/>
      </c>
      <c r="H71" t="n">
        <v>0</v>
      </c>
      <c r="I71" t="n">
        <v>0</v>
      </c>
      <c r="J71" t="n">
        <v>0</v>
      </c>
      <c r="K71">
        <f>IFERROR(INDEX(MATRIZ_174!$U:$U,MATCH(A71,MATRIZ_174!$A:$A,0)),"")</f>
        <v/>
      </c>
      <c r="L71">
        <f>IFERROR(MATRIZ_174!O71,0)</f>
        <v/>
      </c>
      <c r="M71" t="n">
        <v>0</v>
      </c>
      <c r="N71">
        <f>IFERROR(ISCAM_Score!AC72,"")</f>
        <v/>
      </c>
      <c r="O71" t="inlineStr">
        <is>
          <t>SAN MARTIN</t>
        </is>
      </c>
    </row>
    <row r="72" ht="16.05" customHeight="1" s="37">
      <c r="A72" t="inlineStr">
        <is>
          <t>20542257416</t>
        </is>
      </c>
      <c r="B72" t="inlineStr">
        <is>
          <t>EMPRESA INDUSTRIAL ORO VERDE SOCIEDAD ANONIMA CERRADA</t>
        </is>
      </c>
      <c r="C72" s="36">
        <f>IFERROR(ISCAM_Score!AL73,"—")</f>
        <v/>
      </c>
      <c r="D72">
        <f>IF(C72="—","— Sin Inst.2",IF(C72&lt;34,"🔴  Crítico",IF(C72&lt;67,"🟡  Vulnerable","🟢  Preparado")))</f>
        <v/>
      </c>
      <c r="E72">
        <f>IFERROR(RANK(C72,C:C,-1),"")</f>
        <v/>
      </c>
      <c r="F72">
        <f>IFERROR(MATRIZ_174!L72,0)</f>
        <v/>
      </c>
      <c r="G72">
        <f>IFERROR(MATRIZ_174!M72,0)</f>
        <v/>
      </c>
      <c r="H72" t="n">
        <v>0</v>
      </c>
      <c r="I72" t="n">
        <v>0</v>
      </c>
      <c r="J72" t="n">
        <v>0</v>
      </c>
      <c r="K72">
        <f>IFERROR(INDEX(MATRIZ_174!$U:$U,MATCH(A72,MATRIZ_174!$A:$A,0)),"")</f>
        <v/>
      </c>
      <c r="L72">
        <f>IFERROR(MATRIZ_174!O72,0)</f>
        <v/>
      </c>
      <c r="M72" t="n">
        <v>0</v>
      </c>
      <c r="N72">
        <f>IFERROR(ISCAM_Score!AC73,"")</f>
        <v/>
      </c>
      <c r="O72" t="inlineStr">
        <is>
          <t>SAN MARTIN</t>
        </is>
      </c>
    </row>
    <row r="73" ht="16.05" customHeight="1" s="37">
      <c r="A73" t="inlineStr">
        <is>
          <t>20542264544</t>
        </is>
      </c>
      <c r="B73" t="inlineStr">
        <is>
          <t>COOPERATIVA AGRARIA VALLE DEL BIAVO LTDA</t>
        </is>
      </c>
      <c r="C73" s="36">
        <f>IFERROR(ISCAM_Score!AL74,"—")</f>
        <v/>
      </c>
      <c r="D73">
        <f>IF(C73="—","— Sin Inst.2",IF(C73&lt;34,"🔴  Crítico",IF(C73&lt;67,"🟡  Vulnerable","🟢  Preparado")))</f>
        <v/>
      </c>
      <c r="E73">
        <f>IFERROR(RANK(C73,C:C,-1),"")</f>
        <v/>
      </c>
      <c r="F73">
        <f>IFERROR(MATRIZ_174!L73,0)</f>
        <v/>
      </c>
      <c r="G73">
        <f>IFERROR(MATRIZ_174!M73,0)</f>
        <v/>
      </c>
      <c r="H73" t="n">
        <v>0</v>
      </c>
      <c r="I73" t="n">
        <v>0</v>
      </c>
      <c r="J73" t="n">
        <v>0</v>
      </c>
      <c r="K73">
        <f>IFERROR(INDEX(MATRIZ_174!$U:$U,MATCH(A73,MATRIZ_174!$A:$A,0)),"")</f>
        <v/>
      </c>
      <c r="L73">
        <f>IFERROR(MATRIZ_174!O73,0)</f>
        <v/>
      </c>
      <c r="M73" t="n">
        <v>0</v>
      </c>
      <c r="N73">
        <f>IFERROR(ISCAM_Score!AC74,"")</f>
        <v/>
      </c>
      <c r="O73" t="inlineStr">
        <is>
          <t>SAN MARTIN</t>
        </is>
      </c>
    </row>
    <row r="74" ht="16.05" customHeight="1" s="37">
      <c r="A74" t="inlineStr">
        <is>
          <t>20542289024</t>
        </is>
      </c>
      <c r="B74" t="inlineStr">
        <is>
          <t>CUENCAS DEL HUALLAGA ASOCIACION DE PRODUCTORES AGROPECUARIOS</t>
        </is>
      </c>
      <c r="C74" s="36">
        <f>IFERROR(ISCAM_Score!AL75,"—")</f>
        <v/>
      </c>
      <c r="D74">
        <f>IF(C74="—","— Sin Inst.2",IF(C74&lt;34,"🔴  Crítico",IF(C74&lt;67,"🟡  Vulnerable","🟢  Preparado")))</f>
        <v/>
      </c>
      <c r="E74">
        <f>IFERROR(RANK(C74,C:C,-1),"")</f>
        <v/>
      </c>
      <c r="F74">
        <f>IFERROR(MATRIZ_174!L74,0)</f>
        <v/>
      </c>
      <c r="G74">
        <f>IFERROR(MATRIZ_174!M74,0)</f>
        <v/>
      </c>
      <c r="H74" t="n">
        <v>0</v>
      </c>
      <c r="I74" t="n">
        <v>0</v>
      </c>
      <c r="J74" t="n">
        <v>0</v>
      </c>
      <c r="K74">
        <f>IFERROR(INDEX(MATRIZ_174!$U:$U,MATCH(A74,MATRIZ_174!$A:$A,0)),"")</f>
        <v/>
      </c>
      <c r="L74">
        <f>IFERROR(MATRIZ_174!O74,0)</f>
        <v/>
      </c>
      <c r="M74" t="n">
        <v>0</v>
      </c>
      <c r="N74">
        <f>IFERROR(ISCAM_Score!AC75,"")</f>
        <v/>
      </c>
      <c r="O74" t="inlineStr">
        <is>
          <t>SAN MARTIN</t>
        </is>
      </c>
    </row>
    <row r="75" ht="16.05" customHeight="1" s="37">
      <c r="A75" t="inlineStr">
        <is>
          <t>20542299330</t>
        </is>
      </c>
      <c r="B75" t="inlineStr">
        <is>
          <t xml:space="preserve">ASOCIACION DE PRODUCTORES AGROPECUARIOS DE SHUCUSHYACU FLOR </t>
        </is>
      </c>
      <c r="C75" s="36">
        <f>IFERROR(ISCAM_Score!AL76,"—")</f>
        <v/>
      </c>
      <c r="D75">
        <f>IF(C75="—","— Sin Inst.2",IF(C75&lt;34,"🔴  Crítico",IF(C75&lt;67,"🟡  Vulnerable","🟢  Preparado")))</f>
        <v/>
      </c>
      <c r="E75">
        <f>IFERROR(RANK(C75,C:C,-1),"")</f>
        <v/>
      </c>
      <c r="F75">
        <f>IFERROR(MATRIZ_174!L75,0)</f>
        <v/>
      </c>
      <c r="G75">
        <f>IFERROR(MATRIZ_174!M75,0)</f>
        <v/>
      </c>
      <c r="H75" t="n">
        <v>0</v>
      </c>
      <c r="I75" t="n">
        <v>0</v>
      </c>
      <c r="J75" t="n">
        <v>0</v>
      </c>
      <c r="K75">
        <f>IFERROR(INDEX(MATRIZ_174!$U:$U,MATCH(A75,MATRIZ_174!$A:$A,0)),"")</f>
        <v/>
      </c>
      <c r="L75">
        <f>IFERROR(MATRIZ_174!O75,0)</f>
        <v/>
      </c>
      <c r="M75" t="n">
        <v>0</v>
      </c>
      <c r="N75">
        <f>IFERROR(ISCAM_Score!AC76,"")</f>
        <v/>
      </c>
      <c r="O75" t="inlineStr">
        <is>
          <t>LORETO</t>
        </is>
      </c>
    </row>
    <row r="76" ht="16.05" customHeight="1" s="37">
      <c r="A76" t="inlineStr">
        <is>
          <t>20542311569</t>
        </is>
      </c>
      <c r="B76" t="inlineStr">
        <is>
          <t>COOPERATIVA AGRARIA ACHUAR SHAKAIM LTDA</t>
        </is>
      </c>
      <c r="C76" s="36">
        <f>IFERROR(ISCAM_Score!AL77,"—")</f>
        <v/>
      </c>
      <c r="D76">
        <f>IF(C76="—","— Sin Inst.2",IF(C76&lt;34,"🔴  Crítico",IF(C76&lt;67,"🟡  Vulnerable","🟢  Preparado")))</f>
        <v/>
      </c>
      <c r="E76">
        <f>IFERROR(RANK(C76,C:C,-1),"")</f>
        <v/>
      </c>
      <c r="F76">
        <f>IFERROR(MATRIZ_174!L76,0)</f>
        <v/>
      </c>
      <c r="G76">
        <f>IFERROR(MATRIZ_174!M76,0)</f>
        <v/>
      </c>
      <c r="H76" t="n">
        <v>0</v>
      </c>
      <c r="I76" t="n">
        <v>0</v>
      </c>
      <c r="J76" t="n">
        <v>0</v>
      </c>
      <c r="K76">
        <f>IFERROR(INDEX(MATRIZ_174!$U:$U,MATCH(A76,MATRIZ_174!$A:$A,0)),"")</f>
        <v/>
      </c>
      <c r="L76">
        <f>IFERROR(MATRIZ_174!O76,0)</f>
        <v/>
      </c>
      <c r="M76" t="n">
        <v>0</v>
      </c>
      <c r="N76">
        <f>IFERROR(ISCAM_Score!AC77,"")</f>
        <v/>
      </c>
      <c r="O76" t="inlineStr">
        <is>
          <t>LORETO</t>
        </is>
      </c>
    </row>
    <row r="77" ht="16.05" customHeight="1" s="37">
      <c r="A77" t="inlineStr">
        <is>
          <t>20542380455</t>
        </is>
      </c>
      <c r="B77" t="inlineStr">
        <is>
          <t>COOPERATIVA AGRARIA ECOFOREST</t>
        </is>
      </c>
      <c r="C77" s="36">
        <f>IFERROR(ISCAM_Score!AL78,"—")</f>
        <v/>
      </c>
      <c r="D77">
        <f>IF(C77="—","— Sin Inst.2",IF(C77&lt;34,"🔴  Crítico",IF(C77&lt;67,"🟡  Vulnerable","🟢  Preparado")))</f>
        <v/>
      </c>
      <c r="E77">
        <f>IFERROR(RANK(C77,C:C,-1),"")</f>
        <v/>
      </c>
      <c r="F77">
        <f>IFERROR(MATRIZ_174!L77,0)</f>
        <v/>
      </c>
      <c r="G77">
        <f>IFERROR(MATRIZ_174!M77,0)</f>
        <v/>
      </c>
      <c r="H77" t="n">
        <v>0</v>
      </c>
      <c r="I77" t="n">
        <v>0</v>
      </c>
      <c r="J77" t="n">
        <v>0</v>
      </c>
      <c r="K77">
        <f>IFERROR(INDEX(MATRIZ_174!$U:$U,MATCH(A77,MATRIZ_174!$A:$A,0)),"")</f>
        <v/>
      </c>
      <c r="L77">
        <f>IFERROR(MATRIZ_174!O77,0)</f>
        <v/>
      </c>
      <c r="M77" t="n">
        <v>0</v>
      </c>
      <c r="N77">
        <f>IFERROR(ISCAM_Score!AC78,"")</f>
        <v/>
      </c>
      <c r="O77" t="inlineStr">
        <is>
          <t>CAJAMARCA</t>
        </is>
      </c>
    </row>
    <row r="78" ht="16.05" customHeight="1" s="37">
      <c r="A78" t="inlineStr">
        <is>
          <t>20542482886</t>
        </is>
      </c>
      <c r="B78" t="inlineStr">
        <is>
          <t>COOPERATIVA AGROINDUSTRIAL APCCA</t>
        </is>
      </c>
      <c r="C78" s="36">
        <f>IFERROR(ISCAM_Score!AL79,"—")</f>
        <v/>
      </c>
      <c r="D78">
        <f>IF(C78="—","— Sin Inst.2",IF(C78&lt;34,"🔴  Crítico",IF(C78&lt;67,"🟡  Vulnerable","🟢  Preparado")))</f>
        <v/>
      </c>
      <c r="E78">
        <f>IFERROR(RANK(C78,C:C,-1),"")</f>
        <v/>
      </c>
      <c r="F78">
        <f>IFERROR(MATRIZ_174!L78,0)</f>
        <v/>
      </c>
      <c r="G78">
        <f>IFERROR(MATRIZ_174!M78,0)</f>
        <v/>
      </c>
      <c r="H78" t="n">
        <v>0</v>
      </c>
      <c r="I78" t="n">
        <v>0</v>
      </c>
      <c r="J78" t="n">
        <v>0</v>
      </c>
      <c r="K78">
        <f>IFERROR(INDEX(MATRIZ_174!$U:$U,MATCH(A78,MATRIZ_174!$A:$A,0)),"")</f>
        <v/>
      </c>
      <c r="L78">
        <f>IFERROR(MATRIZ_174!O78,0)</f>
        <v/>
      </c>
      <c r="M78" t="n">
        <v>0</v>
      </c>
      <c r="N78">
        <f>IFERROR(ISCAM_Score!AC79,"")</f>
        <v/>
      </c>
      <c r="O78" t="inlineStr">
        <is>
          <t>HUANUCO</t>
        </is>
      </c>
    </row>
    <row r="79" ht="16.05" customHeight="1" s="37">
      <c r="A79" t="inlineStr">
        <is>
          <t>20542825163</t>
        </is>
      </c>
      <c r="B79" t="inlineStr">
        <is>
          <t>COOPERATIVA AGRARIA CACAO FINO AGROBOSQUE</t>
        </is>
      </c>
      <c r="C79" s="36">
        <f>IFERROR(ISCAM_Score!AL80,"—")</f>
        <v/>
      </c>
      <c r="D79">
        <f>IF(C79="—","— Sin Inst.2",IF(C79&lt;34,"🔴  Crítico",IF(C79&lt;67,"🟡  Vulnerable","🟢  Preparado")))</f>
        <v/>
      </c>
      <c r="E79">
        <f>IFERROR(RANK(C79,C:C,-1),"")</f>
        <v/>
      </c>
      <c r="F79">
        <f>IFERROR(MATRIZ_174!L79,0)</f>
        <v/>
      </c>
      <c r="G79">
        <f>IFERROR(MATRIZ_174!M79,0)</f>
        <v/>
      </c>
      <c r="H79" t="n">
        <v>0</v>
      </c>
      <c r="I79" t="n">
        <v>0</v>
      </c>
      <c r="J79" t="n">
        <v>0</v>
      </c>
      <c r="K79">
        <f>IFERROR(INDEX(MATRIZ_174!$U:$U,MATCH(A79,MATRIZ_174!$A:$A,0)),"")</f>
        <v/>
      </c>
      <c r="L79">
        <f>IFERROR(MATRIZ_174!O79,0)</f>
        <v/>
      </c>
      <c r="M79" t="n">
        <v>0</v>
      </c>
      <c r="N79">
        <f>IFERROR(ISCAM_Score!AC80,"")</f>
        <v/>
      </c>
      <c r="O79" t="inlineStr">
        <is>
          <t>MADRE DE DIOS</t>
        </is>
      </c>
    </row>
    <row r="80" ht="16.05" customHeight="1" s="37">
      <c r="A80" t="inlineStr">
        <is>
          <t>20561140091</t>
        </is>
      </c>
      <c r="B80" t="inlineStr">
        <is>
          <t>COOPERATIVA AGRARIA ECOLOGICA CAFETALERA DE LONYA GRANDE</t>
        </is>
      </c>
      <c r="C80" s="36">
        <f>IFERROR(ISCAM_Score!AL81,"—")</f>
        <v/>
      </c>
      <c r="D80">
        <f>IF(C80="—","— Sin Inst.2",IF(C80&lt;34,"🔴  Crítico",IF(C80&lt;67,"🟡  Vulnerable","🟢  Preparado")))</f>
        <v/>
      </c>
      <c r="E80">
        <f>IFERROR(RANK(C80,C:C,-1),"")</f>
        <v/>
      </c>
      <c r="F80">
        <f>IFERROR(MATRIZ_174!L80,0)</f>
        <v/>
      </c>
      <c r="G80">
        <f>IFERROR(MATRIZ_174!M80,0)</f>
        <v/>
      </c>
      <c r="H80" t="n">
        <v>0</v>
      </c>
      <c r="I80" t="n">
        <v>0</v>
      </c>
      <c r="J80" t="n">
        <v>0</v>
      </c>
      <c r="K80">
        <f>IFERROR(INDEX(MATRIZ_174!$U:$U,MATCH(A80,MATRIZ_174!$A:$A,0)),"")</f>
        <v/>
      </c>
      <c r="L80">
        <f>IFERROR(MATRIZ_174!O80,0)</f>
        <v/>
      </c>
      <c r="M80" t="n">
        <v>0</v>
      </c>
      <c r="N80">
        <f>IFERROR(ISCAM_Score!AC81,"")</f>
        <v/>
      </c>
      <c r="O80" t="inlineStr">
        <is>
          <t>AMAZONAS</t>
        </is>
      </c>
    </row>
    <row r="81" ht="16.05" customHeight="1" s="37">
      <c r="A81" t="inlineStr">
        <is>
          <t>20564032485</t>
        </is>
      </c>
      <c r="B81" t="inlineStr">
        <is>
          <t>ASOCIACION DE PRODUCTORES ECOLOGICOS DE CACAO MEDIO URUBAMBA</t>
        </is>
      </c>
      <c r="C81" s="36">
        <f>IFERROR(ISCAM_Score!AL82,"—")</f>
        <v/>
      </c>
      <c r="D81">
        <f>IF(C81="—","— Sin Inst.2",IF(C81&lt;34,"🔴  Crítico",IF(C81&lt;67,"🟡  Vulnerable","🟢  Preparado")))</f>
        <v/>
      </c>
      <c r="E81">
        <f>IFERROR(RANK(C81,C:C,-1),"")</f>
        <v/>
      </c>
      <c r="F81">
        <f>IFERROR(MATRIZ_174!L81,0)</f>
        <v/>
      </c>
      <c r="G81">
        <f>IFERROR(MATRIZ_174!M81,0)</f>
        <v/>
      </c>
      <c r="H81" t="n">
        <v>0</v>
      </c>
      <c r="I81" t="n">
        <v>0</v>
      </c>
      <c r="J81" t="n">
        <v>0</v>
      </c>
      <c r="K81">
        <f>IFERROR(INDEX(MATRIZ_174!$U:$U,MATCH(A81,MATRIZ_174!$A:$A,0)),"")</f>
        <v/>
      </c>
      <c r="L81">
        <f>IFERROR(MATRIZ_174!O81,0)</f>
        <v/>
      </c>
      <c r="M81" t="n">
        <v>0</v>
      </c>
      <c r="N81">
        <f>IFERROR(ISCAM_Score!AC82,"")</f>
        <v/>
      </c>
      <c r="O81" t="inlineStr">
        <is>
          <t>CUSCO</t>
        </is>
      </c>
    </row>
    <row r="82" ht="16.05" customHeight="1" s="37">
      <c r="A82" t="inlineStr">
        <is>
          <t>20568071281</t>
        </is>
      </c>
      <c r="B82" t="inlineStr">
        <is>
          <t>COOPERATIVA AGRARIA CAFETALERA CEPRO YANESHA</t>
        </is>
      </c>
      <c r="C82" s="36">
        <f>IFERROR(ISCAM_Score!AL83,"—")</f>
        <v/>
      </c>
      <c r="D82">
        <f>IF(C82="—","— Sin Inst.2",IF(C82&lt;34,"🔴  Crítico",IF(C82&lt;67,"🟡  Vulnerable","🟢  Preparado")))</f>
        <v/>
      </c>
      <c r="E82">
        <f>IFERROR(RANK(C82,C:C,-1),"")</f>
        <v/>
      </c>
      <c r="F82">
        <f>IFERROR(MATRIZ_174!L82,0)</f>
        <v/>
      </c>
      <c r="G82">
        <f>IFERROR(MATRIZ_174!M82,0)</f>
        <v/>
      </c>
      <c r="H82" t="n">
        <v>0</v>
      </c>
      <c r="I82" t="n">
        <v>0</v>
      </c>
      <c r="J82" t="n">
        <v>0</v>
      </c>
      <c r="K82">
        <f>IFERROR(INDEX(MATRIZ_174!$U:$U,MATCH(A82,MATRIZ_174!$A:$A,0)),"")</f>
        <v/>
      </c>
      <c r="L82">
        <f>IFERROR(MATRIZ_174!O82,0)</f>
        <v/>
      </c>
      <c r="M82" t="n">
        <v>0</v>
      </c>
      <c r="N82">
        <f>IFERROR(ISCAM_Score!AC83,"")</f>
        <v/>
      </c>
      <c r="O82" t="inlineStr">
        <is>
          <t>PASCO</t>
        </is>
      </c>
    </row>
    <row r="83" ht="16.05" customHeight="1" s="37">
      <c r="A83" t="inlineStr">
        <is>
          <t>20568080948</t>
        </is>
      </c>
      <c r="B83" t="inlineStr">
        <is>
          <t>CONSEJO REGULADOR DE LA DENOMINACION DE ORIGEN CAFE VILLA RI</t>
        </is>
      </c>
      <c r="C83" s="36">
        <f>IFERROR(ISCAM_Score!AL84,"—")</f>
        <v/>
      </c>
      <c r="D83">
        <f>IF(C83="—","— Sin Inst.2",IF(C83&lt;34,"🔴  Crítico",IF(C83&lt;67,"🟡  Vulnerable","🟢  Preparado")))</f>
        <v/>
      </c>
      <c r="E83">
        <f>IFERROR(RANK(C83,C:C,-1),"")</f>
        <v/>
      </c>
      <c r="F83">
        <f>IFERROR(MATRIZ_174!L83,0)</f>
        <v/>
      </c>
      <c r="G83">
        <f>IFERROR(MATRIZ_174!M83,0)</f>
        <v/>
      </c>
      <c r="H83" t="n">
        <v>0</v>
      </c>
      <c r="I83" t="n">
        <v>0</v>
      </c>
      <c r="J83" t="n">
        <v>0</v>
      </c>
      <c r="K83">
        <f>IFERROR(INDEX(MATRIZ_174!$U:$U,MATCH(A83,MATRIZ_174!$A:$A,0)),"")</f>
        <v/>
      </c>
      <c r="L83">
        <f>IFERROR(MATRIZ_174!O83,0)</f>
        <v/>
      </c>
      <c r="M83" t="n">
        <v>0</v>
      </c>
      <c r="N83">
        <f>IFERROR(ISCAM_Score!AC84,"")</f>
        <v/>
      </c>
      <c r="O83" t="inlineStr">
        <is>
          <t>PASCO</t>
        </is>
      </c>
    </row>
    <row r="84" ht="16.05" customHeight="1" s="37">
      <c r="A84" t="inlineStr">
        <is>
          <t>20568190450</t>
        </is>
      </c>
      <c r="B84" t="inlineStr">
        <is>
          <t>COOPERATIVA AGRARIA KEMITO ENE LTDA. - KEMITO ENE</t>
        </is>
      </c>
      <c r="C84" s="36">
        <f>IFERROR(ISCAM_Score!AL85,"—")</f>
        <v/>
      </c>
      <c r="D84">
        <f>IF(C84="—","— Sin Inst.2",IF(C84&lt;34,"🔴  Crítico",IF(C84&lt;67,"🟡  Vulnerable","🟢  Preparado")))</f>
        <v/>
      </c>
      <c r="E84">
        <f>IFERROR(RANK(C84,C:C,-1),"")</f>
        <v/>
      </c>
      <c r="F84">
        <f>IFERROR(MATRIZ_174!L84,0)</f>
        <v/>
      </c>
      <c r="G84">
        <f>IFERROR(MATRIZ_174!M84,0)</f>
        <v/>
      </c>
      <c r="H84" t="n">
        <v>0</v>
      </c>
      <c r="I84" t="n">
        <v>0</v>
      </c>
      <c r="J84" t="n">
        <v>0</v>
      </c>
      <c r="K84">
        <f>IFERROR(INDEX(MATRIZ_174!$U:$U,MATCH(A84,MATRIZ_174!$A:$A,0)),"")</f>
        <v/>
      </c>
      <c r="L84">
        <f>IFERROR(MATRIZ_174!O84,0)</f>
        <v/>
      </c>
      <c r="M84" t="n">
        <v>0</v>
      </c>
      <c r="N84">
        <f>IFERROR(ISCAM_Score!AC85,"")</f>
        <v/>
      </c>
      <c r="O84" t="inlineStr">
        <is>
          <t>JUNIN</t>
        </is>
      </c>
    </row>
    <row r="85" ht="16.05" customHeight="1" s="37">
      <c r="A85" t="inlineStr">
        <is>
          <t>20568194951</t>
        </is>
      </c>
      <c r="B85" t="inlineStr">
        <is>
          <t>ASOCIACION DE PRODUCTORES AGROSOSTENIBLES VILLA ECOLOGICA PE</t>
        </is>
      </c>
      <c r="C85" s="36">
        <f>IFERROR(ISCAM_Score!AL86,"—")</f>
        <v/>
      </c>
      <c r="D85">
        <f>IF(C85="—","— Sin Inst.2",IF(C85&lt;34,"🔴  Crítico",IF(C85&lt;67,"🟡  Vulnerable","🟢  Preparado")))</f>
        <v/>
      </c>
      <c r="E85">
        <f>IFERROR(RANK(C85,C:C,-1),"")</f>
        <v/>
      </c>
      <c r="F85">
        <f>IFERROR(MATRIZ_174!L85,0)</f>
        <v/>
      </c>
      <c r="G85">
        <f>IFERROR(MATRIZ_174!M85,0)</f>
        <v/>
      </c>
      <c r="H85" t="n">
        <v>0</v>
      </c>
      <c r="I85" t="n">
        <v>0</v>
      </c>
      <c r="J85" t="n">
        <v>0</v>
      </c>
      <c r="K85">
        <f>IFERROR(INDEX(MATRIZ_174!$U:$U,MATCH(A85,MATRIZ_174!$A:$A,0)),"")</f>
        <v/>
      </c>
      <c r="L85">
        <f>IFERROR(MATRIZ_174!O85,0)</f>
        <v/>
      </c>
      <c r="M85" t="n">
        <v>0</v>
      </c>
      <c r="N85">
        <f>IFERROR(ISCAM_Score!AC86,"")</f>
        <v/>
      </c>
      <c r="O85" t="inlineStr">
        <is>
          <t>JUNIN</t>
        </is>
      </c>
    </row>
    <row r="86" ht="16.05" customHeight="1" s="37">
      <c r="A86" t="inlineStr">
        <is>
          <t>20568428375</t>
        </is>
      </c>
      <c r="B86" t="inlineStr">
        <is>
          <t>COOPERATIVA AGRARIA ASHANINKA DEL VALLE PICHIS</t>
        </is>
      </c>
      <c r="C86" s="36">
        <f>IFERROR(ISCAM_Score!AL87,"—")</f>
        <v/>
      </c>
      <c r="D86">
        <f>IF(C86="—","— Sin Inst.2",IF(C86&lt;34,"🔴  Crítico",IF(C86&lt;67,"🟡  Vulnerable","🟢  Preparado")))</f>
        <v/>
      </c>
      <c r="E86">
        <f>IFERROR(RANK(C86,C:C,-1),"")</f>
        <v/>
      </c>
      <c r="F86">
        <f>IFERROR(MATRIZ_174!L86,0)</f>
        <v/>
      </c>
      <c r="G86">
        <f>IFERROR(MATRIZ_174!M86,0)</f>
        <v/>
      </c>
      <c r="H86" t="n">
        <v>0</v>
      </c>
      <c r="I86" t="n">
        <v>0</v>
      </c>
      <c r="J86" t="n">
        <v>0</v>
      </c>
      <c r="K86">
        <f>IFERROR(INDEX(MATRIZ_174!$U:$U,MATCH(A86,MATRIZ_174!$A:$A,0)),"")</f>
        <v/>
      </c>
      <c r="L86">
        <f>IFERROR(MATRIZ_174!O86,0)</f>
        <v/>
      </c>
      <c r="M86" t="n">
        <v>0</v>
      </c>
      <c r="N86">
        <f>IFERROR(ISCAM_Score!AC87,"")</f>
        <v/>
      </c>
      <c r="O86" t="inlineStr">
        <is>
          <t>PASCO</t>
        </is>
      </c>
    </row>
    <row r="87" ht="16.05" customHeight="1" s="37">
      <c r="A87" t="inlineStr">
        <is>
          <t>20568549083</t>
        </is>
      </c>
      <c r="B87" t="inlineStr">
        <is>
          <t>COOPERATIVA AGRARIA INDUSTRIAL APASC SANCORE-PALCAZU LTDA</t>
        </is>
      </c>
      <c r="C87" s="36">
        <f>IFERROR(ISCAM_Score!AL88,"—")</f>
        <v/>
      </c>
      <c r="D87">
        <f>IF(C87="—","— Sin Inst.2",IF(C87&lt;34,"🔴  Crítico",IF(C87&lt;67,"🟡  Vulnerable","🟢  Preparado")))</f>
        <v/>
      </c>
      <c r="E87">
        <f>IFERROR(RANK(C87,C:C,-1),"")</f>
        <v/>
      </c>
      <c r="F87">
        <f>IFERROR(MATRIZ_174!L87,0)</f>
        <v/>
      </c>
      <c r="G87">
        <f>IFERROR(MATRIZ_174!M87,0)</f>
        <v/>
      </c>
      <c r="H87" t="n">
        <v>0</v>
      </c>
      <c r="I87" t="n">
        <v>0</v>
      </c>
      <c r="J87" t="n">
        <v>0</v>
      </c>
      <c r="K87">
        <f>IFERROR(INDEX(MATRIZ_174!$U:$U,MATCH(A87,MATRIZ_174!$A:$A,0)),"")</f>
        <v/>
      </c>
      <c r="L87">
        <f>IFERROR(MATRIZ_174!O87,0)</f>
        <v/>
      </c>
      <c r="M87" t="n">
        <v>0</v>
      </c>
      <c r="N87">
        <f>IFERROR(ISCAM_Score!AC88,"")</f>
        <v/>
      </c>
      <c r="O87" t="inlineStr">
        <is>
          <t>PASCO</t>
        </is>
      </c>
    </row>
    <row r="88" ht="16.05" customHeight="1" s="37">
      <c r="A88" t="inlineStr">
        <is>
          <t>20568560133</t>
        </is>
      </c>
      <c r="B88" t="inlineStr">
        <is>
          <t>COOPERATIVA AGRARIA ECOLOGICO ALTO PALCAZU LAGUNA RAYA</t>
        </is>
      </c>
      <c r="C88" s="36">
        <f>IFERROR(ISCAM_Score!AL89,"—")</f>
        <v/>
      </c>
      <c r="D88">
        <f>IF(C88="—","— Sin Inst.2",IF(C88&lt;34,"🔴  Crítico",IF(C88&lt;67,"🟡  Vulnerable","🟢  Preparado")))</f>
        <v/>
      </c>
      <c r="E88">
        <f>IFERROR(RANK(C88,C:C,-1),"")</f>
        <v/>
      </c>
      <c r="F88">
        <f>IFERROR(MATRIZ_174!L88,0)</f>
        <v/>
      </c>
      <c r="G88">
        <f>IFERROR(MATRIZ_174!M88,0)</f>
        <v/>
      </c>
      <c r="H88" t="n">
        <v>0</v>
      </c>
      <c r="I88" t="n">
        <v>0</v>
      </c>
      <c r="J88" t="n">
        <v>0</v>
      </c>
      <c r="K88">
        <f>IFERROR(INDEX(MATRIZ_174!$U:$U,MATCH(A88,MATRIZ_174!$A:$A,0)),"")</f>
        <v/>
      </c>
      <c r="L88">
        <f>IFERROR(MATRIZ_174!O88,0)</f>
        <v/>
      </c>
      <c r="M88" t="n">
        <v>0</v>
      </c>
      <c r="N88">
        <f>IFERROR(ISCAM_Score!AC89,"")</f>
        <v/>
      </c>
      <c r="O88" t="inlineStr">
        <is>
          <t>PASCO</t>
        </is>
      </c>
    </row>
    <row r="89" ht="16.05" customHeight="1" s="37">
      <c r="A89" t="inlineStr">
        <is>
          <t>20568567731</t>
        </is>
      </c>
      <c r="B89" t="inlineStr">
        <is>
          <t>COOPERATIVA AGRARIA VILLA RICA GOLDEN COFFEE LTDA.</t>
        </is>
      </c>
      <c r="C89" s="36">
        <f>IFERROR(ISCAM_Score!AL90,"—")</f>
        <v/>
      </c>
      <c r="D89">
        <f>IF(C89="—","— Sin Inst.2",IF(C89&lt;34,"🔴  Crítico",IF(C89&lt;67,"🟡  Vulnerable","🟢  Preparado")))</f>
        <v/>
      </c>
      <c r="E89">
        <f>IFERROR(RANK(C89,C:C,-1),"")</f>
        <v/>
      </c>
      <c r="F89">
        <f>IFERROR(MATRIZ_174!L89,0)</f>
        <v/>
      </c>
      <c r="G89">
        <f>IFERROR(MATRIZ_174!M89,0)</f>
        <v/>
      </c>
      <c r="H89" t="n">
        <v>0</v>
      </c>
      <c r="I89" t="n">
        <v>0</v>
      </c>
      <c r="J89" t="n">
        <v>0</v>
      </c>
      <c r="K89">
        <f>IFERROR(INDEX(MATRIZ_174!$U:$U,MATCH(A89,MATRIZ_174!$A:$A,0)),"")</f>
        <v/>
      </c>
      <c r="L89">
        <f>IFERROR(MATRIZ_174!O89,0)</f>
        <v/>
      </c>
      <c r="M89" t="n">
        <v>0</v>
      </c>
      <c r="N89">
        <f>IFERROR(ISCAM_Score!AC90,"")</f>
        <v/>
      </c>
      <c r="O89" t="inlineStr">
        <is>
          <t>PASCO</t>
        </is>
      </c>
    </row>
    <row r="90" ht="16.05" customHeight="1" s="37">
      <c r="A90" t="inlineStr">
        <is>
          <t>20568609833</t>
        </is>
      </c>
      <c r="B90" t="inlineStr">
        <is>
          <t xml:space="preserve">ASOCIACION DE MUJERES PRODUCTORAS ARTESANAS CACAO JENTARI - </t>
        </is>
      </c>
      <c r="C90" s="36">
        <f>IFERROR(ISCAM_Score!AL91,"—")</f>
        <v/>
      </c>
      <c r="D90">
        <f>IF(C90="—","— Sin Inst.2",IF(C90&lt;34,"🔴  Crítico",IF(C90&lt;67,"🟡  Vulnerable","🟢  Preparado")))</f>
        <v/>
      </c>
      <c r="E90">
        <f>IFERROR(RANK(C90,C:C,-1),"")</f>
        <v/>
      </c>
      <c r="F90">
        <f>IFERROR(MATRIZ_174!L90,0)</f>
        <v/>
      </c>
      <c r="G90">
        <f>IFERROR(MATRIZ_174!M90,0)</f>
        <v/>
      </c>
      <c r="H90" t="n">
        <v>0</v>
      </c>
      <c r="I90" t="n">
        <v>0</v>
      </c>
      <c r="J90" t="n">
        <v>0</v>
      </c>
      <c r="K90">
        <f>IFERROR(INDEX(MATRIZ_174!$U:$U,MATCH(A90,MATRIZ_174!$A:$A,0)),"")</f>
        <v/>
      </c>
      <c r="L90">
        <f>IFERROR(MATRIZ_174!O90,0)</f>
        <v/>
      </c>
      <c r="M90" t="n">
        <v>0</v>
      </c>
      <c r="N90">
        <f>IFERROR(ISCAM_Score!AC91,"")</f>
        <v/>
      </c>
      <c r="O90" t="inlineStr">
        <is>
          <t>JUNIN</t>
        </is>
      </c>
    </row>
    <row r="91" ht="16.05" customHeight="1" s="37">
      <c r="A91" t="inlineStr">
        <is>
          <t>20568962282</t>
        </is>
      </c>
      <c r="B91" t="inlineStr">
        <is>
          <t>ASOCIACIÓN DE PRODUCTORES CENTRO COFFEE</t>
        </is>
      </c>
      <c r="C91" s="36">
        <f>IFERROR(ISCAM_Score!AL92,"—")</f>
        <v/>
      </c>
      <c r="D91">
        <f>IF(C91="—","— Sin Inst.2",IF(C91&lt;34,"🔴  Crítico",IF(C91&lt;67,"🟡  Vulnerable","🟢  Preparado")))</f>
        <v/>
      </c>
      <c r="E91">
        <f>IFERROR(RANK(C91,C:C,-1),"")</f>
        <v/>
      </c>
      <c r="F91">
        <f>IFERROR(MATRIZ_174!L91,0)</f>
        <v/>
      </c>
      <c r="G91">
        <f>IFERROR(MATRIZ_174!M91,0)</f>
        <v/>
      </c>
      <c r="H91" t="n">
        <v>0</v>
      </c>
      <c r="I91" t="n">
        <v>0</v>
      </c>
      <c r="J91" t="n">
        <v>0</v>
      </c>
      <c r="K91">
        <f>IFERROR(INDEX(MATRIZ_174!$U:$U,MATCH(A91,MATRIZ_174!$A:$A,0)),"")</f>
        <v/>
      </c>
      <c r="L91">
        <f>IFERROR(MATRIZ_174!O91,0)</f>
        <v/>
      </c>
      <c r="M91" t="n">
        <v>0</v>
      </c>
      <c r="N91">
        <f>IFERROR(ISCAM_Score!AC92,"")</f>
        <v/>
      </c>
      <c r="O91" t="inlineStr">
        <is>
          <t>JUNIN</t>
        </is>
      </c>
    </row>
    <row r="92" ht="16.05" customHeight="1" s="37">
      <c r="A92" t="inlineStr">
        <is>
          <t>20570706927</t>
        </is>
      </c>
      <c r="B92" t="inlineStr">
        <is>
          <t>COOPERATIVA AGRARIA RUTAS DEL INCA</t>
        </is>
      </c>
      <c r="C92" s="36">
        <f>IFERROR(ISCAM_Score!AL93,"—")</f>
        <v/>
      </c>
      <c r="D92">
        <f>IF(C92="—","— Sin Inst.2",IF(C92&lt;34,"🔴  Crítico",IF(C92&lt;67,"🟡  Vulnerable","🟢  Preparado")))</f>
        <v/>
      </c>
      <c r="E92">
        <f>IFERROR(RANK(C92,C:C,-1),"")</f>
        <v/>
      </c>
      <c r="F92">
        <f>IFERROR(MATRIZ_174!L92,0)</f>
        <v/>
      </c>
      <c r="G92">
        <f>IFERROR(MATRIZ_174!M92,0)</f>
        <v/>
      </c>
      <c r="H92" t="n">
        <v>0</v>
      </c>
      <c r="I92" t="n">
        <v>0</v>
      </c>
      <c r="J92" t="n">
        <v>0</v>
      </c>
      <c r="K92">
        <f>IFERROR(INDEX(MATRIZ_174!$U:$U,MATCH(A92,MATRIZ_174!$A:$A,0)),"")</f>
        <v/>
      </c>
      <c r="L92">
        <f>IFERROR(MATRIZ_174!O92,0)</f>
        <v/>
      </c>
      <c r="M92" t="n">
        <v>0</v>
      </c>
      <c r="N92">
        <f>IFERROR(ISCAM_Score!AC93,"")</f>
        <v/>
      </c>
      <c r="O92" t="inlineStr">
        <is>
          <t>CAJAMARCA</t>
        </is>
      </c>
    </row>
    <row r="93" ht="16.05" customHeight="1" s="37">
      <c r="A93" t="inlineStr">
        <is>
          <t>20572111131</t>
        </is>
      </c>
      <c r="B93" t="inlineStr">
        <is>
          <t>ASOCIACION DE MUJERES ORGANIZADAS CHOCO WARMIS</t>
        </is>
      </c>
      <c r="C93" s="36">
        <f>IFERROR(ISCAM_Score!AL94,"—")</f>
        <v/>
      </c>
      <c r="D93">
        <f>IF(C93="—","— Sin Inst.2",IF(C93&lt;34,"🔴  Crítico",IF(C93&lt;67,"🟡  Vulnerable","🟢  Preparado")))</f>
        <v/>
      </c>
      <c r="E93">
        <f>IFERROR(RANK(C93,C:C,-1),"")</f>
        <v/>
      </c>
      <c r="F93">
        <f>IFERROR(MATRIZ_174!L93,0)</f>
        <v/>
      </c>
      <c r="G93">
        <f>IFERROR(MATRIZ_174!M93,0)</f>
        <v/>
      </c>
      <c r="H93" t="n">
        <v>0</v>
      </c>
      <c r="I93" t="n">
        <v>0</v>
      </c>
      <c r="J93" t="n">
        <v>0</v>
      </c>
      <c r="K93">
        <f>IFERROR(INDEX(MATRIZ_174!$U:$U,MATCH(A93,MATRIZ_174!$A:$A,0)),"")</f>
        <v/>
      </c>
      <c r="L93">
        <f>IFERROR(MATRIZ_174!O93,0)</f>
        <v/>
      </c>
      <c r="M93" t="n">
        <v>0</v>
      </c>
      <c r="N93">
        <f>IFERROR(ISCAM_Score!AC94,"")</f>
        <v/>
      </c>
      <c r="O93" t="inlineStr">
        <is>
          <t>SAN MARTIN</t>
        </is>
      </c>
    </row>
    <row r="94" ht="16.05" customHeight="1" s="37">
      <c r="A94" t="inlineStr">
        <is>
          <t>20572190251</t>
        </is>
      </c>
      <c r="B94" t="inlineStr">
        <is>
          <t>CENTRAL DE COOPERATIVAS AGRARIAS CACAO AROMA DE TOCACHE LTDA</t>
        </is>
      </c>
      <c r="C94" s="36">
        <f>IFERROR(ISCAM_Score!AL95,"—")</f>
        <v/>
      </c>
      <c r="D94">
        <f>IF(C94="—","— Sin Inst.2",IF(C94&lt;34,"🔴  Crítico",IF(C94&lt;67,"🟡  Vulnerable","🟢  Preparado")))</f>
        <v/>
      </c>
      <c r="E94">
        <f>IFERROR(RANK(C94,C:C,-1),"")</f>
        <v/>
      </c>
      <c r="F94">
        <f>IFERROR(MATRIZ_174!L94,0)</f>
        <v/>
      </c>
      <c r="G94">
        <f>IFERROR(MATRIZ_174!M94,0)</f>
        <v/>
      </c>
      <c r="H94" t="n">
        <v>0</v>
      </c>
      <c r="I94" t="n">
        <v>0</v>
      </c>
      <c r="J94" t="n">
        <v>0</v>
      </c>
      <c r="K94">
        <f>IFERROR(INDEX(MATRIZ_174!$U:$U,MATCH(A94,MATRIZ_174!$A:$A,0)),"")</f>
        <v/>
      </c>
      <c r="L94">
        <f>IFERROR(MATRIZ_174!O94,0)</f>
        <v/>
      </c>
      <c r="M94" t="n">
        <v>0</v>
      </c>
      <c r="N94">
        <f>IFERROR(ISCAM_Score!AC95,"")</f>
        <v/>
      </c>
      <c r="O94" t="inlineStr">
        <is>
          <t>SAN MARTIN</t>
        </is>
      </c>
    </row>
    <row r="95" ht="16.05" customHeight="1" s="37">
      <c r="A95" t="inlineStr">
        <is>
          <t>20573049102</t>
        </is>
      </c>
      <c r="B95" t="inlineStr">
        <is>
          <t>COOPERATIVA AGRARIA CACAOTERA PUERTO INCA</t>
        </is>
      </c>
      <c r="C95" s="36">
        <f>IFERROR(ISCAM_Score!AL96,"—")</f>
        <v/>
      </c>
      <c r="D95">
        <f>IF(C95="—","— Sin Inst.2",IF(C95&lt;34,"🔴  Crítico",IF(C95&lt;67,"🟡  Vulnerable","🟢  Preparado")))</f>
        <v/>
      </c>
      <c r="E95">
        <f>IFERROR(RANK(C95,C:C,-1),"")</f>
        <v/>
      </c>
      <c r="F95">
        <f>IFERROR(MATRIZ_174!L95,0)</f>
        <v/>
      </c>
      <c r="G95">
        <f>IFERROR(MATRIZ_174!M95,0)</f>
        <v/>
      </c>
      <c r="H95" t="n">
        <v>0</v>
      </c>
      <c r="I95" t="n">
        <v>0</v>
      </c>
      <c r="J95" t="n">
        <v>0</v>
      </c>
      <c r="K95">
        <f>IFERROR(INDEX(MATRIZ_174!$U:$U,MATCH(A95,MATRIZ_174!$A:$A,0)),"")</f>
        <v/>
      </c>
      <c r="L95">
        <f>IFERROR(MATRIZ_174!O95,0)</f>
        <v/>
      </c>
      <c r="M95" t="n">
        <v>0</v>
      </c>
      <c r="N95">
        <f>IFERROR(ISCAM_Score!AC96,"")</f>
        <v/>
      </c>
      <c r="O95" t="inlineStr">
        <is>
          <t>HUANUCO</t>
        </is>
      </c>
    </row>
    <row r="96" ht="16.05" customHeight="1" s="37">
      <c r="A96" t="inlineStr">
        <is>
          <t>20573057385</t>
        </is>
      </c>
      <c r="B96" t="inlineStr">
        <is>
          <t>COOPERATIVA AGRARIA PARAISO</t>
        </is>
      </c>
      <c r="C96" s="36">
        <f>IFERROR(ISCAM_Score!AL97,"—")</f>
        <v/>
      </c>
      <c r="D96">
        <f>IF(C96="—","— Sin Inst.2",IF(C96&lt;34,"🔴  Crítico",IF(C96&lt;67,"🟡  Vulnerable","🟢  Preparado")))</f>
        <v/>
      </c>
      <c r="E96">
        <f>IFERROR(RANK(C96,C:C,-1),"")</f>
        <v/>
      </c>
      <c r="F96">
        <f>IFERROR(MATRIZ_174!L96,0)</f>
        <v/>
      </c>
      <c r="G96">
        <f>IFERROR(MATRIZ_174!M96,0)</f>
        <v/>
      </c>
      <c r="H96" t="n">
        <v>0</v>
      </c>
      <c r="I96" t="n">
        <v>0</v>
      </c>
      <c r="J96" t="n">
        <v>0</v>
      </c>
      <c r="K96">
        <f>IFERROR(INDEX(MATRIZ_174!$U:$U,MATCH(A96,MATRIZ_174!$A:$A,0)),"")</f>
        <v/>
      </c>
      <c r="L96">
        <f>IFERROR(MATRIZ_174!O96,0)</f>
        <v/>
      </c>
      <c r="M96" t="n">
        <v>0</v>
      </c>
      <c r="N96">
        <f>IFERROR(ISCAM_Score!AC97,"")</f>
        <v/>
      </c>
      <c r="O96" t="inlineStr">
        <is>
          <t>HUANUCO</t>
        </is>
      </c>
    </row>
    <row r="97" ht="16.05" customHeight="1" s="37">
      <c r="A97" t="inlineStr">
        <is>
          <t>20573138202</t>
        </is>
      </c>
      <c r="B97" t="inlineStr">
        <is>
          <t>ASOCIACION DE PRODUCTORES AGROPECUARIOS Y FORESTALES EL ALVA</t>
        </is>
      </c>
      <c r="C97" s="36">
        <f>IFERROR(ISCAM_Score!AL98,"—")</f>
        <v/>
      </c>
      <c r="D97">
        <f>IF(C97="—","— Sin Inst.2",IF(C97&lt;34,"🔴  Crítico",IF(C97&lt;67,"🟡  Vulnerable","🟢  Preparado")))</f>
        <v/>
      </c>
      <c r="E97">
        <f>IFERROR(RANK(C97,C:C,-1),"")</f>
        <v/>
      </c>
      <c r="F97">
        <f>IFERROR(MATRIZ_174!L97,0)</f>
        <v/>
      </c>
      <c r="G97">
        <f>IFERROR(MATRIZ_174!M97,0)</f>
        <v/>
      </c>
      <c r="H97" t="n">
        <v>0</v>
      </c>
      <c r="I97" t="n">
        <v>0</v>
      </c>
      <c r="J97" t="n">
        <v>0</v>
      </c>
      <c r="K97">
        <f>IFERROR(INDEX(MATRIZ_174!$U:$U,MATCH(A97,MATRIZ_174!$A:$A,0)),"")</f>
        <v/>
      </c>
      <c r="L97">
        <f>IFERROR(MATRIZ_174!O97,0)</f>
        <v/>
      </c>
      <c r="M97" t="n">
        <v>0</v>
      </c>
      <c r="N97">
        <f>IFERROR(ISCAM_Score!AC98,"")</f>
        <v/>
      </c>
      <c r="O97" t="inlineStr">
        <is>
          <t>HUANUCO</t>
        </is>
      </c>
    </row>
    <row r="98" ht="16.05" customHeight="1" s="37">
      <c r="A98" t="inlineStr">
        <is>
          <t>20573260008</t>
        </is>
      </c>
      <c r="B98" t="inlineStr">
        <is>
          <t>COOPERATIVA AGRARIA AUCAYACU</t>
        </is>
      </c>
      <c r="C98" s="36">
        <f>IFERROR(ISCAM_Score!AL99,"—")</f>
        <v/>
      </c>
      <c r="D98">
        <f>IF(C98="—","— Sin Inst.2",IF(C98&lt;34,"🔴  Crítico",IF(C98&lt;67,"🟡  Vulnerable","🟢  Preparado")))</f>
        <v/>
      </c>
      <c r="E98">
        <f>IFERROR(RANK(C98,C:C,-1),"")</f>
        <v/>
      </c>
      <c r="F98">
        <f>IFERROR(MATRIZ_174!L98,0)</f>
        <v/>
      </c>
      <c r="G98">
        <f>IFERROR(MATRIZ_174!M98,0)</f>
        <v/>
      </c>
      <c r="H98" t="n">
        <v>0</v>
      </c>
      <c r="I98" t="n">
        <v>0</v>
      </c>
      <c r="J98" t="n">
        <v>0</v>
      </c>
      <c r="K98">
        <f>IFERROR(INDEX(MATRIZ_174!$U:$U,MATCH(A98,MATRIZ_174!$A:$A,0)),"")</f>
        <v/>
      </c>
      <c r="L98">
        <f>IFERROR(MATRIZ_174!O98,0)</f>
        <v/>
      </c>
      <c r="M98" t="n">
        <v>0</v>
      </c>
      <c r="N98">
        <f>IFERROR(ISCAM_Score!AC99,"")</f>
        <v/>
      </c>
      <c r="O98" t="inlineStr">
        <is>
          <t>HUANUCO</t>
        </is>
      </c>
    </row>
    <row r="99" ht="16.05" customHeight="1" s="37">
      <c r="A99" t="inlineStr">
        <is>
          <t>20573344791</t>
        </is>
      </c>
      <c r="B99" t="inlineStr">
        <is>
          <t>ASOCIACION AGROECOLOGICO HUANGANAPAMPA</t>
        </is>
      </c>
      <c r="C99" s="36">
        <f>IFERROR(ISCAM_Score!AL100,"—")</f>
        <v/>
      </c>
      <c r="D99">
        <f>IF(C99="—","— Sin Inst.2",IF(C99&lt;34,"🔴  Crítico",IF(C99&lt;67,"🟡  Vulnerable","🟢  Preparado")))</f>
        <v/>
      </c>
      <c r="E99">
        <f>IFERROR(RANK(C99,C:C,-1),"")</f>
        <v/>
      </c>
      <c r="F99">
        <f>IFERROR(MATRIZ_174!L99,0)</f>
        <v/>
      </c>
      <c r="G99">
        <f>IFERROR(MATRIZ_174!M99,0)</f>
        <v/>
      </c>
      <c r="H99" t="n">
        <v>0</v>
      </c>
      <c r="I99" t="n">
        <v>0</v>
      </c>
      <c r="J99" t="n">
        <v>0</v>
      </c>
      <c r="K99">
        <f>IFERROR(INDEX(MATRIZ_174!$U:$U,MATCH(A99,MATRIZ_174!$A:$A,0)),"")</f>
        <v/>
      </c>
      <c r="L99">
        <f>IFERROR(MATRIZ_174!O99,0)</f>
        <v/>
      </c>
      <c r="M99" t="n">
        <v>0</v>
      </c>
      <c r="N99">
        <f>IFERROR(ISCAM_Score!AC100,"")</f>
        <v/>
      </c>
      <c r="O99" t="inlineStr">
        <is>
          <t>HUANUCO</t>
        </is>
      </c>
    </row>
    <row r="100" ht="16.05" customHeight="1" s="37">
      <c r="A100" t="inlineStr">
        <is>
          <t>20574797013</t>
        </is>
      </c>
      <c r="B100" t="inlineStr">
        <is>
          <t>ASOCIACION DE PRODUCTORES AGROPECUARIOS DE PARAISO CENTRAL</t>
        </is>
      </c>
      <c r="C100" s="36">
        <f>IFERROR(ISCAM_Score!AL101,"—")</f>
        <v/>
      </c>
      <c r="D100">
        <f>IF(C100="—","— Sin Inst.2",IF(C100&lt;34,"🔴  Crítico",IF(C100&lt;67,"🟡  Vulnerable","🟢  Preparado")))</f>
        <v/>
      </c>
      <c r="E100">
        <f>IFERROR(RANK(C100,C:C,-1),"")</f>
        <v/>
      </c>
      <c r="F100">
        <f>IFERROR(MATRIZ_174!L100,0)</f>
        <v/>
      </c>
      <c r="G100">
        <f>IFERROR(MATRIZ_174!M100,0)</f>
        <v/>
      </c>
      <c r="H100" t="n">
        <v>0</v>
      </c>
      <c r="I100" t="n">
        <v>0</v>
      </c>
      <c r="J100" t="n">
        <v>0</v>
      </c>
      <c r="K100">
        <f>IFERROR(INDEX(MATRIZ_174!$U:$U,MATCH(A100,MATRIZ_174!$A:$A,0)),"")</f>
        <v/>
      </c>
      <c r="L100">
        <f>IFERROR(MATRIZ_174!O100,0)</f>
        <v/>
      </c>
      <c r="M100" t="n">
        <v>0</v>
      </c>
      <c r="N100">
        <f>IFERROR(ISCAM_Score!AC101,"")</f>
        <v/>
      </c>
      <c r="O100" t="inlineStr">
        <is>
          <t>CUSCO</t>
        </is>
      </c>
    </row>
    <row r="101" ht="16.05" customHeight="1" s="37">
      <c r="A101" t="inlineStr">
        <is>
          <t>20600001109</t>
        </is>
      </c>
      <c r="B101" t="inlineStr">
        <is>
          <t>COOPERATIVA AGRARIA CAFETALERA PRODUCTORA COMERCIAL EXPORTAD</t>
        </is>
      </c>
      <c r="C101" s="36">
        <f>IFERROR(ISCAM_Score!AL102,"—")</f>
        <v/>
      </c>
      <c r="D101">
        <f>IF(C101="—","— Sin Inst.2",IF(C101&lt;34,"🔴  Crítico",IF(C101&lt;67,"🟡  Vulnerable","🟢  Preparado")))</f>
        <v/>
      </c>
      <c r="E101">
        <f>IFERROR(RANK(C101,C:C,-1),"")</f>
        <v/>
      </c>
      <c r="F101">
        <f>IFERROR(MATRIZ_174!L101,0)</f>
        <v/>
      </c>
      <c r="G101">
        <f>IFERROR(MATRIZ_174!M101,0)</f>
        <v/>
      </c>
      <c r="H101" t="n">
        <v>0</v>
      </c>
      <c r="I101" t="n">
        <v>0</v>
      </c>
      <c r="J101" t="n">
        <v>0</v>
      </c>
      <c r="K101">
        <f>IFERROR(INDEX(MATRIZ_174!$U:$U,MATCH(A101,MATRIZ_174!$A:$A,0)),"")</f>
        <v/>
      </c>
      <c r="L101">
        <f>IFERROR(MATRIZ_174!O101,0)</f>
        <v/>
      </c>
      <c r="M101" t="n">
        <v>0</v>
      </c>
      <c r="N101">
        <f>IFERROR(ISCAM_Score!AC102,"")</f>
        <v/>
      </c>
      <c r="O101" t="inlineStr">
        <is>
          <t>AMAZONAS</t>
        </is>
      </c>
    </row>
    <row r="102" ht="16.05" customHeight="1" s="37">
      <c r="A102" t="inlineStr">
        <is>
          <t>20600010086</t>
        </is>
      </c>
      <c r="B102" t="inlineStr">
        <is>
          <t>COOPERATIVA AGRARIA VALLE DEL CUCHARA LTDA</t>
        </is>
      </c>
      <c r="C102" s="36">
        <f>IFERROR(ISCAM_Score!AL103,"—")</f>
        <v/>
      </c>
      <c r="D102">
        <f>IF(C102="—","— Sin Inst.2",IF(C102&lt;34,"🔴  Crítico",IF(C102&lt;67,"🟡  Vulnerable","🟢  Preparado")))</f>
        <v/>
      </c>
      <c r="E102">
        <f>IFERROR(RANK(C102,C:C,-1),"")</f>
        <v/>
      </c>
      <c r="F102">
        <f>IFERROR(MATRIZ_174!L102,0)</f>
        <v/>
      </c>
      <c r="G102">
        <f>IFERROR(MATRIZ_174!M102,0)</f>
        <v/>
      </c>
      <c r="H102" t="n">
        <v>0</v>
      </c>
      <c r="I102" t="n">
        <v>0</v>
      </c>
      <c r="J102" t="n">
        <v>0</v>
      </c>
      <c r="K102">
        <f>IFERROR(INDEX(MATRIZ_174!$U:$U,MATCH(A102,MATRIZ_174!$A:$A,0)),"")</f>
        <v/>
      </c>
      <c r="L102">
        <f>IFERROR(MATRIZ_174!O102,0)</f>
        <v/>
      </c>
      <c r="M102" t="n">
        <v>0</v>
      </c>
      <c r="N102">
        <f>IFERROR(ISCAM_Score!AC103,"")</f>
        <v/>
      </c>
      <c r="O102" t="inlineStr">
        <is>
          <t>HUANUCO</t>
        </is>
      </c>
    </row>
    <row r="103" ht="16.05" customHeight="1" s="37">
      <c r="A103" t="inlineStr">
        <is>
          <t>20600029887</t>
        </is>
      </c>
      <c r="B103" t="inlineStr">
        <is>
          <t>COOPERATIVA AGRARIA INTEGRAL LUZ DE LA ESPERANZA</t>
        </is>
      </c>
      <c r="C103" s="36">
        <f>IFERROR(ISCAM_Score!AL104,"—")</f>
        <v/>
      </c>
      <c r="D103">
        <f>IF(C103="—","— Sin Inst.2",IF(C103&lt;34,"🔴  Crítico",IF(C103&lt;67,"🟡  Vulnerable","🟢  Preparado")))</f>
        <v/>
      </c>
      <c r="E103">
        <f>IFERROR(RANK(C103,C:C,-1),"")</f>
        <v/>
      </c>
      <c r="F103">
        <f>IFERROR(MATRIZ_174!L103,0)</f>
        <v/>
      </c>
      <c r="G103">
        <f>IFERROR(MATRIZ_174!M103,0)</f>
        <v/>
      </c>
      <c r="H103" t="n">
        <v>0</v>
      </c>
      <c r="I103" t="n">
        <v>0</v>
      </c>
      <c r="J103" t="n">
        <v>0</v>
      </c>
      <c r="K103">
        <f>IFERROR(INDEX(MATRIZ_174!$U:$U,MATCH(A103,MATRIZ_174!$A:$A,0)),"")</f>
        <v/>
      </c>
      <c r="L103">
        <f>IFERROR(MATRIZ_174!O103,0)</f>
        <v/>
      </c>
      <c r="M103" t="n">
        <v>0</v>
      </c>
      <c r="N103">
        <f>IFERROR(ISCAM_Score!AC104,"")</f>
        <v/>
      </c>
      <c r="O103" t="inlineStr">
        <is>
          <t>LORETO</t>
        </is>
      </c>
    </row>
    <row r="104" ht="16.05" customHeight="1" s="37">
      <c r="A104" t="inlineStr">
        <is>
          <t>20600146689</t>
        </is>
      </c>
      <c r="B104" t="inlineStr">
        <is>
          <t>COOPERATIVA AGRARIA DE SERVICIOS AGRICOLAS TAMBOPATA CANDAMO</t>
        </is>
      </c>
      <c r="C104" s="36">
        <f>IFERROR(ISCAM_Score!AL105,"—")</f>
        <v/>
      </c>
      <c r="D104">
        <f>IF(C104="—","— Sin Inst.2",IF(C104&lt;34,"🔴  Crítico",IF(C104&lt;67,"🟡  Vulnerable","🟢  Preparado")))</f>
        <v/>
      </c>
      <c r="E104">
        <f>IFERROR(RANK(C104,C:C,-1),"")</f>
        <v/>
      </c>
      <c r="F104">
        <f>IFERROR(MATRIZ_174!L104,0)</f>
        <v/>
      </c>
      <c r="G104">
        <f>IFERROR(MATRIZ_174!M104,0)</f>
        <v/>
      </c>
      <c r="H104" t="n">
        <v>0</v>
      </c>
      <c r="I104" t="n">
        <v>0</v>
      </c>
      <c r="J104" t="n">
        <v>0</v>
      </c>
      <c r="K104">
        <f>IFERROR(INDEX(MATRIZ_174!$U:$U,MATCH(A104,MATRIZ_174!$A:$A,0)),"")</f>
        <v/>
      </c>
      <c r="L104">
        <f>IFERROR(MATRIZ_174!O104,0)</f>
        <v/>
      </c>
      <c r="M104" t="n">
        <v>0</v>
      </c>
      <c r="N104">
        <f>IFERROR(ISCAM_Score!AC105,"")</f>
        <v/>
      </c>
      <c r="O104" t="inlineStr">
        <is>
          <t>MADRE DE DIOS</t>
        </is>
      </c>
    </row>
    <row r="105" ht="16.05" customHeight="1" s="37">
      <c r="A105" t="inlineStr">
        <is>
          <t>20600200756</t>
        </is>
      </c>
      <c r="B105" t="inlineStr">
        <is>
          <t>COOPERATIVA AGRARIA CAFETALERA MONTAÑA AZUL LTDA. - COOPACMA</t>
        </is>
      </c>
      <c r="C105" s="36">
        <f>IFERROR(ISCAM_Score!AL106,"—")</f>
        <v/>
      </c>
      <c r="D105">
        <f>IF(C105="—","— Sin Inst.2",IF(C105&lt;34,"🔴  Crítico",IF(C105&lt;67,"🟡  Vulnerable","🟢  Preparado")))</f>
        <v/>
      </c>
      <c r="E105">
        <f>IFERROR(RANK(C105,C:C,-1),"")</f>
        <v/>
      </c>
      <c r="F105">
        <f>IFERROR(MATRIZ_174!L105,0)</f>
        <v/>
      </c>
      <c r="G105">
        <f>IFERROR(MATRIZ_174!M105,0)</f>
        <v/>
      </c>
      <c r="H105" t="n">
        <v>0</v>
      </c>
      <c r="I105" t="n">
        <v>0</v>
      </c>
      <c r="J105" t="n">
        <v>0</v>
      </c>
      <c r="K105">
        <f>IFERROR(INDEX(MATRIZ_174!$U:$U,MATCH(A105,MATRIZ_174!$A:$A,0)),"")</f>
        <v/>
      </c>
      <c r="L105">
        <f>IFERROR(MATRIZ_174!O105,0)</f>
        <v/>
      </c>
      <c r="M105" t="n">
        <v>0</v>
      </c>
      <c r="N105">
        <f>IFERROR(ISCAM_Score!AC106,"")</f>
        <v/>
      </c>
      <c r="O105" t="inlineStr">
        <is>
          <t>AMAZONAS</t>
        </is>
      </c>
    </row>
    <row r="106" ht="16.05" customHeight="1" s="37">
      <c r="A106" t="inlineStr">
        <is>
          <t>20600263286</t>
        </is>
      </c>
      <c r="B106" t="inlineStr">
        <is>
          <t>ASOCIACIÓN DE PRODUCTORES SELVA NORORIENTAL</t>
        </is>
      </c>
      <c r="C106" s="36">
        <f>IFERROR(ISCAM_Score!AL107,"—")</f>
        <v/>
      </c>
      <c r="D106">
        <f>IF(C106="—","— Sin Inst.2",IF(C106&lt;34,"🔴  Crítico",IF(C106&lt;67,"🟡  Vulnerable","🟢  Preparado")))</f>
        <v/>
      </c>
      <c r="E106">
        <f>IFERROR(RANK(C106,C:C,-1),"")</f>
        <v/>
      </c>
      <c r="F106">
        <f>IFERROR(MATRIZ_174!L106,0)</f>
        <v/>
      </c>
      <c r="G106">
        <f>IFERROR(MATRIZ_174!M106,0)</f>
        <v/>
      </c>
      <c r="H106" t="n">
        <v>0</v>
      </c>
      <c r="I106" t="n">
        <v>0</v>
      </c>
      <c r="J106" t="n">
        <v>0</v>
      </c>
      <c r="K106">
        <f>IFERROR(INDEX(MATRIZ_174!$U:$U,MATCH(A106,MATRIZ_174!$A:$A,0)),"")</f>
        <v/>
      </c>
      <c r="L106">
        <f>IFERROR(MATRIZ_174!O106,0)</f>
        <v/>
      </c>
      <c r="M106" t="n">
        <v>0</v>
      </c>
      <c r="N106">
        <f>IFERROR(ISCAM_Score!AC107,"")</f>
        <v/>
      </c>
      <c r="O106" t="inlineStr">
        <is>
          <t>SAN MARTIN</t>
        </is>
      </c>
    </row>
    <row r="107" ht="16.05" customHeight="1" s="37">
      <c r="A107" t="inlineStr">
        <is>
          <t>20600382064</t>
        </is>
      </c>
      <c r="B107" t="inlineStr">
        <is>
          <t>COOPERATIVA AGRARIA ECOLOGICA AGROINDUSTRIAL DE CURIMANA LTD</t>
        </is>
      </c>
      <c r="C107" s="36">
        <f>IFERROR(ISCAM_Score!AL108,"—")</f>
        <v/>
      </c>
      <c r="D107">
        <f>IF(C107="—","— Sin Inst.2",IF(C107&lt;34,"🔴  Crítico",IF(C107&lt;67,"🟡  Vulnerable","🟢  Preparado")))</f>
        <v/>
      </c>
      <c r="E107">
        <f>IFERROR(RANK(C107,C:C,-1),"")</f>
        <v/>
      </c>
      <c r="F107">
        <f>IFERROR(MATRIZ_174!L107,0)</f>
        <v/>
      </c>
      <c r="G107">
        <f>IFERROR(MATRIZ_174!M107,0)</f>
        <v/>
      </c>
      <c r="H107" t="n">
        <v>0</v>
      </c>
      <c r="I107" t="n">
        <v>0</v>
      </c>
      <c r="J107" t="n">
        <v>0</v>
      </c>
      <c r="K107">
        <f>IFERROR(INDEX(MATRIZ_174!$U:$U,MATCH(A107,MATRIZ_174!$A:$A,0)),"")</f>
        <v/>
      </c>
      <c r="L107">
        <f>IFERROR(MATRIZ_174!O107,0)</f>
        <v/>
      </c>
      <c r="M107" t="n">
        <v>0</v>
      </c>
      <c r="N107">
        <f>IFERROR(ISCAM_Score!AC108,"")</f>
        <v/>
      </c>
      <c r="O107" t="inlineStr">
        <is>
          <t>UCAYALI</t>
        </is>
      </c>
    </row>
    <row r="108" ht="16.05" customHeight="1" s="37">
      <c r="A108" t="inlineStr">
        <is>
          <t>20600390911</t>
        </is>
      </c>
      <c r="B108" t="inlineStr">
        <is>
          <t>COOPERATIVA AGRARIA DE CACAO AROMATICO COLPA DE LOROS</t>
        </is>
      </c>
      <c r="C108" s="36">
        <f>IFERROR(ISCAM_Score!AL109,"—")</f>
        <v/>
      </c>
      <c r="D108">
        <f>IF(C108="—","— Sin Inst.2",IF(C108&lt;34,"🔴  Crítico",IF(C108&lt;67,"🟡  Vulnerable","🟢  Preparado")))</f>
        <v/>
      </c>
      <c r="E108">
        <f>IFERROR(RANK(C108,C:C,-1),"")</f>
        <v/>
      </c>
      <c r="F108">
        <f>IFERROR(MATRIZ_174!L108,0)</f>
        <v/>
      </c>
      <c r="G108">
        <f>IFERROR(MATRIZ_174!M108,0)</f>
        <v/>
      </c>
      <c r="H108" t="n">
        <v>0</v>
      </c>
      <c r="I108" t="n">
        <v>0</v>
      </c>
      <c r="J108" t="n">
        <v>0</v>
      </c>
      <c r="K108">
        <f>IFERROR(INDEX(MATRIZ_174!$U:$U,MATCH(A108,MATRIZ_174!$A:$A,0)),"")</f>
        <v/>
      </c>
      <c r="L108">
        <f>IFERROR(MATRIZ_174!O108,0)</f>
        <v/>
      </c>
      <c r="M108" t="n">
        <v>0</v>
      </c>
      <c r="N108">
        <f>IFERROR(ISCAM_Score!AC109,"")</f>
        <v/>
      </c>
      <c r="O108" t="inlineStr">
        <is>
          <t>UCAYALI</t>
        </is>
      </c>
    </row>
    <row r="109" ht="16.05" customHeight="1" s="37">
      <c r="A109" t="inlineStr">
        <is>
          <t>20600529693</t>
        </is>
      </c>
      <c r="B109" t="inlineStr">
        <is>
          <t>AGRO ASOCIACION Y SERVICIOS TINKUY</t>
        </is>
      </c>
      <c r="C109" s="36">
        <f>IFERROR(ISCAM_Score!AL110,"—")</f>
        <v/>
      </c>
      <c r="D109">
        <f>IF(C109="—","— Sin Inst.2",IF(C109&lt;34,"🔴  Crítico",IF(C109&lt;67,"🟡  Vulnerable","🟢  Preparado")))</f>
        <v/>
      </c>
      <c r="E109">
        <f>IFERROR(RANK(C109,C:C,-1),"")</f>
        <v/>
      </c>
      <c r="F109">
        <f>IFERROR(MATRIZ_174!L109,0)</f>
        <v/>
      </c>
      <c r="G109">
        <f>IFERROR(MATRIZ_174!M109,0)</f>
        <v/>
      </c>
      <c r="H109" t="n">
        <v>0</v>
      </c>
      <c r="I109" t="n">
        <v>0</v>
      </c>
      <c r="J109" t="n">
        <v>0</v>
      </c>
      <c r="K109">
        <f>IFERROR(INDEX(MATRIZ_174!$U:$U,MATCH(A109,MATRIZ_174!$A:$A,0)),"")</f>
        <v/>
      </c>
      <c r="L109">
        <f>IFERROR(MATRIZ_174!O109,0)</f>
        <v/>
      </c>
      <c r="M109" t="n">
        <v>0</v>
      </c>
      <c r="N109">
        <f>IFERROR(ISCAM_Score!AC110,"")</f>
        <v/>
      </c>
      <c r="O109" t="inlineStr">
        <is>
          <t>AYACUCHO</t>
        </is>
      </c>
    </row>
    <row r="110" ht="16.05" customHeight="1" s="37">
      <c r="A110" t="inlineStr">
        <is>
          <t>20600668430</t>
        </is>
      </c>
      <c r="B110" t="inlineStr">
        <is>
          <t>COOPERATIVA AGRARIA DEL CENTRO POBLADO DE BELLA BAJO MONZON</t>
        </is>
      </c>
      <c r="C110" s="36">
        <f>IFERROR(ISCAM_Score!AL111,"—")</f>
        <v/>
      </c>
      <c r="D110">
        <f>IF(C110="—","— Sin Inst.2",IF(C110&lt;34,"🔴  Crítico",IF(C110&lt;67,"🟡  Vulnerable","🟢  Preparado")))</f>
        <v/>
      </c>
      <c r="E110">
        <f>IFERROR(RANK(C110,C:C,-1),"")</f>
        <v/>
      </c>
      <c r="F110">
        <f>IFERROR(MATRIZ_174!L110,0)</f>
        <v/>
      </c>
      <c r="G110">
        <f>IFERROR(MATRIZ_174!M110,0)</f>
        <v/>
      </c>
      <c r="H110" t="n">
        <v>0</v>
      </c>
      <c r="I110" t="n">
        <v>0</v>
      </c>
      <c r="J110" t="n">
        <v>0</v>
      </c>
      <c r="K110">
        <f>IFERROR(INDEX(MATRIZ_174!$U:$U,MATCH(A110,MATRIZ_174!$A:$A,0)),"")</f>
        <v/>
      </c>
      <c r="L110">
        <f>IFERROR(MATRIZ_174!O110,0)</f>
        <v/>
      </c>
      <c r="M110" t="n">
        <v>0</v>
      </c>
      <c r="N110">
        <f>IFERROR(ISCAM_Score!AC111,"")</f>
        <v/>
      </c>
      <c r="O110" t="inlineStr">
        <is>
          <t>HUANUCO</t>
        </is>
      </c>
    </row>
    <row r="111" ht="16.05" customHeight="1" s="37">
      <c r="A111" t="inlineStr">
        <is>
          <t>20600682386</t>
        </is>
      </c>
      <c r="B111" t="inlineStr">
        <is>
          <t>ASOCIACION DE PRODUCTORES AGROPECUARIOS VALLE VERDE DE RODRI</t>
        </is>
      </c>
      <c r="C111" s="36">
        <f>IFERROR(ISCAM_Score!AL112,"—")</f>
        <v/>
      </c>
      <c r="D111">
        <f>IF(C111="—","— Sin Inst.2",IF(C111&lt;34,"🔴  Crítico",IF(C111&lt;67,"🟡  Vulnerable","🟢  Preparado")))</f>
        <v/>
      </c>
      <c r="E111">
        <f>IFERROR(RANK(C111,C:C,-1),"")</f>
        <v/>
      </c>
      <c r="F111">
        <f>IFERROR(MATRIZ_174!L111,0)</f>
        <v/>
      </c>
      <c r="G111">
        <f>IFERROR(MATRIZ_174!M111,0)</f>
        <v/>
      </c>
      <c r="H111" t="n">
        <v>0</v>
      </c>
      <c r="I111" t="n">
        <v>0</v>
      </c>
      <c r="J111" t="n">
        <v>0</v>
      </c>
      <c r="K111">
        <f>IFERROR(INDEX(MATRIZ_174!$U:$U,MATCH(A111,MATRIZ_174!$A:$A,0)),"")</f>
        <v/>
      </c>
      <c r="L111">
        <f>IFERROR(MATRIZ_174!O111,0)</f>
        <v/>
      </c>
      <c r="M111" t="n">
        <v>0</v>
      </c>
      <c r="N111">
        <f>IFERROR(ISCAM_Score!AC112,"")</f>
        <v/>
      </c>
      <c r="O111" t="inlineStr">
        <is>
          <t>AMAZONAS</t>
        </is>
      </c>
    </row>
    <row r="112" ht="16.05" customHeight="1" s="37">
      <c r="A112" t="inlineStr">
        <is>
          <t>20600720733</t>
        </is>
      </c>
      <c r="B112" t="inlineStr">
        <is>
          <t>COOPERATIVA AGRARIA VALLE DEL MONZON CAV MONZON</t>
        </is>
      </c>
      <c r="C112" s="36">
        <f>IFERROR(ISCAM_Score!AL113,"—")</f>
        <v/>
      </c>
      <c r="D112">
        <f>IF(C112="—","— Sin Inst.2",IF(C112&lt;34,"🔴  Crítico",IF(C112&lt;67,"🟡  Vulnerable","🟢  Preparado")))</f>
        <v/>
      </c>
      <c r="E112">
        <f>IFERROR(RANK(C112,C:C,-1),"")</f>
        <v/>
      </c>
      <c r="F112">
        <f>IFERROR(MATRIZ_174!L112,0)</f>
        <v/>
      </c>
      <c r="G112">
        <f>IFERROR(MATRIZ_174!M112,0)</f>
        <v/>
      </c>
      <c r="H112" t="n">
        <v>0</v>
      </c>
      <c r="I112" t="n">
        <v>0</v>
      </c>
      <c r="J112" t="n">
        <v>0</v>
      </c>
      <c r="K112">
        <f>IFERROR(INDEX(MATRIZ_174!$U:$U,MATCH(A112,MATRIZ_174!$A:$A,0)),"")</f>
        <v/>
      </c>
      <c r="L112">
        <f>IFERROR(MATRIZ_174!O112,0)</f>
        <v/>
      </c>
      <c r="M112" t="n">
        <v>0</v>
      </c>
      <c r="N112">
        <f>IFERROR(ISCAM_Score!AC113,"")</f>
        <v/>
      </c>
      <c r="O112" t="inlineStr">
        <is>
          <t>HUANUCO</t>
        </is>
      </c>
    </row>
    <row r="113" ht="16.05" customHeight="1" s="37">
      <c r="A113" t="inlineStr">
        <is>
          <t>20600785541</t>
        </is>
      </c>
      <c r="B113" t="inlineStr">
        <is>
          <t>ASOCIACION DE PRODUCTORES CAFETALEROS ANDINOS SIERRA VERDE</t>
        </is>
      </c>
      <c r="C113" s="36">
        <f>IFERROR(ISCAM_Score!AL114,"—")</f>
        <v/>
      </c>
      <c r="D113">
        <f>IF(C113="—","— Sin Inst.2",IF(C113&lt;34,"🔴  Crítico",IF(C113&lt;67,"🟡  Vulnerable","🟢  Preparado")))</f>
        <v/>
      </c>
      <c r="E113">
        <f>IFERROR(RANK(C113,C:C,-1),"")</f>
        <v/>
      </c>
      <c r="F113">
        <f>IFERROR(MATRIZ_174!L113,0)</f>
        <v/>
      </c>
      <c r="G113">
        <f>IFERROR(MATRIZ_174!M113,0)</f>
        <v/>
      </c>
      <c r="H113" t="n">
        <v>0</v>
      </c>
      <c r="I113" t="n">
        <v>0</v>
      </c>
      <c r="J113" t="n">
        <v>0</v>
      </c>
      <c r="K113">
        <f>IFERROR(INDEX(MATRIZ_174!$U:$U,MATCH(A113,MATRIZ_174!$A:$A,0)),"")</f>
        <v/>
      </c>
      <c r="L113">
        <f>IFERROR(MATRIZ_174!O113,0)</f>
        <v/>
      </c>
      <c r="M113" t="n">
        <v>0</v>
      </c>
      <c r="N113">
        <f>IFERROR(ISCAM_Score!AC114,"")</f>
        <v/>
      </c>
      <c r="O113" t="inlineStr">
        <is>
          <t>CAJAMARCA</t>
        </is>
      </c>
    </row>
    <row r="114" ht="16.05" customHeight="1" s="37">
      <c r="A114" t="inlineStr">
        <is>
          <t>20600796683</t>
        </is>
      </c>
      <c r="B114" t="inlineStr">
        <is>
          <t>ASOCIACION DE PRODUCTORES DE CACAO SAN FRANCISCO MADRE DE DI</t>
        </is>
      </c>
      <c r="C114" s="36">
        <f>IFERROR(ISCAM_Score!AL115,"—")</f>
        <v/>
      </c>
      <c r="D114">
        <f>IF(C114="—","— Sin Inst.2",IF(C114&lt;34,"🔴  Crítico",IF(C114&lt;67,"🟡  Vulnerable","🟢  Preparado")))</f>
        <v/>
      </c>
      <c r="E114">
        <f>IFERROR(RANK(C114,C:C,-1),"")</f>
        <v/>
      </c>
      <c r="F114">
        <f>IFERROR(MATRIZ_174!L114,0)</f>
        <v/>
      </c>
      <c r="G114">
        <f>IFERROR(MATRIZ_174!M114,0)</f>
        <v/>
      </c>
      <c r="H114" t="n">
        <v>0</v>
      </c>
      <c r="I114" t="n">
        <v>0</v>
      </c>
      <c r="J114" t="n">
        <v>0</v>
      </c>
      <c r="K114">
        <f>IFERROR(INDEX(MATRIZ_174!$U:$U,MATCH(A114,MATRIZ_174!$A:$A,0)),"")</f>
        <v/>
      </c>
      <c r="L114">
        <f>IFERROR(MATRIZ_174!O114,0)</f>
        <v/>
      </c>
      <c r="M114" t="n">
        <v>0</v>
      </c>
      <c r="N114">
        <f>IFERROR(ISCAM_Score!AC115,"")</f>
        <v/>
      </c>
      <c r="O114" t="inlineStr">
        <is>
          <t>MADRE DE DIOS</t>
        </is>
      </c>
    </row>
    <row r="115" ht="16.05" customHeight="1" s="37">
      <c r="A115" t="inlineStr">
        <is>
          <t>20600796721</t>
        </is>
      </c>
      <c r="B115" t="inlineStr">
        <is>
          <t>ASOCIACIÓN DE PRODUCTORES AMAZONAS - ALTO MAYO</t>
        </is>
      </c>
      <c r="C115" s="36">
        <f>IFERROR(ISCAM_Score!AL116,"—")</f>
        <v/>
      </c>
      <c r="D115">
        <f>IF(C115="—","— Sin Inst.2",IF(C115&lt;34,"🔴  Crítico",IF(C115&lt;67,"🟡  Vulnerable","🟢  Preparado")))</f>
        <v/>
      </c>
      <c r="E115">
        <f>IFERROR(RANK(C115,C:C,-1),"")</f>
        <v/>
      </c>
      <c r="F115">
        <f>IFERROR(MATRIZ_174!L115,0)</f>
        <v/>
      </c>
      <c r="G115">
        <f>IFERROR(MATRIZ_174!M115,0)</f>
        <v/>
      </c>
      <c r="H115" t="n">
        <v>0</v>
      </c>
      <c r="I115" t="n">
        <v>0</v>
      </c>
      <c r="J115" t="n">
        <v>0</v>
      </c>
      <c r="K115">
        <f>IFERROR(INDEX(MATRIZ_174!$U:$U,MATCH(A115,MATRIZ_174!$A:$A,0)),"")</f>
        <v/>
      </c>
      <c r="L115">
        <f>IFERROR(MATRIZ_174!O115,0)</f>
        <v/>
      </c>
      <c r="M115" t="n">
        <v>0</v>
      </c>
      <c r="N115">
        <f>IFERROR(ISCAM_Score!AC116,"")</f>
        <v/>
      </c>
      <c r="O115" t="inlineStr">
        <is>
          <t>SAN MARTIN</t>
        </is>
      </c>
    </row>
    <row r="116" ht="16.05" customHeight="1" s="37">
      <c r="A116" t="inlineStr">
        <is>
          <t>20600874919</t>
        </is>
      </c>
      <c r="B116" t="inlineStr">
        <is>
          <t>COOPERATIVA AGRARIA DE LA INTER OCEANICA LIMITADA</t>
        </is>
      </c>
      <c r="C116" s="36">
        <f>IFERROR(ISCAM_Score!AL117,"—")</f>
        <v/>
      </c>
      <c r="D116">
        <f>IF(C116="—","— Sin Inst.2",IF(C116&lt;34,"🔴  Crítico",IF(C116&lt;67,"🟡  Vulnerable","🟢  Preparado")))</f>
        <v/>
      </c>
      <c r="E116">
        <f>IFERROR(RANK(C116,C:C,-1),"")</f>
        <v/>
      </c>
      <c r="F116">
        <f>IFERROR(MATRIZ_174!L116,0)</f>
        <v/>
      </c>
      <c r="G116">
        <f>IFERROR(MATRIZ_174!M116,0)</f>
        <v/>
      </c>
      <c r="H116" t="n">
        <v>0</v>
      </c>
      <c r="I116" t="n">
        <v>0</v>
      </c>
      <c r="J116" t="n">
        <v>0</v>
      </c>
      <c r="K116">
        <f>IFERROR(INDEX(MATRIZ_174!$U:$U,MATCH(A116,MATRIZ_174!$A:$A,0)),"")</f>
        <v/>
      </c>
      <c r="L116">
        <f>IFERROR(MATRIZ_174!O116,0)</f>
        <v/>
      </c>
      <c r="M116" t="n">
        <v>0</v>
      </c>
      <c r="N116">
        <f>IFERROR(ISCAM_Score!AC117,"")</f>
        <v/>
      </c>
      <c r="O116" t="inlineStr">
        <is>
          <t>MADRE DE DIOS</t>
        </is>
      </c>
    </row>
    <row r="117" ht="16.05" customHeight="1" s="37">
      <c r="A117" t="inlineStr">
        <is>
          <t>20600964080</t>
        </is>
      </c>
      <c r="B117" t="inlineStr">
        <is>
          <t>ASOCIACION DE AGRICULTORES KERGUERANOS</t>
        </is>
      </c>
      <c r="C117" s="36">
        <f>IFERROR(ISCAM_Score!AL118,"—")</f>
        <v/>
      </c>
      <c r="D117">
        <f>IF(C117="—","— Sin Inst.2",IF(C117&lt;34,"🔴  Crítico",IF(C117&lt;67,"🟡  Vulnerable","🟢  Preparado")))</f>
        <v/>
      </c>
      <c r="E117">
        <f>IFERROR(RANK(C117,C:C,-1),"")</f>
        <v/>
      </c>
      <c r="F117">
        <f>IFERROR(MATRIZ_174!L117,0)</f>
        <v/>
      </c>
      <c r="G117">
        <f>IFERROR(MATRIZ_174!M117,0)</f>
        <v/>
      </c>
      <c r="H117" t="n">
        <v>0</v>
      </c>
      <c r="I117" t="n">
        <v>0</v>
      </c>
      <c r="J117" t="n">
        <v>0</v>
      </c>
      <c r="K117">
        <f>IFERROR(INDEX(MATRIZ_174!$U:$U,MATCH(A117,MATRIZ_174!$A:$A,0)),"")</f>
        <v/>
      </c>
      <c r="L117">
        <f>IFERROR(MATRIZ_174!O117,0)</f>
        <v/>
      </c>
      <c r="M117" t="n">
        <v>0</v>
      </c>
      <c r="N117">
        <f>IFERROR(ISCAM_Score!AC118,"")</f>
        <v/>
      </c>
      <c r="O117" t="inlineStr">
        <is>
          <t>LAMBAYEQUE</t>
        </is>
      </c>
    </row>
    <row r="118" ht="16.05" customHeight="1" s="37">
      <c r="A118" t="inlineStr">
        <is>
          <t>20601067146</t>
        </is>
      </c>
      <c r="B118" t="inlineStr">
        <is>
          <t>COOPERATIVA AGRARIA INDUSTRIAL MONTE ALEGRE - REGION UCAYALI</t>
        </is>
      </c>
      <c r="C118" s="36">
        <f>IFERROR(ISCAM_Score!AL119,"—")</f>
        <v/>
      </c>
      <c r="D118">
        <f>IF(C118="—","— Sin Inst.2",IF(C118&lt;34,"🔴  Crítico",IF(C118&lt;67,"🟡  Vulnerable","🟢  Preparado")))</f>
        <v/>
      </c>
      <c r="E118">
        <f>IFERROR(RANK(C118,C:C,-1),"")</f>
        <v/>
      </c>
      <c r="F118">
        <f>IFERROR(MATRIZ_174!L118,0)</f>
        <v/>
      </c>
      <c r="G118">
        <f>IFERROR(MATRIZ_174!M118,0)</f>
        <v/>
      </c>
      <c r="H118" t="n">
        <v>0</v>
      </c>
      <c r="I118" t="n">
        <v>0</v>
      </c>
      <c r="J118" t="n">
        <v>0</v>
      </c>
      <c r="K118">
        <f>IFERROR(INDEX(MATRIZ_174!$U:$U,MATCH(A118,MATRIZ_174!$A:$A,0)),"")</f>
        <v/>
      </c>
      <c r="L118">
        <f>IFERROR(MATRIZ_174!O118,0)</f>
        <v/>
      </c>
      <c r="M118" t="n">
        <v>0</v>
      </c>
      <c r="N118">
        <f>IFERROR(ISCAM_Score!AC119,"")</f>
        <v/>
      </c>
      <c r="O118" t="inlineStr">
        <is>
          <t>UCAYALI</t>
        </is>
      </c>
    </row>
    <row r="119" ht="16.05" customHeight="1" s="37">
      <c r="A119" t="inlineStr">
        <is>
          <t>20601119316</t>
        </is>
      </c>
      <c r="B119" t="inlineStr">
        <is>
          <t>COOPERATIVA DE PRODUCTORES DE CACAO FINO Y DE AROMA</t>
        </is>
      </c>
      <c r="C119" s="36">
        <f>IFERROR(ISCAM_Score!AL120,"—")</f>
        <v/>
      </c>
      <c r="D119">
        <f>IF(C119="—","— Sin Inst.2",IF(C119&lt;34,"🔴  Crítico",IF(C119&lt;67,"🟡  Vulnerable","🟢  Preparado")))</f>
        <v/>
      </c>
      <c r="E119">
        <f>IFERROR(RANK(C119,C:C,-1),"")</f>
        <v/>
      </c>
      <c r="F119">
        <f>IFERROR(MATRIZ_174!L119,0)</f>
        <v/>
      </c>
      <c r="G119">
        <f>IFERROR(MATRIZ_174!M119,0)</f>
        <v/>
      </c>
      <c r="H119" t="n">
        <v>0</v>
      </c>
      <c r="I119" t="n">
        <v>0</v>
      </c>
      <c r="J119" t="n">
        <v>0</v>
      </c>
      <c r="K119">
        <f>IFERROR(INDEX(MATRIZ_174!$U:$U,MATCH(A119,MATRIZ_174!$A:$A,0)),"")</f>
        <v/>
      </c>
      <c r="L119">
        <f>IFERROR(MATRIZ_174!O119,0)</f>
        <v/>
      </c>
      <c r="M119" t="n">
        <v>0</v>
      </c>
      <c r="N119">
        <f>IFERROR(ISCAM_Score!AC120,"")</f>
        <v/>
      </c>
      <c r="O119" t="inlineStr">
        <is>
          <t>UCAYALI</t>
        </is>
      </c>
    </row>
    <row r="120" ht="16.05" customHeight="1" s="37">
      <c r="A120" t="inlineStr">
        <is>
          <t>20601186986</t>
        </is>
      </c>
      <c r="B120" t="inlineStr">
        <is>
          <t>COOPERATIVA AGRARIA LOS AMBIENTALISTAS LTDA</t>
        </is>
      </c>
      <c r="C120" s="36">
        <f>IFERROR(ISCAM_Score!AL121,"—")</f>
        <v/>
      </c>
      <c r="D120">
        <f>IF(C120="—","— Sin Inst.2",IF(C120&lt;34,"🔴  Crítico",IF(C120&lt;67,"🟡  Vulnerable","🟢  Preparado")))</f>
        <v/>
      </c>
      <c r="E120">
        <f>IFERROR(RANK(C120,C:C,-1),"")</f>
        <v/>
      </c>
      <c r="F120">
        <f>IFERROR(MATRIZ_174!L120,0)</f>
        <v/>
      </c>
      <c r="G120">
        <f>IFERROR(MATRIZ_174!M120,0)</f>
        <v/>
      </c>
      <c r="H120" t="n">
        <v>0</v>
      </c>
      <c r="I120" t="n">
        <v>0</v>
      </c>
      <c r="J120" t="n">
        <v>0</v>
      </c>
      <c r="K120">
        <f>IFERROR(INDEX(MATRIZ_174!$U:$U,MATCH(A120,MATRIZ_174!$A:$A,0)),"")</f>
        <v/>
      </c>
      <c r="L120">
        <f>IFERROR(MATRIZ_174!O120,0)</f>
        <v/>
      </c>
      <c r="M120" t="n">
        <v>0</v>
      </c>
      <c r="N120">
        <f>IFERROR(ISCAM_Score!AC121,"")</f>
        <v/>
      </c>
      <c r="O120" t="inlineStr">
        <is>
          <t>CAJAMARCA</t>
        </is>
      </c>
    </row>
    <row r="121" ht="16.05" customHeight="1" s="37">
      <c r="A121" t="inlineStr">
        <is>
          <t>20601329159</t>
        </is>
      </c>
      <c r="B121" t="inlineStr">
        <is>
          <t>COOPERATIVA AGRARIA CAFETALERA DE LA NACION YANESHA</t>
        </is>
      </c>
      <c r="C121" s="36">
        <f>IFERROR(ISCAM_Score!AL122,"—")</f>
        <v/>
      </c>
      <c r="D121">
        <f>IF(C121="—","— Sin Inst.2",IF(C121&lt;34,"🔴  Crítico",IF(C121&lt;67,"🟡  Vulnerable","🟢  Preparado")))</f>
        <v/>
      </c>
      <c r="E121">
        <f>IFERROR(RANK(C121,C:C,-1),"")</f>
        <v/>
      </c>
      <c r="F121">
        <f>IFERROR(MATRIZ_174!L121,0)</f>
        <v/>
      </c>
      <c r="G121">
        <f>IFERROR(MATRIZ_174!M121,0)</f>
        <v/>
      </c>
      <c r="H121" t="n">
        <v>0</v>
      </c>
      <c r="I121" t="n">
        <v>0</v>
      </c>
      <c r="J121" t="n">
        <v>0</v>
      </c>
      <c r="K121">
        <f>IFERROR(INDEX(MATRIZ_174!$U:$U,MATCH(A121,MATRIZ_174!$A:$A,0)),"")</f>
        <v/>
      </c>
      <c r="L121">
        <f>IFERROR(MATRIZ_174!O121,0)</f>
        <v/>
      </c>
      <c r="M121" t="n">
        <v>0</v>
      </c>
      <c r="N121">
        <f>IFERROR(ISCAM_Score!AC122,"")</f>
        <v/>
      </c>
      <c r="O121" t="inlineStr">
        <is>
          <t>PASCO</t>
        </is>
      </c>
    </row>
    <row r="122" ht="16.05" customHeight="1" s="37">
      <c r="A122" t="inlineStr">
        <is>
          <t>20601339090</t>
        </is>
      </c>
      <c r="B122" t="inlineStr">
        <is>
          <t>COOPERATIVA AGROINDUSTRIAL CAFETALERA CACOTERA MONZON LTDA</t>
        </is>
      </c>
      <c r="C122" s="36">
        <f>IFERROR(ISCAM_Score!AL123,"—")</f>
        <v/>
      </c>
      <c r="D122">
        <f>IF(C122="—","— Sin Inst.2",IF(C122&lt;34,"🔴  Crítico",IF(C122&lt;67,"🟡  Vulnerable","🟢  Preparado")))</f>
        <v/>
      </c>
      <c r="E122">
        <f>IFERROR(RANK(C122,C:C,-1),"")</f>
        <v/>
      </c>
      <c r="F122">
        <f>IFERROR(MATRIZ_174!L122,0)</f>
        <v/>
      </c>
      <c r="G122">
        <f>IFERROR(MATRIZ_174!M122,0)</f>
        <v/>
      </c>
      <c r="H122" t="n">
        <v>0</v>
      </c>
      <c r="I122" t="n">
        <v>0</v>
      </c>
      <c r="J122" t="n">
        <v>0</v>
      </c>
      <c r="K122">
        <f>IFERROR(INDEX(MATRIZ_174!$U:$U,MATCH(A122,MATRIZ_174!$A:$A,0)),"")</f>
        <v/>
      </c>
      <c r="L122">
        <f>IFERROR(MATRIZ_174!O122,0)</f>
        <v/>
      </c>
      <c r="M122" t="n">
        <v>0</v>
      </c>
      <c r="N122">
        <f>IFERROR(ISCAM_Score!AC123,"")</f>
        <v/>
      </c>
      <c r="O122" t="inlineStr">
        <is>
          <t>HUANUCO</t>
        </is>
      </c>
    </row>
    <row r="123" ht="16.05" customHeight="1" s="37">
      <c r="A123" t="inlineStr">
        <is>
          <t>20601537771</t>
        </is>
      </c>
      <c r="B123" t="inlineStr">
        <is>
          <t>ASOCIACION DE PRODUCTORES SOSTENIBLES EL AYNI</t>
        </is>
      </c>
      <c r="C123" s="36">
        <f>IFERROR(ISCAM_Score!AL124,"—")</f>
        <v/>
      </c>
      <c r="D123">
        <f>IF(C123="—","— Sin Inst.2",IF(C123&lt;34,"🔴  Crítico",IF(C123&lt;67,"🟡  Vulnerable","🟢  Preparado")))</f>
        <v/>
      </c>
      <c r="E123">
        <f>IFERROR(RANK(C123,C:C,-1),"")</f>
        <v/>
      </c>
      <c r="F123">
        <f>IFERROR(MATRIZ_174!L123,0)</f>
        <v/>
      </c>
      <c r="G123">
        <f>IFERROR(MATRIZ_174!M123,0)</f>
        <v/>
      </c>
      <c r="H123" t="n">
        <v>0</v>
      </c>
      <c r="I123" t="n">
        <v>0</v>
      </c>
      <c r="J123" t="n">
        <v>0</v>
      </c>
      <c r="K123">
        <f>IFERROR(INDEX(MATRIZ_174!$U:$U,MATCH(A123,MATRIZ_174!$A:$A,0)),"")</f>
        <v/>
      </c>
      <c r="L123">
        <f>IFERROR(MATRIZ_174!O123,0)</f>
        <v/>
      </c>
      <c r="M123" t="n">
        <v>0</v>
      </c>
      <c r="N123">
        <f>IFERROR(ISCAM_Score!AC124,"")</f>
        <v/>
      </c>
      <c r="O123" t="inlineStr">
        <is>
          <t>JUNIN</t>
        </is>
      </c>
    </row>
    <row r="124" ht="16.05" customHeight="1" s="37">
      <c r="A124" t="inlineStr">
        <is>
          <t>20601558204</t>
        </is>
      </c>
      <c r="B124" t="inlineStr">
        <is>
          <t>COOPERATIVA AGRARIA CAFETALERA OCUMAL</t>
        </is>
      </c>
      <c r="C124" s="36">
        <f>IFERROR(ISCAM_Score!AL125,"—")</f>
        <v/>
      </c>
      <c r="D124">
        <f>IF(C124="—","— Sin Inst.2",IF(C124&lt;34,"🔴  Crítico",IF(C124&lt;67,"🟡  Vulnerable","🟢  Preparado")))</f>
        <v/>
      </c>
      <c r="E124">
        <f>IFERROR(RANK(C124,C:C,-1),"")</f>
        <v/>
      </c>
      <c r="F124">
        <f>IFERROR(MATRIZ_174!L124,0)</f>
        <v/>
      </c>
      <c r="G124">
        <f>IFERROR(MATRIZ_174!M124,0)</f>
        <v/>
      </c>
      <c r="H124" t="n">
        <v>0</v>
      </c>
      <c r="I124" t="n">
        <v>0</v>
      </c>
      <c r="J124" t="n">
        <v>0</v>
      </c>
      <c r="K124">
        <f>IFERROR(INDEX(MATRIZ_174!$U:$U,MATCH(A124,MATRIZ_174!$A:$A,0)),"")</f>
        <v/>
      </c>
      <c r="L124">
        <f>IFERROR(MATRIZ_174!O124,0)</f>
        <v/>
      </c>
      <c r="M124" t="n">
        <v>0</v>
      </c>
      <c r="N124">
        <f>IFERROR(ISCAM_Score!AC125,"")</f>
        <v/>
      </c>
      <c r="O124" t="inlineStr">
        <is>
          <t>AMAZONAS</t>
        </is>
      </c>
    </row>
    <row r="125" ht="16.05" customHeight="1" s="37">
      <c r="A125" t="inlineStr">
        <is>
          <t>20601667526</t>
        </is>
      </c>
      <c r="B125" t="inlineStr">
        <is>
          <t>COOP BESACARI - PERU</t>
        </is>
      </c>
      <c r="C125" s="36">
        <f>IFERROR(ISCAM_Score!AL126,"—")</f>
        <v/>
      </c>
      <c r="D125">
        <f>IF(C125="—","— Sin Inst.2",IF(C125&lt;34,"🔴  Crítico",IF(C125&lt;67,"🟡  Vulnerable","🟢  Preparado")))</f>
        <v/>
      </c>
      <c r="E125">
        <f>IFERROR(RANK(C125,C:C,-1),"")</f>
        <v/>
      </c>
      <c r="F125">
        <f>IFERROR(MATRIZ_174!L125,0)</f>
        <v/>
      </c>
      <c r="G125">
        <f>IFERROR(MATRIZ_174!M125,0)</f>
        <v/>
      </c>
      <c r="H125" t="n">
        <v>0</v>
      </c>
      <c r="I125" t="n">
        <v>0</v>
      </c>
      <c r="J125" t="n">
        <v>0</v>
      </c>
      <c r="K125">
        <f>IFERROR(INDEX(MATRIZ_174!$U:$U,MATCH(A125,MATRIZ_174!$A:$A,0)),"")</f>
        <v/>
      </c>
      <c r="L125">
        <f>IFERROR(MATRIZ_174!O125,0)</f>
        <v/>
      </c>
      <c r="M125" t="n">
        <v>0</v>
      </c>
      <c r="N125">
        <f>IFERROR(ISCAM_Score!AC126,"")</f>
        <v/>
      </c>
      <c r="O125" t="inlineStr">
        <is>
          <t>JUNIN</t>
        </is>
      </c>
    </row>
    <row r="126" ht="16.05" customHeight="1" s="37">
      <c r="A126" t="inlineStr">
        <is>
          <t>20601919657</t>
        </is>
      </c>
      <c r="B126" t="inlineStr">
        <is>
          <t>COOPERATIVA AGRARIA INNOVACION CACAO Y CAFE DEL VRAEM</t>
        </is>
      </c>
      <c r="C126" s="36">
        <f>IFERROR(ISCAM_Score!AL127,"—")</f>
        <v/>
      </c>
      <c r="D126">
        <f>IF(C126="—","— Sin Inst.2",IF(C126&lt;34,"🔴  Crítico",IF(C126&lt;67,"🟡  Vulnerable","🟢  Preparado")))</f>
        <v/>
      </c>
      <c r="E126">
        <f>IFERROR(RANK(C126,C:C,-1),"")</f>
        <v/>
      </c>
      <c r="F126">
        <f>IFERROR(MATRIZ_174!L126,0)</f>
        <v/>
      </c>
      <c r="G126">
        <f>IFERROR(MATRIZ_174!M126,0)</f>
        <v/>
      </c>
      <c r="H126" t="n">
        <v>0</v>
      </c>
      <c r="I126" t="n">
        <v>0</v>
      </c>
      <c r="J126" t="n">
        <v>0</v>
      </c>
      <c r="K126">
        <f>IFERROR(INDEX(MATRIZ_174!$U:$U,MATCH(A126,MATRIZ_174!$A:$A,0)),"")</f>
        <v/>
      </c>
      <c r="L126">
        <f>IFERROR(MATRIZ_174!O126,0)</f>
        <v/>
      </c>
      <c r="M126" t="n">
        <v>0</v>
      </c>
      <c r="N126">
        <f>IFERROR(ISCAM_Score!AC127,"")</f>
        <v/>
      </c>
      <c r="O126" t="inlineStr">
        <is>
          <t>JUNIN</t>
        </is>
      </c>
    </row>
    <row r="127" ht="16.05" customHeight="1" s="37">
      <c r="A127" t="inlineStr">
        <is>
          <t>20601939402</t>
        </is>
      </c>
      <c r="B127" t="inlineStr">
        <is>
          <t>COOPERATIVA AGRARIA ASHANINKA KEMITO SANKORI LTDA</t>
        </is>
      </c>
      <c r="C127" s="36">
        <f>IFERROR(ISCAM_Score!AL128,"—")</f>
        <v/>
      </c>
      <c r="D127">
        <f>IF(C127="—","— Sin Inst.2",IF(C127&lt;34,"🔴  Crítico",IF(C127&lt;67,"🟡  Vulnerable","🟢  Preparado")))</f>
        <v/>
      </c>
      <c r="E127">
        <f>IFERROR(RANK(C127,C:C,-1),"")</f>
        <v/>
      </c>
      <c r="F127">
        <f>IFERROR(MATRIZ_174!L127,0)</f>
        <v/>
      </c>
      <c r="G127">
        <f>IFERROR(MATRIZ_174!M127,0)</f>
        <v/>
      </c>
      <c r="H127" t="n">
        <v>0</v>
      </c>
      <c r="I127" t="n">
        <v>0</v>
      </c>
      <c r="J127" t="n">
        <v>0</v>
      </c>
      <c r="K127">
        <f>IFERROR(INDEX(MATRIZ_174!$U:$U,MATCH(A127,MATRIZ_174!$A:$A,0)),"")</f>
        <v/>
      </c>
      <c r="L127">
        <f>IFERROR(MATRIZ_174!O127,0)</f>
        <v/>
      </c>
      <c r="M127" t="n">
        <v>0</v>
      </c>
      <c r="N127">
        <f>IFERROR(ISCAM_Score!AC128,"")</f>
        <v/>
      </c>
      <c r="O127" t="inlineStr">
        <is>
          <t>JUNIN</t>
        </is>
      </c>
    </row>
    <row r="128" ht="16.05" customHeight="1" s="37">
      <c r="A128" t="inlineStr">
        <is>
          <t>20601958911</t>
        </is>
      </c>
      <c r="B128" t="inlineStr">
        <is>
          <t>COOPERATIVA AGRARIA CAFETALERA LAGUNA DE LOS CÓNDORES</t>
        </is>
      </c>
      <c r="C128" s="36">
        <f>IFERROR(ISCAM_Score!AL129,"—")</f>
        <v/>
      </c>
      <c r="D128">
        <f>IF(C128="—","— Sin Inst.2",IF(C128&lt;34,"🔴  Crítico",IF(C128&lt;67,"🟡  Vulnerable","🟢  Preparado")))</f>
        <v/>
      </c>
      <c r="E128">
        <f>IFERROR(RANK(C128,C:C,-1),"")</f>
        <v/>
      </c>
      <c r="F128">
        <f>IFERROR(MATRIZ_174!L128,0)</f>
        <v/>
      </c>
      <c r="G128">
        <f>IFERROR(MATRIZ_174!M128,0)</f>
        <v/>
      </c>
      <c r="H128" t="n">
        <v>0</v>
      </c>
      <c r="I128" t="n">
        <v>0</v>
      </c>
      <c r="J128" t="n">
        <v>0</v>
      </c>
      <c r="K128">
        <f>IFERROR(INDEX(MATRIZ_174!$U:$U,MATCH(A128,MATRIZ_174!$A:$A,0)),"")</f>
        <v/>
      </c>
      <c r="L128">
        <f>IFERROR(MATRIZ_174!O128,0)</f>
        <v/>
      </c>
      <c r="M128" t="n">
        <v>0</v>
      </c>
      <c r="N128">
        <f>IFERROR(ISCAM_Score!AC129,"")</f>
        <v/>
      </c>
      <c r="O128" t="inlineStr">
        <is>
          <t>AMAZONAS</t>
        </is>
      </c>
    </row>
    <row r="129" ht="16.05" customHeight="1" s="37">
      <c r="A129" t="inlineStr">
        <is>
          <t>20602047025</t>
        </is>
      </c>
      <c r="B129" t="inlineStr">
        <is>
          <t>ASOCIACION DE MUJERES CHOCOLATERAS CHOCOLATE CORAZON DE NOLB</t>
        </is>
      </c>
      <c r="C129" s="36">
        <f>IFERROR(ISCAM_Score!AL130,"—")</f>
        <v/>
      </c>
      <c r="D129">
        <f>IF(C129="—","— Sin Inst.2",IF(C129&lt;34,"🔴  Crítico",IF(C129&lt;67,"🟡  Vulnerable","🟢  Preparado")))</f>
        <v/>
      </c>
      <c r="E129">
        <f>IFERROR(RANK(C129,C:C,-1),"")</f>
        <v/>
      </c>
      <c r="F129">
        <f>IFERROR(MATRIZ_174!L129,0)</f>
        <v/>
      </c>
      <c r="G129">
        <f>IFERROR(MATRIZ_174!M129,0)</f>
        <v/>
      </c>
      <c r="H129" t="n">
        <v>0</v>
      </c>
      <c r="I129" t="n">
        <v>0</v>
      </c>
      <c r="J129" t="n">
        <v>0</v>
      </c>
      <c r="K129">
        <f>IFERROR(INDEX(MATRIZ_174!$U:$U,MATCH(A129,MATRIZ_174!$A:$A,0)),"")</f>
        <v/>
      </c>
      <c r="L129">
        <f>IFERROR(MATRIZ_174!O129,0)</f>
        <v/>
      </c>
      <c r="M129" t="n">
        <v>0</v>
      </c>
      <c r="N129">
        <f>IFERROR(ISCAM_Score!AC130,"")</f>
        <v/>
      </c>
      <c r="O129" t="inlineStr">
        <is>
          <t>UCAYALI</t>
        </is>
      </c>
    </row>
    <row r="130" ht="16.05" customHeight="1" s="37">
      <c r="A130" t="inlineStr">
        <is>
          <t>20602054480</t>
        </is>
      </c>
      <c r="B130" t="inlineStr">
        <is>
          <t>COOPERATIVA AGRARIA ECOLOGICA DE MUJERES CAFETALERAS VILLA R</t>
        </is>
      </c>
      <c r="C130" s="36">
        <f>IFERROR(ISCAM_Score!AL131,"—")</f>
        <v/>
      </c>
      <c r="D130">
        <f>IF(C130="—","— Sin Inst.2",IF(C130&lt;34,"🔴  Crítico",IF(C130&lt;67,"🟡  Vulnerable","🟢  Preparado")))</f>
        <v/>
      </c>
      <c r="E130">
        <f>IFERROR(RANK(C130,C:C,-1),"")</f>
        <v/>
      </c>
      <c r="F130">
        <f>IFERROR(MATRIZ_174!L130,0)</f>
        <v/>
      </c>
      <c r="G130">
        <f>IFERROR(MATRIZ_174!M130,0)</f>
        <v/>
      </c>
      <c r="H130" t="n">
        <v>0</v>
      </c>
      <c r="I130" t="n">
        <v>0</v>
      </c>
      <c r="J130" t="n">
        <v>0</v>
      </c>
      <c r="K130">
        <f>IFERROR(INDEX(MATRIZ_174!$U:$U,MATCH(A130,MATRIZ_174!$A:$A,0)),"")</f>
        <v/>
      </c>
      <c r="L130">
        <f>IFERROR(MATRIZ_174!O130,0)</f>
        <v/>
      </c>
      <c r="M130" t="n">
        <v>0</v>
      </c>
      <c r="N130">
        <f>IFERROR(ISCAM_Score!AC131,"")</f>
        <v/>
      </c>
      <c r="O130" t="inlineStr">
        <is>
          <t>PASCO</t>
        </is>
      </c>
    </row>
    <row r="131" ht="16.05" customHeight="1" s="37">
      <c r="A131" t="inlineStr">
        <is>
          <t>20602161081</t>
        </is>
      </c>
      <c r="B131" t="inlineStr">
        <is>
          <t>APROVAPERU</t>
        </is>
      </c>
      <c r="C131" s="36">
        <f>IFERROR(ISCAM_Score!AL132,"—")</f>
        <v/>
      </c>
      <c r="D131">
        <f>IF(C131="—","— Sin Inst.2",IF(C131&lt;34,"🔴  Crítico",IF(C131&lt;67,"🟡  Vulnerable","🟢  Preparado")))</f>
        <v/>
      </c>
      <c r="E131">
        <f>IFERROR(RANK(C131,C:C,-1),"")</f>
        <v/>
      </c>
      <c r="F131">
        <f>IFERROR(MATRIZ_174!L131,0)</f>
        <v/>
      </c>
      <c r="G131">
        <f>IFERROR(MATRIZ_174!M131,0)</f>
        <v/>
      </c>
      <c r="H131" t="n">
        <v>0</v>
      </c>
      <c r="I131" t="n">
        <v>0</v>
      </c>
      <c r="J131" t="n">
        <v>0</v>
      </c>
      <c r="K131">
        <f>IFERROR(INDEX(MATRIZ_174!$U:$U,MATCH(A131,MATRIZ_174!$A:$A,0)),"")</f>
        <v/>
      </c>
      <c r="L131">
        <f>IFERROR(MATRIZ_174!O131,0)</f>
        <v/>
      </c>
      <c r="M131" t="n">
        <v>0</v>
      </c>
      <c r="N131">
        <f>IFERROR(ISCAM_Score!AC132,"")</f>
        <v/>
      </c>
      <c r="O131" t="inlineStr">
        <is>
          <t>JUNIN</t>
        </is>
      </c>
    </row>
    <row r="132" ht="16.05" customHeight="1" s="37">
      <c r="A132" t="inlineStr">
        <is>
          <t>20602194265</t>
        </is>
      </c>
      <c r="B132" t="inlineStr">
        <is>
          <t>ASOCIACION DE AGRICULTORES DE CACAO Y REFORESTADORES DE CURI</t>
        </is>
      </c>
      <c r="C132" s="36">
        <f>IFERROR(ISCAM_Score!AL133,"—")</f>
        <v/>
      </c>
      <c r="D132">
        <f>IF(C132="—","— Sin Inst.2",IF(C132&lt;34,"🔴  Crítico",IF(C132&lt;67,"🟡  Vulnerable","🟢  Preparado")))</f>
        <v/>
      </c>
      <c r="E132">
        <f>IFERROR(RANK(C132,C:C,-1),"")</f>
        <v/>
      </c>
      <c r="F132">
        <f>IFERROR(MATRIZ_174!L132,0)</f>
        <v/>
      </c>
      <c r="G132">
        <f>IFERROR(MATRIZ_174!M132,0)</f>
        <v/>
      </c>
      <c r="H132" t="n">
        <v>0</v>
      </c>
      <c r="I132" t="n">
        <v>0</v>
      </c>
      <c r="J132" t="n">
        <v>0</v>
      </c>
      <c r="K132">
        <f>IFERROR(INDEX(MATRIZ_174!$U:$U,MATCH(A132,MATRIZ_174!$A:$A,0)),"")</f>
        <v/>
      </c>
      <c r="L132">
        <f>IFERROR(MATRIZ_174!O132,0)</f>
        <v/>
      </c>
      <c r="M132" t="n">
        <v>0</v>
      </c>
      <c r="N132">
        <f>IFERROR(ISCAM_Score!AC133,"")</f>
        <v/>
      </c>
      <c r="O132" t="inlineStr">
        <is>
          <t>UCAYALI</t>
        </is>
      </c>
    </row>
    <row r="133" ht="16.05" customHeight="1" s="37">
      <c r="A133" t="inlineStr">
        <is>
          <t>20602242464</t>
        </is>
      </c>
      <c r="B133" t="inlineStr">
        <is>
          <t>COOPERATIVA AGROPECUARIA MARCELINO VASQUEZ HUAMAN - COOPAMAV</t>
        </is>
      </c>
      <c r="C133" s="36">
        <f>IFERROR(ISCAM_Score!AL134,"—")</f>
        <v/>
      </c>
      <c r="D133">
        <f>IF(C133="—","— Sin Inst.2",IF(C133&lt;34,"🔴  Crítico",IF(C133&lt;67,"🟡  Vulnerable","🟢  Preparado")))</f>
        <v/>
      </c>
      <c r="E133">
        <f>IFERROR(RANK(C133,C:C,-1),"")</f>
        <v/>
      </c>
      <c r="F133">
        <f>IFERROR(MATRIZ_174!L133,0)</f>
        <v/>
      </c>
      <c r="G133">
        <f>IFERROR(MATRIZ_174!M133,0)</f>
        <v/>
      </c>
      <c r="H133" t="n">
        <v>0</v>
      </c>
      <c r="I133" t="n">
        <v>0</v>
      </c>
      <c r="J133" t="n">
        <v>0</v>
      </c>
      <c r="K133">
        <f>IFERROR(INDEX(MATRIZ_174!$U:$U,MATCH(A133,MATRIZ_174!$A:$A,0)),"")</f>
        <v/>
      </c>
      <c r="L133">
        <f>IFERROR(MATRIZ_174!O133,0)</f>
        <v/>
      </c>
      <c r="M133" t="n">
        <v>0</v>
      </c>
      <c r="N133">
        <f>IFERROR(ISCAM_Score!AC134,"")</f>
        <v/>
      </c>
      <c r="O133" t="inlineStr">
        <is>
          <t>PIURA</t>
        </is>
      </c>
    </row>
    <row r="134" ht="16.05" customHeight="1" s="37">
      <c r="A134" t="inlineStr">
        <is>
          <t>20602488927</t>
        </is>
      </c>
      <c r="B134" t="inlineStr">
        <is>
          <t>COOPERATIVA AGRARIA ECOLOGICO ROSAS PAMPA LTDA - CAECO ROSAS</t>
        </is>
      </c>
      <c r="C134" s="36">
        <f>IFERROR(ISCAM_Score!AL135,"—")</f>
        <v/>
      </c>
      <c r="D134">
        <f>IF(C134="—","— Sin Inst.2",IF(C134&lt;34,"🔴  Crítico",IF(C134&lt;67,"🟡  Vulnerable","🟢  Preparado")))</f>
        <v/>
      </c>
      <c r="E134">
        <f>IFERROR(RANK(C134,C:C,-1),"")</f>
        <v/>
      </c>
      <c r="F134">
        <f>IFERROR(MATRIZ_174!L134,0)</f>
        <v/>
      </c>
      <c r="G134">
        <f>IFERROR(MATRIZ_174!M134,0)</f>
        <v/>
      </c>
      <c r="H134" t="n">
        <v>0</v>
      </c>
      <c r="I134" t="n">
        <v>0</v>
      </c>
      <c r="J134" t="n">
        <v>0</v>
      </c>
      <c r="K134">
        <f>IFERROR(INDEX(MATRIZ_174!$U:$U,MATCH(A134,MATRIZ_174!$A:$A,0)),"")</f>
        <v/>
      </c>
      <c r="L134">
        <f>IFERROR(MATRIZ_174!O134,0)</f>
        <v/>
      </c>
      <c r="M134" t="n">
        <v>0</v>
      </c>
      <c r="N134">
        <f>IFERROR(ISCAM_Score!AC135,"")</f>
        <v/>
      </c>
      <c r="O134" t="inlineStr">
        <is>
          <t>JUNIN</t>
        </is>
      </c>
    </row>
    <row r="135" ht="16.05" customHeight="1" s="37">
      <c r="A135" t="inlineStr">
        <is>
          <t>20602650643</t>
        </is>
      </c>
      <c r="B135" t="inlineStr">
        <is>
          <t>ASOCIACIÓN AGROEXPORTADORA DE LA REGIÓN SAN MARTÍN</t>
        </is>
      </c>
      <c r="C135" s="36">
        <f>IFERROR(ISCAM_Score!AL136,"—")</f>
        <v/>
      </c>
      <c r="D135">
        <f>IF(C135="—","— Sin Inst.2",IF(C135&lt;34,"🔴  Crítico",IF(C135&lt;67,"🟡  Vulnerable","🟢  Preparado")))</f>
        <v/>
      </c>
      <c r="E135">
        <f>IFERROR(RANK(C135,C:C,-1),"")</f>
        <v/>
      </c>
      <c r="F135">
        <f>IFERROR(MATRIZ_174!L135,0)</f>
        <v/>
      </c>
      <c r="G135">
        <f>IFERROR(MATRIZ_174!M135,0)</f>
        <v/>
      </c>
      <c r="H135" t="n">
        <v>0</v>
      </c>
      <c r="I135" t="n">
        <v>0</v>
      </c>
      <c r="J135" t="n">
        <v>0</v>
      </c>
      <c r="K135">
        <f>IFERROR(INDEX(MATRIZ_174!$U:$U,MATCH(A135,MATRIZ_174!$A:$A,0)),"")</f>
        <v/>
      </c>
      <c r="L135">
        <f>IFERROR(MATRIZ_174!O135,0)</f>
        <v/>
      </c>
      <c r="M135" t="n">
        <v>0</v>
      </c>
      <c r="N135">
        <f>IFERROR(ISCAM_Score!AC136,"")</f>
        <v/>
      </c>
      <c r="O135" t="inlineStr">
        <is>
          <t>SAN MARTIN</t>
        </is>
      </c>
    </row>
    <row r="136" ht="16.05" customHeight="1" s="37">
      <c r="A136" t="inlineStr">
        <is>
          <t>20602712657</t>
        </is>
      </c>
      <c r="B136" t="inlineStr">
        <is>
          <t>COOPERATIVA AGRARIA CAFETALERA RIO TAMBO LIMITADA</t>
        </is>
      </c>
      <c r="C136" s="36">
        <f>IFERROR(ISCAM_Score!AL137,"—")</f>
        <v/>
      </c>
      <c r="D136">
        <f>IF(C136="—","— Sin Inst.2",IF(C136&lt;34,"🔴  Crítico",IF(C136&lt;67,"🟡  Vulnerable","🟢  Preparado")))</f>
        <v/>
      </c>
      <c r="E136">
        <f>IFERROR(RANK(C136,C:C,-1),"")</f>
        <v/>
      </c>
      <c r="F136">
        <f>IFERROR(MATRIZ_174!L136,0)</f>
        <v/>
      </c>
      <c r="G136">
        <f>IFERROR(MATRIZ_174!M136,0)</f>
        <v/>
      </c>
      <c r="H136" t="n">
        <v>0</v>
      </c>
      <c r="I136" t="n">
        <v>0</v>
      </c>
      <c r="J136" t="n">
        <v>0</v>
      </c>
      <c r="K136">
        <f>IFERROR(INDEX(MATRIZ_174!$U:$U,MATCH(A136,MATRIZ_174!$A:$A,0)),"")</f>
        <v/>
      </c>
      <c r="L136">
        <f>IFERROR(MATRIZ_174!O136,0)</f>
        <v/>
      </c>
      <c r="M136" t="n">
        <v>0</v>
      </c>
      <c r="N136">
        <f>IFERROR(ISCAM_Score!AC137,"")</f>
        <v/>
      </c>
      <c r="O136" t="inlineStr">
        <is>
          <t>JUNIN</t>
        </is>
      </c>
    </row>
    <row r="137" ht="16.05" customHeight="1" s="37">
      <c r="A137" t="inlineStr">
        <is>
          <t>20602881971</t>
        </is>
      </c>
      <c r="B137" t="inlineStr">
        <is>
          <t>ASOCIACION DE PRODUCTORES AGRARIOS DE CACAO (APAC) ECHALACPE</t>
        </is>
      </c>
      <c r="C137" s="36">
        <f>IFERROR(ISCAM_Score!AL138,"—")</f>
        <v/>
      </c>
      <c r="D137">
        <f>IF(C137="—","— Sin Inst.2",IF(C137&lt;34,"🔴  Crítico",IF(C137&lt;67,"🟡  Vulnerable","🟢  Preparado")))</f>
        <v/>
      </c>
      <c r="E137">
        <f>IFERROR(RANK(C137,C:C,-1),"")</f>
        <v/>
      </c>
      <c r="F137">
        <f>IFERROR(MATRIZ_174!L137,0)</f>
        <v/>
      </c>
      <c r="G137">
        <f>IFERROR(MATRIZ_174!M137,0)</f>
        <v/>
      </c>
      <c r="H137" t="n">
        <v>0</v>
      </c>
      <c r="I137" t="n">
        <v>0</v>
      </c>
      <c r="J137" t="n">
        <v>0</v>
      </c>
      <c r="K137">
        <f>IFERROR(INDEX(MATRIZ_174!$U:$U,MATCH(A137,MATRIZ_174!$A:$A,0)),"")</f>
        <v/>
      </c>
      <c r="L137">
        <f>IFERROR(MATRIZ_174!O137,0)</f>
        <v/>
      </c>
      <c r="M137" t="n">
        <v>0</v>
      </c>
      <c r="N137">
        <f>IFERROR(ISCAM_Score!AC138,"")</f>
        <v/>
      </c>
      <c r="O137" t="inlineStr">
        <is>
          <t>CUSCO</t>
        </is>
      </c>
    </row>
    <row r="138" ht="16.05" customHeight="1" s="37">
      <c r="A138" t="inlineStr">
        <is>
          <t>20603320621</t>
        </is>
      </c>
      <c r="B138" t="inlineStr">
        <is>
          <t>COOPERATIVA AGRARIA CAFETALERA ALTA MONTAÑA</t>
        </is>
      </c>
      <c r="C138" s="36">
        <f>IFERROR(ISCAM_Score!AL139,"—")</f>
        <v/>
      </c>
      <c r="D138">
        <f>IF(C138="—","— Sin Inst.2",IF(C138&lt;34,"🔴  Crítico",IF(C138&lt;67,"🟡  Vulnerable","🟢  Preparado")))</f>
        <v/>
      </c>
      <c r="E138">
        <f>IFERROR(RANK(C138,C:C,-1),"")</f>
        <v/>
      </c>
      <c r="F138">
        <f>IFERROR(MATRIZ_174!L138,0)</f>
        <v/>
      </c>
      <c r="G138">
        <f>IFERROR(MATRIZ_174!M138,0)</f>
        <v/>
      </c>
      <c r="H138" t="n">
        <v>0</v>
      </c>
      <c r="I138" t="n">
        <v>0</v>
      </c>
      <c r="J138" t="n">
        <v>0</v>
      </c>
      <c r="K138">
        <f>IFERROR(INDEX(MATRIZ_174!$U:$U,MATCH(A138,MATRIZ_174!$A:$A,0)),"")</f>
        <v/>
      </c>
      <c r="L138">
        <f>IFERROR(MATRIZ_174!O138,0)</f>
        <v/>
      </c>
      <c r="M138" t="n">
        <v>0</v>
      </c>
      <c r="N138">
        <f>IFERROR(ISCAM_Score!AC139,"")</f>
        <v/>
      </c>
      <c r="O138" t="inlineStr">
        <is>
          <t>AMAZONAS</t>
        </is>
      </c>
    </row>
    <row r="139" ht="16.05" customHeight="1" s="37">
      <c r="A139" t="inlineStr">
        <is>
          <t>20603526423</t>
        </is>
      </c>
      <c r="B139" t="inlineStr">
        <is>
          <t>COOPERATIVA AGROINDUSTRIAL PERLA DEL HUALLAGA LTDA - CAPH LT</t>
        </is>
      </c>
      <c r="C139" s="36">
        <f>IFERROR(ISCAM_Score!AL140,"—")</f>
        <v/>
      </c>
      <c r="D139">
        <f>IF(C139="—","— Sin Inst.2",IF(C139&lt;34,"🔴  Crítico",IF(C139&lt;67,"🟡  Vulnerable","🟢  Preparado")))</f>
        <v/>
      </c>
      <c r="E139">
        <f>IFERROR(RANK(C139,C:C,-1),"")</f>
        <v/>
      </c>
      <c r="F139">
        <f>IFERROR(MATRIZ_174!L139,0)</f>
        <v/>
      </c>
      <c r="G139">
        <f>IFERROR(MATRIZ_174!M139,0)</f>
        <v/>
      </c>
      <c r="H139" t="n">
        <v>0</v>
      </c>
      <c r="I139" t="n">
        <v>0</v>
      </c>
      <c r="J139" t="n">
        <v>0</v>
      </c>
      <c r="K139">
        <f>IFERROR(INDEX(MATRIZ_174!$U:$U,MATCH(A139,MATRIZ_174!$A:$A,0)),"")</f>
        <v/>
      </c>
      <c r="L139">
        <f>IFERROR(MATRIZ_174!O139,0)</f>
        <v/>
      </c>
      <c r="M139" t="n">
        <v>0</v>
      </c>
      <c r="N139">
        <f>IFERROR(ISCAM_Score!AC140,"")</f>
        <v/>
      </c>
      <c r="O139" t="inlineStr">
        <is>
          <t>LORETO</t>
        </is>
      </c>
    </row>
    <row r="140" ht="16.05" customHeight="1" s="37">
      <c r="A140" t="inlineStr">
        <is>
          <t>20603557825</t>
        </is>
      </c>
      <c r="B140" t="inlineStr">
        <is>
          <t>COOPERATIVA AGRARIA KAFFEE SATIPO</t>
        </is>
      </c>
      <c r="C140" s="36">
        <f>IFERROR(ISCAM_Score!AL141,"—")</f>
        <v/>
      </c>
      <c r="D140">
        <f>IF(C140="—","— Sin Inst.2",IF(C140&lt;34,"🔴  Crítico",IF(C140&lt;67,"🟡  Vulnerable","🟢  Preparado")))</f>
        <v/>
      </c>
      <c r="E140">
        <f>IFERROR(RANK(C140,C:C,-1),"")</f>
        <v/>
      </c>
      <c r="F140">
        <f>IFERROR(MATRIZ_174!L140,0)</f>
        <v/>
      </c>
      <c r="G140">
        <f>IFERROR(MATRIZ_174!M140,0)</f>
        <v/>
      </c>
      <c r="H140" t="n">
        <v>0</v>
      </c>
      <c r="I140" t="n">
        <v>0</v>
      </c>
      <c r="J140" t="n">
        <v>0</v>
      </c>
      <c r="K140">
        <f>IFERROR(INDEX(MATRIZ_174!$U:$U,MATCH(A140,MATRIZ_174!$A:$A,0)),"")</f>
        <v/>
      </c>
      <c r="L140">
        <f>IFERROR(MATRIZ_174!O140,0)</f>
        <v/>
      </c>
      <c r="M140" t="n">
        <v>0</v>
      </c>
      <c r="N140">
        <f>IFERROR(ISCAM_Score!AC141,"")</f>
        <v/>
      </c>
      <c r="O140" t="inlineStr">
        <is>
          <t>JUNIN</t>
        </is>
      </c>
    </row>
    <row r="141" ht="16.05" customHeight="1" s="37">
      <c r="A141" t="inlineStr">
        <is>
          <t>20603675551</t>
        </is>
      </c>
      <c r="B141" t="inlineStr">
        <is>
          <t xml:space="preserve">ASOCIACION DE PRODUCTORES AGROPECUARIOS MADRE SELVA - LACCO </t>
        </is>
      </c>
      <c r="C141" s="36">
        <f>IFERROR(ISCAM_Score!AL142,"—")</f>
        <v/>
      </c>
      <c r="D141">
        <f>IF(C141="—","— Sin Inst.2",IF(C141&lt;34,"🔴  Crítico",IF(C141&lt;67,"🟡  Vulnerable","🟢  Preparado")))</f>
        <v/>
      </c>
      <c r="E141">
        <f>IFERROR(RANK(C141,C:C,-1),"")</f>
        <v/>
      </c>
      <c r="F141">
        <f>IFERROR(MATRIZ_174!L141,0)</f>
        <v/>
      </c>
      <c r="G141">
        <f>IFERROR(MATRIZ_174!M141,0)</f>
        <v/>
      </c>
      <c r="H141" t="n">
        <v>0</v>
      </c>
      <c r="I141" t="n">
        <v>0</v>
      </c>
      <c r="J141" t="n">
        <v>0</v>
      </c>
      <c r="K141">
        <f>IFERROR(INDEX(MATRIZ_174!$U:$U,MATCH(A141,MATRIZ_174!$A:$A,0)),"")</f>
        <v/>
      </c>
      <c r="L141">
        <f>IFERROR(MATRIZ_174!O141,0)</f>
        <v/>
      </c>
      <c r="M141" t="n">
        <v>0</v>
      </c>
      <c r="N141">
        <f>IFERROR(ISCAM_Score!AC142,"")</f>
        <v/>
      </c>
      <c r="O141" t="inlineStr">
        <is>
          <t>CUSCO</t>
        </is>
      </c>
    </row>
    <row r="142" ht="16.05" customHeight="1" s="37">
      <c r="A142" t="inlineStr">
        <is>
          <t>20603676476</t>
        </is>
      </c>
      <c r="B142" t="inlineStr">
        <is>
          <t>ASOCIACION DE PRODUCTORES AGROPECUARIOS PONGO MAYNIQUE DE LA</t>
        </is>
      </c>
      <c r="C142" s="36">
        <f>IFERROR(ISCAM_Score!AL143,"—")</f>
        <v/>
      </c>
      <c r="D142">
        <f>IF(C142="—","— Sin Inst.2",IF(C142&lt;34,"🔴  Crítico",IF(C142&lt;67,"🟡  Vulnerable","🟢  Preparado")))</f>
        <v/>
      </c>
      <c r="E142">
        <f>IFERROR(RANK(C142,C:C,-1),"")</f>
        <v/>
      </c>
      <c r="F142">
        <f>IFERROR(MATRIZ_174!L142,0)</f>
        <v/>
      </c>
      <c r="G142">
        <f>IFERROR(MATRIZ_174!M142,0)</f>
        <v/>
      </c>
      <c r="H142" t="n">
        <v>0</v>
      </c>
      <c r="I142" t="n">
        <v>0</v>
      </c>
      <c r="J142" t="n">
        <v>0</v>
      </c>
      <c r="K142">
        <f>IFERROR(INDEX(MATRIZ_174!$U:$U,MATCH(A142,MATRIZ_174!$A:$A,0)),"")</f>
        <v/>
      </c>
      <c r="L142">
        <f>IFERROR(MATRIZ_174!O142,0)</f>
        <v/>
      </c>
      <c r="M142" t="n">
        <v>0</v>
      </c>
      <c r="N142">
        <f>IFERROR(ISCAM_Score!AC143,"")</f>
        <v/>
      </c>
      <c r="O142" t="inlineStr">
        <is>
          <t>CUSCO</t>
        </is>
      </c>
    </row>
    <row r="143" ht="16.05" customHeight="1" s="37">
      <c r="A143" t="inlineStr">
        <is>
          <t>20603820691</t>
        </is>
      </c>
      <c r="B143" t="inlineStr">
        <is>
          <t>COOPERATIVA AGRARIA DE SERVICIOS MULTIPLES CORDILLERA AZUL -</t>
        </is>
      </c>
      <c r="C143" s="36">
        <f>IFERROR(ISCAM_Score!AL144,"—")</f>
        <v/>
      </c>
      <c r="D143">
        <f>IF(C143="—","— Sin Inst.2",IF(C143&lt;34,"🔴  Crítico",IF(C143&lt;67,"🟡  Vulnerable","🟢  Preparado")))</f>
        <v/>
      </c>
      <c r="E143">
        <f>IFERROR(RANK(C143,C:C,-1),"")</f>
        <v/>
      </c>
      <c r="F143">
        <f>IFERROR(MATRIZ_174!L143,0)</f>
        <v/>
      </c>
      <c r="G143">
        <f>IFERROR(MATRIZ_174!M143,0)</f>
        <v/>
      </c>
      <c r="H143" t="n">
        <v>0</v>
      </c>
      <c r="I143" t="n">
        <v>0</v>
      </c>
      <c r="J143" t="n">
        <v>0</v>
      </c>
      <c r="K143">
        <f>IFERROR(INDEX(MATRIZ_174!$U:$U,MATCH(A143,MATRIZ_174!$A:$A,0)),"")</f>
        <v/>
      </c>
      <c r="L143">
        <f>IFERROR(MATRIZ_174!O143,0)</f>
        <v/>
      </c>
      <c r="M143" t="n">
        <v>0</v>
      </c>
      <c r="N143">
        <f>IFERROR(ISCAM_Score!AC144,"")</f>
        <v/>
      </c>
      <c r="O143" t="inlineStr">
        <is>
          <t>SAN MARTIN</t>
        </is>
      </c>
    </row>
    <row r="144" ht="16.05" customHeight="1" s="37">
      <c r="A144" t="inlineStr">
        <is>
          <t>20603829515</t>
        </is>
      </c>
      <c r="B144" t="inlineStr">
        <is>
          <t>ASOCIACION DE PRODUCTORES AGROPECUARIOS LOS NOGALES ALTO ITA</t>
        </is>
      </c>
      <c r="C144" s="36">
        <f>IFERROR(ISCAM_Score!AL145,"—")</f>
        <v/>
      </c>
      <c r="D144">
        <f>IF(C144="—","— Sin Inst.2",IF(C144&lt;34,"🔴  Crítico",IF(C144&lt;67,"🟡  Vulnerable","🟢  Preparado")))</f>
        <v/>
      </c>
      <c r="E144">
        <f>IFERROR(RANK(C144,C:C,-1),"")</f>
        <v/>
      </c>
      <c r="F144">
        <f>IFERROR(MATRIZ_174!L144,0)</f>
        <v/>
      </c>
      <c r="G144">
        <f>IFERROR(MATRIZ_174!M144,0)</f>
        <v/>
      </c>
      <c r="H144" t="n">
        <v>0</v>
      </c>
      <c r="I144" t="n">
        <v>0</v>
      </c>
      <c r="J144" t="n">
        <v>0</v>
      </c>
      <c r="K144">
        <f>IFERROR(INDEX(MATRIZ_174!$U:$U,MATCH(A144,MATRIZ_174!$A:$A,0)),"")</f>
        <v/>
      </c>
      <c r="L144">
        <f>IFERROR(MATRIZ_174!O144,0)</f>
        <v/>
      </c>
      <c r="M144" t="n">
        <v>0</v>
      </c>
      <c r="N144">
        <f>IFERROR(ISCAM_Score!AC145,"")</f>
        <v/>
      </c>
      <c r="O144" t="inlineStr">
        <is>
          <t>CUSCO</t>
        </is>
      </c>
    </row>
    <row r="145" ht="16.05" customHeight="1" s="37">
      <c r="A145" t="inlineStr">
        <is>
          <t>20603842511</t>
        </is>
      </c>
      <c r="B145" t="inlineStr">
        <is>
          <t>ASOCIACION DE PRODUCTORES AGROPECUARIOS RIQ´CHARI DE TINTINI</t>
        </is>
      </c>
      <c r="C145" s="36">
        <f>IFERROR(ISCAM_Score!AL146,"—")</f>
        <v/>
      </c>
      <c r="D145">
        <f>IF(C145="—","— Sin Inst.2",IF(C145&lt;34,"🔴  Crítico",IF(C145&lt;67,"🟡  Vulnerable","🟢  Preparado")))</f>
        <v/>
      </c>
      <c r="E145">
        <f>IFERROR(RANK(C145,C:C,-1),"")</f>
        <v/>
      </c>
      <c r="F145">
        <f>IFERROR(MATRIZ_174!L145,0)</f>
        <v/>
      </c>
      <c r="G145">
        <f>IFERROR(MATRIZ_174!M145,0)</f>
        <v/>
      </c>
      <c r="H145" t="n">
        <v>0</v>
      </c>
      <c r="I145" t="n">
        <v>0</v>
      </c>
      <c r="J145" t="n">
        <v>0</v>
      </c>
      <c r="K145">
        <f>IFERROR(INDEX(MATRIZ_174!$U:$U,MATCH(A145,MATRIZ_174!$A:$A,0)),"")</f>
        <v/>
      </c>
      <c r="L145">
        <f>IFERROR(MATRIZ_174!O145,0)</f>
        <v/>
      </c>
      <c r="M145" t="n">
        <v>0</v>
      </c>
      <c r="N145">
        <f>IFERROR(ISCAM_Score!AC146,"")</f>
        <v/>
      </c>
      <c r="O145" t="inlineStr">
        <is>
          <t>CUSCO</t>
        </is>
      </c>
    </row>
    <row r="146" ht="16.05" customHeight="1" s="37">
      <c r="A146" t="inlineStr">
        <is>
          <t>20603862369</t>
        </is>
      </c>
      <c r="B146" t="inlineStr">
        <is>
          <t>COOPERATIVA AGRARIA TROPICALS PRODUCTS</t>
        </is>
      </c>
      <c r="C146" s="36">
        <f>IFERROR(ISCAM_Score!AL147,"—")</f>
        <v/>
      </c>
      <c r="D146">
        <f>IF(C146="—","— Sin Inst.2",IF(C146&lt;34,"🔴  Crítico",IF(C146&lt;67,"🟡  Vulnerable","🟢  Preparado")))</f>
        <v/>
      </c>
      <c r="E146">
        <f>IFERROR(RANK(C146,C:C,-1),"")</f>
        <v/>
      </c>
      <c r="F146">
        <f>IFERROR(MATRIZ_174!L146,0)</f>
        <v/>
      </c>
      <c r="G146">
        <f>IFERROR(MATRIZ_174!M146,0)</f>
        <v/>
      </c>
      <c r="H146" t="n">
        <v>0</v>
      </c>
      <c r="I146" t="n">
        <v>0</v>
      </c>
      <c r="J146" t="n">
        <v>0</v>
      </c>
      <c r="K146">
        <f>IFERROR(INDEX(MATRIZ_174!$U:$U,MATCH(A146,MATRIZ_174!$A:$A,0)),"")</f>
        <v/>
      </c>
      <c r="L146">
        <f>IFERROR(MATRIZ_174!O146,0)</f>
        <v/>
      </c>
      <c r="M146" t="n">
        <v>0</v>
      </c>
      <c r="N146">
        <f>IFERROR(ISCAM_Score!AC147,"")</f>
        <v/>
      </c>
      <c r="O146" t="inlineStr">
        <is>
          <t>JUNIN</t>
        </is>
      </c>
    </row>
    <row r="147" ht="16.05" customHeight="1" s="37">
      <c r="A147" t="inlineStr">
        <is>
          <t>20604151954</t>
        </is>
      </c>
      <c r="B147" t="inlineStr">
        <is>
          <t>COOPERATIVA AGRARIA DE SERVICIOS MULTIPLES SUR ORIENTE - COO</t>
        </is>
      </c>
      <c r="C147" s="36">
        <f>IFERROR(ISCAM_Score!AL148,"—")</f>
        <v/>
      </c>
      <c r="D147">
        <f>IF(C147="—","— Sin Inst.2",IF(C147&lt;34,"🔴  Crítico",IF(C147&lt;67,"🟡  Vulnerable","🟢  Preparado")))</f>
        <v/>
      </c>
      <c r="E147">
        <f>IFERROR(RANK(C147,C:C,-1),"")</f>
        <v/>
      </c>
      <c r="F147">
        <f>IFERROR(MATRIZ_174!L147,0)</f>
        <v/>
      </c>
      <c r="G147">
        <f>IFERROR(MATRIZ_174!M147,0)</f>
        <v/>
      </c>
      <c r="H147" t="n">
        <v>0</v>
      </c>
      <c r="I147" t="n">
        <v>0</v>
      </c>
      <c r="J147" t="n">
        <v>0</v>
      </c>
      <c r="K147">
        <f>IFERROR(INDEX(MATRIZ_174!$U:$U,MATCH(A147,MATRIZ_174!$A:$A,0)),"")</f>
        <v/>
      </c>
      <c r="L147">
        <f>IFERROR(MATRIZ_174!O147,0)</f>
        <v/>
      </c>
      <c r="M147" t="n">
        <v>0</v>
      </c>
      <c r="N147">
        <f>IFERROR(ISCAM_Score!AC148,"")</f>
        <v/>
      </c>
      <c r="O147" t="inlineStr">
        <is>
          <t>MADRE DE DIOS</t>
        </is>
      </c>
    </row>
    <row r="148" ht="16.05" customHeight="1" s="37">
      <c r="A148" t="inlineStr">
        <is>
          <t>20604215600</t>
        </is>
      </c>
      <c r="B148" t="inlineStr">
        <is>
          <t xml:space="preserve">ASOCIACION DE PRODUCTORES DE CACAO ECOLOGICO DE DISTRITO DE </t>
        </is>
      </c>
      <c r="C148" s="36">
        <f>IFERROR(ISCAM_Score!AL149,"—")</f>
        <v/>
      </c>
      <c r="D148">
        <f>IF(C148="—","— Sin Inst.2",IF(C148&lt;34,"🔴  Crítico",IF(C148&lt;67,"🟡  Vulnerable","🟢  Preparado")))</f>
        <v/>
      </c>
      <c r="E148">
        <f>IFERROR(RANK(C148,C:C,-1),"")</f>
        <v/>
      </c>
      <c r="F148">
        <f>IFERROR(MATRIZ_174!L148,0)</f>
        <v/>
      </c>
      <c r="G148">
        <f>IFERROR(MATRIZ_174!M148,0)</f>
        <v/>
      </c>
      <c r="H148" t="n">
        <v>0</v>
      </c>
      <c r="I148" t="n">
        <v>0</v>
      </c>
      <c r="J148" t="n">
        <v>0</v>
      </c>
      <c r="K148">
        <f>IFERROR(INDEX(MATRIZ_174!$U:$U,MATCH(A148,MATRIZ_174!$A:$A,0)),"")</f>
        <v/>
      </c>
      <c r="L148">
        <f>IFERROR(MATRIZ_174!O148,0)</f>
        <v/>
      </c>
      <c r="M148" t="n">
        <v>0</v>
      </c>
      <c r="N148">
        <f>IFERROR(ISCAM_Score!AC149,"")</f>
        <v/>
      </c>
      <c r="O148" t="inlineStr">
        <is>
          <t>CUSCO</t>
        </is>
      </c>
    </row>
    <row r="149" ht="16.05" customHeight="1" s="37">
      <c r="A149" t="inlineStr">
        <is>
          <t>20604309728</t>
        </is>
      </c>
      <c r="B149" t="inlineStr">
        <is>
          <t>ASOCIACION DE PRODUCTORES CAFETALEROS AGROECOLOGICOS SAN JUA</t>
        </is>
      </c>
      <c r="C149" s="36">
        <f>IFERROR(ISCAM_Score!AL150,"—")</f>
        <v/>
      </c>
      <c r="D149">
        <f>IF(C149="—","— Sin Inst.2",IF(C149&lt;34,"🔴  Crítico",IF(C149&lt;67,"🟡  Vulnerable","🟢  Preparado")))</f>
        <v/>
      </c>
      <c r="E149">
        <f>IFERROR(RANK(C149,C:C,-1),"")</f>
        <v/>
      </c>
      <c r="F149">
        <f>IFERROR(MATRIZ_174!L149,0)</f>
        <v/>
      </c>
      <c r="G149">
        <f>IFERROR(MATRIZ_174!M149,0)</f>
        <v/>
      </c>
      <c r="H149" t="n">
        <v>0</v>
      </c>
      <c r="I149" t="n">
        <v>0</v>
      </c>
      <c r="J149" t="n">
        <v>0</v>
      </c>
      <c r="K149">
        <f>IFERROR(INDEX(MATRIZ_174!$U:$U,MATCH(A149,MATRIZ_174!$A:$A,0)),"")</f>
        <v/>
      </c>
      <c r="L149">
        <f>IFERROR(MATRIZ_174!O149,0)</f>
        <v/>
      </c>
      <c r="M149" t="n">
        <v>0</v>
      </c>
      <c r="N149">
        <f>IFERROR(ISCAM_Score!AC150,"")</f>
        <v/>
      </c>
      <c r="O149" t="inlineStr">
        <is>
          <t>CAJAMARCA</t>
        </is>
      </c>
    </row>
    <row r="150" ht="16.05" customHeight="1" s="37">
      <c r="A150" t="inlineStr">
        <is>
          <t>20604401187</t>
        </is>
      </c>
      <c r="B150" t="inlineStr">
        <is>
          <t>ORGANIZACION ZONAL SAN MIGUEL DEL FAIQUE</t>
        </is>
      </c>
      <c r="C150" s="36">
        <f>IFERROR(ISCAM_Score!AL151,"—")</f>
        <v/>
      </c>
      <c r="D150">
        <f>IF(C150="—","— Sin Inst.2",IF(C150&lt;34,"🔴  Crítico",IF(C150&lt;67,"🟡  Vulnerable","🟢  Preparado")))</f>
        <v/>
      </c>
      <c r="E150">
        <f>IFERROR(RANK(C150,C:C,-1),"")</f>
        <v/>
      </c>
      <c r="F150">
        <f>IFERROR(MATRIZ_174!L150,0)</f>
        <v/>
      </c>
      <c r="G150">
        <f>IFERROR(MATRIZ_174!M150,0)</f>
        <v/>
      </c>
      <c r="H150" t="n">
        <v>0</v>
      </c>
      <c r="I150" t="n">
        <v>0</v>
      </c>
      <c r="J150" t="n">
        <v>0</v>
      </c>
      <c r="K150">
        <f>IFERROR(INDEX(MATRIZ_174!$U:$U,MATCH(A150,MATRIZ_174!$A:$A,0)),"")</f>
        <v/>
      </c>
      <c r="L150">
        <f>IFERROR(MATRIZ_174!O150,0)</f>
        <v/>
      </c>
      <c r="M150" t="n">
        <v>0</v>
      </c>
      <c r="N150">
        <f>IFERROR(ISCAM_Score!AC151,"")</f>
        <v/>
      </c>
      <c r="O150" t="inlineStr">
        <is>
          <t>PIURA</t>
        </is>
      </c>
    </row>
    <row r="151" ht="16.05" customHeight="1" s="37">
      <c r="A151" t="inlineStr">
        <is>
          <t>20604705411</t>
        </is>
      </c>
      <c r="B151" t="inlineStr">
        <is>
          <t>COOPERATIVA AGRARIA CRUZ DE YANAHUANCA</t>
        </is>
      </c>
      <c r="C151" s="36">
        <f>IFERROR(ISCAM_Score!AL152,"—")</f>
        <v/>
      </c>
      <c r="D151">
        <f>IF(C151="—","— Sin Inst.2",IF(C151&lt;34,"🔴  Crítico",IF(C151&lt;67,"🟡  Vulnerable","🟢  Preparado")))</f>
        <v/>
      </c>
      <c r="E151">
        <f>IFERROR(RANK(C151,C:C,-1),"")</f>
        <v/>
      </c>
      <c r="F151">
        <f>IFERROR(MATRIZ_174!L151,0)</f>
        <v/>
      </c>
      <c r="G151">
        <f>IFERROR(MATRIZ_174!M151,0)</f>
        <v/>
      </c>
      <c r="H151" t="n">
        <v>0</v>
      </c>
      <c r="I151" t="n">
        <v>0</v>
      </c>
      <c r="J151" t="n">
        <v>0</v>
      </c>
      <c r="K151">
        <f>IFERROR(INDEX(MATRIZ_174!$U:$U,MATCH(A151,MATRIZ_174!$A:$A,0)),"")</f>
        <v/>
      </c>
      <c r="L151">
        <f>IFERROR(MATRIZ_174!O151,0)</f>
        <v/>
      </c>
      <c r="M151" t="n">
        <v>0</v>
      </c>
      <c r="N151">
        <f>IFERROR(ISCAM_Score!AC152,"")</f>
        <v/>
      </c>
      <c r="O151" t="inlineStr">
        <is>
          <t>LAMBAYEQUE</t>
        </is>
      </c>
    </row>
    <row r="152" ht="16.05" customHeight="1" s="37">
      <c r="A152" t="inlineStr">
        <is>
          <t>20604988200</t>
        </is>
      </c>
      <c r="B152" t="inlineStr">
        <is>
          <t>ASOCIACION DE PRODUCTORES DE CACAO CCAPAQKILLA</t>
        </is>
      </c>
      <c r="C152" s="36">
        <f>IFERROR(ISCAM_Score!AL153,"—")</f>
        <v/>
      </c>
      <c r="D152">
        <f>IF(C152="—","— Sin Inst.2",IF(C152&lt;34,"🔴  Crítico",IF(C152&lt;67,"🟡  Vulnerable","🟢  Preparado")))</f>
        <v/>
      </c>
      <c r="E152">
        <f>IFERROR(RANK(C152,C:C,-1),"")</f>
        <v/>
      </c>
      <c r="F152">
        <f>IFERROR(MATRIZ_174!L152,0)</f>
        <v/>
      </c>
      <c r="G152">
        <f>IFERROR(MATRIZ_174!M152,0)</f>
        <v/>
      </c>
      <c r="H152" t="n">
        <v>0</v>
      </c>
      <c r="I152" t="n">
        <v>0</v>
      </c>
      <c r="J152" t="n">
        <v>0</v>
      </c>
      <c r="K152">
        <f>IFERROR(INDEX(MATRIZ_174!$U:$U,MATCH(A152,MATRIZ_174!$A:$A,0)),"")</f>
        <v/>
      </c>
      <c r="L152">
        <f>IFERROR(MATRIZ_174!O152,0)</f>
        <v/>
      </c>
      <c r="M152" t="n">
        <v>0</v>
      </c>
      <c r="N152">
        <f>IFERROR(ISCAM_Score!AC153,"")</f>
        <v/>
      </c>
      <c r="O152" t="inlineStr">
        <is>
          <t>CUSCO</t>
        </is>
      </c>
    </row>
    <row r="153" ht="16.05" customHeight="1" s="37">
      <c r="A153" t="inlineStr">
        <is>
          <t>20605228489</t>
        </is>
      </c>
      <c r="B153" t="inlineStr">
        <is>
          <t xml:space="preserve">ASOCIACION AGROINDUSTRIAL DE MUJERES PRODUCTORAS DE CACAO Y </t>
        </is>
      </c>
      <c r="C153" s="36">
        <f>IFERROR(ISCAM_Score!AL154,"—")</f>
        <v/>
      </c>
      <c r="D153">
        <f>IF(C153="—","— Sin Inst.2",IF(C153&lt;34,"🔴  Crítico",IF(C153&lt;67,"🟡  Vulnerable","🟢  Preparado")))</f>
        <v/>
      </c>
      <c r="E153">
        <f>IFERROR(RANK(C153,C:C,-1),"")</f>
        <v/>
      </c>
      <c r="F153">
        <f>IFERROR(MATRIZ_174!L153,0)</f>
        <v/>
      </c>
      <c r="G153">
        <f>IFERROR(MATRIZ_174!M153,0)</f>
        <v/>
      </c>
      <c r="H153" t="n">
        <v>0</v>
      </c>
      <c r="I153" t="n">
        <v>0</v>
      </c>
      <c r="J153" t="n">
        <v>0</v>
      </c>
      <c r="K153">
        <f>IFERROR(INDEX(MATRIZ_174!$U:$U,MATCH(A153,MATRIZ_174!$A:$A,0)),"")</f>
        <v/>
      </c>
      <c r="L153">
        <f>IFERROR(MATRIZ_174!O153,0)</f>
        <v/>
      </c>
      <c r="M153" t="n">
        <v>0</v>
      </c>
      <c r="N153">
        <f>IFERROR(ISCAM_Score!AC154,"")</f>
        <v/>
      </c>
      <c r="O153" t="inlineStr">
        <is>
          <t>CUSCO</t>
        </is>
      </c>
    </row>
    <row r="154" ht="16.05" customHeight="1" s="37">
      <c r="A154" t="inlineStr">
        <is>
          <t>20605500430</t>
        </is>
      </c>
      <c r="B154" t="inlineStr">
        <is>
          <t>COOPERATIVA AGRARIA DE PRODUCTORES ECOLOGICOS LOS CHANKAS VA</t>
        </is>
      </c>
      <c r="C154" s="36">
        <f>IFERROR(ISCAM_Score!AL155,"—")</f>
        <v/>
      </c>
      <c r="D154">
        <f>IF(C154="—","— Sin Inst.2",IF(C154&lt;34,"🔴  Crítico",IF(C154&lt;67,"🟡  Vulnerable","🟢  Preparado")))</f>
        <v/>
      </c>
      <c r="E154">
        <f>IFERROR(RANK(C154,C:C,-1),"")</f>
        <v/>
      </c>
      <c r="F154">
        <f>IFERROR(MATRIZ_174!L154,0)</f>
        <v/>
      </c>
      <c r="G154">
        <f>IFERROR(MATRIZ_174!M154,0)</f>
        <v/>
      </c>
      <c r="H154" t="n">
        <v>0</v>
      </c>
      <c r="I154" t="n">
        <v>0</v>
      </c>
      <c r="J154" t="n">
        <v>0</v>
      </c>
      <c r="K154">
        <f>IFERROR(INDEX(MATRIZ_174!$U:$U,MATCH(A154,MATRIZ_174!$A:$A,0)),"")</f>
        <v/>
      </c>
      <c r="L154">
        <f>IFERROR(MATRIZ_174!O154,0)</f>
        <v/>
      </c>
      <c r="M154" t="n">
        <v>0</v>
      </c>
      <c r="N154">
        <f>IFERROR(ISCAM_Score!AC155,"")</f>
        <v/>
      </c>
      <c r="O154" t="inlineStr">
        <is>
          <t>JUNIN</t>
        </is>
      </c>
    </row>
    <row r="155" ht="16.05" customHeight="1" s="37">
      <c r="A155" t="inlineStr">
        <is>
          <t>20605688170</t>
        </is>
      </c>
      <c r="B155" t="inlineStr">
        <is>
          <t>COOPERATIVA AGRARIA ALEXANDER VON HUMBOLDT LTDA</t>
        </is>
      </c>
      <c r="C155" s="36">
        <f>IFERROR(ISCAM_Score!AL156,"—")</f>
        <v/>
      </c>
      <c r="D155">
        <f>IF(C155="—","— Sin Inst.2",IF(C155&lt;34,"🔴  Crítico",IF(C155&lt;67,"🟡  Vulnerable","🟢  Preparado")))</f>
        <v/>
      </c>
      <c r="E155">
        <f>IFERROR(RANK(C155,C:C,-1),"")</f>
        <v/>
      </c>
      <c r="F155">
        <f>IFERROR(MATRIZ_174!L155,0)</f>
        <v/>
      </c>
      <c r="G155">
        <f>IFERROR(MATRIZ_174!M155,0)</f>
        <v/>
      </c>
      <c r="H155" t="n">
        <v>0</v>
      </c>
      <c r="I155" t="n">
        <v>0</v>
      </c>
      <c r="J155" t="n">
        <v>0</v>
      </c>
      <c r="K155">
        <f>IFERROR(INDEX(MATRIZ_174!$U:$U,MATCH(A155,MATRIZ_174!$A:$A,0)),"")</f>
        <v/>
      </c>
      <c r="L155">
        <f>IFERROR(MATRIZ_174!O155,0)</f>
        <v/>
      </c>
      <c r="M155" t="n">
        <v>0</v>
      </c>
      <c r="N155">
        <f>IFERROR(ISCAM_Score!AC156,"")</f>
        <v/>
      </c>
      <c r="O155" t="inlineStr">
        <is>
          <t>UCAYALI</t>
        </is>
      </c>
    </row>
    <row r="156" ht="16.05" customHeight="1" s="37">
      <c r="A156" t="inlineStr">
        <is>
          <t>20606041382</t>
        </is>
      </c>
      <c r="B156" t="inlineStr">
        <is>
          <t>ASOCIACION AROMA DE MUJER LLAQUE</t>
        </is>
      </c>
      <c r="C156" s="36">
        <f>IFERROR(ISCAM_Score!AL157,"—")</f>
        <v/>
      </c>
      <c r="D156">
        <f>IF(C156="—","— Sin Inst.2",IF(C156&lt;34,"🔴  Crítico",IF(C156&lt;67,"🟡  Vulnerable","🟢  Preparado")))</f>
        <v/>
      </c>
      <c r="E156">
        <f>IFERROR(RANK(C156,C:C,-1),"")</f>
        <v/>
      </c>
      <c r="F156">
        <f>IFERROR(MATRIZ_174!L156,0)</f>
        <v/>
      </c>
      <c r="G156">
        <f>IFERROR(MATRIZ_174!M156,0)</f>
        <v/>
      </c>
      <c r="H156" t="n">
        <v>0</v>
      </c>
      <c r="I156" t="n">
        <v>0</v>
      </c>
      <c r="J156" t="n">
        <v>0</v>
      </c>
      <c r="K156">
        <f>IFERROR(INDEX(MATRIZ_174!$U:$U,MATCH(A156,MATRIZ_174!$A:$A,0)),"")</f>
        <v/>
      </c>
      <c r="L156">
        <f>IFERROR(MATRIZ_174!O156,0)</f>
        <v/>
      </c>
      <c r="M156" t="n">
        <v>0</v>
      </c>
      <c r="N156">
        <f>IFERROR(ISCAM_Score!AC157,"")</f>
        <v/>
      </c>
      <c r="O156" t="inlineStr">
        <is>
          <t>LAMBAYEQUE</t>
        </is>
      </c>
    </row>
    <row r="157" ht="16.05" customHeight="1" s="37">
      <c r="A157" t="inlineStr">
        <is>
          <t>20606451122</t>
        </is>
      </c>
      <c r="B157" t="inlineStr">
        <is>
          <t>ASOCIACIÓN DE PRODUCTORES CERRO BLANCO</t>
        </is>
      </c>
      <c r="C157" s="36">
        <f>IFERROR(ISCAM_Score!AL158,"—")</f>
        <v/>
      </c>
      <c r="D157">
        <f>IF(C157="—","— Sin Inst.2",IF(C157&lt;34,"🔴  Crítico",IF(C157&lt;67,"🟡  Vulnerable","🟢  Preparado")))</f>
        <v/>
      </c>
      <c r="E157">
        <f>IFERROR(RANK(C157,C:C,-1),"")</f>
        <v/>
      </c>
      <c r="F157">
        <f>IFERROR(MATRIZ_174!L157,0)</f>
        <v/>
      </c>
      <c r="G157">
        <f>IFERROR(MATRIZ_174!M157,0)</f>
        <v/>
      </c>
      <c r="H157" t="n">
        <v>0</v>
      </c>
      <c r="I157" t="n">
        <v>0</v>
      </c>
      <c r="J157" t="n">
        <v>0</v>
      </c>
      <c r="K157">
        <f>IFERROR(INDEX(MATRIZ_174!$U:$U,MATCH(A157,MATRIZ_174!$A:$A,0)),"")</f>
        <v/>
      </c>
      <c r="L157">
        <f>IFERROR(MATRIZ_174!O157,0)</f>
        <v/>
      </c>
      <c r="M157" t="n">
        <v>0</v>
      </c>
      <c r="N157">
        <f>IFERROR(ISCAM_Score!AC158,"")</f>
        <v/>
      </c>
      <c r="O157" t="inlineStr">
        <is>
          <t>SAN MARTIN</t>
        </is>
      </c>
    </row>
    <row r="158" ht="16.05" customHeight="1" s="37">
      <c r="A158" t="inlineStr">
        <is>
          <t>20606485281</t>
        </is>
      </c>
      <c r="B158" t="inlineStr">
        <is>
          <t>COOPERATIVA AGROINDUSTRIAL DE LA GRAN NACION ASHANINKA</t>
        </is>
      </c>
      <c r="C158" s="36">
        <f>IFERROR(ISCAM_Score!AL159,"—")</f>
        <v/>
      </c>
      <c r="D158">
        <f>IF(C158="—","— Sin Inst.2",IF(C158&lt;34,"🔴  Crítico",IF(C158&lt;67,"🟡  Vulnerable","🟢  Preparado")))</f>
        <v/>
      </c>
      <c r="E158">
        <f>IFERROR(RANK(C158,C:C,-1),"")</f>
        <v/>
      </c>
      <c r="F158">
        <f>IFERROR(MATRIZ_174!L158,0)</f>
        <v/>
      </c>
      <c r="G158">
        <f>IFERROR(MATRIZ_174!M158,0)</f>
        <v/>
      </c>
      <c r="H158" t="n">
        <v>0</v>
      </c>
      <c r="I158" t="n">
        <v>0</v>
      </c>
      <c r="J158" t="n">
        <v>0</v>
      </c>
      <c r="K158">
        <f>IFERROR(INDEX(MATRIZ_174!$U:$U,MATCH(A158,MATRIZ_174!$A:$A,0)),"")</f>
        <v/>
      </c>
      <c r="L158">
        <f>IFERROR(MATRIZ_174!O158,0)</f>
        <v/>
      </c>
      <c r="M158" t="n">
        <v>0</v>
      </c>
      <c r="N158">
        <f>IFERROR(ISCAM_Score!AC159,"")</f>
        <v/>
      </c>
      <c r="O158" t="inlineStr">
        <is>
          <t>JUNIN</t>
        </is>
      </c>
    </row>
    <row r="159" ht="16.05" customHeight="1" s="37">
      <c r="A159" t="inlineStr">
        <is>
          <t>20606556331</t>
        </is>
      </c>
      <c r="B159" t="inlineStr">
        <is>
          <t>ASOCIACIÓN ABISEO SAN MARTIN - ASABISAM</t>
        </is>
      </c>
      <c r="C159" s="36">
        <f>IFERROR(ISCAM_Score!AL160,"—")</f>
        <v/>
      </c>
      <c r="D159">
        <f>IF(C159="—","— Sin Inst.2",IF(C159&lt;34,"🔴  Crítico",IF(C159&lt;67,"🟡  Vulnerable","🟢  Preparado")))</f>
        <v/>
      </c>
      <c r="E159">
        <f>IFERROR(RANK(C159,C:C,-1),"")</f>
        <v/>
      </c>
      <c r="F159">
        <f>IFERROR(MATRIZ_174!L159,0)</f>
        <v/>
      </c>
      <c r="G159">
        <f>IFERROR(MATRIZ_174!M159,0)</f>
        <v/>
      </c>
      <c r="H159" t="n">
        <v>0</v>
      </c>
      <c r="I159" t="n">
        <v>0</v>
      </c>
      <c r="J159" t="n">
        <v>0</v>
      </c>
      <c r="K159">
        <f>IFERROR(INDEX(MATRIZ_174!$U:$U,MATCH(A159,MATRIZ_174!$A:$A,0)),"")</f>
        <v/>
      </c>
      <c r="L159">
        <f>IFERROR(MATRIZ_174!O159,0)</f>
        <v/>
      </c>
      <c r="M159" t="n">
        <v>0</v>
      </c>
      <c r="N159">
        <f>IFERROR(ISCAM_Score!AC160,"")</f>
        <v/>
      </c>
      <c r="O159" t="inlineStr">
        <is>
          <t>SAN MARTIN</t>
        </is>
      </c>
    </row>
    <row r="160" ht="16.05" customHeight="1" s="37">
      <c r="A160" t="inlineStr">
        <is>
          <t>20606717475</t>
        </is>
      </c>
      <c r="B160" t="inlineStr">
        <is>
          <t>ASOCIACION DE PEQUEÑOS PRODUCTORES AGROPECUARIOS ULLMA</t>
        </is>
      </c>
      <c r="C160" s="36">
        <f>IFERROR(ISCAM_Score!AL161,"—")</f>
        <v/>
      </c>
      <c r="D160">
        <f>IF(C160="—","— Sin Inst.2",IF(C160&lt;34,"🔴  Crítico",IF(C160&lt;67,"🟡  Vulnerable","🟢  Preparado")))</f>
        <v/>
      </c>
      <c r="E160">
        <f>IFERROR(RANK(C160,C:C,-1),"")</f>
        <v/>
      </c>
      <c r="F160">
        <f>IFERROR(MATRIZ_174!L160,0)</f>
        <v/>
      </c>
      <c r="G160">
        <f>IFERROR(MATRIZ_174!M160,0)</f>
        <v/>
      </c>
      <c r="H160" t="n">
        <v>0</v>
      </c>
      <c r="I160" t="n">
        <v>0</v>
      </c>
      <c r="J160" t="n">
        <v>0</v>
      </c>
      <c r="K160">
        <f>IFERROR(INDEX(MATRIZ_174!$U:$U,MATCH(A160,MATRIZ_174!$A:$A,0)),"")</f>
        <v/>
      </c>
      <c r="L160">
        <f>IFERROR(MATRIZ_174!O160,0)</f>
        <v/>
      </c>
      <c r="M160" t="n">
        <v>0</v>
      </c>
      <c r="N160">
        <f>IFERROR(ISCAM_Score!AC161,"")</f>
        <v/>
      </c>
      <c r="O160" t="inlineStr">
        <is>
          <t>PIURA</t>
        </is>
      </c>
    </row>
    <row r="161" ht="16.05" customHeight="1" s="37">
      <c r="A161" t="inlineStr">
        <is>
          <t>20607265624</t>
        </is>
      </c>
      <c r="B161" t="inlineStr">
        <is>
          <t>ASOCIACION DE PEQUEÑOS PRODUCTORES AGROPECUARIOS PENACHI-KER</t>
        </is>
      </c>
      <c r="C161" s="36">
        <f>IFERROR(ISCAM_Score!AL162,"—")</f>
        <v/>
      </c>
      <c r="D161">
        <f>IF(C161="—","— Sin Inst.2",IF(C161&lt;34,"🔴  Crítico",IF(C161&lt;67,"🟡  Vulnerable","🟢  Preparado")))</f>
        <v/>
      </c>
      <c r="E161">
        <f>IFERROR(RANK(C161,C:C,-1),"")</f>
        <v/>
      </c>
      <c r="F161">
        <f>IFERROR(MATRIZ_174!L161,0)</f>
        <v/>
      </c>
      <c r="G161">
        <f>IFERROR(MATRIZ_174!M161,0)</f>
        <v/>
      </c>
      <c r="H161" t="n">
        <v>0</v>
      </c>
      <c r="I161" t="n">
        <v>0</v>
      </c>
      <c r="J161" t="n">
        <v>0</v>
      </c>
      <c r="K161">
        <f>IFERROR(INDEX(MATRIZ_174!$U:$U,MATCH(A161,MATRIZ_174!$A:$A,0)),"")</f>
        <v/>
      </c>
      <c r="L161">
        <f>IFERROR(MATRIZ_174!O161,0)</f>
        <v/>
      </c>
      <c r="M161" t="n">
        <v>0</v>
      </c>
      <c r="N161">
        <f>IFERROR(ISCAM_Score!AC162,"")</f>
        <v/>
      </c>
      <c r="O161" t="inlineStr">
        <is>
          <t>LAMBAYEQUE</t>
        </is>
      </c>
    </row>
    <row r="162" ht="16.05" customHeight="1" s="37">
      <c r="A162" t="inlineStr">
        <is>
          <t>20607382604</t>
        </is>
      </c>
      <c r="B162" t="inlineStr">
        <is>
          <t>ASOCIACION DE PEQUEÑOS PRODUCTORES AGROPECUARIOS SAN LORENZO</t>
        </is>
      </c>
      <c r="C162" s="36">
        <f>IFERROR(ISCAM_Score!AL163,"—")</f>
        <v/>
      </c>
      <c r="D162">
        <f>IF(C162="—","— Sin Inst.2",IF(C162&lt;34,"🔴  Crítico",IF(C162&lt;67,"🟡  Vulnerable","🟢  Preparado")))</f>
        <v/>
      </c>
      <c r="E162">
        <f>IFERROR(RANK(C162,C:C,-1),"")</f>
        <v/>
      </c>
      <c r="F162">
        <f>IFERROR(MATRIZ_174!L162,0)</f>
        <v/>
      </c>
      <c r="G162">
        <f>IFERROR(MATRIZ_174!M162,0)</f>
        <v/>
      </c>
      <c r="H162" t="n">
        <v>0</v>
      </c>
      <c r="I162" t="n">
        <v>0</v>
      </c>
      <c r="J162" t="n">
        <v>0</v>
      </c>
      <c r="K162">
        <f>IFERROR(INDEX(MATRIZ_174!$U:$U,MATCH(A162,MATRIZ_174!$A:$A,0)),"")</f>
        <v/>
      </c>
      <c r="L162">
        <f>IFERROR(MATRIZ_174!O162,0)</f>
        <v/>
      </c>
      <c r="M162" t="n">
        <v>0</v>
      </c>
      <c r="N162">
        <f>IFERROR(ISCAM_Score!AC163,"")</f>
        <v/>
      </c>
      <c r="O162" t="inlineStr">
        <is>
          <t>PIURA</t>
        </is>
      </c>
    </row>
    <row r="163" ht="16.05" customHeight="1" s="37">
      <c r="A163" t="inlineStr">
        <is>
          <t>20607536016</t>
        </is>
      </c>
      <c r="B163" t="inlineStr">
        <is>
          <t>COOPERATIVA AGRARIA COOPAGRO LTDA - COOPERATIVA COOPAGRO</t>
        </is>
      </c>
      <c r="C163" s="36">
        <f>IFERROR(ISCAM_Score!AL164,"—")</f>
        <v/>
      </c>
      <c r="D163">
        <f>IF(C163="—","— Sin Inst.2",IF(C163&lt;34,"🔴  Crítico",IF(C163&lt;67,"🟡  Vulnerable","🟢  Preparado")))</f>
        <v/>
      </c>
      <c r="E163">
        <f>IFERROR(RANK(C163,C:C,-1),"")</f>
        <v/>
      </c>
      <c r="F163">
        <f>IFERROR(MATRIZ_174!L163,0)</f>
        <v/>
      </c>
      <c r="G163">
        <f>IFERROR(MATRIZ_174!M163,0)</f>
        <v/>
      </c>
      <c r="H163" t="n">
        <v>0</v>
      </c>
      <c r="I163" t="n">
        <v>0</v>
      </c>
      <c r="J163" t="n">
        <v>0</v>
      </c>
      <c r="K163">
        <f>IFERROR(INDEX(MATRIZ_174!$U:$U,MATCH(A163,MATRIZ_174!$A:$A,0)),"")</f>
        <v/>
      </c>
      <c r="L163">
        <f>IFERROR(MATRIZ_174!O163,0)</f>
        <v/>
      </c>
      <c r="M163" t="n">
        <v>0</v>
      </c>
      <c r="N163">
        <f>IFERROR(ISCAM_Score!AC164,"")</f>
        <v/>
      </c>
      <c r="O163" t="inlineStr">
        <is>
          <t>CAJAMARCA</t>
        </is>
      </c>
    </row>
    <row r="164" ht="16.05" customHeight="1" s="37">
      <c r="A164" t="inlineStr">
        <is>
          <t>20607558559</t>
        </is>
      </c>
      <c r="B164" t="inlineStr">
        <is>
          <t>COOPERATIVA AGRARIA INDÍGENA AWAJUN WAMPIS TUNTANAIN LTDA</t>
        </is>
      </c>
      <c r="C164" s="36">
        <f>IFERROR(ISCAM_Score!AL165,"—")</f>
        <v/>
      </c>
      <c r="D164">
        <f>IF(C164="—","— Sin Inst.2",IF(C164&lt;34,"🔴  Crítico",IF(C164&lt;67,"🟡  Vulnerable","🟢  Preparado")))</f>
        <v/>
      </c>
      <c r="E164">
        <f>IFERROR(RANK(C164,C:C,-1),"")</f>
        <v/>
      </c>
      <c r="F164">
        <f>IFERROR(MATRIZ_174!L164,0)</f>
        <v/>
      </c>
      <c r="G164">
        <f>IFERROR(MATRIZ_174!M164,0)</f>
        <v/>
      </c>
      <c r="H164" t="n">
        <v>0</v>
      </c>
      <c r="I164" t="n">
        <v>0</v>
      </c>
      <c r="J164" t="n">
        <v>0</v>
      </c>
      <c r="K164">
        <f>IFERROR(INDEX(MATRIZ_174!$U:$U,MATCH(A164,MATRIZ_174!$A:$A,0)),"")</f>
        <v/>
      </c>
      <c r="L164">
        <f>IFERROR(MATRIZ_174!O164,0)</f>
        <v/>
      </c>
      <c r="M164" t="n">
        <v>0</v>
      </c>
      <c r="N164">
        <f>IFERROR(ISCAM_Score!AC165,"")</f>
        <v/>
      </c>
      <c r="O164" t="inlineStr">
        <is>
          <t>AMAZONAS</t>
        </is>
      </c>
    </row>
    <row r="165" ht="16.05" customHeight="1" s="37">
      <c r="A165" t="inlineStr">
        <is>
          <t>20607775185</t>
        </is>
      </c>
      <c r="B165" t="inlineStr">
        <is>
          <t>ASOCIACION DE PRODUCTORES ANDINOS SOLIDARIOS-KAÑARIS</t>
        </is>
      </c>
      <c r="C165" s="36">
        <f>IFERROR(ISCAM_Score!AL166,"—")</f>
        <v/>
      </c>
      <c r="D165">
        <f>IF(C165="—","— Sin Inst.2",IF(C165&lt;34,"🔴  Crítico",IF(C165&lt;67,"🟡  Vulnerable","🟢  Preparado")))</f>
        <v/>
      </c>
      <c r="E165">
        <f>IFERROR(RANK(C165,C:C,-1),"")</f>
        <v/>
      </c>
      <c r="F165">
        <f>IFERROR(MATRIZ_174!L165,0)</f>
        <v/>
      </c>
      <c r="G165">
        <f>IFERROR(MATRIZ_174!M165,0)</f>
        <v/>
      </c>
      <c r="H165" t="n">
        <v>0</v>
      </c>
      <c r="I165" t="n">
        <v>0</v>
      </c>
      <c r="J165" t="n">
        <v>0</v>
      </c>
      <c r="K165">
        <f>IFERROR(INDEX(MATRIZ_174!$U:$U,MATCH(A165,MATRIZ_174!$A:$A,0)),"")</f>
        <v/>
      </c>
      <c r="L165">
        <f>IFERROR(MATRIZ_174!O165,0)</f>
        <v/>
      </c>
      <c r="M165" t="n">
        <v>0</v>
      </c>
      <c r="N165">
        <f>IFERROR(ISCAM_Score!AC166,"")</f>
        <v/>
      </c>
      <c r="O165" t="inlineStr">
        <is>
          <t>LAMBAYEQUE</t>
        </is>
      </c>
    </row>
    <row r="166" ht="16.05" customHeight="1" s="37">
      <c r="A166" t="inlineStr">
        <is>
          <t>20608235648</t>
        </is>
      </c>
      <c r="B166" t="inlineStr">
        <is>
          <t>ASOCIACIÓN DE PRODUCTORES DE CACAO ORGÁNICO PUSHARO MANU</t>
        </is>
      </c>
      <c r="C166" s="36">
        <f>IFERROR(ISCAM_Score!AL167,"—")</f>
        <v/>
      </c>
      <c r="D166">
        <f>IF(C166="—","— Sin Inst.2",IF(C166&lt;34,"🔴  Crítico",IF(C166&lt;67,"🟡  Vulnerable","🟢  Preparado")))</f>
        <v/>
      </c>
      <c r="E166">
        <f>IFERROR(RANK(C166,C:C,-1),"")</f>
        <v/>
      </c>
      <c r="F166">
        <f>IFERROR(MATRIZ_174!L166,0)</f>
        <v/>
      </c>
      <c r="G166">
        <f>IFERROR(MATRIZ_174!M166,0)</f>
        <v/>
      </c>
      <c r="H166" t="n">
        <v>0</v>
      </c>
      <c r="I166" t="n">
        <v>0</v>
      </c>
      <c r="J166" t="n">
        <v>0</v>
      </c>
      <c r="K166">
        <f>IFERROR(INDEX(MATRIZ_174!$U:$U,MATCH(A166,MATRIZ_174!$A:$A,0)),"")</f>
        <v/>
      </c>
      <c r="L166">
        <f>IFERROR(MATRIZ_174!O166,0)</f>
        <v/>
      </c>
      <c r="M166" t="n">
        <v>0</v>
      </c>
      <c r="N166">
        <f>IFERROR(ISCAM_Score!AC167,"")</f>
        <v/>
      </c>
      <c r="O166" t="inlineStr">
        <is>
          <t>MADRE DE DIOS</t>
        </is>
      </c>
    </row>
    <row r="167" ht="16.05" customHeight="1" s="37">
      <c r="A167" t="inlineStr">
        <is>
          <t>20608294512</t>
        </is>
      </c>
      <c r="B167" t="inlineStr">
        <is>
          <t>COOPERATIVA AGRARIA KURI VALLE DEL SISA LTDA</t>
        </is>
      </c>
      <c r="C167" s="36">
        <f>IFERROR(ISCAM_Score!AL168,"—")</f>
        <v/>
      </c>
      <c r="D167">
        <f>IF(C167="—","— Sin Inst.2",IF(C167&lt;34,"🔴  Crítico",IF(C167&lt;67,"🟡  Vulnerable","🟢  Preparado")))</f>
        <v/>
      </c>
      <c r="E167">
        <f>IFERROR(RANK(C167,C:C,-1),"")</f>
        <v/>
      </c>
      <c r="F167">
        <f>IFERROR(MATRIZ_174!L167,0)</f>
        <v/>
      </c>
      <c r="G167">
        <f>IFERROR(MATRIZ_174!M167,0)</f>
        <v/>
      </c>
      <c r="H167" t="n">
        <v>0</v>
      </c>
      <c r="I167" t="n">
        <v>0</v>
      </c>
      <c r="J167" t="n">
        <v>0</v>
      </c>
      <c r="K167">
        <f>IFERROR(INDEX(MATRIZ_174!$U:$U,MATCH(A167,MATRIZ_174!$A:$A,0)),"")</f>
        <v/>
      </c>
      <c r="L167">
        <f>IFERROR(MATRIZ_174!O167,0)</f>
        <v/>
      </c>
      <c r="M167" t="n">
        <v>0</v>
      </c>
      <c r="N167">
        <f>IFERROR(ISCAM_Score!AC168,"")</f>
        <v/>
      </c>
      <c r="O167" t="inlineStr">
        <is>
          <t>SAN MARTIN</t>
        </is>
      </c>
    </row>
    <row r="168" ht="16.05" customHeight="1" s="37">
      <c r="A168" t="inlineStr">
        <is>
          <t>20608478311</t>
        </is>
      </c>
      <c r="B168" t="inlineStr">
        <is>
          <t>COOPERATIVA AGRARIA YAKATHEO DEL AMAZONAS COOPAYAKAT</t>
        </is>
      </c>
      <c r="C168" s="36">
        <f>IFERROR(ISCAM_Score!AL169,"—")</f>
        <v/>
      </c>
      <c r="D168">
        <f>IF(C168="—","— Sin Inst.2",IF(C168&lt;34,"🔴  Crítico",IF(C168&lt;67,"🟡  Vulnerable","🟢  Preparado")))</f>
        <v/>
      </c>
      <c r="E168">
        <f>IFERROR(RANK(C168,C:C,-1),"")</f>
        <v/>
      </c>
      <c r="F168">
        <f>IFERROR(MATRIZ_174!L168,0)</f>
        <v/>
      </c>
      <c r="G168">
        <f>IFERROR(MATRIZ_174!M168,0)</f>
        <v/>
      </c>
      <c r="H168" t="n">
        <v>0</v>
      </c>
      <c r="I168" t="n">
        <v>0</v>
      </c>
      <c r="J168" t="n">
        <v>0</v>
      </c>
      <c r="K168">
        <f>IFERROR(INDEX(MATRIZ_174!$U:$U,MATCH(A168,MATRIZ_174!$A:$A,0)),"")</f>
        <v/>
      </c>
      <c r="L168">
        <f>IFERROR(MATRIZ_174!O168,0)</f>
        <v/>
      </c>
      <c r="M168" t="n">
        <v>0</v>
      </c>
      <c r="N168">
        <f>IFERROR(ISCAM_Score!AC169,"")</f>
        <v/>
      </c>
      <c r="O168" t="inlineStr">
        <is>
          <t>AMAZONAS</t>
        </is>
      </c>
    </row>
    <row r="169" ht="16.05" customHeight="1" s="37">
      <c r="A169" t="inlineStr">
        <is>
          <t>20609025353</t>
        </is>
      </c>
      <c r="B169" t="inlineStr">
        <is>
          <t>ASOCIACION DE PRODUCTORES AGROPERU MANDOVA</t>
        </is>
      </c>
      <c r="C169" s="36">
        <f>IFERROR(ISCAM_Score!AL170,"—")</f>
        <v/>
      </c>
      <c r="D169">
        <f>IF(C169="—","— Sin Inst.2",IF(C169&lt;34,"🔴  Crítico",IF(C169&lt;67,"🟡  Vulnerable","🟢  Preparado")))</f>
        <v/>
      </c>
      <c r="E169">
        <f>IFERROR(RANK(C169,C:C,-1),"")</f>
        <v/>
      </c>
      <c r="F169">
        <f>IFERROR(MATRIZ_174!L169,0)</f>
        <v/>
      </c>
      <c r="G169">
        <f>IFERROR(MATRIZ_174!M169,0)</f>
        <v/>
      </c>
      <c r="H169" t="n">
        <v>0</v>
      </c>
      <c r="I169" t="n">
        <v>0</v>
      </c>
      <c r="J169" t="n">
        <v>0</v>
      </c>
      <c r="K169">
        <f>IFERROR(INDEX(MATRIZ_174!$U:$U,MATCH(A169,MATRIZ_174!$A:$A,0)),"")</f>
        <v/>
      </c>
      <c r="L169">
        <f>IFERROR(MATRIZ_174!O169,0)</f>
        <v/>
      </c>
      <c r="M169" t="n">
        <v>0</v>
      </c>
      <c r="N169">
        <f>IFERROR(ISCAM_Score!AC170,"")</f>
        <v/>
      </c>
      <c r="O169" t="inlineStr">
        <is>
          <t>CAJAMARCA</t>
        </is>
      </c>
    </row>
    <row r="170" ht="16.05" customHeight="1" s="37">
      <c r="A170" t="inlineStr">
        <is>
          <t>20609555395</t>
        </is>
      </c>
      <c r="B170" t="inlineStr">
        <is>
          <t>COOPERATIVA AGRARIA BANAQUI CURIMANA</t>
        </is>
      </c>
      <c r="C170" s="36">
        <f>IFERROR(ISCAM_Score!AL171,"—")</f>
        <v/>
      </c>
      <c r="D170">
        <f>IF(C170="—","— Sin Inst.2",IF(C170&lt;34,"🔴  Crítico",IF(C170&lt;67,"🟡  Vulnerable","🟢  Preparado")))</f>
        <v/>
      </c>
      <c r="E170">
        <f>IFERROR(RANK(C170,C:C,-1),"")</f>
        <v/>
      </c>
      <c r="F170">
        <f>IFERROR(MATRIZ_174!L170,0)</f>
        <v/>
      </c>
      <c r="G170">
        <f>IFERROR(MATRIZ_174!M170,0)</f>
        <v/>
      </c>
      <c r="H170" t="n">
        <v>0</v>
      </c>
      <c r="I170" t="n">
        <v>0</v>
      </c>
      <c r="J170" t="n">
        <v>0</v>
      </c>
      <c r="K170">
        <f>IFERROR(INDEX(MATRIZ_174!$U:$U,MATCH(A170,MATRIZ_174!$A:$A,0)),"")</f>
        <v/>
      </c>
      <c r="L170">
        <f>IFERROR(MATRIZ_174!O170,0)</f>
        <v/>
      </c>
      <c r="M170" t="n">
        <v>0</v>
      </c>
      <c r="N170">
        <f>IFERROR(ISCAM_Score!AC171,"")</f>
        <v/>
      </c>
      <c r="O170" t="inlineStr">
        <is>
          <t>UCAYALI</t>
        </is>
      </c>
    </row>
    <row r="171" ht="16.05" customHeight="1" s="37">
      <c r="A171" t="inlineStr">
        <is>
          <t>20609846314</t>
        </is>
      </c>
      <c r="B171" t="inlineStr">
        <is>
          <t>COOPERATIVA AGRARIA DE FAMILIAS CAMPESINAS EMPRENDEDORAS Y R</t>
        </is>
      </c>
      <c r="C171" s="36">
        <f>IFERROR(ISCAM_Score!AL172,"—")</f>
        <v/>
      </c>
      <c r="D171">
        <f>IF(C171="—","— Sin Inst.2",IF(C171&lt;34,"🔴  Crítico",IF(C171&lt;67,"🟡  Vulnerable","🟢  Preparado")))</f>
        <v/>
      </c>
      <c r="E171">
        <f>IFERROR(RANK(C171,C:C,-1),"")</f>
        <v/>
      </c>
      <c r="F171">
        <f>IFERROR(MATRIZ_174!L171,0)</f>
        <v/>
      </c>
      <c r="G171">
        <f>IFERROR(MATRIZ_174!M171,0)</f>
        <v/>
      </c>
      <c r="H171" t="n">
        <v>0</v>
      </c>
      <c r="I171" t="n">
        <v>0</v>
      </c>
      <c r="J171" t="n">
        <v>0</v>
      </c>
      <c r="K171">
        <f>IFERROR(INDEX(MATRIZ_174!$U:$U,MATCH(A171,MATRIZ_174!$A:$A,0)),"")</f>
        <v/>
      </c>
      <c r="L171">
        <f>IFERROR(MATRIZ_174!O171,0)</f>
        <v/>
      </c>
      <c r="M171" t="n">
        <v>0</v>
      </c>
      <c r="N171">
        <f>IFERROR(ISCAM_Score!AC172,"")</f>
        <v/>
      </c>
      <c r="O171" t="inlineStr">
        <is>
          <t>SAN MARTIN</t>
        </is>
      </c>
    </row>
    <row r="172" ht="16.05" customHeight="1" s="37">
      <c r="A172" t="inlineStr">
        <is>
          <t>20610739491</t>
        </is>
      </c>
      <c r="B172" t="inlineStr">
        <is>
          <t>ASOCIACION DE PRODUCTORES AGROPECUARIOS DON ANDRES-AMAZONAS</t>
        </is>
      </c>
      <c r="C172" s="36">
        <f>IFERROR(ISCAM_Score!AL173,"—")</f>
        <v/>
      </c>
      <c r="D172">
        <f>IF(C172="—","— Sin Inst.2",IF(C172&lt;34,"🔴  Crítico",IF(C172&lt;67,"🟡  Vulnerable","🟢  Preparado")))</f>
        <v/>
      </c>
      <c r="E172">
        <f>IFERROR(RANK(C172,C:C,-1),"")</f>
        <v/>
      </c>
      <c r="F172">
        <f>IFERROR(MATRIZ_174!L172,0)</f>
        <v/>
      </c>
      <c r="G172">
        <f>IFERROR(MATRIZ_174!M172,0)</f>
        <v/>
      </c>
      <c r="H172" t="n">
        <v>0</v>
      </c>
      <c r="I172" t="n">
        <v>0</v>
      </c>
      <c r="J172" t="n">
        <v>0</v>
      </c>
      <c r="K172">
        <f>IFERROR(INDEX(MATRIZ_174!$U:$U,MATCH(A172,MATRIZ_174!$A:$A,0)),"")</f>
        <v/>
      </c>
      <c r="L172">
        <f>IFERROR(MATRIZ_174!O172,0)</f>
        <v/>
      </c>
      <c r="M172" t="n">
        <v>0</v>
      </c>
      <c r="N172">
        <f>IFERROR(ISCAM_Score!AC173,"")</f>
        <v/>
      </c>
      <c r="O172" t="inlineStr">
        <is>
          <t>AMAZONAS</t>
        </is>
      </c>
    </row>
    <row r="173" ht="16.05" customHeight="1" s="37">
      <c r="A173" t="inlineStr">
        <is>
          <t>20610772553</t>
        </is>
      </c>
      <c r="B173" t="inlineStr">
        <is>
          <t>ASOCIACION DE MUJERES CAFICULTORAS DE CHINYAMA</t>
        </is>
      </c>
      <c r="C173" s="36">
        <f>IFERROR(ISCAM_Score!AL174,"—")</f>
        <v/>
      </c>
      <c r="D173">
        <f>IF(C173="—","— Sin Inst.2",IF(C173&lt;34,"🔴  Crítico",IF(C173&lt;67,"🟡  Vulnerable","🟢  Preparado")))</f>
        <v/>
      </c>
      <c r="E173">
        <f>IFERROR(RANK(C173,C:C,-1),"")</f>
        <v/>
      </c>
      <c r="F173">
        <f>IFERROR(MATRIZ_174!L173,0)</f>
        <v/>
      </c>
      <c r="G173">
        <f>IFERROR(MATRIZ_174!M173,0)</f>
        <v/>
      </c>
      <c r="H173" t="n">
        <v>0</v>
      </c>
      <c r="I173" t="n">
        <v>0</v>
      </c>
      <c r="J173" t="n">
        <v>0</v>
      </c>
      <c r="K173">
        <f>IFERROR(INDEX(MATRIZ_174!$U:$U,MATCH(A173,MATRIZ_174!$A:$A,0)),"")</f>
        <v/>
      </c>
      <c r="L173">
        <f>IFERROR(MATRIZ_174!O173,0)</f>
        <v/>
      </c>
      <c r="M173" t="n">
        <v>0</v>
      </c>
      <c r="N173">
        <f>IFERROR(ISCAM_Score!AC174,"")</f>
        <v/>
      </c>
      <c r="O173" t="inlineStr">
        <is>
          <t>LAMBAYEQUE</t>
        </is>
      </c>
    </row>
    <row r="174" ht="16.05" customHeight="1" s="37">
      <c r="A174" t="inlineStr">
        <is>
          <t>20611316616</t>
        </is>
      </c>
      <c r="B174" t="inlineStr">
        <is>
          <t>nan</t>
        </is>
      </c>
      <c r="C174" s="36">
        <f>IFERROR(ISCAM_Score!AL175,"—")</f>
        <v/>
      </c>
      <c r="D174">
        <f>IF(C174="—","— Sin Inst.2",IF(C174&lt;34,"🔴  Crítico",IF(C174&lt;67,"🟡  Vulnerable","🟢  Preparado")))</f>
        <v/>
      </c>
      <c r="E174">
        <f>IFERROR(RANK(C174,C:C,-1),"")</f>
        <v/>
      </c>
      <c r="F174">
        <f>IFERROR(MATRIZ_174!L174,0)</f>
        <v/>
      </c>
      <c r="G174">
        <f>IFERROR(MATRIZ_174!M174,0)</f>
        <v/>
      </c>
      <c r="H174" t="n">
        <v>0</v>
      </c>
      <c r="I174" t="n">
        <v>0</v>
      </c>
      <c r="J174" t="n">
        <v>0</v>
      </c>
      <c r="K174">
        <f>IFERROR(INDEX(MATRIZ_174!$U:$U,MATCH(A174,MATRIZ_174!$A:$A,0)),"")</f>
        <v/>
      </c>
      <c r="L174">
        <f>IFERROR(MATRIZ_174!O174,0)</f>
        <v/>
      </c>
      <c r="M174" t="n">
        <v>0</v>
      </c>
      <c r="N174">
        <f>IFERROR(ISCAM_Score!AC175,"")</f>
        <v/>
      </c>
      <c r="O174" t="inlineStr">
        <is>
          <t>nan</t>
        </is>
      </c>
    </row>
    <row r="175" ht="16.05" customHeight="1" s="37">
      <c r="A175" t="inlineStr">
        <is>
          <t>20611935243</t>
        </is>
      </c>
      <c r="B175" t="inlineStr">
        <is>
          <t>COOPERATIVA AGRARIA ECOLOGICA CANIARI AMAZONICA CAECAM</t>
        </is>
      </c>
      <c r="C175" s="36">
        <f>IFERROR(ISCAM_Score!AL176,"—")</f>
        <v/>
      </c>
      <c r="D175">
        <f>IF(C175="—","— Sin Inst.2",IF(C175&lt;34,"🔴  Crítico",IF(C175&lt;67,"🟡  Vulnerable","🟢  Preparado")))</f>
        <v/>
      </c>
      <c r="E175">
        <f>IFERROR(RANK(C175,C:C,-1),"")</f>
        <v/>
      </c>
      <c r="F175">
        <f>IFERROR(MATRIZ_174!L175,0)</f>
        <v/>
      </c>
      <c r="G175">
        <f>IFERROR(MATRIZ_174!M175,0)</f>
        <v/>
      </c>
      <c r="H175" t="n">
        <v>0</v>
      </c>
      <c r="I175" t="n">
        <v>0</v>
      </c>
      <c r="J175" t="n">
        <v>0</v>
      </c>
      <c r="K175">
        <f>IFERROR(INDEX(MATRIZ_174!$U:$U,MATCH(A175,MATRIZ_174!$A:$A,0)),"")</f>
        <v/>
      </c>
      <c r="L175">
        <f>IFERROR(MATRIZ_174!O175,0)</f>
        <v/>
      </c>
      <c r="M175" t="n">
        <v>0</v>
      </c>
      <c r="N175">
        <f>IFERROR(ISCAM_Score!AC176,"")</f>
        <v/>
      </c>
      <c r="O175" t="inlineStr">
        <is>
          <t>UCAYALI</t>
        </is>
      </c>
    </row>
    <row r="176" ht="16.05" customHeight="1" s="37">
      <c r="A176" t="inlineStr">
        <is>
          <t>20612331821</t>
        </is>
      </c>
      <c r="B176" t="inlineStr">
        <is>
          <t>ASOCIACIÓN DE MUJERES LAS FLORES DE LUYA</t>
        </is>
      </c>
      <c r="C176" s="36">
        <f>IFERROR(ISCAM_Score!AL177,"—")</f>
        <v/>
      </c>
      <c r="D176">
        <f>IF(C176="—","— Sin Inst.2",IF(C176&lt;34,"🔴  Crítico",IF(C176&lt;67,"🟡  Vulnerable","🟢  Preparado")))</f>
        <v/>
      </c>
      <c r="E176">
        <f>IFERROR(RANK(C176,C:C,-1),"")</f>
        <v/>
      </c>
      <c r="F176">
        <f>IFERROR(MATRIZ_174!L176,0)</f>
        <v/>
      </c>
      <c r="G176">
        <f>IFERROR(MATRIZ_174!M176,0)</f>
        <v/>
      </c>
      <c r="H176" t="n">
        <v>0</v>
      </c>
      <c r="I176" t="n">
        <v>0</v>
      </c>
      <c r="J176" t="n">
        <v>0</v>
      </c>
      <c r="K176">
        <f>IFERROR(INDEX(MATRIZ_174!$U:$U,MATCH(A176,MATRIZ_174!$A:$A,0)),"")</f>
        <v/>
      </c>
      <c r="L176">
        <f>IFERROR(MATRIZ_174!O176,0)</f>
        <v/>
      </c>
      <c r="M176" t="n">
        <v>0</v>
      </c>
      <c r="N176">
        <f>IFERROR(ISCAM_Score!AC177,"")</f>
        <v/>
      </c>
      <c r="O176" t="inlineStr">
        <is>
          <t>AMAZONAS</t>
        </is>
      </c>
    </row>
    <row r="177">
      <c r="K177">
        <f>IFERROR(INDEX(MATRIZ_174!$U:$U,MATCH(A177,MATRIZ_174!$A:$A,0)),"")</f>
        <v/>
      </c>
    </row>
    <row r="178">
      <c r="K178">
        <f>IFERROR(INDEX(MATRIZ_174!$U:$U,MATCH(A178,MATRIZ_174!$A:$A,0)),"")</f>
        <v/>
      </c>
    </row>
    <row r="179" ht="22.05" customHeight="1" s="37">
      <c r="A179" t="inlineStr">
        <is>
          <t>RESUMEN EJECUTIVO</t>
        </is>
      </c>
      <c r="K179">
        <f>IFERROR(INDEX(MATRIZ_174!$U:$U,MATCH(A179,MATRIZ_174!$A:$A,0)),"")</f>
        <v/>
      </c>
    </row>
    <row r="180" ht="18" customHeight="1" s="37">
      <c r="A180" t="inlineStr">
        <is>
          <t>Total organizaciones</t>
        </is>
      </c>
      <c r="B180">
        <f>COUNTA(A3:A176)</f>
        <v/>
      </c>
      <c r="K180">
        <f>IFERROR(INDEX(MATRIZ_174!$U:$U,MATCH(A180,MATRIZ_174!$A:$A,0)),"")</f>
        <v/>
      </c>
    </row>
    <row r="181" ht="18" customHeight="1" s="37">
      <c r="A181" t="inlineStr">
        <is>
          <t>Con exposición UE (FOB UE &gt; 0)</t>
        </is>
      </c>
      <c r="B181">
        <f>COUNTIF(F3:F176,"&gt;0")</f>
        <v/>
      </c>
      <c r="K181">
        <f>IFERROR(INDEX(MATRIZ_174!$U:$U,MATCH(A181,MATRIZ_174!$A:$A,0)),"")</f>
        <v/>
      </c>
    </row>
    <row r="182" ht="18" customHeight="1" s="37">
      <c r="A182" t="inlineStr">
        <is>
          <t>🔴 Críticos (0-33)</t>
        </is>
      </c>
      <c r="B182">
        <f>COUNTIF(C3:C176,"&lt;34")-COUNTIF(C3:C176,0)</f>
        <v/>
      </c>
      <c r="K182">
        <f>IFERROR(INDEX(MATRIZ_174!$U:$U,MATCH(A182,MATRIZ_174!$A:$A,0)),"")</f>
        <v/>
      </c>
    </row>
    <row r="183" ht="18" customHeight="1" s="37">
      <c r="A183" t="inlineStr">
        <is>
          <t>🟡 Vulnerables (34-66)</t>
        </is>
      </c>
      <c r="B183">
        <f>COUNTIFS(C3:C176,"&gt;=34",C3:C176,"&lt;67")</f>
        <v/>
      </c>
      <c r="K183">
        <f>IFERROR(INDEX(MATRIZ_174!$U:$U,MATCH(A183,MATRIZ_174!$A:$A,0)),"")</f>
        <v/>
      </c>
    </row>
    <row r="184" ht="18" customHeight="1" s="37">
      <c r="A184" t="inlineStr">
        <is>
          <t>🟢 Preparados (67-100)</t>
        </is>
      </c>
      <c r="B184">
        <f>COUNTIF(C3:C176,"&gt;=67")</f>
        <v/>
      </c>
      <c r="K184">
        <f>IFERROR(INDEX(MATRIZ_174!$U:$U,MATCH(A184,MATRIZ_174!$A:$A,0)),"")</f>
        <v/>
      </c>
    </row>
    <row r="185" ht="18" customHeight="1" s="37">
      <c r="A185" t="inlineStr">
        <is>
          <t>Sin dato (score = 0)</t>
        </is>
      </c>
      <c r="B185">
        <f>COUNTIF(C3:C176,0)</f>
        <v/>
      </c>
      <c r="K185">
        <f>IFERROR(INDEX(MATRIZ_174!$U:$U,MATCH(A185,MATRIZ_174!$A:$A,0)),"")</f>
        <v/>
      </c>
    </row>
    <row r="186" ht="18" customHeight="1" s="37">
      <c r="A186" t="inlineStr">
        <is>
          <t>PVE promedio (con dato)</t>
        </is>
      </c>
      <c r="B186">
        <f>IFERROR(AVERAGEIF(C3:C176,"&gt;0"),"N/A")</f>
        <v/>
      </c>
      <c r="K186">
        <f>IFERROR(INDEX(MATRIZ_174!$U:$U,MATCH(A186,MATRIZ_174!$A:$A,0)),"")</f>
        <v/>
      </c>
    </row>
    <row r="187" ht="18" customHeight="1" s="37">
      <c r="A187" t="inlineStr">
        <is>
          <t>FOB total expuesto a UE (USD)</t>
        </is>
      </c>
      <c r="B187">
        <f>SUMIF(F3:F176,"&gt;0",F3:F176)</f>
        <v/>
      </c>
      <c r="K187">
        <f>IFERROR(INDEX(MATRIZ_174!$U:$U,MATCH(A187,MATRIZ_174!$A:$A,0)),"")</f>
        <v/>
      </c>
    </row>
  </sheetData>
  <mergeCells count="10">
    <mergeCell ref="B185:D185"/>
    <mergeCell ref="B186:D186"/>
    <mergeCell ref="B184:D184"/>
    <mergeCell ref="B180:D180"/>
    <mergeCell ref="B181:D181"/>
    <mergeCell ref="A1:O1"/>
    <mergeCell ref="B187:D187"/>
    <mergeCell ref="B183:D183"/>
    <mergeCell ref="A179:G179"/>
    <mergeCell ref="B182:D18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10" defaultColWidth="8.88671875" defaultRowHeight="14.4"/>
  <cols>
    <col width="28" customWidth="1" style="37" min="1" max="1"/>
    <col width="10" customWidth="1" style="37" min="2" max="12"/>
    <col width="12" customWidth="1" style="37" min="13" max="13"/>
  </cols>
  <sheetData>
    <row r="1" ht="28.05" customHeight="1" s="37">
      <c r="A1" t="inlineStr">
        <is>
          <t>RADAR DE BRECHAS — Score promedio por departamento y dimensión</t>
        </is>
      </c>
    </row>
    <row r="2">
      <c r="A2" t="inlineStr">
        <is>
          <t>Departamento / Dimensión</t>
        </is>
      </c>
      <c r="B2" t="inlineStr">
        <is>
          <t>D1</t>
        </is>
      </c>
      <c r="C2" t="inlineStr">
        <is>
          <t>D2</t>
        </is>
      </c>
      <c r="D2" t="inlineStr">
        <is>
          <t>D3</t>
        </is>
      </c>
      <c r="E2" t="inlineStr">
        <is>
          <t>D4</t>
        </is>
      </c>
      <c r="F2" t="inlineStr">
        <is>
          <t>D5</t>
        </is>
      </c>
      <c r="G2" t="inlineStr">
        <is>
          <t>D6</t>
        </is>
      </c>
      <c r="H2" t="inlineStr">
        <is>
          <t>D7</t>
        </is>
      </c>
      <c r="I2" t="inlineStr">
        <is>
          <t>D8</t>
        </is>
      </c>
      <c r="J2" t="inlineStr">
        <is>
          <t>D9</t>
        </is>
      </c>
      <c r="K2" t="inlineStr">
        <is>
          <t>D10</t>
        </is>
      </c>
      <c r="L2" t="inlineStr">
        <is>
          <t>D11</t>
        </is>
      </c>
      <c r="M2" t="inlineStr">
        <is>
          <t>PVE Promedio</t>
        </is>
      </c>
    </row>
    <row r="3" ht="18" customHeight="1" s="37">
      <c r="A3" t="inlineStr">
        <is>
          <t>SAN MARTIN</t>
        </is>
      </c>
      <c r="B3">
        <f>IFERROR(AVERAGEIF(ISCAM_Score!$C$4:$C$177,A3,ISCAM_Score!$E$4:$E$177),0)</f>
        <v/>
      </c>
      <c r="C3">
        <f>IFERROR(AVERAGEIF(MATRIZ_174!$C$3:$C$176,A3,SCORECARDS!$H$3:$H$176),0)</f>
        <v/>
      </c>
      <c r="D3">
        <f>IFERROR(AVERAGEIF(ISCAM_Score!$C$4:$C$177,A3,ISCAM_Score!$G$4:$G$177),0)</f>
        <v/>
      </c>
      <c r="E3">
        <f>IFERROR(AVERAGEIF(ISCAM_Score!$C$4:$C$177,A3,ISCAM_Score!$H$4:$H$177),0)</f>
        <v/>
      </c>
      <c r="F3">
        <f>IFERROR(AVERAGEIF(MATRIZ_174!$C$3:$C$176,A3,SCORECARDS!$I$3:$I$176),0)</f>
        <v/>
      </c>
      <c r="G3">
        <f>IFERROR(AVERAGEIF(MATRIZ_174!$C$3:$C$176,A3,SCORECARDS!$J$3:$J$176),0)</f>
        <v/>
      </c>
      <c r="H3">
        <f>IFERROR(AVERAGEIF(ISCAM_Score!$C$4:$C$177,A3,ISCAM_Score!$K$4:$K$177),0)</f>
        <v/>
      </c>
      <c r="I3">
        <f>IFERROR(AVERAGEIF(ISCAM_Score!$C$4:$C$177,A3,ISCAM_Score!$L$4:$L$177),0)</f>
        <v/>
      </c>
      <c r="J3">
        <f>IFERROR(AVERAGEIF(ISCAM_Score!$C$4:$C$177,A3,ISCAM_Score!$M$4:$M$177),0)</f>
        <v/>
      </c>
      <c r="K3">
        <f>IFERROR(AVERAGEIF(ISCAM_Score!$C$4:$C$177,A3,ISCAM_Score!$N$4:$N$177),0)</f>
        <v/>
      </c>
      <c r="L3">
        <f>IFERROR(AVERAGEIF(ISCAM_Score!$C$4:$C$177,A3,ISCAM_Score!$O$4:$O$177),0)</f>
        <v/>
      </c>
      <c r="M3">
        <f>IFERROR(AVERAGE(B3:L3),0)</f>
        <v/>
      </c>
    </row>
    <row r="4" ht="18" customHeight="1" s="37">
      <c r="A4" t="inlineStr">
        <is>
          <t>JUNIN</t>
        </is>
      </c>
      <c r="B4">
        <f>IFERROR(AVERAGEIF(ISCAM_Score!$C$4:$C$177,A4,ISCAM_Score!$E$4:$E$177),0)</f>
        <v/>
      </c>
      <c r="C4">
        <f>IFERROR(AVERAGEIF(MATRIZ_174!$C$3:$C$176,A4,SCORECARDS!$H$3:$H$176),0)</f>
        <v/>
      </c>
      <c r="D4">
        <f>IFERROR(AVERAGEIF(ISCAM_Score!$C$4:$C$177,A4,ISCAM_Score!$G$4:$G$177),0)</f>
        <v/>
      </c>
      <c r="E4">
        <f>IFERROR(AVERAGEIF(ISCAM_Score!$C$4:$C$177,A4,ISCAM_Score!$H$4:$H$177),0)</f>
        <v/>
      </c>
      <c r="F4">
        <f>IFERROR(AVERAGEIF(MATRIZ_174!$C$3:$C$176,A4,SCORECARDS!$I$3:$I$176),0)</f>
        <v/>
      </c>
      <c r="G4">
        <f>IFERROR(AVERAGEIF(MATRIZ_174!$C$3:$C$176,A4,SCORECARDS!$J$3:$J$176),0)</f>
        <v/>
      </c>
      <c r="H4">
        <f>IFERROR(AVERAGEIF(ISCAM_Score!$C$4:$C$177,A4,ISCAM_Score!$K$4:$K$177),0)</f>
        <v/>
      </c>
      <c r="I4">
        <f>IFERROR(AVERAGEIF(ISCAM_Score!$C$4:$C$177,A4,ISCAM_Score!$L$4:$L$177),0)</f>
        <v/>
      </c>
      <c r="J4">
        <f>IFERROR(AVERAGEIF(ISCAM_Score!$C$4:$C$177,A4,ISCAM_Score!$M$4:$M$177),0)</f>
        <v/>
      </c>
      <c r="K4">
        <f>IFERROR(AVERAGEIF(ISCAM_Score!$C$4:$C$177,A4,ISCAM_Score!$N$4:$N$177),0)</f>
        <v/>
      </c>
      <c r="L4">
        <f>IFERROR(AVERAGEIF(ISCAM_Score!$C$4:$C$177,A4,ISCAM_Score!$O$4:$O$177),0)</f>
        <v/>
      </c>
      <c r="M4">
        <f>IFERROR(AVERAGE(B4:L4),0)</f>
        <v/>
      </c>
    </row>
    <row r="5" ht="18" customHeight="1" s="37">
      <c r="A5" t="inlineStr">
        <is>
          <t>AMAZONAS</t>
        </is>
      </c>
      <c r="B5">
        <f>IFERROR(AVERAGEIF(ISCAM_Score!$C$4:$C$177,A5,ISCAM_Score!$E$4:$E$177),0)</f>
        <v/>
      </c>
      <c r="C5">
        <f>IFERROR(AVERAGEIF(MATRIZ_174!$C$3:$C$176,A5,SCORECARDS!$H$3:$H$176),0)</f>
        <v/>
      </c>
      <c r="D5">
        <f>IFERROR(AVERAGEIF(ISCAM_Score!$C$4:$C$177,A5,ISCAM_Score!$G$4:$G$177),0)</f>
        <v/>
      </c>
      <c r="E5">
        <f>IFERROR(AVERAGEIF(ISCAM_Score!$C$4:$C$177,A5,ISCAM_Score!$H$4:$H$177),0)</f>
        <v/>
      </c>
      <c r="F5">
        <f>IFERROR(AVERAGEIF(MATRIZ_174!$C$3:$C$176,A5,SCORECARDS!$I$3:$I$176),0)</f>
        <v/>
      </c>
      <c r="G5">
        <f>IFERROR(AVERAGEIF(MATRIZ_174!$C$3:$C$176,A5,SCORECARDS!$J$3:$J$176),0)</f>
        <v/>
      </c>
      <c r="H5">
        <f>IFERROR(AVERAGEIF(ISCAM_Score!$C$4:$C$177,A5,ISCAM_Score!$K$4:$K$177),0)</f>
        <v/>
      </c>
      <c r="I5">
        <f>IFERROR(AVERAGEIF(ISCAM_Score!$C$4:$C$177,A5,ISCAM_Score!$L$4:$L$177),0)</f>
        <v/>
      </c>
      <c r="J5">
        <f>IFERROR(AVERAGEIF(ISCAM_Score!$C$4:$C$177,A5,ISCAM_Score!$M$4:$M$177),0)</f>
        <v/>
      </c>
      <c r="K5">
        <f>IFERROR(AVERAGEIF(ISCAM_Score!$C$4:$C$177,A5,ISCAM_Score!$N$4:$N$177),0)</f>
        <v/>
      </c>
      <c r="L5">
        <f>IFERROR(AVERAGEIF(ISCAM_Score!$C$4:$C$177,A5,ISCAM_Score!$O$4:$O$177),0)</f>
        <v/>
      </c>
      <c r="M5">
        <f>IFERROR(AVERAGE(B5:L5),0)</f>
        <v/>
      </c>
    </row>
    <row r="6" ht="18" customHeight="1" s="37">
      <c r="A6" t="inlineStr">
        <is>
          <t>CAJAMARCA</t>
        </is>
      </c>
      <c r="B6">
        <f>IFERROR(AVERAGEIF(ISCAM_Score!$C$4:$C$177,A6,ISCAM_Score!$E$4:$E$177),0)</f>
        <v/>
      </c>
      <c r="C6">
        <f>IFERROR(AVERAGEIF(MATRIZ_174!$C$3:$C$176,A6,SCORECARDS!$H$3:$H$176),0)</f>
        <v/>
      </c>
      <c r="D6">
        <f>IFERROR(AVERAGEIF(ISCAM_Score!$C$4:$C$177,A6,ISCAM_Score!$G$4:$G$177),0)</f>
        <v/>
      </c>
      <c r="E6">
        <f>IFERROR(AVERAGEIF(ISCAM_Score!$C$4:$C$177,A6,ISCAM_Score!$H$4:$H$177),0)</f>
        <v/>
      </c>
      <c r="F6">
        <f>IFERROR(AVERAGEIF(MATRIZ_174!$C$3:$C$176,A6,SCORECARDS!$I$3:$I$176),0)</f>
        <v/>
      </c>
      <c r="G6">
        <f>IFERROR(AVERAGEIF(MATRIZ_174!$C$3:$C$176,A6,SCORECARDS!$J$3:$J$176),0)</f>
        <v/>
      </c>
      <c r="H6">
        <f>IFERROR(AVERAGEIF(ISCAM_Score!$C$4:$C$177,A6,ISCAM_Score!$K$4:$K$177),0)</f>
        <v/>
      </c>
      <c r="I6">
        <f>IFERROR(AVERAGEIF(ISCAM_Score!$C$4:$C$177,A6,ISCAM_Score!$L$4:$L$177),0)</f>
        <v/>
      </c>
      <c r="J6">
        <f>IFERROR(AVERAGEIF(ISCAM_Score!$C$4:$C$177,A6,ISCAM_Score!$M$4:$M$177),0)</f>
        <v/>
      </c>
      <c r="K6">
        <f>IFERROR(AVERAGEIF(ISCAM_Score!$C$4:$C$177,A6,ISCAM_Score!$N$4:$N$177),0)</f>
        <v/>
      </c>
      <c r="L6">
        <f>IFERROR(AVERAGEIF(ISCAM_Score!$C$4:$C$177,A6,ISCAM_Score!$O$4:$O$177),0)</f>
        <v/>
      </c>
      <c r="M6">
        <f>IFERROR(AVERAGE(B6:L6),0)</f>
        <v/>
      </c>
    </row>
    <row r="7" ht="18" customHeight="1" s="37">
      <c r="A7" t="inlineStr">
        <is>
          <t>CUSCO</t>
        </is>
      </c>
      <c r="B7">
        <f>IFERROR(AVERAGEIF(ISCAM_Score!$C$4:$C$177,A7,ISCAM_Score!$E$4:$E$177),0)</f>
        <v/>
      </c>
      <c r="C7">
        <f>IFERROR(AVERAGEIF(MATRIZ_174!$C$3:$C$176,A7,SCORECARDS!$H$3:$H$176),0)</f>
        <v/>
      </c>
      <c r="D7">
        <f>IFERROR(AVERAGEIF(ISCAM_Score!$C$4:$C$177,A7,ISCAM_Score!$G$4:$G$177),0)</f>
        <v/>
      </c>
      <c r="E7">
        <f>IFERROR(AVERAGEIF(ISCAM_Score!$C$4:$C$177,A7,ISCAM_Score!$H$4:$H$177),0)</f>
        <v/>
      </c>
      <c r="F7">
        <f>IFERROR(AVERAGEIF(MATRIZ_174!$C$3:$C$176,A7,SCORECARDS!$I$3:$I$176),0)</f>
        <v/>
      </c>
      <c r="G7">
        <f>IFERROR(AVERAGEIF(MATRIZ_174!$C$3:$C$176,A7,SCORECARDS!$J$3:$J$176),0)</f>
        <v/>
      </c>
      <c r="H7">
        <f>IFERROR(AVERAGEIF(ISCAM_Score!$C$4:$C$177,A7,ISCAM_Score!$K$4:$K$177),0)</f>
        <v/>
      </c>
      <c r="I7">
        <f>IFERROR(AVERAGEIF(ISCAM_Score!$C$4:$C$177,A7,ISCAM_Score!$L$4:$L$177),0)</f>
        <v/>
      </c>
      <c r="J7">
        <f>IFERROR(AVERAGEIF(ISCAM_Score!$C$4:$C$177,A7,ISCAM_Score!$M$4:$M$177),0)</f>
        <v/>
      </c>
      <c r="K7">
        <f>IFERROR(AVERAGEIF(ISCAM_Score!$C$4:$C$177,A7,ISCAM_Score!$N$4:$N$177),0)</f>
        <v/>
      </c>
      <c r="L7">
        <f>IFERROR(AVERAGEIF(ISCAM_Score!$C$4:$C$177,A7,ISCAM_Score!$O$4:$O$177),0)</f>
        <v/>
      </c>
      <c r="M7">
        <f>IFERROR(AVERAGE(B7:L7),0)</f>
        <v/>
      </c>
    </row>
    <row r="8" ht="18" customHeight="1" s="37">
      <c r="A8" t="inlineStr">
        <is>
          <t>UCAYALI</t>
        </is>
      </c>
      <c r="B8">
        <f>IFERROR(AVERAGEIF(ISCAM_Score!$C$4:$C$177,A8,ISCAM_Score!$E$4:$E$177),0)</f>
        <v/>
      </c>
      <c r="C8">
        <f>IFERROR(AVERAGEIF(MATRIZ_174!$C$3:$C$176,A8,SCORECARDS!$H$3:$H$176),0)</f>
        <v/>
      </c>
      <c r="D8">
        <f>IFERROR(AVERAGEIF(ISCAM_Score!$C$4:$C$177,A8,ISCAM_Score!$G$4:$G$177),0)</f>
        <v/>
      </c>
      <c r="E8">
        <f>IFERROR(AVERAGEIF(ISCAM_Score!$C$4:$C$177,A8,ISCAM_Score!$H$4:$H$177),0)</f>
        <v/>
      </c>
      <c r="F8">
        <f>IFERROR(AVERAGEIF(MATRIZ_174!$C$3:$C$176,A8,SCORECARDS!$I$3:$I$176),0)</f>
        <v/>
      </c>
      <c r="G8">
        <f>IFERROR(AVERAGEIF(MATRIZ_174!$C$3:$C$176,A8,SCORECARDS!$J$3:$J$176),0)</f>
        <v/>
      </c>
      <c r="H8">
        <f>IFERROR(AVERAGEIF(ISCAM_Score!$C$4:$C$177,A8,ISCAM_Score!$K$4:$K$177),0)</f>
        <v/>
      </c>
      <c r="I8">
        <f>IFERROR(AVERAGEIF(ISCAM_Score!$C$4:$C$177,A8,ISCAM_Score!$L$4:$L$177),0)</f>
        <v/>
      </c>
      <c r="J8">
        <f>IFERROR(AVERAGEIF(ISCAM_Score!$C$4:$C$177,A8,ISCAM_Score!$M$4:$M$177),0)</f>
        <v/>
      </c>
      <c r="K8">
        <f>IFERROR(AVERAGEIF(ISCAM_Score!$C$4:$C$177,A8,ISCAM_Score!$N$4:$N$177),0)</f>
        <v/>
      </c>
      <c r="L8">
        <f>IFERROR(AVERAGEIF(ISCAM_Score!$C$4:$C$177,A8,ISCAM_Score!$O$4:$O$177),0)</f>
        <v/>
      </c>
      <c r="M8">
        <f>IFERROR(AVERAGE(B8:L8),0)</f>
        <v/>
      </c>
    </row>
    <row r="9" ht="18" customHeight="1" s="37">
      <c r="A9" t="inlineStr">
        <is>
          <t>PASCO</t>
        </is>
      </c>
      <c r="B9">
        <f>IFERROR(AVERAGEIF(ISCAM_Score!$C$4:$C$177,A9,ISCAM_Score!$E$4:$E$177),0)</f>
        <v/>
      </c>
      <c r="C9">
        <f>IFERROR(AVERAGEIF(MATRIZ_174!$C$3:$C$176,A9,SCORECARDS!$H$3:$H$176),0)</f>
        <v/>
      </c>
      <c r="D9">
        <f>IFERROR(AVERAGEIF(ISCAM_Score!$C$4:$C$177,A9,ISCAM_Score!$G$4:$G$177),0)</f>
        <v/>
      </c>
      <c r="E9">
        <f>IFERROR(AVERAGEIF(ISCAM_Score!$C$4:$C$177,A9,ISCAM_Score!$H$4:$H$177),0)</f>
        <v/>
      </c>
      <c r="F9">
        <f>IFERROR(AVERAGEIF(MATRIZ_174!$C$3:$C$176,A9,SCORECARDS!$I$3:$I$176),0)</f>
        <v/>
      </c>
      <c r="G9">
        <f>IFERROR(AVERAGEIF(MATRIZ_174!$C$3:$C$176,A9,SCORECARDS!$J$3:$J$176),0)</f>
        <v/>
      </c>
      <c r="H9">
        <f>IFERROR(AVERAGEIF(ISCAM_Score!$C$4:$C$177,A9,ISCAM_Score!$K$4:$K$177),0)</f>
        <v/>
      </c>
      <c r="I9">
        <f>IFERROR(AVERAGEIF(ISCAM_Score!$C$4:$C$177,A9,ISCAM_Score!$L$4:$L$177),0)</f>
        <v/>
      </c>
      <c r="J9">
        <f>IFERROR(AVERAGEIF(ISCAM_Score!$C$4:$C$177,A9,ISCAM_Score!$M$4:$M$177),0)</f>
        <v/>
      </c>
      <c r="K9">
        <f>IFERROR(AVERAGEIF(ISCAM_Score!$C$4:$C$177,A9,ISCAM_Score!$N$4:$N$177),0)</f>
        <v/>
      </c>
      <c r="L9">
        <f>IFERROR(AVERAGEIF(ISCAM_Score!$C$4:$C$177,A9,ISCAM_Score!$O$4:$O$177),0)</f>
        <v/>
      </c>
      <c r="M9">
        <f>IFERROR(AVERAGE(B9:L9),0)</f>
        <v/>
      </c>
    </row>
    <row r="10" ht="18" customHeight="1" s="37">
      <c r="A10" t="inlineStr">
        <is>
          <t>PIURA</t>
        </is>
      </c>
      <c r="B10">
        <f>IFERROR(AVERAGEIF(ISCAM_Score!$C$4:$C$177,A10,ISCAM_Score!$E$4:$E$177),0)</f>
        <v/>
      </c>
      <c r="C10">
        <f>IFERROR(AVERAGEIF(MATRIZ_174!$C$3:$C$176,A10,SCORECARDS!$H$3:$H$176),0)</f>
        <v/>
      </c>
      <c r="D10">
        <f>IFERROR(AVERAGEIF(ISCAM_Score!$C$4:$C$177,A10,ISCAM_Score!$G$4:$G$177),0)</f>
        <v/>
      </c>
      <c r="E10">
        <f>IFERROR(AVERAGEIF(ISCAM_Score!$C$4:$C$177,A10,ISCAM_Score!$H$4:$H$177),0)</f>
        <v/>
      </c>
      <c r="F10">
        <f>IFERROR(AVERAGEIF(MATRIZ_174!$C$3:$C$176,A10,SCORECARDS!$I$3:$I$176),0)</f>
        <v/>
      </c>
      <c r="G10">
        <f>IFERROR(AVERAGEIF(MATRIZ_174!$C$3:$C$176,A10,SCORECARDS!$J$3:$J$176),0)</f>
        <v/>
      </c>
      <c r="H10">
        <f>IFERROR(AVERAGEIF(ISCAM_Score!$C$4:$C$177,A10,ISCAM_Score!$K$4:$K$177),0)</f>
        <v/>
      </c>
      <c r="I10">
        <f>IFERROR(AVERAGEIF(ISCAM_Score!$C$4:$C$177,A10,ISCAM_Score!$L$4:$L$177),0)</f>
        <v/>
      </c>
      <c r="J10">
        <f>IFERROR(AVERAGEIF(ISCAM_Score!$C$4:$C$177,A10,ISCAM_Score!$M$4:$M$177),0)</f>
        <v/>
      </c>
      <c r="K10">
        <f>IFERROR(AVERAGEIF(ISCAM_Score!$C$4:$C$177,A10,ISCAM_Score!$N$4:$N$177),0)</f>
        <v/>
      </c>
      <c r="L10">
        <f>IFERROR(AVERAGEIF(ISCAM_Score!$C$4:$C$177,A10,ISCAM_Score!$O$4:$O$177),0)</f>
        <v/>
      </c>
      <c r="M10">
        <f>IFERROR(AVERAGE(B10:L10),0)</f>
        <v/>
      </c>
    </row>
    <row r="11" ht="18" customHeight="1" s="37">
      <c r="A11" t="inlineStr">
        <is>
          <t>AYACUCHO</t>
        </is>
      </c>
      <c r="B11">
        <f>IFERROR(AVERAGEIF(ISCAM_Score!$C$4:$C$177,A11,ISCAM_Score!$E$4:$E$177),0)</f>
        <v/>
      </c>
      <c r="C11">
        <f>IFERROR(AVERAGEIF(MATRIZ_174!$C$3:$C$176,A11,SCORECARDS!$H$3:$H$176),0)</f>
        <v/>
      </c>
      <c r="D11">
        <f>IFERROR(AVERAGEIF(ISCAM_Score!$C$4:$C$177,A11,ISCAM_Score!$G$4:$G$177),0)</f>
        <v/>
      </c>
      <c r="E11">
        <f>IFERROR(AVERAGEIF(ISCAM_Score!$C$4:$C$177,A11,ISCAM_Score!$H$4:$H$177),0)</f>
        <v/>
      </c>
      <c r="F11">
        <f>IFERROR(AVERAGEIF(MATRIZ_174!$C$3:$C$176,A11,SCORECARDS!$I$3:$I$176),0)</f>
        <v/>
      </c>
      <c r="G11">
        <f>IFERROR(AVERAGEIF(MATRIZ_174!$C$3:$C$176,A11,SCORECARDS!$J$3:$J$176),0)</f>
        <v/>
      </c>
      <c r="H11">
        <f>IFERROR(AVERAGEIF(ISCAM_Score!$C$4:$C$177,A11,ISCAM_Score!$K$4:$K$177),0)</f>
        <v/>
      </c>
      <c r="I11">
        <f>IFERROR(AVERAGEIF(ISCAM_Score!$C$4:$C$177,A11,ISCAM_Score!$L$4:$L$177),0)</f>
        <v/>
      </c>
      <c r="J11">
        <f>IFERROR(AVERAGEIF(ISCAM_Score!$C$4:$C$177,A11,ISCAM_Score!$M$4:$M$177),0)</f>
        <v/>
      </c>
      <c r="K11">
        <f>IFERROR(AVERAGEIF(ISCAM_Score!$C$4:$C$177,A11,ISCAM_Score!$N$4:$N$177),0)</f>
        <v/>
      </c>
      <c r="L11">
        <f>IFERROR(AVERAGEIF(ISCAM_Score!$C$4:$C$177,A11,ISCAM_Score!$O$4:$O$177),0)</f>
        <v/>
      </c>
      <c r="M11">
        <f>IFERROR(AVERAGE(B11:L11),0)</f>
        <v/>
      </c>
    </row>
    <row r="12" ht="18" customHeight="1" s="37">
      <c r="A12" t="inlineStr">
        <is>
          <t>PUNO</t>
        </is>
      </c>
      <c r="B12">
        <f>IFERROR(AVERAGEIF(ISCAM_Score!$C$4:$C$177,A12,ISCAM_Score!$E$4:$E$177),0)</f>
        <v/>
      </c>
      <c r="C12">
        <f>IFERROR(AVERAGEIF(MATRIZ_174!$C$3:$C$176,A12,SCORECARDS!$H$3:$H$176),0)</f>
        <v/>
      </c>
      <c r="D12">
        <f>IFERROR(AVERAGEIF(ISCAM_Score!$C$4:$C$177,A12,ISCAM_Score!$G$4:$G$177),0)</f>
        <v/>
      </c>
      <c r="E12">
        <f>IFERROR(AVERAGEIF(ISCAM_Score!$C$4:$C$177,A12,ISCAM_Score!$H$4:$H$177),0)</f>
        <v/>
      </c>
      <c r="F12">
        <f>IFERROR(AVERAGEIF(MATRIZ_174!$C$3:$C$176,A12,SCORECARDS!$I$3:$I$176),0)</f>
        <v/>
      </c>
      <c r="G12">
        <f>IFERROR(AVERAGEIF(MATRIZ_174!$C$3:$C$176,A12,SCORECARDS!$J$3:$J$176),0)</f>
        <v/>
      </c>
      <c r="H12">
        <f>IFERROR(AVERAGEIF(ISCAM_Score!$C$4:$C$177,A12,ISCAM_Score!$K$4:$K$177),0)</f>
        <v/>
      </c>
      <c r="I12">
        <f>IFERROR(AVERAGEIF(ISCAM_Score!$C$4:$C$177,A12,ISCAM_Score!$L$4:$L$177),0)</f>
        <v/>
      </c>
      <c r="J12">
        <f>IFERROR(AVERAGEIF(ISCAM_Score!$C$4:$C$177,A12,ISCAM_Score!$M$4:$M$177),0)</f>
        <v/>
      </c>
      <c r="K12">
        <f>IFERROR(AVERAGEIF(ISCAM_Score!$C$4:$C$177,A12,ISCAM_Score!$N$4:$N$177),0)</f>
        <v/>
      </c>
      <c r="L12">
        <f>IFERROR(AVERAGEIF(ISCAM_Score!$C$4:$C$177,A12,ISCAM_Score!$O$4:$O$177),0)</f>
        <v/>
      </c>
      <c r="M12">
        <f>IFERROR(AVERAGE(B12:L12),0)</f>
        <v/>
      </c>
    </row>
    <row r="13" ht="18" customHeight="1" s="37">
      <c r="A13" t="inlineStr">
        <is>
          <t>APURIMAC</t>
        </is>
      </c>
      <c r="B13">
        <f>IFERROR(AVERAGEIF(ISCAM_Score!$C$4:$C$177,A13,ISCAM_Score!$E$4:$E$177),0)</f>
        <v/>
      </c>
      <c r="C13">
        <f>IFERROR(AVERAGEIF(MATRIZ_174!$C$3:$C$176,A13,SCORECARDS!$H$3:$H$176),0)</f>
        <v/>
      </c>
      <c r="D13">
        <f>IFERROR(AVERAGEIF(ISCAM_Score!$C$4:$C$177,A13,ISCAM_Score!$G$4:$G$177),0)</f>
        <v/>
      </c>
      <c r="E13">
        <f>IFERROR(AVERAGEIF(ISCAM_Score!$C$4:$C$177,A13,ISCAM_Score!$H$4:$H$177),0)</f>
        <v/>
      </c>
      <c r="F13">
        <f>IFERROR(AVERAGEIF(MATRIZ_174!$C$3:$C$176,A13,SCORECARDS!$I$3:$I$176),0)</f>
        <v/>
      </c>
      <c r="G13">
        <f>IFERROR(AVERAGEIF(MATRIZ_174!$C$3:$C$176,A13,SCORECARDS!$J$3:$J$176),0)</f>
        <v/>
      </c>
      <c r="H13">
        <f>IFERROR(AVERAGEIF(ISCAM_Score!$C$4:$C$177,A13,ISCAM_Score!$K$4:$K$177),0)</f>
        <v/>
      </c>
      <c r="I13">
        <f>IFERROR(AVERAGEIF(ISCAM_Score!$C$4:$C$177,A13,ISCAM_Score!$L$4:$L$177),0)</f>
        <v/>
      </c>
      <c r="J13">
        <f>IFERROR(AVERAGEIF(ISCAM_Score!$C$4:$C$177,A13,ISCAM_Score!$M$4:$M$177),0)</f>
        <v/>
      </c>
      <c r="K13">
        <f>IFERROR(AVERAGEIF(ISCAM_Score!$C$4:$C$177,A13,ISCAM_Score!$N$4:$N$177),0)</f>
        <v/>
      </c>
      <c r="L13">
        <f>IFERROR(AVERAGEIF(ISCAM_Score!$C$4:$C$177,A13,ISCAM_Score!$O$4:$O$177),0)</f>
        <v/>
      </c>
      <c r="M13">
        <f>IFERROR(AVERAGE(B13:L13),0)</f>
        <v/>
      </c>
    </row>
    <row r="14" ht="18" customHeight="1" s="37">
      <c r="A14" t="inlineStr">
        <is>
          <t>MADRE DE DIOS</t>
        </is>
      </c>
      <c r="B14">
        <f>IFERROR(AVERAGEIF(ISCAM_Score!$C$4:$C$177,A14,ISCAM_Score!$E$4:$E$177),0)</f>
        <v/>
      </c>
      <c r="C14">
        <f>IFERROR(AVERAGEIF(MATRIZ_174!$C$3:$C$176,A14,SCORECARDS!$H$3:$H$176),0)</f>
        <v/>
      </c>
      <c r="D14">
        <f>IFERROR(AVERAGEIF(ISCAM_Score!$C$4:$C$177,A14,ISCAM_Score!$G$4:$G$177),0)</f>
        <v/>
      </c>
      <c r="E14">
        <f>IFERROR(AVERAGEIF(ISCAM_Score!$C$4:$C$177,A14,ISCAM_Score!$H$4:$H$177),0)</f>
        <v/>
      </c>
      <c r="F14">
        <f>IFERROR(AVERAGEIF(MATRIZ_174!$C$3:$C$176,A14,SCORECARDS!$I$3:$I$176),0)</f>
        <v/>
      </c>
      <c r="G14">
        <f>IFERROR(AVERAGEIF(MATRIZ_174!$C$3:$C$176,A14,SCORECARDS!$J$3:$J$176),0)</f>
        <v/>
      </c>
      <c r="H14">
        <f>IFERROR(AVERAGEIF(ISCAM_Score!$C$4:$C$177,A14,ISCAM_Score!$K$4:$K$177),0)</f>
        <v/>
      </c>
      <c r="I14">
        <f>IFERROR(AVERAGEIF(ISCAM_Score!$C$4:$C$177,A14,ISCAM_Score!$L$4:$L$177),0)</f>
        <v/>
      </c>
      <c r="J14">
        <f>IFERROR(AVERAGEIF(ISCAM_Score!$C$4:$C$177,A14,ISCAM_Score!$M$4:$M$177),0)</f>
        <v/>
      </c>
      <c r="K14">
        <f>IFERROR(AVERAGEIF(ISCAM_Score!$C$4:$C$177,A14,ISCAM_Score!$N$4:$N$177),0)</f>
        <v/>
      </c>
      <c r="L14">
        <f>IFERROR(AVERAGEIF(ISCAM_Score!$C$4:$C$177,A14,ISCAM_Score!$O$4:$O$177),0)</f>
        <v/>
      </c>
      <c r="M14">
        <f>IFERROR(AVERAGE(B14:L14),0)</f>
        <v/>
      </c>
    </row>
    <row r="15" ht="18" customHeight="1" s="37">
      <c r="A15" t="inlineStr">
        <is>
          <t>LORETO</t>
        </is>
      </c>
      <c r="B15">
        <f>IFERROR(AVERAGEIF(ISCAM_Score!$C$4:$C$177,A15,ISCAM_Score!$E$4:$E$177),0)</f>
        <v/>
      </c>
      <c r="C15">
        <f>IFERROR(AVERAGEIF(MATRIZ_174!$C$3:$C$176,A15,SCORECARDS!$H$3:$H$176),0)</f>
        <v/>
      </c>
      <c r="D15">
        <f>IFERROR(AVERAGEIF(ISCAM_Score!$C$4:$C$177,A15,ISCAM_Score!$G$4:$G$177),0)</f>
        <v/>
      </c>
      <c r="E15">
        <f>IFERROR(AVERAGEIF(ISCAM_Score!$C$4:$C$177,A15,ISCAM_Score!$H$4:$H$177),0)</f>
        <v/>
      </c>
      <c r="F15">
        <f>IFERROR(AVERAGEIF(MATRIZ_174!$C$3:$C$176,A15,SCORECARDS!$I$3:$I$176),0)</f>
        <v/>
      </c>
      <c r="G15">
        <f>IFERROR(AVERAGEIF(MATRIZ_174!$C$3:$C$176,A15,SCORECARDS!$J$3:$J$176),0)</f>
        <v/>
      </c>
      <c r="H15">
        <f>IFERROR(AVERAGEIF(ISCAM_Score!$C$4:$C$177,A15,ISCAM_Score!$K$4:$K$177),0)</f>
        <v/>
      </c>
      <c r="I15">
        <f>IFERROR(AVERAGEIF(ISCAM_Score!$C$4:$C$177,A15,ISCAM_Score!$L$4:$L$177),0)</f>
        <v/>
      </c>
      <c r="J15">
        <f>IFERROR(AVERAGEIF(ISCAM_Score!$C$4:$C$177,A15,ISCAM_Score!$M$4:$M$177),0)</f>
        <v/>
      </c>
      <c r="K15">
        <f>IFERROR(AVERAGEIF(ISCAM_Score!$C$4:$C$177,A15,ISCAM_Score!$N$4:$N$177),0)</f>
        <v/>
      </c>
      <c r="L15">
        <f>IFERROR(AVERAGEIF(ISCAM_Score!$C$4:$C$177,A15,ISCAM_Score!$O$4:$O$177),0)</f>
        <v/>
      </c>
      <c r="M15">
        <f>IFERROR(AVERAGE(B15:L15),0)</f>
        <v/>
      </c>
    </row>
    <row r="16" ht="18" customHeight="1" s="37">
      <c r="A16" t="inlineStr">
        <is>
          <t>LAMBAYEQUE</t>
        </is>
      </c>
      <c r="B16">
        <f>IFERROR(AVERAGEIF(ISCAM_Score!$C$4:$C$177,A16,ISCAM_Score!$E$4:$E$177),0)</f>
        <v/>
      </c>
      <c r="C16">
        <f>IFERROR(AVERAGEIF(MATRIZ_174!$C$3:$C$176,A16,SCORECARDS!$H$3:$H$176),0)</f>
        <v/>
      </c>
      <c r="D16">
        <f>IFERROR(AVERAGEIF(ISCAM_Score!$C$4:$C$177,A16,ISCAM_Score!$G$4:$G$177),0)</f>
        <v/>
      </c>
      <c r="E16">
        <f>IFERROR(AVERAGEIF(ISCAM_Score!$C$4:$C$177,A16,ISCAM_Score!$H$4:$H$177),0)</f>
        <v/>
      </c>
      <c r="F16">
        <f>IFERROR(AVERAGEIF(MATRIZ_174!$C$3:$C$176,A16,SCORECARDS!$I$3:$I$176),0)</f>
        <v/>
      </c>
      <c r="G16">
        <f>IFERROR(AVERAGEIF(MATRIZ_174!$C$3:$C$176,A16,SCORECARDS!$J$3:$J$176),0)</f>
        <v/>
      </c>
      <c r="H16">
        <f>IFERROR(AVERAGEIF(ISCAM_Score!$C$4:$C$177,A16,ISCAM_Score!$K$4:$K$177),0)</f>
        <v/>
      </c>
      <c r="I16">
        <f>IFERROR(AVERAGEIF(ISCAM_Score!$C$4:$C$177,A16,ISCAM_Score!$L$4:$L$177),0)</f>
        <v/>
      </c>
      <c r="J16">
        <f>IFERROR(AVERAGEIF(ISCAM_Score!$C$4:$C$177,A16,ISCAM_Score!$M$4:$M$177),0)</f>
        <v/>
      </c>
      <c r="K16">
        <f>IFERROR(AVERAGEIF(ISCAM_Score!$C$4:$C$177,A16,ISCAM_Score!$N$4:$N$177),0)</f>
        <v/>
      </c>
      <c r="L16">
        <f>IFERROR(AVERAGEIF(ISCAM_Score!$C$4:$C$177,A16,ISCAM_Score!$O$4:$O$177),0)</f>
        <v/>
      </c>
      <c r="M16">
        <f>IFERROR(AVERAGE(B16:L16),0)</f>
        <v/>
      </c>
    </row>
    <row r="17" ht="18" customHeight="1" s="37">
      <c r="A17" t="inlineStr">
        <is>
          <t>OTROS</t>
        </is>
      </c>
      <c r="B17">
        <f>IFERROR(AVERAGEIF(ISCAM_Score!$C$4:$C$177,A17,ISCAM_Score!$E$4:$E$177),0)</f>
        <v/>
      </c>
      <c r="C17">
        <f>IFERROR(AVERAGEIF(MATRIZ_174!$C$3:$C$176,A17,SCORECARDS!$H$3:$H$176),0)</f>
        <v/>
      </c>
      <c r="D17">
        <f>IFERROR(AVERAGEIF(ISCAM_Score!$C$4:$C$177,A17,ISCAM_Score!$G$4:$G$177),0)</f>
        <v/>
      </c>
      <c r="E17">
        <f>IFERROR(AVERAGEIF(ISCAM_Score!$C$4:$C$177,A17,ISCAM_Score!$H$4:$H$177),0)</f>
        <v/>
      </c>
      <c r="F17">
        <f>IFERROR(AVERAGEIF(MATRIZ_174!$C$3:$C$176,A17,SCORECARDS!$I$3:$I$176),0)</f>
        <v/>
      </c>
      <c r="G17">
        <f>IFERROR(AVERAGEIF(MATRIZ_174!$C$3:$C$176,A17,SCORECARDS!$J$3:$J$176),0)</f>
        <v/>
      </c>
      <c r="H17">
        <f>IFERROR(AVERAGEIF(ISCAM_Score!$C$4:$C$177,A17,ISCAM_Score!$K$4:$K$177),0)</f>
        <v/>
      </c>
      <c r="I17">
        <f>IFERROR(AVERAGEIF(ISCAM_Score!$C$4:$C$177,A17,ISCAM_Score!$L$4:$L$177),0)</f>
        <v/>
      </c>
      <c r="J17">
        <f>IFERROR(AVERAGEIF(ISCAM_Score!$C$4:$C$177,A17,ISCAM_Score!$M$4:$M$177),0)</f>
        <v/>
      </c>
      <c r="K17">
        <f>IFERROR(AVERAGEIF(ISCAM_Score!$C$4:$C$177,A17,ISCAM_Score!$N$4:$N$177),0)</f>
        <v/>
      </c>
      <c r="L17">
        <f>IFERROR(AVERAGEIF(ISCAM_Score!$C$4:$C$177,A17,ISCAM_Score!$O$4:$O$177),0)</f>
        <v/>
      </c>
      <c r="M17">
        <f>IFERROR(AVERAGE(B17:L17),0)</f>
        <v/>
      </c>
    </row>
    <row r="20" ht="19.95" customHeight="1" s="37">
      <c r="A20" t="inlineStr">
        <is>
          <t>LEYENDA — NIVELES DE CUMPLIMIENTO</t>
        </is>
      </c>
    </row>
    <row r="21" ht="18" customHeight="1" s="37">
      <c r="A21" t="inlineStr">
        <is>
          <t>🟢 Verde (0.67–1.00) — Cumplimiento adecuado</t>
        </is>
      </c>
    </row>
    <row r="22" ht="18" customHeight="1" s="37">
      <c r="A22" t="inlineStr">
        <is>
          <t>🟡 Amarillo (0.34–0.66) — Brecha moderada</t>
        </is>
      </c>
    </row>
    <row r="23" ht="18" customHeight="1" s="37">
      <c r="A23" t="inlineStr">
        <is>
          <t>🔴 Rojo (0.00–0.33) — Brecha crítica</t>
        </is>
      </c>
    </row>
    <row r="24" ht="18" customHeight="1" s="37">
      <c r="A24" t="inlineStr">
        <is>
          <t>⬜ Gris (0.00) — Sin dato capturado</t>
        </is>
      </c>
    </row>
    <row r="26">
      <c r="A26" t="inlineStr">
        <is>
          <t>NOTA: D2/D5/D6 provienen de SCORECARDS (carga del Instrumento 2); D1, D3, D4 y D7–D11 de ISCAM_Score. Sin dato = 0 = ⬜ gris (la ausencia de dato no implica cumplimiento). Corregido 2026-10-14.</t>
        </is>
      </c>
    </row>
    <row r="28">
      <c r="A28" s="55" t="inlineStr">
        <is>
          <t>CORTE POR PRODUCTO — paridad café/cacao (sin sesgo)</t>
        </is>
      </c>
    </row>
    <row r="29">
      <c r="A29" s="56" t="inlineStr">
        <is>
          <t>Producto</t>
        </is>
      </c>
      <c r="B29" s="56" t="inlineStr">
        <is>
          <t>N.° orgs</t>
        </is>
      </c>
      <c r="C29" s="56" t="inlineStr">
        <is>
          <t>ISA-EUDR</t>
        </is>
      </c>
      <c r="D29" s="56" t="inlineStr">
        <is>
          <t>ISA-PV</t>
        </is>
      </c>
      <c r="E29" s="56" t="inlineStr">
        <is>
          <t>ISA-Completo</t>
        </is>
      </c>
      <c r="F29" s="56" t="inlineStr">
        <is>
          <t>IP</t>
        </is>
      </c>
      <c r="G29" s="56" t="inlineStr">
        <is>
          <t>IV</t>
        </is>
      </c>
      <c r="H29" s="56" t="inlineStr">
        <is>
          <t>RE</t>
        </is>
      </c>
    </row>
    <row r="30">
      <c r="A30" s="57" t="inlineStr">
        <is>
          <t>CAFÉ</t>
        </is>
      </c>
      <c r="B30" s="58">
        <f>COUNTIF(MATRIZ_174!$D$3:$D$176,A30)</f>
        <v/>
      </c>
      <c r="C30" s="59">
        <f>IFERROR(AVERAGEIF(MATRIZ_174!$D$3:$D$176,A30,ISCAM_Score!$AK$4:$AK$177),0)</f>
        <v/>
      </c>
      <c r="D30" s="59">
        <f>IFERROR(AVERAGEIF(MATRIZ_174!$D$3:$D$176,A30,ISCAM_Score!$AI$4:$AI$177),0)</f>
        <v/>
      </c>
      <c r="E30" s="59">
        <f>IFERROR(AVERAGEIF(MATRIZ_174!$D$3:$D$176,A30,ISCAM_Score!$AL$4:$AL$177),0)</f>
        <v/>
      </c>
      <c r="F30" s="59">
        <f>IFERROR(AVERAGEIF(MATRIZ_174!$D$3:$D$176,A30,ISCAM_Score!$Z$4:$Z$177),0)</f>
        <v/>
      </c>
      <c r="G30" s="59">
        <f>IFERROR(AVERAGEIF(MATRIZ_174!$D$3:$D$176,A30,ISCAM_Score!$AA$4:$AA$177),0)</f>
        <v/>
      </c>
      <c r="H30" s="59">
        <f>IFERROR(AVERAGEIF(MATRIZ_174!$D$3:$D$176,A30,ISCAM_Score!$AB$4:$AB$177),0)</f>
        <v/>
      </c>
    </row>
    <row r="31">
      <c r="A31" s="57" t="inlineStr">
        <is>
          <t>CACAO</t>
        </is>
      </c>
      <c r="B31" s="58">
        <f>COUNTIF(MATRIZ_174!$D$3:$D$176,A31)</f>
        <v/>
      </c>
      <c r="C31" s="59">
        <f>IFERROR(AVERAGEIF(MATRIZ_174!$D$3:$D$176,A31,ISCAM_Score!$AK$4:$AK$177),0)</f>
        <v/>
      </c>
      <c r="D31" s="59">
        <f>IFERROR(AVERAGEIF(MATRIZ_174!$D$3:$D$176,A31,ISCAM_Score!$AI$4:$AI$177),0)</f>
        <v/>
      </c>
      <c r="E31" s="59">
        <f>IFERROR(AVERAGEIF(MATRIZ_174!$D$3:$D$176,A31,ISCAM_Score!$AL$4:$AL$177),0)</f>
        <v/>
      </c>
      <c r="F31" s="59">
        <f>IFERROR(AVERAGEIF(MATRIZ_174!$D$3:$D$176,A31,ISCAM_Score!$Z$4:$Z$177),0)</f>
        <v/>
      </c>
      <c r="G31" s="59">
        <f>IFERROR(AVERAGEIF(MATRIZ_174!$D$3:$D$176,A31,ISCAM_Score!$AA$4:$AA$177),0)</f>
        <v/>
      </c>
      <c r="H31" s="59">
        <f>IFERROR(AVERAGEIF(MATRIZ_174!$D$3:$D$176,A31,ISCAM_Score!$AB$4:$AB$177),0)</f>
        <v/>
      </c>
    </row>
    <row r="32">
      <c r="A32" s="58" t="inlineStr">
        <is>
          <t>SIN PRODUCTO REGISTRADO</t>
        </is>
      </c>
      <c r="B32" s="58">
        <f>COUNTBLANK(MATRIZ_174!$D$3:$D$176)</f>
        <v/>
      </c>
      <c r="C32" s="59">
        <f>IFERROR(AVERAGEIF(MATRIZ_174!$D$3:$D$176,"",ISCAM_Score!$AK$4:$AK$177),0)</f>
        <v/>
      </c>
      <c r="D32" s="59">
        <f>IFERROR(AVERAGEIF(MATRIZ_174!$D$3:$D$176,"",ISCAM_Score!$AI$4:$AI$177),0)</f>
        <v/>
      </c>
      <c r="E32" s="59">
        <f>IFERROR(AVERAGEIF(MATRIZ_174!$D$3:$D$176,"",ISCAM_Score!$AL$4:$AL$177),0)</f>
        <v/>
      </c>
      <c r="F32" s="59">
        <f>IFERROR(AVERAGEIF(MATRIZ_174!$D$3:$D$176,"",ISCAM_Score!$Z$4:$Z$177),0)</f>
        <v/>
      </c>
      <c r="G32" s="59">
        <f>IFERROR(AVERAGEIF(MATRIZ_174!$D$3:$D$176,"",ISCAM_Score!$AA$4:$AA$177),0)</f>
        <v/>
      </c>
      <c r="H32" s="59">
        <f>IFERROR(AVERAGEIF(MATRIZ_174!$D$3:$D$176,"",ISCAM_Score!$AB$4:$AB$177),0)</f>
        <v/>
      </c>
    </row>
    <row r="34">
      <c r="A34" t="inlineStr">
        <is>
          <t>Chequeo de paridad</t>
        </is>
      </c>
      <c r="B34">
        <f>IF(OR(NOT(ISNUMBER(E30)),NOT(ISNUMBER(E31))),"⏳ Sin datos suficientes para evaluar paridad",IF(ABS(E30-E31)&lt;=5,"✔ Sin brecha café/cacao (≤5 pts en ISA-Completo)","⚠ Brecha café/cacao &gt;5 pts en ISA-Completo — revisar sesgo antes de publicar"))</f>
        <v/>
      </c>
    </row>
    <row r="35">
      <c r="A35" s="60" t="inlineStr">
        <is>
          <t>Regla: brecha máxima aceptable de 5 puntos de ISA-Completo entre café y cacao. Si se supera, revisar sesgo de redacción del instrumento o de muestreo antes de publicar resultados.</t>
        </is>
      </c>
    </row>
  </sheetData>
  <mergeCells count="7">
    <mergeCell ref="A1:J1"/>
    <mergeCell ref="A21:G21"/>
    <mergeCell ref="A22:G22"/>
    <mergeCell ref="A20:G20"/>
    <mergeCell ref="A26:G26"/>
    <mergeCell ref="A24:G24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2026-10-13T02:21:49Z</dcterms:created>
  <dcterms:modified xmlns:dcterms="http://purl.org/dc/terms/" xmlns:xsi="http://www.w3.org/2001/XMLSchema-instance" xsi:type="dcterms:W3CDTF">2026-10-14T20:57:32Z</dcterms:modified>
  <cp:lastModifiedBy>Ricardo Antonio Cuba Alvan</cp:lastModifiedBy>
</cp:coreProperties>
</file>