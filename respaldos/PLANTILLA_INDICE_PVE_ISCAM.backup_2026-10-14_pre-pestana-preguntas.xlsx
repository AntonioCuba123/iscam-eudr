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"/>
    </mc:Choice>
  </mc:AlternateContent>
  <xr:revisionPtr revIDLastSave="0" documentId="8_{3B05F873-50CC-4304-86E8-B8C54213C7D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INSTRUCCIONES" sheetId="1" r:id="rId1"/>
    <sheet name="ISCAM_Score" sheetId="2" r:id="rId2"/>
    <sheet name="PONDERADORES" sheetId="3" r:id="rId3"/>
    <sheet name="MATRIZ_174" sheetId="4" r:id="rId4"/>
    <sheet name="PREGUNTAS_PROXY" sheetId="5" r:id="rId5"/>
    <sheet name="SCORECARDS" sheetId="6" r:id="rId6"/>
    <sheet name="RADAR_BRECHA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7" l="1"/>
  <c r="D19" i="7"/>
  <c r="D18" i="7"/>
  <c r="L17" i="7"/>
  <c r="K17" i="7"/>
  <c r="J17" i="7"/>
  <c r="I17" i="7"/>
  <c r="H17" i="7"/>
  <c r="G17" i="7"/>
  <c r="F17" i="7"/>
  <c r="E17" i="7"/>
  <c r="D17" i="7"/>
  <c r="C17" i="7"/>
  <c r="B17" i="7"/>
  <c r="M17" i="7" s="1"/>
  <c r="L16" i="7"/>
  <c r="K16" i="7"/>
  <c r="J16" i="7"/>
  <c r="I16" i="7"/>
  <c r="G16" i="7"/>
  <c r="F16" i="7"/>
  <c r="E16" i="7"/>
  <c r="C16" i="7"/>
  <c r="B16" i="7"/>
  <c r="L15" i="7"/>
  <c r="K15" i="7"/>
  <c r="J15" i="7"/>
  <c r="I15" i="7"/>
  <c r="G15" i="7"/>
  <c r="F15" i="7"/>
  <c r="E15" i="7"/>
  <c r="D15" i="7"/>
  <c r="C15" i="7"/>
  <c r="B15" i="7"/>
  <c r="L14" i="7"/>
  <c r="K14" i="7"/>
  <c r="J14" i="7"/>
  <c r="I14" i="7"/>
  <c r="G14" i="7"/>
  <c r="F14" i="7"/>
  <c r="E14" i="7"/>
  <c r="C14" i="7"/>
  <c r="B14" i="7"/>
  <c r="L13" i="7"/>
  <c r="K13" i="7"/>
  <c r="J13" i="7"/>
  <c r="I13" i="7"/>
  <c r="H13" i="7"/>
  <c r="G13" i="7"/>
  <c r="F13" i="7"/>
  <c r="E13" i="7"/>
  <c r="D13" i="7"/>
  <c r="C13" i="7"/>
  <c r="B13" i="7"/>
  <c r="M13" i="7" s="1"/>
  <c r="L12" i="7"/>
  <c r="K12" i="7"/>
  <c r="J12" i="7"/>
  <c r="I12" i="7"/>
  <c r="H12" i="7"/>
  <c r="G12" i="7"/>
  <c r="F12" i="7"/>
  <c r="E12" i="7"/>
  <c r="D12" i="7"/>
  <c r="C12" i="7"/>
  <c r="B12" i="7"/>
  <c r="M12" i="7" s="1"/>
  <c r="L11" i="7"/>
  <c r="K11" i="7"/>
  <c r="J11" i="7"/>
  <c r="I11" i="7"/>
  <c r="G11" i="7"/>
  <c r="F11" i="7"/>
  <c r="E11" i="7"/>
  <c r="D11" i="7"/>
  <c r="C11" i="7"/>
  <c r="B11" i="7"/>
  <c r="L10" i="7"/>
  <c r="K10" i="7"/>
  <c r="J10" i="7"/>
  <c r="I10" i="7"/>
  <c r="G10" i="7"/>
  <c r="F10" i="7"/>
  <c r="E10" i="7"/>
  <c r="C10" i="7"/>
  <c r="B10" i="7"/>
  <c r="L9" i="7"/>
  <c r="K9" i="7"/>
  <c r="J9" i="7"/>
  <c r="I9" i="7"/>
  <c r="G9" i="7"/>
  <c r="F9" i="7"/>
  <c r="E9" i="7"/>
  <c r="D9" i="7"/>
  <c r="C9" i="7"/>
  <c r="B9" i="7"/>
  <c r="L8" i="7"/>
  <c r="K8" i="7"/>
  <c r="J8" i="7"/>
  <c r="I8" i="7"/>
  <c r="G8" i="7"/>
  <c r="F8" i="7"/>
  <c r="E8" i="7"/>
  <c r="C8" i="7"/>
  <c r="B8" i="7"/>
  <c r="L7" i="7"/>
  <c r="K7" i="7"/>
  <c r="J7" i="7"/>
  <c r="I7" i="7"/>
  <c r="G7" i="7"/>
  <c r="F7" i="7"/>
  <c r="E7" i="7"/>
  <c r="D7" i="7"/>
  <c r="C7" i="7"/>
  <c r="B7" i="7"/>
  <c r="L6" i="7"/>
  <c r="K6" i="7"/>
  <c r="J6" i="7"/>
  <c r="I6" i="7"/>
  <c r="G6" i="7"/>
  <c r="F6" i="7"/>
  <c r="E6" i="7"/>
  <c r="C6" i="7"/>
  <c r="B6" i="7"/>
  <c r="L5" i="7"/>
  <c r="K5" i="7"/>
  <c r="J5" i="7"/>
  <c r="I5" i="7"/>
  <c r="G5" i="7"/>
  <c r="F5" i="7"/>
  <c r="E5" i="7"/>
  <c r="C5" i="7"/>
  <c r="B5" i="7"/>
  <c r="L4" i="7"/>
  <c r="K4" i="7"/>
  <c r="J4" i="7"/>
  <c r="I4" i="7"/>
  <c r="G4" i="7"/>
  <c r="F4" i="7"/>
  <c r="E4" i="7"/>
  <c r="D4" i="7"/>
  <c r="C4" i="7"/>
  <c r="B4" i="7"/>
  <c r="L3" i="7"/>
  <c r="K3" i="7"/>
  <c r="J3" i="7"/>
  <c r="I3" i="7"/>
  <c r="G3" i="7"/>
  <c r="F3" i="7"/>
  <c r="E3" i="7"/>
  <c r="C3" i="7"/>
  <c r="B3" i="7"/>
  <c r="K187" i="6"/>
  <c r="K186" i="6"/>
  <c r="K185" i="6"/>
  <c r="K184" i="6"/>
  <c r="K183" i="6"/>
  <c r="K182" i="6"/>
  <c r="K181" i="6"/>
  <c r="K180" i="6"/>
  <c r="B180" i="6"/>
  <c r="K179" i="6"/>
  <c r="K178" i="6"/>
  <c r="K177" i="6"/>
  <c r="L176" i="6"/>
  <c r="K176" i="6"/>
  <c r="G176" i="6"/>
  <c r="K175" i="6"/>
  <c r="K174" i="6"/>
  <c r="F174" i="6"/>
  <c r="K173" i="6"/>
  <c r="F173" i="6"/>
  <c r="K172" i="6"/>
  <c r="K171" i="6"/>
  <c r="F171" i="6"/>
  <c r="K170" i="6"/>
  <c r="F170" i="6"/>
  <c r="K169" i="6"/>
  <c r="F169" i="6"/>
  <c r="K168" i="6"/>
  <c r="K167" i="6"/>
  <c r="K166" i="6"/>
  <c r="F166" i="6"/>
  <c r="K165" i="6"/>
  <c r="F165" i="6"/>
  <c r="K164" i="6"/>
  <c r="F164" i="6"/>
  <c r="K163" i="6"/>
  <c r="K162" i="6"/>
  <c r="F162" i="6"/>
  <c r="K161" i="6"/>
  <c r="F161" i="6"/>
  <c r="K160" i="6"/>
  <c r="F160" i="6"/>
  <c r="K159" i="6"/>
  <c r="F159" i="6"/>
  <c r="K158" i="6"/>
  <c r="F158" i="6"/>
  <c r="K157" i="6"/>
  <c r="K156" i="6"/>
  <c r="F156" i="6"/>
  <c r="K155" i="6"/>
  <c r="F155" i="6"/>
  <c r="K154" i="6"/>
  <c r="F154" i="6"/>
  <c r="K153" i="6"/>
  <c r="F153" i="6"/>
  <c r="K152" i="6"/>
  <c r="F152" i="6"/>
  <c r="K151" i="6"/>
  <c r="F151" i="6"/>
  <c r="K150" i="6"/>
  <c r="F150" i="6"/>
  <c r="K149" i="6"/>
  <c r="K148" i="6"/>
  <c r="F148" i="6"/>
  <c r="K147" i="6"/>
  <c r="K146" i="6"/>
  <c r="K145" i="6"/>
  <c r="F145" i="6"/>
  <c r="K144" i="6"/>
  <c r="F144" i="6"/>
  <c r="K143" i="6"/>
  <c r="K142" i="6"/>
  <c r="F142" i="6"/>
  <c r="K141" i="6"/>
  <c r="F141" i="6"/>
  <c r="K140" i="6"/>
  <c r="F140" i="6"/>
  <c r="K139" i="6"/>
  <c r="F139" i="6"/>
  <c r="K138" i="6"/>
  <c r="K137" i="6"/>
  <c r="F137" i="6"/>
  <c r="K136" i="6"/>
  <c r="F136" i="6"/>
  <c r="K135" i="6"/>
  <c r="K134" i="6"/>
  <c r="K133" i="6"/>
  <c r="H10" i="7" s="1"/>
  <c r="F133" i="6"/>
  <c r="K132" i="6"/>
  <c r="F132" i="6"/>
  <c r="K131" i="6"/>
  <c r="K130" i="6"/>
  <c r="F130" i="6"/>
  <c r="K129" i="6"/>
  <c r="F129" i="6"/>
  <c r="K128" i="6"/>
  <c r="K127" i="6"/>
  <c r="K126" i="6"/>
  <c r="K125" i="6"/>
  <c r="F125" i="6"/>
  <c r="K124" i="6"/>
  <c r="K123" i="6"/>
  <c r="K122" i="6"/>
  <c r="F122" i="6"/>
  <c r="K121" i="6"/>
  <c r="F121" i="6"/>
  <c r="K120" i="6"/>
  <c r="F120" i="6"/>
  <c r="K119" i="6"/>
  <c r="F119" i="6"/>
  <c r="K118" i="6"/>
  <c r="F118" i="6"/>
  <c r="K117" i="6"/>
  <c r="H16" i="7" s="1"/>
  <c r="F117" i="6"/>
  <c r="K116" i="6"/>
  <c r="F116" i="6"/>
  <c r="K115" i="6"/>
  <c r="F115" i="6"/>
  <c r="K114" i="6"/>
  <c r="F114" i="6"/>
  <c r="K113" i="6"/>
  <c r="K112" i="6"/>
  <c r="F112" i="6"/>
  <c r="K111" i="6"/>
  <c r="F111" i="6"/>
  <c r="K110" i="6"/>
  <c r="F110" i="6"/>
  <c r="K109" i="6"/>
  <c r="H11" i="7" s="1"/>
  <c r="F109" i="6"/>
  <c r="K108" i="6"/>
  <c r="K107" i="6"/>
  <c r="H8" i="7" s="1"/>
  <c r="F107" i="6"/>
  <c r="K106" i="6"/>
  <c r="K105" i="6"/>
  <c r="K104" i="6"/>
  <c r="K103" i="6"/>
  <c r="F103" i="6"/>
  <c r="K102" i="6"/>
  <c r="F102" i="6"/>
  <c r="K101" i="6"/>
  <c r="F101" i="6"/>
  <c r="K100" i="6"/>
  <c r="F100" i="6"/>
  <c r="K99" i="6"/>
  <c r="F99" i="6"/>
  <c r="K98" i="6"/>
  <c r="F98" i="6"/>
  <c r="L97" i="6"/>
  <c r="K97" i="6"/>
  <c r="G97" i="6"/>
  <c r="F97" i="6"/>
  <c r="L96" i="6"/>
  <c r="K96" i="6"/>
  <c r="G96" i="6"/>
  <c r="L95" i="6"/>
  <c r="K95" i="6"/>
  <c r="G95" i="6"/>
  <c r="F95" i="6"/>
  <c r="L94" i="6"/>
  <c r="K94" i="6"/>
  <c r="G94" i="6"/>
  <c r="L93" i="6"/>
  <c r="K93" i="6"/>
  <c r="G93" i="6"/>
  <c r="F93" i="6"/>
  <c r="L92" i="6"/>
  <c r="K92" i="6"/>
  <c r="G92" i="6"/>
  <c r="L91" i="6"/>
  <c r="K91" i="6"/>
  <c r="G91" i="6"/>
  <c r="L90" i="6"/>
  <c r="K90" i="6"/>
  <c r="G90" i="6"/>
  <c r="F90" i="6"/>
  <c r="L89" i="6"/>
  <c r="K89" i="6"/>
  <c r="G89" i="6"/>
  <c r="L88" i="6"/>
  <c r="K88" i="6"/>
  <c r="G88" i="6"/>
  <c r="F88" i="6"/>
  <c r="L87" i="6"/>
  <c r="K87" i="6"/>
  <c r="G87" i="6"/>
  <c r="F87" i="6"/>
  <c r="L86" i="6"/>
  <c r="K86" i="6"/>
  <c r="G86" i="6"/>
  <c r="F86" i="6"/>
  <c r="L85" i="6"/>
  <c r="K85" i="6"/>
  <c r="G85" i="6"/>
  <c r="L84" i="6"/>
  <c r="K84" i="6"/>
  <c r="H4" i="7" s="1"/>
  <c r="G84" i="6"/>
  <c r="F84" i="6"/>
  <c r="L83" i="6"/>
  <c r="K83" i="6"/>
  <c r="G83" i="6"/>
  <c r="F83" i="6"/>
  <c r="L82" i="6"/>
  <c r="K82" i="6"/>
  <c r="H9" i="7" s="1"/>
  <c r="G82" i="6"/>
  <c r="L81" i="6"/>
  <c r="K81" i="6"/>
  <c r="H7" i="7" s="1"/>
  <c r="G81" i="6"/>
  <c r="L80" i="6"/>
  <c r="K80" i="6"/>
  <c r="H5" i="7" s="1"/>
  <c r="G80" i="6"/>
  <c r="L79" i="6"/>
  <c r="K79" i="6"/>
  <c r="H14" i="7" s="1"/>
  <c r="G79" i="6"/>
  <c r="L78" i="6"/>
  <c r="K78" i="6"/>
  <c r="G78" i="6"/>
  <c r="F78" i="6"/>
  <c r="L77" i="6"/>
  <c r="K77" i="6"/>
  <c r="H6" i="7" s="1"/>
  <c r="G77" i="6"/>
  <c r="L76" i="6"/>
  <c r="K76" i="6"/>
  <c r="G76" i="6"/>
  <c r="F76" i="6"/>
  <c r="L75" i="6"/>
  <c r="K75" i="6"/>
  <c r="H15" i="7" s="1"/>
  <c r="G75" i="6"/>
  <c r="F75" i="6"/>
  <c r="L74" i="6"/>
  <c r="K74" i="6"/>
  <c r="G74" i="6"/>
  <c r="L73" i="6"/>
  <c r="K73" i="6"/>
  <c r="G73" i="6"/>
  <c r="L72" i="6"/>
  <c r="K72" i="6"/>
  <c r="G72" i="6"/>
  <c r="L71" i="6"/>
  <c r="K71" i="6"/>
  <c r="G71" i="6"/>
  <c r="F71" i="6"/>
  <c r="L70" i="6"/>
  <c r="K70" i="6"/>
  <c r="H3" i="7" s="1"/>
  <c r="G70" i="6"/>
  <c r="K69" i="6"/>
  <c r="G69" i="6"/>
  <c r="F69" i="6"/>
  <c r="L68" i="6"/>
  <c r="K68" i="6"/>
  <c r="G68" i="6"/>
  <c r="F68" i="6"/>
  <c r="L67" i="6"/>
  <c r="K67" i="6"/>
  <c r="G67" i="6"/>
  <c r="F67" i="6"/>
  <c r="L66" i="6"/>
  <c r="K66" i="6"/>
  <c r="G66" i="6"/>
  <c r="F66" i="6"/>
  <c r="L65" i="6"/>
  <c r="K65" i="6"/>
  <c r="G65" i="6"/>
  <c r="L64" i="6"/>
  <c r="K64" i="6"/>
  <c r="G64" i="6"/>
  <c r="L63" i="6"/>
  <c r="K63" i="6"/>
  <c r="G63" i="6"/>
  <c r="F63" i="6"/>
  <c r="L62" i="6"/>
  <c r="K62" i="6"/>
  <c r="G62" i="6"/>
  <c r="F62" i="6"/>
  <c r="L61" i="6"/>
  <c r="K61" i="6"/>
  <c r="G61" i="6"/>
  <c r="F61" i="6"/>
  <c r="L60" i="6"/>
  <c r="K60" i="6"/>
  <c r="G60" i="6"/>
  <c r="L59" i="6"/>
  <c r="K59" i="6"/>
  <c r="G59" i="6"/>
  <c r="F59" i="6"/>
  <c r="L58" i="6"/>
  <c r="K58" i="6"/>
  <c r="G58" i="6"/>
  <c r="L57" i="6"/>
  <c r="K57" i="6"/>
  <c r="G57" i="6"/>
  <c r="F57" i="6"/>
  <c r="L56" i="6"/>
  <c r="K56" i="6"/>
  <c r="G56" i="6"/>
  <c r="F56" i="6"/>
  <c r="L55" i="6"/>
  <c r="K55" i="6"/>
  <c r="G55" i="6"/>
  <c r="F55" i="6"/>
  <c r="L54" i="6"/>
  <c r="K54" i="6"/>
  <c r="G54" i="6"/>
  <c r="F54" i="6"/>
  <c r="L53" i="6"/>
  <c r="K53" i="6"/>
  <c r="G53" i="6"/>
  <c r="L52" i="6"/>
  <c r="K52" i="6"/>
  <c r="G52" i="6"/>
  <c r="F52" i="6"/>
  <c r="L51" i="6"/>
  <c r="K51" i="6"/>
  <c r="G51" i="6"/>
  <c r="F51" i="6"/>
  <c r="L50" i="6"/>
  <c r="K50" i="6"/>
  <c r="G50" i="6"/>
  <c r="F50" i="6"/>
  <c r="L49" i="6"/>
  <c r="K49" i="6"/>
  <c r="G49" i="6"/>
  <c r="L48" i="6"/>
  <c r="K48" i="6"/>
  <c r="G48" i="6"/>
  <c r="L47" i="6"/>
  <c r="K47" i="6"/>
  <c r="G47" i="6"/>
  <c r="F47" i="6"/>
  <c r="L46" i="6"/>
  <c r="K46" i="6"/>
  <c r="G46" i="6"/>
  <c r="L45" i="6"/>
  <c r="K45" i="6"/>
  <c r="G45" i="6"/>
  <c r="L44" i="6"/>
  <c r="K44" i="6"/>
  <c r="G44" i="6"/>
  <c r="L43" i="6"/>
  <c r="K43" i="6"/>
  <c r="G43" i="6"/>
  <c r="L42" i="6"/>
  <c r="K42" i="6"/>
  <c r="G42" i="6"/>
  <c r="L41" i="6"/>
  <c r="K41" i="6"/>
  <c r="G41" i="6"/>
  <c r="L40" i="6"/>
  <c r="K40" i="6"/>
  <c r="G40" i="6"/>
  <c r="L39" i="6"/>
  <c r="K39" i="6"/>
  <c r="G39" i="6"/>
  <c r="L38" i="6"/>
  <c r="K38" i="6"/>
  <c r="G38" i="6"/>
  <c r="F38" i="6"/>
  <c r="L37" i="6"/>
  <c r="K37" i="6"/>
  <c r="G37" i="6"/>
  <c r="L36" i="6"/>
  <c r="K36" i="6"/>
  <c r="G36" i="6"/>
  <c r="L35" i="6"/>
  <c r="K35" i="6"/>
  <c r="G35" i="6"/>
  <c r="L34" i="6"/>
  <c r="K34" i="6"/>
  <c r="G34" i="6"/>
  <c r="F34" i="6"/>
  <c r="L33" i="6"/>
  <c r="K33" i="6"/>
  <c r="G33" i="6"/>
  <c r="L32" i="6"/>
  <c r="K32" i="6"/>
  <c r="G32" i="6"/>
  <c r="L31" i="6"/>
  <c r="K31" i="6"/>
  <c r="G31" i="6"/>
  <c r="L30" i="6"/>
  <c r="K30" i="6"/>
  <c r="G30" i="6"/>
  <c r="F30" i="6"/>
  <c r="L29" i="6"/>
  <c r="K29" i="6"/>
  <c r="G29" i="6"/>
  <c r="F29" i="6"/>
  <c r="L28" i="6"/>
  <c r="K28" i="6"/>
  <c r="G28" i="6"/>
  <c r="F28" i="6"/>
  <c r="L27" i="6"/>
  <c r="K27" i="6"/>
  <c r="G27" i="6"/>
  <c r="L26" i="6"/>
  <c r="K26" i="6"/>
  <c r="G26" i="6"/>
  <c r="F26" i="6"/>
  <c r="L25" i="6"/>
  <c r="K25" i="6"/>
  <c r="G25" i="6"/>
  <c r="L24" i="6"/>
  <c r="K24" i="6"/>
  <c r="G24" i="6"/>
  <c r="L23" i="6"/>
  <c r="K23" i="6"/>
  <c r="G23" i="6"/>
  <c r="F23" i="6"/>
  <c r="L22" i="6"/>
  <c r="K22" i="6"/>
  <c r="G22" i="6"/>
  <c r="L21" i="6"/>
  <c r="K21" i="6"/>
  <c r="G21" i="6"/>
  <c r="L20" i="6"/>
  <c r="K20" i="6"/>
  <c r="G20" i="6"/>
  <c r="F20" i="6"/>
  <c r="L19" i="6"/>
  <c r="K19" i="6"/>
  <c r="G19" i="6"/>
  <c r="L18" i="6"/>
  <c r="K18" i="6"/>
  <c r="G18" i="6"/>
  <c r="F18" i="6"/>
  <c r="L17" i="6"/>
  <c r="K17" i="6"/>
  <c r="G17" i="6"/>
  <c r="F17" i="6"/>
  <c r="L16" i="6"/>
  <c r="K16" i="6"/>
  <c r="G16" i="6"/>
  <c r="F16" i="6"/>
  <c r="L15" i="6"/>
  <c r="K15" i="6"/>
  <c r="G15" i="6"/>
  <c r="F15" i="6"/>
  <c r="L14" i="6"/>
  <c r="K14" i="6"/>
  <c r="G14" i="6"/>
  <c r="L13" i="6"/>
  <c r="K13" i="6"/>
  <c r="G13" i="6"/>
  <c r="L12" i="6"/>
  <c r="K12" i="6"/>
  <c r="G12" i="6"/>
  <c r="L11" i="6"/>
  <c r="K11" i="6"/>
  <c r="G11" i="6"/>
  <c r="F11" i="6"/>
  <c r="L10" i="6"/>
  <c r="K10" i="6"/>
  <c r="G10" i="6"/>
  <c r="L9" i="6"/>
  <c r="K9" i="6"/>
  <c r="G9" i="6"/>
  <c r="L8" i="6"/>
  <c r="K8" i="6"/>
  <c r="G8" i="6"/>
  <c r="L7" i="6"/>
  <c r="K7" i="6"/>
  <c r="G7" i="6"/>
  <c r="F7" i="6"/>
  <c r="L6" i="6"/>
  <c r="K6" i="6"/>
  <c r="G6" i="6"/>
  <c r="F6" i="6"/>
  <c r="L5" i="6"/>
  <c r="K5" i="6"/>
  <c r="G5" i="6"/>
  <c r="L4" i="6"/>
  <c r="K4" i="6"/>
  <c r="G4" i="6"/>
  <c r="L3" i="6"/>
  <c r="K3" i="6"/>
  <c r="G3" i="6"/>
  <c r="C65" i="5"/>
  <c r="B65" i="5"/>
  <c r="D65" i="5" s="1"/>
  <c r="C64" i="5"/>
  <c r="B64" i="5"/>
  <c r="D64" i="5" s="1"/>
  <c r="C63" i="5"/>
  <c r="B63" i="5"/>
  <c r="D63" i="5" s="1"/>
  <c r="C62" i="5"/>
  <c r="B62" i="5"/>
  <c r="D62" i="5" s="1"/>
  <c r="C61" i="5"/>
  <c r="B61" i="5"/>
  <c r="D61" i="5" s="1"/>
  <c r="C60" i="5"/>
  <c r="B60" i="5"/>
  <c r="D60" i="5" s="1"/>
  <c r="C59" i="5"/>
  <c r="B59" i="5"/>
  <c r="D59" i="5" s="1"/>
  <c r="C58" i="5"/>
  <c r="B58" i="5"/>
  <c r="D58" i="5" s="1"/>
  <c r="C57" i="5"/>
  <c r="B57" i="5"/>
  <c r="D57" i="5" s="1"/>
  <c r="C56" i="5"/>
  <c r="B56" i="5"/>
  <c r="D56" i="5" s="1"/>
  <c r="C55" i="5"/>
  <c r="B55" i="5"/>
  <c r="D55" i="5" s="1"/>
  <c r="C54" i="5"/>
  <c r="B54" i="5"/>
  <c r="D54" i="5" s="1"/>
  <c r="AP176" i="4"/>
  <c r="AO176" i="4"/>
  <c r="O176" i="4"/>
  <c r="M176" i="4"/>
  <c r="AP175" i="4"/>
  <c r="AO175" i="4"/>
  <c r="O175" i="4"/>
  <c r="L175" i="6" s="1"/>
  <c r="M175" i="4"/>
  <c r="G175" i="6" s="1"/>
  <c r="AP174" i="4"/>
  <c r="AO174" i="4"/>
  <c r="O174" i="4"/>
  <c r="L174" i="6" s="1"/>
  <c r="M174" i="4"/>
  <c r="G174" i="6" s="1"/>
  <c r="AP173" i="4"/>
  <c r="AO173" i="4"/>
  <c r="O173" i="4"/>
  <c r="L173" i="6" s="1"/>
  <c r="M173" i="4"/>
  <c r="G173" i="6" s="1"/>
  <c r="AP172" i="4"/>
  <c r="AO172" i="4"/>
  <c r="O172" i="4"/>
  <c r="L172" i="6" s="1"/>
  <c r="M172" i="4"/>
  <c r="G172" i="6" s="1"/>
  <c r="AP171" i="4"/>
  <c r="AO171" i="4"/>
  <c r="O171" i="4"/>
  <c r="L171" i="6" s="1"/>
  <c r="M171" i="4"/>
  <c r="G171" i="6" s="1"/>
  <c r="AP170" i="4"/>
  <c r="AO170" i="4"/>
  <c r="O170" i="4"/>
  <c r="L170" i="6" s="1"/>
  <c r="M170" i="4"/>
  <c r="G170" i="6" s="1"/>
  <c r="AP169" i="4"/>
  <c r="AO169" i="4"/>
  <c r="O169" i="4"/>
  <c r="L169" i="6" s="1"/>
  <c r="M169" i="4"/>
  <c r="G169" i="6" s="1"/>
  <c r="AP168" i="4"/>
  <c r="AO168" i="4"/>
  <c r="O168" i="4"/>
  <c r="L168" i="6" s="1"/>
  <c r="M168" i="4"/>
  <c r="G168" i="6" s="1"/>
  <c r="AP167" i="4"/>
  <c r="AO167" i="4"/>
  <c r="O167" i="4"/>
  <c r="L167" i="6" s="1"/>
  <c r="M167" i="4"/>
  <c r="G167" i="6" s="1"/>
  <c r="AP166" i="4"/>
  <c r="AO166" i="4"/>
  <c r="O166" i="4"/>
  <c r="L166" i="6" s="1"/>
  <c r="M166" i="4"/>
  <c r="G166" i="6" s="1"/>
  <c r="AP165" i="4"/>
  <c r="AO165" i="4"/>
  <c r="O165" i="4"/>
  <c r="L165" i="6" s="1"/>
  <c r="M165" i="4"/>
  <c r="G165" i="6" s="1"/>
  <c r="AP164" i="4"/>
  <c r="AO164" i="4"/>
  <c r="O164" i="4"/>
  <c r="L164" i="6" s="1"/>
  <c r="M164" i="4"/>
  <c r="G164" i="6" s="1"/>
  <c r="AP163" i="4"/>
  <c r="AO163" i="4"/>
  <c r="O163" i="4"/>
  <c r="L163" i="6" s="1"/>
  <c r="M163" i="4"/>
  <c r="G163" i="6" s="1"/>
  <c r="AP162" i="4"/>
  <c r="AO162" i="4"/>
  <c r="O162" i="4"/>
  <c r="L162" i="6" s="1"/>
  <c r="M162" i="4"/>
  <c r="G162" i="6" s="1"/>
  <c r="AP161" i="4"/>
  <c r="AO161" i="4"/>
  <c r="O161" i="4"/>
  <c r="L161" i="6" s="1"/>
  <c r="M161" i="4"/>
  <c r="G161" i="6" s="1"/>
  <c r="AP160" i="4"/>
  <c r="AO160" i="4"/>
  <c r="AJ161" i="2" s="1"/>
  <c r="O160" i="4"/>
  <c r="M160" i="4"/>
  <c r="G160" i="6" s="1"/>
  <c r="AP159" i="4"/>
  <c r="AO159" i="4"/>
  <c r="AJ160" i="2" s="1"/>
  <c r="O159" i="4"/>
  <c r="M159" i="4"/>
  <c r="G159" i="6" s="1"/>
  <c r="AP158" i="4"/>
  <c r="AO158" i="4"/>
  <c r="AJ159" i="2" s="1"/>
  <c r="O158" i="4"/>
  <c r="M158" i="4"/>
  <c r="G158" i="6" s="1"/>
  <c r="AP157" i="4"/>
  <c r="AO157" i="4"/>
  <c r="AJ158" i="2" s="1"/>
  <c r="O157" i="4"/>
  <c r="M157" i="4"/>
  <c r="G157" i="6" s="1"/>
  <c r="AP156" i="4"/>
  <c r="AO156" i="4"/>
  <c r="AJ157" i="2" s="1"/>
  <c r="O156" i="4"/>
  <c r="M156" i="4"/>
  <c r="G156" i="6" s="1"/>
  <c r="AP155" i="4"/>
  <c r="AO155" i="4"/>
  <c r="AJ156" i="2" s="1"/>
  <c r="O155" i="4"/>
  <c r="M155" i="4"/>
  <c r="G155" i="6" s="1"/>
  <c r="AP154" i="4"/>
  <c r="AO154" i="4"/>
  <c r="AJ155" i="2" s="1"/>
  <c r="O154" i="4"/>
  <c r="M154" i="4"/>
  <c r="G154" i="6" s="1"/>
  <c r="AP153" i="4"/>
  <c r="AO153" i="4"/>
  <c r="AJ154" i="2" s="1"/>
  <c r="O153" i="4"/>
  <c r="M153" i="4"/>
  <c r="G153" i="6" s="1"/>
  <c r="AP152" i="4"/>
  <c r="AO152" i="4"/>
  <c r="AJ153" i="2" s="1"/>
  <c r="O152" i="4"/>
  <c r="M152" i="4"/>
  <c r="G152" i="6" s="1"/>
  <c r="AP151" i="4"/>
  <c r="AO151" i="4"/>
  <c r="AJ152" i="2" s="1"/>
  <c r="O151" i="4"/>
  <c r="M151" i="4"/>
  <c r="G151" i="6" s="1"/>
  <c r="AP150" i="4"/>
  <c r="AO150" i="4"/>
  <c r="AJ151" i="2" s="1"/>
  <c r="O150" i="4"/>
  <c r="M150" i="4"/>
  <c r="G150" i="6" s="1"/>
  <c r="AP149" i="4"/>
  <c r="AO149" i="4"/>
  <c r="AJ150" i="2" s="1"/>
  <c r="O149" i="4"/>
  <c r="M149" i="4"/>
  <c r="G149" i="6" s="1"/>
  <c r="AP148" i="4"/>
  <c r="AO148" i="4"/>
  <c r="AJ149" i="2" s="1"/>
  <c r="O148" i="4"/>
  <c r="M148" i="4"/>
  <c r="G148" i="6" s="1"/>
  <c r="AP147" i="4"/>
  <c r="AO147" i="4"/>
  <c r="AJ148" i="2" s="1"/>
  <c r="O147" i="4"/>
  <c r="M147" i="4"/>
  <c r="G147" i="6" s="1"/>
  <c r="AP146" i="4"/>
  <c r="AO146" i="4"/>
  <c r="AJ147" i="2" s="1"/>
  <c r="O146" i="4"/>
  <c r="M146" i="4"/>
  <c r="G146" i="6" s="1"/>
  <c r="AP145" i="4"/>
  <c r="AO145" i="4"/>
  <c r="AJ146" i="2" s="1"/>
  <c r="O145" i="4"/>
  <c r="M145" i="4"/>
  <c r="G145" i="6" s="1"/>
  <c r="AP144" i="4"/>
  <c r="AO144" i="4"/>
  <c r="AJ145" i="2" s="1"/>
  <c r="O144" i="4"/>
  <c r="M144" i="4"/>
  <c r="G144" i="6" s="1"/>
  <c r="AP143" i="4"/>
  <c r="AO143" i="4"/>
  <c r="AJ144" i="2" s="1"/>
  <c r="O143" i="4"/>
  <c r="M143" i="4"/>
  <c r="G143" i="6" s="1"/>
  <c r="AP142" i="4"/>
  <c r="AO142" i="4"/>
  <c r="AJ143" i="2" s="1"/>
  <c r="O142" i="4"/>
  <c r="M142" i="4"/>
  <c r="G142" i="6" s="1"/>
  <c r="AP141" i="4"/>
  <c r="AO141" i="4"/>
  <c r="AJ142" i="2" s="1"/>
  <c r="O141" i="4"/>
  <c r="M141" i="4"/>
  <c r="G141" i="6" s="1"/>
  <c r="AP140" i="4"/>
  <c r="AO140" i="4"/>
  <c r="AJ141" i="2" s="1"/>
  <c r="O140" i="4"/>
  <c r="M140" i="4"/>
  <c r="G140" i="6" s="1"/>
  <c r="AP139" i="4"/>
  <c r="AO139" i="4"/>
  <c r="AJ140" i="2" s="1"/>
  <c r="O139" i="4"/>
  <c r="M139" i="4"/>
  <c r="G139" i="6" s="1"/>
  <c r="AP138" i="4"/>
  <c r="AO138" i="4"/>
  <c r="AJ139" i="2" s="1"/>
  <c r="O138" i="4"/>
  <c r="M138" i="4"/>
  <c r="G138" i="6" s="1"/>
  <c r="AP137" i="4"/>
  <c r="AO137" i="4"/>
  <c r="AJ138" i="2" s="1"/>
  <c r="O137" i="4"/>
  <c r="M137" i="4"/>
  <c r="G137" i="6" s="1"/>
  <c r="AP136" i="4"/>
  <c r="AO136" i="4"/>
  <c r="AJ137" i="2" s="1"/>
  <c r="O136" i="4"/>
  <c r="M136" i="4"/>
  <c r="G136" i="6" s="1"/>
  <c r="AP135" i="4"/>
  <c r="AO135" i="4"/>
  <c r="AJ136" i="2" s="1"/>
  <c r="O135" i="4"/>
  <c r="M135" i="4"/>
  <c r="G135" i="6" s="1"/>
  <c r="AP134" i="4"/>
  <c r="AO134" i="4"/>
  <c r="AJ135" i="2" s="1"/>
  <c r="O134" i="4"/>
  <c r="M134" i="4"/>
  <c r="G134" i="6" s="1"/>
  <c r="AP133" i="4"/>
  <c r="AO133" i="4"/>
  <c r="AJ134" i="2" s="1"/>
  <c r="O133" i="4"/>
  <c r="M133" i="4"/>
  <c r="G133" i="6" s="1"/>
  <c r="AP132" i="4"/>
  <c r="AO132" i="4"/>
  <c r="AJ133" i="2" s="1"/>
  <c r="O132" i="4"/>
  <c r="M132" i="4"/>
  <c r="G132" i="6" s="1"/>
  <c r="AP131" i="4"/>
  <c r="AO131" i="4"/>
  <c r="AJ132" i="2" s="1"/>
  <c r="O131" i="4"/>
  <c r="M131" i="4"/>
  <c r="G131" i="6" s="1"/>
  <c r="AP130" i="4"/>
  <c r="AO130" i="4"/>
  <c r="AJ131" i="2" s="1"/>
  <c r="O130" i="4"/>
  <c r="M130" i="4"/>
  <c r="G130" i="6" s="1"/>
  <c r="AP129" i="4"/>
  <c r="AO129" i="4"/>
  <c r="AJ130" i="2" s="1"/>
  <c r="O129" i="4"/>
  <c r="M129" i="4"/>
  <c r="G129" i="6" s="1"/>
  <c r="AP128" i="4"/>
  <c r="AO128" i="4"/>
  <c r="AJ129" i="2" s="1"/>
  <c r="O128" i="4"/>
  <c r="M128" i="4"/>
  <c r="G128" i="6" s="1"/>
  <c r="AP127" i="4"/>
  <c r="AO127" i="4"/>
  <c r="AJ128" i="2" s="1"/>
  <c r="O127" i="4"/>
  <c r="M127" i="4"/>
  <c r="G127" i="6" s="1"/>
  <c r="AP126" i="4"/>
  <c r="AO126" i="4"/>
  <c r="AJ127" i="2" s="1"/>
  <c r="O126" i="4"/>
  <c r="M126" i="4"/>
  <c r="G126" i="6" s="1"/>
  <c r="AP125" i="4"/>
  <c r="AO125" i="4"/>
  <c r="AJ126" i="2" s="1"/>
  <c r="O125" i="4"/>
  <c r="M125" i="4"/>
  <c r="G125" i="6" s="1"/>
  <c r="AP124" i="4"/>
  <c r="AO124" i="4"/>
  <c r="AJ125" i="2" s="1"/>
  <c r="O124" i="4"/>
  <c r="M124" i="4"/>
  <c r="G124" i="6" s="1"/>
  <c r="AP123" i="4"/>
  <c r="AO123" i="4"/>
  <c r="AJ124" i="2" s="1"/>
  <c r="O123" i="4"/>
  <c r="M123" i="4"/>
  <c r="G123" i="6" s="1"/>
  <c r="AP122" i="4"/>
  <c r="AO122" i="4"/>
  <c r="AJ123" i="2" s="1"/>
  <c r="O122" i="4"/>
  <c r="M122" i="4"/>
  <c r="G122" i="6" s="1"/>
  <c r="AP121" i="4"/>
  <c r="AO121" i="4"/>
  <c r="AJ122" i="2" s="1"/>
  <c r="O121" i="4"/>
  <c r="M121" i="4"/>
  <c r="G121" i="6" s="1"/>
  <c r="AP120" i="4"/>
  <c r="AO120" i="4"/>
  <c r="AJ121" i="2" s="1"/>
  <c r="O120" i="4"/>
  <c r="M120" i="4"/>
  <c r="G120" i="6" s="1"/>
  <c r="AP119" i="4"/>
  <c r="AO119" i="4"/>
  <c r="AJ120" i="2" s="1"/>
  <c r="O119" i="4"/>
  <c r="M119" i="4"/>
  <c r="G119" i="6" s="1"/>
  <c r="AP118" i="4"/>
  <c r="AO118" i="4"/>
  <c r="AJ119" i="2" s="1"/>
  <c r="O118" i="4"/>
  <c r="M118" i="4"/>
  <c r="G118" i="6" s="1"/>
  <c r="AP117" i="4"/>
  <c r="AO117" i="4"/>
  <c r="AJ118" i="2" s="1"/>
  <c r="O117" i="4"/>
  <c r="M117" i="4"/>
  <c r="G117" i="6" s="1"/>
  <c r="AP116" i="4"/>
  <c r="AO116" i="4"/>
  <c r="AJ117" i="2" s="1"/>
  <c r="O116" i="4"/>
  <c r="M116" i="4"/>
  <c r="G116" i="6" s="1"/>
  <c r="AP115" i="4"/>
  <c r="AO115" i="4"/>
  <c r="AJ116" i="2" s="1"/>
  <c r="O115" i="4"/>
  <c r="M115" i="4"/>
  <c r="G115" i="6" s="1"/>
  <c r="AP114" i="4"/>
  <c r="AO114" i="4"/>
  <c r="AJ115" i="2" s="1"/>
  <c r="O114" i="4"/>
  <c r="M114" i="4"/>
  <c r="G114" i="6" s="1"/>
  <c r="AP113" i="4"/>
  <c r="AO113" i="4"/>
  <c r="AJ114" i="2" s="1"/>
  <c r="O113" i="4"/>
  <c r="M113" i="4"/>
  <c r="G113" i="6" s="1"/>
  <c r="AP112" i="4"/>
  <c r="AO112" i="4"/>
  <c r="AJ113" i="2" s="1"/>
  <c r="O112" i="4"/>
  <c r="M112" i="4"/>
  <c r="G112" i="6" s="1"/>
  <c r="AP111" i="4"/>
  <c r="AO111" i="4"/>
  <c r="AJ112" i="2" s="1"/>
  <c r="O111" i="4"/>
  <c r="M111" i="4"/>
  <c r="G111" i="6" s="1"/>
  <c r="AP110" i="4"/>
  <c r="AO110" i="4"/>
  <c r="AJ111" i="2" s="1"/>
  <c r="O110" i="4"/>
  <c r="M110" i="4"/>
  <c r="G110" i="6" s="1"/>
  <c r="AP109" i="4"/>
  <c r="AO109" i="4"/>
  <c r="AJ110" i="2" s="1"/>
  <c r="O109" i="4"/>
  <c r="M109" i="4"/>
  <c r="G109" i="6" s="1"/>
  <c r="AP108" i="4"/>
  <c r="AO108" i="4"/>
  <c r="AJ109" i="2" s="1"/>
  <c r="O108" i="4"/>
  <c r="M108" i="4"/>
  <c r="G108" i="6" s="1"/>
  <c r="AP107" i="4"/>
  <c r="AO107" i="4"/>
  <c r="AJ108" i="2" s="1"/>
  <c r="O107" i="4"/>
  <c r="M107" i="4"/>
  <c r="G107" i="6" s="1"/>
  <c r="AP106" i="4"/>
  <c r="AO106" i="4"/>
  <c r="AJ107" i="2" s="1"/>
  <c r="O106" i="4"/>
  <c r="M106" i="4"/>
  <c r="G106" i="6" s="1"/>
  <c r="AP105" i="4"/>
  <c r="AO105" i="4"/>
  <c r="AJ106" i="2" s="1"/>
  <c r="O105" i="4"/>
  <c r="M105" i="4"/>
  <c r="G105" i="6" s="1"/>
  <c r="AP104" i="4"/>
  <c r="AO104" i="4"/>
  <c r="AJ105" i="2" s="1"/>
  <c r="O104" i="4"/>
  <c r="M104" i="4"/>
  <c r="G104" i="6" s="1"/>
  <c r="AP103" i="4"/>
  <c r="AO103" i="4"/>
  <c r="AJ104" i="2" s="1"/>
  <c r="O103" i="4"/>
  <c r="M103" i="4"/>
  <c r="G103" i="6" s="1"/>
  <c r="AP102" i="4"/>
  <c r="AO102" i="4"/>
  <c r="AJ103" i="2" s="1"/>
  <c r="O102" i="4"/>
  <c r="M102" i="4"/>
  <c r="G102" i="6" s="1"/>
  <c r="AP101" i="4"/>
  <c r="AO101" i="4"/>
  <c r="AJ102" i="2" s="1"/>
  <c r="O101" i="4"/>
  <c r="M101" i="4"/>
  <c r="G101" i="6" s="1"/>
  <c r="AP100" i="4"/>
  <c r="AO100" i="4"/>
  <c r="AJ101" i="2" s="1"/>
  <c r="O100" i="4"/>
  <c r="M100" i="4"/>
  <c r="G100" i="6" s="1"/>
  <c r="AP99" i="4"/>
  <c r="AO99" i="4"/>
  <c r="AJ100" i="2" s="1"/>
  <c r="O99" i="4"/>
  <c r="M99" i="4"/>
  <c r="G99" i="6" s="1"/>
  <c r="AP98" i="4"/>
  <c r="AO98" i="4"/>
  <c r="AJ99" i="2" s="1"/>
  <c r="O98" i="4"/>
  <c r="M98" i="4"/>
  <c r="G98" i="6" s="1"/>
  <c r="AP97" i="4"/>
  <c r="AO97" i="4"/>
  <c r="AJ98" i="2" s="1"/>
  <c r="O97" i="4"/>
  <c r="M97" i="4"/>
  <c r="AP96" i="4"/>
  <c r="AO96" i="4"/>
  <c r="O96" i="4"/>
  <c r="M96" i="4"/>
  <c r="AP95" i="4"/>
  <c r="AO95" i="4"/>
  <c r="O95" i="4"/>
  <c r="M95" i="4"/>
  <c r="AP94" i="4"/>
  <c r="AO94" i="4"/>
  <c r="O94" i="4"/>
  <c r="M94" i="4"/>
  <c r="AP93" i="4"/>
  <c r="AO93" i="4"/>
  <c r="O93" i="4"/>
  <c r="M93" i="4"/>
  <c r="AP92" i="4"/>
  <c r="AO92" i="4"/>
  <c r="O92" i="4"/>
  <c r="M92" i="4"/>
  <c r="AP91" i="4"/>
  <c r="AO91" i="4"/>
  <c r="O91" i="4"/>
  <c r="M91" i="4"/>
  <c r="AP90" i="4"/>
  <c r="AO90" i="4"/>
  <c r="O90" i="4"/>
  <c r="M90" i="4"/>
  <c r="AP89" i="4"/>
  <c r="AO89" i="4"/>
  <c r="O89" i="4"/>
  <c r="M89" i="4"/>
  <c r="AP88" i="4"/>
  <c r="AO88" i="4"/>
  <c r="O88" i="4"/>
  <c r="M88" i="4"/>
  <c r="AP87" i="4"/>
  <c r="AO87" i="4"/>
  <c r="O87" i="4"/>
  <c r="M87" i="4"/>
  <c r="AP86" i="4"/>
  <c r="AO86" i="4"/>
  <c r="O86" i="4"/>
  <c r="M86" i="4"/>
  <c r="AP85" i="4"/>
  <c r="AO85" i="4"/>
  <c r="O85" i="4"/>
  <c r="M85" i="4"/>
  <c r="AP84" i="4"/>
  <c r="AO84" i="4"/>
  <c r="O84" i="4"/>
  <c r="M84" i="4"/>
  <c r="AP83" i="4"/>
  <c r="AO83" i="4"/>
  <c r="O83" i="4"/>
  <c r="M83" i="4"/>
  <c r="AP82" i="4"/>
  <c r="AO82" i="4"/>
  <c r="O82" i="4"/>
  <c r="M82" i="4"/>
  <c r="AP81" i="4"/>
  <c r="AO81" i="4"/>
  <c r="O81" i="4"/>
  <c r="M81" i="4"/>
  <c r="AP80" i="4"/>
  <c r="AO80" i="4"/>
  <c r="O80" i="4"/>
  <c r="M80" i="4"/>
  <c r="AP79" i="4"/>
  <c r="AO79" i="4"/>
  <c r="O79" i="4"/>
  <c r="M79" i="4"/>
  <c r="AP78" i="4"/>
  <c r="AO78" i="4"/>
  <c r="O78" i="4"/>
  <c r="M78" i="4"/>
  <c r="AP77" i="4"/>
  <c r="AO77" i="4"/>
  <c r="O77" i="4"/>
  <c r="M77" i="4"/>
  <c r="AP76" i="4"/>
  <c r="AO76" i="4"/>
  <c r="O76" i="4"/>
  <c r="M76" i="4"/>
  <c r="AP75" i="4"/>
  <c r="AO75" i="4"/>
  <c r="O75" i="4"/>
  <c r="M75" i="4"/>
  <c r="AP74" i="4"/>
  <c r="AO74" i="4"/>
  <c r="O74" i="4"/>
  <c r="M74" i="4"/>
  <c r="AP73" i="4"/>
  <c r="AO73" i="4"/>
  <c r="O73" i="4"/>
  <c r="M73" i="4"/>
  <c r="AP72" i="4"/>
  <c r="AO72" i="4"/>
  <c r="O72" i="4"/>
  <c r="M72" i="4"/>
  <c r="AP71" i="4"/>
  <c r="AO71" i="4"/>
  <c r="O71" i="4"/>
  <c r="M71" i="4"/>
  <c r="AP70" i="4"/>
  <c r="AO70" i="4"/>
  <c r="O70" i="4"/>
  <c r="M70" i="4"/>
  <c r="AP69" i="4"/>
  <c r="AO69" i="4"/>
  <c r="O69" i="4"/>
  <c r="L69" i="6" s="1"/>
  <c r="M69" i="4"/>
  <c r="AP68" i="4"/>
  <c r="AO68" i="4"/>
  <c r="O68" i="4"/>
  <c r="M68" i="4"/>
  <c r="AP67" i="4"/>
  <c r="AO67" i="4"/>
  <c r="O67" i="4"/>
  <c r="M67" i="4"/>
  <c r="AP66" i="4"/>
  <c r="AO66" i="4"/>
  <c r="O66" i="4"/>
  <c r="M66" i="4"/>
  <c r="AP65" i="4"/>
  <c r="AO65" i="4"/>
  <c r="O65" i="4"/>
  <c r="M65" i="4"/>
  <c r="AP64" i="4"/>
  <c r="AO64" i="4"/>
  <c r="O64" i="4"/>
  <c r="M64" i="4"/>
  <c r="AP63" i="4"/>
  <c r="AO63" i="4"/>
  <c r="O63" i="4"/>
  <c r="M63" i="4"/>
  <c r="AP62" i="4"/>
  <c r="AO62" i="4"/>
  <c r="O62" i="4"/>
  <c r="M62" i="4"/>
  <c r="AP61" i="4"/>
  <c r="AO61" i="4"/>
  <c r="O61" i="4"/>
  <c r="M61" i="4"/>
  <c r="AP60" i="4"/>
  <c r="AO60" i="4"/>
  <c r="O60" i="4"/>
  <c r="M60" i="4"/>
  <c r="AP59" i="4"/>
  <c r="AO59" i="4"/>
  <c r="O59" i="4"/>
  <c r="M59" i="4"/>
  <c r="AP58" i="4"/>
  <c r="AO58" i="4"/>
  <c r="O58" i="4"/>
  <c r="M58" i="4"/>
  <c r="AP57" i="4"/>
  <c r="AO57" i="4"/>
  <c r="O57" i="4"/>
  <c r="M57" i="4"/>
  <c r="AP56" i="4"/>
  <c r="AO56" i="4"/>
  <c r="O56" i="4"/>
  <c r="M56" i="4"/>
  <c r="AP55" i="4"/>
  <c r="AO55" i="4"/>
  <c r="O55" i="4"/>
  <c r="M55" i="4"/>
  <c r="AP54" i="4"/>
  <c r="AO54" i="4"/>
  <c r="O54" i="4"/>
  <c r="M54" i="4"/>
  <c r="AP53" i="4"/>
  <c r="AO53" i="4"/>
  <c r="O53" i="4"/>
  <c r="M53" i="4"/>
  <c r="AP52" i="4"/>
  <c r="AO52" i="4"/>
  <c r="O52" i="4"/>
  <c r="M52" i="4"/>
  <c r="AP51" i="4"/>
  <c r="AO51" i="4"/>
  <c r="O51" i="4"/>
  <c r="M51" i="4"/>
  <c r="AP50" i="4"/>
  <c r="AO50" i="4"/>
  <c r="O50" i="4"/>
  <c r="M50" i="4"/>
  <c r="AP49" i="4"/>
  <c r="AO49" i="4"/>
  <c r="O49" i="4"/>
  <c r="M49" i="4"/>
  <c r="AP48" i="4"/>
  <c r="AO48" i="4"/>
  <c r="O48" i="4"/>
  <c r="M48" i="4"/>
  <c r="AP47" i="4"/>
  <c r="AO47" i="4"/>
  <c r="AJ48" i="2" s="1"/>
  <c r="O47" i="4"/>
  <c r="M47" i="4"/>
  <c r="AP46" i="4"/>
  <c r="AO46" i="4"/>
  <c r="AJ47" i="2" s="1"/>
  <c r="O46" i="4"/>
  <c r="M46" i="4"/>
  <c r="AP45" i="4"/>
  <c r="AO45" i="4"/>
  <c r="AJ46" i="2" s="1"/>
  <c r="O45" i="4"/>
  <c r="M45" i="4"/>
  <c r="AP44" i="4"/>
  <c r="AO44" i="4"/>
  <c r="AJ45" i="2" s="1"/>
  <c r="O44" i="4"/>
  <c r="M44" i="4"/>
  <c r="AP43" i="4"/>
  <c r="AO43" i="4"/>
  <c r="AJ44" i="2" s="1"/>
  <c r="O43" i="4"/>
  <c r="M43" i="4"/>
  <c r="AP42" i="4"/>
  <c r="AO42" i="4"/>
  <c r="AJ43" i="2" s="1"/>
  <c r="O42" i="4"/>
  <c r="M42" i="4"/>
  <c r="AP41" i="4"/>
  <c r="AO41" i="4"/>
  <c r="AJ42" i="2" s="1"/>
  <c r="O41" i="4"/>
  <c r="M41" i="4"/>
  <c r="AP40" i="4"/>
  <c r="AO40" i="4"/>
  <c r="AJ41" i="2" s="1"/>
  <c r="O40" i="4"/>
  <c r="M40" i="4"/>
  <c r="AP39" i="4"/>
  <c r="AO39" i="4"/>
  <c r="AJ40" i="2" s="1"/>
  <c r="O39" i="4"/>
  <c r="M39" i="4"/>
  <c r="AP38" i="4"/>
  <c r="AO38" i="4"/>
  <c r="AJ39" i="2" s="1"/>
  <c r="O38" i="4"/>
  <c r="M38" i="4"/>
  <c r="AP37" i="4"/>
  <c r="AO37" i="4"/>
  <c r="AJ38" i="2" s="1"/>
  <c r="O37" i="4"/>
  <c r="M37" i="4"/>
  <c r="AP36" i="4"/>
  <c r="AO36" i="4"/>
  <c r="AJ37" i="2" s="1"/>
  <c r="O36" i="4"/>
  <c r="M36" i="4"/>
  <c r="AP35" i="4"/>
  <c r="AO35" i="4"/>
  <c r="AJ36" i="2" s="1"/>
  <c r="O35" i="4"/>
  <c r="M35" i="4"/>
  <c r="AP34" i="4"/>
  <c r="AO34" i="4"/>
  <c r="AJ35" i="2" s="1"/>
  <c r="O34" i="4"/>
  <c r="M34" i="4"/>
  <c r="AP33" i="4"/>
  <c r="AO33" i="4"/>
  <c r="AJ34" i="2" s="1"/>
  <c r="O33" i="4"/>
  <c r="M33" i="4"/>
  <c r="AP32" i="4"/>
  <c r="AO32" i="4"/>
  <c r="AJ33" i="2" s="1"/>
  <c r="O32" i="4"/>
  <c r="M32" i="4"/>
  <c r="AP31" i="4"/>
  <c r="AO31" i="4"/>
  <c r="AJ32" i="2" s="1"/>
  <c r="O31" i="4"/>
  <c r="M31" i="4"/>
  <c r="AP30" i="4"/>
  <c r="AI31" i="2" s="1"/>
  <c r="AO30" i="4"/>
  <c r="AJ31" i="2" s="1"/>
  <c r="O30" i="4"/>
  <c r="X31" i="2" s="1"/>
  <c r="M30" i="4"/>
  <c r="AP29" i="4"/>
  <c r="AO29" i="4"/>
  <c r="O29" i="4"/>
  <c r="M29" i="4"/>
  <c r="AP28" i="4"/>
  <c r="AO28" i="4"/>
  <c r="O28" i="4"/>
  <c r="M28" i="4"/>
  <c r="AP27" i="4"/>
  <c r="AO27" i="4"/>
  <c r="O27" i="4"/>
  <c r="M27" i="4"/>
  <c r="AP26" i="4"/>
  <c r="AO26" i="4"/>
  <c r="O26" i="4"/>
  <c r="M26" i="4"/>
  <c r="AP25" i="4"/>
  <c r="AO25" i="4"/>
  <c r="O25" i="4"/>
  <c r="M25" i="4"/>
  <c r="AP24" i="4"/>
  <c r="AO24" i="4"/>
  <c r="O24" i="4"/>
  <c r="M24" i="4"/>
  <c r="AP23" i="4"/>
  <c r="AO23" i="4"/>
  <c r="O23" i="4"/>
  <c r="M23" i="4"/>
  <c r="AP22" i="4"/>
  <c r="AO22" i="4"/>
  <c r="O22" i="4"/>
  <c r="M22" i="4"/>
  <c r="AP21" i="4"/>
  <c r="AO21" i="4"/>
  <c r="O21" i="4"/>
  <c r="M21" i="4"/>
  <c r="AP20" i="4"/>
  <c r="AO20" i="4"/>
  <c r="O20" i="4"/>
  <c r="M20" i="4"/>
  <c r="AP19" i="4"/>
  <c r="AO19" i="4"/>
  <c r="O19" i="4"/>
  <c r="M19" i="4"/>
  <c r="AP18" i="4"/>
  <c r="AO18" i="4"/>
  <c r="O18" i="4"/>
  <c r="M18" i="4"/>
  <c r="AP17" i="4"/>
  <c r="AO17" i="4"/>
  <c r="O17" i="4"/>
  <c r="M17" i="4"/>
  <c r="AP16" i="4"/>
  <c r="AO16" i="4"/>
  <c r="O16" i="4"/>
  <c r="M16" i="4"/>
  <c r="AP15" i="4"/>
  <c r="AO15" i="4"/>
  <c r="O15" i="4"/>
  <c r="M15" i="4"/>
  <c r="AP14" i="4"/>
  <c r="AO14" i="4"/>
  <c r="O14" i="4"/>
  <c r="M14" i="4"/>
  <c r="AP13" i="4"/>
  <c r="AO13" i="4"/>
  <c r="O13" i="4"/>
  <c r="M13" i="4"/>
  <c r="AP12" i="4"/>
  <c r="AO12" i="4"/>
  <c r="O12" i="4"/>
  <c r="M12" i="4"/>
  <c r="AP11" i="4"/>
  <c r="AO11" i="4"/>
  <c r="O11" i="4"/>
  <c r="M11" i="4"/>
  <c r="AP10" i="4"/>
  <c r="U11" i="2" s="1"/>
  <c r="AO10" i="4"/>
  <c r="O10" i="4"/>
  <c r="M10" i="4"/>
  <c r="AP9" i="4"/>
  <c r="AO9" i="4"/>
  <c r="AJ10" i="2" s="1"/>
  <c r="O9" i="4"/>
  <c r="M9" i="4"/>
  <c r="AP8" i="4"/>
  <c r="AO8" i="4"/>
  <c r="AJ9" i="2" s="1"/>
  <c r="O8" i="4"/>
  <c r="M8" i="4"/>
  <c r="AP7" i="4"/>
  <c r="AO7" i="4"/>
  <c r="AJ8" i="2" s="1"/>
  <c r="O7" i="4"/>
  <c r="M7" i="4"/>
  <c r="AP6" i="4"/>
  <c r="AO6" i="4"/>
  <c r="AJ7" i="2" s="1"/>
  <c r="O6" i="4"/>
  <c r="M6" i="4"/>
  <c r="AP5" i="4"/>
  <c r="AO5" i="4"/>
  <c r="AJ6" i="2" s="1"/>
  <c r="O5" i="4"/>
  <c r="M5" i="4"/>
  <c r="AP4" i="4"/>
  <c r="AO4" i="4"/>
  <c r="AJ5" i="2" s="1"/>
  <c r="S4" i="4"/>
  <c r="T4" i="4" s="1"/>
  <c r="O4" i="4"/>
  <c r="M4" i="4"/>
  <c r="AP3" i="4"/>
  <c r="AO3" i="4"/>
  <c r="AJ4" i="2" s="1"/>
  <c r="S3" i="4"/>
  <c r="T3" i="4" s="1"/>
  <c r="O3" i="4"/>
  <c r="M3" i="4"/>
  <c r="B44" i="3"/>
  <c r="B37" i="3"/>
  <c r="B36" i="3"/>
  <c r="B35" i="3"/>
  <c r="B34" i="3"/>
  <c r="B33" i="3"/>
  <c r="B32" i="3"/>
  <c r="B30" i="3"/>
  <c r="B28" i="3"/>
  <c r="D19" i="3"/>
  <c r="AJ177" i="2"/>
  <c r="AI177" i="2"/>
  <c r="AH177" i="2"/>
  <c r="AG177" i="2"/>
  <c r="AF177" i="2"/>
  <c r="AE177" i="2"/>
  <c r="Y177" i="2"/>
  <c r="X177" i="2"/>
  <c r="W177" i="2"/>
  <c r="V177" i="2"/>
  <c r="U177" i="2"/>
  <c r="AA177" i="2" s="1"/>
  <c r="T177" i="2"/>
  <c r="J177" i="2"/>
  <c r="S177" i="2" s="1"/>
  <c r="I177" i="2"/>
  <c r="R177" i="2" s="1"/>
  <c r="G177" i="2"/>
  <c r="F177" i="2"/>
  <c r="AJ176" i="2"/>
  <c r="AI176" i="2"/>
  <c r="AH176" i="2"/>
  <c r="AG176" i="2"/>
  <c r="AF176" i="2"/>
  <c r="AE176" i="2"/>
  <c r="Y176" i="2"/>
  <c r="X176" i="2"/>
  <c r="W176" i="2"/>
  <c r="V176" i="2"/>
  <c r="U176" i="2"/>
  <c r="AA176" i="2" s="1"/>
  <c r="T176" i="2"/>
  <c r="J176" i="2"/>
  <c r="S176" i="2" s="1"/>
  <c r="I176" i="2"/>
  <c r="R176" i="2" s="1"/>
  <c r="G176" i="2"/>
  <c r="F176" i="2"/>
  <c r="AJ175" i="2"/>
  <c r="AI175" i="2"/>
  <c r="AH175" i="2"/>
  <c r="AG175" i="2"/>
  <c r="AF175" i="2"/>
  <c r="AE175" i="2"/>
  <c r="Y175" i="2"/>
  <c r="X175" i="2"/>
  <c r="W175" i="2"/>
  <c r="V175" i="2"/>
  <c r="U175" i="2"/>
  <c r="AA175" i="2" s="1"/>
  <c r="T175" i="2"/>
  <c r="J175" i="2"/>
  <c r="S175" i="2" s="1"/>
  <c r="I175" i="2"/>
  <c r="R175" i="2" s="1"/>
  <c r="G175" i="2"/>
  <c r="F175" i="2"/>
  <c r="AJ174" i="2"/>
  <c r="AI174" i="2"/>
  <c r="AH174" i="2"/>
  <c r="AG174" i="2"/>
  <c r="AF174" i="2"/>
  <c r="AE174" i="2"/>
  <c r="Y174" i="2"/>
  <c r="X174" i="2"/>
  <c r="W174" i="2"/>
  <c r="V174" i="2"/>
  <c r="U174" i="2"/>
  <c r="AA174" i="2" s="1"/>
  <c r="T174" i="2"/>
  <c r="J174" i="2"/>
  <c r="S174" i="2" s="1"/>
  <c r="I174" i="2"/>
  <c r="R174" i="2" s="1"/>
  <c r="G174" i="2"/>
  <c r="F174" i="2"/>
  <c r="AJ173" i="2"/>
  <c r="AI173" i="2"/>
  <c r="AH173" i="2"/>
  <c r="AG173" i="2"/>
  <c r="AF173" i="2"/>
  <c r="AE173" i="2"/>
  <c r="Y173" i="2"/>
  <c r="X173" i="2"/>
  <c r="W173" i="2"/>
  <c r="V173" i="2"/>
  <c r="U173" i="2"/>
  <c r="AA173" i="2" s="1"/>
  <c r="T173" i="2"/>
  <c r="J173" i="2"/>
  <c r="S173" i="2" s="1"/>
  <c r="I173" i="2"/>
  <c r="R173" i="2" s="1"/>
  <c r="G173" i="2"/>
  <c r="F173" i="2"/>
  <c r="AJ172" i="2"/>
  <c r="AI172" i="2"/>
  <c r="AH172" i="2"/>
  <c r="AG172" i="2"/>
  <c r="AF172" i="2"/>
  <c r="AE172" i="2"/>
  <c r="Y172" i="2"/>
  <c r="X172" i="2"/>
  <c r="W172" i="2"/>
  <c r="V172" i="2"/>
  <c r="U172" i="2"/>
  <c r="AA172" i="2" s="1"/>
  <c r="T172" i="2"/>
  <c r="J172" i="2"/>
  <c r="S172" i="2" s="1"/>
  <c r="I172" i="2"/>
  <c r="R172" i="2" s="1"/>
  <c r="G172" i="2"/>
  <c r="F172" i="2"/>
  <c r="AJ171" i="2"/>
  <c r="AI171" i="2"/>
  <c r="AH171" i="2"/>
  <c r="AG171" i="2"/>
  <c r="AF171" i="2"/>
  <c r="AE171" i="2"/>
  <c r="Y171" i="2"/>
  <c r="X171" i="2"/>
  <c r="W171" i="2"/>
  <c r="V171" i="2"/>
  <c r="U171" i="2"/>
  <c r="AA171" i="2" s="1"/>
  <c r="T171" i="2"/>
  <c r="J171" i="2"/>
  <c r="S171" i="2" s="1"/>
  <c r="I171" i="2"/>
  <c r="R171" i="2" s="1"/>
  <c r="G171" i="2"/>
  <c r="F171" i="2"/>
  <c r="AJ170" i="2"/>
  <c r="AI170" i="2"/>
  <c r="AH170" i="2"/>
  <c r="AG170" i="2"/>
  <c r="AF170" i="2"/>
  <c r="AE170" i="2"/>
  <c r="Y170" i="2"/>
  <c r="X170" i="2"/>
  <c r="W170" i="2"/>
  <c r="V170" i="2"/>
  <c r="U170" i="2"/>
  <c r="AA170" i="2" s="1"/>
  <c r="T170" i="2"/>
  <c r="J170" i="2"/>
  <c r="S170" i="2" s="1"/>
  <c r="I170" i="2"/>
  <c r="R170" i="2" s="1"/>
  <c r="G170" i="2"/>
  <c r="F170" i="2"/>
  <c r="AJ169" i="2"/>
  <c r="AI169" i="2"/>
  <c r="AH169" i="2"/>
  <c r="AG169" i="2"/>
  <c r="AF169" i="2"/>
  <c r="AE169" i="2"/>
  <c r="Y169" i="2"/>
  <c r="X169" i="2"/>
  <c r="W169" i="2"/>
  <c r="V169" i="2"/>
  <c r="U169" i="2"/>
  <c r="AA169" i="2" s="1"/>
  <c r="T169" i="2"/>
  <c r="J169" i="2"/>
  <c r="S169" i="2" s="1"/>
  <c r="I169" i="2"/>
  <c r="R169" i="2" s="1"/>
  <c r="G169" i="2"/>
  <c r="F169" i="2"/>
  <c r="AJ168" i="2"/>
  <c r="AI168" i="2"/>
  <c r="AH168" i="2"/>
  <c r="AG168" i="2"/>
  <c r="AF168" i="2"/>
  <c r="AE168" i="2"/>
  <c r="Y168" i="2"/>
  <c r="X168" i="2"/>
  <c r="W168" i="2"/>
  <c r="V168" i="2"/>
  <c r="U168" i="2"/>
  <c r="AA168" i="2" s="1"/>
  <c r="T168" i="2"/>
  <c r="J168" i="2"/>
  <c r="S168" i="2" s="1"/>
  <c r="I168" i="2"/>
  <c r="R168" i="2" s="1"/>
  <c r="G168" i="2"/>
  <c r="F168" i="2"/>
  <c r="AJ167" i="2"/>
  <c r="AI167" i="2"/>
  <c r="AH167" i="2"/>
  <c r="AG167" i="2"/>
  <c r="AF167" i="2"/>
  <c r="AE167" i="2"/>
  <c r="Y167" i="2"/>
  <c r="X167" i="2"/>
  <c r="W167" i="2"/>
  <c r="V167" i="2"/>
  <c r="U167" i="2"/>
  <c r="AA167" i="2" s="1"/>
  <c r="T167" i="2"/>
  <c r="J167" i="2"/>
  <c r="S167" i="2" s="1"/>
  <c r="I167" i="2"/>
  <c r="R167" i="2" s="1"/>
  <c r="G167" i="2"/>
  <c r="F167" i="2"/>
  <c r="AJ166" i="2"/>
  <c r="AI166" i="2"/>
  <c r="AH166" i="2"/>
  <c r="AG166" i="2"/>
  <c r="AF166" i="2"/>
  <c r="AE166" i="2"/>
  <c r="Y166" i="2"/>
  <c r="X166" i="2"/>
  <c r="W166" i="2"/>
  <c r="V166" i="2"/>
  <c r="U166" i="2"/>
  <c r="AA166" i="2" s="1"/>
  <c r="T166" i="2"/>
  <c r="J166" i="2"/>
  <c r="S166" i="2" s="1"/>
  <c r="I166" i="2"/>
  <c r="R166" i="2" s="1"/>
  <c r="G166" i="2"/>
  <c r="F166" i="2"/>
  <c r="AJ165" i="2"/>
  <c r="AI165" i="2"/>
  <c r="AH165" i="2"/>
  <c r="AG165" i="2"/>
  <c r="AF165" i="2"/>
  <c r="AE165" i="2"/>
  <c r="Y165" i="2"/>
  <c r="X165" i="2"/>
  <c r="W165" i="2"/>
  <c r="V165" i="2"/>
  <c r="U165" i="2"/>
  <c r="AA165" i="2" s="1"/>
  <c r="T165" i="2"/>
  <c r="J165" i="2"/>
  <c r="S165" i="2" s="1"/>
  <c r="I165" i="2"/>
  <c r="R165" i="2" s="1"/>
  <c r="G165" i="2"/>
  <c r="F165" i="2"/>
  <c r="AJ164" i="2"/>
  <c r="AI164" i="2"/>
  <c r="AH164" i="2"/>
  <c r="AG164" i="2"/>
  <c r="AF164" i="2"/>
  <c r="AE164" i="2"/>
  <c r="Y164" i="2"/>
  <c r="X164" i="2"/>
  <c r="W164" i="2"/>
  <c r="V164" i="2"/>
  <c r="U164" i="2"/>
  <c r="AA164" i="2" s="1"/>
  <c r="T164" i="2"/>
  <c r="J164" i="2"/>
  <c r="S164" i="2" s="1"/>
  <c r="I164" i="2"/>
  <c r="R164" i="2" s="1"/>
  <c r="G164" i="2"/>
  <c r="F164" i="2"/>
  <c r="AJ163" i="2"/>
  <c r="AI163" i="2"/>
  <c r="AH163" i="2"/>
  <c r="AG163" i="2"/>
  <c r="AF163" i="2"/>
  <c r="AE163" i="2"/>
  <c r="Y163" i="2"/>
  <c r="X163" i="2"/>
  <c r="W163" i="2"/>
  <c r="V163" i="2"/>
  <c r="U163" i="2"/>
  <c r="AA163" i="2" s="1"/>
  <c r="T163" i="2"/>
  <c r="J163" i="2"/>
  <c r="S163" i="2" s="1"/>
  <c r="I163" i="2"/>
  <c r="R163" i="2" s="1"/>
  <c r="G163" i="2"/>
  <c r="F163" i="2"/>
  <c r="AJ162" i="2"/>
  <c r="AI162" i="2"/>
  <c r="AH162" i="2"/>
  <c r="AG162" i="2"/>
  <c r="AF162" i="2"/>
  <c r="AE162" i="2"/>
  <c r="Y162" i="2"/>
  <c r="X162" i="2"/>
  <c r="W162" i="2"/>
  <c r="V162" i="2"/>
  <c r="U162" i="2"/>
  <c r="AA162" i="2" s="1"/>
  <c r="T162" i="2"/>
  <c r="J162" i="2"/>
  <c r="S162" i="2" s="1"/>
  <c r="I162" i="2"/>
  <c r="R162" i="2" s="1"/>
  <c r="G162" i="2"/>
  <c r="F162" i="2"/>
  <c r="AH161" i="2"/>
  <c r="AG161" i="2"/>
  <c r="AF161" i="2"/>
  <c r="AE161" i="2"/>
  <c r="Y161" i="2"/>
  <c r="W161" i="2"/>
  <c r="V161" i="2"/>
  <c r="J161" i="2"/>
  <c r="S161" i="2" s="1"/>
  <c r="I161" i="2"/>
  <c r="R161" i="2" s="1"/>
  <c r="G161" i="2"/>
  <c r="F161" i="2"/>
  <c r="AH160" i="2"/>
  <c r="AG160" i="2"/>
  <c r="AF160" i="2"/>
  <c r="AE160" i="2"/>
  <c r="Y160" i="2"/>
  <c r="W160" i="2"/>
  <c r="V160" i="2"/>
  <c r="J160" i="2"/>
  <c r="S160" i="2" s="1"/>
  <c r="I160" i="2"/>
  <c r="R160" i="2" s="1"/>
  <c r="G160" i="2"/>
  <c r="F160" i="2"/>
  <c r="AH159" i="2"/>
  <c r="AG159" i="2"/>
  <c r="AF159" i="2"/>
  <c r="AE159" i="2"/>
  <c r="Y159" i="2"/>
  <c r="W159" i="2"/>
  <c r="V159" i="2"/>
  <c r="J159" i="2"/>
  <c r="S159" i="2" s="1"/>
  <c r="I159" i="2"/>
  <c r="R159" i="2" s="1"/>
  <c r="G159" i="2"/>
  <c r="F159" i="2"/>
  <c r="AH158" i="2"/>
  <c r="AG158" i="2"/>
  <c r="AF158" i="2"/>
  <c r="AE158" i="2"/>
  <c r="Y158" i="2"/>
  <c r="W158" i="2"/>
  <c r="V158" i="2"/>
  <c r="J158" i="2"/>
  <c r="S158" i="2" s="1"/>
  <c r="I158" i="2"/>
  <c r="R158" i="2" s="1"/>
  <c r="G158" i="2"/>
  <c r="F158" i="2"/>
  <c r="AH157" i="2"/>
  <c r="AG157" i="2"/>
  <c r="AF157" i="2"/>
  <c r="AE157" i="2"/>
  <c r="Y157" i="2"/>
  <c r="W157" i="2"/>
  <c r="V157" i="2"/>
  <c r="J157" i="2"/>
  <c r="S157" i="2" s="1"/>
  <c r="I157" i="2"/>
  <c r="R157" i="2" s="1"/>
  <c r="G157" i="2"/>
  <c r="F157" i="2"/>
  <c r="AH156" i="2"/>
  <c r="AG156" i="2"/>
  <c r="AF156" i="2"/>
  <c r="AE156" i="2"/>
  <c r="Y156" i="2"/>
  <c r="W156" i="2"/>
  <c r="V156" i="2"/>
  <c r="J156" i="2"/>
  <c r="S156" i="2" s="1"/>
  <c r="I156" i="2"/>
  <c r="R156" i="2" s="1"/>
  <c r="G156" i="2"/>
  <c r="F156" i="2"/>
  <c r="AH155" i="2"/>
  <c r="AG155" i="2"/>
  <c r="AF155" i="2"/>
  <c r="AE155" i="2"/>
  <c r="Y155" i="2"/>
  <c r="W155" i="2"/>
  <c r="V155" i="2"/>
  <c r="J155" i="2"/>
  <c r="S155" i="2" s="1"/>
  <c r="I155" i="2"/>
  <c r="R155" i="2" s="1"/>
  <c r="G155" i="2"/>
  <c r="F155" i="2"/>
  <c r="AH154" i="2"/>
  <c r="AG154" i="2"/>
  <c r="AF154" i="2"/>
  <c r="AE154" i="2"/>
  <c r="Y154" i="2"/>
  <c r="W154" i="2"/>
  <c r="V154" i="2"/>
  <c r="J154" i="2"/>
  <c r="S154" i="2" s="1"/>
  <c r="I154" i="2"/>
  <c r="R154" i="2" s="1"/>
  <c r="G154" i="2"/>
  <c r="F154" i="2"/>
  <c r="AH153" i="2"/>
  <c r="AG153" i="2"/>
  <c r="AF153" i="2"/>
  <c r="AE153" i="2"/>
  <c r="Y153" i="2"/>
  <c r="W153" i="2"/>
  <c r="V153" i="2"/>
  <c r="J153" i="2"/>
  <c r="S153" i="2" s="1"/>
  <c r="I153" i="2"/>
  <c r="R153" i="2" s="1"/>
  <c r="G153" i="2"/>
  <c r="F153" i="2"/>
  <c r="AH152" i="2"/>
  <c r="AG152" i="2"/>
  <c r="AF152" i="2"/>
  <c r="AE152" i="2"/>
  <c r="Y152" i="2"/>
  <c r="W152" i="2"/>
  <c r="V152" i="2"/>
  <c r="J152" i="2"/>
  <c r="S152" i="2" s="1"/>
  <c r="I152" i="2"/>
  <c r="R152" i="2" s="1"/>
  <c r="G152" i="2"/>
  <c r="F152" i="2"/>
  <c r="AH151" i="2"/>
  <c r="AG151" i="2"/>
  <c r="AF151" i="2"/>
  <c r="AE151" i="2"/>
  <c r="Y151" i="2"/>
  <c r="W151" i="2"/>
  <c r="V151" i="2"/>
  <c r="J151" i="2"/>
  <c r="S151" i="2" s="1"/>
  <c r="I151" i="2"/>
  <c r="R151" i="2" s="1"/>
  <c r="G151" i="2"/>
  <c r="F151" i="2"/>
  <c r="AH150" i="2"/>
  <c r="AG150" i="2"/>
  <c r="AF150" i="2"/>
  <c r="AE150" i="2"/>
  <c r="Y150" i="2"/>
  <c r="W150" i="2"/>
  <c r="V150" i="2"/>
  <c r="J150" i="2"/>
  <c r="S150" i="2" s="1"/>
  <c r="I150" i="2"/>
  <c r="R150" i="2" s="1"/>
  <c r="G150" i="2"/>
  <c r="F150" i="2"/>
  <c r="AH149" i="2"/>
  <c r="AG149" i="2"/>
  <c r="AF149" i="2"/>
  <c r="AE149" i="2"/>
  <c r="Y149" i="2"/>
  <c r="W149" i="2"/>
  <c r="V149" i="2"/>
  <c r="J149" i="2"/>
  <c r="S149" i="2" s="1"/>
  <c r="I149" i="2"/>
  <c r="R149" i="2" s="1"/>
  <c r="G149" i="2"/>
  <c r="F149" i="2"/>
  <c r="AH148" i="2"/>
  <c r="AG148" i="2"/>
  <c r="AF148" i="2"/>
  <c r="AE148" i="2"/>
  <c r="Y148" i="2"/>
  <c r="W148" i="2"/>
  <c r="V148" i="2"/>
  <c r="J148" i="2"/>
  <c r="S148" i="2" s="1"/>
  <c r="I148" i="2"/>
  <c r="R148" i="2" s="1"/>
  <c r="G148" i="2"/>
  <c r="F148" i="2"/>
  <c r="AH147" i="2"/>
  <c r="AG147" i="2"/>
  <c r="AF147" i="2"/>
  <c r="AE147" i="2"/>
  <c r="Y147" i="2"/>
  <c r="W147" i="2"/>
  <c r="V147" i="2"/>
  <c r="J147" i="2"/>
  <c r="S147" i="2" s="1"/>
  <c r="I147" i="2"/>
  <c r="R147" i="2" s="1"/>
  <c r="G147" i="2"/>
  <c r="F147" i="2"/>
  <c r="AH146" i="2"/>
  <c r="AG146" i="2"/>
  <c r="AF146" i="2"/>
  <c r="AE146" i="2"/>
  <c r="Y146" i="2"/>
  <c r="W146" i="2"/>
  <c r="V146" i="2"/>
  <c r="J146" i="2"/>
  <c r="S146" i="2" s="1"/>
  <c r="I146" i="2"/>
  <c r="R146" i="2" s="1"/>
  <c r="G146" i="2"/>
  <c r="F146" i="2"/>
  <c r="AH145" i="2"/>
  <c r="AG145" i="2"/>
  <c r="AF145" i="2"/>
  <c r="AE145" i="2"/>
  <c r="Y145" i="2"/>
  <c r="W145" i="2"/>
  <c r="V145" i="2"/>
  <c r="J145" i="2"/>
  <c r="S145" i="2" s="1"/>
  <c r="I145" i="2"/>
  <c r="R145" i="2" s="1"/>
  <c r="G145" i="2"/>
  <c r="F145" i="2"/>
  <c r="AH144" i="2"/>
  <c r="AG144" i="2"/>
  <c r="AF144" i="2"/>
  <c r="AE144" i="2"/>
  <c r="Y144" i="2"/>
  <c r="W144" i="2"/>
  <c r="V144" i="2"/>
  <c r="J144" i="2"/>
  <c r="S144" i="2" s="1"/>
  <c r="I144" i="2"/>
  <c r="R144" i="2" s="1"/>
  <c r="G144" i="2"/>
  <c r="F144" i="2"/>
  <c r="AH143" i="2"/>
  <c r="AG143" i="2"/>
  <c r="AF143" i="2"/>
  <c r="AE143" i="2"/>
  <c r="Y143" i="2"/>
  <c r="W143" i="2"/>
  <c r="V143" i="2"/>
  <c r="J143" i="2"/>
  <c r="S143" i="2" s="1"/>
  <c r="I143" i="2"/>
  <c r="R143" i="2" s="1"/>
  <c r="G143" i="2"/>
  <c r="F143" i="2"/>
  <c r="AH142" i="2"/>
  <c r="AG142" i="2"/>
  <c r="AF142" i="2"/>
  <c r="AE142" i="2"/>
  <c r="Y142" i="2"/>
  <c r="W142" i="2"/>
  <c r="V142" i="2"/>
  <c r="J142" i="2"/>
  <c r="S142" i="2" s="1"/>
  <c r="I142" i="2"/>
  <c r="R142" i="2" s="1"/>
  <c r="G142" i="2"/>
  <c r="F142" i="2"/>
  <c r="AH141" i="2"/>
  <c r="AG141" i="2"/>
  <c r="AF141" i="2"/>
  <c r="AE141" i="2"/>
  <c r="Y141" i="2"/>
  <c r="W141" i="2"/>
  <c r="V141" i="2"/>
  <c r="J141" i="2"/>
  <c r="S141" i="2" s="1"/>
  <c r="I141" i="2"/>
  <c r="R141" i="2" s="1"/>
  <c r="G141" i="2"/>
  <c r="F141" i="2"/>
  <c r="AH140" i="2"/>
  <c r="AG140" i="2"/>
  <c r="AF140" i="2"/>
  <c r="AE140" i="2"/>
  <c r="Y140" i="2"/>
  <c r="W140" i="2"/>
  <c r="V140" i="2"/>
  <c r="J140" i="2"/>
  <c r="S140" i="2" s="1"/>
  <c r="I140" i="2"/>
  <c r="R140" i="2" s="1"/>
  <c r="G140" i="2"/>
  <c r="F140" i="2"/>
  <c r="AH139" i="2"/>
  <c r="AG139" i="2"/>
  <c r="AF139" i="2"/>
  <c r="AE139" i="2"/>
  <c r="Y139" i="2"/>
  <c r="W139" i="2"/>
  <c r="V139" i="2"/>
  <c r="J139" i="2"/>
  <c r="S139" i="2" s="1"/>
  <c r="I139" i="2"/>
  <c r="R139" i="2" s="1"/>
  <c r="G139" i="2"/>
  <c r="F139" i="2"/>
  <c r="AH138" i="2"/>
  <c r="AG138" i="2"/>
  <c r="AF138" i="2"/>
  <c r="AE138" i="2"/>
  <c r="Y138" i="2"/>
  <c r="W138" i="2"/>
  <c r="V138" i="2"/>
  <c r="J138" i="2"/>
  <c r="S138" i="2" s="1"/>
  <c r="I138" i="2"/>
  <c r="R138" i="2" s="1"/>
  <c r="G138" i="2"/>
  <c r="F138" i="2"/>
  <c r="AH137" i="2"/>
  <c r="AG137" i="2"/>
  <c r="AF137" i="2"/>
  <c r="AE137" i="2"/>
  <c r="Y137" i="2"/>
  <c r="W137" i="2"/>
  <c r="V137" i="2"/>
  <c r="J137" i="2"/>
  <c r="S137" i="2" s="1"/>
  <c r="I137" i="2"/>
  <c r="R137" i="2" s="1"/>
  <c r="G137" i="2"/>
  <c r="F137" i="2"/>
  <c r="AH136" i="2"/>
  <c r="AG136" i="2"/>
  <c r="AF136" i="2"/>
  <c r="AE136" i="2"/>
  <c r="Y136" i="2"/>
  <c r="W136" i="2"/>
  <c r="V136" i="2"/>
  <c r="J136" i="2"/>
  <c r="S136" i="2" s="1"/>
  <c r="I136" i="2"/>
  <c r="R136" i="2" s="1"/>
  <c r="G136" i="2"/>
  <c r="F136" i="2"/>
  <c r="AH135" i="2"/>
  <c r="AG135" i="2"/>
  <c r="AF135" i="2"/>
  <c r="AE135" i="2"/>
  <c r="Y135" i="2"/>
  <c r="W135" i="2"/>
  <c r="V135" i="2"/>
  <c r="J135" i="2"/>
  <c r="S135" i="2" s="1"/>
  <c r="I135" i="2"/>
  <c r="R135" i="2" s="1"/>
  <c r="G135" i="2"/>
  <c r="F135" i="2"/>
  <c r="AH134" i="2"/>
  <c r="AG134" i="2"/>
  <c r="AF134" i="2"/>
  <c r="AE134" i="2"/>
  <c r="Y134" i="2"/>
  <c r="W134" i="2"/>
  <c r="V134" i="2"/>
  <c r="J134" i="2"/>
  <c r="S134" i="2" s="1"/>
  <c r="I134" i="2"/>
  <c r="R134" i="2" s="1"/>
  <c r="G134" i="2"/>
  <c r="F134" i="2"/>
  <c r="AH133" i="2"/>
  <c r="AG133" i="2"/>
  <c r="AF133" i="2"/>
  <c r="AE133" i="2"/>
  <c r="Y133" i="2"/>
  <c r="W133" i="2"/>
  <c r="V133" i="2"/>
  <c r="J133" i="2"/>
  <c r="S133" i="2" s="1"/>
  <c r="I133" i="2"/>
  <c r="R133" i="2" s="1"/>
  <c r="G133" i="2"/>
  <c r="F133" i="2"/>
  <c r="AH132" i="2"/>
  <c r="AG132" i="2"/>
  <c r="AF132" i="2"/>
  <c r="AE132" i="2"/>
  <c r="Y132" i="2"/>
  <c r="W132" i="2"/>
  <c r="V132" i="2"/>
  <c r="J132" i="2"/>
  <c r="S132" i="2" s="1"/>
  <c r="I132" i="2"/>
  <c r="R132" i="2" s="1"/>
  <c r="G132" i="2"/>
  <c r="F132" i="2"/>
  <c r="AH131" i="2"/>
  <c r="AG131" i="2"/>
  <c r="AF131" i="2"/>
  <c r="AE131" i="2"/>
  <c r="Y131" i="2"/>
  <c r="W131" i="2"/>
  <c r="V131" i="2"/>
  <c r="J131" i="2"/>
  <c r="S131" i="2" s="1"/>
  <c r="I131" i="2"/>
  <c r="R131" i="2" s="1"/>
  <c r="G131" i="2"/>
  <c r="F131" i="2"/>
  <c r="AH130" i="2"/>
  <c r="AG130" i="2"/>
  <c r="AF130" i="2"/>
  <c r="AE130" i="2"/>
  <c r="Y130" i="2"/>
  <c r="W130" i="2"/>
  <c r="V130" i="2"/>
  <c r="J130" i="2"/>
  <c r="S130" i="2" s="1"/>
  <c r="I130" i="2"/>
  <c r="R130" i="2" s="1"/>
  <c r="G130" i="2"/>
  <c r="F130" i="2"/>
  <c r="AH129" i="2"/>
  <c r="AG129" i="2"/>
  <c r="AF129" i="2"/>
  <c r="AE129" i="2"/>
  <c r="Y129" i="2"/>
  <c r="W129" i="2"/>
  <c r="V129" i="2"/>
  <c r="J129" i="2"/>
  <c r="S129" i="2" s="1"/>
  <c r="I129" i="2"/>
  <c r="R129" i="2" s="1"/>
  <c r="G129" i="2"/>
  <c r="F129" i="2"/>
  <c r="AH128" i="2"/>
  <c r="AG128" i="2"/>
  <c r="AF128" i="2"/>
  <c r="AE128" i="2"/>
  <c r="Y128" i="2"/>
  <c r="W128" i="2"/>
  <c r="V128" i="2"/>
  <c r="J128" i="2"/>
  <c r="S128" i="2" s="1"/>
  <c r="I128" i="2"/>
  <c r="R128" i="2" s="1"/>
  <c r="G128" i="2"/>
  <c r="F128" i="2"/>
  <c r="AH127" i="2"/>
  <c r="AG127" i="2"/>
  <c r="AF127" i="2"/>
  <c r="AE127" i="2"/>
  <c r="Y127" i="2"/>
  <c r="W127" i="2"/>
  <c r="V127" i="2"/>
  <c r="J127" i="2"/>
  <c r="S127" i="2" s="1"/>
  <c r="I127" i="2"/>
  <c r="R127" i="2" s="1"/>
  <c r="G127" i="2"/>
  <c r="F127" i="2"/>
  <c r="AH126" i="2"/>
  <c r="AG126" i="2"/>
  <c r="AF126" i="2"/>
  <c r="AE126" i="2"/>
  <c r="Y126" i="2"/>
  <c r="W126" i="2"/>
  <c r="V126" i="2"/>
  <c r="J126" i="2"/>
  <c r="S126" i="2" s="1"/>
  <c r="I126" i="2"/>
  <c r="R126" i="2" s="1"/>
  <c r="G126" i="2"/>
  <c r="F126" i="2"/>
  <c r="AH125" i="2"/>
  <c r="AG125" i="2"/>
  <c r="AF125" i="2"/>
  <c r="AE125" i="2"/>
  <c r="Y125" i="2"/>
  <c r="W125" i="2"/>
  <c r="V125" i="2"/>
  <c r="J125" i="2"/>
  <c r="S125" i="2" s="1"/>
  <c r="I125" i="2"/>
  <c r="R125" i="2" s="1"/>
  <c r="G125" i="2"/>
  <c r="F125" i="2"/>
  <c r="AK124" i="2"/>
  <c r="AH124" i="2"/>
  <c r="AG124" i="2"/>
  <c r="AF124" i="2"/>
  <c r="AE124" i="2"/>
  <c r="AD124" i="2"/>
  <c r="Y124" i="2"/>
  <c r="W124" i="2"/>
  <c r="V124" i="2"/>
  <c r="J124" i="2"/>
  <c r="S124" i="2" s="1"/>
  <c r="I124" i="2"/>
  <c r="R124" i="2" s="1"/>
  <c r="G124" i="2"/>
  <c r="Q124" i="2" s="1"/>
  <c r="F124" i="2"/>
  <c r="P124" i="2" s="1"/>
  <c r="AH123" i="2"/>
  <c r="AG123" i="2"/>
  <c r="AF123" i="2"/>
  <c r="AE123" i="2"/>
  <c r="Y123" i="2"/>
  <c r="W123" i="2"/>
  <c r="V123" i="2"/>
  <c r="J123" i="2"/>
  <c r="S123" i="2" s="1"/>
  <c r="I123" i="2"/>
  <c r="R123" i="2" s="1"/>
  <c r="G123" i="2"/>
  <c r="F123" i="2"/>
  <c r="AH122" i="2"/>
  <c r="AG122" i="2"/>
  <c r="AF122" i="2"/>
  <c r="AE122" i="2"/>
  <c r="Y122" i="2"/>
  <c r="W122" i="2"/>
  <c r="V122" i="2"/>
  <c r="J122" i="2"/>
  <c r="S122" i="2" s="1"/>
  <c r="I122" i="2"/>
  <c r="R122" i="2" s="1"/>
  <c r="G122" i="2"/>
  <c r="F122" i="2"/>
  <c r="AH121" i="2"/>
  <c r="AG121" i="2"/>
  <c r="AF121" i="2"/>
  <c r="AE121" i="2"/>
  <c r="Y121" i="2"/>
  <c r="W121" i="2"/>
  <c r="V121" i="2"/>
  <c r="J121" i="2"/>
  <c r="S121" i="2" s="1"/>
  <c r="I121" i="2"/>
  <c r="R121" i="2" s="1"/>
  <c r="G121" i="2"/>
  <c r="F121" i="2"/>
  <c r="AH120" i="2"/>
  <c r="AG120" i="2"/>
  <c r="AF120" i="2"/>
  <c r="AE120" i="2"/>
  <c r="Y120" i="2"/>
  <c r="W120" i="2"/>
  <c r="V120" i="2"/>
  <c r="J120" i="2"/>
  <c r="S120" i="2" s="1"/>
  <c r="I120" i="2"/>
  <c r="R120" i="2" s="1"/>
  <c r="G120" i="2"/>
  <c r="F120" i="2"/>
  <c r="AH119" i="2"/>
  <c r="AG119" i="2"/>
  <c r="AF119" i="2"/>
  <c r="AE119" i="2"/>
  <c r="Y119" i="2"/>
  <c r="W119" i="2"/>
  <c r="V119" i="2"/>
  <c r="J119" i="2"/>
  <c r="S119" i="2" s="1"/>
  <c r="I119" i="2"/>
  <c r="R119" i="2" s="1"/>
  <c r="G119" i="2"/>
  <c r="F119" i="2"/>
  <c r="AH118" i="2"/>
  <c r="AG118" i="2"/>
  <c r="AF118" i="2"/>
  <c r="AE118" i="2"/>
  <c r="Y118" i="2"/>
  <c r="W118" i="2"/>
  <c r="V118" i="2"/>
  <c r="J118" i="2"/>
  <c r="S118" i="2" s="1"/>
  <c r="I118" i="2"/>
  <c r="R118" i="2" s="1"/>
  <c r="G118" i="2"/>
  <c r="F118" i="2"/>
  <c r="AH117" i="2"/>
  <c r="AG117" i="2"/>
  <c r="AF117" i="2"/>
  <c r="AE117" i="2"/>
  <c r="Y117" i="2"/>
  <c r="W117" i="2"/>
  <c r="V117" i="2"/>
  <c r="J117" i="2"/>
  <c r="S117" i="2" s="1"/>
  <c r="I117" i="2"/>
  <c r="R117" i="2" s="1"/>
  <c r="G117" i="2"/>
  <c r="F117" i="2"/>
  <c r="AH116" i="2"/>
  <c r="AG116" i="2"/>
  <c r="AF116" i="2"/>
  <c r="AE116" i="2"/>
  <c r="Y116" i="2"/>
  <c r="W116" i="2"/>
  <c r="V116" i="2"/>
  <c r="J116" i="2"/>
  <c r="S116" i="2" s="1"/>
  <c r="I116" i="2"/>
  <c r="R116" i="2" s="1"/>
  <c r="G116" i="2"/>
  <c r="F116" i="2"/>
  <c r="AH115" i="2"/>
  <c r="AG115" i="2"/>
  <c r="AF115" i="2"/>
  <c r="AE115" i="2"/>
  <c r="Y115" i="2"/>
  <c r="W115" i="2"/>
  <c r="V115" i="2"/>
  <c r="J115" i="2"/>
  <c r="S115" i="2" s="1"/>
  <c r="I115" i="2"/>
  <c r="R115" i="2" s="1"/>
  <c r="G115" i="2"/>
  <c r="F115" i="2"/>
  <c r="AH114" i="2"/>
  <c r="AG114" i="2"/>
  <c r="AF114" i="2"/>
  <c r="AE114" i="2"/>
  <c r="Y114" i="2"/>
  <c r="W114" i="2"/>
  <c r="V114" i="2"/>
  <c r="J114" i="2"/>
  <c r="S114" i="2" s="1"/>
  <c r="I114" i="2"/>
  <c r="R114" i="2" s="1"/>
  <c r="G114" i="2"/>
  <c r="F114" i="2"/>
  <c r="AH113" i="2"/>
  <c r="AG113" i="2"/>
  <c r="AF113" i="2"/>
  <c r="AE113" i="2"/>
  <c r="Y113" i="2"/>
  <c r="W113" i="2"/>
  <c r="V113" i="2"/>
  <c r="J113" i="2"/>
  <c r="S113" i="2" s="1"/>
  <c r="I113" i="2"/>
  <c r="R113" i="2" s="1"/>
  <c r="G113" i="2"/>
  <c r="F113" i="2"/>
  <c r="AH112" i="2"/>
  <c r="AG112" i="2"/>
  <c r="AF112" i="2"/>
  <c r="AE112" i="2"/>
  <c r="Y112" i="2"/>
  <c r="W112" i="2"/>
  <c r="V112" i="2"/>
  <c r="J112" i="2"/>
  <c r="S112" i="2" s="1"/>
  <c r="I112" i="2"/>
  <c r="R112" i="2" s="1"/>
  <c r="G112" i="2"/>
  <c r="F112" i="2"/>
  <c r="AH111" i="2"/>
  <c r="AG111" i="2"/>
  <c r="AF111" i="2"/>
  <c r="AE111" i="2"/>
  <c r="Y111" i="2"/>
  <c r="W111" i="2"/>
  <c r="V111" i="2"/>
  <c r="J111" i="2"/>
  <c r="S111" i="2" s="1"/>
  <c r="I111" i="2"/>
  <c r="R111" i="2" s="1"/>
  <c r="G111" i="2"/>
  <c r="F111" i="2"/>
  <c r="AH110" i="2"/>
  <c r="AG110" i="2"/>
  <c r="AF110" i="2"/>
  <c r="AE110" i="2"/>
  <c r="Y110" i="2"/>
  <c r="W110" i="2"/>
  <c r="V110" i="2"/>
  <c r="J110" i="2"/>
  <c r="S110" i="2" s="1"/>
  <c r="I110" i="2"/>
  <c r="R110" i="2" s="1"/>
  <c r="G110" i="2"/>
  <c r="F110" i="2"/>
  <c r="AH109" i="2"/>
  <c r="AG109" i="2"/>
  <c r="AF109" i="2"/>
  <c r="AE109" i="2"/>
  <c r="Y109" i="2"/>
  <c r="W109" i="2"/>
  <c r="V109" i="2"/>
  <c r="J109" i="2"/>
  <c r="S109" i="2" s="1"/>
  <c r="I109" i="2"/>
  <c r="R109" i="2" s="1"/>
  <c r="G109" i="2"/>
  <c r="F109" i="2"/>
  <c r="AH108" i="2"/>
  <c r="AG108" i="2"/>
  <c r="AF108" i="2"/>
  <c r="AE108" i="2"/>
  <c r="Y108" i="2"/>
  <c r="W108" i="2"/>
  <c r="V108" i="2"/>
  <c r="J108" i="2"/>
  <c r="S108" i="2" s="1"/>
  <c r="I108" i="2"/>
  <c r="R108" i="2" s="1"/>
  <c r="G108" i="2"/>
  <c r="F108" i="2"/>
  <c r="AH107" i="2"/>
  <c r="AG107" i="2"/>
  <c r="AF107" i="2"/>
  <c r="AE107" i="2"/>
  <c r="Y107" i="2"/>
  <c r="W107" i="2"/>
  <c r="V107" i="2"/>
  <c r="J107" i="2"/>
  <c r="S107" i="2" s="1"/>
  <c r="I107" i="2"/>
  <c r="R107" i="2" s="1"/>
  <c r="G107" i="2"/>
  <c r="F107" i="2"/>
  <c r="AH106" i="2"/>
  <c r="AG106" i="2"/>
  <c r="AF106" i="2"/>
  <c r="AE106" i="2"/>
  <c r="Y106" i="2"/>
  <c r="W106" i="2"/>
  <c r="V106" i="2"/>
  <c r="J106" i="2"/>
  <c r="S106" i="2" s="1"/>
  <c r="I106" i="2"/>
  <c r="R106" i="2" s="1"/>
  <c r="G106" i="2"/>
  <c r="F106" i="2"/>
  <c r="AH105" i="2"/>
  <c r="AG105" i="2"/>
  <c r="AF105" i="2"/>
  <c r="AE105" i="2"/>
  <c r="Y105" i="2"/>
  <c r="W105" i="2"/>
  <c r="V105" i="2"/>
  <c r="J105" i="2"/>
  <c r="S105" i="2" s="1"/>
  <c r="I105" i="2"/>
  <c r="R105" i="2" s="1"/>
  <c r="G105" i="2"/>
  <c r="F105" i="2"/>
  <c r="AH104" i="2"/>
  <c r="AG104" i="2"/>
  <c r="AF104" i="2"/>
  <c r="AE104" i="2"/>
  <c r="Y104" i="2"/>
  <c r="W104" i="2"/>
  <c r="V104" i="2"/>
  <c r="J104" i="2"/>
  <c r="S104" i="2" s="1"/>
  <c r="I104" i="2"/>
  <c r="R104" i="2" s="1"/>
  <c r="G104" i="2"/>
  <c r="F104" i="2"/>
  <c r="AH103" i="2"/>
  <c r="AG103" i="2"/>
  <c r="AF103" i="2"/>
  <c r="AE103" i="2"/>
  <c r="Y103" i="2"/>
  <c r="W103" i="2"/>
  <c r="V103" i="2"/>
  <c r="J103" i="2"/>
  <c r="S103" i="2" s="1"/>
  <c r="I103" i="2"/>
  <c r="R103" i="2" s="1"/>
  <c r="G103" i="2"/>
  <c r="F103" i="2"/>
  <c r="AH102" i="2"/>
  <c r="AG102" i="2"/>
  <c r="AF102" i="2"/>
  <c r="AE102" i="2"/>
  <c r="Y102" i="2"/>
  <c r="W102" i="2"/>
  <c r="V102" i="2"/>
  <c r="J102" i="2"/>
  <c r="S102" i="2" s="1"/>
  <c r="I102" i="2"/>
  <c r="R102" i="2" s="1"/>
  <c r="G102" i="2"/>
  <c r="F102" i="2"/>
  <c r="AH101" i="2"/>
  <c r="AG101" i="2"/>
  <c r="AF101" i="2"/>
  <c r="AE101" i="2"/>
  <c r="Y101" i="2"/>
  <c r="W101" i="2"/>
  <c r="V101" i="2"/>
  <c r="J101" i="2"/>
  <c r="S101" i="2" s="1"/>
  <c r="I101" i="2"/>
  <c r="R101" i="2" s="1"/>
  <c r="G101" i="2"/>
  <c r="F101" i="2"/>
  <c r="AH100" i="2"/>
  <c r="AG100" i="2"/>
  <c r="AF100" i="2"/>
  <c r="AE100" i="2"/>
  <c r="Y100" i="2"/>
  <c r="W100" i="2"/>
  <c r="V100" i="2"/>
  <c r="J100" i="2"/>
  <c r="S100" i="2" s="1"/>
  <c r="I100" i="2"/>
  <c r="R100" i="2" s="1"/>
  <c r="G100" i="2"/>
  <c r="F100" i="2"/>
  <c r="AH99" i="2"/>
  <c r="AG99" i="2"/>
  <c r="AF99" i="2"/>
  <c r="AE99" i="2"/>
  <c r="Y99" i="2"/>
  <c r="W99" i="2"/>
  <c r="V99" i="2"/>
  <c r="J99" i="2"/>
  <c r="S99" i="2" s="1"/>
  <c r="I99" i="2"/>
  <c r="R99" i="2" s="1"/>
  <c r="G99" i="2"/>
  <c r="F99" i="2"/>
  <c r="AH98" i="2"/>
  <c r="AG98" i="2"/>
  <c r="AF98" i="2"/>
  <c r="AE98" i="2"/>
  <c r="Y98" i="2"/>
  <c r="X98" i="2"/>
  <c r="W98" i="2"/>
  <c r="V98" i="2"/>
  <c r="T98" i="2"/>
  <c r="J98" i="2"/>
  <c r="S98" i="2" s="1"/>
  <c r="I98" i="2"/>
  <c r="R98" i="2" s="1"/>
  <c r="G98" i="2"/>
  <c r="F98" i="2"/>
  <c r="AJ97" i="2"/>
  <c r="AI97" i="2"/>
  <c r="AH97" i="2"/>
  <c r="AG97" i="2"/>
  <c r="AF97" i="2"/>
  <c r="AE97" i="2"/>
  <c r="Y97" i="2"/>
  <c r="X97" i="2"/>
  <c r="W97" i="2"/>
  <c r="V97" i="2"/>
  <c r="U97" i="2"/>
  <c r="AA97" i="2" s="1"/>
  <c r="T97" i="2"/>
  <c r="J97" i="2"/>
  <c r="S97" i="2" s="1"/>
  <c r="I97" i="2"/>
  <c r="R97" i="2" s="1"/>
  <c r="G97" i="2"/>
  <c r="F97" i="2"/>
  <c r="AJ96" i="2"/>
  <c r="AI96" i="2"/>
  <c r="AH96" i="2"/>
  <c r="AG96" i="2"/>
  <c r="AF96" i="2"/>
  <c r="AE96" i="2"/>
  <c r="Y96" i="2"/>
  <c r="X96" i="2"/>
  <c r="W96" i="2"/>
  <c r="V96" i="2"/>
  <c r="U96" i="2"/>
  <c r="AA96" i="2" s="1"/>
  <c r="T96" i="2"/>
  <c r="J96" i="2"/>
  <c r="S96" i="2" s="1"/>
  <c r="I96" i="2"/>
  <c r="R96" i="2" s="1"/>
  <c r="G96" i="2"/>
  <c r="F96" i="2"/>
  <c r="AJ95" i="2"/>
  <c r="AI95" i="2"/>
  <c r="AH95" i="2"/>
  <c r="AG95" i="2"/>
  <c r="AF95" i="2"/>
  <c r="AE95" i="2"/>
  <c r="Y95" i="2"/>
  <c r="X95" i="2"/>
  <c r="W95" i="2"/>
  <c r="V95" i="2"/>
  <c r="U95" i="2"/>
  <c r="AA95" i="2" s="1"/>
  <c r="T95" i="2"/>
  <c r="J95" i="2"/>
  <c r="S95" i="2" s="1"/>
  <c r="I95" i="2"/>
  <c r="R95" i="2" s="1"/>
  <c r="G95" i="2"/>
  <c r="F95" i="2"/>
  <c r="AJ94" i="2"/>
  <c r="AI94" i="2"/>
  <c r="AH94" i="2"/>
  <c r="AG94" i="2"/>
  <c r="AF94" i="2"/>
  <c r="AE94" i="2"/>
  <c r="Y94" i="2"/>
  <c r="X94" i="2"/>
  <c r="W94" i="2"/>
  <c r="V94" i="2"/>
  <c r="U94" i="2"/>
  <c r="AA94" i="2" s="1"/>
  <c r="T94" i="2"/>
  <c r="J94" i="2"/>
  <c r="S94" i="2" s="1"/>
  <c r="I94" i="2"/>
  <c r="R94" i="2" s="1"/>
  <c r="G94" i="2"/>
  <c r="F94" i="2"/>
  <c r="AJ93" i="2"/>
  <c r="AI93" i="2"/>
  <c r="AH93" i="2"/>
  <c r="AG93" i="2"/>
  <c r="AF93" i="2"/>
  <c r="AE93" i="2"/>
  <c r="Y93" i="2"/>
  <c r="X93" i="2"/>
  <c r="W93" i="2"/>
  <c r="V93" i="2"/>
  <c r="U93" i="2"/>
  <c r="AA93" i="2" s="1"/>
  <c r="T93" i="2"/>
  <c r="J93" i="2"/>
  <c r="S93" i="2" s="1"/>
  <c r="I93" i="2"/>
  <c r="R93" i="2" s="1"/>
  <c r="G93" i="2"/>
  <c r="F93" i="2"/>
  <c r="AJ92" i="2"/>
  <c r="AI92" i="2"/>
  <c r="AH92" i="2"/>
  <c r="AG92" i="2"/>
  <c r="AF92" i="2"/>
  <c r="AE92" i="2"/>
  <c r="Y92" i="2"/>
  <c r="X92" i="2"/>
  <c r="W92" i="2"/>
  <c r="V92" i="2"/>
  <c r="U92" i="2"/>
  <c r="AA92" i="2" s="1"/>
  <c r="T92" i="2"/>
  <c r="J92" i="2"/>
  <c r="S92" i="2" s="1"/>
  <c r="I92" i="2"/>
  <c r="R92" i="2" s="1"/>
  <c r="G92" i="2"/>
  <c r="F92" i="2"/>
  <c r="AJ91" i="2"/>
  <c r="AI91" i="2"/>
  <c r="AH91" i="2"/>
  <c r="AG91" i="2"/>
  <c r="AF91" i="2"/>
  <c r="AE91" i="2"/>
  <c r="Y91" i="2"/>
  <c r="X91" i="2"/>
  <c r="W91" i="2"/>
  <c r="V91" i="2"/>
  <c r="U91" i="2"/>
  <c r="AA91" i="2" s="1"/>
  <c r="T91" i="2"/>
  <c r="J91" i="2"/>
  <c r="S91" i="2" s="1"/>
  <c r="I91" i="2"/>
  <c r="R91" i="2" s="1"/>
  <c r="G91" i="2"/>
  <c r="F91" i="2"/>
  <c r="AJ90" i="2"/>
  <c r="AI90" i="2"/>
  <c r="AH90" i="2"/>
  <c r="AG90" i="2"/>
  <c r="AF90" i="2"/>
  <c r="AE90" i="2"/>
  <c r="Y90" i="2"/>
  <c r="X90" i="2"/>
  <c r="W90" i="2"/>
  <c r="V90" i="2"/>
  <c r="U90" i="2"/>
  <c r="AA90" i="2" s="1"/>
  <c r="T90" i="2"/>
  <c r="J90" i="2"/>
  <c r="S90" i="2" s="1"/>
  <c r="I90" i="2"/>
  <c r="R90" i="2" s="1"/>
  <c r="G90" i="2"/>
  <c r="F90" i="2"/>
  <c r="AJ89" i="2"/>
  <c r="AI89" i="2"/>
  <c r="AH89" i="2"/>
  <c r="AG89" i="2"/>
  <c r="AF89" i="2"/>
  <c r="AE89" i="2"/>
  <c r="Y89" i="2"/>
  <c r="X89" i="2"/>
  <c r="W89" i="2"/>
  <c r="V89" i="2"/>
  <c r="U89" i="2"/>
  <c r="AA89" i="2" s="1"/>
  <c r="T89" i="2"/>
  <c r="J89" i="2"/>
  <c r="S89" i="2" s="1"/>
  <c r="I89" i="2"/>
  <c r="R89" i="2" s="1"/>
  <c r="G89" i="2"/>
  <c r="F89" i="2"/>
  <c r="AJ88" i="2"/>
  <c r="AI88" i="2"/>
  <c r="AH88" i="2"/>
  <c r="AG88" i="2"/>
  <c r="AF88" i="2"/>
  <c r="AE88" i="2"/>
  <c r="Y88" i="2"/>
  <c r="X88" i="2"/>
  <c r="W88" i="2"/>
  <c r="V88" i="2"/>
  <c r="U88" i="2"/>
  <c r="AA88" i="2" s="1"/>
  <c r="T88" i="2"/>
  <c r="J88" i="2"/>
  <c r="S88" i="2" s="1"/>
  <c r="I88" i="2"/>
  <c r="R88" i="2" s="1"/>
  <c r="G88" i="2"/>
  <c r="F88" i="2"/>
  <c r="AJ87" i="2"/>
  <c r="AI87" i="2"/>
  <c r="AH87" i="2"/>
  <c r="AG87" i="2"/>
  <c r="AF87" i="2"/>
  <c r="AE87" i="2"/>
  <c r="Y87" i="2"/>
  <c r="X87" i="2"/>
  <c r="W87" i="2"/>
  <c r="V87" i="2"/>
  <c r="U87" i="2"/>
  <c r="AA87" i="2" s="1"/>
  <c r="T87" i="2"/>
  <c r="J87" i="2"/>
  <c r="S87" i="2" s="1"/>
  <c r="I87" i="2"/>
  <c r="R87" i="2" s="1"/>
  <c r="G87" i="2"/>
  <c r="F87" i="2"/>
  <c r="AK86" i="2"/>
  <c r="AL86" i="2" s="1"/>
  <c r="C85" i="6" s="1"/>
  <c r="AJ86" i="2"/>
  <c r="AI86" i="2"/>
  <c r="AH86" i="2"/>
  <c r="AG86" i="2"/>
  <c r="AF86" i="2"/>
  <c r="AE86" i="2"/>
  <c r="Y86" i="2"/>
  <c r="X86" i="2"/>
  <c r="W86" i="2"/>
  <c r="V86" i="2"/>
  <c r="U86" i="2"/>
  <c r="AA86" i="2" s="1"/>
  <c r="T86" i="2"/>
  <c r="J86" i="2"/>
  <c r="S86" i="2" s="1"/>
  <c r="I86" i="2"/>
  <c r="R86" i="2" s="1"/>
  <c r="G86" i="2"/>
  <c r="F86" i="2"/>
  <c r="P86" i="2" s="1"/>
  <c r="AJ85" i="2"/>
  <c r="AI85" i="2"/>
  <c r="AH85" i="2"/>
  <c r="AG85" i="2"/>
  <c r="AF85" i="2"/>
  <c r="AE85" i="2"/>
  <c r="Y85" i="2"/>
  <c r="X85" i="2"/>
  <c r="W85" i="2"/>
  <c r="V85" i="2"/>
  <c r="U85" i="2"/>
  <c r="AA85" i="2" s="1"/>
  <c r="T85" i="2"/>
  <c r="J85" i="2"/>
  <c r="S85" i="2" s="1"/>
  <c r="I85" i="2"/>
  <c r="R85" i="2" s="1"/>
  <c r="G85" i="2"/>
  <c r="F85" i="2"/>
  <c r="AJ84" i="2"/>
  <c r="AI84" i="2"/>
  <c r="AH84" i="2"/>
  <c r="AG84" i="2"/>
  <c r="AF84" i="2"/>
  <c r="AE84" i="2"/>
  <c r="Y84" i="2"/>
  <c r="X84" i="2"/>
  <c r="W84" i="2"/>
  <c r="V84" i="2"/>
  <c r="U84" i="2"/>
  <c r="AA84" i="2" s="1"/>
  <c r="T84" i="2"/>
  <c r="J84" i="2"/>
  <c r="S84" i="2" s="1"/>
  <c r="I84" i="2"/>
  <c r="R84" i="2" s="1"/>
  <c r="G84" i="2"/>
  <c r="F84" i="2"/>
  <c r="AJ83" i="2"/>
  <c r="AI83" i="2"/>
  <c r="AH83" i="2"/>
  <c r="AG83" i="2"/>
  <c r="AF83" i="2"/>
  <c r="AE83" i="2"/>
  <c r="Y83" i="2"/>
  <c r="X83" i="2"/>
  <c r="W83" i="2"/>
  <c r="V83" i="2"/>
  <c r="U83" i="2"/>
  <c r="AA83" i="2" s="1"/>
  <c r="T83" i="2"/>
  <c r="J83" i="2"/>
  <c r="S83" i="2" s="1"/>
  <c r="I83" i="2"/>
  <c r="R83" i="2" s="1"/>
  <c r="G83" i="2"/>
  <c r="F83" i="2"/>
  <c r="AJ82" i="2"/>
  <c r="AI82" i="2"/>
  <c r="AH82" i="2"/>
  <c r="AG82" i="2"/>
  <c r="AF82" i="2"/>
  <c r="AE82" i="2"/>
  <c r="Y82" i="2"/>
  <c r="X82" i="2"/>
  <c r="W82" i="2"/>
  <c r="V82" i="2"/>
  <c r="U82" i="2"/>
  <c r="AA82" i="2" s="1"/>
  <c r="T82" i="2"/>
  <c r="J82" i="2"/>
  <c r="S82" i="2" s="1"/>
  <c r="I82" i="2"/>
  <c r="R82" i="2" s="1"/>
  <c r="G82" i="2"/>
  <c r="F82" i="2"/>
  <c r="AJ81" i="2"/>
  <c r="AI81" i="2"/>
  <c r="AH81" i="2"/>
  <c r="AG81" i="2"/>
  <c r="AF81" i="2"/>
  <c r="AE81" i="2"/>
  <c r="Y81" i="2"/>
  <c r="X81" i="2"/>
  <c r="W81" i="2"/>
  <c r="V81" i="2"/>
  <c r="U81" i="2"/>
  <c r="AA81" i="2" s="1"/>
  <c r="T81" i="2"/>
  <c r="J81" i="2"/>
  <c r="S81" i="2" s="1"/>
  <c r="I81" i="2"/>
  <c r="R81" i="2" s="1"/>
  <c r="G81" i="2"/>
  <c r="F81" i="2"/>
  <c r="AJ80" i="2"/>
  <c r="AI80" i="2"/>
  <c r="AH80" i="2"/>
  <c r="AG80" i="2"/>
  <c r="AF80" i="2"/>
  <c r="AE80" i="2"/>
  <c r="Y80" i="2"/>
  <c r="X80" i="2"/>
  <c r="W80" i="2"/>
  <c r="V80" i="2"/>
  <c r="U80" i="2"/>
  <c r="AA80" i="2" s="1"/>
  <c r="T80" i="2"/>
  <c r="J80" i="2"/>
  <c r="S80" i="2" s="1"/>
  <c r="I80" i="2"/>
  <c r="R80" i="2" s="1"/>
  <c r="G80" i="2"/>
  <c r="F80" i="2"/>
  <c r="AJ79" i="2"/>
  <c r="AI79" i="2"/>
  <c r="AH79" i="2"/>
  <c r="AG79" i="2"/>
  <c r="AF79" i="2"/>
  <c r="AE79" i="2"/>
  <c r="Y79" i="2"/>
  <c r="X79" i="2"/>
  <c r="W79" i="2"/>
  <c r="V79" i="2"/>
  <c r="U79" i="2"/>
  <c r="AA79" i="2" s="1"/>
  <c r="T79" i="2"/>
  <c r="J79" i="2"/>
  <c r="S79" i="2" s="1"/>
  <c r="I79" i="2"/>
  <c r="R79" i="2" s="1"/>
  <c r="G79" i="2"/>
  <c r="F79" i="2"/>
  <c r="AJ78" i="2"/>
  <c r="AI78" i="2"/>
  <c r="AH78" i="2"/>
  <c r="AG78" i="2"/>
  <c r="AF78" i="2"/>
  <c r="AE78" i="2"/>
  <c r="Y78" i="2"/>
  <c r="X78" i="2"/>
  <c r="W78" i="2"/>
  <c r="V78" i="2"/>
  <c r="U78" i="2"/>
  <c r="AA78" i="2" s="1"/>
  <c r="T78" i="2"/>
  <c r="J78" i="2"/>
  <c r="S78" i="2" s="1"/>
  <c r="I78" i="2"/>
  <c r="R78" i="2" s="1"/>
  <c r="G78" i="2"/>
  <c r="F78" i="2"/>
  <c r="AJ77" i="2"/>
  <c r="AI77" i="2"/>
  <c r="AH77" i="2"/>
  <c r="AG77" i="2"/>
  <c r="AF77" i="2"/>
  <c r="AE77" i="2"/>
  <c r="Y77" i="2"/>
  <c r="X77" i="2"/>
  <c r="W77" i="2"/>
  <c r="V77" i="2"/>
  <c r="U77" i="2"/>
  <c r="AA77" i="2" s="1"/>
  <c r="T77" i="2"/>
  <c r="J77" i="2"/>
  <c r="S77" i="2" s="1"/>
  <c r="I77" i="2"/>
  <c r="R77" i="2" s="1"/>
  <c r="G77" i="2"/>
  <c r="F77" i="2"/>
  <c r="AJ76" i="2"/>
  <c r="AI76" i="2"/>
  <c r="AH76" i="2"/>
  <c r="AG76" i="2"/>
  <c r="AF76" i="2"/>
  <c r="AE76" i="2"/>
  <c r="Y76" i="2"/>
  <c r="X76" i="2"/>
  <c r="W76" i="2"/>
  <c r="V76" i="2"/>
  <c r="U76" i="2"/>
  <c r="AA76" i="2" s="1"/>
  <c r="T76" i="2"/>
  <c r="J76" i="2"/>
  <c r="S76" i="2" s="1"/>
  <c r="I76" i="2"/>
  <c r="R76" i="2" s="1"/>
  <c r="G76" i="2"/>
  <c r="F76" i="2"/>
  <c r="AJ75" i="2"/>
  <c r="AI75" i="2"/>
  <c r="AH75" i="2"/>
  <c r="AG75" i="2"/>
  <c r="AF75" i="2"/>
  <c r="AE75" i="2"/>
  <c r="Y75" i="2"/>
  <c r="X75" i="2"/>
  <c r="W75" i="2"/>
  <c r="V75" i="2"/>
  <c r="U75" i="2"/>
  <c r="AA75" i="2" s="1"/>
  <c r="T75" i="2"/>
  <c r="J75" i="2"/>
  <c r="S75" i="2" s="1"/>
  <c r="I75" i="2"/>
  <c r="R75" i="2" s="1"/>
  <c r="G75" i="2"/>
  <c r="F75" i="2"/>
  <c r="AJ74" i="2"/>
  <c r="AI74" i="2"/>
  <c r="AH74" i="2"/>
  <c r="AG74" i="2"/>
  <c r="AF74" i="2"/>
  <c r="AE74" i="2"/>
  <c r="Y74" i="2"/>
  <c r="X74" i="2"/>
  <c r="W74" i="2"/>
  <c r="V74" i="2"/>
  <c r="U74" i="2"/>
  <c r="AA74" i="2" s="1"/>
  <c r="T74" i="2"/>
  <c r="J74" i="2"/>
  <c r="S74" i="2" s="1"/>
  <c r="I74" i="2"/>
  <c r="R74" i="2" s="1"/>
  <c r="G74" i="2"/>
  <c r="F74" i="2"/>
  <c r="AJ73" i="2"/>
  <c r="AI73" i="2"/>
  <c r="AH73" i="2"/>
  <c r="AG73" i="2"/>
  <c r="AF73" i="2"/>
  <c r="AE73" i="2"/>
  <c r="Y73" i="2"/>
  <c r="X73" i="2"/>
  <c r="W73" i="2"/>
  <c r="V73" i="2"/>
  <c r="U73" i="2"/>
  <c r="AA73" i="2" s="1"/>
  <c r="T73" i="2"/>
  <c r="J73" i="2"/>
  <c r="S73" i="2" s="1"/>
  <c r="I73" i="2"/>
  <c r="R73" i="2" s="1"/>
  <c r="G73" i="2"/>
  <c r="F73" i="2"/>
  <c r="AJ72" i="2"/>
  <c r="AI72" i="2"/>
  <c r="AH72" i="2"/>
  <c r="AG72" i="2"/>
  <c r="AF72" i="2"/>
  <c r="AE72" i="2"/>
  <c r="Y72" i="2"/>
  <c r="X72" i="2"/>
  <c r="W72" i="2"/>
  <c r="V72" i="2"/>
  <c r="U72" i="2"/>
  <c r="AA72" i="2" s="1"/>
  <c r="T72" i="2"/>
  <c r="J72" i="2"/>
  <c r="S72" i="2" s="1"/>
  <c r="I72" i="2"/>
  <c r="R72" i="2" s="1"/>
  <c r="G72" i="2"/>
  <c r="F72" i="2"/>
  <c r="AJ71" i="2"/>
  <c r="AI71" i="2"/>
  <c r="AH71" i="2"/>
  <c r="AG71" i="2"/>
  <c r="AF71" i="2"/>
  <c r="AE71" i="2"/>
  <c r="Y71" i="2"/>
  <c r="X71" i="2"/>
  <c r="W71" i="2"/>
  <c r="V71" i="2"/>
  <c r="U71" i="2"/>
  <c r="AA71" i="2" s="1"/>
  <c r="T71" i="2"/>
  <c r="J71" i="2"/>
  <c r="S71" i="2" s="1"/>
  <c r="I71" i="2"/>
  <c r="R71" i="2" s="1"/>
  <c r="G71" i="2"/>
  <c r="F71" i="2"/>
  <c r="AJ70" i="2"/>
  <c r="AI70" i="2"/>
  <c r="AH70" i="2"/>
  <c r="AG70" i="2"/>
  <c r="AF70" i="2"/>
  <c r="AE70" i="2"/>
  <c r="Y70" i="2"/>
  <c r="X70" i="2"/>
  <c r="W70" i="2"/>
  <c r="V70" i="2"/>
  <c r="U70" i="2"/>
  <c r="AA70" i="2" s="1"/>
  <c r="T70" i="2"/>
  <c r="J70" i="2"/>
  <c r="S70" i="2" s="1"/>
  <c r="I70" i="2"/>
  <c r="R70" i="2" s="1"/>
  <c r="G70" i="2"/>
  <c r="F70" i="2"/>
  <c r="AJ69" i="2"/>
  <c r="AI69" i="2"/>
  <c r="AH69" i="2"/>
  <c r="AG69" i="2"/>
  <c r="AF69" i="2"/>
  <c r="AE69" i="2"/>
  <c r="Y69" i="2"/>
  <c r="X69" i="2"/>
  <c r="W69" i="2"/>
  <c r="V69" i="2"/>
  <c r="U69" i="2"/>
  <c r="AA69" i="2" s="1"/>
  <c r="T69" i="2"/>
  <c r="J69" i="2"/>
  <c r="S69" i="2" s="1"/>
  <c r="I69" i="2"/>
  <c r="R69" i="2" s="1"/>
  <c r="G69" i="2"/>
  <c r="F69" i="2"/>
  <c r="AJ68" i="2"/>
  <c r="AI68" i="2"/>
  <c r="AH68" i="2"/>
  <c r="AG68" i="2"/>
  <c r="AF68" i="2"/>
  <c r="AE68" i="2"/>
  <c r="Y68" i="2"/>
  <c r="X68" i="2"/>
  <c r="W68" i="2"/>
  <c r="V68" i="2"/>
  <c r="U68" i="2"/>
  <c r="AA68" i="2" s="1"/>
  <c r="T68" i="2"/>
  <c r="J68" i="2"/>
  <c r="S68" i="2" s="1"/>
  <c r="I68" i="2"/>
  <c r="R68" i="2" s="1"/>
  <c r="G68" i="2"/>
  <c r="F68" i="2"/>
  <c r="AJ67" i="2"/>
  <c r="AI67" i="2"/>
  <c r="AH67" i="2"/>
  <c r="AG67" i="2"/>
  <c r="AF67" i="2"/>
  <c r="AE67" i="2"/>
  <c r="Y67" i="2"/>
  <c r="X67" i="2"/>
  <c r="W67" i="2"/>
  <c r="V67" i="2"/>
  <c r="U67" i="2"/>
  <c r="AA67" i="2" s="1"/>
  <c r="T67" i="2"/>
  <c r="J67" i="2"/>
  <c r="S67" i="2" s="1"/>
  <c r="I67" i="2"/>
  <c r="R67" i="2" s="1"/>
  <c r="G67" i="2"/>
  <c r="F67" i="2"/>
  <c r="AJ66" i="2"/>
  <c r="AI66" i="2"/>
  <c r="AH66" i="2"/>
  <c r="AG66" i="2"/>
  <c r="AF66" i="2"/>
  <c r="AE66" i="2"/>
  <c r="Y66" i="2"/>
  <c r="X66" i="2"/>
  <c r="W66" i="2"/>
  <c r="V66" i="2"/>
  <c r="U66" i="2"/>
  <c r="AA66" i="2" s="1"/>
  <c r="T66" i="2"/>
  <c r="J66" i="2"/>
  <c r="S66" i="2" s="1"/>
  <c r="I66" i="2"/>
  <c r="R66" i="2" s="1"/>
  <c r="G66" i="2"/>
  <c r="F66" i="2"/>
  <c r="AJ65" i="2"/>
  <c r="AI65" i="2"/>
  <c r="AH65" i="2"/>
  <c r="AG65" i="2"/>
  <c r="AF65" i="2"/>
  <c r="AE65" i="2"/>
  <c r="Y65" i="2"/>
  <c r="X65" i="2"/>
  <c r="W65" i="2"/>
  <c r="V65" i="2"/>
  <c r="U65" i="2"/>
  <c r="AA65" i="2" s="1"/>
  <c r="T65" i="2"/>
  <c r="J65" i="2"/>
  <c r="S65" i="2" s="1"/>
  <c r="I65" i="2"/>
  <c r="R65" i="2" s="1"/>
  <c r="G65" i="2"/>
  <c r="F65" i="2"/>
  <c r="AJ64" i="2"/>
  <c r="AI64" i="2"/>
  <c r="AH64" i="2"/>
  <c r="AG64" i="2"/>
  <c r="AF64" i="2"/>
  <c r="AE64" i="2"/>
  <c r="Y64" i="2"/>
  <c r="X64" i="2"/>
  <c r="W64" i="2"/>
  <c r="V64" i="2"/>
  <c r="U64" i="2"/>
  <c r="AA64" i="2" s="1"/>
  <c r="T64" i="2"/>
  <c r="J64" i="2"/>
  <c r="S64" i="2" s="1"/>
  <c r="I64" i="2"/>
  <c r="R64" i="2" s="1"/>
  <c r="G64" i="2"/>
  <c r="F64" i="2"/>
  <c r="AJ63" i="2"/>
  <c r="AI63" i="2"/>
  <c r="AH63" i="2"/>
  <c r="AG63" i="2"/>
  <c r="AF63" i="2"/>
  <c r="AE63" i="2"/>
  <c r="Y63" i="2"/>
  <c r="X63" i="2"/>
  <c r="W63" i="2"/>
  <c r="V63" i="2"/>
  <c r="U63" i="2"/>
  <c r="AA63" i="2" s="1"/>
  <c r="T63" i="2"/>
  <c r="J63" i="2"/>
  <c r="S63" i="2" s="1"/>
  <c r="I63" i="2"/>
  <c r="R63" i="2" s="1"/>
  <c r="G63" i="2"/>
  <c r="F63" i="2"/>
  <c r="AJ62" i="2"/>
  <c r="AI62" i="2"/>
  <c r="AH62" i="2"/>
  <c r="AG62" i="2"/>
  <c r="AF62" i="2"/>
  <c r="AE62" i="2"/>
  <c r="Y62" i="2"/>
  <c r="X62" i="2"/>
  <c r="W62" i="2"/>
  <c r="V62" i="2"/>
  <c r="U62" i="2"/>
  <c r="AA62" i="2" s="1"/>
  <c r="T62" i="2"/>
  <c r="J62" i="2"/>
  <c r="S62" i="2" s="1"/>
  <c r="I62" i="2"/>
  <c r="R62" i="2" s="1"/>
  <c r="G62" i="2"/>
  <c r="F62" i="2"/>
  <c r="AJ61" i="2"/>
  <c r="AI61" i="2"/>
  <c r="AH61" i="2"/>
  <c r="AG61" i="2"/>
  <c r="AF61" i="2"/>
  <c r="AE61" i="2"/>
  <c r="Y61" i="2"/>
  <c r="X61" i="2"/>
  <c r="W61" i="2"/>
  <c r="V61" i="2"/>
  <c r="U61" i="2"/>
  <c r="AA61" i="2" s="1"/>
  <c r="T61" i="2"/>
  <c r="J61" i="2"/>
  <c r="S61" i="2" s="1"/>
  <c r="I61" i="2"/>
  <c r="R61" i="2" s="1"/>
  <c r="G61" i="2"/>
  <c r="F61" i="2"/>
  <c r="AJ60" i="2"/>
  <c r="AI60" i="2"/>
  <c r="AH60" i="2"/>
  <c r="AG60" i="2"/>
  <c r="AF60" i="2"/>
  <c r="AE60" i="2"/>
  <c r="Y60" i="2"/>
  <c r="X60" i="2"/>
  <c r="W60" i="2"/>
  <c r="V60" i="2"/>
  <c r="U60" i="2"/>
  <c r="AA60" i="2" s="1"/>
  <c r="T60" i="2"/>
  <c r="J60" i="2"/>
  <c r="S60" i="2" s="1"/>
  <c r="I60" i="2"/>
  <c r="R60" i="2" s="1"/>
  <c r="G60" i="2"/>
  <c r="F60" i="2"/>
  <c r="AJ59" i="2"/>
  <c r="AI59" i="2"/>
  <c r="AH59" i="2"/>
  <c r="AG59" i="2"/>
  <c r="AF59" i="2"/>
  <c r="AE59" i="2"/>
  <c r="Y59" i="2"/>
  <c r="X59" i="2"/>
  <c r="W59" i="2"/>
  <c r="V59" i="2"/>
  <c r="U59" i="2"/>
  <c r="AA59" i="2" s="1"/>
  <c r="T59" i="2"/>
  <c r="J59" i="2"/>
  <c r="S59" i="2" s="1"/>
  <c r="I59" i="2"/>
  <c r="R59" i="2" s="1"/>
  <c r="G59" i="2"/>
  <c r="F59" i="2"/>
  <c r="AJ58" i="2"/>
  <c r="AI58" i="2"/>
  <c r="AH58" i="2"/>
  <c r="AG58" i="2"/>
  <c r="AF58" i="2"/>
  <c r="AE58" i="2"/>
  <c r="Y58" i="2"/>
  <c r="X58" i="2"/>
  <c r="W58" i="2"/>
  <c r="V58" i="2"/>
  <c r="U58" i="2"/>
  <c r="AA58" i="2" s="1"/>
  <c r="T58" i="2"/>
  <c r="J58" i="2"/>
  <c r="S58" i="2" s="1"/>
  <c r="I58" i="2"/>
  <c r="R58" i="2" s="1"/>
  <c r="G58" i="2"/>
  <c r="F58" i="2"/>
  <c r="AJ57" i="2"/>
  <c r="AI57" i="2"/>
  <c r="AH57" i="2"/>
  <c r="AG57" i="2"/>
  <c r="AF57" i="2"/>
  <c r="AE57" i="2"/>
  <c r="Y57" i="2"/>
  <c r="X57" i="2"/>
  <c r="W57" i="2"/>
  <c r="V57" i="2"/>
  <c r="U57" i="2"/>
  <c r="AA57" i="2" s="1"/>
  <c r="T57" i="2"/>
  <c r="J57" i="2"/>
  <c r="S57" i="2" s="1"/>
  <c r="I57" i="2"/>
  <c r="R57" i="2" s="1"/>
  <c r="G57" i="2"/>
  <c r="F57" i="2"/>
  <c r="AJ56" i="2"/>
  <c r="AI56" i="2"/>
  <c r="AH56" i="2"/>
  <c r="AG56" i="2"/>
  <c r="AF56" i="2"/>
  <c r="AE56" i="2"/>
  <c r="Y56" i="2"/>
  <c r="X56" i="2"/>
  <c r="W56" i="2"/>
  <c r="V56" i="2"/>
  <c r="U56" i="2"/>
  <c r="AA56" i="2" s="1"/>
  <c r="T56" i="2"/>
  <c r="J56" i="2"/>
  <c r="S56" i="2" s="1"/>
  <c r="I56" i="2"/>
  <c r="R56" i="2" s="1"/>
  <c r="G56" i="2"/>
  <c r="F56" i="2"/>
  <c r="AJ55" i="2"/>
  <c r="AI55" i="2"/>
  <c r="AH55" i="2"/>
  <c r="AG55" i="2"/>
  <c r="AF55" i="2"/>
  <c r="AE55" i="2"/>
  <c r="Y55" i="2"/>
  <c r="X55" i="2"/>
  <c r="W55" i="2"/>
  <c r="V55" i="2"/>
  <c r="U55" i="2"/>
  <c r="AA55" i="2" s="1"/>
  <c r="T55" i="2"/>
  <c r="J55" i="2"/>
  <c r="S55" i="2" s="1"/>
  <c r="I55" i="2"/>
  <c r="R55" i="2" s="1"/>
  <c r="G55" i="2"/>
  <c r="F55" i="2"/>
  <c r="AJ54" i="2"/>
  <c r="AI54" i="2"/>
  <c r="AH54" i="2"/>
  <c r="AG54" i="2"/>
  <c r="AF54" i="2"/>
  <c r="AE54" i="2"/>
  <c r="Y54" i="2"/>
  <c r="X54" i="2"/>
  <c r="W54" i="2"/>
  <c r="V54" i="2"/>
  <c r="U54" i="2"/>
  <c r="AA54" i="2" s="1"/>
  <c r="T54" i="2"/>
  <c r="J54" i="2"/>
  <c r="S54" i="2" s="1"/>
  <c r="I54" i="2"/>
  <c r="R54" i="2" s="1"/>
  <c r="G54" i="2"/>
  <c r="F54" i="2"/>
  <c r="AJ53" i="2"/>
  <c r="AI53" i="2"/>
  <c r="AH53" i="2"/>
  <c r="AG53" i="2"/>
  <c r="AF53" i="2"/>
  <c r="AE53" i="2"/>
  <c r="Y53" i="2"/>
  <c r="X53" i="2"/>
  <c r="W53" i="2"/>
  <c r="V53" i="2"/>
  <c r="U53" i="2"/>
  <c r="AA53" i="2" s="1"/>
  <c r="T53" i="2"/>
  <c r="J53" i="2"/>
  <c r="S53" i="2" s="1"/>
  <c r="I53" i="2"/>
  <c r="R53" i="2" s="1"/>
  <c r="G53" i="2"/>
  <c r="F53" i="2"/>
  <c r="AJ52" i="2"/>
  <c r="AI52" i="2"/>
  <c r="AH52" i="2"/>
  <c r="AG52" i="2"/>
  <c r="AF52" i="2"/>
  <c r="AE52" i="2"/>
  <c r="Y52" i="2"/>
  <c r="X52" i="2"/>
  <c r="W52" i="2"/>
  <c r="V52" i="2"/>
  <c r="U52" i="2"/>
  <c r="AA52" i="2" s="1"/>
  <c r="T52" i="2"/>
  <c r="J52" i="2"/>
  <c r="S52" i="2" s="1"/>
  <c r="I52" i="2"/>
  <c r="R52" i="2" s="1"/>
  <c r="G52" i="2"/>
  <c r="F52" i="2"/>
  <c r="AJ51" i="2"/>
  <c r="AI51" i="2"/>
  <c r="AH51" i="2"/>
  <c r="AG51" i="2"/>
  <c r="AF51" i="2"/>
  <c r="AE51" i="2"/>
  <c r="Y51" i="2"/>
  <c r="X51" i="2"/>
  <c r="W51" i="2"/>
  <c r="V51" i="2"/>
  <c r="U51" i="2"/>
  <c r="AA51" i="2" s="1"/>
  <c r="T51" i="2"/>
  <c r="J51" i="2"/>
  <c r="S51" i="2" s="1"/>
  <c r="I51" i="2"/>
  <c r="R51" i="2" s="1"/>
  <c r="G51" i="2"/>
  <c r="F51" i="2"/>
  <c r="AJ50" i="2"/>
  <c r="AI50" i="2"/>
  <c r="AH50" i="2"/>
  <c r="AG50" i="2"/>
  <c r="AF50" i="2"/>
  <c r="AE50" i="2"/>
  <c r="Y50" i="2"/>
  <c r="X50" i="2"/>
  <c r="W50" i="2"/>
  <c r="V50" i="2"/>
  <c r="U50" i="2"/>
  <c r="AA50" i="2" s="1"/>
  <c r="T50" i="2"/>
  <c r="J50" i="2"/>
  <c r="S50" i="2" s="1"/>
  <c r="I50" i="2"/>
  <c r="R50" i="2" s="1"/>
  <c r="G50" i="2"/>
  <c r="F50" i="2"/>
  <c r="AK49" i="2"/>
  <c r="AL49" i="2" s="1"/>
  <c r="C48" i="6" s="1"/>
  <c r="AJ49" i="2"/>
  <c r="AI49" i="2"/>
  <c r="AH49" i="2"/>
  <c r="AG49" i="2"/>
  <c r="AF49" i="2"/>
  <c r="AE49" i="2"/>
  <c r="AD49" i="2"/>
  <c r="Y49" i="2"/>
  <c r="X49" i="2"/>
  <c r="W49" i="2"/>
  <c r="V49" i="2"/>
  <c r="U49" i="2"/>
  <c r="AA49" i="2" s="1"/>
  <c r="T49" i="2"/>
  <c r="S49" i="2"/>
  <c r="R49" i="2"/>
  <c r="Q49" i="2"/>
  <c r="J49" i="2"/>
  <c r="I49" i="2"/>
  <c r="G49" i="2"/>
  <c r="F49" i="2"/>
  <c r="P49" i="2" s="1"/>
  <c r="Z49" i="2" s="1"/>
  <c r="AC49" i="2" s="1"/>
  <c r="N48" i="6" s="1"/>
  <c r="AH48" i="2"/>
  <c r="AG48" i="2"/>
  <c r="AF48" i="2"/>
  <c r="AE48" i="2"/>
  <c r="Y48" i="2"/>
  <c r="W48" i="2"/>
  <c r="V48" i="2"/>
  <c r="J48" i="2"/>
  <c r="S48" i="2" s="1"/>
  <c r="I48" i="2"/>
  <c r="R48" i="2" s="1"/>
  <c r="G48" i="2"/>
  <c r="F48" i="2"/>
  <c r="AH47" i="2"/>
  <c r="AG47" i="2"/>
  <c r="AF47" i="2"/>
  <c r="AE47" i="2"/>
  <c r="Y47" i="2"/>
  <c r="W47" i="2"/>
  <c r="V47" i="2"/>
  <c r="J47" i="2"/>
  <c r="S47" i="2" s="1"/>
  <c r="I47" i="2"/>
  <c r="R47" i="2" s="1"/>
  <c r="G47" i="2"/>
  <c r="F47" i="2"/>
  <c r="AH46" i="2"/>
  <c r="AG46" i="2"/>
  <c r="AF46" i="2"/>
  <c r="AE46" i="2"/>
  <c r="Y46" i="2"/>
  <c r="W46" i="2"/>
  <c r="V46" i="2"/>
  <c r="J46" i="2"/>
  <c r="S46" i="2" s="1"/>
  <c r="I46" i="2"/>
  <c r="R46" i="2" s="1"/>
  <c r="G46" i="2"/>
  <c r="F46" i="2"/>
  <c r="AH45" i="2"/>
  <c r="AG45" i="2"/>
  <c r="AF45" i="2"/>
  <c r="AE45" i="2"/>
  <c r="Y45" i="2"/>
  <c r="W45" i="2"/>
  <c r="V45" i="2"/>
  <c r="J45" i="2"/>
  <c r="S45" i="2" s="1"/>
  <c r="I45" i="2"/>
  <c r="R45" i="2" s="1"/>
  <c r="G45" i="2"/>
  <c r="F45" i="2"/>
  <c r="AH44" i="2"/>
  <c r="AG44" i="2"/>
  <c r="AF44" i="2"/>
  <c r="AE44" i="2"/>
  <c r="Y44" i="2"/>
  <c r="W44" i="2"/>
  <c r="V44" i="2"/>
  <c r="J44" i="2"/>
  <c r="S44" i="2" s="1"/>
  <c r="I44" i="2"/>
  <c r="R44" i="2" s="1"/>
  <c r="G44" i="2"/>
  <c r="F44" i="2"/>
  <c r="AH43" i="2"/>
  <c r="AG43" i="2"/>
  <c r="AF43" i="2"/>
  <c r="AE43" i="2"/>
  <c r="Y43" i="2"/>
  <c r="W43" i="2"/>
  <c r="V43" i="2"/>
  <c r="J43" i="2"/>
  <c r="S43" i="2" s="1"/>
  <c r="I43" i="2"/>
  <c r="R43" i="2" s="1"/>
  <c r="G43" i="2"/>
  <c r="F43" i="2"/>
  <c r="AH42" i="2"/>
  <c r="AG42" i="2"/>
  <c r="AF42" i="2"/>
  <c r="AE42" i="2"/>
  <c r="Y42" i="2"/>
  <c r="W42" i="2"/>
  <c r="V42" i="2"/>
  <c r="J42" i="2"/>
  <c r="S42" i="2" s="1"/>
  <c r="I42" i="2"/>
  <c r="R42" i="2" s="1"/>
  <c r="G42" i="2"/>
  <c r="F42" i="2"/>
  <c r="AH41" i="2"/>
  <c r="AG41" i="2"/>
  <c r="AF41" i="2"/>
  <c r="AE41" i="2"/>
  <c r="Y41" i="2"/>
  <c r="W41" i="2"/>
  <c r="V41" i="2"/>
  <c r="J41" i="2"/>
  <c r="S41" i="2" s="1"/>
  <c r="I41" i="2"/>
  <c r="R41" i="2" s="1"/>
  <c r="G41" i="2"/>
  <c r="F41" i="2"/>
  <c r="AH40" i="2"/>
  <c r="AG40" i="2"/>
  <c r="AF40" i="2"/>
  <c r="AE40" i="2"/>
  <c r="Y40" i="2"/>
  <c r="W40" i="2"/>
  <c r="V40" i="2"/>
  <c r="J40" i="2"/>
  <c r="S40" i="2" s="1"/>
  <c r="I40" i="2"/>
  <c r="R40" i="2" s="1"/>
  <c r="G40" i="2"/>
  <c r="F40" i="2"/>
  <c r="AH39" i="2"/>
  <c r="AG39" i="2"/>
  <c r="AF39" i="2"/>
  <c r="AE39" i="2"/>
  <c r="Y39" i="2"/>
  <c r="W39" i="2"/>
  <c r="V39" i="2"/>
  <c r="J39" i="2"/>
  <c r="S39" i="2" s="1"/>
  <c r="I39" i="2"/>
  <c r="R39" i="2" s="1"/>
  <c r="G39" i="2"/>
  <c r="F39" i="2"/>
  <c r="AH38" i="2"/>
  <c r="AG38" i="2"/>
  <c r="AF38" i="2"/>
  <c r="AE38" i="2"/>
  <c r="Y38" i="2"/>
  <c r="W38" i="2"/>
  <c r="V38" i="2"/>
  <c r="J38" i="2"/>
  <c r="S38" i="2" s="1"/>
  <c r="I38" i="2"/>
  <c r="R38" i="2" s="1"/>
  <c r="G38" i="2"/>
  <c r="F38" i="2"/>
  <c r="AH37" i="2"/>
  <c r="AG37" i="2"/>
  <c r="AF37" i="2"/>
  <c r="AE37" i="2"/>
  <c r="Y37" i="2"/>
  <c r="W37" i="2"/>
  <c r="V37" i="2"/>
  <c r="J37" i="2"/>
  <c r="S37" i="2" s="1"/>
  <c r="I37" i="2"/>
  <c r="R37" i="2" s="1"/>
  <c r="G37" i="2"/>
  <c r="F37" i="2"/>
  <c r="AH36" i="2"/>
  <c r="AG36" i="2"/>
  <c r="AF36" i="2"/>
  <c r="AE36" i="2"/>
  <c r="Y36" i="2"/>
  <c r="W36" i="2"/>
  <c r="V36" i="2"/>
  <c r="J36" i="2"/>
  <c r="S36" i="2" s="1"/>
  <c r="I36" i="2"/>
  <c r="R36" i="2" s="1"/>
  <c r="G36" i="2"/>
  <c r="F36" i="2"/>
  <c r="AH35" i="2"/>
  <c r="AG35" i="2"/>
  <c r="AF35" i="2"/>
  <c r="AE35" i="2"/>
  <c r="Y35" i="2"/>
  <c r="W35" i="2"/>
  <c r="V35" i="2"/>
  <c r="J35" i="2"/>
  <c r="S35" i="2" s="1"/>
  <c r="I35" i="2"/>
  <c r="R35" i="2" s="1"/>
  <c r="G35" i="2"/>
  <c r="F35" i="2"/>
  <c r="AH34" i="2"/>
  <c r="AG34" i="2"/>
  <c r="AF34" i="2"/>
  <c r="AE34" i="2"/>
  <c r="Y34" i="2"/>
  <c r="W34" i="2"/>
  <c r="V34" i="2"/>
  <c r="J34" i="2"/>
  <c r="S34" i="2" s="1"/>
  <c r="I34" i="2"/>
  <c r="R34" i="2" s="1"/>
  <c r="G34" i="2"/>
  <c r="F34" i="2"/>
  <c r="AH33" i="2"/>
  <c r="AG33" i="2"/>
  <c r="AF33" i="2"/>
  <c r="AE33" i="2"/>
  <c r="Y33" i="2"/>
  <c r="W33" i="2"/>
  <c r="V33" i="2"/>
  <c r="J33" i="2"/>
  <c r="S33" i="2" s="1"/>
  <c r="I33" i="2"/>
  <c r="R33" i="2" s="1"/>
  <c r="G33" i="2"/>
  <c r="F33" i="2"/>
  <c r="AH32" i="2"/>
  <c r="AG32" i="2"/>
  <c r="AF32" i="2"/>
  <c r="AE32" i="2"/>
  <c r="Y32" i="2"/>
  <c r="W32" i="2"/>
  <c r="V32" i="2"/>
  <c r="J32" i="2"/>
  <c r="S32" i="2" s="1"/>
  <c r="I32" i="2"/>
  <c r="R32" i="2" s="1"/>
  <c r="G32" i="2"/>
  <c r="F32" i="2"/>
  <c r="AH31" i="2"/>
  <c r="AG31" i="2"/>
  <c r="AF31" i="2"/>
  <c r="AE31" i="2"/>
  <c r="Y31" i="2"/>
  <c r="W31" i="2"/>
  <c r="V31" i="2"/>
  <c r="U31" i="2"/>
  <c r="AA31" i="2" s="1"/>
  <c r="T31" i="2"/>
  <c r="J31" i="2"/>
  <c r="S31" i="2" s="1"/>
  <c r="I31" i="2"/>
  <c r="R31" i="2" s="1"/>
  <c r="G31" i="2"/>
  <c r="F31" i="2"/>
  <c r="AJ30" i="2"/>
  <c r="AI30" i="2"/>
  <c r="AH30" i="2"/>
  <c r="AG30" i="2"/>
  <c r="AF30" i="2"/>
  <c r="AE30" i="2"/>
  <c r="Y30" i="2"/>
  <c r="X30" i="2"/>
  <c r="W30" i="2"/>
  <c r="V30" i="2"/>
  <c r="U30" i="2"/>
  <c r="AA30" i="2" s="1"/>
  <c r="T30" i="2"/>
  <c r="J30" i="2"/>
  <c r="S30" i="2" s="1"/>
  <c r="I30" i="2"/>
  <c r="R30" i="2" s="1"/>
  <c r="G30" i="2"/>
  <c r="F30" i="2"/>
  <c r="AJ29" i="2"/>
  <c r="AI29" i="2"/>
  <c r="AH29" i="2"/>
  <c r="AG29" i="2"/>
  <c r="AF29" i="2"/>
  <c r="AE29" i="2"/>
  <c r="Y29" i="2"/>
  <c r="X29" i="2"/>
  <c r="W29" i="2"/>
  <c r="V29" i="2"/>
  <c r="U29" i="2"/>
  <c r="AA29" i="2" s="1"/>
  <c r="T29" i="2"/>
  <c r="J29" i="2"/>
  <c r="S29" i="2" s="1"/>
  <c r="I29" i="2"/>
  <c r="R29" i="2" s="1"/>
  <c r="G29" i="2"/>
  <c r="F29" i="2"/>
  <c r="AJ28" i="2"/>
  <c r="AI28" i="2"/>
  <c r="AH28" i="2"/>
  <c r="AG28" i="2"/>
  <c r="AF28" i="2"/>
  <c r="AE28" i="2"/>
  <c r="Y28" i="2"/>
  <c r="X28" i="2"/>
  <c r="W28" i="2"/>
  <c r="V28" i="2"/>
  <c r="U28" i="2"/>
  <c r="AA28" i="2" s="1"/>
  <c r="T28" i="2"/>
  <c r="J28" i="2"/>
  <c r="S28" i="2" s="1"/>
  <c r="I28" i="2"/>
  <c r="R28" i="2" s="1"/>
  <c r="G28" i="2"/>
  <c r="F28" i="2"/>
  <c r="AJ27" i="2"/>
  <c r="AI27" i="2"/>
  <c r="AH27" i="2"/>
  <c r="AG27" i="2"/>
  <c r="AF27" i="2"/>
  <c r="AE27" i="2"/>
  <c r="Y27" i="2"/>
  <c r="X27" i="2"/>
  <c r="W27" i="2"/>
  <c r="V27" i="2"/>
  <c r="U27" i="2"/>
  <c r="AA27" i="2" s="1"/>
  <c r="T27" i="2"/>
  <c r="J27" i="2"/>
  <c r="S27" i="2" s="1"/>
  <c r="I27" i="2"/>
  <c r="R27" i="2" s="1"/>
  <c r="G27" i="2"/>
  <c r="F27" i="2"/>
  <c r="AJ26" i="2"/>
  <c r="AI26" i="2"/>
  <c r="AH26" i="2"/>
  <c r="AG26" i="2"/>
  <c r="AF26" i="2"/>
  <c r="AE26" i="2"/>
  <c r="Y26" i="2"/>
  <c r="X26" i="2"/>
  <c r="W26" i="2"/>
  <c r="V26" i="2"/>
  <c r="U26" i="2"/>
  <c r="AA26" i="2" s="1"/>
  <c r="T26" i="2"/>
  <c r="J26" i="2"/>
  <c r="S26" i="2" s="1"/>
  <c r="I26" i="2"/>
  <c r="R26" i="2" s="1"/>
  <c r="G26" i="2"/>
  <c r="F26" i="2"/>
  <c r="AJ25" i="2"/>
  <c r="AI25" i="2"/>
  <c r="AH25" i="2"/>
  <c r="AG25" i="2"/>
  <c r="AF25" i="2"/>
  <c r="AE25" i="2"/>
  <c r="Y25" i="2"/>
  <c r="X25" i="2"/>
  <c r="W25" i="2"/>
  <c r="V25" i="2"/>
  <c r="U25" i="2"/>
  <c r="AA25" i="2" s="1"/>
  <c r="T25" i="2"/>
  <c r="J25" i="2"/>
  <c r="S25" i="2" s="1"/>
  <c r="I25" i="2"/>
  <c r="R25" i="2" s="1"/>
  <c r="G25" i="2"/>
  <c r="F25" i="2"/>
  <c r="AJ24" i="2"/>
  <c r="AI24" i="2"/>
  <c r="AH24" i="2"/>
  <c r="AG24" i="2"/>
  <c r="AF24" i="2"/>
  <c r="AE24" i="2"/>
  <c r="Y24" i="2"/>
  <c r="X24" i="2"/>
  <c r="W24" i="2"/>
  <c r="V24" i="2"/>
  <c r="U24" i="2"/>
  <c r="AA24" i="2" s="1"/>
  <c r="T24" i="2"/>
  <c r="J24" i="2"/>
  <c r="S24" i="2" s="1"/>
  <c r="I24" i="2"/>
  <c r="R24" i="2" s="1"/>
  <c r="G24" i="2"/>
  <c r="F24" i="2"/>
  <c r="AJ23" i="2"/>
  <c r="AI23" i="2"/>
  <c r="AH23" i="2"/>
  <c r="AG23" i="2"/>
  <c r="AF23" i="2"/>
  <c r="AE23" i="2"/>
  <c r="Y23" i="2"/>
  <c r="X23" i="2"/>
  <c r="W23" i="2"/>
  <c r="V23" i="2"/>
  <c r="U23" i="2"/>
  <c r="AA23" i="2" s="1"/>
  <c r="T23" i="2"/>
  <c r="J23" i="2"/>
  <c r="S23" i="2" s="1"/>
  <c r="I23" i="2"/>
  <c r="R23" i="2" s="1"/>
  <c r="G23" i="2"/>
  <c r="F23" i="2"/>
  <c r="AJ22" i="2"/>
  <c r="AI22" i="2"/>
  <c r="AH22" i="2"/>
  <c r="AG22" i="2"/>
  <c r="AF22" i="2"/>
  <c r="AE22" i="2"/>
  <c r="Y22" i="2"/>
  <c r="X22" i="2"/>
  <c r="W22" i="2"/>
  <c r="V22" i="2"/>
  <c r="U22" i="2"/>
  <c r="AA22" i="2" s="1"/>
  <c r="T22" i="2"/>
  <c r="J22" i="2"/>
  <c r="S22" i="2" s="1"/>
  <c r="I22" i="2"/>
  <c r="R22" i="2" s="1"/>
  <c r="G22" i="2"/>
  <c r="F22" i="2"/>
  <c r="AJ21" i="2"/>
  <c r="AI21" i="2"/>
  <c r="AH21" i="2"/>
  <c r="AG21" i="2"/>
  <c r="AF21" i="2"/>
  <c r="AE21" i="2"/>
  <c r="Y21" i="2"/>
  <c r="X21" i="2"/>
  <c r="W21" i="2"/>
  <c r="V21" i="2"/>
  <c r="U21" i="2"/>
  <c r="AA21" i="2" s="1"/>
  <c r="T21" i="2"/>
  <c r="J21" i="2"/>
  <c r="S21" i="2" s="1"/>
  <c r="I21" i="2"/>
  <c r="R21" i="2" s="1"/>
  <c r="G21" i="2"/>
  <c r="F21" i="2"/>
  <c r="AJ20" i="2"/>
  <c r="AI20" i="2"/>
  <c r="AH20" i="2"/>
  <c r="AG20" i="2"/>
  <c r="AF20" i="2"/>
  <c r="AE20" i="2"/>
  <c r="Y20" i="2"/>
  <c r="X20" i="2"/>
  <c r="W20" i="2"/>
  <c r="V20" i="2"/>
  <c r="U20" i="2"/>
  <c r="AA20" i="2" s="1"/>
  <c r="T20" i="2"/>
  <c r="J20" i="2"/>
  <c r="S20" i="2" s="1"/>
  <c r="I20" i="2"/>
  <c r="R20" i="2" s="1"/>
  <c r="G20" i="2"/>
  <c r="F20" i="2"/>
  <c r="AJ19" i="2"/>
  <c r="AI19" i="2"/>
  <c r="AH19" i="2"/>
  <c r="AG19" i="2"/>
  <c r="AF19" i="2"/>
  <c r="AE19" i="2"/>
  <c r="Y19" i="2"/>
  <c r="X19" i="2"/>
  <c r="W19" i="2"/>
  <c r="V19" i="2"/>
  <c r="U19" i="2"/>
  <c r="AA19" i="2" s="1"/>
  <c r="T19" i="2"/>
  <c r="J19" i="2"/>
  <c r="S19" i="2" s="1"/>
  <c r="I19" i="2"/>
  <c r="R19" i="2" s="1"/>
  <c r="G19" i="2"/>
  <c r="F19" i="2"/>
  <c r="AJ18" i="2"/>
  <c r="AI18" i="2"/>
  <c r="AH18" i="2"/>
  <c r="AG18" i="2"/>
  <c r="AF18" i="2"/>
  <c r="AE18" i="2"/>
  <c r="Y18" i="2"/>
  <c r="X18" i="2"/>
  <c r="W18" i="2"/>
  <c r="V18" i="2"/>
  <c r="U18" i="2"/>
  <c r="AA18" i="2" s="1"/>
  <c r="T18" i="2"/>
  <c r="J18" i="2"/>
  <c r="S18" i="2" s="1"/>
  <c r="I18" i="2"/>
  <c r="R18" i="2" s="1"/>
  <c r="G18" i="2"/>
  <c r="F18" i="2"/>
  <c r="AJ17" i="2"/>
  <c r="AI17" i="2"/>
  <c r="AH17" i="2"/>
  <c r="AG17" i="2"/>
  <c r="AF17" i="2"/>
  <c r="AE17" i="2"/>
  <c r="Y17" i="2"/>
  <c r="X17" i="2"/>
  <c r="W17" i="2"/>
  <c r="V17" i="2"/>
  <c r="U17" i="2"/>
  <c r="AA17" i="2" s="1"/>
  <c r="T17" i="2"/>
  <c r="J17" i="2"/>
  <c r="S17" i="2" s="1"/>
  <c r="I17" i="2"/>
  <c r="R17" i="2" s="1"/>
  <c r="G17" i="2"/>
  <c r="F17" i="2"/>
  <c r="AJ16" i="2"/>
  <c r="AI16" i="2"/>
  <c r="AH16" i="2"/>
  <c r="AG16" i="2"/>
  <c r="AF16" i="2"/>
  <c r="AE16" i="2"/>
  <c r="Y16" i="2"/>
  <c r="X16" i="2"/>
  <c r="W16" i="2"/>
  <c r="V16" i="2"/>
  <c r="U16" i="2"/>
  <c r="AA16" i="2" s="1"/>
  <c r="T16" i="2"/>
  <c r="J16" i="2"/>
  <c r="S16" i="2" s="1"/>
  <c r="I16" i="2"/>
  <c r="R16" i="2" s="1"/>
  <c r="G16" i="2"/>
  <c r="F16" i="2"/>
  <c r="AJ15" i="2"/>
  <c r="AI15" i="2"/>
  <c r="AH15" i="2"/>
  <c r="AG15" i="2"/>
  <c r="AF15" i="2"/>
  <c r="AE15" i="2"/>
  <c r="Y15" i="2"/>
  <c r="X15" i="2"/>
  <c r="W15" i="2"/>
  <c r="V15" i="2"/>
  <c r="U15" i="2"/>
  <c r="AA15" i="2" s="1"/>
  <c r="T15" i="2"/>
  <c r="J15" i="2"/>
  <c r="S15" i="2" s="1"/>
  <c r="I15" i="2"/>
  <c r="R15" i="2" s="1"/>
  <c r="G15" i="2"/>
  <c r="F15" i="2"/>
  <c r="AJ14" i="2"/>
  <c r="AI14" i="2"/>
  <c r="AH14" i="2"/>
  <c r="AG14" i="2"/>
  <c r="AF14" i="2"/>
  <c r="AE14" i="2"/>
  <c r="Y14" i="2"/>
  <c r="X14" i="2"/>
  <c r="W14" i="2"/>
  <c r="V14" i="2"/>
  <c r="U14" i="2"/>
  <c r="AA14" i="2" s="1"/>
  <c r="T14" i="2"/>
  <c r="J14" i="2"/>
  <c r="S14" i="2" s="1"/>
  <c r="I14" i="2"/>
  <c r="R14" i="2" s="1"/>
  <c r="G14" i="2"/>
  <c r="F14" i="2"/>
  <c r="AJ13" i="2"/>
  <c r="AI13" i="2"/>
  <c r="AH13" i="2"/>
  <c r="AG13" i="2"/>
  <c r="AF13" i="2"/>
  <c r="AE13" i="2"/>
  <c r="Y13" i="2"/>
  <c r="X13" i="2"/>
  <c r="W13" i="2"/>
  <c r="V13" i="2"/>
  <c r="U13" i="2"/>
  <c r="AA13" i="2" s="1"/>
  <c r="T13" i="2"/>
  <c r="J13" i="2"/>
  <c r="S13" i="2" s="1"/>
  <c r="I13" i="2"/>
  <c r="R13" i="2" s="1"/>
  <c r="G13" i="2"/>
  <c r="F13" i="2"/>
  <c r="AJ12" i="2"/>
  <c r="AI12" i="2"/>
  <c r="AH12" i="2"/>
  <c r="AG12" i="2"/>
  <c r="AF12" i="2"/>
  <c r="AE12" i="2"/>
  <c r="Y12" i="2"/>
  <c r="X12" i="2"/>
  <c r="W12" i="2"/>
  <c r="V12" i="2"/>
  <c r="U12" i="2"/>
  <c r="AA12" i="2" s="1"/>
  <c r="T12" i="2"/>
  <c r="J12" i="2"/>
  <c r="S12" i="2" s="1"/>
  <c r="I12" i="2"/>
  <c r="R12" i="2" s="1"/>
  <c r="G12" i="2"/>
  <c r="F12" i="2"/>
  <c r="AK11" i="2"/>
  <c r="AL11" i="2" s="1"/>
  <c r="C10" i="6" s="1"/>
  <c r="AJ11" i="2"/>
  <c r="AI11" i="2"/>
  <c r="AH11" i="2"/>
  <c r="AG11" i="2"/>
  <c r="AF11" i="2"/>
  <c r="AE11" i="2"/>
  <c r="AD11" i="2"/>
  <c r="Y11" i="2"/>
  <c r="W11" i="2"/>
  <c r="V11" i="2"/>
  <c r="J11" i="2"/>
  <c r="S11" i="2" s="1"/>
  <c r="I11" i="2"/>
  <c r="R11" i="2" s="1"/>
  <c r="G11" i="2"/>
  <c r="Q11" i="2" s="1"/>
  <c r="F11" i="2"/>
  <c r="P11" i="2" s="1"/>
  <c r="AH10" i="2"/>
  <c r="AG10" i="2"/>
  <c r="AF10" i="2"/>
  <c r="AE10" i="2"/>
  <c r="Y10" i="2"/>
  <c r="W10" i="2"/>
  <c r="V10" i="2"/>
  <c r="J10" i="2"/>
  <c r="S10" i="2" s="1"/>
  <c r="I10" i="2"/>
  <c r="R10" i="2" s="1"/>
  <c r="G10" i="2"/>
  <c r="F10" i="2"/>
  <c r="AH9" i="2"/>
  <c r="AG9" i="2"/>
  <c r="AF9" i="2"/>
  <c r="AE9" i="2"/>
  <c r="Y9" i="2"/>
  <c r="W9" i="2"/>
  <c r="V9" i="2"/>
  <c r="J9" i="2"/>
  <c r="S9" i="2" s="1"/>
  <c r="I9" i="2"/>
  <c r="R9" i="2" s="1"/>
  <c r="G9" i="2"/>
  <c r="F9" i="2"/>
  <c r="AH8" i="2"/>
  <c r="AG8" i="2"/>
  <c r="AF8" i="2"/>
  <c r="AE8" i="2"/>
  <c r="Y8" i="2"/>
  <c r="W8" i="2"/>
  <c r="V8" i="2"/>
  <c r="J8" i="2"/>
  <c r="S8" i="2" s="1"/>
  <c r="I8" i="2"/>
  <c r="R8" i="2" s="1"/>
  <c r="G8" i="2"/>
  <c r="F8" i="2"/>
  <c r="AH7" i="2"/>
  <c r="AG7" i="2"/>
  <c r="AF7" i="2"/>
  <c r="AE7" i="2"/>
  <c r="Y7" i="2"/>
  <c r="W7" i="2"/>
  <c r="V7" i="2"/>
  <c r="J7" i="2"/>
  <c r="S7" i="2" s="1"/>
  <c r="I7" i="2"/>
  <c r="R7" i="2" s="1"/>
  <c r="G7" i="2"/>
  <c r="F7" i="2"/>
  <c r="AH6" i="2"/>
  <c r="AG6" i="2"/>
  <c r="AF6" i="2"/>
  <c r="AE6" i="2"/>
  <c r="Y6" i="2"/>
  <c r="W6" i="2"/>
  <c r="V6" i="2"/>
  <c r="J6" i="2"/>
  <c r="S6" i="2" s="1"/>
  <c r="I6" i="2"/>
  <c r="R6" i="2" s="1"/>
  <c r="G6" i="2"/>
  <c r="F6" i="2"/>
  <c r="AH5" i="2"/>
  <c r="AG5" i="2"/>
  <c r="AF5" i="2"/>
  <c r="AE5" i="2"/>
  <c r="Y5" i="2"/>
  <c r="W5" i="2"/>
  <c r="V5" i="2"/>
  <c r="J5" i="2"/>
  <c r="S5" i="2" s="1"/>
  <c r="I5" i="2"/>
  <c r="R5" i="2" s="1"/>
  <c r="G5" i="2"/>
  <c r="F5" i="2"/>
  <c r="AH4" i="2"/>
  <c r="AG4" i="2"/>
  <c r="AF4" i="2"/>
  <c r="AE4" i="2"/>
  <c r="Y4" i="2"/>
  <c r="W4" i="2"/>
  <c r="V4" i="2"/>
  <c r="J4" i="2"/>
  <c r="S4" i="2" s="1"/>
  <c r="I4" i="2"/>
  <c r="R4" i="2" s="1"/>
  <c r="G4" i="2"/>
  <c r="F4" i="2"/>
  <c r="B187" i="6" l="1"/>
  <c r="B181" i="6"/>
  <c r="U161" i="2"/>
  <c r="AI161" i="2"/>
  <c r="X161" i="2"/>
  <c r="L160" i="6"/>
  <c r="T161" i="2"/>
  <c r="AI160" i="2"/>
  <c r="U160" i="2"/>
  <c r="T160" i="2"/>
  <c r="X160" i="2"/>
  <c r="L159" i="6"/>
  <c r="U159" i="2"/>
  <c r="AI159" i="2"/>
  <c r="L158" i="6"/>
  <c r="T159" i="2"/>
  <c r="X159" i="2"/>
  <c r="U158" i="2"/>
  <c r="AI158" i="2"/>
  <c r="L157" i="6"/>
  <c r="T158" i="2"/>
  <c r="X158" i="2"/>
  <c r="AI157" i="2"/>
  <c r="U157" i="2"/>
  <c r="AA157" i="2" s="1"/>
  <c r="T157" i="2"/>
  <c r="X157" i="2"/>
  <c r="L156" i="6"/>
  <c r="AI156" i="2"/>
  <c r="U156" i="2"/>
  <c r="T156" i="2"/>
  <c r="L155" i="6"/>
  <c r="X156" i="2"/>
  <c r="AI155" i="2"/>
  <c r="U155" i="2"/>
  <c r="L154" i="6"/>
  <c r="T155" i="2"/>
  <c r="X155" i="2"/>
  <c r="U154" i="2"/>
  <c r="AI154" i="2"/>
  <c r="T154" i="2"/>
  <c r="X154" i="2"/>
  <c r="L153" i="6"/>
  <c r="U153" i="2"/>
  <c r="AI153" i="2"/>
  <c r="L152" i="6"/>
  <c r="T153" i="2"/>
  <c r="X153" i="2"/>
  <c r="U152" i="2"/>
  <c r="AA152" i="2" s="1"/>
  <c r="AI152" i="2"/>
  <c r="X152" i="2"/>
  <c r="T152" i="2"/>
  <c r="L151" i="6"/>
  <c r="U151" i="2"/>
  <c r="AI151" i="2"/>
  <c r="X151" i="2"/>
  <c r="T151" i="2"/>
  <c r="L150" i="6"/>
  <c r="U150" i="2"/>
  <c r="AI150" i="2"/>
  <c r="T150" i="2"/>
  <c r="X150" i="2"/>
  <c r="L149" i="6"/>
  <c r="AI149" i="2"/>
  <c r="U149" i="2"/>
  <c r="T149" i="2"/>
  <c r="X149" i="2"/>
  <c r="L148" i="6"/>
  <c r="AI148" i="2"/>
  <c r="U148" i="2"/>
  <c r="AA148" i="2" s="1"/>
  <c r="X148" i="2"/>
  <c r="L147" i="6"/>
  <c r="T148" i="2"/>
  <c r="AI147" i="2"/>
  <c r="U147" i="2"/>
  <c r="AA147" i="2" s="1"/>
  <c r="T147" i="2"/>
  <c r="X147" i="2"/>
  <c r="L146" i="6"/>
  <c r="AI146" i="2"/>
  <c r="U146" i="2"/>
  <c r="L145" i="6"/>
  <c r="T146" i="2"/>
  <c r="X146" i="2"/>
  <c r="U145" i="2"/>
  <c r="AI145" i="2"/>
  <c r="L144" i="6"/>
  <c r="T145" i="2"/>
  <c r="X145" i="2"/>
  <c r="U144" i="2"/>
  <c r="AA144" i="2" s="1"/>
  <c r="AB144" i="2" s="1"/>
  <c r="AI144" i="2"/>
  <c r="T144" i="2"/>
  <c r="X144" i="2"/>
  <c r="L143" i="6"/>
  <c r="AI143" i="2"/>
  <c r="U143" i="2"/>
  <c r="L142" i="6"/>
  <c r="T143" i="2"/>
  <c r="X143" i="2"/>
  <c r="U142" i="2"/>
  <c r="AI142" i="2"/>
  <c r="L141" i="6"/>
  <c r="X142" i="2"/>
  <c r="T142" i="2"/>
  <c r="AI141" i="2"/>
  <c r="U141" i="2"/>
  <c r="X141" i="2"/>
  <c r="L140" i="6"/>
  <c r="T141" i="2"/>
  <c r="U140" i="2"/>
  <c r="AI140" i="2"/>
  <c r="X140" i="2"/>
  <c r="T140" i="2"/>
  <c r="L139" i="6"/>
  <c r="AI139" i="2"/>
  <c r="U139" i="2"/>
  <c r="AA139" i="2" s="1"/>
  <c r="X139" i="2"/>
  <c r="L138" i="6"/>
  <c r="T139" i="2"/>
  <c r="AI138" i="2"/>
  <c r="U138" i="2"/>
  <c r="AA138" i="2" s="1"/>
  <c r="X138" i="2"/>
  <c r="T138" i="2"/>
  <c r="L137" i="6"/>
  <c r="AI137" i="2"/>
  <c r="U137" i="2"/>
  <c r="AA137" i="2" s="1"/>
  <c r="X137" i="2"/>
  <c r="L136" i="6"/>
  <c r="T137" i="2"/>
  <c r="U136" i="2"/>
  <c r="AI136" i="2"/>
  <c r="L135" i="6"/>
  <c r="X136" i="2"/>
  <c r="T136" i="2"/>
  <c r="AI135" i="2"/>
  <c r="U135" i="2"/>
  <c r="X135" i="2"/>
  <c r="T135" i="2"/>
  <c r="L134" i="6"/>
  <c r="U134" i="2"/>
  <c r="AI134" i="2"/>
  <c r="L133" i="6"/>
  <c r="T134" i="2"/>
  <c r="X134" i="2"/>
  <c r="U133" i="2"/>
  <c r="AI133" i="2"/>
  <c r="X133" i="2"/>
  <c r="T133" i="2"/>
  <c r="L132" i="6"/>
  <c r="U132" i="2"/>
  <c r="AI132" i="2"/>
  <c r="T132" i="2"/>
  <c r="X132" i="2"/>
  <c r="L131" i="6"/>
  <c r="U131" i="2"/>
  <c r="AI131" i="2"/>
  <c r="X131" i="2"/>
  <c r="T131" i="2"/>
  <c r="L130" i="6"/>
  <c r="U130" i="2"/>
  <c r="AI130" i="2"/>
  <c r="X130" i="2"/>
  <c r="T130" i="2"/>
  <c r="L129" i="6"/>
  <c r="AI129" i="2"/>
  <c r="U129" i="2"/>
  <c r="X129" i="2"/>
  <c r="T129" i="2"/>
  <c r="L128" i="6"/>
  <c r="AI128" i="2"/>
  <c r="U128" i="2"/>
  <c r="AA128" i="2" s="1"/>
  <c r="X128" i="2"/>
  <c r="L127" i="6"/>
  <c r="T128" i="2"/>
  <c r="AI127" i="2"/>
  <c r="U127" i="2"/>
  <c r="AA127" i="2" s="1"/>
  <c r="X127" i="2"/>
  <c r="T127" i="2"/>
  <c r="L126" i="6"/>
  <c r="AI126" i="2"/>
  <c r="U126" i="2"/>
  <c r="AA126" i="2" s="1"/>
  <c r="L125" i="6"/>
  <c r="T126" i="2"/>
  <c r="X126" i="2"/>
  <c r="U125" i="2"/>
  <c r="AI125" i="2"/>
  <c r="X125" i="2"/>
  <c r="T125" i="2"/>
  <c r="L124" i="6"/>
  <c r="AI124" i="2"/>
  <c r="AL124" i="2" s="1"/>
  <c r="C123" i="6" s="1"/>
  <c r="U124" i="2"/>
  <c r="L123" i="6"/>
  <c r="X124" i="2"/>
  <c r="T124" i="2"/>
  <c r="Z124" i="2" s="1"/>
  <c r="U123" i="2"/>
  <c r="AI123" i="2"/>
  <c r="L122" i="6"/>
  <c r="X123" i="2"/>
  <c r="T123" i="2"/>
  <c r="U122" i="2"/>
  <c r="AI122" i="2"/>
  <c r="L121" i="6"/>
  <c r="T122" i="2"/>
  <c r="X122" i="2"/>
  <c r="U121" i="2"/>
  <c r="AI121" i="2"/>
  <c r="L120" i="6"/>
  <c r="X121" i="2"/>
  <c r="T121" i="2"/>
  <c r="U120" i="2"/>
  <c r="AI120" i="2"/>
  <c r="L119" i="6"/>
  <c r="T120" i="2"/>
  <c r="X120" i="2"/>
  <c r="U119" i="2"/>
  <c r="AA119" i="2" s="1"/>
  <c r="AI119" i="2"/>
  <c r="T119" i="2"/>
  <c r="L118" i="6"/>
  <c r="X119" i="2"/>
  <c r="AI118" i="2"/>
  <c r="U118" i="2"/>
  <c r="AA118" i="2" s="1"/>
  <c r="X118" i="2"/>
  <c r="T118" i="2"/>
  <c r="L117" i="6"/>
  <c r="U117" i="2"/>
  <c r="AA117" i="2" s="1"/>
  <c r="AI117" i="2"/>
  <c r="L116" i="6"/>
  <c r="X117" i="2"/>
  <c r="T117" i="2"/>
  <c r="AI116" i="2"/>
  <c r="U116" i="2"/>
  <c r="AA116" i="2" s="1"/>
  <c r="L115" i="6"/>
  <c r="X116" i="2"/>
  <c r="T116" i="2"/>
  <c r="U115" i="2"/>
  <c r="AI115" i="2"/>
  <c r="L114" i="6"/>
  <c r="T115" i="2"/>
  <c r="X115" i="2"/>
  <c r="U114" i="2"/>
  <c r="AI114" i="2"/>
  <c r="L113" i="6"/>
  <c r="X114" i="2"/>
  <c r="T114" i="2"/>
  <c r="U113" i="2"/>
  <c r="AA113" i="2" s="1"/>
  <c r="AI113" i="2"/>
  <c r="T113" i="2"/>
  <c r="X113" i="2"/>
  <c r="L112" i="6"/>
  <c r="AI112" i="2"/>
  <c r="U112" i="2"/>
  <c r="X112" i="2"/>
  <c r="L111" i="6"/>
  <c r="T112" i="2"/>
  <c r="U111" i="2"/>
  <c r="AA111" i="2" s="1"/>
  <c r="AI111" i="2"/>
  <c r="L110" i="6"/>
  <c r="X111" i="2"/>
  <c r="T111" i="2"/>
  <c r="AI110" i="2"/>
  <c r="U110" i="2"/>
  <c r="AA110" i="2" s="1"/>
  <c r="L109" i="6"/>
  <c r="X110" i="2"/>
  <c r="T110" i="2"/>
  <c r="U109" i="2"/>
  <c r="AA109" i="2" s="1"/>
  <c r="AI109" i="2"/>
  <c r="T109" i="2"/>
  <c r="X109" i="2"/>
  <c r="L108" i="6"/>
  <c r="AI108" i="2"/>
  <c r="U108" i="2"/>
  <c r="AA108" i="2" s="1"/>
  <c r="L107" i="6"/>
  <c r="X108" i="2"/>
  <c r="T108" i="2"/>
  <c r="AI107" i="2"/>
  <c r="U107" i="2"/>
  <c r="L106" i="6"/>
  <c r="X107" i="2"/>
  <c r="T107" i="2"/>
  <c r="AI106" i="2"/>
  <c r="U106" i="2"/>
  <c r="L105" i="6"/>
  <c r="T106" i="2"/>
  <c r="X106" i="2"/>
  <c r="U105" i="2"/>
  <c r="AI105" i="2"/>
  <c r="T105" i="2"/>
  <c r="L104" i="6"/>
  <c r="X105" i="2"/>
  <c r="U104" i="2"/>
  <c r="AI104" i="2"/>
  <c r="X104" i="2"/>
  <c r="T104" i="2"/>
  <c r="L103" i="6"/>
  <c r="U103" i="2"/>
  <c r="AI103" i="2"/>
  <c r="L102" i="6"/>
  <c r="X103" i="2"/>
  <c r="T103" i="2"/>
  <c r="U102" i="2"/>
  <c r="AI102" i="2"/>
  <c r="T102" i="2"/>
  <c r="X102" i="2"/>
  <c r="L101" i="6"/>
  <c r="AI101" i="2"/>
  <c r="U101" i="2"/>
  <c r="X101" i="2"/>
  <c r="T101" i="2"/>
  <c r="L100" i="6"/>
  <c r="U100" i="2"/>
  <c r="AI100" i="2"/>
  <c r="T100" i="2"/>
  <c r="X100" i="2"/>
  <c r="L99" i="6"/>
  <c r="U99" i="2"/>
  <c r="AI99" i="2"/>
  <c r="T99" i="2"/>
  <c r="L98" i="6"/>
  <c r="X99" i="2"/>
  <c r="U98" i="2"/>
  <c r="AA98" i="2" s="1"/>
  <c r="AB98" i="2" s="1"/>
  <c r="AI98" i="2"/>
  <c r="AI48" i="2"/>
  <c r="U48" i="2"/>
  <c r="X48" i="2"/>
  <c r="T48" i="2"/>
  <c r="AI47" i="2"/>
  <c r="U47" i="2"/>
  <c r="T47" i="2"/>
  <c r="X47" i="2"/>
  <c r="U46" i="2"/>
  <c r="AI46" i="2"/>
  <c r="X46" i="2"/>
  <c r="T46" i="2"/>
  <c r="U45" i="2"/>
  <c r="AI45" i="2"/>
  <c r="X45" i="2"/>
  <c r="T45" i="2"/>
  <c r="U44" i="2"/>
  <c r="AI44" i="2"/>
  <c r="X44" i="2"/>
  <c r="T44" i="2"/>
  <c r="AI43" i="2"/>
  <c r="U43" i="2"/>
  <c r="T43" i="2"/>
  <c r="X43" i="2"/>
  <c r="U42" i="2"/>
  <c r="AI42" i="2"/>
  <c r="X42" i="2"/>
  <c r="T42" i="2"/>
  <c r="U41" i="2"/>
  <c r="AI41" i="2"/>
  <c r="T41" i="2"/>
  <c r="X41" i="2"/>
  <c r="U40" i="2"/>
  <c r="AI40" i="2"/>
  <c r="T40" i="2"/>
  <c r="X40" i="2"/>
  <c r="AI39" i="2"/>
  <c r="U39" i="2"/>
  <c r="X39" i="2"/>
  <c r="T39" i="2"/>
  <c r="U38" i="2"/>
  <c r="AI38" i="2"/>
  <c r="X38" i="2"/>
  <c r="T38" i="2"/>
  <c r="AI37" i="2"/>
  <c r="U37" i="2"/>
  <c r="X37" i="2"/>
  <c r="T37" i="2"/>
  <c r="AI36" i="2"/>
  <c r="U36" i="2"/>
  <c r="X36" i="2"/>
  <c r="T36" i="2"/>
  <c r="AI35" i="2"/>
  <c r="U35" i="2"/>
  <c r="T35" i="2"/>
  <c r="X35" i="2"/>
  <c r="AI34" i="2"/>
  <c r="U34" i="2"/>
  <c r="X34" i="2"/>
  <c r="T34" i="2"/>
  <c r="AI33" i="2"/>
  <c r="U33" i="2"/>
  <c r="T33" i="2"/>
  <c r="X33" i="2"/>
  <c r="U32" i="2"/>
  <c r="AI32" i="2"/>
  <c r="T32" i="2"/>
  <c r="X32" i="2"/>
  <c r="T11" i="2"/>
  <c r="Z11" i="2" s="1"/>
  <c r="AC11" i="2" s="1"/>
  <c r="N10" i="6" s="1"/>
  <c r="X11" i="2"/>
  <c r="AA11" i="2" s="1"/>
  <c r="U10" i="2"/>
  <c r="AI10" i="2"/>
  <c r="X10" i="2"/>
  <c r="T10" i="2"/>
  <c r="AI9" i="2"/>
  <c r="U9" i="2"/>
  <c r="X9" i="2"/>
  <c r="T9" i="2"/>
  <c r="U8" i="2"/>
  <c r="AI8" i="2"/>
  <c r="T8" i="2"/>
  <c r="X8" i="2"/>
  <c r="U7" i="2"/>
  <c r="AI7" i="2"/>
  <c r="X7" i="2"/>
  <c r="T7" i="2"/>
  <c r="AI6" i="2"/>
  <c r="U6" i="2"/>
  <c r="T6" i="2"/>
  <c r="X6" i="2"/>
  <c r="U5" i="2"/>
  <c r="AI5" i="2"/>
  <c r="T5" i="2"/>
  <c r="X5" i="2"/>
  <c r="U4" i="2"/>
  <c r="AI4" i="2"/>
  <c r="T4" i="2"/>
  <c r="X4" i="2"/>
  <c r="Q177" i="2"/>
  <c r="AD177" i="2"/>
  <c r="P177" i="2"/>
  <c r="Z177" i="2" s="1"/>
  <c r="AK177" i="2"/>
  <c r="AL177" i="2" s="1"/>
  <c r="C176" i="6" s="1"/>
  <c r="Q176" i="2"/>
  <c r="AD176" i="2"/>
  <c r="P176" i="2"/>
  <c r="Z176" i="2" s="1"/>
  <c r="AK176" i="2"/>
  <c r="AL176" i="2" s="1"/>
  <c r="C175" i="6" s="1"/>
  <c r="AD175" i="2"/>
  <c r="Q175" i="2"/>
  <c r="P175" i="2"/>
  <c r="Z175" i="2" s="1"/>
  <c r="AK175" i="2"/>
  <c r="AL175" i="2" s="1"/>
  <c r="C174" i="6" s="1"/>
  <c r="Q174" i="2"/>
  <c r="AD174" i="2"/>
  <c r="AK174" i="2"/>
  <c r="AL174" i="2" s="1"/>
  <c r="C173" i="6" s="1"/>
  <c r="P174" i="2"/>
  <c r="Z174" i="2" s="1"/>
  <c r="Q173" i="2"/>
  <c r="AD173" i="2"/>
  <c r="AK173" i="2"/>
  <c r="AL173" i="2" s="1"/>
  <c r="C172" i="6" s="1"/>
  <c r="P173" i="2"/>
  <c r="Q172" i="2"/>
  <c r="AD172" i="2"/>
  <c r="P172" i="2"/>
  <c r="Z172" i="2" s="1"/>
  <c r="AK172" i="2"/>
  <c r="AL172" i="2" s="1"/>
  <c r="C171" i="6" s="1"/>
  <c r="AD171" i="2"/>
  <c r="Q171" i="2"/>
  <c r="AK171" i="2"/>
  <c r="AL171" i="2" s="1"/>
  <c r="C170" i="6" s="1"/>
  <c r="P171" i="2"/>
  <c r="Z171" i="2" s="1"/>
  <c r="AD170" i="2"/>
  <c r="D8" i="7"/>
  <c r="M8" i="7" s="1"/>
  <c r="Q170" i="2"/>
  <c r="P170" i="2"/>
  <c r="Z170" i="2" s="1"/>
  <c r="AK170" i="2"/>
  <c r="AL170" i="2" s="1"/>
  <c r="C169" i="6" s="1"/>
  <c r="AD169" i="2"/>
  <c r="Q169" i="2"/>
  <c r="AK169" i="2"/>
  <c r="AL169" i="2" s="1"/>
  <c r="C168" i="6" s="1"/>
  <c r="P169" i="2"/>
  <c r="Z169" i="2" s="1"/>
  <c r="AD168" i="2"/>
  <c r="Q168" i="2"/>
  <c r="P168" i="2"/>
  <c r="Z168" i="2" s="1"/>
  <c r="AK168" i="2"/>
  <c r="AL168" i="2" s="1"/>
  <c r="C167" i="6" s="1"/>
  <c r="D3" i="7"/>
  <c r="M3" i="7" s="1"/>
  <c r="AD167" i="2"/>
  <c r="Q167" i="2"/>
  <c r="P167" i="2"/>
  <c r="Z167" i="2" s="1"/>
  <c r="AK167" i="2"/>
  <c r="AL167" i="2" s="1"/>
  <c r="C166" i="6" s="1"/>
  <c r="D14" i="7"/>
  <c r="M14" i="7" s="1"/>
  <c r="Q166" i="2"/>
  <c r="AD166" i="2"/>
  <c r="P166" i="2"/>
  <c r="Z166" i="2" s="1"/>
  <c r="AK166" i="2"/>
  <c r="AL166" i="2" s="1"/>
  <c r="C165" i="6" s="1"/>
  <c r="AD165" i="2"/>
  <c r="D16" i="7"/>
  <c r="M16" i="7" s="1"/>
  <c r="Q165" i="2"/>
  <c r="P165" i="2"/>
  <c r="Z165" i="2" s="1"/>
  <c r="AK165" i="2"/>
  <c r="AL165" i="2" s="1"/>
  <c r="C164" i="6" s="1"/>
  <c r="Q164" i="2"/>
  <c r="D5" i="7"/>
  <c r="M5" i="7" s="1"/>
  <c r="AD164" i="2"/>
  <c r="AK164" i="2"/>
  <c r="AL164" i="2" s="1"/>
  <c r="C163" i="6" s="1"/>
  <c r="P164" i="2"/>
  <c r="Z164" i="2" s="1"/>
  <c r="AD163" i="2"/>
  <c r="Q163" i="2"/>
  <c r="D6" i="7"/>
  <c r="M6" i="7" s="1"/>
  <c r="P163" i="2"/>
  <c r="Z163" i="2" s="1"/>
  <c r="AK163" i="2"/>
  <c r="AL163" i="2" s="1"/>
  <c r="C162" i="6" s="1"/>
  <c r="AD162" i="2"/>
  <c r="D10" i="7"/>
  <c r="M10" i="7" s="1"/>
  <c r="Q162" i="2"/>
  <c r="AK162" i="2"/>
  <c r="AL162" i="2" s="1"/>
  <c r="C161" i="6" s="1"/>
  <c r="P162" i="2"/>
  <c r="Z162" i="2" s="1"/>
  <c r="Q161" i="2"/>
  <c r="AD161" i="2"/>
  <c r="AK161" i="2"/>
  <c r="AL161" i="2" s="1"/>
  <c r="C160" i="6" s="1"/>
  <c r="P161" i="2"/>
  <c r="Z161" i="2" s="1"/>
  <c r="Q160" i="2"/>
  <c r="AD160" i="2"/>
  <c r="P160" i="2"/>
  <c r="Z160" i="2" s="1"/>
  <c r="AK160" i="2"/>
  <c r="AL160" i="2" s="1"/>
  <c r="C159" i="6" s="1"/>
  <c r="AD159" i="2"/>
  <c r="Q159" i="2"/>
  <c r="P159" i="2"/>
  <c r="Z159" i="2" s="1"/>
  <c r="AK159" i="2"/>
  <c r="AL159" i="2" s="1"/>
  <c r="C158" i="6" s="1"/>
  <c r="Q158" i="2"/>
  <c r="AD158" i="2"/>
  <c r="P158" i="2"/>
  <c r="Z158" i="2" s="1"/>
  <c r="AK158" i="2"/>
  <c r="AD157" i="2"/>
  <c r="Q157" i="2"/>
  <c r="AK157" i="2"/>
  <c r="P157" i="2"/>
  <c r="AD156" i="2"/>
  <c r="Q156" i="2"/>
  <c r="AK156" i="2"/>
  <c r="P156" i="2"/>
  <c r="Q155" i="2"/>
  <c r="AD155" i="2"/>
  <c r="P155" i="2"/>
  <c r="AK155" i="2"/>
  <c r="AD154" i="2"/>
  <c r="Q154" i="2"/>
  <c r="AK154" i="2"/>
  <c r="P154" i="2"/>
  <c r="AD153" i="2"/>
  <c r="Q153" i="2"/>
  <c r="P153" i="2"/>
  <c r="AK153" i="2"/>
  <c r="Q152" i="2"/>
  <c r="AD152" i="2"/>
  <c r="P152" i="2"/>
  <c r="AK152" i="2"/>
  <c r="Q151" i="2"/>
  <c r="AD151" i="2"/>
  <c r="AK151" i="2"/>
  <c r="P151" i="2"/>
  <c r="Q150" i="2"/>
  <c r="AD150" i="2"/>
  <c r="P150" i="2"/>
  <c r="AK150" i="2"/>
  <c r="AD149" i="2"/>
  <c r="Q149" i="2"/>
  <c r="AK149" i="2"/>
  <c r="P149" i="2"/>
  <c r="Q148" i="2"/>
  <c r="AD148" i="2"/>
  <c r="AK148" i="2"/>
  <c r="P148" i="2"/>
  <c r="AD147" i="2"/>
  <c r="Q147" i="2"/>
  <c r="AK147" i="2"/>
  <c r="P147" i="2"/>
  <c r="Q146" i="2"/>
  <c r="AD146" i="2"/>
  <c r="AK146" i="2"/>
  <c r="P146" i="2"/>
  <c r="AD145" i="2"/>
  <c r="Q145" i="2"/>
  <c r="P145" i="2"/>
  <c r="AK145" i="2"/>
  <c r="Q144" i="2"/>
  <c r="AD144" i="2"/>
  <c r="AK144" i="2"/>
  <c r="P144" i="2"/>
  <c r="Z144" i="2" s="1"/>
  <c r="Q143" i="2"/>
  <c r="AD143" i="2"/>
  <c r="P143" i="2"/>
  <c r="AK143" i="2"/>
  <c r="AD142" i="2"/>
  <c r="Q142" i="2"/>
  <c r="AK142" i="2"/>
  <c r="P142" i="2"/>
  <c r="Q141" i="2"/>
  <c r="AD141" i="2"/>
  <c r="P141" i="2"/>
  <c r="AK141" i="2"/>
  <c r="AD140" i="2"/>
  <c r="Q140" i="2"/>
  <c r="P140" i="2"/>
  <c r="AK140" i="2"/>
  <c r="Q139" i="2"/>
  <c r="AD139" i="2"/>
  <c r="P139" i="2"/>
  <c r="AK139" i="2"/>
  <c r="AD138" i="2"/>
  <c r="Q138" i="2"/>
  <c r="AK138" i="2"/>
  <c r="P138" i="2"/>
  <c r="AD137" i="2"/>
  <c r="Q137" i="2"/>
  <c r="AK137" i="2"/>
  <c r="P137" i="2"/>
  <c r="AD136" i="2"/>
  <c r="Q136" i="2"/>
  <c r="AK136" i="2"/>
  <c r="P136" i="2"/>
  <c r="AD135" i="2"/>
  <c r="Q135" i="2"/>
  <c r="AK135" i="2"/>
  <c r="P135" i="2"/>
  <c r="Q134" i="2"/>
  <c r="AD134" i="2"/>
  <c r="P134" i="2"/>
  <c r="AK134" i="2"/>
  <c r="Q133" i="2"/>
  <c r="AD133" i="2"/>
  <c r="P133" i="2"/>
  <c r="AK133" i="2"/>
  <c r="Q132" i="2"/>
  <c r="AD132" i="2"/>
  <c r="AK132" i="2"/>
  <c r="P132" i="2"/>
  <c r="Q131" i="2"/>
  <c r="AD131" i="2"/>
  <c r="P131" i="2"/>
  <c r="AK131" i="2"/>
  <c r="AD130" i="2"/>
  <c r="Q130" i="2"/>
  <c r="AK130" i="2"/>
  <c r="P130" i="2"/>
  <c r="AD129" i="2"/>
  <c r="Q129" i="2"/>
  <c r="AK129" i="2"/>
  <c r="P129" i="2"/>
  <c r="Q128" i="2"/>
  <c r="AD128" i="2"/>
  <c r="P128" i="2"/>
  <c r="AK128" i="2"/>
  <c r="AD127" i="2"/>
  <c r="Q127" i="2"/>
  <c r="P127" i="2"/>
  <c r="AK127" i="2"/>
  <c r="AD126" i="2"/>
  <c r="Q126" i="2"/>
  <c r="P126" i="2"/>
  <c r="AK126" i="2"/>
  <c r="Q125" i="2"/>
  <c r="AD125" i="2"/>
  <c r="P125" i="2"/>
  <c r="AK125" i="2"/>
  <c r="Q123" i="2"/>
  <c r="AD123" i="2"/>
  <c r="P123" i="2"/>
  <c r="AK123" i="2"/>
  <c r="AD122" i="2"/>
  <c r="Q122" i="2"/>
  <c r="AK122" i="2"/>
  <c r="P122" i="2"/>
  <c r="AD121" i="2"/>
  <c r="Q121" i="2"/>
  <c r="P121" i="2"/>
  <c r="AK121" i="2"/>
  <c r="Q120" i="2"/>
  <c r="AD120" i="2"/>
  <c r="AK120" i="2"/>
  <c r="P120" i="2"/>
  <c r="Q119" i="2"/>
  <c r="AD119" i="2"/>
  <c r="P119" i="2"/>
  <c r="AK119" i="2"/>
  <c r="AD118" i="2"/>
  <c r="Q118" i="2"/>
  <c r="AK118" i="2"/>
  <c r="P118" i="2"/>
  <c r="Q117" i="2"/>
  <c r="AD117" i="2"/>
  <c r="AK117" i="2"/>
  <c r="P117" i="2"/>
  <c r="AD116" i="2"/>
  <c r="Q116" i="2"/>
  <c r="AK116" i="2"/>
  <c r="P116" i="2"/>
  <c r="AD115" i="2"/>
  <c r="Q115" i="2"/>
  <c r="AK115" i="2"/>
  <c r="P115" i="2"/>
  <c r="Q114" i="2"/>
  <c r="AD114" i="2"/>
  <c r="P114" i="2"/>
  <c r="AK114" i="2"/>
  <c r="Q113" i="2"/>
  <c r="AD113" i="2"/>
  <c r="AK113" i="2"/>
  <c r="P113" i="2"/>
  <c r="AD112" i="2"/>
  <c r="Q112" i="2"/>
  <c r="AK112" i="2"/>
  <c r="P112" i="2"/>
  <c r="AD111" i="2"/>
  <c r="Q111" i="2"/>
  <c r="P111" i="2"/>
  <c r="AK111" i="2"/>
  <c r="Q110" i="2"/>
  <c r="AD110" i="2"/>
  <c r="AK110" i="2"/>
  <c r="P110" i="2"/>
  <c r="Q109" i="2"/>
  <c r="AD109" i="2"/>
  <c r="AK109" i="2"/>
  <c r="P109" i="2"/>
  <c r="Q108" i="2"/>
  <c r="AD108" i="2"/>
  <c r="P108" i="2"/>
  <c r="AK108" i="2"/>
  <c r="AD107" i="2"/>
  <c r="Q107" i="2"/>
  <c r="AK107" i="2"/>
  <c r="P107" i="2"/>
  <c r="Q106" i="2"/>
  <c r="AD106" i="2"/>
  <c r="P106" i="2"/>
  <c r="AK106" i="2"/>
  <c r="Q105" i="2"/>
  <c r="AD105" i="2"/>
  <c r="AK105" i="2"/>
  <c r="P105" i="2"/>
  <c r="AD104" i="2"/>
  <c r="Q104" i="2"/>
  <c r="AK104" i="2"/>
  <c r="P104" i="2"/>
  <c r="AD103" i="2"/>
  <c r="Q103" i="2"/>
  <c r="P103" i="2"/>
  <c r="AK103" i="2"/>
  <c r="AD102" i="2"/>
  <c r="Q102" i="2"/>
  <c r="P102" i="2"/>
  <c r="AK102" i="2"/>
  <c r="Q101" i="2"/>
  <c r="AD101" i="2"/>
  <c r="AK101" i="2"/>
  <c r="P101" i="2"/>
  <c r="AD100" i="2"/>
  <c r="Q100" i="2"/>
  <c r="AK100" i="2"/>
  <c r="P100" i="2"/>
  <c r="Q99" i="2"/>
  <c r="AD99" i="2"/>
  <c r="P99" i="2"/>
  <c r="AK99" i="2"/>
  <c r="Q98" i="2"/>
  <c r="AD98" i="2"/>
  <c r="P98" i="2"/>
  <c r="Z98" i="2" s="1"/>
  <c r="AK98" i="2"/>
  <c r="AD97" i="2"/>
  <c r="Q97" i="2"/>
  <c r="AK97" i="2"/>
  <c r="AL97" i="2" s="1"/>
  <c r="C96" i="6" s="1"/>
  <c r="P97" i="2"/>
  <c r="Z97" i="2" s="1"/>
  <c r="AD96" i="2"/>
  <c r="Q96" i="2"/>
  <c r="AK96" i="2"/>
  <c r="AL96" i="2" s="1"/>
  <c r="C95" i="6" s="1"/>
  <c r="P96" i="2"/>
  <c r="Z96" i="2" s="1"/>
  <c r="AD95" i="2"/>
  <c r="Q95" i="2"/>
  <c r="P95" i="2"/>
  <c r="Z95" i="2" s="1"/>
  <c r="AK95" i="2"/>
  <c r="AL95" i="2" s="1"/>
  <c r="C94" i="6" s="1"/>
  <c r="AD94" i="2"/>
  <c r="Q94" i="2"/>
  <c r="P94" i="2"/>
  <c r="Z94" i="2" s="1"/>
  <c r="AK94" i="2"/>
  <c r="AL94" i="2" s="1"/>
  <c r="C93" i="6" s="1"/>
  <c r="Q93" i="2"/>
  <c r="AD93" i="2"/>
  <c r="P93" i="2"/>
  <c r="Z93" i="2" s="1"/>
  <c r="AK93" i="2"/>
  <c r="AL93" i="2" s="1"/>
  <c r="C92" i="6" s="1"/>
  <c r="AD92" i="2"/>
  <c r="Q92" i="2"/>
  <c r="AK92" i="2"/>
  <c r="AL92" i="2" s="1"/>
  <c r="C91" i="6" s="1"/>
  <c r="P92" i="2"/>
  <c r="Z92" i="2" s="1"/>
  <c r="AD91" i="2"/>
  <c r="Q91" i="2"/>
  <c r="P91" i="2"/>
  <c r="Z91" i="2" s="1"/>
  <c r="AK91" i="2"/>
  <c r="AL91" i="2" s="1"/>
  <c r="C90" i="6" s="1"/>
  <c r="Q90" i="2"/>
  <c r="AD90" i="2"/>
  <c r="AK90" i="2"/>
  <c r="AL90" i="2" s="1"/>
  <c r="C89" i="6" s="1"/>
  <c r="P90" i="2"/>
  <c r="Z90" i="2" s="1"/>
  <c r="Q89" i="2"/>
  <c r="AD89" i="2"/>
  <c r="P89" i="2"/>
  <c r="Z89" i="2" s="1"/>
  <c r="AK89" i="2"/>
  <c r="AL89" i="2" s="1"/>
  <c r="C88" i="6" s="1"/>
  <c r="Q88" i="2"/>
  <c r="AD88" i="2"/>
  <c r="P88" i="2"/>
  <c r="Z88" i="2" s="1"/>
  <c r="AK88" i="2"/>
  <c r="AL88" i="2" s="1"/>
  <c r="C87" i="6" s="1"/>
  <c r="Q87" i="2"/>
  <c r="AD87" i="2"/>
  <c r="P87" i="2"/>
  <c r="Z87" i="2" s="1"/>
  <c r="AK87" i="2"/>
  <c r="AL87" i="2" s="1"/>
  <c r="C86" i="6" s="1"/>
  <c r="D85" i="6"/>
  <c r="S87" i="4"/>
  <c r="T87" i="4" s="1"/>
  <c r="Q86" i="2"/>
  <c r="Z86" i="2" s="1"/>
  <c r="AD86" i="2"/>
  <c r="AD85" i="2"/>
  <c r="Q85" i="2"/>
  <c r="AK85" i="2"/>
  <c r="AL85" i="2" s="1"/>
  <c r="C84" i="6" s="1"/>
  <c r="P85" i="2"/>
  <c r="Z85" i="2" s="1"/>
  <c r="Q84" i="2"/>
  <c r="AD84" i="2"/>
  <c r="P84" i="2"/>
  <c r="Z84" i="2" s="1"/>
  <c r="AK84" i="2"/>
  <c r="AL84" i="2" s="1"/>
  <c r="C83" i="6" s="1"/>
  <c r="Q83" i="2"/>
  <c r="AD83" i="2"/>
  <c r="AK83" i="2"/>
  <c r="AL83" i="2" s="1"/>
  <c r="C82" i="6" s="1"/>
  <c r="P83" i="2"/>
  <c r="Z83" i="2" s="1"/>
  <c r="AD82" i="2"/>
  <c r="Q82" i="2"/>
  <c r="AK82" i="2"/>
  <c r="AL82" i="2" s="1"/>
  <c r="C81" i="6" s="1"/>
  <c r="P82" i="2"/>
  <c r="Z82" i="2" s="1"/>
  <c r="Q81" i="2"/>
  <c r="AD81" i="2"/>
  <c r="P81" i="2"/>
  <c r="Z81" i="2" s="1"/>
  <c r="AK81" i="2"/>
  <c r="AL81" i="2" s="1"/>
  <c r="C80" i="6" s="1"/>
  <c r="AD80" i="2"/>
  <c r="Q80" i="2"/>
  <c r="P80" i="2"/>
  <c r="Z80" i="2" s="1"/>
  <c r="AK80" i="2"/>
  <c r="AL80" i="2" s="1"/>
  <c r="C79" i="6" s="1"/>
  <c r="AD79" i="2"/>
  <c r="Q79" i="2"/>
  <c r="P79" i="2"/>
  <c r="Z79" i="2" s="1"/>
  <c r="AK79" i="2"/>
  <c r="AL79" i="2" s="1"/>
  <c r="C78" i="6" s="1"/>
  <c r="Q78" i="2"/>
  <c r="AD78" i="2"/>
  <c r="P78" i="2"/>
  <c r="Z78" i="2" s="1"/>
  <c r="AK78" i="2"/>
  <c r="AL78" i="2" s="1"/>
  <c r="C77" i="6" s="1"/>
  <c r="Q77" i="2"/>
  <c r="AD77" i="2"/>
  <c r="AK77" i="2"/>
  <c r="AL77" i="2" s="1"/>
  <c r="C76" i="6" s="1"/>
  <c r="P77" i="2"/>
  <c r="Z77" i="2" s="1"/>
  <c r="Q76" i="2"/>
  <c r="AD76" i="2"/>
  <c r="P76" i="2"/>
  <c r="Z76" i="2" s="1"/>
  <c r="AK76" i="2"/>
  <c r="AL76" i="2" s="1"/>
  <c r="C75" i="6" s="1"/>
  <c r="Q75" i="2"/>
  <c r="AD75" i="2"/>
  <c r="P75" i="2"/>
  <c r="Z75" i="2" s="1"/>
  <c r="AK75" i="2"/>
  <c r="AL75" i="2" s="1"/>
  <c r="C74" i="6" s="1"/>
  <c r="AD74" i="2"/>
  <c r="Q74" i="2"/>
  <c r="AK74" i="2"/>
  <c r="AL74" i="2" s="1"/>
  <c r="C73" i="6" s="1"/>
  <c r="P74" i="2"/>
  <c r="Z74" i="2" s="1"/>
  <c r="Q73" i="2"/>
  <c r="AD73" i="2"/>
  <c r="P73" i="2"/>
  <c r="Z73" i="2" s="1"/>
  <c r="AK73" i="2"/>
  <c r="AL73" i="2" s="1"/>
  <c r="C72" i="6" s="1"/>
  <c r="Q72" i="2"/>
  <c r="AD72" i="2"/>
  <c r="P72" i="2"/>
  <c r="Z72" i="2" s="1"/>
  <c r="AK72" i="2"/>
  <c r="AL72" i="2" s="1"/>
  <c r="C71" i="6" s="1"/>
  <c r="AD71" i="2"/>
  <c r="Q71" i="2"/>
  <c r="AK71" i="2"/>
  <c r="AL71" i="2" s="1"/>
  <c r="C70" i="6" s="1"/>
  <c r="P71" i="2"/>
  <c r="Z71" i="2" s="1"/>
  <c r="Q70" i="2"/>
  <c r="AD70" i="2"/>
  <c r="P70" i="2"/>
  <c r="Z70" i="2" s="1"/>
  <c r="AK70" i="2"/>
  <c r="AL70" i="2" s="1"/>
  <c r="C69" i="6" s="1"/>
  <c r="Q69" i="2"/>
  <c r="AD69" i="2"/>
  <c r="P69" i="2"/>
  <c r="Z69" i="2" s="1"/>
  <c r="AK69" i="2"/>
  <c r="AL69" i="2" s="1"/>
  <c r="C68" i="6" s="1"/>
  <c r="AD68" i="2"/>
  <c r="Q68" i="2"/>
  <c r="AK68" i="2"/>
  <c r="AL68" i="2" s="1"/>
  <c r="C67" i="6" s="1"/>
  <c r="P68" i="2"/>
  <c r="Z68" i="2" s="1"/>
  <c r="AD67" i="2"/>
  <c r="Q67" i="2"/>
  <c r="AK67" i="2"/>
  <c r="AL67" i="2" s="1"/>
  <c r="C66" i="6" s="1"/>
  <c r="P67" i="2"/>
  <c r="Z67" i="2" s="1"/>
  <c r="Q66" i="2"/>
  <c r="AD66" i="2"/>
  <c r="P66" i="2"/>
  <c r="Z66" i="2" s="1"/>
  <c r="AK66" i="2"/>
  <c r="AL66" i="2" s="1"/>
  <c r="C65" i="6" s="1"/>
  <c r="AD65" i="2"/>
  <c r="Q65" i="2"/>
  <c r="P65" i="2"/>
  <c r="Z65" i="2" s="1"/>
  <c r="AK65" i="2"/>
  <c r="AL65" i="2" s="1"/>
  <c r="C64" i="6" s="1"/>
  <c r="AD64" i="2"/>
  <c r="Q64" i="2"/>
  <c r="P64" i="2"/>
  <c r="AK64" i="2"/>
  <c r="AL64" i="2" s="1"/>
  <c r="C63" i="6" s="1"/>
  <c r="Q63" i="2"/>
  <c r="AD63" i="2"/>
  <c r="P63" i="2"/>
  <c r="Z63" i="2" s="1"/>
  <c r="AK63" i="2"/>
  <c r="AL63" i="2" s="1"/>
  <c r="C62" i="6" s="1"/>
  <c r="Q62" i="2"/>
  <c r="AD62" i="2"/>
  <c r="AK62" i="2"/>
  <c r="AL62" i="2" s="1"/>
  <c r="C61" i="6" s="1"/>
  <c r="P62" i="2"/>
  <c r="Z62" i="2" s="1"/>
  <c r="AD61" i="2"/>
  <c r="Q61" i="2"/>
  <c r="AK61" i="2"/>
  <c r="AL61" i="2" s="1"/>
  <c r="C60" i="6" s="1"/>
  <c r="P61" i="2"/>
  <c r="Z61" i="2" s="1"/>
  <c r="AD60" i="2"/>
  <c r="Q60" i="2"/>
  <c r="P60" i="2"/>
  <c r="AK60" i="2"/>
  <c r="AL60" i="2" s="1"/>
  <c r="C59" i="6" s="1"/>
  <c r="Q59" i="2"/>
  <c r="AD59" i="2"/>
  <c r="AK59" i="2"/>
  <c r="AL59" i="2" s="1"/>
  <c r="C58" i="6" s="1"/>
  <c r="P59" i="2"/>
  <c r="Z59" i="2" s="1"/>
  <c r="AD58" i="2"/>
  <c r="Q58" i="2"/>
  <c r="AK58" i="2"/>
  <c r="AL58" i="2" s="1"/>
  <c r="C57" i="6" s="1"/>
  <c r="P58" i="2"/>
  <c r="Z58" i="2" s="1"/>
  <c r="AD57" i="2"/>
  <c r="Q57" i="2"/>
  <c r="AK57" i="2"/>
  <c r="AL57" i="2" s="1"/>
  <c r="C56" i="6" s="1"/>
  <c r="P57" i="2"/>
  <c r="Z57" i="2" s="1"/>
  <c r="AD56" i="2"/>
  <c r="Q56" i="2"/>
  <c r="P56" i="2"/>
  <c r="AK56" i="2"/>
  <c r="AL56" i="2" s="1"/>
  <c r="C55" i="6" s="1"/>
  <c r="AD55" i="2"/>
  <c r="Q55" i="2"/>
  <c r="AK55" i="2"/>
  <c r="AL55" i="2" s="1"/>
  <c r="C54" i="6" s="1"/>
  <c r="P55" i="2"/>
  <c r="Z55" i="2" s="1"/>
  <c r="AD54" i="2"/>
  <c r="Q54" i="2"/>
  <c r="P54" i="2"/>
  <c r="AK54" i="2"/>
  <c r="AL54" i="2" s="1"/>
  <c r="C53" i="6" s="1"/>
  <c r="AD53" i="2"/>
  <c r="Q53" i="2"/>
  <c r="AK53" i="2"/>
  <c r="AL53" i="2" s="1"/>
  <c r="C52" i="6" s="1"/>
  <c r="P53" i="2"/>
  <c r="Z53" i="2" s="1"/>
  <c r="Q52" i="2"/>
  <c r="AD52" i="2"/>
  <c r="P52" i="2"/>
  <c r="AK52" i="2"/>
  <c r="AL52" i="2" s="1"/>
  <c r="C51" i="6" s="1"/>
  <c r="AD51" i="2"/>
  <c r="Q51" i="2"/>
  <c r="P51" i="2"/>
  <c r="Z51" i="2" s="1"/>
  <c r="AK51" i="2"/>
  <c r="AL51" i="2" s="1"/>
  <c r="C50" i="6" s="1"/>
  <c r="AD50" i="2"/>
  <c r="Q50" i="2"/>
  <c r="AK50" i="2"/>
  <c r="AL50" i="2" s="1"/>
  <c r="C49" i="6" s="1"/>
  <c r="P50" i="2"/>
  <c r="Z50" i="2" s="1"/>
  <c r="D48" i="6"/>
  <c r="S50" i="4"/>
  <c r="T50" i="4" s="1"/>
  <c r="Q48" i="2"/>
  <c r="AD48" i="2"/>
  <c r="P48" i="2"/>
  <c r="Z48" i="2" s="1"/>
  <c r="AK48" i="2"/>
  <c r="AD47" i="2"/>
  <c r="Q47" i="2"/>
  <c r="AK47" i="2"/>
  <c r="P47" i="2"/>
  <c r="AD46" i="2"/>
  <c r="Q46" i="2"/>
  <c r="P46" i="2"/>
  <c r="AK46" i="2"/>
  <c r="AD45" i="2"/>
  <c r="Q45" i="2"/>
  <c r="AK45" i="2"/>
  <c r="P45" i="2"/>
  <c r="Q44" i="2"/>
  <c r="AD44" i="2"/>
  <c r="P44" i="2"/>
  <c r="AK44" i="2"/>
  <c r="AD43" i="2"/>
  <c r="Q43" i="2"/>
  <c r="AK43" i="2"/>
  <c r="P43" i="2"/>
  <c r="Q42" i="2"/>
  <c r="AD42" i="2"/>
  <c r="AK42" i="2"/>
  <c r="P42" i="2"/>
  <c r="AD41" i="2"/>
  <c r="Q41" i="2"/>
  <c r="AK41" i="2"/>
  <c r="P41" i="2"/>
  <c r="Q40" i="2"/>
  <c r="AD40" i="2"/>
  <c r="P40" i="2"/>
  <c r="AK40" i="2"/>
  <c r="Q39" i="2"/>
  <c r="AD39" i="2"/>
  <c r="P39" i="2"/>
  <c r="AK39" i="2"/>
  <c r="AD38" i="2"/>
  <c r="Q38" i="2"/>
  <c r="AK38" i="2"/>
  <c r="P38" i="2"/>
  <c r="AD37" i="2"/>
  <c r="Q37" i="2"/>
  <c r="AK37" i="2"/>
  <c r="P37" i="2"/>
  <c r="Q36" i="2"/>
  <c r="AD36" i="2"/>
  <c r="P36" i="2"/>
  <c r="AK36" i="2"/>
  <c r="AD35" i="2"/>
  <c r="Q35" i="2"/>
  <c r="AK35" i="2"/>
  <c r="P35" i="2"/>
  <c r="AD34" i="2"/>
  <c r="Q34" i="2"/>
  <c r="AK34" i="2"/>
  <c r="P34" i="2"/>
  <c r="AD33" i="2"/>
  <c r="Q33" i="2"/>
  <c r="AK33" i="2"/>
  <c r="P33" i="2"/>
  <c r="AD32" i="2"/>
  <c r="Q32" i="2"/>
  <c r="P32" i="2"/>
  <c r="AK32" i="2"/>
  <c r="AD31" i="2"/>
  <c r="Q31" i="2"/>
  <c r="AK31" i="2"/>
  <c r="AL31" i="2" s="1"/>
  <c r="C30" i="6" s="1"/>
  <c r="P31" i="2"/>
  <c r="Z31" i="2" s="1"/>
  <c r="AD30" i="2"/>
  <c r="Q30" i="2"/>
  <c r="AK30" i="2"/>
  <c r="AL30" i="2" s="1"/>
  <c r="C29" i="6" s="1"/>
  <c r="P30" i="2"/>
  <c r="Z30" i="2" s="1"/>
  <c r="Q29" i="2"/>
  <c r="AD29" i="2"/>
  <c r="P29" i="2"/>
  <c r="Z29" i="2" s="1"/>
  <c r="AK29" i="2"/>
  <c r="AL29" i="2" s="1"/>
  <c r="C28" i="6" s="1"/>
  <c r="AD28" i="2"/>
  <c r="Q28" i="2"/>
  <c r="AK28" i="2"/>
  <c r="AL28" i="2" s="1"/>
  <c r="C27" i="6" s="1"/>
  <c r="P28" i="2"/>
  <c r="Z28" i="2" s="1"/>
  <c r="AD27" i="2"/>
  <c r="Q27" i="2"/>
  <c r="P27" i="2"/>
  <c r="Z27" i="2" s="1"/>
  <c r="AK27" i="2"/>
  <c r="AL27" i="2" s="1"/>
  <c r="C26" i="6" s="1"/>
  <c r="AD26" i="2"/>
  <c r="Q26" i="2"/>
  <c r="AK26" i="2"/>
  <c r="AL26" i="2" s="1"/>
  <c r="C25" i="6" s="1"/>
  <c r="P26" i="2"/>
  <c r="Z26" i="2" s="1"/>
  <c r="AD25" i="2"/>
  <c r="Q25" i="2"/>
  <c r="AK25" i="2"/>
  <c r="AL25" i="2" s="1"/>
  <c r="C24" i="6" s="1"/>
  <c r="P25" i="2"/>
  <c r="Z25" i="2" s="1"/>
  <c r="AD24" i="2"/>
  <c r="Q24" i="2"/>
  <c r="AK24" i="2"/>
  <c r="AL24" i="2" s="1"/>
  <c r="C23" i="6" s="1"/>
  <c r="P24" i="2"/>
  <c r="Z24" i="2" s="1"/>
  <c r="Q23" i="2"/>
  <c r="AD23" i="2"/>
  <c r="P23" i="2"/>
  <c r="Z23" i="2" s="1"/>
  <c r="AK23" i="2"/>
  <c r="AL23" i="2" s="1"/>
  <c r="C22" i="6" s="1"/>
  <c r="Q22" i="2"/>
  <c r="AD22" i="2"/>
  <c r="P22" i="2"/>
  <c r="Z22" i="2" s="1"/>
  <c r="AK22" i="2"/>
  <c r="AL22" i="2" s="1"/>
  <c r="C21" i="6" s="1"/>
  <c r="AD21" i="2"/>
  <c r="Q21" i="2"/>
  <c r="AK21" i="2"/>
  <c r="AL21" i="2" s="1"/>
  <c r="C20" i="6" s="1"/>
  <c r="P21" i="2"/>
  <c r="Z21" i="2" s="1"/>
  <c r="AD20" i="2"/>
  <c r="Q20" i="2"/>
  <c r="AK20" i="2"/>
  <c r="AL20" i="2" s="1"/>
  <c r="C19" i="6" s="1"/>
  <c r="P20" i="2"/>
  <c r="Z20" i="2" s="1"/>
  <c r="Q19" i="2"/>
  <c r="AD19" i="2"/>
  <c r="P19" i="2"/>
  <c r="Z19" i="2" s="1"/>
  <c r="AK19" i="2"/>
  <c r="AL19" i="2" s="1"/>
  <c r="C18" i="6" s="1"/>
  <c r="AD18" i="2"/>
  <c r="Q18" i="2"/>
  <c r="AK18" i="2"/>
  <c r="AL18" i="2" s="1"/>
  <c r="C17" i="6" s="1"/>
  <c r="P18" i="2"/>
  <c r="Z18" i="2" s="1"/>
  <c r="Q17" i="2"/>
  <c r="AD17" i="2"/>
  <c r="AK17" i="2"/>
  <c r="AL17" i="2" s="1"/>
  <c r="C16" i="6" s="1"/>
  <c r="P17" i="2"/>
  <c r="Q16" i="2"/>
  <c r="AD16" i="2"/>
  <c r="P16" i="2"/>
  <c r="Z16" i="2" s="1"/>
  <c r="AK16" i="2"/>
  <c r="AL16" i="2" s="1"/>
  <c r="C15" i="6" s="1"/>
  <c r="AD15" i="2"/>
  <c r="Q15" i="2"/>
  <c r="AK15" i="2"/>
  <c r="AL15" i="2" s="1"/>
  <c r="C14" i="6" s="1"/>
  <c r="P15" i="2"/>
  <c r="Z15" i="2" s="1"/>
  <c r="Q14" i="2"/>
  <c r="AD14" i="2"/>
  <c r="AK14" i="2"/>
  <c r="AL14" i="2" s="1"/>
  <c r="C13" i="6" s="1"/>
  <c r="P14" i="2"/>
  <c r="Z14" i="2" s="1"/>
  <c r="Q13" i="2"/>
  <c r="AD13" i="2"/>
  <c r="AK13" i="2"/>
  <c r="AL13" i="2" s="1"/>
  <c r="C12" i="6" s="1"/>
  <c r="P13" i="2"/>
  <c r="Z13" i="2" s="1"/>
  <c r="AD12" i="2"/>
  <c r="Q12" i="2"/>
  <c r="AK12" i="2"/>
  <c r="AL12" i="2" s="1"/>
  <c r="C11" i="6" s="1"/>
  <c r="P12" i="2"/>
  <c r="Z12" i="2" s="1"/>
  <c r="D10" i="6"/>
  <c r="S12" i="4"/>
  <c r="T12" i="4" s="1"/>
  <c r="AD10" i="2"/>
  <c r="Q10" i="2"/>
  <c r="P10" i="2"/>
  <c r="AK10" i="2"/>
  <c r="Q9" i="2"/>
  <c r="AD9" i="2"/>
  <c r="P9" i="2"/>
  <c r="AK9" i="2"/>
  <c r="AD8" i="2"/>
  <c r="Q8" i="2"/>
  <c r="AK8" i="2"/>
  <c r="P8" i="2"/>
  <c r="AD7" i="2"/>
  <c r="Q7" i="2"/>
  <c r="AK7" i="2"/>
  <c r="P7" i="2"/>
  <c r="AD6" i="2"/>
  <c r="Q6" i="2"/>
  <c r="P6" i="2"/>
  <c r="AK6" i="2"/>
  <c r="AD5" i="2"/>
  <c r="Q5" i="2"/>
  <c r="P5" i="2"/>
  <c r="AK5" i="2"/>
  <c r="AD4" i="2"/>
  <c r="Q4" i="2"/>
  <c r="AK4" i="2"/>
  <c r="P4" i="2"/>
  <c r="AB49" i="2"/>
  <c r="M15" i="7"/>
  <c r="M11" i="7"/>
  <c r="M9" i="7"/>
  <c r="M7" i="7"/>
  <c r="M4" i="7"/>
  <c r="AB177" i="2" l="1"/>
  <c r="AC177" i="2"/>
  <c r="N176" i="6" s="1"/>
  <c r="D176" i="6"/>
  <c r="AB176" i="2"/>
  <c r="AC176" i="2"/>
  <c r="N175" i="6" s="1"/>
  <c r="D175" i="6"/>
  <c r="AB175" i="2"/>
  <c r="AC175" i="2"/>
  <c r="N174" i="6" s="1"/>
  <c r="D174" i="6"/>
  <c r="S176" i="4"/>
  <c r="T176" i="4" s="1"/>
  <c r="D173" i="6"/>
  <c r="S175" i="4"/>
  <c r="T175" i="4" s="1"/>
  <c r="AB174" i="2"/>
  <c r="AC174" i="2"/>
  <c r="N173" i="6" s="1"/>
  <c r="S174" i="4"/>
  <c r="T174" i="4" s="1"/>
  <c r="D172" i="6"/>
  <c r="AB172" i="2"/>
  <c r="AC172" i="2"/>
  <c r="N171" i="6" s="1"/>
  <c r="D171" i="6"/>
  <c r="S173" i="4"/>
  <c r="T173" i="4" s="1"/>
  <c r="D170" i="6"/>
  <c r="S172" i="4"/>
  <c r="T172" i="4" s="1"/>
  <c r="AB171" i="2"/>
  <c r="AC171" i="2"/>
  <c r="N170" i="6" s="1"/>
  <c r="AB170" i="2"/>
  <c r="AC170" i="2"/>
  <c r="N169" i="6" s="1"/>
  <c r="S171" i="4"/>
  <c r="T171" i="4" s="1"/>
  <c r="D169" i="6"/>
  <c r="D168" i="6"/>
  <c r="S170" i="4"/>
  <c r="T170" i="4" s="1"/>
  <c r="AB169" i="2"/>
  <c r="AC169" i="2"/>
  <c r="N168" i="6" s="1"/>
  <c r="AB168" i="2"/>
  <c r="AC168" i="2"/>
  <c r="N167" i="6" s="1"/>
  <c r="D167" i="6"/>
  <c r="S169" i="4"/>
  <c r="T169" i="4" s="1"/>
  <c r="AB167" i="2"/>
  <c r="AC167" i="2"/>
  <c r="N166" i="6" s="1"/>
  <c r="D166" i="6"/>
  <c r="S168" i="4"/>
  <c r="T168" i="4" s="1"/>
  <c r="AB166" i="2"/>
  <c r="AC166" i="2"/>
  <c r="N165" i="6" s="1"/>
  <c r="D165" i="6"/>
  <c r="S167" i="4"/>
  <c r="T167" i="4" s="1"/>
  <c r="AB165" i="2"/>
  <c r="AC165" i="2"/>
  <c r="N164" i="6" s="1"/>
  <c r="D164" i="6"/>
  <c r="S166" i="4"/>
  <c r="T166" i="4" s="1"/>
  <c r="D163" i="6"/>
  <c r="S165" i="4"/>
  <c r="T165" i="4" s="1"/>
  <c r="AB164" i="2"/>
  <c r="AC164" i="2"/>
  <c r="N163" i="6" s="1"/>
  <c r="AB163" i="2"/>
  <c r="AC163" i="2"/>
  <c r="N162" i="6" s="1"/>
  <c r="S164" i="4"/>
  <c r="T164" i="4" s="1"/>
  <c r="D162" i="6"/>
  <c r="S163" i="4"/>
  <c r="T163" i="4" s="1"/>
  <c r="D161" i="6"/>
  <c r="AB162" i="2"/>
  <c r="AC162" i="2"/>
  <c r="N161" i="6" s="1"/>
  <c r="D160" i="6"/>
  <c r="S162" i="4"/>
  <c r="T162" i="4" s="1"/>
  <c r="D159" i="6"/>
  <c r="S161" i="4"/>
  <c r="T161" i="4" s="1"/>
  <c r="D158" i="6"/>
  <c r="S160" i="4"/>
  <c r="T160" i="4" s="1"/>
  <c r="D96" i="6"/>
  <c r="S98" i="4"/>
  <c r="T98" i="4" s="1"/>
  <c r="AB97" i="2"/>
  <c r="AC97" i="2"/>
  <c r="N96" i="6" s="1"/>
  <c r="D95" i="6"/>
  <c r="S97" i="4"/>
  <c r="T97" i="4" s="1"/>
  <c r="AB96" i="2"/>
  <c r="AC96" i="2"/>
  <c r="N95" i="6" s="1"/>
  <c r="AB95" i="2"/>
  <c r="AC95" i="2"/>
  <c r="N94" i="6" s="1"/>
  <c r="D94" i="6"/>
  <c r="S96" i="4"/>
  <c r="T96" i="4" s="1"/>
  <c r="AB94" i="2"/>
  <c r="AC94" i="2"/>
  <c r="N93" i="6" s="1"/>
  <c r="D93" i="6"/>
  <c r="S95" i="4"/>
  <c r="T95" i="4" s="1"/>
  <c r="AB93" i="2"/>
  <c r="AC93" i="2"/>
  <c r="N92" i="6" s="1"/>
  <c r="D92" i="6"/>
  <c r="S94" i="4"/>
  <c r="T94" i="4" s="1"/>
  <c r="D91" i="6"/>
  <c r="S93" i="4"/>
  <c r="T93" i="4" s="1"/>
  <c r="AB92" i="2"/>
  <c r="AC92" i="2"/>
  <c r="N91" i="6" s="1"/>
  <c r="AB91" i="2"/>
  <c r="AC91" i="2"/>
  <c r="N90" i="6" s="1"/>
  <c r="D90" i="6"/>
  <c r="S92" i="4"/>
  <c r="T92" i="4" s="1"/>
  <c r="D89" i="6"/>
  <c r="S91" i="4"/>
  <c r="T91" i="4" s="1"/>
  <c r="AB90" i="2"/>
  <c r="AC90" i="2"/>
  <c r="N89" i="6" s="1"/>
  <c r="AB89" i="2"/>
  <c r="AC89" i="2"/>
  <c r="N88" i="6" s="1"/>
  <c r="S90" i="4"/>
  <c r="T90" i="4" s="1"/>
  <c r="D88" i="6"/>
  <c r="AB88" i="2"/>
  <c r="AC88" i="2"/>
  <c r="N87" i="6" s="1"/>
  <c r="D87" i="6"/>
  <c r="S89" i="4"/>
  <c r="T89" i="4" s="1"/>
  <c r="AB87" i="2"/>
  <c r="AC87" i="2"/>
  <c r="N86" i="6" s="1"/>
  <c r="D86" i="6"/>
  <c r="S88" i="4"/>
  <c r="T88" i="4" s="1"/>
  <c r="AB86" i="2"/>
  <c r="AC86" i="2"/>
  <c r="N85" i="6" s="1"/>
  <c r="D84" i="6"/>
  <c r="S86" i="4"/>
  <c r="T86" i="4" s="1"/>
  <c r="AB85" i="2"/>
  <c r="AC85" i="2"/>
  <c r="N84" i="6" s="1"/>
  <c r="AB84" i="2"/>
  <c r="AC84" i="2"/>
  <c r="N83" i="6" s="1"/>
  <c r="D83" i="6"/>
  <c r="S85" i="4"/>
  <c r="T85" i="4" s="1"/>
  <c r="S84" i="4"/>
  <c r="T84" i="4" s="1"/>
  <c r="D82" i="6"/>
  <c r="AB83" i="2"/>
  <c r="AC83" i="2"/>
  <c r="N82" i="6" s="1"/>
  <c r="D81" i="6"/>
  <c r="S83" i="4"/>
  <c r="T83" i="4" s="1"/>
  <c r="AB82" i="2"/>
  <c r="AC82" i="2"/>
  <c r="N81" i="6" s="1"/>
  <c r="AB81" i="2"/>
  <c r="AC81" i="2"/>
  <c r="N80" i="6" s="1"/>
  <c r="D80" i="6"/>
  <c r="S82" i="4"/>
  <c r="T82" i="4" s="1"/>
  <c r="AB80" i="2"/>
  <c r="AC80" i="2"/>
  <c r="N79" i="6" s="1"/>
  <c r="D79" i="6"/>
  <c r="S81" i="4"/>
  <c r="T81" i="4" s="1"/>
  <c r="AB79" i="2"/>
  <c r="AC79" i="2"/>
  <c r="N78" i="6" s="1"/>
  <c r="D78" i="6"/>
  <c r="S80" i="4"/>
  <c r="T80" i="4" s="1"/>
  <c r="AB78" i="2"/>
  <c r="AC78" i="2"/>
  <c r="N77" i="6" s="1"/>
  <c r="D77" i="6"/>
  <c r="S79" i="4"/>
  <c r="T79" i="4" s="1"/>
  <c r="D76" i="6"/>
  <c r="S78" i="4"/>
  <c r="T78" i="4" s="1"/>
  <c r="AB77" i="2"/>
  <c r="AC77" i="2"/>
  <c r="N76" i="6" s="1"/>
  <c r="AB76" i="2"/>
  <c r="AC76" i="2"/>
  <c r="N75" i="6" s="1"/>
  <c r="D75" i="6"/>
  <c r="S77" i="4"/>
  <c r="T77" i="4" s="1"/>
  <c r="AB75" i="2"/>
  <c r="AC75" i="2"/>
  <c r="N74" i="6" s="1"/>
  <c r="D74" i="6"/>
  <c r="S76" i="4"/>
  <c r="T76" i="4" s="1"/>
  <c r="D73" i="6"/>
  <c r="S75" i="4"/>
  <c r="T75" i="4" s="1"/>
  <c r="AB74" i="2"/>
  <c r="AC74" i="2"/>
  <c r="N73" i="6" s="1"/>
  <c r="AB73" i="2"/>
  <c r="AC73" i="2"/>
  <c r="N72" i="6" s="1"/>
  <c r="D72" i="6"/>
  <c r="S74" i="4"/>
  <c r="T74" i="4" s="1"/>
  <c r="AB72" i="2"/>
  <c r="AC72" i="2"/>
  <c r="N71" i="6" s="1"/>
  <c r="D71" i="6"/>
  <c r="S73" i="4"/>
  <c r="T73" i="4" s="1"/>
  <c r="D70" i="6"/>
  <c r="S72" i="4"/>
  <c r="T72" i="4" s="1"/>
  <c r="AB71" i="2"/>
  <c r="AC71" i="2"/>
  <c r="N70" i="6" s="1"/>
  <c r="AB70" i="2"/>
  <c r="AC70" i="2"/>
  <c r="N69" i="6" s="1"/>
  <c r="D69" i="6"/>
  <c r="S71" i="4"/>
  <c r="T71" i="4" s="1"/>
  <c r="AB69" i="2"/>
  <c r="AC69" i="2"/>
  <c r="N68" i="6" s="1"/>
  <c r="D68" i="6"/>
  <c r="S70" i="4"/>
  <c r="T70" i="4" s="1"/>
  <c r="D67" i="6"/>
  <c r="S69" i="4"/>
  <c r="T69" i="4" s="1"/>
  <c r="AB68" i="2"/>
  <c r="AC68" i="2"/>
  <c r="N67" i="6" s="1"/>
  <c r="D66" i="6"/>
  <c r="S68" i="4"/>
  <c r="T68" i="4" s="1"/>
  <c r="AB67" i="2"/>
  <c r="AC67" i="2"/>
  <c r="N66" i="6" s="1"/>
  <c r="AB66" i="2"/>
  <c r="AC66" i="2"/>
  <c r="N65" i="6" s="1"/>
  <c r="D65" i="6"/>
  <c r="S67" i="4"/>
  <c r="T67" i="4" s="1"/>
  <c r="AB65" i="2"/>
  <c r="AC65" i="2"/>
  <c r="N64" i="6" s="1"/>
  <c r="D64" i="6"/>
  <c r="S66" i="4"/>
  <c r="T66" i="4" s="1"/>
  <c r="D63" i="6"/>
  <c r="S65" i="4"/>
  <c r="T65" i="4" s="1"/>
  <c r="AB63" i="2"/>
  <c r="AC63" i="2"/>
  <c r="N62" i="6" s="1"/>
  <c r="D62" i="6"/>
  <c r="S64" i="4"/>
  <c r="T64" i="4" s="1"/>
  <c r="D61" i="6"/>
  <c r="S63" i="4"/>
  <c r="T63" i="4" s="1"/>
  <c r="AB62" i="2"/>
  <c r="AC62" i="2"/>
  <c r="N61" i="6" s="1"/>
  <c r="D60" i="6"/>
  <c r="S62" i="4"/>
  <c r="T62" i="4" s="1"/>
  <c r="AB61" i="2"/>
  <c r="AC61" i="2"/>
  <c r="N60" i="6" s="1"/>
  <c r="D59" i="6"/>
  <c r="S61" i="4"/>
  <c r="T61" i="4" s="1"/>
  <c r="D58" i="6"/>
  <c r="S60" i="4"/>
  <c r="T60" i="4" s="1"/>
  <c r="AB59" i="2"/>
  <c r="AC59" i="2"/>
  <c r="N58" i="6" s="1"/>
  <c r="D57" i="6"/>
  <c r="S59" i="4"/>
  <c r="T59" i="4" s="1"/>
  <c r="AB58" i="2"/>
  <c r="AC58" i="2"/>
  <c r="N57" i="6" s="1"/>
  <c r="D56" i="6"/>
  <c r="S58" i="4"/>
  <c r="T58" i="4" s="1"/>
  <c r="AB57" i="2"/>
  <c r="AC57" i="2"/>
  <c r="N56" i="6" s="1"/>
  <c r="D55" i="6"/>
  <c r="S57" i="4"/>
  <c r="T57" i="4" s="1"/>
  <c r="D54" i="6"/>
  <c r="S56" i="4"/>
  <c r="T56" i="4" s="1"/>
  <c r="AB55" i="2"/>
  <c r="AC55" i="2"/>
  <c r="N54" i="6" s="1"/>
  <c r="D53" i="6"/>
  <c r="S55" i="4"/>
  <c r="T55" i="4" s="1"/>
  <c r="D52" i="6"/>
  <c r="S54" i="4"/>
  <c r="T54" i="4" s="1"/>
  <c r="AB53" i="2"/>
  <c r="AC53" i="2"/>
  <c r="N52" i="6" s="1"/>
  <c r="D51" i="6"/>
  <c r="S53" i="4"/>
  <c r="T53" i="4" s="1"/>
  <c r="AB51" i="2"/>
  <c r="AC51" i="2"/>
  <c r="N50" i="6" s="1"/>
  <c r="D50" i="6"/>
  <c r="S52" i="4"/>
  <c r="T52" i="4" s="1"/>
  <c r="D49" i="6"/>
  <c r="S51" i="4"/>
  <c r="T51" i="4" s="1"/>
  <c r="AB50" i="2"/>
  <c r="AC50" i="2"/>
  <c r="N49" i="6" s="1"/>
  <c r="D30" i="6"/>
  <c r="S32" i="4"/>
  <c r="T32" i="4" s="1"/>
  <c r="AB31" i="2"/>
  <c r="AC31" i="2"/>
  <c r="N30" i="6" s="1"/>
  <c r="D29" i="6"/>
  <c r="S31" i="4"/>
  <c r="T31" i="4" s="1"/>
  <c r="AB30" i="2"/>
  <c r="AC30" i="2"/>
  <c r="N29" i="6" s="1"/>
  <c r="AB29" i="2"/>
  <c r="AC29" i="2"/>
  <c r="N28" i="6" s="1"/>
  <c r="D28" i="6"/>
  <c r="S30" i="4"/>
  <c r="T30" i="4" s="1"/>
  <c r="D27" i="6"/>
  <c r="S29" i="4"/>
  <c r="T29" i="4" s="1"/>
  <c r="AB28" i="2"/>
  <c r="AC28" i="2"/>
  <c r="N27" i="6" s="1"/>
  <c r="AB27" i="2"/>
  <c r="AC27" i="2"/>
  <c r="N26" i="6" s="1"/>
  <c r="D26" i="6"/>
  <c r="S28" i="4"/>
  <c r="T28" i="4" s="1"/>
  <c r="D25" i="6"/>
  <c r="S27" i="4"/>
  <c r="T27" i="4" s="1"/>
  <c r="AB26" i="2"/>
  <c r="AC26" i="2"/>
  <c r="N25" i="6" s="1"/>
  <c r="D24" i="6"/>
  <c r="S26" i="4"/>
  <c r="T26" i="4" s="1"/>
  <c r="AB25" i="2"/>
  <c r="AC25" i="2"/>
  <c r="N24" i="6" s="1"/>
  <c r="D23" i="6"/>
  <c r="S25" i="4"/>
  <c r="T25" i="4" s="1"/>
  <c r="AB24" i="2"/>
  <c r="AC24" i="2"/>
  <c r="N23" i="6" s="1"/>
  <c r="AB23" i="2"/>
  <c r="AC23" i="2"/>
  <c r="N22" i="6" s="1"/>
  <c r="D22" i="6"/>
  <c r="S24" i="4"/>
  <c r="T24" i="4" s="1"/>
  <c r="AB22" i="2"/>
  <c r="AC22" i="2"/>
  <c r="N21" i="6" s="1"/>
  <c r="D21" i="6"/>
  <c r="S23" i="4"/>
  <c r="T23" i="4" s="1"/>
  <c r="D20" i="6"/>
  <c r="S22" i="4"/>
  <c r="T22" i="4" s="1"/>
  <c r="AB21" i="2"/>
  <c r="AC21" i="2"/>
  <c r="N20" i="6" s="1"/>
  <c r="D19" i="6"/>
  <c r="S21" i="4"/>
  <c r="T21" i="4" s="1"/>
  <c r="AB20" i="2"/>
  <c r="AC20" i="2"/>
  <c r="N19" i="6" s="1"/>
  <c r="AB19" i="2"/>
  <c r="AC19" i="2"/>
  <c r="N18" i="6" s="1"/>
  <c r="D18" i="6"/>
  <c r="S20" i="4"/>
  <c r="T20" i="4" s="1"/>
  <c r="D17" i="6"/>
  <c r="S19" i="4"/>
  <c r="T19" i="4" s="1"/>
  <c r="AB18" i="2"/>
  <c r="AC18" i="2"/>
  <c r="N17" i="6" s="1"/>
  <c r="D16" i="6"/>
  <c r="S18" i="4"/>
  <c r="T18" i="4" s="1"/>
  <c r="AB16" i="2"/>
  <c r="AC16" i="2"/>
  <c r="N15" i="6" s="1"/>
  <c r="D15" i="6"/>
  <c r="S17" i="4"/>
  <c r="T17" i="4" s="1"/>
  <c r="D14" i="6"/>
  <c r="S16" i="4"/>
  <c r="T16" i="4" s="1"/>
  <c r="AB15" i="2"/>
  <c r="AC15" i="2"/>
  <c r="N14" i="6" s="1"/>
  <c r="D13" i="6"/>
  <c r="S15" i="4"/>
  <c r="T15" i="4" s="1"/>
  <c r="AB14" i="2"/>
  <c r="AC14" i="2"/>
  <c r="N13" i="6" s="1"/>
  <c r="D12" i="6"/>
  <c r="S14" i="4"/>
  <c r="T14" i="4" s="1"/>
  <c r="AB13" i="2"/>
  <c r="AC13" i="2"/>
  <c r="N12" i="6" s="1"/>
  <c r="D11" i="6"/>
  <c r="S13" i="4"/>
  <c r="T13" i="4" s="1"/>
  <c r="AB12" i="2"/>
  <c r="AC12" i="2"/>
  <c r="N11" i="6" s="1"/>
  <c r="Z64" i="2"/>
  <c r="AA125" i="2"/>
  <c r="AB125" i="2" s="1"/>
  <c r="AA124" i="2"/>
  <c r="AA123" i="2"/>
  <c r="AB123" i="2" s="1"/>
  <c r="AA122" i="2"/>
  <c r="AB122" i="2" s="1"/>
  <c r="AA121" i="2"/>
  <c r="AB121" i="2" s="1"/>
  <c r="AA120" i="2"/>
  <c r="AB120" i="2" s="1"/>
  <c r="AA107" i="2"/>
  <c r="AB107" i="2" s="1"/>
  <c r="AA106" i="2"/>
  <c r="AB106" i="2" s="1"/>
  <c r="AA105" i="2"/>
  <c r="AB105" i="2" s="1"/>
  <c r="AA104" i="2"/>
  <c r="AB104" i="2" s="1"/>
  <c r="AA103" i="2"/>
  <c r="AB103" i="2" s="1"/>
  <c r="AA102" i="2"/>
  <c r="AB102" i="2" s="1"/>
  <c r="AA101" i="2"/>
  <c r="AB101" i="2" s="1"/>
  <c r="AA100" i="2"/>
  <c r="AB100" i="2" s="1"/>
  <c r="AA99" i="2"/>
  <c r="AB99" i="2" s="1"/>
  <c r="AA48" i="2"/>
  <c r="AA47" i="2"/>
  <c r="AB47" i="2" s="1"/>
  <c r="AA46" i="2"/>
  <c r="AB46" i="2" s="1"/>
  <c r="AA45" i="2"/>
  <c r="AB45" i="2" s="1"/>
  <c r="AA44" i="2"/>
  <c r="AB44" i="2" s="1"/>
  <c r="AA43" i="2"/>
  <c r="AB43" i="2" s="1"/>
  <c r="AA42" i="2"/>
  <c r="AB42" i="2" s="1"/>
  <c r="AA41" i="2"/>
  <c r="AB41" i="2" s="1"/>
  <c r="AA40" i="2"/>
  <c r="AB40" i="2" s="1"/>
  <c r="AA39" i="2"/>
  <c r="AB39" i="2" s="1"/>
  <c r="AA38" i="2"/>
  <c r="AB38" i="2" s="1"/>
  <c r="AA37" i="2"/>
  <c r="AB37" i="2" s="1"/>
  <c r="AA36" i="2"/>
  <c r="AB36" i="2" s="1"/>
  <c r="AA35" i="2"/>
  <c r="AB35" i="2" s="1"/>
  <c r="AA34" i="2"/>
  <c r="AB34" i="2" s="1"/>
  <c r="AA33" i="2"/>
  <c r="AB33" i="2" s="1"/>
  <c r="AA32" i="2"/>
  <c r="AB32" i="2" s="1"/>
  <c r="AB11" i="2"/>
  <c r="AA10" i="2"/>
  <c r="AB10" i="2" s="1"/>
  <c r="AA9" i="2"/>
  <c r="AB9" i="2" s="1"/>
  <c r="AA8" i="2"/>
  <c r="AB8" i="2" s="1"/>
  <c r="AA7" i="2"/>
  <c r="AB7" i="2" s="1"/>
  <c r="AA6" i="2"/>
  <c r="AB6" i="2" s="1"/>
  <c r="AA5" i="2"/>
  <c r="AB5" i="2" s="1"/>
  <c r="AA4" i="2"/>
  <c r="Z173" i="2"/>
  <c r="Z54" i="2"/>
  <c r="Z52" i="2"/>
  <c r="AL158" i="2"/>
  <c r="C157" i="6" s="1"/>
  <c r="AL157" i="2"/>
  <c r="C156" i="6" s="1"/>
  <c r="Z157" i="2"/>
  <c r="AL156" i="2"/>
  <c r="C155" i="6" s="1"/>
  <c r="Z156" i="2"/>
  <c r="AC156" i="2" s="1"/>
  <c r="N155" i="6" s="1"/>
  <c r="Z155" i="2"/>
  <c r="AC155" i="2" s="1"/>
  <c r="N154" i="6" s="1"/>
  <c r="AL155" i="2"/>
  <c r="C154" i="6" s="1"/>
  <c r="AL154" i="2"/>
  <c r="C153" i="6" s="1"/>
  <c r="Z154" i="2"/>
  <c r="AC154" i="2" s="1"/>
  <c r="N153" i="6" s="1"/>
  <c r="Z153" i="2"/>
  <c r="AC153" i="2" s="1"/>
  <c r="N152" i="6" s="1"/>
  <c r="AL153" i="2"/>
  <c r="C152" i="6" s="1"/>
  <c r="Z152" i="2"/>
  <c r="AL152" i="2"/>
  <c r="C151" i="6" s="1"/>
  <c r="AL151" i="2"/>
  <c r="C150" i="6" s="1"/>
  <c r="Z151" i="2"/>
  <c r="AC151" i="2" s="1"/>
  <c r="N150" i="6" s="1"/>
  <c r="Z150" i="2"/>
  <c r="AC150" i="2" s="1"/>
  <c r="N149" i="6" s="1"/>
  <c r="AL150" i="2"/>
  <c r="C149" i="6" s="1"/>
  <c r="AL149" i="2"/>
  <c r="C148" i="6" s="1"/>
  <c r="Z149" i="2"/>
  <c r="AC149" i="2" s="1"/>
  <c r="N148" i="6" s="1"/>
  <c r="AL148" i="2"/>
  <c r="C147" i="6" s="1"/>
  <c r="Z148" i="2"/>
  <c r="AL147" i="2"/>
  <c r="C146" i="6" s="1"/>
  <c r="Z147" i="2"/>
  <c r="AL146" i="2"/>
  <c r="C145" i="6" s="1"/>
  <c r="Z146" i="2"/>
  <c r="AC146" i="2" s="1"/>
  <c r="N145" i="6" s="1"/>
  <c r="Z145" i="2"/>
  <c r="AC145" i="2" s="1"/>
  <c r="N144" i="6" s="1"/>
  <c r="AL145" i="2"/>
  <c r="C144" i="6" s="1"/>
  <c r="AL144" i="2"/>
  <c r="C143" i="6" s="1"/>
  <c r="AC144" i="2"/>
  <c r="N143" i="6" s="1"/>
  <c r="Z143" i="2"/>
  <c r="AC143" i="2" s="1"/>
  <c r="N142" i="6" s="1"/>
  <c r="AL143" i="2"/>
  <c r="C142" i="6" s="1"/>
  <c r="AL142" i="2"/>
  <c r="C141" i="6" s="1"/>
  <c r="Z142" i="2"/>
  <c r="AC142" i="2" s="1"/>
  <c r="N141" i="6" s="1"/>
  <c r="Z141" i="2"/>
  <c r="AC141" i="2" s="1"/>
  <c r="N140" i="6" s="1"/>
  <c r="AL141" i="2"/>
  <c r="C140" i="6" s="1"/>
  <c r="Z140" i="2"/>
  <c r="AC140" i="2" s="1"/>
  <c r="N139" i="6" s="1"/>
  <c r="Z139" i="2"/>
  <c r="AL139" i="2"/>
  <c r="C138" i="6" s="1"/>
  <c r="AL138" i="2"/>
  <c r="C137" i="6" s="1"/>
  <c r="Z138" i="2"/>
  <c r="AL137" i="2"/>
  <c r="C136" i="6" s="1"/>
  <c r="AL136" i="2"/>
  <c r="C135" i="6" s="1"/>
  <c r="Z136" i="2"/>
  <c r="AC136" i="2" s="1"/>
  <c r="N135" i="6" s="1"/>
  <c r="AL135" i="2"/>
  <c r="C134" i="6" s="1"/>
  <c r="Z134" i="2"/>
  <c r="Z133" i="2"/>
  <c r="AL133" i="2"/>
  <c r="C132" i="6" s="1"/>
  <c r="Z132" i="2"/>
  <c r="Z131" i="2"/>
  <c r="AL130" i="2"/>
  <c r="C129" i="6" s="1"/>
  <c r="AL129" i="2"/>
  <c r="C128" i="6" s="1"/>
  <c r="Z128" i="2"/>
  <c r="AL127" i="2"/>
  <c r="C126" i="6" s="1"/>
  <c r="Z126" i="2"/>
  <c r="AL125" i="2"/>
  <c r="C124" i="6" s="1"/>
  <c r="AL123" i="2"/>
  <c r="C122" i="6" s="1"/>
  <c r="AL122" i="2"/>
  <c r="C121" i="6" s="1"/>
  <c r="Z121" i="2"/>
  <c r="AL120" i="2"/>
  <c r="C119" i="6" s="1"/>
  <c r="Z119" i="2"/>
  <c r="AL117" i="2"/>
  <c r="C116" i="6" s="1"/>
  <c r="Z117" i="2"/>
  <c r="AL116" i="2"/>
  <c r="C115" i="6" s="1"/>
  <c r="Z116" i="2"/>
  <c r="AL140" i="2"/>
  <c r="C139" i="6" s="1"/>
  <c r="Z137" i="2"/>
  <c r="Z135" i="2"/>
  <c r="AL134" i="2"/>
  <c r="C133" i="6" s="1"/>
  <c r="AL132" i="2"/>
  <c r="C131" i="6" s="1"/>
  <c r="AL131" i="2"/>
  <c r="C130" i="6" s="1"/>
  <c r="Z130" i="2"/>
  <c r="Z129" i="2"/>
  <c r="AL128" i="2"/>
  <c r="C127" i="6" s="1"/>
  <c r="Z127" i="2"/>
  <c r="AL126" i="2"/>
  <c r="C125" i="6" s="1"/>
  <c r="Z125" i="2"/>
  <c r="Z123" i="2"/>
  <c r="Z122" i="2"/>
  <c r="AL121" i="2"/>
  <c r="C120" i="6" s="1"/>
  <c r="Z120" i="2"/>
  <c r="AL119" i="2"/>
  <c r="C118" i="6" s="1"/>
  <c r="AL118" i="2"/>
  <c r="C117" i="6" s="1"/>
  <c r="Z118" i="2"/>
  <c r="AL115" i="2"/>
  <c r="C114" i="6" s="1"/>
  <c r="Z115" i="2"/>
  <c r="Z114" i="2"/>
  <c r="AL114" i="2"/>
  <c r="C113" i="6" s="1"/>
  <c r="AL113" i="2"/>
  <c r="C112" i="6" s="1"/>
  <c r="Z113" i="2"/>
  <c r="AL112" i="2"/>
  <c r="C111" i="6" s="1"/>
  <c r="Z112" i="2"/>
  <c r="Z111" i="2"/>
  <c r="AL111" i="2"/>
  <c r="C110" i="6" s="1"/>
  <c r="AL110" i="2"/>
  <c r="C109" i="6" s="1"/>
  <c r="Z110" i="2"/>
  <c r="AL109" i="2"/>
  <c r="C108" i="6" s="1"/>
  <c r="Z109" i="2"/>
  <c r="Z108" i="2"/>
  <c r="AL108" i="2"/>
  <c r="C107" i="6" s="1"/>
  <c r="AL107" i="2"/>
  <c r="C106" i="6" s="1"/>
  <c r="Z107" i="2"/>
  <c r="Z106" i="2"/>
  <c r="AL106" i="2"/>
  <c r="C105" i="6" s="1"/>
  <c r="AL105" i="2"/>
  <c r="C104" i="6" s="1"/>
  <c r="Z105" i="2"/>
  <c r="AL104" i="2"/>
  <c r="C103" i="6" s="1"/>
  <c r="Z104" i="2"/>
  <c r="Z103" i="2"/>
  <c r="AL103" i="2"/>
  <c r="C102" i="6" s="1"/>
  <c r="Z102" i="2"/>
  <c r="AL102" i="2"/>
  <c r="C101" i="6" s="1"/>
  <c r="AL101" i="2"/>
  <c r="C100" i="6" s="1"/>
  <c r="Z101" i="2"/>
  <c r="AL100" i="2"/>
  <c r="C99" i="6" s="1"/>
  <c r="Z100" i="2"/>
  <c r="Z99" i="2"/>
  <c r="AL99" i="2"/>
  <c r="C98" i="6" s="1"/>
  <c r="AC98" i="2"/>
  <c r="N97" i="6" s="1"/>
  <c r="AL98" i="2"/>
  <c r="C97" i="6" s="1"/>
  <c r="Z56" i="2"/>
  <c r="AL48" i="2"/>
  <c r="C47" i="6" s="1"/>
  <c r="AL47" i="2"/>
  <c r="C46" i="6" s="1"/>
  <c r="Z47" i="2"/>
  <c r="Z46" i="2"/>
  <c r="AL46" i="2"/>
  <c r="C45" i="6" s="1"/>
  <c r="AL45" i="2"/>
  <c r="C44" i="6" s="1"/>
  <c r="Z45" i="2"/>
  <c r="Z44" i="2"/>
  <c r="AL44" i="2"/>
  <c r="C43" i="6" s="1"/>
  <c r="AL43" i="2"/>
  <c r="C42" i="6" s="1"/>
  <c r="Z43" i="2"/>
  <c r="AL42" i="2"/>
  <c r="C41" i="6" s="1"/>
  <c r="Z42" i="2"/>
  <c r="AL41" i="2"/>
  <c r="C40" i="6" s="1"/>
  <c r="Z41" i="2"/>
  <c r="Z40" i="2"/>
  <c r="AL40" i="2"/>
  <c r="C39" i="6" s="1"/>
  <c r="Z39" i="2"/>
  <c r="AL39" i="2"/>
  <c r="C38" i="6" s="1"/>
  <c r="AL38" i="2"/>
  <c r="C37" i="6" s="1"/>
  <c r="Z38" i="2"/>
  <c r="AL37" i="2"/>
  <c r="C36" i="6" s="1"/>
  <c r="Z37" i="2"/>
  <c r="Z36" i="2"/>
  <c r="AL36" i="2"/>
  <c r="C35" i="6" s="1"/>
  <c r="AL35" i="2"/>
  <c r="C34" i="6" s="1"/>
  <c r="Z35" i="2"/>
  <c r="AL34" i="2"/>
  <c r="C33" i="6" s="1"/>
  <c r="Z10" i="2"/>
  <c r="Z9" i="2"/>
  <c r="AL8" i="2"/>
  <c r="C7" i="6" s="1"/>
  <c r="AL7" i="2"/>
  <c r="C6" i="6" s="1"/>
  <c r="Z6" i="2"/>
  <c r="Z5" i="2"/>
  <c r="AL4" i="2"/>
  <c r="AA161" i="2"/>
  <c r="AA160" i="2"/>
  <c r="AA159" i="2"/>
  <c r="AA158" i="2"/>
  <c r="AA156" i="2"/>
  <c r="AA155" i="2"/>
  <c r="AA154" i="2"/>
  <c r="AA153" i="2"/>
  <c r="AA151" i="2"/>
  <c r="AA149" i="2"/>
  <c r="AA145" i="2"/>
  <c r="AA143" i="2"/>
  <c r="AA140" i="2"/>
  <c r="AA135" i="2"/>
  <c r="AB135" i="2" s="1"/>
  <c r="AA133" i="2"/>
  <c r="AB133" i="2" s="1"/>
  <c r="AA130" i="2"/>
  <c r="AB130" i="2" s="1"/>
  <c r="AA129" i="2"/>
  <c r="AB129" i="2" s="1"/>
  <c r="Z34" i="2"/>
  <c r="AL33" i="2"/>
  <c r="C32" i="6" s="1"/>
  <c r="Z33" i="2"/>
  <c r="Z32" i="2"/>
  <c r="AL32" i="2"/>
  <c r="C31" i="6" s="1"/>
  <c r="AL10" i="2"/>
  <c r="C9" i="6" s="1"/>
  <c r="AL9" i="2"/>
  <c r="C8" i="6" s="1"/>
  <c r="Z8" i="2"/>
  <c r="Z7" i="2"/>
  <c r="AL6" i="2"/>
  <c r="C5" i="6" s="1"/>
  <c r="AL5" i="2"/>
  <c r="C4" i="6" s="1"/>
  <c r="Z4" i="2"/>
  <c r="AA150" i="2"/>
  <c r="AA146" i="2"/>
  <c r="AA142" i="2"/>
  <c r="AA141" i="2"/>
  <c r="AA136" i="2"/>
  <c r="AA134" i="2"/>
  <c r="AB134" i="2" s="1"/>
  <c r="AA132" i="2"/>
  <c r="AB132" i="2" s="1"/>
  <c r="AA131" i="2"/>
  <c r="AB131" i="2" s="1"/>
  <c r="AA115" i="2"/>
  <c r="AB115" i="2" s="1"/>
  <c r="AA114" i="2"/>
  <c r="AB114" i="2" s="1"/>
  <c r="AA112" i="2"/>
  <c r="AB112" i="2" s="1"/>
  <c r="Z60" i="2"/>
  <c r="Z17" i="2"/>
  <c r="D123" i="6"/>
  <c r="S125" i="4"/>
  <c r="T125" i="4" s="1"/>
  <c r="AC64" i="2" l="1"/>
  <c r="N63" i="6" s="1"/>
  <c r="AB64" i="2"/>
  <c r="AC124" i="2"/>
  <c r="N123" i="6" s="1"/>
  <c r="AB124" i="2"/>
  <c r="AC48" i="2"/>
  <c r="N47" i="6" s="1"/>
  <c r="AB48" i="2"/>
  <c r="AA178" i="2"/>
  <c r="AB4" i="2"/>
  <c r="AC173" i="2"/>
  <c r="N172" i="6" s="1"/>
  <c r="AB173" i="2"/>
  <c r="AC54" i="2"/>
  <c r="N53" i="6" s="1"/>
  <c r="AB54" i="2"/>
  <c r="AC52" i="2"/>
  <c r="N51" i="6" s="1"/>
  <c r="AB52" i="2"/>
  <c r="S159" i="4"/>
  <c r="T159" i="4" s="1"/>
  <c r="E157" i="6"/>
  <c r="D157" i="6"/>
  <c r="S158" i="4"/>
  <c r="T158" i="4" s="1"/>
  <c r="E156" i="6"/>
  <c r="D156" i="6"/>
  <c r="AB157" i="2"/>
  <c r="AC157" i="2"/>
  <c r="N156" i="6" s="1"/>
  <c r="S157" i="4"/>
  <c r="T157" i="4" s="1"/>
  <c r="D155" i="6"/>
  <c r="E155" i="6"/>
  <c r="S156" i="4"/>
  <c r="T156" i="4" s="1"/>
  <c r="D154" i="6"/>
  <c r="E154" i="6"/>
  <c r="S155" i="4"/>
  <c r="T155" i="4" s="1"/>
  <c r="E153" i="6"/>
  <c r="D153" i="6"/>
  <c r="S154" i="4"/>
  <c r="T154" i="4" s="1"/>
  <c r="E152" i="6"/>
  <c r="D152" i="6"/>
  <c r="AB152" i="2"/>
  <c r="AC152" i="2"/>
  <c r="N151" i="6" s="1"/>
  <c r="E151" i="6"/>
  <c r="D151" i="6"/>
  <c r="S153" i="4"/>
  <c r="T153" i="4" s="1"/>
  <c r="E150" i="6"/>
  <c r="D150" i="6"/>
  <c r="S152" i="4"/>
  <c r="T152" i="4" s="1"/>
  <c r="S151" i="4"/>
  <c r="T151" i="4" s="1"/>
  <c r="E149" i="6"/>
  <c r="D149" i="6"/>
  <c r="S150" i="4"/>
  <c r="T150" i="4" s="1"/>
  <c r="E148" i="6"/>
  <c r="D148" i="6"/>
  <c r="S149" i="4"/>
  <c r="T149" i="4" s="1"/>
  <c r="E147" i="6"/>
  <c r="D147" i="6"/>
  <c r="AB148" i="2"/>
  <c r="AC148" i="2"/>
  <c r="N147" i="6" s="1"/>
  <c r="S148" i="4"/>
  <c r="T148" i="4" s="1"/>
  <c r="E146" i="6"/>
  <c r="D146" i="6"/>
  <c r="AB147" i="2"/>
  <c r="AC147" i="2"/>
  <c r="N146" i="6" s="1"/>
  <c r="S147" i="4"/>
  <c r="T147" i="4" s="1"/>
  <c r="E145" i="6"/>
  <c r="D145" i="6"/>
  <c r="S146" i="4"/>
  <c r="T146" i="4" s="1"/>
  <c r="E144" i="6"/>
  <c r="D144" i="6"/>
  <c r="S145" i="4"/>
  <c r="T145" i="4" s="1"/>
  <c r="E143" i="6"/>
  <c r="D143" i="6"/>
  <c r="S144" i="4"/>
  <c r="T144" i="4" s="1"/>
  <c r="E142" i="6"/>
  <c r="D142" i="6"/>
  <c r="D141" i="6"/>
  <c r="S143" i="4"/>
  <c r="T143" i="4" s="1"/>
  <c r="E141" i="6"/>
  <c r="S142" i="4"/>
  <c r="T142" i="4" s="1"/>
  <c r="E140" i="6"/>
  <c r="D140" i="6"/>
  <c r="AB139" i="2"/>
  <c r="AC139" i="2"/>
  <c r="N138" i="6" s="1"/>
  <c r="S140" i="4"/>
  <c r="T140" i="4" s="1"/>
  <c r="E138" i="6"/>
  <c r="D138" i="6"/>
  <c r="S139" i="4"/>
  <c r="T139" i="4" s="1"/>
  <c r="E137" i="6"/>
  <c r="D137" i="6"/>
  <c r="AB138" i="2"/>
  <c r="AC138" i="2"/>
  <c r="N137" i="6" s="1"/>
  <c r="S138" i="4"/>
  <c r="T138" i="4" s="1"/>
  <c r="E136" i="6"/>
  <c r="D136" i="6"/>
  <c r="S137" i="4"/>
  <c r="T137" i="4" s="1"/>
  <c r="E135" i="6"/>
  <c r="D135" i="6"/>
  <c r="S136" i="4"/>
  <c r="T136" i="4" s="1"/>
  <c r="E134" i="6"/>
  <c r="D134" i="6"/>
  <c r="S134" i="4"/>
  <c r="T134" i="4" s="1"/>
  <c r="E132" i="6"/>
  <c r="D132" i="6"/>
  <c r="D129" i="6"/>
  <c r="S131" i="4"/>
  <c r="T131" i="4" s="1"/>
  <c r="E129" i="6"/>
  <c r="S130" i="4"/>
  <c r="T130" i="4" s="1"/>
  <c r="E128" i="6"/>
  <c r="D128" i="6"/>
  <c r="AB128" i="2"/>
  <c r="AC128" i="2"/>
  <c r="N127" i="6" s="1"/>
  <c r="S128" i="4"/>
  <c r="T128" i="4" s="1"/>
  <c r="E126" i="6"/>
  <c r="D126" i="6"/>
  <c r="AB126" i="2"/>
  <c r="AC126" i="2"/>
  <c r="N125" i="6" s="1"/>
  <c r="S126" i="4"/>
  <c r="T126" i="4" s="1"/>
  <c r="E124" i="6"/>
  <c r="D124" i="6"/>
  <c r="S124" i="4"/>
  <c r="T124" i="4" s="1"/>
  <c r="E122" i="6"/>
  <c r="D122" i="6"/>
  <c r="S123" i="4"/>
  <c r="T123" i="4" s="1"/>
  <c r="D121" i="6"/>
  <c r="E121" i="6"/>
  <c r="S121" i="4"/>
  <c r="T121" i="4" s="1"/>
  <c r="E119" i="6"/>
  <c r="D119" i="6"/>
  <c r="AB119" i="2"/>
  <c r="AC119" i="2"/>
  <c r="N118" i="6" s="1"/>
  <c r="D116" i="6"/>
  <c r="S118" i="4"/>
  <c r="T118" i="4" s="1"/>
  <c r="AB117" i="2"/>
  <c r="AC117" i="2"/>
  <c r="N116" i="6" s="1"/>
  <c r="S117" i="4"/>
  <c r="T117" i="4" s="1"/>
  <c r="D115" i="6"/>
  <c r="AB116" i="2"/>
  <c r="AC116" i="2"/>
  <c r="N115" i="6" s="1"/>
  <c r="D139" i="6"/>
  <c r="S141" i="4"/>
  <c r="T141" i="4" s="1"/>
  <c r="E139" i="6"/>
  <c r="AB137" i="2"/>
  <c r="AC137" i="2"/>
  <c r="N136" i="6" s="1"/>
  <c r="S135" i="4"/>
  <c r="T135" i="4" s="1"/>
  <c r="E133" i="6"/>
  <c r="D133" i="6"/>
  <c r="S133" i="4"/>
  <c r="T133" i="4" s="1"/>
  <c r="E131" i="6"/>
  <c r="D131" i="6"/>
  <c r="S132" i="4"/>
  <c r="T132" i="4" s="1"/>
  <c r="E130" i="6"/>
  <c r="D130" i="6"/>
  <c r="S129" i="4"/>
  <c r="T129" i="4" s="1"/>
  <c r="E127" i="6"/>
  <c r="D127" i="6"/>
  <c r="AB127" i="2"/>
  <c r="AC127" i="2"/>
  <c r="N126" i="6" s="1"/>
  <c r="S127" i="4"/>
  <c r="T127" i="4" s="1"/>
  <c r="E125" i="6"/>
  <c r="D125" i="6"/>
  <c r="S122" i="4"/>
  <c r="T122" i="4" s="1"/>
  <c r="E120" i="6"/>
  <c r="D120" i="6"/>
  <c r="S120" i="4"/>
  <c r="T120" i="4" s="1"/>
  <c r="E118" i="6"/>
  <c r="D118" i="6"/>
  <c r="S119" i="4"/>
  <c r="T119" i="4" s="1"/>
  <c r="E117" i="6"/>
  <c r="D117" i="6"/>
  <c r="AB118" i="2"/>
  <c r="AC118" i="2"/>
  <c r="N117" i="6" s="1"/>
  <c r="S116" i="4"/>
  <c r="T116" i="4" s="1"/>
  <c r="E114" i="6"/>
  <c r="D114" i="6"/>
  <c r="S115" i="4"/>
  <c r="T115" i="4" s="1"/>
  <c r="E113" i="6"/>
  <c r="D113" i="6"/>
  <c r="S114" i="4"/>
  <c r="T114" i="4" s="1"/>
  <c r="E112" i="6"/>
  <c r="D112" i="6"/>
  <c r="AB113" i="2"/>
  <c r="AC113" i="2"/>
  <c r="N112" i="6" s="1"/>
  <c r="S113" i="4"/>
  <c r="T113" i="4" s="1"/>
  <c r="E111" i="6"/>
  <c r="D111" i="6"/>
  <c r="AB111" i="2"/>
  <c r="AC111" i="2"/>
  <c r="N110" i="6" s="1"/>
  <c r="S112" i="4"/>
  <c r="T112" i="4" s="1"/>
  <c r="E110" i="6"/>
  <c r="D110" i="6"/>
  <c r="S111" i="4"/>
  <c r="T111" i="4" s="1"/>
  <c r="E109" i="6"/>
  <c r="D109" i="6"/>
  <c r="AB110" i="2"/>
  <c r="AC110" i="2"/>
  <c r="N109" i="6" s="1"/>
  <c r="S110" i="4"/>
  <c r="T110" i="4" s="1"/>
  <c r="E108" i="6"/>
  <c r="D108" i="6"/>
  <c r="AB109" i="2"/>
  <c r="AC109" i="2"/>
  <c r="N108" i="6" s="1"/>
  <c r="AB108" i="2"/>
  <c r="AC108" i="2"/>
  <c r="N107" i="6" s="1"/>
  <c r="D107" i="6"/>
  <c r="S109" i="4"/>
  <c r="T109" i="4" s="1"/>
  <c r="E107" i="6"/>
  <c r="S108" i="4"/>
  <c r="T108" i="4" s="1"/>
  <c r="D106" i="6"/>
  <c r="E106" i="6"/>
  <c r="S107" i="4"/>
  <c r="T107" i="4" s="1"/>
  <c r="E105" i="6"/>
  <c r="D105" i="6"/>
  <c r="S106" i="4"/>
  <c r="T106" i="4" s="1"/>
  <c r="E104" i="6"/>
  <c r="D104" i="6"/>
  <c r="S105" i="4"/>
  <c r="T105" i="4" s="1"/>
  <c r="D103" i="6"/>
  <c r="E103" i="6"/>
  <c r="S104" i="4"/>
  <c r="T104" i="4" s="1"/>
  <c r="E102" i="6"/>
  <c r="D102" i="6"/>
  <c r="S103" i="4"/>
  <c r="T103" i="4" s="1"/>
  <c r="E101" i="6"/>
  <c r="D101" i="6"/>
  <c r="S102" i="4"/>
  <c r="T102" i="4" s="1"/>
  <c r="E100" i="6"/>
  <c r="D100" i="6"/>
  <c r="S101" i="4"/>
  <c r="T101" i="4" s="1"/>
  <c r="E99" i="6"/>
  <c r="D99" i="6"/>
  <c r="S100" i="4"/>
  <c r="T100" i="4" s="1"/>
  <c r="E98" i="6"/>
  <c r="D98" i="6"/>
  <c r="S99" i="4"/>
  <c r="T99" i="4" s="1"/>
  <c r="E97" i="6"/>
  <c r="D97" i="6"/>
  <c r="AC56" i="2"/>
  <c r="N55" i="6" s="1"/>
  <c r="AB56" i="2"/>
  <c r="S49" i="4"/>
  <c r="T49" i="4" s="1"/>
  <c r="E47" i="6"/>
  <c r="D47" i="6"/>
  <c r="S48" i="4"/>
  <c r="T48" i="4" s="1"/>
  <c r="E46" i="6"/>
  <c r="D46" i="6"/>
  <c r="S47" i="4"/>
  <c r="T47" i="4" s="1"/>
  <c r="E45" i="6"/>
  <c r="D45" i="6"/>
  <c r="S46" i="4"/>
  <c r="T46" i="4" s="1"/>
  <c r="E44" i="6"/>
  <c r="D44" i="6"/>
  <c r="S45" i="4"/>
  <c r="T45" i="4" s="1"/>
  <c r="D43" i="6"/>
  <c r="S44" i="4"/>
  <c r="T44" i="4" s="1"/>
  <c r="E42" i="6"/>
  <c r="D42" i="6"/>
  <c r="S43" i="4"/>
  <c r="T43" i="4" s="1"/>
  <c r="E41" i="6"/>
  <c r="D41" i="6"/>
  <c r="S42" i="4"/>
  <c r="T42" i="4" s="1"/>
  <c r="E40" i="6"/>
  <c r="D40" i="6"/>
  <c r="S41" i="4"/>
  <c r="T41" i="4" s="1"/>
  <c r="E39" i="6"/>
  <c r="D39" i="6"/>
  <c r="S40" i="4"/>
  <c r="T40" i="4" s="1"/>
  <c r="E38" i="6"/>
  <c r="D38" i="6"/>
  <c r="S39" i="4"/>
  <c r="T39" i="4" s="1"/>
  <c r="E37" i="6"/>
  <c r="D37" i="6"/>
  <c r="S38" i="4"/>
  <c r="T38" i="4" s="1"/>
  <c r="E36" i="6"/>
  <c r="D36" i="6"/>
  <c r="S37" i="4"/>
  <c r="T37" i="4" s="1"/>
  <c r="E35" i="6"/>
  <c r="D35" i="6"/>
  <c r="S36" i="4"/>
  <c r="T36" i="4" s="1"/>
  <c r="D34" i="6"/>
  <c r="S35" i="4"/>
  <c r="T35" i="4" s="1"/>
  <c r="D33" i="6"/>
  <c r="S9" i="4"/>
  <c r="T9" i="4" s="1"/>
  <c r="D7" i="6"/>
  <c r="S8" i="4"/>
  <c r="T8" i="4" s="1"/>
  <c r="D6" i="6"/>
  <c r="AL178" i="2"/>
  <c r="C3" i="6"/>
  <c r="AC161" i="2"/>
  <c r="N160" i="6" s="1"/>
  <c r="AB161" i="2"/>
  <c r="AC160" i="2"/>
  <c r="N159" i="6" s="1"/>
  <c r="AB160" i="2"/>
  <c r="AC159" i="2"/>
  <c r="N158" i="6" s="1"/>
  <c r="AB159" i="2"/>
  <c r="AC158" i="2"/>
  <c r="N157" i="6" s="1"/>
  <c r="AB158" i="2"/>
  <c r="S34" i="4"/>
  <c r="T34" i="4" s="1"/>
  <c r="E32" i="6"/>
  <c r="D32" i="6"/>
  <c r="S33" i="4"/>
  <c r="T33" i="4" s="1"/>
  <c r="D31" i="6"/>
  <c r="S11" i="4"/>
  <c r="T11" i="4" s="1"/>
  <c r="D9" i="6"/>
  <c r="S10" i="4"/>
  <c r="T10" i="4" s="1"/>
  <c r="D8" i="6"/>
  <c r="S7" i="4"/>
  <c r="T7" i="4" s="1"/>
  <c r="E5" i="6"/>
  <c r="D5" i="6"/>
  <c r="S6" i="4"/>
  <c r="T6" i="4" s="1"/>
  <c r="E4" i="6"/>
  <c r="D4" i="6"/>
  <c r="Z178" i="2"/>
  <c r="AC4" i="2"/>
  <c r="N3" i="6" s="1"/>
  <c r="AC60" i="2"/>
  <c r="N59" i="6" s="1"/>
  <c r="AB60" i="2"/>
  <c r="AC17" i="2"/>
  <c r="N16" i="6" s="1"/>
  <c r="AB17" i="2"/>
  <c r="AC134" i="2"/>
  <c r="N133" i="6" s="1"/>
  <c r="AC133" i="2"/>
  <c r="N132" i="6" s="1"/>
  <c r="AC132" i="2"/>
  <c r="N131" i="6" s="1"/>
  <c r="AC131" i="2"/>
  <c r="N130" i="6" s="1"/>
  <c r="AC121" i="2"/>
  <c r="N120" i="6" s="1"/>
  <c r="AC135" i="2"/>
  <c r="N134" i="6" s="1"/>
  <c r="AC130" i="2"/>
  <c r="N129" i="6" s="1"/>
  <c r="AC129" i="2"/>
  <c r="N128" i="6" s="1"/>
  <c r="AC125" i="2"/>
  <c r="N124" i="6" s="1"/>
  <c r="AC123" i="2"/>
  <c r="N122" i="6" s="1"/>
  <c r="AC122" i="2"/>
  <c r="N121" i="6" s="1"/>
  <c r="AC120" i="2"/>
  <c r="N119" i="6" s="1"/>
  <c r="AC115" i="2"/>
  <c r="N114" i="6" s="1"/>
  <c r="AC114" i="2"/>
  <c r="N113" i="6" s="1"/>
  <c r="AC112" i="2"/>
  <c r="N111" i="6" s="1"/>
  <c r="AC107" i="2"/>
  <c r="N106" i="6" s="1"/>
  <c r="AC106" i="2"/>
  <c r="N105" i="6" s="1"/>
  <c r="AC105" i="2"/>
  <c r="N104" i="6" s="1"/>
  <c r="AC104" i="2"/>
  <c r="N103" i="6" s="1"/>
  <c r="AC103" i="2"/>
  <c r="N102" i="6" s="1"/>
  <c r="AC102" i="2"/>
  <c r="N101" i="6" s="1"/>
  <c r="AC101" i="2"/>
  <c r="N100" i="6" s="1"/>
  <c r="AC100" i="2"/>
  <c r="N99" i="6" s="1"/>
  <c r="AC99" i="2"/>
  <c r="N98" i="6" s="1"/>
  <c r="AC47" i="2"/>
  <c r="N46" i="6" s="1"/>
  <c r="AC46" i="2"/>
  <c r="N45" i="6" s="1"/>
  <c r="AC45" i="2"/>
  <c r="N44" i="6" s="1"/>
  <c r="AC44" i="2"/>
  <c r="N43" i="6" s="1"/>
  <c r="AC43" i="2"/>
  <c r="N42" i="6" s="1"/>
  <c r="AC42" i="2"/>
  <c r="N41" i="6" s="1"/>
  <c r="AC41" i="2"/>
  <c r="N40" i="6" s="1"/>
  <c r="AB155" i="2"/>
  <c r="AB153" i="2"/>
  <c r="AB149" i="2"/>
  <c r="AC32" i="2"/>
  <c r="N31" i="6" s="1"/>
  <c r="AC7" i="2"/>
  <c r="N6" i="6" s="1"/>
  <c r="AB146" i="2"/>
  <c r="AB136" i="2"/>
  <c r="AC40" i="2"/>
  <c r="N39" i="6" s="1"/>
  <c r="AC39" i="2"/>
  <c r="N38" i="6" s="1"/>
  <c r="AC38" i="2"/>
  <c r="N37" i="6" s="1"/>
  <c r="AC37" i="2"/>
  <c r="N36" i="6" s="1"/>
  <c r="AC36" i="2"/>
  <c r="N35" i="6" s="1"/>
  <c r="AC35" i="2"/>
  <c r="N34" i="6" s="1"/>
  <c r="AC10" i="2"/>
  <c r="N9" i="6" s="1"/>
  <c r="AC9" i="2"/>
  <c r="N8" i="6" s="1"/>
  <c r="AC6" i="2"/>
  <c r="N5" i="6" s="1"/>
  <c r="AC5" i="2"/>
  <c r="N4" i="6" s="1"/>
  <c r="AB156" i="2"/>
  <c r="AB154" i="2"/>
  <c r="AB151" i="2"/>
  <c r="AB145" i="2"/>
  <c r="AC33" i="2"/>
  <c r="N32" i="6" s="1"/>
  <c r="AC8" i="2"/>
  <c r="N7" i="6" s="1"/>
  <c r="AB150" i="2"/>
  <c r="AB141" i="2"/>
  <c r="AB143" i="2"/>
  <c r="AB140" i="2"/>
  <c r="AC34" i="2"/>
  <c r="N33" i="6" s="1"/>
  <c r="AB142" i="2"/>
  <c r="E96" i="6" l="1"/>
  <c r="E123" i="6"/>
  <c r="E162" i="6"/>
  <c r="E167" i="6"/>
  <c r="E171" i="6"/>
  <c r="E175" i="6"/>
  <c r="E176" i="6"/>
  <c r="E95" i="6"/>
  <c r="E158" i="6"/>
  <c r="E169" i="6"/>
  <c r="E172" i="6"/>
  <c r="E174" i="6"/>
  <c r="E159" i="6"/>
  <c r="E160" i="6"/>
  <c r="E168" i="6"/>
  <c r="E170" i="6"/>
  <c r="E173" i="6"/>
  <c r="E12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49" i="6"/>
  <c r="E50" i="6"/>
  <c r="E51" i="6"/>
  <c r="E52" i="6"/>
  <c r="E53" i="6"/>
  <c r="E59" i="6"/>
  <c r="E62" i="6"/>
  <c r="E11" i="6"/>
  <c r="E13" i="6"/>
  <c r="E54" i="6"/>
  <c r="E55" i="6"/>
  <c r="E56" i="6"/>
  <c r="E57" i="6"/>
  <c r="E58" i="6"/>
  <c r="E60" i="6"/>
  <c r="E61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6" i="6"/>
  <c r="E87" i="6"/>
  <c r="E88" i="6"/>
  <c r="E89" i="6"/>
  <c r="E90" i="6"/>
  <c r="E91" i="6"/>
  <c r="E92" i="6"/>
  <c r="E93" i="6"/>
  <c r="E94" i="6"/>
  <c r="E161" i="6"/>
  <c r="E163" i="6"/>
  <c r="E164" i="6"/>
  <c r="E165" i="6"/>
  <c r="E166" i="6"/>
  <c r="E10" i="6"/>
  <c r="E85" i="6"/>
  <c r="E48" i="6"/>
  <c r="D3" i="6"/>
  <c r="E3" i="6"/>
  <c r="B185" i="6"/>
  <c r="B186" i="6"/>
  <c r="B182" i="6"/>
  <c r="B184" i="6"/>
  <c r="B183" i="6"/>
  <c r="S5" i="4"/>
  <c r="T5" i="4" s="1"/>
  <c r="AB178" i="2"/>
  <c r="E116" i="6"/>
  <c r="E115" i="6"/>
  <c r="E43" i="6"/>
  <c r="E34" i="6"/>
  <c r="E33" i="6"/>
  <c r="E7" i="6"/>
  <c r="E6" i="6"/>
  <c r="E31" i="6"/>
  <c r="E9" i="6"/>
  <c r="E8" i="6"/>
</calcChain>
</file>

<file path=xl/sharedStrings.xml><?xml version="1.0" encoding="utf-8"?>
<sst xmlns="http://schemas.openxmlformats.org/spreadsheetml/2006/main" count="3484" uniqueCount="769">
  <si>
    <t>PLANTILLA ÍNDICE PVE — PACTO VERDE EUROPEO</t>
  </si>
  <si>
    <t>Clasificación de preparación y vulnerabilidad de cooperativas café y cacao ante el EUDR / Pacto Verde Europeo</t>
  </si>
  <si>
    <t>PROPÓSITO</t>
  </si>
  <si>
    <t>CÓMO FUNCIONA</t>
  </si>
  <si>
    <t>FLUJO DE USO</t>
  </si>
  <si>
    <t>Paso 1</t>
  </si>
  <si>
    <t>Revisar PONDERADORES — los pesos son editables en celdas amarillas</t>
  </si>
  <si>
    <t>Paso 2</t>
  </si>
  <si>
    <t>Ir a MATRIZ_174 — verificar/actualizar FOB, país destino, certificaciones</t>
  </si>
  <si>
    <t>Paso 3</t>
  </si>
  <si>
    <t>Para cada organización con FOB UE &gt; 0, completar PREGUNTAS_PROXY usando llamada telefónica o visita de 30 min</t>
  </si>
  <si>
    <t>Paso 4</t>
  </si>
  <si>
    <t>Revisar SCORECARDS — el semáforo se actualiza automáticamente</t>
  </si>
  <si>
    <t>Paso 5</t>
  </si>
  <si>
    <t>Usar RADAR_BRECHAS para comparación por departamento</t>
  </si>
  <si>
    <t>SEMÁFORO</t>
  </si>
  <si>
    <t>🔴 Crítico (0–33)</t>
  </si>
  <si>
    <t>La cooperativa no puede generar la declaración EUDR. Riesgo de rechazo en frontera UE desde dic 2026.</t>
  </si>
  <si>
    <t>🟡 Vulnerable (34–66)</t>
  </si>
  <si>
    <t>Tiene infraestructura parcial pero incompleta. Necesita inversión en geolocalización y proceso.</t>
  </si>
  <si>
    <t>🟢 Preparado (67–100)</t>
  </si>
  <si>
    <t>Cumple los requisitos mínimos. Requiere monitoreo de actualización.</t>
  </si>
  <si>
    <t>NOTAS IMPORTANTES</t>
  </si>
  <si>
    <t>ISCAM — ISA-Completo = 0.70×ISA-EUDR + 0.30×ISA-PV  |  IP × IV → RE  |  Café y Cacao Perú — 174 organizaciones</t>
  </si>
  <si>
    <t>ISA-Completo = 0.70×ISA-EUDR + 0.30×ISA-PV   |   ISA-EUDR = 0.875×Núcleo(D1–D7, geom.) + 0.125×Extendido(D8–D9, arit.)   |   ISA-PV = Promedio(D12:D15)   |   IP = Promedio(IP1..IP5)   |   IV = Promedio(IV1..IV5)   |   RE = IV×(1−IP/100)   |   Corte 2×2: 50</t>
  </si>
  <si>
    <t>RUC</t>
  </si>
  <si>
    <t>Razón Social</t>
  </si>
  <si>
    <t>Depto</t>
  </si>
  <si>
    <t>FOB UE USD</t>
  </si>
  <si>
    <t>D1 — Clasific.
Regulatoria</t>
  </si>
  <si>
    <t>D2 — Trazabilidad
(SCORECARDS H)</t>
  </si>
  <si>
    <t>D3 — Legalidad
(OSCE/Neon)</t>
  </si>
  <si>
    <t>D4 — Deforestación
Cero</t>
  </si>
  <si>
    <t>D5 — Diligencia
Debida</t>
  </si>
  <si>
    <t>D6 — Capacidad
Digital</t>
  </si>
  <si>
    <t>D7 — Presión
Comprador</t>
  </si>
  <si>
    <t>D8 — Gobernanza</t>
  </si>
  <si>
    <t>D9 — Riesgo
Financiero</t>
  </si>
  <si>
    <t>D10 — Certificac.</t>
  </si>
  <si>
    <t>D11 — Género e
Inclusión</t>
  </si>
  <si>
    <t>IP1
Trazabilidad
D2</t>
  </si>
  <si>
    <t>IP2
√(D3×D4)</t>
  </si>
  <si>
    <t>IP3
(D5+D6+D8)/3</t>
  </si>
  <si>
    <t>IP4
(D6+D2)/2</t>
  </si>
  <si>
    <t>IP5
(D7+D9+Cert)/3</t>
  </si>
  <si>
    <t>IV1
Presión EU
ISA-PV×50</t>
  </si>
  <si>
    <t>IV2
D1 (base=50)</t>
  </si>
  <si>
    <t>IV3
ha&gt;0? → 65:35</t>
  </si>
  <si>
    <t>IV4
Cert=0? → 70:30</t>
  </si>
  <si>
    <t>IV5
Tipo Asoc → 65:40</t>
  </si>
  <si>
    <t>IP
Preparación</t>
  </si>
  <si>
    <t>IV
Vulnerabilidad</t>
  </si>
  <si>
    <t>RE
Exclusión</t>
  </si>
  <si>
    <t>Tipología
2×2 ISCAM</t>
  </si>
  <si>
    <t>Banderas
Duras</t>
  </si>
  <si>
    <t>D12
Huella Carbono</t>
  </si>
  <si>
    <t>D13
Reporte Sostenib.</t>
  </si>
  <si>
    <t>D14
Economía Circular</t>
  </si>
  <si>
    <t>D15
Fitosanitario</t>
  </si>
  <si>
    <t>ISA-PV
Promedio D12:D15</t>
  </si>
  <si>
    <t>P_Global
Promedio P1:P14</t>
  </si>
  <si>
    <t>ISA-EUDR
Geom.D1–D7
+ Arit.D8–D9</t>
  </si>
  <si>
    <t>ISA-Completo
0.70×EUDR
+0.30×PV</t>
  </si>
  <si>
    <t>20118578415</t>
  </si>
  <si>
    <t>CENT.DE COOP.AGR. CAF.VALLES SANDIA LTDA</t>
  </si>
  <si>
    <t>PUNO</t>
  </si>
  <si>
    <t>20129156083</t>
  </si>
  <si>
    <t>COOP AGRARIA CAFET VALLE RIO APURIMAC</t>
  </si>
  <si>
    <t>AYACUCHO</t>
  </si>
  <si>
    <t>20129529530</t>
  </si>
  <si>
    <t>COOP AGRARIA CAFETALERA SATIPO LTDA</t>
  </si>
  <si>
    <t>JUNIN</t>
  </si>
  <si>
    <t>20132489824</t>
  </si>
  <si>
    <t>COOPERATIVA AGRARIA CAFETALERA CHANCAMAYO LTDA. N° 008-B-VII</t>
  </si>
  <si>
    <t>CUSCO</t>
  </si>
  <si>
    <t>20132505455</t>
  </si>
  <si>
    <t>COOPERATIVA AGRARIA CAFETALERA AGUILAYOC LTDA. 084</t>
  </si>
  <si>
    <t>20132509795</t>
  </si>
  <si>
    <t>COOPERATIVA AGRARIA CAFETALERA JOSE OLAYA LTDA N° 252</t>
  </si>
  <si>
    <t>20132509876</t>
  </si>
  <si>
    <t>COOPERATIVA AGRARIA CAFETALERA MARANURA LTDA. 129</t>
  </si>
  <si>
    <t>20132517119</t>
  </si>
  <si>
    <t>COOPERATIVA AGRARIA CAFETALERA MATEO PUMACAHUA LTDA N° 185</t>
  </si>
  <si>
    <t>20136201132</t>
  </si>
  <si>
    <t>COOPERATIVA AGRARIA CAFETALERA ALTO URUBAMBA LTDA N° 239</t>
  </si>
  <si>
    <t>20136201213</t>
  </si>
  <si>
    <t xml:space="preserve">CENTRAL DE COOPERATIVAS AGRARIAS CAFETALERAS COCLA LTDA. N° </t>
  </si>
  <si>
    <t>20140292657</t>
  </si>
  <si>
    <t>COOPERATIVA AGRARIA CAFETALERA CCOCHAPAMPA LTDA.</t>
  </si>
  <si>
    <t>20143692010</t>
  </si>
  <si>
    <t>COOPERATIVA AGRARIA EL QUINACHO LTDA. N° 078</t>
  </si>
  <si>
    <t>20145484597</t>
  </si>
  <si>
    <t>COOPERATIVA AGRARIA CAFETALERA SAN IGNACIO LTDA.</t>
  </si>
  <si>
    <t>20146696041</t>
  </si>
  <si>
    <t>COOP AGRARIA CAFET JOSE GABRIEL CONDORCA</t>
  </si>
  <si>
    <t>PIURA</t>
  </si>
  <si>
    <t>20147443120</t>
  </si>
  <si>
    <t>COOPERATIVA AGRARIA CAFETALERA TIRIJUAY PAVAYOC LTDA 013-B-V</t>
  </si>
  <si>
    <t>20166786861</t>
  </si>
  <si>
    <t>COMITE CENTRAL DE PRODUCTORES AGROPECUARIOS DE SAN ALEJANDRO</t>
  </si>
  <si>
    <t>UCAYALI</t>
  </si>
  <si>
    <t>20170142773</t>
  </si>
  <si>
    <t>COOPERATIVA AGRARIA CAFETALERA BAGUA GRANDE LIMITADA</t>
  </si>
  <si>
    <t>AMAZONAS</t>
  </si>
  <si>
    <t>20200880448</t>
  </si>
  <si>
    <t>COOPERATIVA AGRARIA CAFETALERA JORGE CHAVEZ LTDA</t>
  </si>
  <si>
    <t>20352417018</t>
  </si>
  <si>
    <t>COOPERATIVA AGRARIA DE CACAOTEROS TECNIFICADOS DE PADRE ABAD</t>
  </si>
  <si>
    <t>20352423921</t>
  </si>
  <si>
    <t>COOPERATIVA AGRARIA CAFETALERA DIVISORIA LTDA</t>
  </si>
  <si>
    <t>HUANUCO</t>
  </si>
  <si>
    <t>20393152207</t>
  </si>
  <si>
    <t>COOPERATIVA AGRO INDUSTRIAL APCTVASH</t>
  </si>
  <si>
    <t>20393593670</t>
  </si>
  <si>
    <t>COMITE CENTRAL CON DESARROLLO AL FUTURO DE CURIMANA</t>
  </si>
  <si>
    <t>20393692228</t>
  </si>
  <si>
    <t>COOPERATIVA AGRARIA CACAOTERA SAN ALEJANDRO LTDA</t>
  </si>
  <si>
    <t>20393786044</t>
  </si>
  <si>
    <t>COOPERATIVA AGRARIA CAFETALERA COORDILLERA AZUL DE UCAYALI L</t>
  </si>
  <si>
    <t>20393816211</t>
  </si>
  <si>
    <t>COOPERATIVA AGRARIA SAN JUAN BAUTISTA</t>
  </si>
  <si>
    <t>20393882868</t>
  </si>
  <si>
    <t>COOPERATIVA AGRARIA ASCAH</t>
  </si>
  <si>
    <t>20393972000</t>
  </si>
  <si>
    <t>ASOCIACION DE MUJERES EMPRENDEDORAS FLOR DE BOQUERON</t>
  </si>
  <si>
    <t>20447888701</t>
  </si>
  <si>
    <t>COOPERATIVA AGRARIA INDUSTRIAL SAN GABAN LTDA.</t>
  </si>
  <si>
    <t>20450189201</t>
  </si>
  <si>
    <t>COOPERATIVA DE SERVICIOS MULTIPLES FRUTOS DE SELVA</t>
  </si>
  <si>
    <t>SAN MARTIN</t>
  </si>
  <si>
    <t>20450207544</t>
  </si>
  <si>
    <t>COOPERATIVA AGRARIA UCHIZA LTDA</t>
  </si>
  <si>
    <t>20450242021</t>
  </si>
  <si>
    <t>COOPERATIVA DE SERVICIOS MULTIPLES CAPEMA</t>
  </si>
  <si>
    <t>20450319423</t>
  </si>
  <si>
    <t>COOPERATIVA AGRARIA DE SERVICIOS MULTIPLES CAFE DONCEL</t>
  </si>
  <si>
    <t>20452774705</t>
  </si>
  <si>
    <t>COOPERATIVA AGRARIA CACAO VRAE</t>
  </si>
  <si>
    <t>20479595276</t>
  </si>
  <si>
    <t>COOPERATIVA AGRARIA CAFETALERA CASIL LTDA.</t>
  </si>
  <si>
    <t>CAJAMARCA</t>
  </si>
  <si>
    <t>20479622699</t>
  </si>
  <si>
    <t>COOPERATIVA AGRARIA JUAN MARCO EL PALTO</t>
  </si>
  <si>
    <t>20479856258</t>
  </si>
  <si>
    <t>ASOCIACION DE PRODUCTORES AGROPECUARIOS LUIS SOLIBARRIA</t>
  </si>
  <si>
    <t>20479917141</t>
  </si>
  <si>
    <t>COOPERATIVA AGRARIA CENTRAL DE PRODUCTORES DE AMAZONAS</t>
  </si>
  <si>
    <t>20480458550</t>
  </si>
  <si>
    <t>COOPERATIVA AGRARIA APROCAM</t>
  </si>
  <si>
    <t>20480762895</t>
  </si>
  <si>
    <t>ASOCIACION DE PRODUCTORES AGROPECUARIOS LA FLOR DE CAFE</t>
  </si>
  <si>
    <t>20484163902</t>
  </si>
  <si>
    <t>COOPERATIVA AGRARIA APPROCAP LTDA</t>
  </si>
  <si>
    <t>20485945815</t>
  </si>
  <si>
    <t>COOPERATIVA AGRARIA CAFETALERA ECOLOGICO ALTO PALOMAR</t>
  </si>
  <si>
    <t>20486094657</t>
  </si>
  <si>
    <t>ASOCIACION DE PRODUCTORES DE CAFES ESPECIALES MOUNTAIN COFFE</t>
  </si>
  <si>
    <t>20486255090</t>
  </si>
  <si>
    <t>COOPERATIVA AGRARIA SANGARENI</t>
  </si>
  <si>
    <t>20486668335</t>
  </si>
  <si>
    <t>COOPERATIVA AGROINDUSTRIAL SONOMORO LTDA</t>
  </si>
  <si>
    <t>20486876019</t>
  </si>
  <si>
    <t>COOPERATIVA AGROECOLOGICO INDUSTRIAL MAZAMARI LTDA</t>
  </si>
  <si>
    <t>20486973219</t>
  </si>
  <si>
    <t>COOPERATIVA AGRARIA SONOMORO DEL VRAEM LTDA</t>
  </si>
  <si>
    <t>20487242994</t>
  </si>
  <si>
    <t>COOPERATIVA AGRARIA ECOLOGICA CACAOTERA VALLE RIO ENE - COOP</t>
  </si>
  <si>
    <t>20487351343</t>
  </si>
  <si>
    <t>ASOCIACION DE PRODUCTORES AGROPECUARIOS TUPAC AMARU DE CHIÑA</t>
  </si>
  <si>
    <t>LAMBAYEQUE</t>
  </si>
  <si>
    <t>20487661539</t>
  </si>
  <si>
    <t>ASOCIACION DE PRODUCTORES CACAOTEROS DEL DISTRITO DE HUARANG</t>
  </si>
  <si>
    <t>20490726196</t>
  </si>
  <si>
    <t>ASOCIACIÓN DE PRODUCTORES AGROPECUARIOS VALLESITO - CHAHUARE</t>
  </si>
  <si>
    <t>20493934822</t>
  </si>
  <si>
    <t>COOPERATIVA AGRARIA NUEVO AMANECER LTDA.</t>
  </si>
  <si>
    <t>20493959574</t>
  </si>
  <si>
    <t>COOPERATIVA AGRARIA DE SERVICIOS MUJERES TECNOLOGAS CACAOTER</t>
  </si>
  <si>
    <t>20494126819</t>
  </si>
  <si>
    <t>ASOCIACION DE PRODUCTORES AGROPECUARIOS RIO MAYO SHANAO</t>
  </si>
  <si>
    <t>20494145791</t>
  </si>
  <si>
    <t>ASOCIACION ECOLOGICA Y DE PRODUCTORES AGROPECUARIOS SAN JOSE</t>
  </si>
  <si>
    <t>LORETO</t>
  </si>
  <si>
    <t>20494699690</t>
  </si>
  <si>
    <t>ASOCIACION DE PRODUCTORES DE CACAO ECOLOGICO DE KIMBIRI - AP</t>
  </si>
  <si>
    <t>20525969551</t>
  </si>
  <si>
    <t>COOPERATIVA AGRARIA DE PRODUCTORES DE BANANO, CACAO ORGANICO</t>
  </si>
  <si>
    <t>20526514689</t>
  </si>
  <si>
    <t>ASOCIACION DE PRODUCTORES AGROPECUARIOS ARTESANALES E INDUST</t>
  </si>
  <si>
    <t>20527565376</t>
  </si>
  <si>
    <t>COOPERATIVA AGRARIA CAFETALERA VALLE DE INCAHUASI</t>
  </si>
  <si>
    <t>APURIMAC</t>
  </si>
  <si>
    <t>20528996214</t>
  </si>
  <si>
    <t>COOPERATIVA AGRARIA CAFETALERA MILAGROS - MONZON</t>
  </si>
  <si>
    <t>20529801433</t>
  </si>
  <si>
    <t>OPA MARAY-ULLMA SAN LORENZO</t>
  </si>
  <si>
    <t>20529822350</t>
  </si>
  <si>
    <t>OPA PAPAYO - LA LAGUNA</t>
  </si>
  <si>
    <t>20531405723</t>
  </si>
  <si>
    <t>COOPERATIVA DE SERVICIOS MULTIPLES ADISA NARANJOS</t>
  </si>
  <si>
    <t>20531441797</t>
  </si>
  <si>
    <t>COOPERATIVA AGRARIA ALLIMA CACAO LTDA.</t>
  </si>
  <si>
    <t>20534524774</t>
  </si>
  <si>
    <t>COOPERATIVA AGRARIA TROPICAL ECOLOGICA DE KIMBIRI</t>
  </si>
  <si>
    <t>20539205600</t>
  </si>
  <si>
    <t>ASOCIACION DE PRODUCTORES Y EXPORTADORES DE CAFE RODRIGUEZ D</t>
  </si>
  <si>
    <t>20539241665</t>
  </si>
  <si>
    <t>ASOCIACION DE PRODUCTORES DE CAFES ORGANICOS Y CAFES ESPECIA</t>
  </si>
  <si>
    <t>20539280644</t>
  </si>
  <si>
    <t>ASOCIACION DE PEQUEÑOS AGRICULTORES PARA LA PRODUCCION ECOLO</t>
  </si>
  <si>
    <t>20542209951</t>
  </si>
  <si>
    <t>COOPERATIVA AGRARIA VALLE GRANDE</t>
  </si>
  <si>
    <t>20542251990</t>
  </si>
  <si>
    <t>ASOCIACION DE MUJERES EMPRENDEDORAS DE NUEVO PROGRESO</t>
  </si>
  <si>
    <t>20542257416</t>
  </si>
  <si>
    <t>EMPRESA INDUSTRIAL ORO VERDE SOCIEDAD ANONIMA CERRADA</t>
  </si>
  <si>
    <t>20542264544</t>
  </si>
  <si>
    <t>COOPERATIVA AGRARIA VALLE DEL BIAVO LTDA</t>
  </si>
  <si>
    <t>20542289024</t>
  </si>
  <si>
    <t>CUENCAS DEL HUALLAGA ASOCIACION DE PRODUCTORES AGROPECUARIOS</t>
  </si>
  <si>
    <t>20542299330</t>
  </si>
  <si>
    <t xml:space="preserve">ASOCIACION DE PRODUCTORES AGROPECUARIOS DE SHUCUSHYACU FLOR </t>
  </si>
  <si>
    <t>20542311569</t>
  </si>
  <si>
    <t>COOPERATIVA AGRARIA ACHUAR SHAKAIM LTDA</t>
  </si>
  <si>
    <t>20542380455</t>
  </si>
  <si>
    <t>COOPERATIVA AGRARIA ECOFOREST</t>
  </si>
  <si>
    <t>20542482886</t>
  </si>
  <si>
    <t>COOPERATIVA AGROINDUSTRIAL APCCA</t>
  </si>
  <si>
    <t>20542825163</t>
  </si>
  <si>
    <t>COOPERATIVA AGRARIA CACAO FINO AGROBOSQUE</t>
  </si>
  <si>
    <t>MADRE DE DIOS</t>
  </si>
  <si>
    <t>20561140091</t>
  </si>
  <si>
    <t>COOPERATIVA AGRARIA ECOLOGICA CAFETALERA DE LONYA GRANDE</t>
  </si>
  <si>
    <t>20564032485</t>
  </si>
  <si>
    <t>ASOCIACION DE PRODUCTORES ECOLOGICOS DE CACAO MEDIO URUBAMBA</t>
  </si>
  <si>
    <t>20568071281</t>
  </si>
  <si>
    <t>COOPERATIVA AGRARIA CAFETALERA CEPRO YANESHA</t>
  </si>
  <si>
    <t>PASCO</t>
  </si>
  <si>
    <t>20568080948</t>
  </si>
  <si>
    <t>CONSEJO REGULADOR DE LA DENOMINACION DE ORIGEN CAFE VILLA RI</t>
  </si>
  <si>
    <t>20568190450</t>
  </si>
  <si>
    <t>COOPERATIVA AGRARIA KEMITO ENE LTDA. - KEMITO ENE</t>
  </si>
  <si>
    <t>20568194951</t>
  </si>
  <si>
    <t>ASOCIACION DE PRODUCTORES AGROSOSTENIBLES VILLA ECOLOGICA PE</t>
  </si>
  <si>
    <t>20568428375</t>
  </si>
  <si>
    <t>COOPERATIVA AGRARIA ASHANINKA DEL VALLE PICHIS</t>
  </si>
  <si>
    <t>20568549083</t>
  </si>
  <si>
    <t>COOPERATIVA AGRARIA INDUSTRIAL APASC SANCORE-PALCAZU LTDA</t>
  </si>
  <si>
    <t>20568560133</t>
  </si>
  <si>
    <t>COOPERATIVA AGRARIA ECOLOGICO ALTO PALCAZU LAGUNA RAYA</t>
  </si>
  <si>
    <t>20568567731</t>
  </si>
  <si>
    <t>COOPERATIVA AGRARIA VILLA RICA GOLDEN COFFEE LTDA.</t>
  </si>
  <si>
    <t>20568609833</t>
  </si>
  <si>
    <t xml:space="preserve">ASOCIACION DE MUJERES PRODUCTORAS ARTESANAS CACAO JENTARI - </t>
  </si>
  <si>
    <t>20568962282</t>
  </si>
  <si>
    <t>ASOCIACIÓN DE PRODUCTORES CENTRO COFFEE</t>
  </si>
  <si>
    <t>20570706927</t>
  </si>
  <si>
    <t>COOPERATIVA AGRARIA RUTAS DEL INCA</t>
  </si>
  <si>
    <t>20572111131</t>
  </si>
  <si>
    <t>ASOCIACION DE MUJERES ORGANIZADAS CHOCO WARMIS</t>
  </si>
  <si>
    <t>20572190251</t>
  </si>
  <si>
    <t>CENTRAL DE COOPERATIVAS AGRARIAS CACAO AROMA DE TOCACHE LTDA</t>
  </si>
  <si>
    <t>20573049102</t>
  </si>
  <si>
    <t>COOPERATIVA AGRARIA CACAOTERA PUERTO INCA</t>
  </si>
  <si>
    <t>20573057385</t>
  </si>
  <si>
    <t>COOPERATIVA AGRARIA PARAISO</t>
  </si>
  <si>
    <t>20573138202</t>
  </si>
  <si>
    <t>ASOCIACION DE PRODUCTORES AGROPECUARIOS Y FORESTALES EL ALVA</t>
  </si>
  <si>
    <t>20573260008</t>
  </si>
  <si>
    <t>COOPERATIVA AGRARIA AUCAYACU</t>
  </si>
  <si>
    <t>20573344791</t>
  </si>
  <si>
    <t>ASOCIACION AGROECOLOGICO HUANGANAPAMPA</t>
  </si>
  <si>
    <t>20574797013</t>
  </si>
  <si>
    <t>ASOCIACION DE PRODUCTORES AGROPECUARIOS DE PARAISO CENTRAL</t>
  </si>
  <si>
    <t>20600001109</t>
  </si>
  <si>
    <t>COOPERATIVA AGRARIA CAFETALERA PRODUCTORA COMERCIAL EXPORTAD</t>
  </si>
  <si>
    <t>20600010086</t>
  </si>
  <si>
    <t>COOPERATIVA AGRARIA VALLE DEL CUCHARA LTDA</t>
  </si>
  <si>
    <t>20600029887</t>
  </si>
  <si>
    <t>COOPERATIVA AGRARIA INTEGRAL LUZ DE LA ESPERANZA</t>
  </si>
  <si>
    <t>20600146689</t>
  </si>
  <si>
    <t>COOPERATIVA AGRARIA DE SERVICIOS AGRICOLAS TAMBOPATA CANDAMO</t>
  </si>
  <si>
    <t>20600200756</t>
  </si>
  <si>
    <t>COOPERATIVA AGRARIA CAFETALERA MONTAÑA AZUL LTDA. - COOPACMA</t>
  </si>
  <si>
    <t>20600263286</t>
  </si>
  <si>
    <t>ASOCIACIÓN DE PRODUCTORES SELVA NORORIENTAL</t>
  </si>
  <si>
    <t>20600382064</t>
  </si>
  <si>
    <t>COOPERATIVA AGRARIA ECOLOGICA AGROINDUSTRIAL DE CURIMANA LTD</t>
  </si>
  <si>
    <t>20600390911</t>
  </si>
  <si>
    <t>COOPERATIVA AGRARIA DE CACAO AROMATICO COLPA DE LOROS</t>
  </si>
  <si>
    <t>20600529693</t>
  </si>
  <si>
    <t>AGRO ASOCIACION Y SERVICIOS TINKUY</t>
  </si>
  <si>
    <t>20600668430</t>
  </si>
  <si>
    <t>COOPERATIVA AGRARIA DEL CENTRO POBLADO DE BELLA BAJO MONZON</t>
  </si>
  <si>
    <t>20600682386</t>
  </si>
  <si>
    <t>ASOCIACION DE PRODUCTORES AGROPECUARIOS VALLE VERDE DE RODRI</t>
  </si>
  <si>
    <t>20600720733</t>
  </si>
  <si>
    <t>COOPERATIVA AGRARIA VALLE DEL MONZON CAV MONZON</t>
  </si>
  <si>
    <t>20600785541</t>
  </si>
  <si>
    <t>ASOCIACION DE PRODUCTORES CAFETALEROS ANDINOS SIERRA VERDE</t>
  </si>
  <si>
    <t>20600796683</t>
  </si>
  <si>
    <t>ASOCIACION DE PRODUCTORES DE CACAO SAN FRANCISCO MADRE DE DI</t>
  </si>
  <si>
    <t>20600796721</t>
  </si>
  <si>
    <t>ASOCIACIÓN DE PRODUCTORES AMAZONAS - ALTO MAYO</t>
  </si>
  <si>
    <t>20600874919</t>
  </si>
  <si>
    <t>COOPERATIVA AGRARIA DE LA INTER OCEANICA LIMITADA</t>
  </si>
  <si>
    <t>20600964080</t>
  </si>
  <si>
    <t>ASOCIACION DE AGRICULTORES KERGUERANOS</t>
  </si>
  <si>
    <t>20601067146</t>
  </si>
  <si>
    <t>COOPERATIVA AGRARIA INDUSTRIAL MONTE ALEGRE - REGION UCAYALI</t>
  </si>
  <si>
    <t>20601119316</t>
  </si>
  <si>
    <t>COOPERATIVA DE PRODUCTORES DE CACAO FINO Y DE AROMA</t>
  </si>
  <si>
    <t>20601186986</t>
  </si>
  <si>
    <t>COOPERATIVA AGRARIA LOS AMBIENTALISTAS LTDA</t>
  </si>
  <si>
    <t>20601329159</t>
  </si>
  <si>
    <t>COOPERATIVA AGRARIA CAFETALERA DE LA NACION YANESHA</t>
  </si>
  <si>
    <t>20601339090</t>
  </si>
  <si>
    <t>COOPERATIVA AGROINDUSTRIAL CAFETALERA CACOTERA MONZON LTDA</t>
  </si>
  <si>
    <t>20601537771</t>
  </si>
  <si>
    <t>ASOCIACION DE PRODUCTORES SOSTENIBLES EL AYNI</t>
  </si>
  <si>
    <t>20601558204</t>
  </si>
  <si>
    <t>COOPERATIVA AGRARIA CAFETALERA OCUMAL</t>
  </si>
  <si>
    <t>20601667526</t>
  </si>
  <si>
    <t>COOP BESACARI - PERU</t>
  </si>
  <si>
    <t>20601919657</t>
  </si>
  <si>
    <t>COOPERATIVA AGRARIA INNOVACION CACAO Y CAFE DEL VRAEM</t>
  </si>
  <si>
    <t>20601939402</t>
  </si>
  <si>
    <t>COOPERATIVA AGRARIA ASHANINKA KEMITO SANKORI LTDA</t>
  </si>
  <si>
    <t>20601958911</t>
  </si>
  <si>
    <t>COOPERATIVA AGRARIA CAFETALERA LAGUNA DE LOS CÓNDORES</t>
  </si>
  <si>
    <t>20602047025</t>
  </si>
  <si>
    <t>ASOCIACION DE MUJERES CHOCOLATERAS CHOCOLATE CORAZON DE NOLB</t>
  </si>
  <si>
    <t>20602054480</t>
  </si>
  <si>
    <t>COOPERATIVA AGRARIA ECOLOGICA DE MUJERES CAFETALERAS VILLA R</t>
  </si>
  <si>
    <t>20602161081</t>
  </si>
  <si>
    <t>APROVAPERU</t>
  </si>
  <si>
    <t>20602194265</t>
  </si>
  <si>
    <t>ASOCIACION DE AGRICULTORES DE CACAO Y REFORESTADORES DE CURI</t>
  </si>
  <si>
    <t>20602242464</t>
  </si>
  <si>
    <t>COOPERATIVA AGROPECUARIA MARCELINO VASQUEZ HUAMAN - COOPAMAV</t>
  </si>
  <si>
    <t>20602488927</t>
  </si>
  <si>
    <t>COOPERATIVA AGRARIA ECOLOGICO ROSAS PAMPA LTDA - CAECO ROSAS</t>
  </si>
  <si>
    <t>20602650643</t>
  </si>
  <si>
    <t>ASOCIACIÓN AGROEXPORTADORA DE LA REGIÓN SAN MARTÍN</t>
  </si>
  <si>
    <t>20602712657</t>
  </si>
  <si>
    <t>COOPERATIVA AGRARIA CAFETALERA RIO TAMBO LIMITADA</t>
  </si>
  <si>
    <t>20602881971</t>
  </si>
  <si>
    <t>ASOCIACION DE PRODUCTORES AGRARIOS DE CACAO (APAC) ECHALACPE</t>
  </si>
  <si>
    <t>20603320621</t>
  </si>
  <si>
    <t>COOPERATIVA AGRARIA CAFETALERA ALTA MONTAÑA</t>
  </si>
  <si>
    <t>20603526423</t>
  </si>
  <si>
    <t>COOPERATIVA AGROINDUSTRIAL PERLA DEL HUALLAGA LTDA - CAPH LT</t>
  </si>
  <si>
    <t>20603557825</t>
  </si>
  <si>
    <t>COOPERATIVA AGRARIA KAFFEE SATIPO</t>
  </si>
  <si>
    <t>20603675551</t>
  </si>
  <si>
    <t xml:space="preserve">ASOCIACION DE PRODUCTORES AGROPECUARIOS MADRE SELVA - LACCO </t>
  </si>
  <si>
    <t>20603676476</t>
  </si>
  <si>
    <t>ASOCIACION DE PRODUCTORES AGROPECUARIOS PONGO MAYNIQUE DE LA</t>
  </si>
  <si>
    <t>20603820691</t>
  </si>
  <si>
    <t>COOPERATIVA AGRARIA DE SERVICIOS MULTIPLES CORDILLERA AZUL -</t>
  </si>
  <si>
    <t>20603829515</t>
  </si>
  <si>
    <t>ASOCIACION DE PRODUCTORES AGROPECUARIOS LOS NOGALES ALTO ITA</t>
  </si>
  <si>
    <t>20603842511</t>
  </si>
  <si>
    <t>ASOCIACION DE PRODUCTORES AGROPECUARIOS RIQ´CHARI DE TINTINI</t>
  </si>
  <si>
    <t>20603862369</t>
  </si>
  <si>
    <t>COOPERATIVA AGRARIA TROPICALS PRODUCTS</t>
  </si>
  <si>
    <t>20604151954</t>
  </si>
  <si>
    <t>COOPERATIVA AGRARIA DE SERVICIOS MULTIPLES SUR ORIENTE - COO</t>
  </si>
  <si>
    <t>20604215600</t>
  </si>
  <si>
    <t xml:space="preserve">ASOCIACION DE PRODUCTORES DE CACAO ECOLOGICO DE DISTRITO DE </t>
  </si>
  <si>
    <t>20604309728</t>
  </si>
  <si>
    <t>ASOCIACION DE PRODUCTORES CAFETALEROS AGROECOLOGICOS SAN JUA</t>
  </si>
  <si>
    <t>20604401187</t>
  </si>
  <si>
    <t>ORGANIZACION ZONAL SAN MIGUEL DEL FAIQUE</t>
  </si>
  <si>
    <t>20604705411</t>
  </si>
  <si>
    <t>COOPERATIVA AGRARIA CRUZ DE YANAHUANCA</t>
  </si>
  <si>
    <t>20604988200</t>
  </si>
  <si>
    <t>ASOCIACION DE PRODUCTORES DE CACAO CCAPAQKILLA</t>
  </si>
  <si>
    <t>20605228489</t>
  </si>
  <si>
    <t xml:space="preserve">ASOCIACION AGROINDUSTRIAL DE MUJERES PRODUCTORAS DE CACAO Y </t>
  </si>
  <si>
    <t>20605500430</t>
  </si>
  <si>
    <t>COOPERATIVA AGRARIA DE PRODUCTORES ECOLOGICOS LOS CHANKAS VA</t>
  </si>
  <si>
    <t>20605688170</t>
  </si>
  <si>
    <t>COOPERATIVA AGRARIA ALEXANDER VON HUMBOLDT LTDA</t>
  </si>
  <si>
    <t>20606041382</t>
  </si>
  <si>
    <t>ASOCIACION AROMA DE MUJER LLAQUE</t>
  </si>
  <si>
    <t>20606451122</t>
  </si>
  <si>
    <t>ASOCIACIÓN DE PRODUCTORES CERRO BLANCO</t>
  </si>
  <si>
    <t>20606485281</t>
  </si>
  <si>
    <t>COOPERATIVA AGROINDUSTRIAL DE LA GRAN NACION ASHANINKA</t>
  </si>
  <si>
    <t>20606556331</t>
  </si>
  <si>
    <t>ASOCIACIÓN ABISEO SAN MARTIN - ASABISAM</t>
  </si>
  <si>
    <t>20606717475</t>
  </si>
  <si>
    <t>ASOCIACION DE PEQUEÑOS PRODUCTORES AGROPECUARIOS ULLMA</t>
  </si>
  <si>
    <t>20607265624</t>
  </si>
  <si>
    <t>ASOCIACION DE PEQUEÑOS PRODUCTORES AGROPECUARIOS PENACHI-KER</t>
  </si>
  <si>
    <t>20607382604</t>
  </si>
  <si>
    <t>ASOCIACION DE PEQUEÑOS PRODUCTORES AGROPECUARIOS SAN LORENZO</t>
  </si>
  <si>
    <t>20607536016</t>
  </si>
  <si>
    <t>COOPERATIVA AGRARIA COOPAGRO LTDA - COOPERATIVA COOPAGRO</t>
  </si>
  <si>
    <t>20607558559</t>
  </si>
  <si>
    <t>COOPERATIVA AGRARIA INDÍGENA AWAJUN WAMPIS TUNTANAIN LTDA</t>
  </si>
  <si>
    <t>20607775185</t>
  </si>
  <si>
    <t>ASOCIACION DE PRODUCTORES ANDINOS SOLIDARIOS-KAÑARIS</t>
  </si>
  <si>
    <t>20608235648</t>
  </si>
  <si>
    <t>ASOCIACIÓN DE PRODUCTORES DE CACAO ORGÁNICO PUSHARO MANU</t>
  </si>
  <si>
    <t>20608294512</t>
  </si>
  <si>
    <t>COOPERATIVA AGRARIA KURI VALLE DEL SISA LTDA</t>
  </si>
  <si>
    <t>20608478311</t>
  </si>
  <si>
    <t>COOPERATIVA AGRARIA YAKATHEO DEL AMAZONAS COOPAYAKAT</t>
  </si>
  <si>
    <t>20609025353</t>
  </si>
  <si>
    <t>ASOCIACION DE PRODUCTORES AGROPERU MANDOVA</t>
  </si>
  <si>
    <t>20609555395</t>
  </si>
  <si>
    <t>COOPERATIVA AGRARIA BANAQUI CURIMANA</t>
  </si>
  <si>
    <t>20609846314</t>
  </si>
  <si>
    <t>COOPERATIVA AGRARIA DE FAMILIAS CAMPESINAS EMPRENDEDORAS Y R</t>
  </si>
  <si>
    <t>20610739491</t>
  </si>
  <si>
    <t>ASOCIACION DE PRODUCTORES AGROPECUARIOS DON ANDRES-AMAZONAS</t>
  </si>
  <si>
    <t>20610772553</t>
  </si>
  <si>
    <t>ASOCIACION DE MUJERES CAFICULTORAS DE CHINYAMA</t>
  </si>
  <si>
    <t>20611316616</t>
  </si>
  <si>
    <t>nan</t>
  </si>
  <si>
    <t>20611935243</t>
  </si>
  <si>
    <t>COOPERATIVA AGRARIA ECOLOGICA CANIARI AMAZONICA CAECAM</t>
  </si>
  <si>
    <t>20612331821</t>
  </si>
  <si>
    <t>ASOCIACIÓN DE MUJERES LAS FLORES DE LUYA</t>
  </si>
  <si>
    <t>PROMEDIO MUESTRAL</t>
  </si>
  <si>
    <t>n = 174 organizaciones</t>
  </si>
  <si>
    <t>METODOLOGÍA ISCAM  |  ISA-EUDR = 0.875×(D1×D2×...×D7)^(1/7) + 0.125×(D8+D9)/2  |  ISA-PV = Promedio(D12:D15)  |  ISA-Completo = 0.70×ISA-EUDR + 0.30×ISA-PV  |  IP = Promedio(IP1..IP5): IP1=D2, IP2=√(D3×D4), IP3=(D5+D6+D8)/3, IP4=(D6+D2)/2, IP5=(D7+D9+Cert)/3  |  IV = Promedio(IV1..IV5): IV1=ISA-PV×50, IV2=D1(base=50), IV3=ha&gt;0?→65:35, IV4=cert=0?→70:30, IV5=tipo Asoc?→65:40  |  RE = IV×(1−IP/100)  |  Corte 2×2: 50  |  █ GRIS=pendiente Inst.2  █ AZUL=Datos llenos  █ NARANJA=IV  █ ROJO=RE  █ VERDE=Ambiental  █ OSCURO=ISA</t>
  </si>
  <si>
    <t>BLOQUE DE SUPUESTOS — PONDERACIONES DEL ÍNDICE PVE</t>
  </si>
  <si>
    <t>LEYENDA DE COLORES</t>
  </si>
  <si>
    <t>🔵 Azul</t>
  </si>
  <si>
    <t>Input hardcoded — valor primario, editable</t>
  </si>
  <si>
    <t>⚫ Negro</t>
  </si>
  <si>
    <t>Fórmula calculada — no editar manualmente</t>
  </si>
  <si>
    <t>🟡 Amarillo</t>
  </si>
  <si>
    <t>Input editable — cambiar ponderación aquí</t>
  </si>
  <si>
    <t>🟢 Verde</t>
  </si>
  <si>
    <t>Resultado positivo (cumple)</t>
  </si>
  <si>
    <t>🔴 Rojo</t>
  </si>
  <si>
    <t>Resultado negativo (no cumple)</t>
  </si>
  <si>
    <t>⬜ Gris</t>
  </si>
  <si>
    <t>Dato pendiente de capturar</t>
  </si>
  <si>
    <t>PONDERACIONES — MODIFICAR SOLO LAS CELDAS AMARILLAS</t>
  </si>
  <si>
    <t>Componente</t>
  </si>
  <si>
    <t>Dimensión EUDR</t>
  </si>
  <si>
    <t>Variable</t>
  </si>
  <si>
    <t>Ponderación (%)</t>
  </si>
  <si>
    <t>EXP_UE</t>
  </si>
  <si>
    <t>D7 / Exposición UE</t>
  </si>
  <si>
    <t>% FOB exportado a UE sobre FOB total</t>
  </si>
  <si>
    <t>TRAZA</t>
  </si>
  <si>
    <t>D2 / Trazabilidad</t>
  </si>
  <si>
    <t>¿Existe vínculo lote → parcela con coords?</t>
  </si>
  <si>
    <t>DILIG</t>
  </si>
  <si>
    <t>D5 / Debida diligencia</t>
  </si>
  <si>
    <t>¿Existe proceso de evaluación de riesgo?</t>
  </si>
  <si>
    <t>CAPAC</t>
  </si>
  <si>
    <t>D6 / Capacidad digital</t>
  </si>
  <si>
    <t>¿Tiene personal dedicado a datos?</t>
  </si>
  <si>
    <t>PRESION</t>
  </si>
  <si>
    <t>D7 / Presión comprador</t>
  </si>
  <si>
    <t>¿Comprador UE exige EUDR?</t>
  </si>
  <si>
    <t>CERTIF</t>
  </si>
  <si>
    <t>D8 / Certificaciones</t>
  </si>
  <si>
    <t>Score de certificaciones vigentes (Org + Ftrade)</t>
  </si>
  <si>
    <t>PPWR</t>
  </si>
  <si>
    <t>D14 / Envases</t>
  </si>
  <si>
    <t>¿Usa sacos reutilizables o certificados?</t>
  </si>
  <si>
    <t>TOTAL</t>
  </si>
  <si>
    <t>⚠  El TOTAL debe sumar 100. Si lo ajustas, el Índice PVE en SCORECARDS se recalcula automáticamente.</t>
  </si>
  <si>
    <t>VERSION ISCAM (2026-10-12) — Pesos mostrados para transparencia (fijos, no editables)</t>
  </si>
  <si>
    <t>ISA-EUDR e ISA-PV usan pesos FIJOS (87.5%/12.5% y 70%/30%). IP/IV pesan 20% cada sub-dim.</t>
  </si>
  <si>
    <t>SUBDIM</t>
  </si>
  <si>
    <t>FÓRMULA</t>
  </si>
  <si>
    <t>PESO</t>
  </si>
  <si>
    <t>ISA-EUDR</t>
  </si>
  <si>
    <t>100%</t>
  </si>
  <si>
    <t>ISA-PactoVerde</t>
  </si>
  <si>
    <t>ISA-Completo</t>
  </si>
  <si>
    <t>IP1</t>
  </si>
  <si>
    <t>20%</t>
  </si>
  <si>
    <t>IP2</t>
  </si>
  <si>
    <t>IP3</t>
  </si>
  <si>
    <t>IP4</t>
  </si>
  <si>
    <t>IP5</t>
  </si>
  <si>
    <t>IP (total)</t>
  </si>
  <si>
    <t>IV1</t>
  </si>
  <si>
    <t>IV2</t>
  </si>
  <si>
    <t>IV3</t>
  </si>
  <si>
    <t>IV4</t>
  </si>
  <si>
    <t>IV5</t>
  </si>
  <si>
    <t>IV (total)</t>
  </si>
  <si>
    <t>RE</t>
  </si>
  <si>
    <t>—</t>
  </si>
  <si>
    <t>Cuadrante 2×2</t>
  </si>
  <si>
    <t>IP≥50 vs &lt;50  ×  IV≥50 vs &lt;50</t>
  </si>
  <si>
    <t>Corte=50</t>
  </si>
  <si>
    <t>MATRIZ 174 — Datos existentes de organizaciones</t>
  </si>
  <si>
    <t>D12</t>
  </si>
  <si>
    <t>D13</t>
  </si>
  <si>
    <t>D14</t>
  </si>
  <si>
    <t>D15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</si>
  <si>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</si>
  <si>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</si>
  <si>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</si>
  <si>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</si>
  <si>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</si>
  <si>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</si>
  <si>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</si>
  <si>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</si>
  <si>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</si>
  <si>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</si>
  <si>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</si>
  <si>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</si>
  <si>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</si>
  <si>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</si>
  <si>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Bloque P
Score (0-1)</t>
  </si>
  <si>
    <t>ISA-PactoVerde
(0-1)</t>
  </si>
  <si>
    <t>Razón Social (SUNAT)</t>
  </si>
  <si>
    <t>Producto</t>
  </si>
  <si>
    <t>FOB Total USD</t>
  </si>
  <si>
    <t>N° DUAs</t>
  </si>
  <si>
    <t>Exporta</t>
  </si>
  <si>
    <t>Cert. Orgánica</t>
  </si>
  <si>
    <t>Cert. Fairtrade</t>
  </si>
  <si>
    <t>Estado SUNAT</t>
  </si>
  <si>
    <t>Avance EUDR</t>
  </si>
  <si>
    <t>% UE/FOB</t>
  </si>
  <si>
    <t>HS Code principal</t>
  </si>
  <si>
    <t>Score Cert (0-1)</t>
  </si>
  <si>
    <t>Tipo org.</t>
  </si>
  <si>
    <t>N° aprox. socios</t>
  </si>
  <si>
    <t>Hectáreas aprox.</t>
  </si>
  <si>
    <t>PVE Score (0-100)</t>
  </si>
  <si>
    <t>Clasificación</t>
  </si>
  <si>
    <t>D3 Score (OSCE)</t>
  </si>
  <si>
    <t>D3 Observación</t>
  </si>
  <si>
    <t>D12 — Huella Carbono
0=Sin medición
1=En curso (ha conocidas)
2=Certificado
─────────────────────
NOTA: Valor actual = proxy FAO/IPCC
(ha × factor IPCC/FAO por cultivo).
Reemplazar tras Instrumento 2 Q40-Q44.</t>
  </si>
  <si>
    <t>Reporte Sostenibilidad (D13)
0=No, 1=En curso, 2=Publicado</t>
  </si>
  <si>
    <t>Economía Circular (D14)
0=No, 1=En transición, 2=Avanzado</t>
  </si>
  <si>
    <t>Fitosanitario/LMR (D15)
0=No verificado, 1=En monitoreo, 2=Cumple UE</t>
  </si>
  <si>
    <t>P1 — Productividad (USD/ha/año)</t>
  </si>
  <si>
    <t>P2 — Ingreso neto (USD/ha)</t>
  </si>
  <si>
    <t>P3 — % socios con acceso crédito</t>
  </si>
  <si>
    <t>P4 — Gender score (% muj. en org.)</t>
  </si>
  <si>
    <t>P5 — Formalización laboral (%)</t>
  </si>
  <si>
    <t>P6 — Capacitación/año/persona</t>
  </si>
  <si>
    <t>P7 — Tasa retención socios (%)</t>
  </si>
  <si>
    <t>P8 — Diversificación ingresos (%)</t>
  </si>
  <si>
    <t>P9 — Acceso mercados premium (%)</t>
  </si>
  <si>
    <t>P10 — Inversión EUDR (USD/año)</t>
  </si>
  <si>
    <t>P11 — Score trazabilidad (%)</t>
  </si>
  <si>
    <t>P12 — Quejas resueltas (%)</t>
  </si>
  <si>
    <t>P13 — Energía renovable (%)</t>
  </si>
  <si>
    <t>P14 — Residuos gestionados (%)</t>
  </si>
  <si>
    <t>P_Global — Promedio P1:P14
(0=None, 1=满分)</t>
  </si>
  <si>
    <t>ISA-PactoVerde = AVG(D12:D15)/2
0=Nada, 2=Certificado</t>
  </si>
  <si>
    <t>CAFÉ</t>
  </si>
  <si>
    <t>SI</t>
  </si>
  <si>
    <t>ACTIVO</t>
  </si>
  <si>
    <t>PENDIENTE</t>
  </si>
  <si>
    <t>Sin hallazgos OSCE / OEFA</t>
  </si>
  <si>
    <t>CACAO</t>
  </si>
  <si>
    <t>NO</t>
  </si>
  <si>
    <t>Cer</t>
  </si>
  <si>
    <t>Vig</t>
  </si>
  <si>
    <t>0.75</t>
  </si>
  <si>
    <t>Fai</t>
  </si>
  <si>
    <t>⚠ 1 infracc. ambiental (OEFA)</t>
  </si>
  <si>
    <t xml:space="preserve">
Fa</t>
  </si>
  <si>
    <t>SUSPENSION TEMPORAL</t>
  </si>
  <si>
    <t>BAJA DE OFICIO</t>
  </si>
  <si>
    <t xml:space="preserve">Si </t>
  </si>
  <si>
    <t>1</t>
  </si>
  <si>
    <t>PE-</t>
  </si>
  <si>
    <t>FLO</t>
  </si>
  <si>
    <t>SI(</t>
  </si>
  <si>
    <t>0.5</t>
  </si>
  <si>
    <t>PLÁTANO</t>
  </si>
  <si>
    <t xml:space="preserve">SI </t>
  </si>
  <si>
    <t>50 %</t>
  </si>
  <si>
    <t>Empadronados PPA 64.8%</t>
  </si>
  <si>
    <t>SI.</t>
  </si>
  <si>
    <t>0.93</t>
  </si>
  <si>
    <t>0.8</t>
  </si>
  <si>
    <t xml:space="preserve">UE </t>
  </si>
  <si>
    <t>251</t>
  </si>
  <si>
    <t>0.7</t>
  </si>
  <si>
    <t>BAJA PROV. POR OFICIO</t>
  </si>
  <si>
    <t xml:space="preserve">En </t>
  </si>
  <si>
    <t>PREGUNTAS PROXY — Verificación rápida por dimensión EUDR</t>
  </si>
  <si>
    <t>Dim.</t>
  </si>
  <si>
    <t>#</t>
  </si>
  <si>
    <t>Pregunta</t>
  </si>
  <si>
    <t>Respuesta</t>
  </si>
  <si>
    <t>Score (0-1)</t>
  </si>
  <si>
    <t>Fuente</t>
  </si>
  <si>
    <t>Obs.</t>
  </si>
  <si>
    <t>DIMENSIÓN D1  —  Clasificación regulatoria</t>
  </si>
  <si>
    <t>D1</t>
  </si>
  <si>
    <t>¿Cuál es el rol principal de la organización?</t>
  </si>
  <si>
    <t>tipo_rol</t>
  </si>
  <si>
    <t>Entrevista directiva / SUNAT</t>
  </si>
  <si>
    <t>2</t>
  </si>
  <si>
    <t>¿La organización está inscrita en el RNCA (Registro Nacional de Cooperativas Agrarias)?</t>
  </si>
  <si>
    <t>rnca</t>
  </si>
  <si>
    <t>SUNAT / MIDAGRI RNCA</t>
  </si>
  <si>
    <t>3</t>
  </si>
  <si>
    <t>¿Exporta directamente bajo su propio RUC (no a través de un agente)?</t>
  </si>
  <si>
    <t>exporta_directo</t>
  </si>
  <si>
    <t>ADUANET / DUAs</t>
  </si>
  <si>
    <t>DIMENSIÓN D2  —  Trazabilidad y geolocalización</t>
  </si>
  <si>
    <t>D2</t>
  </si>
  <si>
    <t>¿Existe al menos un registro donde cada lote exportado esté vinculado a la parcela de origen?</t>
  </si>
  <si>
    <t>lote_parcela</t>
  </si>
  <si>
    <t>Entrevista + revisión documentos</t>
  </si>
  <si>
    <t>¿Se registran las coordenadas geográficas de las parcelas de los socios?</t>
  </si>
  <si>
    <t>coords</t>
  </si>
  <si>
    <t>Entrevista + evidencia</t>
  </si>
  <si>
    <t>¿Con qué frecuencia se actualizan las coordenadas de parcelas?</t>
  </si>
  <si>
    <t>frec_coords</t>
  </si>
  <si>
    <t>Entrevista</t>
  </si>
  <si>
    <t>4</t>
  </si>
  <si>
    <t>¿Se usa balance de masas (mezcla de lotes sin segregación física)?</t>
  </si>
  <si>
    <t>bal_masas</t>
  </si>
  <si>
    <t>Entrevista — ROJO si dice Sí</t>
  </si>
  <si>
    <t>⚠ Bal. de masas prohibido bajo EUDR</t>
  </si>
  <si>
    <t>5</t>
  </si>
  <si>
    <t>¿Los proveedores externos (no socios) representan volumen significativo?</t>
  </si>
  <si>
    <t>pct_ext</t>
  </si>
  <si>
    <t>6</t>
  </si>
  <si>
    <t>¿Se registra la trazabilidad de proveedores externos (nombre, cantidad, origen)?</t>
  </si>
  <si>
    <t>traza_ext</t>
  </si>
  <si>
    <t>DIMENSIÓN D3  —  Legalidad de la producción</t>
  </si>
  <si>
    <t>D3</t>
  </si>
  <si>
    <t>¿Qué porcentaje aproximado de los socios tiene título de propiedad o constancia de posesión inscrita en SUNARP?</t>
  </si>
  <si>
    <t>pct_titulo</t>
  </si>
  <si>
    <t>Entrevista / MIDAGRI</t>
  </si>
  <si>
    <t>¿La zona de producción está en un área natural protegida o zona de amortiguamiento?</t>
  </si>
  <si>
    <t>anp</t>
  </si>
  <si>
    <t>GEOSERFOR / SINIA</t>
  </si>
  <si>
    <t>¿La organización cuenta con autorizaciones ambientales vigentes (EIA, DIA, certificación forestal)?</t>
  </si>
  <si>
    <t>aut_ambiental</t>
  </si>
  <si>
    <t>Entrevista / OEFA</t>
  </si>
  <si>
    <t>¿Hay algún proceso sancionador vigente de OEFA o SINEFA contra la organización?</t>
  </si>
  <si>
    <t>sancion_oea</t>
  </si>
  <si>
    <t>OEFA / SINEFA</t>
  </si>
  <si>
    <t>DIMENSIÓN D4  —  Riesgo de deforestación</t>
  </si>
  <si>
    <t>D4</t>
  </si>
  <si>
    <t>¿La organización ha realizado cruces de sus parcelas contra mapas de deforestación (GEOSERFOR / PNCB)?</t>
  </si>
  <si>
    <t>cruce_deforest</t>
  </si>
  <si>
    <t>Entrevista / verificación web</t>
  </si>
  <si>
    <t>¿Se han detectado alertas de deforestación en parcelas de la organización?</t>
  </si>
  <si>
    <t>alerta_deforest</t>
  </si>
  <si>
    <t>GEOSERFOR / GFW</t>
  </si>
  <si>
    <t>DIMENSIÓN D5  —  Sistema de debida diligencia</t>
  </si>
  <si>
    <t>D5</t>
  </si>
  <si>
    <t>¿Existe un proceso documentado para evaluar riesgo de deforestación antes de exportar?</t>
  </si>
  <si>
    <t>proc_dd</t>
  </si>
  <si>
    <t>Entrevista + revisión docs</t>
  </si>
  <si>
    <t>¿Se registran las alertas o rechazos de compradores europeos en los últimos 2 años?</t>
  </si>
  <si>
    <t>reg_rechazos</t>
  </si>
  <si>
    <t>¿La organización elabora un reporte periódico de debida diligencia?</t>
  </si>
  <si>
    <t>reporte_dd</t>
  </si>
  <si>
    <t>DIMENSIÓN D6  —  Capacidad organizacional y digital</t>
  </si>
  <si>
    <t>D6</t>
  </si>
  <si>
    <t>¿Hay personal dedicado (tiempo completo o parcial) a tareas de gestión de datos o sistemas?</t>
  </si>
  <si>
    <t>personal_datos</t>
  </si>
  <si>
    <t>¿La organización tiene acceso a internet estable en su sede?</t>
  </si>
  <si>
    <t>internet</t>
  </si>
  <si>
    <t>¿Usa algún software o herramienta digital para gestionar trazabilidad?</t>
  </si>
  <si>
    <t>sw_trazabilidad</t>
  </si>
  <si>
    <t>¿El presupuesto anual incluye una partida para tecnología o datos?</t>
  </si>
  <si>
    <t>presupuesto_tech</t>
  </si>
  <si>
    <t>Entrevista directiva</t>
  </si>
  <si>
    <t>DIMENSIÓN D7  —  Posición en la cadena de valor</t>
  </si>
  <si>
    <t>D7</t>
  </si>
  <si>
    <t>¿Cuál es el destino principal de las exportaciones?</t>
  </si>
  <si>
    <t>destino_principal</t>
  </si>
  <si>
    <t>DUAs / Entrevista</t>
  </si>
  <si>
    <t>¿El comprador principal (primera mano) es una empresa europea o está sujeta a CS3D?</t>
  </si>
  <si>
    <t>comprador_ue</t>
  </si>
  <si>
    <t>Entrevista / web</t>
  </si>
  <si>
    <t>¿El comprador ha solicitado evidencia de trazabilidad o geolocalización?</t>
  </si>
  <si>
    <t>exige_evidencia</t>
  </si>
  <si>
    <t>¿Hay contrato escrito con cláusula EUDR o debida diligencia?</t>
  </si>
  <si>
    <t>contrato_eudr</t>
  </si>
  <si>
    <t>Entrevista / docs legales</t>
  </si>
  <si>
    <t>DIMENSIÓN D8  —  Gobernanza y participación de socios</t>
  </si>
  <si>
    <t>D8</t>
  </si>
  <si>
    <t>¿Los socios conocen los requisitos EUDR y sus implicancias?</t>
  </si>
  <si>
    <t>socios_conocen</t>
  </si>
  <si>
    <t>Entrevista + observación</t>
  </si>
  <si>
    <t>¿Existe un mecanismo formal para que los socios entreguen datos de parcelas?</t>
  </si>
  <si>
    <t>mec_entrega</t>
  </si>
  <si>
    <t>DIMENSIÓN D9  —  Sostenibilidad económica del cumplimiento</t>
  </si>
  <si>
    <t>D9</t>
  </si>
  <si>
    <t>¿La organización ha estimado el costo de adecuación al EUDR?</t>
  </si>
  <si>
    <t>costo_estimado</t>
  </si>
  <si>
    <t>¿Existe una fuente de financiamiento identificada para la adecuación?</t>
  </si>
  <si>
    <t>financiamiento</t>
  </si>
  <si>
    <t>DIMENSIÓN D10  —  Confusión certificación / EUDR</t>
  </si>
  <si>
    <t>D10</t>
  </si>
  <si>
    <t>¿La organización cree que sus certificaciones (Orgánica, Fairtrade, Rainforest) cubren los requisitos EUDR?</t>
  </si>
  <si>
    <t>cree_cubierta</t>
  </si>
  <si>
    <t>Entrevista — ROJO si dice Sí sin entender EUDR</t>
  </si>
  <si>
    <t>¿Ha recibido asesoría específica sobre EUDR (no solo genérica de sostenibilidad)?</t>
  </si>
  <si>
    <t>asesoria_eudr</t>
  </si>
  <si>
    <t>DIMENSIÓN D11  —  Ecosistema de apoyo externo</t>
  </si>
  <si>
    <t>D11</t>
  </si>
  <si>
    <t>¿Conoce programas de MIDAGRI, GIZ, EFI, PROMPERÚ o cooperación para apoyo EUDR?</t>
  </si>
  <si>
    <t>prog_apoyo</t>
  </si>
  <si>
    <t>¿Está inscrita en la plataforma de trazabilidad de APPCACAO o JNC?</t>
  </si>
  <si>
    <t>plataforma_traz</t>
  </si>
  <si>
    <t>Verificación web + entrevista</t>
  </si>
  <si>
    <t>DIMENSIÓN PPWR  —  Envases y Packaging (PPWR)</t>
  </si>
  <si>
    <t>¿Qué tipo de sacos de exportación usa principalmente?</t>
  </si>
  <si>
    <t>tipo_saco</t>
  </si>
  <si>
    <t>¿Los sacos tienen certificación FSC o equivalente?</t>
  </si>
  <si>
    <t>fsc</t>
  </si>
  <si>
    <t>Entrevista / proveedor</t>
  </si>
  <si>
    <t>RESUMEN DE SCORES POR DIMENSIÓN</t>
  </si>
  <si>
    <t>Dimensión</t>
  </si>
  <si>
    <t>Score promedio</t>
  </si>
  <si>
    <t>N° preguntas</t>
  </si>
  <si>
    <t>Nivel</t>
  </si>
  <si>
    <t>D1 — Clasificación regulatoria</t>
  </si>
  <si>
    <t>D2 — Trazabilidad y geolocalización</t>
  </si>
  <si>
    <t>D3 — Legalidad de la producción</t>
  </si>
  <si>
    <t>D4 — Riesgo de deforestación</t>
  </si>
  <si>
    <t>D5 — Sistema de debida diligencia</t>
  </si>
  <si>
    <t>D6 — Capacidad organizacional y digital</t>
  </si>
  <si>
    <t>D7 — Posición en la cadena de valor</t>
  </si>
  <si>
    <t>D8 — Gobernanza y participación de socios</t>
  </si>
  <si>
    <t>D9 — Sostenibilidad económica del cumplimiento</t>
  </si>
  <si>
    <t>D10 — Confusión certificación / EUDR</t>
  </si>
  <si>
    <t>D11 — Ecosistema de apoyo externo</t>
  </si>
  <si>
    <t>PPWR — Envases y Packaging (PPWR)</t>
  </si>
  <si>
    <t>SCORECARDS — ISA-Completo · IP · IV · RE · Café y Cacao Perú</t>
  </si>
  <si>
    <t>ISA-Completo
(0-100)</t>
  </si>
  <si>
    <t>Semáforo</t>
  </si>
  <si>
    <t>Ranking</t>
  </si>
  <si>
    <t>Trazab. (D2)</t>
  </si>
  <si>
    <t>Dilig. (D5)</t>
  </si>
  <si>
    <t>Capacidad (D6)</t>
  </si>
  <si>
    <t>Legalidad
D3 (OSCE)</t>
  </si>
  <si>
    <t>Cert (0-1)</t>
  </si>
  <si>
    <t>Tipología ISCAM</t>
  </si>
  <si>
    <t>Segmento</t>
  </si>
  <si>
    <t>RESUMEN EJECUTIVO</t>
  </si>
  <si>
    <t>Total organizaciones</t>
  </si>
  <si>
    <t>Con exposición UE (FOB UE &gt; 0)</t>
  </si>
  <si>
    <t>🔴 Críticos (0-33)</t>
  </si>
  <si>
    <t>🟡 Vulnerables (34-66)</t>
  </si>
  <si>
    <t>🟢 Preparados (67-100)</t>
  </si>
  <si>
    <t>Sin dato (score = 0)</t>
  </si>
  <si>
    <t>PVE promedio (con dato)</t>
  </si>
  <si>
    <t>FOB total expuesto a UE (USD)</t>
  </si>
  <si>
    <t>RADAR DE BRECHAS — Score promedio por departamento y dimensión</t>
  </si>
  <si>
    <t>Departamento / Dimensión</t>
  </si>
  <si>
    <t>PVE Promedio</t>
  </si>
  <si>
    <t>OTROS</t>
  </si>
  <si>
    <t>LEYENDA — NIVELES DE CUMPLIMIENTO</t>
  </si>
  <si>
    <t>🟢 Verde (0.67–1.00) — Cumplimiento adecuado</t>
  </si>
  <si>
    <t>🟡 Amarillo (0.34–0.66) — Brecha moderada</t>
  </si>
  <si>
    <t>🔴 Rojo (0.00–0.33) — Brecha crítica</t>
  </si>
  <si>
    <t>⬜ Gris (0.00) — Sin dato capturado</t>
  </si>
  <si>
    <t>NOTA: Los scores en D2, D5, D6, D7 corresponden a los valores ingresados manualmente en SCORECARDS. Completar la hoja PREGUNTAS_PROXY y transferir los scores a SCORECARDS para actualizar este radar.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</si>
</sst>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rgb="FFFFFFFF"/>
      <name val="Calibri"/>
    </font>
    <font>
      <i/>
      <sz val="9"/>
      <name val="Calibri"/>
    </font>
    <font>
      <b/>
      <sz val="10"/>
      <color rgb="FFFFFFFF"/>
      <name val="Calibri"/>
    </font>
    <font>
      <i/>
      <sz val="11"/>
      <color rgb="FF999999"/>
      <name val="Calibri"/>
    </font>
    <font>
      <b/>
      <sz val="11"/>
      <color rgb="FFFFFFFF"/>
      <name val="Calibri"/>
    </font>
    <font>
      <i/>
      <sz val="8"/>
      <name val="Calibri"/>
    </font>
    <font>
      <b/>
      <sz val="11"/>
      <color rgb="FF1F4E79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9DC3E6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203864"/>
      </patternFill>
    </fill>
    <fill>
      <patternFill patternType="solid">
        <fgColor rgb="FF843C0C"/>
      </patternFill>
    </fill>
    <fill>
      <patternFill patternType="solid">
        <fgColor rgb="FF7B1818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FF9900"/>
      </patternFill>
    </fill>
    <fill>
      <patternFill patternType="solid">
        <fgColor rgb="FF00B0F0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DEEA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16" borderId="1" xfId="0" applyNumberFormat="1" applyFont="1" applyFill="1" applyBorder="1" applyAlignment="1">
      <alignment horizontal="center" vertical="center" wrapText="1"/>
    </xf>
    <xf numFmtId="164" fontId="1" fillId="17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18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5" workbookViewId="0">
      <selection sqref="A1:H1"/>
    </sheetView>
  </sheetViews>
  <sheetFormatPr baseColWidth="10" defaultColWidth="8.88671875" defaultRowHeight="14.4" x14ac:dyDescent="0.3"/>
  <cols>
    <col min="1" max="1" width="20" customWidth="1"/>
    <col min="2" max="8" width="22" customWidth="1"/>
  </cols>
  <sheetData>
    <row r="1" spans="1:8" ht="31.95" customHeight="1" x14ac:dyDescent="0.3">
      <c r="A1" s="37" t="s">
        <v>0</v>
      </c>
      <c r="B1" s="37"/>
      <c r="C1" s="37"/>
      <c r="D1" s="37"/>
      <c r="E1" s="37"/>
      <c r="F1" s="37"/>
      <c r="G1" s="37"/>
      <c r="H1" s="37"/>
    </row>
    <row r="2" spans="1:8" ht="22.05" customHeight="1" x14ac:dyDescent="0.3">
      <c r="A2" s="37" t="s">
        <v>1</v>
      </c>
      <c r="B2" s="37"/>
      <c r="C2" s="37"/>
      <c r="D2" s="37"/>
      <c r="E2" s="37"/>
      <c r="F2" s="37"/>
      <c r="G2" s="37"/>
      <c r="H2" s="37"/>
    </row>
    <row r="4" spans="1:8" ht="18" customHeight="1" x14ac:dyDescent="0.3">
      <c r="A4" s="37" t="s">
        <v>2</v>
      </c>
      <c r="B4" s="37"/>
      <c r="C4" s="37"/>
      <c r="D4" s="37"/>
      <c r="E4" s="37"/>
      <c r="F4" s="37"/>
      <c r="G4" s="37"/>
      <c r="H4" s="37"/>
    </row>
    <row r="5" spans="1:8" x14ac:dyDescent="0.3">
      <c r="A5" s="37"/>
      <c r="B5" s="37"/>
      <c r="C5" s="37"/>
      <c r="D5" s="37"/>
      <c r="E5" s="37"/>
      <c r="F5" s="37"/>
      <c r="G5" s="37"/>
      <c r="H5" s="37"/>
    </row>
    <row r="7" spans="1:8" ht="18" customHeight="1" x14ac:dyDescent="0.3">
      <c r="A7" s="37" t="s">
        <v>3</v>
      </c>
      <c r="B7" s="37"/>
      <c r="C7" s="37"/>
      <c r="D7" s="37"/>
      <c r="E7" s="37"/>
      <c r="F7" s="37"/>
      <c r="G7" s="37"/>
      <c r="H7" s="37"/>
    </row>
    <row r="8" spans="1:8" x14ac:dyDescent="0.3">
      <c r="A8" s="37"/>
      <c r="B8" s="37"/>
      <c r="C8" s="37"/>
      <c r="D8" s="37"/>
      <c r="E8" s="37"/>
      <c r="F8" s="37"/>
      <c r="G8" s="37"/>
      <c r="H8" s="37"/>
    </row>
    <row r="10" spans="1:8" ht="18" customHeight="1" x14ac:dyDescent="0.3">
      <c r="A10" s="37" t="s">
        <v>4</v>
      </c>
      <c r="B10" s="37"/>
      <c r="C10" s="37"/>
      <c r="D10" s="37"/>
      <c r="E10" s="37"/>
      <c r="F10" s="37"/>
      <c r="G10" s="37"/>
      <c r="H10" s="37"/>
    </row>
    <row r="11" spans="1:8" x14ac:dyDescent="0.3">
      <c r="A11" t="s">
        <v>5</v>
      </c>
      <c r="B11" s="37" t="s">
        <v>6</v>
      </c>
      <c r="C11" s="37"/>
      <c r="D11" s="37"/>
      <c r="E11" s="37"/>
      <c r="F11" s="37"/>
      <c r="G11" s="37"/>
      <c r="H11" s="37"/>
    </row>
    <row r="12" spans="1:8" x14ac:dyDescent="0.3">
      <c r="A12" t="s">
        <v>7</v>
      </c>
      <c r="B12" s="37" t="s">
        <v>8</v>
      </c>
      <c r="C12" s="37"/>
      <c r="D12" s="37"/>
      <c r="E12" s="37"/>
      <c r="F12" s="37"/>
      <c r="G12" s="37"/>
      <c r="H12" s="37"/>
    </row>
    <row r="13" spans="1:8" x14ac:dyDescent="0.3">
      <c r="A13" t="s">
        <v>9</v>
      </c>
      <c r="B13" s="37" t="s">
        <v>10</v>
      </c>
      <c r="C13" s="37"/>
      <c r="D13" s="37"/>
      <c r="E13" s="37"/>
      <c r="F13" s="37"/>
      <c r="G13" s="37"/>
      <c r="H13" s="37"/>
    </row>
    <row r="14" spans="1:8" x14ac:dyDescent="0.3">
      <c r="A14" t="s">
        <v>11</v>
      </c>
      <c r="B14" s="37" t="s">
        <v>12</v>
      </c>
      <c r="C14" s="37"/>
      <c r="D14" s="37"/>
      <c r="E14" s="37"/>
      <c r="F14" s="37"/>
      <c r="G14" s="37"/>
      <c r="H14" s="37"/>
    </row>
    <row r="15" spans="1:8" x14ac:dyDescent="0.3">
      <c r="A15" t="s">
        <v>13</v>
      </c>
      <c r="B15" s="37" t="s">
        <v>14</v>
      </c>
      <c r="C15" s="37"/>
      <c r="D15" s="37"/>
      <c r="E15" s="37"/>
      <c r="F15" s="37"/>
      <c r="G15" s="37"/>
      <c r="H15" s="37"/>
    </row>
    <row r="17" spans="1:8" ht="18" customHeight="1" x14ac:dyDescent="0.3">
      <c r="A17" s="37" t="s">
        <v>15</v>
      </c>
      <c r="B17" s="37"/>
      <c r="C17" s="37"/>
      <c r="D17" s="37"/>
      <c r="E17" s="37"/>
      <c r="F17" s="37"/>
      <c r="G17" s="37"/>
      <c r="H17" s="37"/>
    </row>
    <row r="18" spans="1:8" x14ac:dyDescent="0.3">
      <c r="A18" t="s">
        <v>16</v>
      </c>
      <c r="B18" s="37" t="s">
        <v>17</v>
      </c>
      <c r="C18" s="37"/>
      <c r="D18" s="37"/>
      <c r="E18" s="37"/>
      <c r="F18" s="37"/>
      <c r="G18" s="37"/>
      <c r="H18" s="37"/>
    </row>
    <row r="19" spans="1:8" x14ac:dyDescent="0.3">
      <c r="A19" t="s">
        <v>18</v>
      </c>
      <c r="B19" s="37" t="s">
        <v>19</v>
      </c>
      <c r="C19" s="37"/>
      <c r="D19" s="37"/>
      <c r="E19" s="37"/>
      <c r="F19" s="37"/>
      <c r="G19" s="37"/>
      <c r="H19" s="37"/>
    </row>
    <row r="20" spans="1:8" x14ac:dyDescent="0.3">
      <c r="A20" t="s">
        <v>20</v>
      </c>
      <c r="B20" s="37" t="s">
        <v>21</v>
      </c>
      <c r="C20" s="37"/>
      <c r="D20" s="37"/>
      <c r="E20" s="37"/>
      <c r="F20" s="37"/>
      <c r="G20" s="37"/>
      <c r="H20" s="37"/>
    </row>
    <row r="22" spans="1:8" ht="18" customHeight="1" x14ac:dyDescent="0.3">
      <c r="A22" s="37" t="s">
        <v>22</v>
      </c>
      <c r="B22" s="37"/>
      <c r="C22" s="37"/>
      <c r="D22" s="37"/>
      <c r="E22" s="37"/>
      <c r="F22" s="37"/>
      <c r="G22" s="37"/>
      <c r="H22" s="37"/>
    </row>
    <row r="23" spans="1:8" x14ac:dyDescent="0.3">
      <c r="A23" s="37"/>
      <c r="B23" s="37"/>
      <c r="C23" s="37"/>
      <c r="D23" s="37"/>
      <c r="E23" s="37"/>
      <c r="F23" s="37"/>
      <c r="G23" s="37"/>
      <c r="H23" s="37"/>
    </row>
    <row r="24" spans="1:8" x14ac:dyDescent="0.3">
      <c r="A24" s="37"/>
      <c r="B24" s="37"/>
      <c r="C24" s="37"/>
      <c r="D24" s="37"/>
      <c r="E24" s="37"/>
      <c r="F24" s="37"/>
      <c r="G24" s="37"/>
      <c r="H24" s="37"/>
    </row>
    <row r="25" spans="1:8" x14ac:dyDescent="0.3">
      <c r="A25" s="37"/>
      <c r="B25" s="37"/>
      <c r="C25" s="37"/>
      <c r="D25" s="37"/>
      <c r="E25" s="37"/>
      <c r="F25" s="37"/>
      <c r="G25" s="37"/>
      <c r="H25" s="37"/>
    </row>
    <row r="26" spans="1:8" x14ac:dyDescent="0.3">
      <c r="A26" s="37"/>
      <c r="B26" s="37"/>
      <c r="C26" s="37"/>
      <c r="D26" s="37"/>
      <c r="E26" s="37"/>
      <c r="F26" s="37"/>
      <c r="G26" s="37"/>
      <c r="H26" s="37"/>
    </row>
    <row r="27" spans="1:8" x14ac:dyDescent="0.3">
      <c r="A27" s="37"/>
      <c r="B27" s="37"/>
      <c r="C27" s="37"/>
      <c r="D27" s="37"/>
      <c r="E27" s="37"/>
      <c r="F27" s="37"/>
      <c r="G27" s="37"/>
      <c r="H27" s="37"/>
    </row>
  </sheetData>
  <mergeCells count="22"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  <mergeCell ref="A24:H24"/>
    <mergeCell ref="B15:H15"/>
    <mergeCell ref="A1:H1"/>
    <mergeCell ref="B20:H20"/>
    <mergeCell ref="A7:H7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80"/>
  <sheetViews>
    <sheetView workbookViewId="0">
      <pane xSplit="4" ySplit="3" topLeftCell="E4" activePane="bottomRight" state="frozen"/>
      <selection pane="topRight"/>
      <selection pane="bottomLeft"/>
      <selection pane="bottomRight" sqref="A1:AL1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12" customWidth="1"/>
    <col min="4" max="4" width="16" customWidth="1"/>
    <col min="5" max="25" width="13" customWidth="1"/>
    <col min="26" max="28" width="17" customWidth="1"/>
    <col min="29" max="29" width="22" customWidth="1"/>
    <col min="30" max="30" width="20" customWidth="1"/>
    <col min="31" max="38" width="13" customWidth="1"/>
  </cols>
  <sheetData>
    <row r="1" spans="1:38" ht="30" customHeight="1" x14ac:dyDescent="0.3">
      <c r="A1" s="38" t="s">
        <v>23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spans="1:38" ht="22.05" customHeight="1" x14ac:dyDescent="0.3">
      <c r="A2" s="43" t="s">
        <v>24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 spans="1:38" ht="54" customHeight="1" x14ac:dyDescent="0.3">
      <c r="A3" s="1" t="s">
        <v>25</v>
      </c>
      <c r="B3" s="1" t="s">
        <v>26</v>
      </c>
      <c r="C3" s="1" t="s">
        <v>27</v>
      </c>
      <c r="D3" s="1" t="s">
        <v>28</v>
      </c>
      <c r="E3" s="2" t="s">
        <v>29</v>
      </c>
      <c r="F3" s="3" t="s">
        <v>30</v>
      </c>
      <c r="G3" s="3" t="s">
        <v>31</v>
      </c>
      <c r="H3" s="2" t="s">
        <v>32</v>
      </c>
      <c r="I3" s="3" t="s">
        <v>33</v>
      </c>
      <c r="J3" s="3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4" t="s">
        <v>40</v>
      </c>
      <c r="Q3" s="4" t="s">
        <v>41</v>
      </c>
      <c r="R3" s="4" t="s">
        <v>42</v>
      </c>
      <c r="S3" s="4" t="s">
        <v>43</v>
      </c>
      <c r="T3" s="4" t="s">
        <v>44</v>
      </c>
      <c r="U3" s="5" t="s">
        <v>45</v>
      </c>
      <c r="V3" s="5" t="s">
        <v>46</v>
      </c>
      <c r="W3" s="5" t="s">
        <v>47</v>
      </c>
      <c r="X3" s="5" t="s">
        <v>48</v>
      </c>
      <c r="Y3" s="5" t="s">
        <v>49</v>
      </c>
      <c r="Z3" s="6" t="s">
        <v>50</v>
      </c>
      <c r="AA3" s="7" t="s">
        <v>51</v>
      </c>
      <c r="AB3" s="8" t="s">
        <v>52</v>
      </c>
      <c r="AC3" s="9" t="s">
        <v>53</v>
      </c>
      <c r="AD3" s="8" t="s">
        <v>54</v>
      </c>
      <c r="AE3" s="10" t="s">
        <v>55</v>
      </c>
      <c r="AF3" s="10" t="s">
        <v>56</v>
      </c>
      <c r="AG3" s="10" t="s">
        <v>57</v>
      </c>
      <c r="AH3" s="10" t="s">
        <v>58</v>
      </c>
      <c r="AI3" s="11" t="s">
        <v>59</v>
      </c>
      <c r="AJ3" s="12" t="s">
        <v>60</v>
      </c>
      <c r="AK3" s="4" t="s">
        <v>61</v>
      </c>
      <c r="AL3" s="6" t="s">
        <v>62</v>
      </c>
    </row>
    <row r="4" spans="1:38" ht="16.05" customHeight="1" x14ac:dyDescent="0.3">
      <c r="A4" s="13" t="s">
        <v>63</v>
      </c>
      <c r="B4" s="14" t="s">
        <v>64</v>
      </c>
      <c r="C4" s="13" t="s">
        <v>65</v>
      </c>
      <c r="D4" s="15">
        <v>2553623.31</v>
      </c>
      <c r="E4" s="16">
        <v>0</v>
      </c>
      <c r="F4" s="17">
        <f>IFERROR(SCORECARDS!H3,"")</f>
        <v>0</v>
      </c>
      <c r="G4" s="17">
        <f>IFERROR(MATRIZ_174!U3,0)</f>
        <v>1</v>
      </c>
      <c r="H4" s="16">
        <v>0</v>
      </c>
      <c r="I4" s="17">
        <f>IFERROR(SCORECARDS!I3,"")</f>
        <v>0</v>
      </c>
      <c r="J4" s="17">
        <f>IFERROR(SCORECARDS!J3,"")</f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7">
        <f t="shared" ref="P4:P35" si="0">IFERROR(F4,0)</f>
        <v>0</v>
      </c>
      <c r="Q4" s="17">
        <f t="shared" ref="Q4:Q35" si="1">IFERROR(SQRT(G4*H4),0)</f>
        <v>0</v>
      </c>
      <c r="R4" s="17">
        <f t="shared" ref="R4:R35" si="2">IFERROR((I4+J4+L4)/3,0)</f>
        <v>0</v>
      </c>
      <c r="S4" s="17">
        <f t="shared" ref="S4:S35" si="3">IFERROR((J4+F4)/2,0)</f>
        <v>0</v>
      </c>
      <c r="T4" s="17">
        <f>IFERROR((K4+M4+MATRIZ_174!O3)/3,0)</f>
        <v>0</v>
      </c>
      <c r="U4" s="18">
        <f>IFERROR(MATRIZ_174!AP3*50,0)</f>
        <v>6.25</v>
      </c>
      <c r="V4" s="18">
        <f t="shared" ref="V4:V35" si="4">IFERROR(IF(E4=0,50,E4),0)</f>
        <v>50</v>
      </c>
      <c r="W4" s="18">
        <f>IF(MATRIZ_174!R3&gt;0,65,35)</f>
        <v>35</v>
      </c>
      <c r="X4" s="18">
        <f>IF(MATRIZ_174!O3=0,70,30)</f>
        <v>70</v>
      </c>
      <c r="Y4" s="18">
        <f>IF(OR(MATRIZ_174!P3="ASOCIACION",MATRIZ_174!P3="PENDIENTE"),65,40)</f>
        <v>65</v>
      </c>
      <c r="Z4" s="19">
        <f t="shared" ref="Z4:Z35" si="5">IFERROR(ROUND(AVERAGE(P4,Q4,R4,S4,T4),1),0)</f>
        <v>0</v>
      </c>
      <c r="AA4" s="20">
        <f t="shared" ref="AA4:AA35" si="6">IFERROR(ROUND(AVERAGE(U4,V4,W4,X4,Y4),1),0)</f>
        <v>45.3</v>
      </c>
      <c r="AB4" s="21">
        <f t="shared" ref="AB4:AB35" si="7">IFERROR(ROUND(AA4*(1-Z4/100),1),0)</f>
        <v>45.3</v>
      </c>
      <c r="AC4" s="13" t="str">
        <f t="shared" ref="AC4:AC35" si="8">IF(AND(Z4&gt;=50,AA4&lt;50),"🟢  Resilientes",IF(AND(Z4&gt;=50,AA4&gt;=50),"🟠  Expuestas Adaptables",IF(AND(Z4&lt;50,AA4&lt;50),"⬜  Riesgo Latente","🔴  Riesgo Crítico")))</f>
        <v>⬜  Riesgo Latente</v>
      </c>
      <c r="AD4" s="13" t="str">
        <f t="shared" ref="AD4:AD35" si="9">IF(G4=0,"🚫  Inh. vigente OSCE","")</f>
        <v/>
      </c>
      <c r="AE4" s="22">
        <f>IFERROR(MATRIZ_174!W3,0)</f>
        <v>1</v>
      </c>
      <c r="AF4" s="22">
        <f>IFERROR(MATRIZ_174!X3,0)</f>
        <v>0</v>
      </c>
      <c r="AG4" s="22">
        <f>IFERROR(MATRIZ_174!Y3,0)</f>
        <v>0</v>
      </c>
      <c r="AH4" s="22">
        <f>IFERROR(MATRIZ_174!Z3,0)</f>
        <v>0</v>
      </c>
      <c r="AI4" s="17">
        <f>IFERROR(MATRIZ_174!AP3,"N/A")</f>
        <v>0.125</v>
      </c>
      <c r="AJ4" s="17">
        <f>IFERROR(MATRIZ_174!AO3,"N/A")</f>
        <v>0</v>
      </c>
      <c r="AK4" s="23">
        <f t="shared" ref="AK4:AK35" si="10">IFERROR(ROUND(POWER((E4*F4*G4*H4*I4*J4*K4),1/7)*0.875+((L4+M4)/2)*0.125,1),"N/A")</f>
        <v>0</v>
      </c>
      <c r="AL4" s="24">
        <f t="shared" ref="AL4:AL35" si="11">IFERROR(IF(AK4="N/A","N/A",ROUND(0.7*AK4+0.3*AI4,1)),"N/A")</f>
        <v>0</v>
      </c>
    </row>
    <row r="5" spans="1:38" ht="16.05" customHeight="1" x14ac:dyDescent="0.3">
      <c r="A5" s="13" t="s">
        <v>66</v>
      </c>
      <c r="B5" s="14" t="s">
        <v>67</v>
      </c>
      <c r="C5" s="13" t="s">
        <v>68</v>
      </c>
      <c r="D5" s="15">
        <v>0</v>
      </c>
      <c r="E5" s="16">
        <v>0</v>
      </c>
      <c r="F5" s="17">
        <f>IFERROR(SCORECARDS!H4,"")</f>
        <v>0</v>
      </c>
      <c r="G5" s="17">
        <f>IFERROR(MATRIZ_174!U4,0)</f>
        <v>0</v>
      </c>
      <c r="H5" s="16">
        <v>0</v>
      </c>
      <c r="I5" s="17">
        <f>IFERROR(SCORECARDS!I4,"")</f>
        <v>0</v>
      </c>
      <c r="J5" s="17">
        <f>IFERROR(SCORECARDS!J4,"")</f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7">
        <f t="shared" si="0"/>
        <v>0</v>
      </c>
      <c r="Q5" s="17">
        <f t="shared" si="1"/>
        <v>0</v>
      </c>
      <c r="R5" s="17">
        <f t="shared" si="2"/>
        <v>0</v>
      </c>
      <c r="S5" s="17">
        <f t="shared" si="3"/>
        <v>0</v>
      </c>
      <c r="T5" s="17">
        <f>IFERROR((K5+M5+MATRIZ_174!O4)/3,0)</f>
        <v>0</v>
      </c>
      <c r="U5" s="18">
        <f>IFERROR(MATRIZ_174!AP4*50,0)</f>
        <v>0</v>
      </c>
      <c r="V5" s="18">
        <f t="shared" si="4"/>
        <v>50</v>
      </c>
      <c r="W5" s="18">
        <f>IF(MATRIZ_174!R4&gt;0,65,35)</f>
        <v>35</v>
      </c>
      <c r="X5" s="18">
        <f>IF(MATRIZ_174!O4=0,70,30)</f>
        <v>70</v>
      </c>
      <c r="Y5" s="18">
        <f>IF(OR(MATRIZ_174!P4="ASOCIACION",MATRIZ_174!P4="PENDIENTE"),65,40)</f>
        <v>65</v>
      </c>
      <c r="Z5" s="19">
        <f t="shared" si="5"/>
        <v>0</v>
      </c>
      <c r="AA5" s="20">
        <f t="shared" si="6"/>
        <v>44</v>
      </c>
      <c r="AB5" s="21">
        <f t="shared" si="7"/>
        <v>44</v>
      </c>
      <c r="AC5" s="13" t="str">
        <f t="shared" si="8"/>
        <v>⬜  Riesgo Latente</v>
      </c>
      <c r="AD5" s="13" t="str">
        <f t="shared" si="9"/>
        <v>🚫  Inh. vigente OSCE</v>
      </c>
      <c r="AE5" s="22">
        <f>IFERROR(MATRIZ_174!W4,0)</f>
        <v>0</v>
      </c>
      <c r="AF5" s="22">
        <f>IFERROR(MATRIZ_174!X4,0)</f>
        <v>0</v>
      </c>
      <c r="AG5" s="22">
        <f>IFERROR(MATRIZ_174!Y4,0)</f>
        <v>0</v>
      </c>
      <c r="AH5" s="22">
        <f>IFERROR(MATRIZ_174!Z4,0)</f>
        <v>0</v>
      </c>
      <c r="AI5" s="17">
        <f>IFERROR(MATRIZ_174!AP4,"N/A")</f>
        <v>0</v>
      </c>
      <c r="AJ5" s="17">
        <f>IFERROR(MATRIZ_174!AO4,"N/A")</f>
        <v>0</v>
      </c>
      <c r="AK5" s="23">
        <f t="shared" si="10"/>
        <v>0</v>
      </c>
      <c r="AL5" s="24">
        <f t="shared" si="11"/>
        <v>0</v>
      </c>
    </row>
    <row r="6" spans="1:38" ht="16.05" customHeight="1" x14ac:dyDescent="0.3">
      <c r="A6" s="13" t="s">
        <v>69</v>
      </c>
      <c r="B6" s="14" t="s">
        <v>70</v>
      </c>
      <c r="C6" s="13" t="s">
        <v>71</v>
      </c>
      <c r="D6" s="15">
        <v>4801984.0599999996</v>
      </c>
      <c r="E6" s="16">
        <v>0</v>
      </c>
      <c r="F6" s="17">
        <f>IFERROR(SCORECARDS!H5,"")</f>
        <v>0</v>
      </c>
      <c r="G6" s="17">
        <f>IFERROR(MATRIZ_174!U5,0)</f>
        <v>1</v>
      </c>
      <c r="H6" s="16">
        <v>0</v>
      </c>
      <c r="I6" s="17">
        <f>IFERROR(SCORECARDS!I5,"")</f>
        <v>0</v>
      </c>
      <c r="J6" s="17">
        <f>IFERROR(SCORECARDS!J5,"")</f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7">
        <f t="shared" si="0"/>
        <v>0</v>
      </c>
      <c r="Q6" s="17">
        <f t="shared" si="1"/>
        <v>0</v>
      </c>
      <c r="R6" s="17">
        <f t="shared" si="2"/>
        <v>0</v>
      </c>
      <c r="S6" s="17">
        <f t="shared" si="3"/>
        <v>0</v>
      </c>
      <c r="T6" s="17">
        <f>IFERROR((K6+M6+MATRIZ_174!O5)/3,0)</f>
        <v>0</v>
      </c>
      <c r="U6" s="18">
        <f>IFERROR(MATRIZ_174!AP5*50,0)</f>
        <v>6.25</v>
      </c>
      <c r="V6" s="18">
        <f t="shared" si="4"/>
        <v>50</v>
      </c>
      <c r="W6" s="18">
        <f>IF(MATRIZ_174!R5&gt;0,65,35)</f>
        <v>35</v>
      </c>
      <c r="X6" s="18">
        <f>IF(MATRIZ_174!O5=0,70,30)</f>
        <v>70</v>
      </c>
      <c r="Y6" s="18">
        <f>IF(OR(MATRIZ_174!P5="ASOCIACION",MATRIZ_174!P5="PENDIENTE"),65,40)</f>
        <v>65</v>
      </c>
      <c r="Z6" s="19">
        <f t="shared" si="5"/>
        <v>0</v>
      </c>
      <c r="AA6" s="20">
        <f t="shared" si="6"/>
        <v>45.3</v>
      </c>
      <c r="AB6" s="21">
        <f t="shared" si="7"/>
        <v>45.3</v>
      </c>
      <c r="AC6" s="13" t="str">
        <f t="shared" si="8"/>
        <v>⬜  Riesgo Latente</v>
      </c>
      <c r="AD6" s="13" t="str">
        <f t="shared" si="9"/>
        <v/>
      </c>
      <c r="AE6" s="22">
        <f>IFERROR(MATRIZ_174!W5,0)</f>
        <v>1</v>
      </c>
      <c r="AF6" s="22">
        <f>IFERROR(MATRIZ_174!X5,0)</f>
        <v>0</v>
      </c>
      <c r="AG6" s="22">
        <f>IFERROR(MATRIZ_174!Y5,0)</f>
        <v>0</v>
      </c>
      <c r="AH6" s="22">
        <f>IFERROR(MATRIZ_174!Z5,0)</f>
        <v>0</v>
      </c>
      <c r="AI6" s="17">
        <f>IFERROR(MATRIZ_174!AP5,"N/A")</f>
        <v>0.125</v>
      </c>
      <c r="AJ6" s="17">
        <f>IFERROR(MATRIZ_174!AO5,"N/A")</f>
        <v>0</v>
      </c>
      <c r="AK6" s="23">
        <f t="shared" si="10"/>
        <v>0</v>
      </c>
      <c r="AL6" s="24">
        <f t="shared" si="11"/>
        <v>0</v>
      </c>
    </row>
    <row r="7" spans="1:38" ht="16.05" customHeight="1" x14ac:dyDescent="0.3">
      <c r="A7" s="13" t="s">
        <v>72</v>
      </c>
      <c r="B7" s="14" t="s">
        <v>73</v>
      </c>
      <c r="C7" s="13" t="s">
        <v>74</v>
      </c>
      <c r="D7" s="15">
        <v>0</v>
      </c>
      <c r="E7" s="16">
        <v>0</v>
      </c>
      <c r="F7" s="17">
        <f>IFERROR(SCORECARDS!H6,"")</f>
        <v>0</v>
      </c>
      <c r="G7" s="17">
        <f>IFERROR(MATRIZ_174!U6,0)</f>
        <v>0</v>
      </c>
      <c r="H7" s="16">
        <v>0</v>
      </c>
      <c r="I7" s="17">
        <f>IFERROR(SCORECARDS!I6,"")</f>
        <v>0</v>
      </c>
      <c r="J7" s="17">
        <f>IFERROR(SCORECARDS!J6,"")</f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7">
        <f t="shared" si="0"/>
        <v>0</v>
      </c>
      <c r="Q7" s="17">
        <f t="shared" si="1"/>
        <v>0</v>
      </c>
      <c r="R7" s="17">
        <f t="shared" si="2"/>
        <v>0</v>
      </c>
      <c r="S7" s="17">
        <f t="shared" si="3"/>
        <v>0</v>
      </c>
      <c r="T7" s="17">
        <f>IFERROR((K7+M7+MATRIZ_174!O6)/3,0)</f>
        <v>0</v>
      </c>
      <c r="U7" s="18">
        <f>IFERROR(MATRIZ_174!AP6*50,0)</f>
        <v>6.25</v>
      </c>
      <c r="V7" s="18">
        <f t="shared" si="4"/>
        <v>50</v>
      </c>
      <c r="W7" s="18">
        <f>IF(MATRIZ_174!R6&gt;0,65,35)</f>
        <v>65</v>
      </c>
      <c r="X7" s="18">
        <f>IF(MATRIZ_174!O6=0,70,30)</f>
        <v>70</v>
      </c>
      <c r="Y7" s="18">
        <f>IF(OR(MATRIZ_174!P6="ASOCIACION",MATRIZ_174!P6="PENDIENTE"),65,40)</f>
        <v>65</v>
      </c>
      <c r="Z7" s="19">
        <f t="shared" si="5"/>
        <v>0</v>
      </c>
      <c r="AA7" s="20">
        <f t="shared" si="6"/>
        <v>51.3</v>
      </c>
      <c r="AB7" s="21">
        <f t="shared" si="7"/>
        <v>51.3</v>
      </c>
      <c r="AC7" s="13" t="str">
        <f t="shared" si="8"/>
        <v>🔴  Riesgo Crítico</v>
      </c>
      <c r="AD7" s="13" t="str">
        <f t="shared" si="9"/>
        <v>🚫  Inh. vigente OSCE</v>
      </c>
      <c r="AE7" s="22">
        <f>IFERROR(MATRIZ_174!W6,0)</f>
        <v>1</v>
      </c>
      <c r="AF7" s="22">
        <f>IFERROR(MATRIZ_174!X6,0)</f>
        <v>0</v>
      </c>
      <c r="AG7" s="22">
        <f>IFERROR(MATRIZ_174!Y6,0)</f>
        <v>0</v>
      </c>
      <c r="AH7" s="22">
        <f>IFERROR(MATRIZ_174!Z6,0)</f>
        <v>0</v>
      </c>
      <c r="AI7" s="17">
        <f>IFERROR(MATRIZ_174!AP6,"N/A")</f>
        <v>0.125</v>
      </c>
      <c r="AJ7" s="17">
        <f>IFERROR(MATRIZ_174!AO6,"N/A")</f>
        <v>0</v>
      </c>
      <c r="AK7" s="23">
        <f t="shared" si="10"/>
        <v>0</v>
      </c>
      <c r="AL7" s="24">
        <f t="shared" si="11"/>
        <v>0</v>
      </c>
    </row>
    <row r="8" spans="1:38" ht="16.05" customHeight="1" x14ac:dyDescent="0.3">
      <c r="A8" s="13" t="s">
        <v>75</v>
      </c>
      <c r="B8" s="14" t="s">
        <v>76</v>
      </c>
      <c r="C8" s="13" t="s">
        <v>74</v>
      </c>
      <c r="D8" s="15">
        <v>0</v>
      </c>
      <c r="E8" s="16">
        <v>0</v>
      </c>
      <c r="F8" s="17">
        <f>IFERROR(SCORECARDS!H7,"")</f>
        <v>0</v>
      </c>
      <c r="G8" s="17">
        <f>IFERROR(MATRIZ_174!U7,0)</f>
        <v>0</v>
      </c>
      <c r="H8" s="16">
        <v>0</v>
      </c>
      <c r="I8" s="17">
        <f>IFERROR(SCORECARDS!I7,"")</f>
        <v>0</v>
      </c>
      <c r="J8" s="17">
        <f>IFERROR(SCORECARDS!J7,"")</f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7">
        <f t="shared" si="0"/>
        <v>0</v>
      </c>
      <c r="Q8" s="17">
        <f t="shared" si="1"/>
        <v>0</v>
      </c>
      <c r="R8" s="17">
        <f t="shared" si="2"/>
        <v>0</v>
      </c>
      <c r="S8" s="17">
        <f t="shared" si="3"/>
        <v>0</v>
      </c>
      <c r="T8" s="17">
        <f>IFERROR((K8+M8+MATRIZ_174!O7)/3,0)</f>
        <v>0</v>
      </c>
      <c r="U8" s="18">
        <f>IFERROR(MATRIZ_174!AP7*50,0)</f>
        <v>6.25</v>
      </c>
      <c r="V8" s="18">
        <f t="shared" si="4"/>
        <v>50</v>
      </c>
      <c r="W8" s="18">
        <f>IF(MATRIZ_174!R7&gt;0,65,35)</f>
        <v>65</v>
      </c>
      <c r="X8" s="18">
        <f>IF(MATRIZ_174!O7=0,70,30)</f>
        <v>70</v>
      </c>
      <c r="Y8" s="18">
        <f>IF(OR(MATRIZ_174!P7="ASOCIACION",MATRIZ_174!P7="PENDIENTE"),65,40)</f>
        <v>65</v>
      </c>
      <c r="Z8" s="19">
        <f t="shared" si="5"/>
        <v>0</v>
      </c>
      <c r="AA8" s="20">
        <f t="shared" si="6"/>
        <v>51.3</v>
      </c>
      <c r="AB8" s="21">
        <f t="shared" si="7"/>
        <v>51.3</v>
      </c>
      <c r="AC8" s="13" t="str">
        <f t="shared" si="8"/>
        <v>🔴  Riesgo Crítico</v>
      </c>
      <c r="AD8" s="13" t="str">
        <f t="shared" si="9"/>
        <v>🚫  Inh. vigente OSCE</v>
      </c>
      <c r="AE8" s="22">
        <f>IFERROR(MATRIZ_174!W7,0)</f>
        <v>1</v>
      </c>
      <c r="AF8" s="22">
        <f>IFERROR(MATRIZ_174!X7,0)</f>
        <v>0</v>
      </c>
      <c r="AG8" s="22">
        <f>IFERROR(MATRIZ_174!Y7,0)</f>
        <v>0</v>
      </c>
      <c r="AH8" s="22">
        <f>IFERROR(MATRIZ_174!Z7,0)</f>
        <v>0</v>
      </c>
      <c r="AI8" s="17">
        <f>IFERROR(MATRIZ_174!AP7,"N/A")</f>
        <v>0.125</v>
      </c>
      <c r="AJ8" s="17">
        <f>IFERROR(MATRIZ_174!AO7,"N/A")</f>
        <v>0</v>
      </c>
      <c r="AK8" s="23">
        <f t="shared" si="10"/>
        <v>0</v>
      </c>
      <c r="AL8" s="24">
        <f t="shared" si="11"/>
        <v>0</v>
      </c>
    </row>
    <row r="9" spans="1:38" ht="16.05" customHeight="1" x14ac:dyDescent="0.3">
      <c r="A9" s="13" t="s">
        <v>77</v>
      </c>
      <c r="B9" s="14" t="s">
        <v>78</v>
      </c>
      <c r="C9" s="13" t="s">
        <v>74</v>
      </c>
      <c r="D9" s="15">
        <v>1238541.75</v>
      </c>
      <c r="E9" s="16">
        <v>0</v>
      </c>
      <c r="F9" s="17">
        <f>IFERROR(SCORECARDS!H8,"")</f>
        <v>0</v>
      </c>
      <c r="G9" s="17">
        <f>IFERROR(MATRIZ_174!U8,0)</f>
        <v>1</v>
      </c>
      <c r="H9" s="16">
        <v>0</v>
      </c>
      <c r="I9" s="17">
        <f>IFERROR(SCORECARDS!I8,"")</f>
        <v>0</v>
      </c>
      <c r="J9" s="17">
        <f>IFERROR(SCORECARDS!J8,"")</f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7">
        <f t="shared" si="0"/>
        <v>0</v>
      </c>
      <c r="Q9" s="17">
        <f t="shared" si="1"/>
        <v>0</v>
      </c>
      <c r="R9" s="17">
        <f t="shared" si="2"/>
        <v>0</v>
      </c>
      <c r="S9" s="17">
        <f t="shared" si="3"/>
        <v>0</v>
      </c>
      <c r="T9" s="17">
        <f>IFERROR((K9+M9+MATRIZ_174!O8)/3,0)</f>
        <v>0</v>
      </c>
      <c r="U9" s="18">
        <f>IFERROR(MATRIZ_174!AP8*50,0)</f>
        <v>6.25</v>
      </c>
      <c r="V9" s="18">
        <f t="shared" si="4"/>
        <v>50</v>
      </c>
      <c r="W9" s="18">
        <f>IF(MATRIZ_174!R8&gt;0,65,35)</f>
        <v>35</v>
      </c>
      <c r="X9" s="18">
        <f>IF(MATRIZ_174!O8=0,70,30)</f>
        <v>70</v>
      </c>
      <c r="Y9" s="18">
        <f>IF(OR(MATRIZ_174!P8="ASOCIACION",MATRIZ_174!P8="PENDIENTE"),65,40)</f>
        <v>65</v>
      </c>
      <c r="Z9" s="19">
        <f t="shared" si="5"/>
        <v>0</v>
      </c>
      <c r="AA9" s="20">
        <f t="shared" si="6"/>
        <v>45.3</v>
      </c>
      <c r="AB9" s="21">
        <f t="shared" si="7"/>
        <v>45.3</v>
      </c>
      <c r="AC9" s="13" t="str">
        <f t="shared" si="8"/>
        <v>⬜  Riesgo Latente</v>
      </c>
      <c r="AD9" s="13" t="str">
        <f t="shared" si="9"/>
        <v/>
      </c>
      <c r="AE9" s="22">
        <f>IFERROR(MATRIZ_174!W8,0)</f>
        <v>1</v>
      </c>
      <c r="AF9" s="22">
        <f>IFERROR(MATRIZ_174!X8,0)</f>
        <v>0</v>
      </c>
      <c r="AG9" s="22">
        <f>IFERROR(MATRIZ_174!Y8,0)</f>
        <v>0</v>
      </c>
      <c r="AH9" s="22">
        <f>IFERROR(MATRIZ_174!Z8,0)</f>
        <v>0</v>
      </c>
      <c r="AI9" s="17">
        <f>IFERROR(MATRIZ_174!AP8,"N/A")</f>
        <v>0.125</v>
      </c>
      <c r="AJ9" s="17">
        <f>IFERROR(MATRIZ_174!AO8,"N/A")</f>
        <v>0</v>
      </c>
      <c r="AK9" s="23">
        <f t="shared" si="10"/>
        <v>0</v>
      </c>
      <c r="AL9" s="24">
        <f t="shared" si="11"/>
        <v>0</v>
      </c>
    </row>
    <row r="10" spans="1:38" ht="16.05" customHeight="1" x14ac:dyDescent="0.3">
      <c r="A10" s="13" t="s">
        <v>79</v>
      </c>
      <c r="B10" s="14" t="s">
        <v>80</v>
      </c>
      <c r="C10" s="13" t="s">
        <v>74</v>
      </c>
      <c r="D10" s="15">
        <v>0</v>
      </c>
      <c r="E10" s="16">
        <v>0</v>
      </c>
      <c r="F10" s="17">
        <f>IFERROR(SCORECARDS!H9,"")</f>
        <v>0</v>
      </c>
      <c r="G10" s="17">
        <f>IFERROR(MATRIZ_174!U9,0)</f>
        <v>0</v>
      </c>
      <c r="H10" s="16">
        <v>0</v>
      </c>
      <c r="I10" s="17">
        <f>IFERROR(SCORECARDS!I9,"")</f>
        <v>0</v>
      </c>
      <c r="J10" s="17">
        <f>IFERROR(SCORECARDS!J9,"")</f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7">
        <f t="shared" si="0"/>
        <v>0</v>
      </c>
      <c r="Q10" s="17">
        <f t="shared" si="1"/>
        <v>0</v>
      </c>
      <c r="R10" s="17">
        <f t="shared" si="2"/>
        <v>0</v>
      </c>
      <c r="S10" s="17">
        <f t="shared" si="3"/>
        <v>0</v>
      </c>
      <c r="T10" s="17">
        <f>IFERROR((K10+M10+MATRIZ_174!O9)/3,0)</f>
        <v>0</v>
      </c>
      <c r="U10" s="18">
        <f>IFERROR(MATRIZ_174!AP9*50,0)</f>
        <v>0</v>
      </c>
      <c r="V10" s="18">
        <f t="shared" si="4"/>
        <v>50</v>
      </c>
      <c r="W10" s="18">
        <f>IF(MATRIZ_174!R9&gt;0,65,35)</f>
        <v>35</v>
      </c>
      <c r="X10" s="18">
        <f>IF(MATRIZ_174!O9=0,70,30)</f>
        <v>70</v>
      </c>
      <c r="Y10" s="18">
        <f>IF(OR(MATRIZ_174!P9="ASOCIACION",MATRIZ_174!P9="PENDIENTE"),65,40)</f>
        <v>65</v>
      </c>
      <c r="Z10" s="19">
        <f t="shared" si="5"/>
        <v>0</v>
      </c>
      <c r="AA10" s="20">
        <f t="shared" si="6"/>
        <v>44</v>
      </c>
      <c r="AB10" s="21">
        <f t="shared" si="7"/>
        <v>44</v>
      </c>
      <c r="AC10" s="13" t="str">
        <f t="shared" si="8"/>
        <v>⬜  Riesgo Latente</v>
      </c>
      <c r="AD10" s="13" t="str">
        <f t="shared" si="9"/>
        <v>🚫  Inh. vigente OSCE</v>
      </c>
      <c r="AE10" s="22">
        <f>IFERROR(MATRIZ_174!W9,0)</f>
        <v>0</v>
      </c>
      <c r="AF10" s="22">
        <f>IFERROR(MATRIZ_174!X9,0)</f>
        <v>0</v>
      </c>
      <c r="AG10" s="22">
        <f>IFERROR(MATRIZ_174!Y9,0)</f>
        <v>0</v>
      </c>
      <c r="AH10" s="22">
        <f>IFERROR(MATRIZ_174!Z9,0)</f>
        <v>0</v>
      </c>
      <c r="AI10" s="17">
        <f>IFERROR(MATRIZ_174!AP9,"N/A")</f>
        <v>0</v>
      </c>
      <c r="AJ10" s="17">
        <f>IFERROR(MATRIZ_174!AO9,"N/A")</f>
        <v>0</v>
      </c>
      <c r="AK10" s="23">
        <f t="shared" si="10"/>
        <v>0</v>
      </c>
      <c r="AL10" s="24">
        <f t="shared" si="11"/>
        <v>0</v>
      </c>
    </row>
    <row r="11" spans="1:38" ht="16.05" customHeight="1" x14ac:dyDescent="0.3">
      <c r="A11" s="13" t="s">
        <v>81</v>
      </c>
      <c r="B11" s="14" t="s">
        <v>82</v>
      </c>
      <c r="C11" s="13" t="s">
        <v>74</v>
      </c>
      <c r="D11" s="15">
        <v>0</v>
      </c>
      <c r="E11" s="16">
        <v>0</v>
      </c>
      <c r="F11" s="17">
        <f>IFERROR(SCORECARDS!H10,"")</f>
        <v>0</v>
      </c>
      <c r="G11" s="17">
        <f>IFERROR(MATRIZ_174!U10,0)</f>
        <v>0</v>
      </c>
      <c r="H11" s="16">
        <v>0</v>
      </c>
      <c r="I11" s="17">
        <f>IFERROR(SCORECARDS!I10,"")</f>
        <v>0</v>
      </c>
      <c r="J11" s="17">
        <f>IFERROR(SCORECARDS!J10,"")</f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7">
        <f t="shared" si="0"/>
        <v>0</v>
      </c>
      <c r="Q11" s="17">
        <f t="shared" si="1"/>
        <v>0</v>
      </c>
      <c r="R11" s="17">
        <f t="shared" si="2"/>
        <v>0</v>
      </c>
      <c r="S11" s="17">
        <f t="shared" si="3"/>
        <v>0</v>
      </c>
      <c r="T11" s="17">
        <f>IFERROR((K11+M11+MATRIZ_174!O10)/3,0)</f>
        <v>0</v>
      </c>
      <c r="U11" s="18">
        <f>IFERROR(MATRIZ_174!AP10*50,0)</f>
        <v>6.25</v>
      </c>
      <c r="V11" s="18">
        <f t="shared" si="4"/>
        <v>50</v>
      </c>
      <c r="W11" s="18">
        <f>IF(MATRIZ_174!R10&gt;0,65,35)</f>
        <v>65</v>
      </c>
      <c r="X11" s="18">
        <f>IF(MATRIZ_174!O10=0,70,30)</f>
        <v>70</v>
      </c>
      <c r="Y11" s="18">
        <f>IF(OR(MATRIZ_174!P10="ASOCIACION",MATRIZ_174!P10="PENDIENTE"),65,40)</f>
        <v>65</v>
      </c>
      <c r="Z11" s="19">
        <f t="shared" si="5"/>
        <v>0</v>
      </c>
      <c r="AA11" s="20">
        <f t="shared" si="6"/>
        <v>51.3</v>
      </c>
      <c r="AB11" s="21">
        <f t="shared" si="7"/>
        <v>51.3</v>
      </c>
      <c r="AC11" s="13" t="str">
        <f t="shared" si="8"/>
        <v>🔴  Riesgo Crítico</v>
      </c>
      <c r="AD11" s="13" t="str">
        <f t="shared" si="9"/>
        <v>🚫  Inh. vigente OSCE</v>
      </c>
      <c r="AE11" s="22">
        <f>IFERROR(MATRIZ_174!W10,0)</f>
        <v>1</v>
      </c>
      <c r="AF11" s="22">
        <f>IFERROR(MATRIZ_174!X10,0)</f>
        <v>0</v>
      </c>
      <c r="AG11" s="22">
        <f>IFERROR(MATRIZ_174!Y10,0)</f>
        <v>0</v>
      </c>
      <c r="AH11" s="22">
        <f>IFERROR(MATRIZ_174!Z10,0)</f>
        <v>0</v>
      </c>
      <c r="AI11" s="17">
        <f>IFERROR(MATRIZ_174!AP10,"N/A")</f>
        <v>0.125</v>
      </c>
      <c r="AJ11" s="17">
        <f>IFERROR(MATRIZ_174!AO10,"N/A")</f>
        <v>0</v>
      </c>
      <c r="AK11" s="23">
        <f t="shared" si="10"/>
        <v>0</v>
      </c>
      <c r="AL11" s="24">
        <f t="shared" si="11"/>
        <v>0</v>
      </c>
    </row>
    <row r="12" spans="1:38" ht="16.05" customHeight="1" x14ac:dyDescent="0.3">
      <c r="A12" s="13" t="s">
        <v>83</v>
      </c>
      <c r="B12" s="14" t="s">
        <v>84</v>
      </c>
      <c r="C12" s="13" t="s">
        <v>74</v>
      </c>
      <c r="D12" s="15">
        <v>0</v>
      </c>
      <c r="E12" s="16">
        <v>0</v>
      </c>
      <c r="F12" s="17">
        <f>IFERROR(SCORECARDS!H11,"")</f>
        <v>0</v>
      </c>
      <c r="G12" s="17">
        <f>IFERROR(MATRIZ_174!U11,0)</f>
        <v>0</v>
      </c>
      <c r="H12" s="16">
        <v>0</v>
      </c>
      <c r="I12" s="17">
        <f>IFERROR(SCORECARDS!I11,"")</f>
        <v>0</v>
      </c>
      <c r="J12" s="17">
        <f>IFERROR(SCORECARDS!J11,"")</f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7">
        <f t="shared" si="0"/>
        <v>0</v>
      </c>
      <c r="Q12" s="17">
        <f t="shared" si="1"/>
        <v>0</v>
      </c>
      <c r="R12" s="17">
        <f t="shared" si="2"/>
        <v>0</v>
      </c>
      <c r="S12" s="17">
        <f t="shared" si="3"/>
        <v>0</v>
      </c>
      <c r="T12" s="17">
        <f>IFERROR((K12+M12+MATRIZ_174!O11)/3,0)</f>
        <v>0</v>
      </c>
      <c r="U12" s="18">
        <f>IFERROR(MATRIZ_174!AP11*50,0)</f>
        <v>0</v>
      </c>
      <c r="V12" s="18">
        <f t="shared" si="4"/>
        <v>50</v>
      </c>
      <c r="W12" s="18">
        <f>IF(MATRIZ_174!R11&gt;0,65,35)</f>
        <v>35</v>
      </c>
      <c r="X12" s="18">
        <f>IF(MATRIZ_174!O11=0,70,30)</f>
        <v>70</v>
      </c>
      <c r="Y12" s="18">
        <f>IF(OR(MATRIZ_174!P11="ASOCIACION",MATRIZ_174!P11="PENDIENTE"),65,40)</f>
        <v>65</v>
      </c>
      <c r="Z12" s="19">
        <f t="shared" si="5"/>
        <v>0</v>
      </c>
      <c r="AA12" s="20">
        <f t="shared" si="6"/>
        <v>44</v>
      </c>
      <c r="AB12" s="21">
        <f t="shared" si="7"/>
        <v>44</v>
      </c>
      <c r="AC12" s="13" t="str">
        <f t="shared" si="8"/>
        <v>⬜  Riesgo Latente</v>
      </c>
      <c r="AD12" s="13" t="str">
        <f t="shared" si="9"/>
        <v>🚫  Inh. vigente OSCE</v>
      </c>
      <c r="AE12" s="22">
        <f>IFERROR(MATRIZ_174!W11,0)</f>
        <v>0</v>
      </c>
      <c r="AF12" s="22">
        <f>IFERROR(MATRIZ_174!X11,0)</f>
        <v>0</v>
      </c>
      <c r="AG12" s="22">
        <f>IFERROR(MATRIZ_174!Y11,0)</f>
        <v>0</v>
      </c>
      <c r="AH12" s="22">
        <f>IFERROR(MATRIZ_174!Z11,0)</f>
        <v>0</v>
      </c>
      <c r="AI12" s="17">
        <f>IFERROR(MATRIZ_174!AP11,"N/A")</f>
        <v>0</v>
      </c>
      <c r="AJ12" s="17">
        <f>IFERROR(MATRIZ_174!AO11,"N/A")</f>
        <v>0</v>
      </c>
      <c r="AK12" s="23">
        <f t="shared" si="10"/>
        <v>0</v>
      </c>
      <c r="AL12" s="24">
        <f t="shared" si="11"/>
        <v>0</v>
      </c>
    </row>
    <row r="13" spans="1:38" ht="16.05" customHeight="1" x14ac:dyDescent="0.3">
      <c r="A13" s="13" t="s">
        <v>85</v>
      </c>
      <c r="B13" s="14" t="s">
        <v>86</v>
      </c>
      <c r="C13" s="13" t="s">
        <v>74</v>
      </c>
      <c r="D13" s="15">
        <v>894391.27</v>
      </c>
      <c r="E13" s="16">
        <v>0</v>
      </c>
      <c r="F13" s="17">
        <f>IFERROR(SCORECARDS!H12,"")</f>
        <v>0</v>
      </c>
      <c r="G13" s="17">
        <f>IFERROR(MATRIZ_174!U12,0)</f>
        <v>0.75</v>
      </c>
      <c r="H13" s="16">
        <v>0</v>
      </c>
      <c r="I13" s="17">
        <f>IFERROR(SCORECARDS!I12,"")</f>
        <v>0</v>
      </c>
      <c r="J13" s="17">
        <f>IFERROR(SCORECARDS!J12,"")</f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7">
        <f t="shared" si="0"/>
        <v>0</v>
      </c>
      <c r="Q13" s="17">
        <f t="shared" si="1"/>
        <v>0</v>
      </c>
      <c r="R13" s="17">
        <f t="shared" si="2"/>
        <v>0</v>
      </c>
      <c r="S13" s="17">
        <f t="shared" si="3"/>
        <v>0</v>
      </c>
      <c r="T13" s="17">
        <f>IFERROR((K13+M13+MATRIZ_174!O12)/3,0)</f>
        <v>0</v>
      </c>
      <c r="U13" s="18">
        <f>IFERROR(MATRIZ_174!AP12*50,0)</f>
        <v>6.25</v>
      </c>
      <c r="V13" s="18">
        <f t="shared" si="4"/>
        <v>50</v>
      </c>
      <c r="W13" s="18">
        <f>IF(MATRIZ_174!R12&gt;0,65,35)</f>
        <v>65</v>
      </c>
      <c r="X13" s="18">
        <f>IF(MATRIZ_174!O12=0,70,30)</f>
        <v>70</v>
      </c>
      <c r="Y13" s="18">
        <f>IF(OR(MATRIZ_174!P12="ASOCIACION",MATRIZ_174!P12="PENDIENTE"),65,40)</f>
        <v>65</v>
      </c>
      <c r="Z13" s="19">
        <f t="shared" si="5"/>
        <v>0</v>
      </c>
      <c r="AA13" s="20">
        <f t="shared" si="6"/>
        <v>51.3</v>
      </c>
      <c r="AB13" s="21">
        <f t="shared" si="7"/>
        <v>51.3</v>
      </c>
      <c r="AC13" s="13" t="str">
        <f t="shared" si="8"/>
        <v>🔴  Riesgo Crítico</v>
      </c>
      <c r="AD13" s="13" t="str">
        <f t="shared" si="9"/>
        <v/>
      </c>
      <c r="AE13" s="22">
        <f>IFERROR(MATRIZ_174!W12,0)</f>
        <v>1</v>
      </c>
      <c r="AF13" s="22">
        <f>IFERROR(MATRIZ_174!X12,0)</f>
        <v>0</v>
      </c>
      <c r="AG13" s="22">
        <f>IFERROR(MATRIZ_174!Y12,0)</f>
        <v>0</v>
      </c>
      <c r="AH13" s="22">
        <f>IFERROR(MATRIZ_174!Z12,0)</f>
        <v>0</v>
      </c>
      <c r="AI13" s="17">
        <f>IFERROR(MATRIZ_174!AP12,"N/A")</f>
        <v>0.125</v>
      </c>
      <c r="AJ13" s="17">
        <f>IFERROR(MATRIZ_174!AO12,"N/A")</f>
        <v>0</v>
      </c>
      <c r="AK13" s="23">
        <f t="shared" si="10"/>
        <v>0</v>
      </c>
      <c r="AL13" s="24">
        <f t="shared" si="11"/>
        <v>0</v>
      </c>
    </row>
    <row r="14" spans="1:38" ht="16.05" customHeight="1" x14ac:dyDescent="0.3">
      <c r="A14" s="13" t="s">
        <v>87</v>
      </c>
      <c r="B14" s="14" t="s">
        <v>88</v>
      </c>
      <c r="C14" s="13" t="s">
        <v>74</v>
      </c>
      <c r="D14" s="15">
        <v>0</v>
      </c>
      <c r="E14" s="16">
        <v>0</v>
      </c>
      <c r="F14" s="17">
        <f>IFERROR(SCORECARDS!H13,"")</f>
        <v>0</v>
      </c>
      <c r="G14" s="17">
        <f>IFERROR(MATRIZ_174!U13,0)</f>
        <v>0</v>
      </c>
      <c r="H14" s="16">
        <v>0</v>
      </c>
      <c r="I14" s="17">
        <f>IFERROR(SCORECARDS!I13,"")</f>
        <v>0</v>
      </c>
      <c r="J14" s="17">
        <f>IFERROR(SCORECARDS!J13,"")</f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7">
        <f t="shared" si="0"/>
        <v>0</v>
      </c>
      <c r="Q14" s="17">
        <f t="shared" si="1"/>
        <v>0</v>
      </c>
      <c r="R14" s="17">
        <f t="shared" si="2"/>
        <v>0</v>
      </c>
      <c r="S14" s="17">
        <f t="shared" si="3"/>
        <v>0</v>
      </c>
      <c r="T14" s="17">
        <f>IFERROR((K14+M14+MATRIZ_174!O13)/3,0)</f>
        <v>0</v>
      </c>
      <c r="U14" s="18">
        <f>IFERROR(MATRIZ_174!AP13*50,0)</f>
        <v>6.25</v>
      </c>
      <c r="V14" s="18">
        <f t="shared" si="4"/>
        <v>50</v>
      </c>
      <c r="W14" s="18">
        <f>IF(MATRIZ_174!R13&gt;0,65,35)</f>
        <v>65</v>
      </c>
      <c r="X14" s="18">
        <f>IF(MATRIZ_174!O13=0,70,30)</f>
        <v>70</v>
      </c>
      <c r="Y14" s="18">
        <f>IF(OR(MATRIZ_174!P13="ASOCIACION",MATRIZ_174!P13="PENDIENTE"),65,40)</f>
        <v>65</v>
      </c>
      <c r="Z14" s="19">
        <f t="shared" si="5"/>
        <v>0</v>
      </c>
      <c r="AA14" s="20">
        <f t="shared" si="6"/>
        <v>51.3</v>
      </c>
      <c r="AB14" s="21">
        <f t="shared" si="7"/>
        <v>51.3</v>
      </c>
      <c r="AC14" s="13" t="str">
        <f t="shared" si="8"/>
        <v>🔴  Riesgo Crítico</v>
      </c>
      <c r="AD14" s="13" t="str">
        <f t="shared" si="9"/>
        <v>🚫  Inh. vigente OSCE</v>
      </c>
      <c r="AE14" s="22">
        <f>IFERROR(MATRIZ_174!W13,0)</f>
        <v>1</v>
      </c>
      <c r="AF14" s="22">
        <f>IFERROR(MATRIZ_174!X13,0)</f>
        <v>0</v>
      </c>
      <c r="AG14" s="22">
        <f>IFERROR(MATRIZ_174!Y13,0)</f>
        <v>0</v>
      </c>
      <c r="AH14" s="22">
        <f>IFERROR(MATRIZ_174!Z13,0)</f>
        <v>0</v>
      </c>
      <c r="AI14" s="17">
        <f>IFERROR(MATRIZ_174!AP13,"N/A")</f>
        <v>0.125</v>
      </c>
      <c r="AJ14" s="17">
        <f>IFERROR(MATRIZ_174!AO13,"N/A")</f>
        <v>0</v>
      </c>
      <c r="AK14" s="23">
        <f t="shared" si="10"/>
        <v>0</v>
      </c>
      <c r="AL14" s="24">
        <f t="shared" si="11"/>
        <v>0</v>
      </c>
    </row>
    <row r="15" spans="1:38" ht="16.05" customHeight="1" x14ac:dyDescent="0.3">
      <c r="A15" s="13" t="s">
        <v>89</v>
      </c>
      <c r="B15" s="14" t="s">
        <v>90</v>
      </c>
      <c r="C15" s="13" t="s">
        <v>68</v>
      </c>
      <c r="D15" s="15">
        <v>2015347.33</v>
      </c>
      <c r="E15" s="16">
        <v>0</v>
      </c>
      <c r="F15" s="17">
        <f>IFERROR(SCORECARDS!H14,"")</f>
        <v>0</v>
      </c>
      <c r="G15" s="17">
        <f>IFERROR(MATRIZ_174!U14,0)</f>
        <v>1</v>
      </c>
      <c r="H15" s="16">
        <v>0</v>
      </c>
      <c r="I15" s="17">
        <f>IFERROR(SCORECARDS!I14,"")</f>
        <v>0</v>
      </c>
      <c r="J15" s="17">
        <f>IFERROR(SCORECARDS!J14,"")</f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7">
        <f t="shared" si="0"/>
        <v>0</v>
      </c>
      <c r="Q15" s="17">
        <f t="shared" si="1"/>
        <v>0</v>
      </c>
      <c r="R15" s="17">
        <f t="shared" si="2"/>
        <v>0</v>
      </c>
      <c r="S15" s="17">
        <f t="shared" si="3"/>
        <v>0</v>
      </c>
      <c r="T15" s="17">
        <f>IFERROR((K15+M15+MATRIZ_174!O14)/3,0)</f>
        <v>0</v>
      </c>
      <c r="U15" s="18">
        <f>IFERROR(MATRIZ_174!AP14*50,0)</f>
        <v>6.25</v>
      </c>
      <c r="V15" s="18">
        <f t="shared" si="4"/>
        <v>50</v>
      </c>
      <c r="W15" s="18">
        <f>IF(MATRIZ_174!R14&gt;0,65,35)</f>
        <v>35</v>
      </c>
      <c r="X15" s="18">
        <f>IF(MATRIZ_174!O14=0,70,30)</f>
        <v>70</v>
      </c>
      <c r="Y15" s="18">
        <f>IF(OR(MATRIZ_174!P14="ASOCIACION",MATRIZ_174!P14="PENDIENTE"),65,40)</f>
        <v>65</v>
      </c>
      <c r="Z15" s="19">
        <f t="shared" si="5"/>
        <v>0</v>
      </c>
      <c r="AA15" s="20">
        <f t="shared" si="6"/>
        <v>45.3</v>
      </c>
      <c r="AB15" s="21">
        <f t="shared" si="7"/>
        <v>45.3</v>
      </c>
      <c r="AC15" s="13" t="str">
        <f t="shared" si="8"/>
        <v>⬜  Riesgo Latente</v>
      </c>
      <c r="AD15" s="13" t="str">
        <f t="shared" si="9"/>
        <v/>
      </c>
      <c r="AE15" s="22">
        <f>IFERROR(MATRIZ_174!W14,0)</f>
        <v>1</v>
      </c>
      <c r="AF15" s="22">
        <f>IFERROR(MATRIZ_174!X14,0)</f>
        <v>0</v>
      </c>
      <c r="AG15" s="22">
        <f>IFERROR(MATRIZ_174!Y14,0)</f>
        <v>0</v>
      </c>
      <c r="AH15" s="22">
        <f>IFERROR(MATRIZ_174!Z14,0)</f>
        <v>0</v>
      </c>
      <c r="AI15" s="17">
        <f>IFERROR(MATRIZ_174!AP14,"N/A")</f>
        <v>0.125</v>
      </c>
      <c r="AJ15" s="17">
        <f>IFERROR(MATRIZ_174!AO14,"N/A")</f>
        <v>0</v>
      </c>
      <c r="AK15" s="23">
        <f t="shared" si="10"/>
        <v>0</v>
      </c>
      <c r="AL15" s="24">
        <f t="shared" si="11"/>
        <v>0</v>
      </c>
    </row>
    <row r="16" spans="1:38" ht="16.05" customHeight="1" x14ac:dyDescent="0.3">
      <c r="A16" s="13" t="s">
        <v>91</v>
      </c>
      <c r="B16" s="14" t="s">
        <v>92</v>
      </c>
      <c r="C16" s="13" t="s">
        <v>65</v>
      </c>
      <c r="D16" s="15">
        <v>0</v>
      </c>
      <c r="E16" s="16">
        <v>0</v>
      </c>
      <c r="F16" s="17">
        <f>IFERROR(SCORECARDS!H15,"")</f>
        <v>0</v>
      </c>
      <c r="G16" s="17">
        <f>IFERROR(MATRIZ_174!U15,0)</f>
        <v>0</v>
      </c>
      <c r="H16" s="16">
        <v>0</v>
      </c>
      <c r="I16" s="17">
        <f>IFERROR(SCORECARDS!I15,"")</f>
        <v>0</v>
      </c>
      <c r="J16" s="17">
        <f>IFERROR(SCORECARDS!J15,"")</f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7">
        <f t="shared" si="0"/>
        <v>0</v>
      </c>
      <c r="Q16" s="17">
        <f t="shared" si="1"/>
        <v>0</v>
      </c>
      <c r="R16" s="17">
        <f t="shared" si="2"/>
        <v>0</v>
      </c>
      <c r="S16" s="17">
        <f t="shared" si="3"/>
        <v>0</v>
      </c>
      <c r="T16" s="17">
        <f>IFERROR((K16+M16+MATRIZ_174!O15)/3,0)</f>
        <v>0</v>
      </c>
      <c r="U16" s="18">
        <f>IFERROR(MATRIZ_174!AP15*50,0)</f>
        <v>0</v>
      </c>
      <c r="V16" s="18">
        <f t="shared" si="4"/>
        <v>50</v>
      </c>
      <c r="W16" s="18">
        <f>IF(MATRIZ_174!R15&gt;0,65,35)</f>
        <v>35</v>
      </c>
      <c r="X16" s="18">
        <f>IF(MATRIZ_174!O15=0,70,30)</f>
        <v>70</v>
      </c>
      <c r="Y16" s="18">
        <f>IF(OR(MATRIZ_174!P15="ASOCIACION",MATRIZ_174!P15="PENDIENTE"),65,40)</f>
        <v>65</v>
      </c>
      <c r="Z16" s="19">
        <f t="shared" si="5"/>
        <v>0</v>
      </c>
      <c r="AA16" s="20">
        <f t="shared" si="6"/>
        <v>44</v>
      </c>
      <c r="AB16" s="21">
        <f t="shared" si="7"/>
        <v>44</v>
      </c>
      <c r="AC16" s="13" t="str">
        <f t="shared" si="8"/>
        <v>⬜  Riesgo Latente</v>
      </c>
      <c r="AD16" s="13" t="str">
        <f t="shared" si="9"/>
        <v>🚫  Inh. vigente OSCE</v>
      </c>
      <c r="AE16" s="22">
        <f>IFERROR(MATRIZ_174!W15,0)</f>
        <v>0</v>
      </c>
      <c r="AF16" s="22">
        <f>IFERROR(MATRIZ_174!X15,0)</f>
        <v>0</v>
      </c>
      <c r="AG16" s="22">
        <f>IFERROR(MATRIZ_174!Y15,0)</f>
        <v>0</v>
      </c>
      <c r="AH16" s="22">
        <f>IFERROR(MATRIZ_174!Z15,0)</f>
        <v>0</v>
      </c>
      <c r="AI16" s="17">
        <f>IFERROR(MATRIZ_174!AP15,"N/A")</f>
        <v>0</v>
      </c>
      <c r="AJ16" s="17">
        <f>IFERROR(MATRIZ_174!AO15,"N/A")</f>
        <v>0</v>
      </c>
      <c r="AK16" s="23">
        <f t="shared" si="10"/>
        <v>0</v>
      </c>
      <c r="AL16" s="24">
        <f t="shared" si="11"/>
        <v>0</v>
      </c>
    </row>
    <row r="17" spans="1:38" ht="16.05" customHeight="1" x14ac:dyDescent="0.3">
      <c r="A17" s="13" t="s">
        <v>93</v>
      </c>
      <c r="B17" s="14" t="s">
        <v>94</v>
      </c>
      <c r="C17" s="13" t="s">
        <v>95</v>
      </c>
      <c r="D17" s="15">
        <v>0</v>
      </c>
      <c r="E17" s="16">
        <v>0</v>
      </c>
      <c r="F17" s="17">
        <f>IFERROR(SCORECARDS!H16,"")</f>
        <v>0</v>
      </c>
      <c r="G17" s="17">
        <f>IFERROR(MATRIZ_174!U16,0)</f>
        <v>0</v>
      </c>
      <c r="H17" s="16">
        <v>0</v>
      </c>
      <c r="I17" s="17">
        <f>IFERROR(SCORECARDS!I16,"")</f>
        <v>0</v>
      </c>
      <c r="J17" s="17">
        <f>IFERROR(SCORECARDS!J16,"")</f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7">
        <f t="shared" si="0"/>
        <v>0</v>
      </c>
      <c r="Q17" s="17">
        <f t="shared" si="1"/>
        <v>0</v>
      </c>
      <c r="R17" s="17">
        <f t="shared" si="2"/>
        <v>0</v>
      </c>
      <c r="S17" s="17">
        <f t="shared" si="3"/>
        <v>0</v>
      </c>
      <c r="T17" s="17">
        <f>IFERROR((K17+M17+MATRIZ_174!O16)/3,0)</f>
        <v>0</v>
      </c>
      <c r="U17" s="18">
        <f>IFERROR(MATRIZ_174!AP16*50,0)</f>
        <v>0</v>
      </c>
      <c r="V17" s="18">
        <f t="shared" si="4"/>
        <v>50</v>
      </c>
      <c r="W17" s="18">
        <f>IF(MATRIZ_174!R16&gt;0,65,35)</f>
        <v>35</v>
      </c>
      <c r="X17" s="18">
        <f>IF(MATRIZ_174!O16=0,70,30)</f>
        <v>70</v>
      </c>
      <c r="Y17" s="18">
        <f>IF(OR(MATRIZ_174!P16="ASOCIACION",MATRIZ_174!P16="PENDIENTE"),65,40)</f>
        <v>65</v>
      </c>
      <c r="Z17" s="19">
        <f t="shared" si="5"/>
        <v>0</v>
      </c>
      <c r="AA17" s="20">
        <f t="shared" si="6"/>
        <v>44</v>
      </c>
      <c r="AB17" s="21">
        <f t="shared" si="7"/>
        <v>44</v>
      </c>
      <c r="AC17" s="13" t="str">
        <f t="shared" si="8"/>
        <v>⬜  Riesgo Latente</v>
      </c>
      <c r="AD17" s="13" t="str">
        <f t="shared" si="9"/>
        <v>🚫  Inh. vigente OSCE</v>
      </c>
      <c r="AE17" s="22">
        <f>IFERROR(MATRIZ_174!W16,0)</f>
        <v>0</v>
      </c>
      <c r="AF17" s="22">
        <f>IFERROR(MATRIZ_174!X16,0)</f>
        <v>0</v>
      </c>
      <c r="AG17" s="22">
        <f>IFERROR(MATRIZ_174!Y16,0)</f>
        <v>0</v>
      </c>
      <c r="AH17" s="22">
        <f>IFERROR(MATRIZ_174!Z16,0)</f>
        <v>0</v>
      </c>
      <c r="AI17" s="17">
        <f>IFERROR(MATRIZ_174!AP16,"N/A")</f>
        <v>0</v>
      </c>
      <c r="AJ17" s="17">
        <f>IFERROR(MATRIZ_174!AO16,"N/A")</f>
        <v>0</v>
      </c>
      <c r="AK17" s="23">
        <f t="shared" si="10"/>
        <v>0</v>
      </c>
      <c r="AL17" s="24">
        <f t="shared" si="11"/>
        <v>0</v>
      </c>
    </row>
    <row r="18" spans="1:38" ht="16.05" customHeight="1" x14ac:dyDescent="0.3">
      <c r="A18" s="13" t="s">
        <v>96</v>
      </c>
      <c r="B18" s="14" t="s">
        <v>97</v>
      </c>
      <c r="C18" s="13" t="s">
        <v>74</v>
      </c>
      <c r="D18" s="15">
        <v>0</v>
      </c>
      <c r="E18" s="16">
        <v>0</v>
      </c>
      <c r="F18" s="17">
        <f>IFERROR(SCORECARDS!H17,"")</f>
        <v>0</v>
      </c>
      <c r="G18" s="17">
        <f>IFERROR(MATRIZ_174!U17,0)</f>
        <v>0</v>
      </c>
      <c r="H18" s="16">
        <v>0</v>
      </c>
      <c r="I18" s="17">
        <f>IFERROR(SCORECARDS!I17,"")</f>
        <v>0</v>
      </c>
      <c r="J18" s="17">
        <f>IFERROR(SCORECARDS!J17,"")</f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7">
        <f t="shared" si="0"/>
        <v>0</v>
      </c>
      <c r="Q18" s="17">
        <f t="shared" si="1"/>
        <v>0</v>
      </c>
      <c r="R18" s="17">
        <f t="shared" si="2"/>
        <v>0</v>
      </c>
      <c r="S18" s="17">
        <f t="shared" si="3"/>
        <v>0</v>
      </c>
      <c r="T18" s="17">
        <f>IFERROR((K18+M18+MATRIZ_174!O17)/3,0)</f>
        <v>0</v>
      </c>
      <c r="U18" s="18">
        <f>IFERROR(MATRIZ_174!AP17*50,0)</f>
        <v>6.25</v>
      </c>
      <c r="V18" s="18">
        <f t="shared" si="4"/>
        <v>50</v>
      </c>
      <c r="W18" s="18">
        <f>IF(MATRIZ_174!R17&gt;0,65,35)</f>
        <v>65</v>
      </c>
      <c r="X18" s="18">
        <f>IF(MATRIZ_174!O17=0,70,30)</f>
        <v>70</v>
      </c>
      <c r="Y18" s="18">
        <f>IF(OR(MATRIZ_174!P17="ASOCIACION",MATRIZ_174!P17="PENDIENTE"),65,40)</f>
        <v>65</v>
      </c>
      <c r="Z18" s="19">
        <f t="shared" si="5"/>
        <v>0</v>
      </c>
      <c r="AA18" s="20">
        <f t="shared" si="6"/>
        <v>51.3</v>
      </c>
      <c r="AB18" s="21">
        <f t="shared" si="7"/>
        <v>51.3</v>
      </c>
      <c r="AC18" s="13" t="str">
        <f t="shared" si="8"/>
        <v>🔴  Riesgo Crítico</v>
      </c>
      <c r="AD18" s="13" t="str">
        <f t="shared" si="9"/>
        <v>🚫  Inh. vigente OSCE</v>
      </c>
      <c r="AE18" s="22">
        <f>IFERROR(MATRIZ_174!W17,0)</f>
        <v>1</v>
      </c>
      <c r="AF18" s="22">
        <f>IFERROR(MATRIZ_174!X17,0)</f>
        <v>0</v>
      </c>
      <c r="AG18" s="22">
        <f>IFERROR(MATRIZ_174!Y17,0)</f>
        <v>0</v>
      </c>
      <c r="AH18" s="22">
        <f>IFERROR(MATRIZ_174!Z17,0)</f>
        <v>0</v>
      </c>
      <c r="AI18" s="17">
        <f>IFERROR(MATRIZ_174!AP17,"N/A")</f>
        <v>0.125</v>
      </c>
      <c r="AJ18" s="17">
        <f>IFERROR(MATRIZ_174!AO17,"N/A")</f>
        <v>0</v>
      </c>
      <c r="AK18" s="23">
        <f t="shared" si="10"/>
        <v>0</v>
      </c>
      <c r="AL18" s="24">
        <f t="shared" si="11"/>
        <v>0</v>
      </c>
    </row>
    <row r="19" spans="1:38" ht="16.05" customHeight="1" x14ac:dyDescent="0.3">
      <c r="A19" s="13" t="s">
        <v>98</v>
      </c>
      <c r="B19" s="14" t="s">
        <v>99</v>
      </c>
      <c r="C19" s="13" t="s">
        <v>100</v>
      </c>
      <c r="D19" s="15">
        <v>0</v>
      </c>
      <c r="E19" s="16">
        <v>0</v>
      </c>
      <c r="F19" s="17">
        <f>IFERROR(SCORECARDS!H18,"")</f>
        <v>0</v>
      </c>
      <c r="G19" s="17">
        <f>IFERROR(MATRIZ_174!U18,0)</f>
        <v>0</v>
      </c>
      <c r="H19" s="16">
        <v>0</v>
      </c>
      <c r="I19" s="17">
        <f>IFERROR(SCORECARDS!I18,"")</f>
        <v>0</v>
      </c>
      <c r="J19" s="17">
        <f>IFERROR(SCORECARDS!J18,"")</f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7">
        <f t="shared" si="0"/>
        <v>0</v>
      </c>
      <c r="Q19" s="17">
        <f t="shared" si="1"/>
        <v>0</v>
      </c>
      <c r="R19" s="17">
        <f t="shared" si="2"/>
        <v>0</v>
      </c>
      <c r="S19" s="17">
        <f t="shared" si="3"/>
        <v>0</v>
      </c>
      <c r="T19" s="17">
        <f>IFERROR((K19+M19+MATRIZ_174!O18)/3,0)</f>
        <v>0</v>
      </c>
      <c r="U19" s="18">
        <f>IFERROR(MATRIZ_174!AP18*50,0)</f>
        <v>0</v>
      </c>
      <c r="V19" s="18">
        <f t="shared" si="4"/>
        <v>50</v>
      </c>
      <c r="W19" s="18">
        <f>IF(MATRIZ_174!R18&gt;0,65,35)</f>
        <v>35</v>
      </c>
      <c r="X19" s="18">
        <f>IF(MATRIZ_174!O18=0,70,30)</f>
        <v>70</v>
      </c>
      <c r="Y19" s="18">
        <f>IF(OR(MATRIZ_174!P18="ASOCIACION",MATRIZ_174!P18="PENDIENTE"),65,40)</f>
        <v>65</v>
      </c>
      <c r="Z19" s="19">
        <f t="shared" si="5"/>
        <v>0</v>
      </c>
      <c r="AA19" s="20">
        <f t="shared" si="6"/>
        <v>44</v>
      </c>
      <c r="AB19" s="21">
        <f t="shared" si="7"/>
        <v>44</v>
      </c>
      <c r="AC19" s="13" t="str">
        <f t="shared" si="8"/>
        <v>⬜  Riesgo Latente</v>
      </c>
      <c r="AD19" s="13" t="str">
        <f t="shared" si="9"/>
        <v>🚫  Inh. vigente OSCE</v>
      </c>
      <c r="AE19" s="22">
        <f>IFERROR(MATRIZ_174!W18,0)</f>
        <v>0</v>
      </c>
      <c r="AF19" s="22">
        <f>IFERROR(MATRIZ_174!X18,0)</f>
        <v>0</v>
      </c>
      <c r="AG19" s="22">
        <f>IFERROR(MATRIZ_174!Y18,0)</f>
        <v>0</v>
      </c>
      <c r="AH19" s="22">
        <f>IFERROR(MATRIZ_174!Z18,0)</f>
        <v>0</v>
      </c>
      <c r="AI19" s="17">
        <f>IFERROR(MATRIZ_174!AP18,"N/A")</f>
        <v>0</v>
      </c>
      <c r="AJ19" s="17">
        <f>IFERROR(MATRIZ_174!AO18,"N/A")</f>
        <v>0</v>
      </c>
      <c r="AK19" s="23">
        <f t="shared" si="10"/>
        <v>0</v>
      </c>
      <c r="AL19" s="24">
        <f t="shared" si="11"/>
        <v>0</v>
      </c>
    </row>
    <row r="20" spans="1:38" ht="16.05" customHeight="1" x14ac:dyDescent="0.3">
      <c r="A20" s="13" t="s">
        <v>101</v>
      </c>
      <c r="B20" s="14" t="s">
        <v>102</v>
      </c>
      <c r="C20" s="13" t="s">
        <v>103</v>
      </c>
      <c r="D20" s="15">
        <v>4535378.4400000004</v>
      </c>
      <c r="E20" s="16">
        <v>0</v>
      </c>
      <c r="F20" s="17">
        <f>IFERROR(SCORECARDS!H19,"")</f>
        <v>0</v>
      </c>
      <c r="G20" s="17">
        <f>IFERROR(MATRIZ_174!U19,0)</f>
        <v>1</v>
      </c>
      <c r="H20" s="16">
        <v>0</v>
      </c>
      <c r="I20" s="17">
        <f>IFERROR(SCORECARDS!I19,"")</f>
        <v>0</v>
      </c>
      <c r="J20" s="17">
        <f>IFERROR(SCORECARDS!J19,"")</f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7">
        <f t="shared" si="0"/>
        <v>0</v>
      </c>
      <c r="Q20" s="17">
        <f t="shared" si="1"/>
        <v>0</v>
      </c>
      <c r="R20" s="17">
        <f t="shared" si="2"/>
        <v>0</v>
      </c>
      <c r="S20" s="17">
        <f t="shared" si="3"/>
        <v>0</v>
      </c>
      <c r="T20" s="17">
        <f>IFERROR((K20+M20+MATRIZ_174!O19)/3,0)</f>
        <v>0</v>
      </c>
      <c r="U20" s="18">
        <f>IFERROR(MATRIZ_174!AP19*50,0)</f>
        <v>6.25</v>
      </c>
      <c r="V20" s="18">
        <f t="shared" si="4"/>
        <v>50</v>
      </c>
      <c r="W20" s="18">
        <f>IF(MATRIZ_174!R19&gt;0,65,35)</f>
        <v>35</v>
      </c>
      <c r="X20" s="18">
        <f>IF(MATRIZ_174!O19=0,70,30)</f>
        <v>70</v>
      </c>
      <c r="Y20" s="18">
        <f>IF(OR(MATRIZ_174!P19="ASOCIACION",MATRIZ_174!P19="PENDIENTE"),65,40)</f>
        <v>65</v>
      </c>
      <c r="Z20" s="19">
        <f t="shared" si="5"/>
        <v>0</v>
      </c>
      <c r="AA20" s="20">
        <f t="shared" si="6"/>
        <v>45.3</v>
      </c>
      <c r="AB20" s="21">
        <f t="shared" si="7"/>
        <v>45.3</v>
      </c>
      <c r="AC20" s="13" t="str">
        <f t="shared" si="8"/>
        <v>⬜  Riesgo Latente</v>
      </c>
      <c r="AD20" s="13" t="str">
        <f t="shared" si="9"/>
        <v/>
      </c>
      <c r="AE20" s="22">
        <f>IFERROR(MATRIZ_174!W19,0)</f>
        <v>1</v>
      </c>
      <c r="AF20" s="22">
        <f>IFERROR(MATRIZ_174!X19,0)</f>
        <v>0</v>
      </c>
      <c r="AG20" s="22">
        <f>IFERROR(MATRIZ_174!Y19,0)</f>
        <v>0</v>
      </c>
      <c r="AH20" s="22">
        <f>IFERROR(MATRIZ_174!Z19,0)</f>
        <v>0</v>
      </c>
      <c r="AI20" s="17">
        <f>IFERROR(MATRIZ_174!AP19,"N/A")</f>
        <v>0.125</v>
      </c>
      <c r="AJ20" s="17">
        <f>IFERROR(MATRIZ_174!AO19,"N/A")</f>
        <v>0</v>
      </c>
      <c r="AK20" s="23">
        <f t="shared" si="10"/>
        <v>0</v>
      </c>
      <c r="AL20" s="24">
        <f t="shared" si="11"/>
        <v>0</v>
      </c>
    </row>
    <row r="21" spans="1:38" ht="16.05" customHeight="1" x14ac:dyDescent="0.3">
      <c r="A21" s="13" t="s">
        <v>104</v>
      </c>
      <c r="B21" s="14" t="s">
        <v>105</v>
      </c>
      <c r="C21" s="13" t="s">
        <v>74</v>
      </c>
      <c r="D21" s="15">
        <v>0</v>
      </c>
      <c r="E21" s="16">
        <v>0</v>
      </c>
      <c r="F21" s="17">
        <f>IFERROR(SCORECARDS!H20,"")</f>
        <v>0</v>
      </c>
      <c r="G21" s="17">
        <f>IFERROR(MATRIZ_174!U20,0)</f>
        <v>0</v>
      </c>
      <c r="H21" s="16">
        <v>0</v>
      </c>
      <c r="I21" s="17">
        <f>IFERROR(SCORECARDS!I20,"")</f>
        <v>0</v>
      </c>
      <c r="J21" s="17">
        <f>IFERROR(SCORECARDS!J20,"")</f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7">
        <f t="shared" si="0"/>
        <v>0</v>
      </c>
      <c r="Q21" s="17">
        <f t="shared" si="1"/>
        <v>0</v>
      </c>
      <c r="R21" s="17">
        <f t="shared" si="2"/>
        <v>0</v>
      </c>
      <c r="S21" s="17">
        <f t="shared" si="3"/>
        <v>0</v>
      </c>
      <c r="T21" s="17">
        <f>IFERROR((K21+M21+MATRIZ_174!O20)/3,0)</f>
        <v>0</v>
      </c>
      <c r="U21" s="18">
        <f>IFERROR(MATRIZ_174!AP20*50,0)</f>
        <v>6.25</v>
      </c>
      <c r="V21" s="18">
        <f t="shared" si="4"/>
        <v>50</v>
      </c>
      <c r="W21" s="18">
        <f>IF(MATRIZ_174!R20&gt;0,65,35)</f>
        <v>65</v>
      </c>
      <c r="X21" s="18">
        <f>IF(MATRIZ_174!O20=0,70,30)</f>
        <v>70</v>
      </c>
      <c r="Y21" s="18">
        <f>IF(OR(MATRIZ_174!P20="ASOCIACION",MATRIZ_174!P20="PENDIENTE"),65,40)</f>
        <v>65</v>
      </c>
      <c r="Z21" s="19">
        <f t="shared" si="5"/>
        <v>0</v>
      </c>
      <c r="AA21" s="20">
        <f t="shared" si="6"/>
        <v>51.3</v>
      </c>
      <c r="AB21" s="21">
        <f t="shared" si="7"/>
        <v>51.3</v>
      </c>
      <c r="AC21" s="13" t="str">
        <f t="shared" si="8"/>
        <v>🔴  Riesgo Crítico</v>
      </c>
      <c r="AD21" s="13" t="str">
        <f t="shared" si="9"/>
        <v>🚫  Inh. vigente OSCE</v>
      </c>
      <c r="AE21" s="22">
        <f>IFERROR(MATRIZ_174!W20,0)</f>
        <v>1</v>
      </c>
      <c r="AF21" s="22">
        <f>IFERROR(MATRIZ_174!X20,0)</f>
        <v>0</v>
      </c>
      <c r="AG21" s="22">
        <f>IFERROR(MATRIZ_174!Y20,0)</f>
        <v>0</v>
      </c>
      <c r="AH21" s="22">
        <f>IFERROR(MATRIZ_174!Z20,0)</f>
        <v>0</v>
      </c>
      <c r="AI21" s="17">
        <f>IFERROR(MATRIZ_174!AP20,"N/A")</f>
        <v>0.125</v>
      </c>
      <c r="AJ21" s="17">
        <f>IFERROR(MATRIZ_174!AO20,"N/A")</f>
        <v>0</v>
      </c>
      <c r="AK21" s="23">
        <f t="shared" si="10"/>
        <v>0</v>
      </c>
      <c r="AL21" s="24">
        <f t="shared" si="11"/>
        <v>0</v>
      </c>
    </row>
    <row r="22" spans="1:38" ht="16.05" customHeight="1" x14ac:dyDescent="0.3">
      <c r="A22" s="13" t="s">
        <v>106</v>
      </c>
      <c r="B22" s="14" t="s">
        <v>107</v>
      </c>
      <c r="C22" s="13" t="s">
        <v>100</v>
      </c>
      <c r="D22" s="15">
        <v>0</v>
      </c>
      <c r="E22" s="16">
        <v>0</v>
      </c>
      <c r="F22" s="17">
        <f>IFERROR(SCORECARDS!H21,"")</f>
        <v>0</v>
      </c>
      <c r="G22" s="17">
        <f>IFERROR(MATRIZ_174!U21,0)</f>
        <v>0</v>
      </c>
      <c r="H22" s="16">
        <v>0</v>
      </c>
      <c r="I22" s="17">
        <f>IFERROR(SCORECARDS!I21,"")</f>
        <v>0</v>
      </c>
      <c r="J22" s="17">
        <f>IFERROR(SCORECARDS!J21,"")</f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7">
        <f t="shared" si="0"/>
        <v>0</v>
      </c>
      <c r="Q22" s="17">
        <f t="shared" si="1"/>
        <v>0</v>
      </c>
      <c r="R22" s="17">
        <f t="shared" si="2"/>
        <v>0</v>
      </c>
      <c r="S22" s="17">
        <f t="shared" si="3"/>
        <v>0</v>
      </c>
      <c r="T22" s="17">
        <f>IFERROR((K22+M22+MATRIZ_174!O21)/3,0)</f>
        <v>0</v>
      </c>
      <c r="U22" s="18">
        <f>IFERROR(MATRIZ_174!AP21*50,0)</f>
        <v>0</v>
      </c>
      <c r="V22" s="18">
        <f t="shared" si="4"/>
        <v>50</v>
      </c>
      <c r="W22" s="18">
        <f>IF(MATRIZ_174!R21&gt;0,65,35)</f>
        <v>35</v>
      </c>
      <c r="X22" s="18">
        <f>IF(MATRIZ_174!O21=0,70,30)</f>
        <v>70</v>
      </c>
      <c r="Y22" s="18">
        <f>IF(OR(MATRIZ_174!P21="ASOCIACION",MATRIZ_174!P21="PENDIENTE"),65,40)</f>
        <v>65</v>
      </c>
      <c r="Z22" s="19">
        <f t="shared" si="5"/>
        <v>0</v>
      </c>
      <c r="AA22" s="20">
        <f t="shared" si="6"/>
        <v>44</v>
      </c>
      <c r="AB22" s="21">
        <f t="shared" si="7"/>
        <v>44</v>
      </c>
      <c r="AC22" s="13" t="str">
        <f t="shared" si="8"/>
        <v>⬜  Riesgo Latente</v>
      </c>
      <c r="AD22" s="13" t="str">
        <f t="shared" si="9"/>
        <v>🚫  Inh. vigente OSCE</v>
      </c>
      <c r="AE22" s="22">
        <f>IFERROR(MATRIZ_174!W21,0)</f>
        <v>0</v>
      </c>
      <c r="AF22" s="22">
        <f>IFERROR(MATRIZ_174!X21,0)</f>
        <v>0</v>
      </c>
      <c r="AG22" s="22">
        <f>IFERROR(MATRIZ_174!Y21,0)</f>
        <v>0</v>
      </c>
      <c r="AH22" s="22">
        <f>IFERROR(MATRIZ_174!Z21,0)</f>
        <v>0</v>
      </c>
      <c r="AI22" s="17">
        <f>IFERROR(MATRIZ_174!AP21,"N/A")</f>
        <v>0</v>
      </c>
      <c r="AJ22" s="17">
        <f>IFERROR(MATRIZ_174!AO21,"N/A")</f>
        <v>0</v>
      </c>
      <c r="AK22" s="23">
        <f t="shared" si="10"/>
        <v>0</v>
      </c>
      <c r="AL22" s="24">
        <f t="shared" si="11"/>
        <v>0</v>
      </c>
    </row>
    <row r="23" spans="1:38" ht="16.05" customHeight="1" x14ac:dyDescent="0.3">
      <c r="A23" s="13" t="s">
        <v>108</v>
      </c>
      <c r="B23" s="14" t="s">
        <v>109</v>
      </c>
      <c r="C23" s="13" t="s">
        <v>110</v>
      </c>
      <c r="D23" s="15">
        <v>0</v>
      </c>
      <c r="E23" s="16">
        <v>0</v>
      </c>
      <c r="F23" s="17">
        <f>IFERROR(SCORECARDS!H22,"")</f>
        <v>0</v>
      </c>
      <c r="G23" s="17">
        <f>IFERROR(MATRIZ_174!U22,0)</f>
        <v>0</v>
      </c>
      <c r="H23" s="16">
        <v>0</v>
      </c>
      <c r="I23" s="17">
        <f>IFERROR(SCORECARDS!I22,"")</f>
        <v>0</v>
      </c>
      <c r="J23" s="17">
        <f>IFERROR(SCORECARDS!J22,"")</f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7">
        <f t="shared" si="0"/>
        <v>0</v>
      </c>
      <c r="Q23" s="17">
        <f t="shared" si="1"/>
        <v>0</v>
      </c>
      <c r="R23" s="17">
        <f t="shared" si="2"/>
        <v>0</v>
      </c>
      <c r="S23" s="17">
        <f t="shared" si="3"/>
        <v>0</v>
      </c>
      <c r="T23" s="17">
        <f>IFERROR((K23+M23+MATRIZ_174!O22)/3,0)</f>
        <v>0</v>
      </c>
      <c r="U23" s="18">
        <f>IFERROR(MATRIZ_174!AP22*50,0)</f>
        <v>0</v>
      </c>
      <c r="V23" s="18">
        <f t="shared" si="4"/>
        <v>50</v>
      </c>
      <c r="W23" s="18">
        <f>IF(MATRIZ_174!R22&gt;0,65,35)</f>
        <v>35</v>
      </c>
      <c r="X23" s="18">
        <f>IF(MATRIZ_174!O22=0,70,30)</f>
        <v>70</v>
      </c>
      <c r="Y23" s="18">
        <f>IF(OR(MATRIZ_174!P22="ASOCIACION",MATRIZ_174!P22="PENDIENTE"),65,40)</f>
        <v>65</v>
      </c>
      <c r="Z23" s="19">
        <f t="shared" si="5"/>
        <v>0</v>
      </c>
      <c r="AA23" s="20">
        <f t="shared" si="6"/>
        <v>44</v>
      </c>
      <c r="AB23" s="21">
        <f t="shared" si="7"/>
        <v>44</v>
      </c>
      <c r="AC23" s="13" t="str">
        <f t="shared" si="8"/>
        <v>⬜  Riesgo Latente</v>
      </c>
      <c r="AD23" s="13" t="str">
        <f t="shared" si="9"/>
        <v>🚫  Inh. vigente OSCE</v>
      </c>
      <c r="AE23" s="22">
        <f>IFERROR(MATRIZ_174!W22,0)</f>
        <v>0</v>
      </c>
      <c r="AF23" s="22">
        <f>IFERROR(MATRIZ_174!X22,0)</f>
        <v>0</v>
      </c>
      <c r="AG23" s="22">
        <f>IFERROR(MATRIZ_174!Y22,0)</f>
        <v>0</v>
      </c>
      <c r="AH23" s="22">
        <f>IFERROR(MATRIZ_174!Z22,0)</f>
        <v>0</v>
      </c>
      <c r="AI23" s="17">
        <f>IFERROR(MATRIZ_174!AP22,"N/A")</f>
        <v>0</v>
      </c>
      <c r="AJ23" s="17">
        <f>IFERROR(MATRIZ_174!AO22,"N/A")</f>
        <v>0</v>
      </c>
      <c r="AK23" s="23">
        <f t="shared" si="10"/>
        <v>0</v>
      </c>
      <c r="AL23" s="24">
        <f t="shared" si="11"/>
        <v>0</v>
      </c>
    </row>
    <row r="24" spans="1:38" ht="16.05" customHeight="1" x14ac:dyDescent="0.3">
      <c r="A24" s="13" t="s">
        <v>111</v>
      </c>
      <c r="B24" s="14" t="s">
        <v>112</v>
      </c>
      <c r="C24" s="13" t="s">
        <v>100</v>
      </c>
      <c r="D24" s="15">
        <v>0</v>
      </c>
      <c r="E24" s="16">
        <v>0</v>
      </c>
      <c r="F24" s="17">
        <f>IFERROR(SCORECARDS!H23,"")</f>
        <v>0</v>
      </c>
      <c r="G24" s="17">
        <f>IFERROR(MATRIZ_174!U23,0)</f>
        <v>0</v>
      </c>
      <c r="H24" s="16">
        <v>0</v>
      </c>
      <c r="I24" s="17">
        <f>IFERROR(SCORECARDS!I23,"")</f>
        <v>0</v>
      </c>
      <c r="J24" s="17">
        <f>IFERROR(SCORECARDS!J23,"")</f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7">
        <f t="shared" si="0"/>
        <v>0</v>
      </c>
      <c r="Q24" s="17">
        <f t="shared" si="1"/>
        <v>0</v>
      </c>
      <c r="R24" s="17">
        <f t="shared" si="2"/>
        <v>0</v>
      </c>
      <c r="S24" s="17">
        <f t="shared" si="3"/>
        <v>0</v>
      </c>
      <c r="T24" s="17">
        <f>IFERROR((K24+M24+MATRIZ_174!O23)/3,0)</f>
        <v>0</v>
      </c>
      <c r="U24" s="18">
        <f>IFERROR(MATRIZ_174!AP23*50,0)</f>
        <v>0</v>
      </c>
      <c r="V24" s="18">
        <f t="shared" si="4"/>
        <v>50</v>
      </c>
      <c r="W24" s="18">
        <f>IF(MATRIZ_174!R23&gt;0,65,35)</f>
        <v>35</v>
      </c>
      <c r="X24" s="18">
        <f>IF(MATRIZ_174!O23=0,70,30)</f>
        <v>70</v>
      </c>
      <c r="Y24" s="18">
        <f>IF(OR(MATRIZ_174!P23="ASOCIACION",MATRIZ_174!P23="PENDIENTE"),65,40)</f>
        <v>65</v>
      </c>
      <c r="Z24" s="19">
        <f t="shared" si="5"/>
        <v>0</v>
      </c>
      <c r="AA24" s="20">
        <f t="shared" si="6"/>
        <v>44</v>
      </c>
      <c r="AB24" s="21">
        <f t="shared" si="7"/>
        <v>44</v>
      </c>
      <c r="AC24" s="13" t="str">
        <f t="shared" si="8"/>
        <v>⬜  Riesgo Latente</v>
      </c>
      <c r="AD24" s="13" t="str">
        <f t="shared" si="9"/>
        <v>🚫  Inh. vigente OSCE</v>
      </c>
      <c r="AE24" s="22">
        <f>IFERROR(MATRIZ_174!W23,0)</f>
        <v>0</v>
      </c>
      <c r="AF24" s="22">
        <f>IFERROR(MATRIZ_174!X23,0)</f>
        <v>0</v>
      </c>
      <c r="AG24" s="22">
        <f>IFERROR(MATRIZ_174!Y23,0)</f>
        <v>0</v>
      </c>
      <c r="AH24" s="22">
        <f>IFERROR(MATRIZ_174!Z23,0)</f>
        <v>0</v>
      </c>
      <c r="AI24" s="17">
        <f>IFERROR(MATRIZ_174!AP23,"N/A")</f>
        <v>0</v>
      </c>
      <c r="AJ24" s="17">
        <f>IFERROR(MATRIZ_174!AO23,"N/A")</f>
        <v>0</v>
      </c>
      <c r="AK24" s="23">
        <f t="shared" si="10"/>
        <v>0</v>
      </c>
      <c r="AL24" s="24">
        <f t="shared" si="11"/>
        <v>0</v>
      </c>
    </row>
    <row r="25" spans="1:38" ht="16.05" customHeight="1" x14ac:dyDescent="0.3">
      <c r="A25" s="13" t="s">
        <v>113</v>
      </c>
      <c r="B25" s="14" t="s">
        <v>114</v>
      </c>
      <c r="C25" s="13" t="s">
        <v>100</v>
      </c>
      <c r="D25" s="15">
        <v>0</v>
      </c>
      <c r="E25" s="16">
        <v>0</v>
      </c>
      <c r="F25" s="17">
        <f>IFERROR(SCORECARDS!H24,"")</f>
        <v>0</v>
      </c>
      <c r="G25" s="17">
        <f>IFERROR(MATRIZ_174!U24,0)</f>
        <v>0</v>
      </c>
      <c r="H25" s="16">
        <v>0</v>
      </c>
      <c r="I25" s="17">
        <f>IFERROR(SCORECARDS!I24,"")</f>
        <v>0</v>
      </c>
      <c r="J25" s="17">
        <f>IFERROR(SCORECARDS!J24,"")</f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7">
        <f t="shared" si="0"/>
        <v>0</v>
      </c>
      <c r="Q25" s="17">
        <f t="shared" si="1"/>
        <v>0</v>
      </c>
      <c r="R25" s="17">
        <f t="shared" si="2"/>
        <v>0</v>
      </c>
      <c r="S25" s="17">
        <f t="shared" si="3"/>
        <v>0</v>
      </c>
      <c r="T25" s="17">
        <f>IFERROR((K25+M25+MATRIZ_174!O24)/3,0)</f>
        <v>0</v>
      </c>
      <c r="U25" s="18">
        <f>IFERROR(MATRIZ_174!AP24*50,0)</f>
        <v>0</v>
      </c>
      <c r="V25" s="18">
        <f t="shared" si="4"/>
        <v>50</v>
      </c>
      <c r="W25" s="18">
        <f>IF(MATRIZ_174!R24&gt;0,65,35)</f>
        <v>35</v>
      </c>
      <c r="X25" s="18">
        <f>IF(MATRIZ_174!O24=0,70,30)</f>
        <v>70</v>
      </c>
      <c r="Y25" s="18">
        <f>IF(OR(MATRIZ_174!P24="ASOCIACION",MATRIZ_174!P24="PENDIENTE"),65,40)</f>
        <v>65</v>
      </c>
      <c r="Z25" s="19">
        <f t="shared" si="5"/>
        <v>0</v>
      </c>
      <c r="AA25" s="20">
        <f t="shared" si="6"/>
        <v>44</v>
      </c>
      <c r="AB25" s="21">
        <f t="shared" si="7"/>
        <v>44</v>
      </c>
      <c r="AC25" s="13" t="str">
        <f t="shared" si="8"/>
        <v>⬜  Riesgo Latente</v>
      </c>
      <c r="AD25" s="13" t="str">
        <f t="shared" si="9"/>
        <v>🚫  Inh. vigente OSCE</v>
      </c>
      <c r="AE25" s="22">
        <f>IFERROR(MATRIZ_174!W24,0)</f>
        <v>0</v>
      </c>
      <c r="AF25" s="22">
        <f>IFERROR(MATRIZ_174!X24,0)</f>
        <v>0</v>
      </c>
      <c r="AG25" s="22">
        <f>IFERROR(MATRIZ_174!Y24,0)</f>
        <v>0</v>
      </c>
      <c r="AH25" s="22">
        <f>IFERROR(MATRIZ_174!Z24,0)</f>
        <v>0</v>
      </c>
      <c r="AI25" s="17">
        <f>IFERROR(MATRIZ_174!AP24,"N/A")</f>
        <v>0</v>
      </c>
      <c r="AJ25" s="17">
        <f>IFERROR(MATRIZ_174!AO24,"N/A")</f>
        <v>0</v>
      </c>
      <c r="AK25" s="23">
        <f t="shared" si="10"/>
        <v>0</v>
      </c>
      <c r="AL25" s="24">
        <f t="shared" si="11"/>
        <v>0</v>
      </c>
    </row>
    <row r="26" spans="1:38" ht="16.05" customHeight="1" x14ac:dyDescent="0.3">
      <c r="A26" s="13" t="s">
        <v>115</v>
      </c>
      <c r="B26" s="14" t="s">
        <v>116</v>
      </c>
      <c r="C26" s="13" t="s">
        <v>100</v>
      </c>
      <c r="D26" s="15">
        <v>0</v>
      </c>
      <c r="E26" s="16">
        <v>0</v>
      </c>
      <c r="F26" s="17">
        <f>IFERROR(SCORECARDS!H25,"")</f>
        <v>0</v>
      </c>
      <c r="G26" s="17">
        <f>IFERROR(MATRIZ_174!U25,0)</f>
        <v>0</v>
      </c>
      <c r="H26" s="16">
        <v>0</v>
      </c>
      <c r="I26" s="17">
        <f>IFERROR(SCORECARDS!I25,"")</f>
        <v>0</v>
      </c>
      <c r="J26" s="17">
        <f>IFERROR(SCORECARDS!J25,"")</f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7">
        <f t="shared" si="0"/>
        <v>0</v>
      </c>
      <c r="Q26" s="17">
        <f t="shared" si="1"/>
        <v>0</v>
      </c>
      <c r="R26" s="17">
        <f t="shared" si="2"/>
        <v>0</v>
      </c>
      <c r="S26" s="17">
        <f t="shared" si="3"/>
        <v>0</v>
      </c>
      <c r="T26" s="17">
        <f>IFERROR((K26+M26+MATRIZ_174!O25)/3,0)</f>
        <v>0</v>
      </c>
      <c r="U26" s="18">
        <f>IFERROR(MATRIZ_174!AP25*50,0)</f>
        <v>0</v>
      </c>
      <c r="V26" s="18">
        <f t="shared" si="4"/>
        <v>50</v>
      </c>
      <c r="W26" s="18">
        <f>IF(MATRIZ_174!R25&gt;0,65,35)</f>
        <v>35</v>
      </c>
      <c r="X26" s="18">
        <f>IF(MATRIZ_174!O25=0,70,30)</f>
        <v>70</v>
      </c>
      <c r="Y26" s="18">
        <f>IF(OR(MATRIZ_174!P25="ASOCIACION",MATRIZ_174!P25="PENDIENTE"),65,40)</f>
        <v>65</v>
      </c>
      <c r="Z26" s="19">
        <f t="shared" si="5"/>
        <v>0</v>
      </c>
      <c r="AA26" s="20">
        <f t="shared" si="6"/>
        <v>44</v>
      </c>
      <c r="AB26" s="21">
        <f t="shared" si="7"/>
        <v>44</v>
      </c>
      <c r="AC26" s="13" t="str">
        <f t="shared" si="8"/>
        <v>⬜  Riesgo Latente</v>
      </c>
      <c r="AD26" s="13" t="str">
        <f t="shared" si="9"/>
        <v>🚫  Inh. vigente OSCE</v>
      </c>
      <c r="AE26" s="22">
        <f>IFERROR(MATRIZ_174!W25,0)</f>
        <v>0</v>
      </c>
      <c r="AF26" s="22">
        <f>IFERROR(MATRIZ_174!X25,0)</f>
        <v>0</v>
      </c>
      <c r="AG26" s="22">
        <f>IFERROR(MATRIZ_174!Y25,0)</f>
        <v>0</v>
      </c>
      <c r="AH26" s="22">
        <f>IFERROR(MATRIZ_174!Z25,0)</f>
        <v>0</v>
      </c>
      <c r="AI26" s="17">
        <f>IFERROR(MATRIZ_174!AP25,"N/A")</f>
        <v>0</v>
      </c>
      <c r="AJ26" s="17">
        <f>IFERROR(MATRIZ_174!AO25,"N/A")</f>
        <v>0</v>
      </c>
      <c r="AK26" s="23">
        <f t="shared" si="10"/>
        <v>0</v>
      </c>
      <c r="AL26" s="24">
        <f t="shared" si="11"/>
        <v>0</v>
      </c>
    </row>
    <row r="27" spans="1:38" ht="16.05" customHeight="1" x14ac:dyDescent="0.3">
      <c r="A27" s="13" t="s">
        <v>117</v>
      </c>
      <c r="B27" s="14" t="s">
        <v>118</v>
      </c>
      <c r="C27" s="13" t="s">
        <v>100</v>
      </c>
      <c r="D27" s="15">
        <v>0</v>
      </c>
      <c r="E27" s="16">
        <v>0</v>
      </c>
      <c r="F27" s="17">
        <f>IFERROR(SCORECARDS!H26,"")</f>
        <v>0</v>
      </c>
      <c r="G27" s="17">
        <f>IFERROR(MATRIZ_174!U26,0)</f>
        <v>0</v>
      </c>
      <c r="H27" s="16">
        <v>0</v>
      </c>
      <c r="I27" s="17">
        <f>IFERROR(SCORECARDS!I26,"")</f>
        <v>0</v>
      </c>
      <c r="J27" s="17">
        <f>IFERROR(SCORECARDS!J26,"")</f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7">
        <f t="shared" si="0"/>
        <v>0</v>
      </c>
      <c r="Q27" s="17">
        <f t="shared" si="1"/>
        <v>0</v>
      </c>
      <c r="R27" s="17">
        <f t="shared" si="2"/>
        <v>0</v>
      </c>
      <c r="S27" s="17">
        <f t="shared" si="3"/>
        <v>0</v>
      </c>
      <c r="T27" s="17">
        <f>IFERROR((K27+M27+MATRIZ_174!O26)/3,0)</f>
        <v>0</v>
      </c>
      <c r="U27" s="18">
        <f>IFERROR(MATRIZ_174!AP26*50,0)</f>
        <v>0</v>
      </c>
      <c r="V27" s="18">
        <f t="shared" si="4"/>
        <v>50</v>
      </c>
      <c r="W27" s="18">
        <f>IF(MATRIZ_174!R26&gt;0,65,35)</f>
        <v>35</v>
      </c>
      <c r="X27" s="18">
        <f>IF(MATRIZ_174!O26=0,70,30)</f>
        <v>70</v>
      </c>
      <c r="Y27" s="18">
        <f>IF(OR(MATRIZ_174!P26="ASOCIACION",MATRIZ_174!P26="PENDIENTE"),65,40)</f>
        <v>65</v>
      </c>
      <c r="Z27" s="19">
        <f t="shared" si="5"/>
        <v>0</v>
      </c>
      <c r="AA27" s="20">
        <f t="shared" si="6"/>
        <v>44</v>
      </c>
      <c r="AB27" s="21">
        <f t="shared" si="7"/>
        <v>44</v>
      </c>
      <c r="AC27" s="13" t="str">
        <f t="shared" si="8"/>
        <v>⬜  Riesgo Latente</v>
      </c>
      <c r="AD27" s="13" t="str">
        <f t="shared" si="9"/>
        <v>🚫  Inh. vigente OSCE</v>
      </c>
      <c r="AE27" s="22">
        <f>IFERROR(MATRIZ_174!W26,0)</f>
        <v>0</v>
      </c>
      <c r="AF27" s="22">
        <f>IFERROR(MATRIZ_174!X26,0)</f>
        <v>0</v>
      </c>
      <c r="AG27" s="22">
        <f>IFERROR(MATRIZ_174!Y26,0)</f>
        <v>0</v>
      </c>
      <c r="AH27" s="22">
        <f>IFERROR(MATRIZ_174!Z26,0)</f>
        <v>0</v>
      </c>
      <c r="AI27" s="17">
        <f>IFERROR(MATRIZ_174!AP26,"N/A")</f>
        <v>0</v>
      </c>
      <c r="AJ27" s="17">
        <f>IFERROR(MATRIZ_174!AO26,"N/A")</f>
        <v>0</v>
      </c>
      <c r="AK27" s="23">
        <f t="shared" si="10"/>
        <v>0</v>
      </c>
      <c r="AL27" s="24">
        <f t="shared" si="11"/>
        <v>0</v>
      </c>
    </row>
    <row r="28" spans="1:38" ht="16.05" customHeight="1" x14ac:dyDescent="0.3">
      <c r="A28" s="13" t="s">
        <v>119</v>
      </c>
      <c r="B28" s="14" t="s">
        <v>120</v>
      </c>
      <c r="C28" s="13" t="s">
        <v>100</v>
      </c>
      <c r="D28" s="15">
        <v>0</v>
      </c>
      <c r="E28" s="16">
        <v>0</v>
      </c>
      <c r="F28" s="17">
        <f>IFERROR(SCORECARDS!H27,"")</f>
        <v>0</v>
      </c>
      <c r="G28" s="17">
        <f>IFERROR(MATRIZ_174!U27,0)</f>
        <v>0</v>
      </c>
      <c r="H28" s="16">
        <v>0</v>
      </c>
      <c r="I28" s="17">
        <f>IFERROR(SCORECARDS!I27,"")</f>
        <v>0</v>
      </c>
      <c r="J28" s="17">
        <f>IFERROR(SCORECARDS!J27,"")</f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7">
        <f t="shared" si="0"/>
        <v>0</v>
      </c>
      <c r="Q28" s="17">
        <f t="shared" si="1"/>
        <v>0</v>
      </c>
      <c r="R28" s="17">
        <f t="shared" si="2"/>
        <v>0</v>
      </c>
      <c r="S28" s="17">
        <f t="shared" si="3"/>
        <v>0</v>
      </c>
      <c r="T28" s="17">
        <f>IFERROR((K28+M28+MATRIZ_174!O27)/3,0)</f>
        <v>0</v>
      </c>
      <c r="U28" s="18">
        <f>IFERROR(MATRIZ_174!AP27*50,0)</f>
        <v>0</v>
      </c>
      <c r="V28" s="18">
        <f t="shared" si="4"/>
        <v>50</v>
      </c>
      <c r="W28" s="18">
        <f>IF(MATRIZ_174!R27&gt;0,65,35)</f>
        <v>35</v>
      </c>
      <c r="X28" s="18">
        <f>IF(MATRIZ_174!O27=0,70,30)</f>
        <v>70</v>
      </c>
      <c r="Y28" s="18">
        <f>IF(OR(MATRIZ_174!P27="ASOCIACION",MATRIZ_174!P27="PENDIENTE"),65,40)</f>
        <v>65</v>
      </c>
      <c r="Z28" s="19">
        <f t="shared" si="5"/>
        <v>0</v>
      </c>
      <c r="AA28" s="20">
        <f t="shared" si="6"/>
        <v>44</v>
      </c>
      <c r="AB28" s="21">
        <f t="shared" si="7"/>
        <v>44</v>
      </c>
      <c r="AC28" s="13" t="str">
        <f t="shared" si="8"/>
        <v>⬜  Riesgo Latente</v>
      </c>
      <c r="AD28" s="13" t="str">
        <f t="shared" si="9"/>
        <v>🚫  Inh. vigente OSCE</v>
      </c>
      <c r="AE28" s="22">
        <f>IFERROR(MATRIZ_174!W27,0)</f>
        <v>0</v>
      </c>
      <c r="AF28" s="22">
        <f>IFERROR(MATRIZ_174!X27,0)</f>
        <v>0</v>
      </c>
      <c r="AG28" s="22">
        <f>IFERROR(MATRIZ_174!Y27,0)</f>
        <v>0</v>
      </c>
      <c r="AH28" s="22">
        <f>IFERROR(MATRIZ_174!Z27,0)</f>
        <v>0</v>
      </c>
      <c r="AI28" s="17">
        <f>IFERROR(MATRIZ_174!AP27,"N/A")</f>
        <v>0</v>
      </c>
      <c r="AJ28" s="17">
        <f>IFERROR(MATRIZ_174!AO27,"N/A")</f>
        <v>0</v>
      </c>
      <c r="AK28" s="23">
        <f t="shared" si="10"/>
        <v>0</v>
      </c>
      <c r="AL28" s="24">
        <f t="shared" si="11"/>
        <v>0</v>
      </c>
    </row>
    <row r="29" spans="1:38" ht="16.05" customHeight="1" x14ac:dyDescent="0.3">
      <c r="A29" s="13" t="s">
        <v>121</v>
      </c>
      <c r="B29" s="14" t="s">
        <v>122</v>
      </c>
      <c r="C29" s="13" t="s">
        <v>100</v>
      </c>
      <c r="D29" s="15">
        <v>0</v>
      </c>
      <c r="E29" s="16">
        <v>0</v>
      </c>
      <c r="F29" s="17">
        <f>IFERROR(SCORECARDS!H28,"")</f>
        <v>0</v>
      </c>
      <c r="G29" s="17">
        <f>IFERROR(MATRIZ_174!U28,0)</f>
        <v>0</v>
      </c>
      <c r="H29" s="16">
        <v>0</v>
      </c>
      <c r="I29" s="17">
        <f>IFERROR(SCORECARDS!I28,"")</f>
        <v>0</v>
      </c>
      <c r="J29" s="17">
        <f>IFERROR(SCORECARDS!J28,"")</f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7">
        <f t="shared" si="0"/>
        <v>0</v>
      </c>
      <c r="Q29" s="17">
        <f t="shared" si="1"/>
        <v>0</v>
      </c>
      <c r="R29" s="17">
        <f t="shared" si="2"/>
        <v>0</v>
      </c>
      <c r="S29" s="17">
        <f t="shared" si="3"/>
        <v>0</v>
      </c>
      <c r="T29" s="17">
        <f>IFERROR((K29+M29+MATRIZ_174!O28)/3,0)</f>
        <v>0</v>
      </c>
      <c r="U29" s="18">
        <f>IFERROR(MATRIZ_174!AP28*50,0)</f>
        <v>0</v>
      </c>
      <c r="V29" s="18">
        <f t="shared" si="4"/>
        <v>50</v>
      </c>
      <c r="W29" s="18">
        <f>IF(MATRIZ_174!R28&gt;0,65,35)</f>
        <v>35</v>
      </c>
      <c r="X29" s="18">
        <f>IF(MATRIZ_174!O28=0,70,30)</f>
        <v>70</v>
      </c>
      <c r="Y29" s="18">
        <f>IF(OR(MATRIZ_174!P28="ASOCIACION",MATRIZ_174!P28="PENDIENTE"),65,40)</f>
        <v>65</v>
      </c>
      <c r="Z29" s="19">
        <f t="shared" si="5"/>
        <v>0</v>
      </c>
      <c r="AA29" s="20">
        <f t="shared" si="6"/>
        <v>44</v>
      </c>
      <c r="AB29" s="21">
        <f t="shared" si="7"/>
        <v>44</v>
      </c>
      <c r="AC29" s="13" t="str">
        <f t="shared" si="8"/>
        <v>⬜  Riesgo Latente</v>
      </c>
      <c r="AD29" s="13" t="str">
        <f t="shared" si="9"/>
        <v>🚫  Inh. vigente OSCE</v>
      </c>
      <c r="AE29" s="22">
        <f>IFERROR(MATRIZ_174!W28,0)</f>
        <v>0</v>
      </c>
      <c r="AF29" s="22">
        <f>IFERROR(MATRIZ_174!X28,0)</f>
        <v>0</v>
      </c>
      <c r="AG29" s="22">
        <f>IFERROR(MATRIZ_174!Y28,0)</f>
        <v>0</v>
      </c>
      <c r="AH29" s="22">
        <f>IFERROR(MATRIZ_174!Z28,0)</f>
        <v>0</v>
      </c>
      <c r="AI29" s="17">
        <f>IFERROR(MATRIZ_174!AP28,"N/A")</f>
        <v>0</v>
      </c>
      <c r="AJ29" s="17">
        <f>IFERROR(MATRIZ_174!AO28,"N/A")</f>
        <v>0</v>
      </c>
      <c r="AK29" s="23">
        <f t="shared" si="10"/>
        <v>0</v>
      </c>
      <c r="AL29" s="24">
        <f t="shared" si="11"/>
        <v>0</v>
      </c>
    </row>
    <row r="30" spans="1:38" ht="16.05" customHeight="1" x14ac:dyDescent="0.3">
      <c r="A30" s="13" t="s">
        <v>123</v>
      </c>
      <c r="B30" s="14" t="s">
        <v>124</v>
      </c>
      <c r="C30" s="13" t="s">
        <v>100</v>
      </c>
      <c r="D30" s="15">
        <v>0</v>
      </c>
      <c r="E30" s="16">
        <v>0</v>
      </c>
      <c r="F30" s="17">
        <f>IFERROR(SCORECARDS!H29,"")</f>
        <v>0</v>
      </c>
      <c r="G30" s="17">
        <f>IFERROR(MATRIZ_174!U29,0)</f>
        <v>0</v>
      </c>
      <c r="H30" s="16">
        <v>0</v>
      </c>
      <c r="I30" s="17">
        <f>IFERROR(SCORECARDS!I29,"")</f>
        <v>0</v>
      </c>
      <c r="J30" s="17">
        <f>IFERROR(SCORECARDS!J29,"")</f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7">
        <f t="shared" si="0"/>
        <v>0</v>
      </c>
      <c r="Q30" s="17">
        <f t="shared" si="1"/>
        <v>0</v>
      </c>
      <c r="R30" s="17">
        <f t="shared" si="2"/>
        <v>0</v>
      </c>
      <c r="S30" s="17">
        <f t="shared" si="3"/>
        <v>0</v>
      </c>
      <c r="T30" s="17">
        <f>IFERROR((K30+M30+MATRIZ_174!O29)/3,0)</f>
        <v>0</v>
      </c>
      <c r="U30" s="18">
        <f>IFERROR(MATRIZ_174!AP29*50,0)</f>
        <v>0</v>
      </c>
      <c r="V30" s="18">
        <f t="shared" si="4"/>
        <v>50</v>
      </c>
      <c r="W30" s="18">
        <f>IF(MATRIZ_174!R29&gt;0,65,35)</f>
        <v>35</v>
      </c>
      <c r="X30" s="18">
        <f>IF(MATRIZ_174!O29=0,70,30)</f>
        <v>70</v>
      </c>
      <c r="Y30" s="18">
        <f>IF(OR(MATRIZ_174!P29="ASOCIACION",MATRIZ_174!P29="PENDIENTE"),65,40)</f>
        <v>65</v>
      </c>
      <c r="Z30" s="19">
        <f t="shared" si="5"/>
        <v>0</v>
      </c>
      <c r="AA30" s="20">
        <f t="shared" si="6"/>
        <v>44</v>
      </c>
      <c r="AB30" s="21">
        <f t="shared" si="7"/>
        <v>44</v>
      </c>
      <c r="AC30" s="13" t="str">
        <f t="shared" si="8"/>
        <v>⬜  Riesgo Latente</v>
      </c>
      <c r="AD30" s="13" t="str">
        <f t="shared" si="9"/>
        <v>🚫  Inh. vigente OSCE</v>
      </c>
      <c r="AE30" s="22">
        <f>IFERROR(MATRIZ_174!W29,0)</f>
        <v>0</v>
      </c>
      <c r="AF30" s="22">
        <f>IFERROR(MATRIZ_174!X29,0)</f>
        <v>0</v>
      </c>
      <c r="AG30" s="22">
        <f>IFERROR(MATRIZ_174!Y29,0)</f>
        <v>0</v>
      </c>
      <c r="AH30" s="22">
        <f>IFERROR(MATRIZ_174!Z29,0)</f>
        <v>0</v>
      </c>
      <c r="AI30" s="17">
        <f>IFERROR(MATRIZ_174!AP29,"N/A")</f>
        <v>0</v>
      </c>
      <c r="AJ30" s="17">
        <f>IFERROR(MATRIZ_174!AO29,"N/A")</f>
        <v>0</v>
      </c>
      <c r="AK30" s="23">
        <f t="shared" si="10"/>
        <v>0</v>
      </c>
      <c r="AL30" s="24">
        <f t="shared" si="11"/>
        <v>0</v>
      </c>
    </row>
    <row r="31" spans="1:38" ht="16.05" customHeight="1" x14ac:dyDescent="0.3">
      <c r="A31" s="13" t="s">
        <v>125</v>
      </c>
      <c r="B31" s="14" t="s">
        <v>126</v>
      </c>
      <c r="C31" s="13" t="s">
        <v>65</v>
      </c>
      <c r="D31" s="15">
        <v>0</v>
      </c>
      <c r="E31" s="16">
        <v>0</v>
      </c>
      <c r="F31" s="17">
        <f>IFERROR(SCORECARDS!H30,"")</f>
        <v>0</v>
      </c>
      <c r="G31" s="17">
        <f>IFERROR(MATRIZ_174!U30,0)</f>
        <v>0</v>
      </c>
      <c r="H31" s="16">
        <v>0</v>
      </c>
      <c r="I31" s="17">
        <f>IFERROR(SCORECARDS!I30,"")</f>
        <v>0</v>
      </c>
      <c r="J31" s="17">
        <f>IFERROR(SCORECARDS!J30,"")</f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7">
        <f t="shared" si="0"/>
        <v>0</v>
      </c>
      <c r="Q31" s="17">
        <f t="shared" si="1"/>
        <v>0</v>
      </c>
      <c r="R31" s="17">
        <f t="shared" si="2"/>
        <v>0</v>
      </c>
      <c r="S31" s="17">
        <f t="shared" si="3"/>
        <v>0</v>
      </c>
      <c r="T31" s="17">
        <f>IFERROR((K31+M31+MATRIZ_174!O30)/3,0)</f>
        <v>0</v>
      </c>
      <c r="U31" s="18">
        <f>IFERROR(MATRIZ_174!AP30*50,0)</f>
        <v>0</v>
      </c>
      <c r="V31" s="18">
        <f t="shared" si="4"/>
        <v>50</v>
      </c>
      <c r="W31" s="18">
        <f>IF(MATRIZ_174!R30&gt;0,65,35)</f>
        <v>35</v>
      </c>
      <c r="X31" s="18">
        <f>IF(MATRIZ_174!O30=0,70,30)</f>
        <v>70</v>
      </c>
      <c r="Y31" s="18">
        <f>IF(OR(MATRIZ_174!P30="ASOCIACION",MATRIZ_174!P30="PENDIENTE"),65,40)</f>
        <v>65</v>
      </c>
      <c r="Z31" s="19">
        <f t="shared" si="5"/>
        <v>0</v>
      </c>
      <c r="AA31" s="20">
        <f t="shared" si="6"/>
        <v>44</v>
      </c>
      <c r="AB31" s="21">
        <f t="shared" si="7"/>
        <v>44</v>
      </c>
      <c r="AC31" s="13" t="str">
        <f t="shared" si="8"/>
        <v>⬜  Riesgo Latente</v>
      </c>
      <c r="AD31" s="13" t="str">
        <f t="shared" si="9"/>
        <v>🚫  Inh. vigente OSCE</v>
      </c>
      <c r="AE31" s="22">
        <f>IFERROR(MATRIZ_174!W30,0)</f>
        <v>0</v>
      </c>
      <c r="AF31" s="22">
        <f>IFERROR(MATRIZ_174!X30,0)</f>
        <v>0</v>
      </c>
      <c r="AG31" s="22">
        <f>IFERROR(MATRIZ_174!Y30,0)</f>
        <v>0</v>
      </c>
      <c r="AH31" s="22">
        <f>IFERROR(MATRIZ_174!Z30,0)</f>
        <v>0</v>
      </c>
      <c r="AI31" s="17">
        <f>IFERROR(MATRIZ_174!AP30,"N/A")</f>
        <v>0</v>
      </c>
      <c r="AJ31" s="17">
        <f>IFERROR(MATRIZ_174!AO30,"N/A")</f>
        <v>0</v>
      </c>
      <c r="AK31" s="23">
        <f t="shared" si="10"/>
        <v>0</v>
      </c>
      <c r="AL31" s="24">
        <f t="shared" si="11"/>
        <v>0</v>
      </c>
    </row>
    <row r="32" spans="1:38" ht="16.05" customHeight="1" x14ac:dyDescent="0.3">
      <c r="A32" s="13" t="s">
        <v>127</v>
      </c>
      <c r="B32" s="14" t="s">
        <v>128</v>
      </c>
      <c r="C32" s="13" t="s">
        <v>129</v>
      </c>
      <c r="D32" s="15">
        <v>0</v>
      </c>
      <c r="E32" s="16">
        <v>0</v>
      </c>
      <c r="F32" s="17">
        <f>IFERROR(SCORECARDS!H31,"")</f>
        <v>0</v>
      </c>
      <c r="G32" s="17">
        <f>IFERROR(MATRIZ_174!U31,0)</f>
        <v>0</v>
      </c>
      <c r="H32" s="16">
        <v>0</v>
      </c>
      <c r="I32" s="17">
        <f>IFERROR(SCORECARDS!I31,"")</f>
        <v>0</v>
      </c>
      <c r="J32" s="17">
        <f>IFERROR(SCORECARDS!J31,"")</f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7">
        <f t="shared" si="0"/>
        <v>0</v>
      </c>
      <c r="Q32" s="17">
        <f t="shared" si="1"/>
        <v>0</v>
      </c>
      <c r="R32" s="17">
        <f t="shared" si="2"/>
        <v>0</v>
      </c>
      <c r="S32" s="17">
        <f t="shared" si="3"/>
        <v>0</v>
      </c>
      <c r="T32" s="17">
        <f>IFERROR((K32+M32+MATRIZ_174!O31)/3,0)</f>
        <v>0</v>
      </c>
      <c r="U32" s="18">
        <f>IFERROR(MATRIZ_174!AP31*50,0)</f>
        <v>0</v>
      </c>
      <c r="V32" s="18">
        <f t="shared" si="4"/>
        <v>50</v>
      </c>
      <c r="W32" s="18">
        <f>IF(MATRIZ_174!R31&gt;0,65,35)</f>
        <v>35</v>
      </c>
      <c r="X32" s="18">
        <f>IF(MATRIZ_174!O31=0,70,30)</f>
        <v>70</v>
      </c>
      <c r="Y32" s="18">
        <f>IF(OR(MATRIZ_174!P31="ASOCIACION",MATRIZ_174!P31="PENDIENTE"),65,40)</f>
        <v>65</v>
      </c>
      <c r="Z32" s="19">
        <f t="shared" si="5"/>
        <v>0</v>
      </c>
      <c r="AA32" s="20">
        <f t="shared" si="6"/>
        <v>44</v>
      </c>
      <c r="AB32" s="21">
        <f t="shared" si="7"/>
        <v>44</v>
      </c>
      <c r="AC32" s="13" t="str">
        <f t="shared" si="8"/>
        <v>⬜  Riesgo Latente</v>
      </c>
      <c r="AD32" s="13" t="str">
        <f t="shared" si="9"/>
        <v>🚫  Inh. vigente OSCE</v>
      </c>
      <c r="AE32" s="22">
        <f>IFERROR(MATRIZ_174!W31,0)</f>
        <v>0</v>
      </c>
      <c r="AF32" s="22">
        <f>IFERROR(MATRIZ_174!X31,0)</f>
        <v>0</v>
      </c>
      <c r="AG32" s="22">
        <f>IFERROR(MATRIZ_174!Y31,0)</f>
        <v>0</v>
      </c>
      <c r="AH32" s="22">
        <f>IFERROR(MATRIZ_174!Z31,0)</f>
        <v>0</v>
      </c>
      <c r="AI32" s="17">
        <f>IFERROR(MATRIZ_174!AP31,"N/A")</f>
        <v>0</v>
      </c>
      <c r="AJ32" s="17">
        <f>IFERROR(MATRIZ_174!AO31,"N/A")</f>
        <v>0</v>
      </c>
      <c r="AK32" s="23">
        <f t="shared" si="10"/>
        <v>0</v>
      </c>
      <c r="AL32" s="24">
        <f t="shared" si="11"/>
        <v>0</v>
      </c>
    </row>
    <row r="33" spans="1:38" ht="16.05" customHeight="1" x14ac:dyDescent="0.3">
      <c r="A33" s="13" t="s">
        <v>130</v>
      </c>
      <c r="B33" s="14" t="s">
        <v>131</v>
      </c>
      <c r="C33" s="13" t="s">
        <v>129</v>
      </c>
      <c r="D33" s="15">
        <v>0</v>
      </c>
      <c r="E33" s="16">
        <v>0</v>
      </c>
      <c r="F33" s="17">
        <f>IFERROR(SCORECARDS!H32,"")</f>
        <v>0</v>
      </c>
      <c r="G33" s="17">
        <f>IFERROR(MATRIZ_174!U32,0)</f>
        <v>0</v>
      </c>
      <c r="H33" s="16">
        <v>0</v>
      </c>
      <c r="I33" s="17">
        <f>IFERROR(SCORECARDS!I32,"")</f>
        <v>0</v>
      </c>
      <c r="J33" s="17">
        <f>IFERROR(SCORECARDS!J32,"")</f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7">
        <f t="shared" si="0"/>
        <v>0</v>
      </c>
      <c r="Q33" s="17">
        <f t="shared" si="1"/>
        <v>0</v>
      </c>
      <c r="R33" s="17">
        <f t="shared" si="2"/>
        <v>0</v>
      </c>
      <c r="S33" s="17">
        <f t="shared" si="3"/>
        <v>0</v>
      </c>
      <c r="T33" s="17">
        <f>IFERROR((K33+M33+MATRIZ_174!O32)/3,0)</f>
        <v>0</v>
      </c>
      <c r="U33" s="18">
        <f>IFERROR(MATRIZ_174!AP32*50,0)</f>
        <v>0</v>
      </c>
      <c r="V33" s="18">
        <f t="shared" si="4"/>
        <v>50</v>
      </c>
      <c r="W33" s="18">
        <f>IF(MATRIZ_174!R32&gt;0,65,35)</f>
        <v>35</v>
      </c>
      <c r="X33" s="18">
        <f>IF(MATRIZ_174!O32=0,70,30)</f>
        <v>70</v>
      </c>
      <c r="Y33" s="18">
        <f>IF(OR(MATRIZ_174!P32="ASOCIACION",MATRIZ_174!P32="PENDIENTE"),65,40)</f>
        <v>65</v>
      </c>
      <c r="Z33" s="19">
        <f t="shared" si="5"/>
        <v>0</v>
      </c>
      <c r="AA33" s="20">
        <f t="shared" si="6"/>
        <v>44</v>
      </c>
      <c r="AB33" s="21">
        <f t="shared" si="7"/>
        <v>44</v>
      </c>
      <c r="AC33" s="13" t="str">
        <f t="shared" si="8"/>
        <v>⬜  Riesgo Latente</v>
      </c>
      <c r="AD33" s="13" t="str">
        <f t="shared" si="9"/>
        <v>🚫  Inh. vigente OSCE</v>
      </c>
      <c r="AE33" s="22">
        <f>IFERROR(MATRIZ_174!W32,0)</f>
        <v>0</v>
      </c>
      <c r="AF33" s="22">
        <f>IFERROR(MATRIZ_174!X32,0)</f>
        <v>0</v>
      </c>
      <c r="AG33" s="22">
        <f>IFERROR(MATRIZ_174!Y32,0)</f>
        <v>0</v>
      </c>
      <c r="AH33" s="22">
        <f>IFERROR(MATRIZ_174!Z32,0)</f>
        <v>0</v>
      </c>
      <c r="AI33" s="17">
        <f>IFERROR(MATRIZ_174!AP32,"N/A")</f>
        <v>0</v>
      </c>
      <c r="AJ33" s="17">
        <f>IFERROR(MATRIZ_174!AO32,"N/A")</f>
        <v>0</v>
      </c>
      <c r="AK33" s="23">
        <f t="shared" si="10"/>
        <v>0</v>
      </c>
      <c r="AL33" s="24">
        <f t="shared" si="11"/>
        <v>0</v>
      </c>
    </row>
    <row r="34" spans="1:38" ht="16.05" customHeight="1" x14ac:dyDescent="0.3">
      <c r="A34" s="13" t="s">
        <v>132</v>
      </c>
      <c r="B34" s="14" t="s">
        <v>133</v>
      </c>
      <c r="C34" s="13" t="s">
        <v>129</v>
      </c>
      <c r="D34" s="15">
        <v>0</v>
      </c>
      <c r="E34" s="16">
        <v>0</v>
      </c>
      <c r="F34" s="17">
        <f>IFERROR(SCORECARDS!H33,"")</f>
        <v>0</v>
      </c>
      <c r="G34" s="17">
        <f>IFERROR(MATRIZ_174!U33,0)</f>
        <v>0</v>
      </c>
      <c r="H34" s="16">
        <v>0</v>
      </c>
      <c r="I34" s="17">
        <f>IFERROR(SCORECARDS!I33,"")</f>
        <v>0</v>
      </c>
      <c r="J34" s="17">
        <f>IFERROR(SCORECARDS!J33,"")</f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7">
        <f t="shared" si="0"/>
        <v>0</v>
      </c>
      <c r="Q34" s="17">
        <f t="shared" si="1"/>
        <v>0</v>
      </c>
      <c r="R34" s="17">
        <f t="shared" si="2"/>
        <v>0</v>
      </c>
      <c r="S34" s="17">
        <f t="shared" si="3"/>
        <v>0</v>
      </c>
      <c r="T34" s="17">
        <f>IFERROR((K34+M34+MATRIZ_174!O33)/3,0)</f>
        <v>0</v>
      </c>
      <c r="U34" s="18">
        <f>IFERROR(MATRIZ_174!AP33*50,0)</f>
        <v>0</v>
      </c>
      <c r="V34" s="18">
        <f t="shared" si="4"/>
        <v>50</v>
      </c>
      <c r="W34" s="18">
        <f>IF(MATRIZ_174!R33&gt;0,65,35)</f>
        <v>35</v>
      </c>
      <c r="X34" s="18">
        <f>IF(MATRIZ_174!O33=0,70,30)</f>
        <v>70</v>
      </c>
      <c r="Y34" s="18">
        <f>IF(OR(MATRIZ_174!P33="ASOCIACION",MATRIZ_174!P33="PENDIENTE"),65,40)</f>
        <v>65</v>
      </c>
      <c r="Z34" s="19">
        <f t="shared" si="5"/>
        <v>0</v>
      </c>
      <c r="AA34" s="20">
        <f t="shared" si="6"/>
        <v>44</v>
      </c>
      <c r="AB34" s="21">
        <f t="shared" si="7"/>
        <v>44</v>
      </c>
      <c r="AC34" s="13" t="str">
        <f t="shared" si="8"/>
        <v>⬜  Riesgo Latente</v>
      </c>
      <c r="AD34" s="13" t="str">
        <f t="shared" si="9"/>
        <v>🚫  Inh. vigente OSCE</v>
      </c>
      <c r="AE34" s="22">
        <f>IFERROR(MATRIZ_174!W33,0)</f>
        <v>0</v>
      </c>
      <c r="AF34" s="22">
        <f>IFERROR(MATRIZ_174!X33,0)</f>
        <v>0</v>
      </c>
      <c r="AG34" s="22">
        <f>IFERROR(MATRIZ_174!Y33,0)</f>
        <v>0</v>
      </c>
      <c r="AH34" s="22">
        <f>IFERROR(MATRIZ_174!Z33,0)</f>
        <v>0</v>
      </c>
      <c r="AI34" s="17">
        <f>IFERROR(MATRIZ_174!AP33,"N/A")</f>
        <v>0</v>
      </c>
      <c r="AJ34" s="17">
        <f>IFERROR(MATRIZ_174!AO33,"N/A")</f>
        <v>0</v>
      </c>
      <c r="AK34" s="23">
        <f t="shared" si="10"/>
        <v>0</v>
      </c>
      <c r="AL34" s="24">
        <f t="shared" si="11"/>
        <v>0</v>
      </c>
    </row>
    <row r="35" spans="1:38" ht="16.05" customHeight="1" x14ac:dyDescent="0.3">
      <c r="A35" s="13" t="s">
        <v>134</v>
      </c>
      <c r="B35" s="14" t="s">
        <v>135</v>
      </c>
      <c r="C35" s="13" t="s">
        <v>129</v>
      </c>
      <c r="D35" s="15">
        <v>0</v>
      </c>
      <c r="E35" s="16">
        <v>0</v>
      </c>
      <c r="F35" s="17">
        <f>IFERROR(SCORECARDS!H34,"")</f>
        <v>0</v>
      </c>
      <c r="G35" s="17">
        <f>IFERROR(MATRIZ_174!U34,0)</f>
        <v>0</v>
      </c>
      <c r="H35" s="16">
        <v>0</v>
      </c>
      <c r="I35" s="17">
        <f>IFERROR(SCORECARDS!I34,"")</f>
        <v>0</v>
      </c>
      <c r="J35" s="17">
        <f>IFERROR(SCORECARDS!J34,"")</f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7">
        <f t="shared" si="0"/>
        <v>0</v>
      </c>
      <c r="Q35" s="17">
        <f t="shared" si="1"/>
        <v>0</v>
      </c>
      <c r="R35" s="17">
        <f t="shared" si="2"/>
        <v>0</v>
      </c>
      <c r="S35" s="17">
        <f t="shared" si="3"/>
        <v>0</v>
      </c>
      <c r="T35" s="17">
        <f>IFERROR((K35+M35+MATRIZ_174!O34)/3,0)</f>
        <v>0</v>
      </c>
      <c r="U35" s="18">
        <f>IFERROR(MATRIZ_174!AP34*50,0)</f>
        <v>0</v>
      </c>
      <c r="V35" s="18">
        <f t="shared" si="4"/>
        <v>50</v>
      </c>
      <c r="W35" s="18">
        <f>IF(MATRIZ_174!R34&gt;0,65,35)</f>
        <v>35</v>
      </c>
      <c r="X35" s="18">
        <f>IF(MATRIZ_174!O34=0,70,30)</f>
        <v>70</v>
      </c>
      <c r="Y35" s="18">
        <f>IF(OR(MATRIZ_174!P34="ASOCIACION",MATRIZ_174!P34="PENDIENTE"),65,40)</f>
        <v>65</v>
      </c>
      <c r="Z35" s="19">
        <f t="shared" si="5"/>
        <v>0</v>
      </c>
      <c r="AA35" s="20">
        <f t="shared" si="6"/>
        <v>44</v>
      </c>
      <c r="AB35" s="21">
        <f t="shared" si="7"/>
        <v>44</v>
      </c>
      <c r="AC35" s="13" t="str">
        <f t="shared" si="8"/>
        <v>⬜  Riesgo Latente</v>
      </c>
      <c r="AD35" s="13" t="str">
        <f t="shared" si="9"/>
        <v>🚫  Inh. vigente OSCE</v>
      </c>
      <c r="AE35" s="22">
        <f>IFERROR(MATRIZ_174!W34,0)</f>
        <v>0</v>
      </c>
      <c r="AF35" s="22">
        <f>IFERROR(MATRIZ_174!X34,0)</f>
        <v>0</v>
      </c>
      <c r="AG35" s="22">
        <f>IFERROR(MATRIZ_174!Y34,0)</f>
        <v>0</v>
      </c>
      <c r="AH35" s="22">
        <f>IFERROR(MATRIZ_174!Z34,0)</f>
        <v>0</v>
      </c>
      <c r="AI35" s="17">
        <f>IFERROR(MATRIZ_174!AP34,"N/A")</f>
        <v>0</v>
      </c>
      <c r="AJ35" s="17">
        <f>IFERROR(MATRIZ_174!AO34,"N/A")</f>
        <v>0</v>
      </c>
      <c r="AK35" s="23">
        <f t="shared" si="10"/>
        <v>0</v>
      </c>
      <c r="AL35" s="24">
        <f t="shared" si="11"/>
        <v>0</v>
      </c>
    </row>
    <row r="36" spans="1:38" ht="16.05" customHeight="1" x14ac:dyDescent="0.3">
      <c r="A36" s="13" t="s">
        <v>136</v>
      </c>
      <c r="B36" s="14" t="s">
        <v>137</v>
      </c>
      <c r="C36" s="13" t="s">
        <v>74</v>
      </c>
      <c r="D36" s="15">
        <v>965726.35</v>
      </c>
      <c r="E36" s="16">
        <v>0</v>
      </c>
      <c r="F36" s="17">
        <f>IFERROR(SCORECARDS!H35,"")</f>
        <v>0</v>
      </c>
      <c r="G36" s="17">
        <f>IFERROR(MATRIZ_174!U35,0)</f>
        <v>1</v>
      </c>
      <c r="H36" s="16">
        <v>0</v>
      </c>
      <c r="I36" s="17">
        <f>IFERROR(SCORECARDS!I35,"")</f>
        <v>0</v>
      </c>
      <c r="J36" s="17">
        <f>IFERROR(SCORECARDS!J35,"")</f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7">
        <f t="shared" ref="P36:P67" si="12">IFERROR(F36,0)</f>
        <v>0</v>
      </c>
      <c r="Q36" s="17">
        <f t="shared" ref="Q36:Q67" si="13">IFERROR(SQRT(G36*H36),0)</f>
        <v>0</v>
      </c>
      <c r="R36" s="17">
        <f t="shared" ref="R36:R67" si="14">IFERROR((I36+J36+L36)/3,0)</f>
        <v>0</v>
      </c>
      <c r="S36" s="17">
        <f t="shared" ref="S36:S67" si="15">IFERROR((J36+F36)/2,0)</f>
        <v>0</v>
      </c>
      <c r="T36" s="17">
        <f>IFERROR((K36+M36+MATRIZ_174!O35)/3,0)</f>
        <v>0</v>
      </c>
      <c r="U36" s="18">
        <f>IFERROR(MATRIZ_174!AP35*50,0)</f>
        <v>6.25</v>
      </c>
      <c r="V36" s="18">
        <f t="shared" ref="V36:V67" si="16">IFERROR(IF(E36=0,50,E36),0)</f>
        <v>50</v>
      </c>
      <c r="W36" s="18">
        <f>IF(MATRIZ_174!R35&gt;0,65,35)</f>
        <v>35</v>
      </c>
      <c r="X36" s="18">
        <f>IF(MATRIZ_174!O35=0,70,30)</f>
        <v>70</v>
      </c>
      <c r="Y36" s="18">
        <f>IF(OR(MATRIZ_174!P35="ASOCIACION",MATRIZ_174!P35="PENDIENTE"),65,40)</f>
        <v>65</v>
      </c>
      <c r="Z36" s="19">
        <f t="shared" ref="Z36:Z67" si="17">IFERROR(ROUND(AVERAGE(P36,Q36,R36,S36,T36),1),0)</f>
        <v>0</v>
      </c>
      <c r="AA36" s="20">
        <f t="shared" ref="AA36:AA67" si="18">IFERROR(ROUND(AVERAGE(U36,V36,W36,X36,Y36),1),0)</f>
        <v>45.3</v>
      </c>
      <c r="AB36" s="21">
        <f t="shared" ref="AB36:AB67" si="19">IFERROR(ROUND(AA36*(1-Z36/100),1),0)</f>
        <v>45.3</v>
      </c>
      <c r="AC36" s="13" t="str">
        <f t="shared" ref="AC36:AC67" si="20">IF(AND(Z36&gt;=50,AA36&lt;50),"🟢  Resilientes",IF(AND(Z36&gt;=50,AA36&gt;=50),"🟠  Expuestas Adaptables",IF(AND(Z36&lt;50,AA36&lt;50),"⬜  Riesgo Latente","🔴  Riesgo Crítico")))</f>
        <v>⬜  Riesgo Latente</v>
      </c>
      <c r="AD36" s="13" t="str">
        <f t="shared" ref="AD36:AD67" si="21">IF(G36=0,"🚫  Inh. vigente OSCE","")</f>
        <v/>
      </c>
      <c r="AE36" s="22">
        <f>IFERROR(MATRIZ_174!W35,0)</f>
        <v>1</v>
      </c>
      <c r="AF36" s="22">
        <f>IFERROR(MATRIZ_174!X35,0)</f>
        <v>0</v>
      </c>
      <c r="AG36" s="22">
        <f>IFERROR(MATRIZ_174!Y35,0)</f>
        <v>0</v>
      </c>
      <c r="AH36" s="22">
        <f>IFERROR(MATRIZ_174!Z35,0)</f>
        <v>0</v>
      </c>
      <c r="AI36" s="17">
        <f>IFERROR(MATRIZ_174!AP35,"N/A")</f>
        <v>0.125</v>
      </c>
      <c r="AJ36" s="17">
        <f>IFERROR(MATRIZ_174!AO35,"N/A")</f>
        <v>0</v>
      </c>
      <c r="AK36" s="23">
        <f t="shared" ref="AK36:AK67" si="22">IFERROR(ROUND(POWER((E36*F36*G36*H36*I36*J36*K36),1/7)*0.875+((L36+M36)/2)*0.125,1),"N/A")</f>
        <v>0</v>
      </c>
      <c r="AL36" s="24">
        <f t="shared" ref="AL36:AL67" si="23">IFERROR(IF(AK36="N/A","N/A",ROUND(0.7*AK36+0.3*AI36,1)),"N/A")</f>
        <v>0</v>
      </c>
    </row>
    <row r="37" spans="1:38" ht="16.05" customHeight="1" x14ac:dyDescent="0.3">
      <c r="A37" s="13" t="s">
        <v>138</v>
      </c>
      <c r="B37" s="14" t="s">
        <v>139</v>
      </c>
      <c r="C37" s="13" t="s">
        <v>140</v>
      </c>
      <c r="D37" s="15">
        <v>965167.45</v>
      </c>
      <c r="E37" s="16">
        <v>0</v>
      </c>
      <c r="F37" s="17">
        <f>IFERROR(SCORECARDS!H36,"")</f>
        <v>0</v>
      </c>
      <c r="G37" s="17">
        <f>IFERROR(MATRIZ_174!U36,0)</f>
        <v>1</v>
      </c>
      <c r="H37" s="16">
        <v>0</v>
      </c>
      <c r="I37" s="17">
        <f>IFERROR(SCORECARDS!I36,"")</f>
        <v>0</v>
      </c>
      <c r="J37" s="17">
        <f>IFERROR(SCORECARDS!J36,"")</f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7">
        <f t="shared" si="12"/>
        <v>0</v>
      </c>
      <c r="Q37" s="17">
        <f t="shared" si="13"/>
        <v>0</v>
      </c>
      <c r="R37" s="17">
        <f t="shared" si="14"/>
        <v>0</v>
      </c>
      <c r="S37" s="17">
        <f t="shared" si="15"/>
        <v>0</v>
      </c>
      <c r="T37" s="17">
        <f>IFERROR((K37+M37+MATRIZ_174!O36)/3,0)</f>
        <v>0.33333333333333331</v>
      </c>
      <c r="U37" s="18">
        <f>IFERROR(MATRIZ_174!AP36*50,0)</f>
        <v>6.25</v>
      </c>
      <c r="V37" s="18">
        <f t="shared" si="16"/>
        <v>50</v>
      </c>
      <c r="W37" s="18">
        <f>IF(MATRIZ_174!R36&gt;0,65,35)</f>
        <v>65</v>
      </c>
      <c r="X37" s="18">
        <f>IF(MATRIZ_174!O36=0,70,30)</f>
        <v>30</v>
      </c>
      <c r="Y37" s="18">
        <f>IF(OR(MATRIZ_174!P36="ASOCIACION",MATRIZ_174!P36="PENDIENTE"),65,40)</f>
        <v>65</v>
      </c>
      <c r="Z37" s="19">
        <f t="shared" si="17"/>
        <v>0.1</v>
      </c>
      <c r="AA37" s="20">
        <f t="shared" si="18"/>
        <v>43.3</v>
      </c>
      <c r="AB37" s="21">
        <f t="shared" si="19"/>
        <v>43.3</v>
      </c>
      <c r="AC37" s="13" t="str">
        <f t="shared" si="20"/>
        <v>⬜  Riesgo Latente</v>
      </c>
      <c r="AD37" s="13" t="str">
        <f t="shared" si="21"/>
        <v/>
      </c>
      <c r="AE37" s="22">
        <f>IFERROR(MATRIZ_174!W36,0)</f>
        <v>1</v>
      </c>
      <c r="AF37" s="22">
        <f>IFERROR(MATRIZ_174!X36,0)</f>
        <v>0</v>
      </c>
      <c r="AG37" s="22">
        <f>IFERROR(MATRIZ_174!Y36,0)</f>
        <v>0</v>
      </c>
      <c r="AH37" s="22">
        <f>IFERROR(MATRIZ_174!Z36,0)</f>
        <v>0</v>
      </c>
      <c r="AI37" s="17">
        <f>IFERROR(MATRIZ_174!AP36,"N/A")</f>
        <v>0.125</v>
      </c>
      <c r="AJ37" s="17">
        <f>IFERROR(MATRIZ_174!AO36,"N/A")</f>
        <v>0</v>
      </c>
      <c r="AK37" s="23">
        <f t="shared" si="22"/>
        <v>0</v>
      </c>
      <c r="AL37" s="24">
        <f t="shared" si="23"/>
        <v>0</v>
      </c>
    </row>
    <row r="38" spans="1:38" ht="16.05" customHeight="1" x14ac:dyDescent="0.3">
      <c r="A38" s="13" t="s">
        <v>141</v>
      </c>
      <c r="B38" s="14" t="s">
        <v>142</v>
      </c>
      <c r="C38" s="13" t="s">
        <v>103</v>
      </c>
      <c r="D38" s="15">
        <v>0</v>
      </c>
      <c r="E38" s="16">
        <v>0</v>
      </c>
      <c r="F38" s="17">
        <f>IFERROR(SCORECARDS!H37,"")</f>
        <v>0</v>
      </c>
      <c r="G38" s="17">
        <f>IFERROR(MATRIZ_174!U37,0)</f>
        <v>0</v>
      </c>
      <c r="H38" s="16">
        <v>0</v>
      </c>
      <c r="I38" s="17">
        <f>IFERROR(SCORECARDS!I37,"")</f>
        <v>0</v>
      </c>
      <c r="J38" s="17">
        <f>IFERROR(SCORECARDS!J37,"")</f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7">
        <f t="shared" si="12"/>
        <v>0</v>
      </c>
      <c r="Q38" s="17">
        <f t="shared" si="13"/>
        <v>0</v>
      </c>
      <c r="R38" s="17">
        <f t="shared" si="14"/>
        <v>0</v>
      </c>
      <c r="S38" s="17">
        <f t="shared" si="15"/>
        <v>0</v>
      </c>
      <c r="T38" s="17">
        <f>IFERROR((K38+M38+MATRIZ_174!O37)/3,0)</f>
        <v>0</v>
      </c>
      <c r="U38" s="18">
        <f>IFERROR(MATRIZ_174!AP37*50,0)</f>
        <v>0</v>
      </c>
      <c r="V38" s="18">
        <f t="shared" si="16"/>
        <v>50</v>
      </c>
      <c r="W38" s="18">
        <f>IF(MATRIZ_174!R37&gt;0,65,35)</f>
        <v>35</v>
      </c>
      <c r="X38" s="18">
        <f>IF(MATRIZ_174!O37=0,70,30)</f>
        <v>70</v>
      </c>
      <c r="Y38" s="18">
        <f>IF(OR(MATRIZ_174!P37="ASOCIACION",MATRIZ_174!P37="PENDIENTE"),65,40)</f>
        <v>65</v>
      </c>
      <c r="Z38" s="19">
        <f t="shared" si="17"/>
        <v>0</v>
      </c>
      <c r="AA38" s="20">
        <f t="shared" si="18"/>
        <v>44</v>
      </c>
      <c r="AB38" s="21">
        <f t="shared" si="19"/>
        <v>44</v>
      </c>
      <c r="AC38" s="13" t="str">
        <f t="shared" si="20"/>
        <v>⬜  Riesgo Latente</v>
      </c>
      <c r="AD38" s="13" t="str">
        <f t="shared" si="21"/>
        <v>🚫  Inh. vigente OSCE</v>
      </c>
      <c r="AE38" s="22">
        <f>IFERROR(MATRIZ_174!W37,0)</f>
        <v>0</v>
      </c>
      <c r="AF38" s="22">
        <f>IFERROR(MATRIZ_174!X37,0)</f>
        <v>0</v>
      </c>
      <c r="AG38" s="22">
        <f>IFERROR(MATRIZ_174!Y37,0)</f>
        <v>0</v>
      </c>
      <c r="AH38" s="22">
        <f>IFERROR(MATRIZ_174!Z37,0)</f>
        <v>0</v>
      </c>
      <c r="AI38" s="17">
        <f>IFERROR(MATRIZ_174!AP37,"N/A")</f>
        <v>0</v>
      </c>
      <c r="AJ38" s="17">
        <f>IFERROR(MATRIZ_174!AO37,"N/A")</f>
        <v>0</v>
      </c>
      <c r="AK38" s="23">
        <f t="shared" si="22"/>
        <v>0</v>
      </c>
      <c r="AL38" s="24">
        <f t="shared" si="23"/>
        <v>0</v>
      </c>
    </row>
    <row r="39" spans="1:38" ht="16.05" customHeight="1" x14ac:dyDescent="0.3">
      <c r="A39" s="13" t="s">
        <v>143</v>
      </c>
      <c r="B39" s="14" t="s">
        <v>144</v>
      </c>
      <c r="C39" s="13" t="s">
        <v>103</v>
      </c>
      <c r="D39" s="15">
        <v>0</v>
      </c>
      <c r="E39" s="16">
        <v>0</v>
      </c>
      <c r="F39" s="17">
        <f>IFERROR(SCORECARDS!H38,"")</f>
        <v>0</v>
      </c>
      <c r="G39" s="17">
        <f>IFERROR(MATRIZ_174!U38,0)</f>
        <v>0</v>
      </c>
      <c r="H39" s="16">
        <v>0</v>
      </c>
      <c r="I39" s="17">
        <f>IFERROR(SCORECARDS!I38,"")</f>
        <v>0</v>
      </c>
      <c r="J39" s="17">
        <f>IFERROR(SCORECARDS!J38,"")</f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7">
        <f t="shared" si="12"/>
        <v>0</v>
      </c>
      <c r="Q39" s="17">
        <f t="shared" si="13"/>
        <v>0</v>
      </c>
      <c r="R39" s="17">
        <f t="shared" si="14"/>
        <v>0</v>
      </c>
      <c r="S39" s="17">
        <f t="shared" si="15"/>
        <v>0</v>
      </c>
      <c r="T39" s="17">
        <f>IFERROR((K39+M39+MATRIZ_174!O38)/3,0)</f>
        <v>0</v>
      </c>
      <c r="U39" s="18">
        <f>IFERROR(MATRIZ_174!AP38*50,0)</f>
        <v>0</v>
      </c>
      <c r="V39" s="18">
        <f t="shared" si="16"/>
        <v>50</v>
      </c>
      <c r="W39" s="18">
        <f>IF(MATRIZ_174!R38&gt;0,65,35)</f>
        <v>35</v>
      </c>
      <c r="X39" s="18">
        <f>IF(MATRIZ_174!O38=0,70,30)</f>
        <v>70</v>
      </c>
      <c r="Y39" s="18">
        <f>IF(OR(MATRIZ_174!P38="ASOCIACION",MATRIZ_174!P38="PENDIENTE"),65,40)</f>
        <v>65</v>
      </c>
      <c r="Z39" s="19">
        <f t="shared" si="17"/>
        <v>0</v>
      </c>
      <c r="AA39" s="20">
        <f t="shared" si="18"/>
        <v>44</v>
      </c>
      <c r="AB39" s="21">
        <f t="shared" si="19"/>
        <v>44</v>
      </c>
      <c r="AC39" s="13" t="str">
        <f t="shared" si="20"/>
        <v>⬜  Riesgo Latente</v>
      </c>
      <c r="AD39" s="13" t="str">
        <f t="shared" si="21"/>
        <v>🚫  Inh. vigente OSCE</v>
      </c>
      <c r="AE39" s="22">
        <f>IFERROR(MATRIZ_174!W38,0)</f>
        <v>0</v>
      </c>
      <c r="AF39" s="22">
        <f>IFERROR(MATRIZ_174!X38,0)</f>
        <v>0</v>
      </c>
      <c r="AG39" s="22">
        <f>IFERROR(MATRIZ_174!Y38,0)</f>
        <v>0</v>
      </c>
      <c r="AH39" s="22">
        <f>IFERROR(MATRIZ_174!Z38,0)</f>
        <v>0</v>
      </c>
      <c r="AI39" s="17">
        <f>IFERROR(MATRIZ_174!AP38,"N/A")</f>
        <v>0</v>
      </c>
      <c r="AJ39" s="17">
        <f>IFERROR(MATRIZ_174!AO38,"N/A")</f>
        <v>0</v>
      </c>
      <c r="AK39" s="23">
        <f t="shared" si="22"/>
        <v>0</v>
      </c>
      <c r="AL39" s="24">
        <f t="shared" si="23"/>
        <v>0</v>
      </c>
    </row>
    <row r="40" spans="1:38" ht="16.05" customHeight="1" x14ac:dyDescent="0.3">
      <c r="A40" s="13" t="s">
        <v>145</v>
      </c>
      <c r="B40" s="14" t="s">
        <v>146</v>
      </c>
      <c r="C40" s="13" t="s">
        <v>103</v>
      </c>
      <c r="D40" s="15">
        <v>587607.64</v>
      </c>
      <c r="E40" s="16">
        <v>0</v>
      </c>
      <c r="F40" s="17">
        <f>IFERROR(SCORECARDS!H39,"")</f>
        <v>0</v>
      </c>
      <c r="G40" s="17">
        <f>IFERROR(MATRIZ_174!U39,0)</f>
        <v>1</v>
      </c>
      <c r="H40" s="16">
        <v>0</v>
      </c>
      <c r="I40" s="17">
        <f>IFERROR(SCORECARDS!I39,"")</f>
        <v>0</v>
      </c>
      <c r="J40" s="17">
        <f>IFERROR(SCORECARDS!J39,"")</f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7">
        <f t="shared" si="12"/>
        <v>0</v>
      </c>
      <c r="Q40" s="17">
        <f t="shared" si="13"/>
        <v>0</v>
      </c>
      <c r="R40" s="17">
        <f t="shared" si="14"/>
        <v>0</v>
      </c>
      <c r="S40" s="17">
        <f t="shared" si="15"/>
        <v>0</v>
      </c>
      <c r="T40" s="17">
        <f>IFERROR((K40+M40+MATRIZ_174!O39)/3,0)</f>
        <v>0</v>
      </c>
      <c r="U40" s="18">
        <f>IFERROR(MATRIZ_174!AP39*50,0)</f>
        <v>6.25</v>
      </c>
      <c r="V40" s="18">
        <f t="shared" si="16"/>
        <v>50</v>
      </c>
      <c r="W40" s="18">
        <f>IF(MATRIZ_174!R39&gt;0,65,35)</f>
        <v>35</v>
      </c>
      <c r="X40" s="18">
        <f>IF(MATRIZ_174!O39=0,70,30)</f>
        <v>70</v>
      </c>
      <c r="Y40" s="18">
        <f>IF(OR(MATRIZ_174!P39="ASOCIACION",MATRIZ_174!P39="PENDIENTE"),65,40)</f>
        <v>65</v>
      </c>
      <c r="Z40" s="19">
        <f t="shared" si="17"/>
        <v>0</v>
      </c>
      <c r="AA40" s="20">
        <f t="shared" si="18"/>
        <v>45.3</v>
      </c>
      <c r="AB40" s="21">
        <f t="shared" si="19"/>
        <v>45.3</v>
      </c>
      <c r="AC40" s="13" t="str">
        <f t="shared" si="20"/>
        <v>⬜  Riesgo Latente</v>
      </c>
      <c r="AD40" s="13" t="str">
        <f t="shared" si="21"/>
        <v/>
      </c>
      <c r="AE40" s="22">
        <f>IFERROR(MATRIZ_174!W39,0)</f>
        <v>1</v>
      </c>
      <c r="AF40" s="22">
        <f>IFERROR(MATRIZ_174!X39,0)</f>
        <v>0</v>
      </c>
      <c r="AG40" s="22">
        <f>IFERROR(MATRIZ_174!Y39,0)</f>
        <v>0</v>
      </c>
      <c r="AH40" s="22">
        <f>IFERROR(MATRIZ_174!Z39,0)</f>
        <v>0</v>
      </c>
      <c r="AI40" s="17">
        <f>IFERROR(MATRIZ_174!AP39,"N/A")</f>
        <v>0.125</v>
      </c>
      <c r="AJ40" s="17">
        <f>IFERROR(MATRIZ_174!AO39,"N/A")</f>
        <v>0</v>
      </c>
      <c r="AK40" s="23">
        <f t="shared" si="22"/>
        <v>0</v>
      </c>
      <c r="AL40" s="24">
        <f t="shared" si="23"/>
        <v>0</v>
      </c>
    </row>
    <row r="41" spans="1:38" ht="16.05" customHeight="1" x14ac:dyDescent="0.3">
      <c r="A41" s="13" t="s">
        <v>147</v>
      </c>
      <c r="B41" s="14" t="s">
        <v>148</v>
      </c>
      <c r="C41" s="13" t="s">
        <v>103</v>
      </c>
      <c r="D41" s="15">
        <v>842214.99</v>
      </c>
      <c r="E41" s="16">
        <v>0</v>
      </c>
      <c r="F41" s="17">
        <f>IFERROR(SCORECARDS!H40,"")</f>
        <v>0</v>
      </c>
      <c r="G41" s="17">
        <f>IFERROR(MATRIZ_174!U40,0)</f>
        <v>1</v>
      </c>
      <c r="H41" s="16">
        <v>0</v>
      </c>
      <c r="I41" s="17">
        <f>IFERROR(SCORECARDS!I40,"")</f>
        <v>0</v>
      </c>
      <c r="J41" s="17">
        <f>IFERROR(SCORECARDS!J40,"")</f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7">
        <f t="shared" si="12"/>
        <v>0</v>
      </c>
      <c r="Q41" s="17">
        <f t="shared" si="13"/>
        <v>0</v>
      </c>
      <c r="R41" s="17">
        <f t="shared" si="14"/>
        <v>0</v>
      </c>
      <c r="S41" s="17">
        <f t="shared" si="15"/>
        <v>0</v>
      </c>
      <c r="T41" s="17">
        <f>IFERROR((K41+M41+MATRIZ_174!O40)/3,0)</f>
        <v>0</v>
      </c>
      <c r="U41" s="18">
        <f>IFERROR(MATRIZ_174!AP40*50,0)</f>
        <v>6.25</v>
      </c>
      <c r="V41" s="18">
        <f t="shared" si="16"/>
        <v>50</v>
      </c>
      <c r="W41" s="18">
        <f>IF(MATRIZ_174!R40&gt;0,65,35)</f>
        <v>35</v>
      </c>
      <c r="X41" s="18">
        <f>IF(MATRIZ_174!O40=0,70,30)</f>
        <v>70</v>
      </c>
      <c r="Y41" s="18">
        <f>IF(OR(MATRIZ_174!P40="ASOCIACION",MATRIZ_174!P40="PENDIENTE"),65,40)</f>
        <v>65</v>
      </c>
      <c r="Z41" s="19">
        <f t="shared" si="17"/>
        <v>0</v>
      </c>
      <c r="AA41" s="20">
        <f t="shared" si="18"/>
        <v>45.3</v>
      </c>
      <c r="AB41" s="21">
        <f t="shared" si="19"/>
        <v>45.3</v>
      </c>
      <c r="AC41" s="13" t="str">
        <f t="shared" si="20"/>
        <v>⬜  Riesgo Latente</v>
      </c>
      <c r="AD41" s="13" t="str">
        <f t="shared" si="21"/>
        <v/>
      </c>
      <c r="AE41" s="22">
        <f>IFERROR(MATRIZ_174!W40,0)</f>
        <v>1</v>
      </c>
      <c r="AF41" s="22">
        <f>IFERROR(MATRIZ_174!X40,0)</f>
        <v>0</v>
      </c>
      <c r="AG41" s="22">
        <f>IFERROR(MATRIZ_174!Y40,0)</f>
        <v>0</v>
      </c>
      <c r="AH41" s="22">
        <f>IFERROR(MATRIZ_174!Z40,0)</f>
        <v>0</v>
      </c>
      <c r="AI41" s="17">
        <f>IFERROR(MATRIZ_174!AP40,"N/A")</f>
        <v>0.125</v>
      </c>
      <c r="AJ41" s="17">
        <f>IFERROR(MATRIZ_174!AO40,"N/A")</f>
        <v>0</v>
      </c>
      <c r="AK41" s="23">
        <f t="shared" si="22"/>
        <v>0</v>
      </c>
      <c r="AL41" s="24">
        <f t="shared" si="23"/>
        <v>0</v>
      </c>
    </row>
    <row r="42" spans="1:38" ht="16.05" customHeight="1" x14ac:dyDescent="0.3">
      <c r="A42" s="13" t="s">
        <v>149</v>
      </c>
      <c r="B42" s="14" t="s">
        <v>150</v>
      </c>
      <c r="C42" s="13" t="s">
        <v>103</v>
      </c>
      <c r="D42" s="15">
        <v>0</v>
      </c>
      <c r="E42" s="16">
        <v>0</v>
      </c>
      <c r="F42" s="17">
        <f>IFERROR(SCORECARDS!H41,"")</f>
        <v>0</v>
      </c>
      <c r="G42" s="17">
        <f>IFERROR(MATRIZ_174!U41,0)</f>
        <v>0</v>
      </c>
      <c r="H42" s="16">
        <v>0</v>
      </c>
      <c r="I42" s="17">
        <f>IFERROR(SCORECARDS!I41,"")</f>
        <v>0</v>
      </c>
      <c r="J42" s="17">
        <f>IFERROR(SCORECARDS!J41,"")</f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7">
        <f t="shared" si="12"/>
        <v>0</v>
      </c>
      <c r="Q42" s="17">
        <f t="shared" si="13"/>
        <v>0</v>
      </c>
      <c r="R42" s="17">
        <f t="shared" si="14"/>
        <v>0</v>
      </c>
      <c r="S42" s="17">
        <f t="shared" si="15"/>
        <v>0</v>
      </c>
      <c r="T42" s="17">
        <f>IFERROR((K42+M42+MATRIZ_174!O41)/3,0)</f>
        <v>0</v>
      </c>
      <c r="U42" s="18">
        <f>IFERROR(MATRIZ_174!AP41*50,0)</f>
        <v>0</v>
      </c>
      <c r="V42" s="18">
        <f t="shared" si="16"/>
        <v>50</v>
      </c>
      <c r="W42" s="18">
        <f>IF(MATRIZ_174!R41&gt;0,65,35)</f>
        <v>35</v>
      </c>
      <c r="X42" s="18">
        <f>IF(MATRIZ_174!O41=0,70,30)</f>
        <v>70</v>
      </c>
      <c r="Y42" s="18">
        <f>IF(OR(MATRIZ_174!P41="ASOCIACION",MATRIZ_174!P41="PENDIENTE"),65,40)</f>
        <v>65</v>
      </c>
      <c r="Z42" s="19">
        <f t="shared" si="17"/>
        <v>0</v>
      </c>
      <c r="AA42" s="20">
        <f t="shared" si="18"/>
        <v>44</v>
      </c>
      <c r="AB42" s="21">
        <f t="shared" si="19"/>
        <v>44</v>
      </c>
      <c r="AC42" s="13" t="str">
        <f t="shared" si="20"/>
        <v>⬜  Riesgo Latente</v>
      </c>
      <c r="AD42" s="13" t="str">
        <f t="shared" si="21"/>
        <v>🚫  Inh. vigente OSCE</v>
      </c>
      <c r="AE42" s="22">
        <f>IFERROR(MATRIZ_174!W41,0)</f>
        <v>0</v>
      </c>
      <c r="AF42" s="22">
        <f>IFERROR(MATRIZ_174!X41,0)</f>
        <v>0</v>
      </c>
      <c r="AG42" s="22">
        <f>IFERROR(MATRIZ_174!Y41,0)</f>
        <v>0</v>
      </c>
      <c r="AH42" s="22">
        <f>IFERROR(MATRIZ_174!Z41,0)</f>
        <v>0</v>
      </c>
      <c r="AI42" s="17">
        <f>IFERROR(MATRIZ_174!AP41,"N/A")</f>
        <v>0</v>
      </c>
      <c r="AJ42" s="17">
        <f>IFERROR(MATRIZ_174!AO41,"N/A")</f>
        <v>0</v>
      </c>
      <c r="AK42" s="23">
        <f t="shared" si="22"/>
        <v>0</v>
      </c>
      <c r="AL42" s="24">
        <f t="shared" si="23"/>
        <v>0</v>
      </c>
    </row>
    <row r="43" spans="1:38" ht="16.05" customHeight="1" x14ac:dyDescent="0.3">
      <c r="A43" s="13" t="s">
        <v>151</v>
      </c>
      <c r="B43" s="14" t="s">
        <v>152</v>
      </c>
      <c r="C43" s="13" t="s">
        <v>95</v>
      </c>
      <c r="D43" s="15">
        <v>408500</v>
      </c>
      <c r="E43" s="16">
        <v>0</v>
      </c>
      <c r="F43" s="17">
        <f>IFERROR(SCORECARDS!H42,"")</f>
        <v>0</v>
      </c>
      <c r="G43" s="17">
        <f>IFERROR(MATRIZ_174!U42,0)</f>
        <v>1</v>
      </c>
      <c r="H43" s="16">
        <v>0</v>
      </c>
      <c r="I43" s="17">
        <f>IFERROR(SCORECARDS!I42,"")</f>
        <v>0</v>
      </c>
      <c r="J43" s="17">
        <f>IFERROR(SCORECARDS!J42,"")</f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7">
        <f t="shared" si="12"/>
        <v>0</v>
      </c>
      <c r="Q43" s="17">
        <f t="shared" si="13"/>
        <v>0</v>
      </c>
      <c r="R43" s="17">
        <f t="shared" si="14"/>
        <v>0</v>
      </c>
      <c r="S43" s="17">
        <f t="shared" si="15"/>
        <v>0</v>
      </c>
      <c r="T43" s="17">
        <f>IFERROR((K43+M43+MATRIZ_174!O42)/3,0)</f>
        <v>0</v>
      </c>
      <c r="U43" s="18">
        <f>IFERROR(MATRIZ_174!AP42*50,0)</f>
        <v>0</v>
      </c>
      <c r="V43" s="18">
        <f t="shared" si="16"/>
        <v>50</v>
      </c>
      <c r="W43" s="18">
        <f>IF(MATRIZ_174!R42&gt;0,65,35)</f>
        <v>35</v>
      </c>
      <c r="X43" s="18">
        <f>IF(MATRIZ_174!O42=0,70,30)</f>
        <v>70</v>
      </c>
      <c r="Y43" s="18">
        <f>IF(OR(MATRIZ_174!P42="ASOCIACION",MATRIZ_174!P42="PENDIENTE"),65,40)</f>
        <v>65</v>
      </c>
      <c r="Z43" s="19">
        <f t="shared" si="17"/>
        <v>0</v>
      </c>
      <c r="AA43" s="20">
        <f t="shared" si="18"/>
        <v>44</v>
      </c>
      <c r="AB43" s="21">
        <f t="shared" si="19"/>
        <v>44</v>
      </c>
      <c r="AC43" s="13" t="str">
        <f t="shared" si="20"/>
        <v>⬜  Riesgo Latente</v>
      </c>
      <c r="AD43" s="13" t="str">
        <f t="shared" si="21"/>
        <v/>
      </c>
      <c r="AE43" s="22">
        <f>IFERROR(MATRIZ_174!W42,0)</f>
        <v>0</v>
      </c>
      <c r="AF43" s="22">
        <f>IFERROR(MATRIZ_174!X42,0)</f>
        <v>0</v>
      </c>
      <c r="AG43" s="22">
        <f>IFERROR(MATRIZ_174!Y42,0)</f>
        <v>0</v>
      </c>
      <c r="AH43" s="22">
        <f>IFERROR(MATRIZ_174!Z42,0)</f>
        <v>0</v>
      </c>
      <c r="AI43" s="17">
        <f>IFERROR(MATRIZ_174!AP42,"N/A")</f>
        <v>0</v>
      </c>
      <c r="AJ43" s="17">
        <f>IFERROR(MATRIZ_174!AO42,"N/A")</f>
        <v>0</v>
      </c>
      <c r="AK43" s="23">
        <f t="shared" si="22"/>
        <v>0</v>
      </c>
      <c r="AL43" s="24">
        <f t="shared" si="23"/>
        <v>0</v>
      </c>
    </row>
    <row r="44" spans="1:38" ht="16.05" customHeight="1" x14ac:dyDescent="0.3">
      <c r="A44" s="13" t="s">
        <v>153</v>
      </c>
      <c r="B44" s="14" t="s">
        <v>154</v>
      </c>
      <c r="C44" s="13" t="s">
        <v>71</v>
      </c>
      <c r="D44" s="15">
        <v>0</v>
      </c>
      <c r="E44" s="16">
        <v>0</v>
      </c>
      <c r="F44" s="17">
        <f>IFERROR(SCORECARDS!H43,"")</f>
        <v>0</v>
      </c>
      <c r="G44" s="17">
        <f>IFERROR(MATRIZ_174!U43,0)</f>
        <v>0</v>
      </c>
      <c r="H44" s="16">
        <v>0</v>
      </c>
      <c r="I44" s="17">
        <f>IFERROR(SCORECARDS!I43,"")</f>
        <v>0</v>
      </c>
      <c r="J44" s="17">
        <f>IFERROR(SCORECARDS!J43,"")</f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7">
        <f t="shared" si="12"/>
        <v>0</v>
      </c>
      <c r="Q44" s="17">
        <f t="shared" si="13"/>
        <v>0</v>
      </c>
      <c r="R44" s="17">
        <f t="shared" si="14"/>
        <v>0</v>
      </c>
      <c r="S44" s="17">
        <f t="shared" si="15"/>
        <v>0</v>
      </c>
      <c r="T44" s="17">
        <f>IFERROR((K44+M44+MATRIZ_174!O43)/3,0)</f>
        <v>0</v>
      </c>
      <c r="U44" s="18">
        <f>IFERROR(MATRIZ_174!AP43*50,0)</f>
        <v>0</v>
      </c>
      <c r="V44" s="18">
        <f t="shared" si="16"/>
        <v>50</v>
      </c>
      <c r="W44" s="18">
        <f>IF(MATRIZ_174!R43&gt;0,65,35)</f>
        <v>35</v>
      </c>
      <c r="X44" s="18">
        <f>IF(MATRIZ_174!O43=0,70,30)</f>
        <v>70</v>
      </c>
      <c r="Y44" s="18">
        <f>IF(OR(MATRIZ_174!P43="ASOCIACION",MATRIZ_174!P43="PENDIENTE"),65,40)</f>
        <v>65</v>
      </c>
      <c r="Z44" s="19">
        <f t="shared" si="17"/>
        <v>0</v>
      </c>
      <c r="AA44" s="20">
        <f t="shared" si="18"/>
        <v>44</v>
      </c>
      <c r="AB44" s="21">
        <f t="shared" si="19"/>
        <v>44</v>
      </c>
      <c r="AC44" s="13" t="str">
        <f t="shared" si="20"/>
        <v>⬜  Riesgo Latente</v>
      </c>
      <c r="AD44" s="13" t="str">
        <f t="shared" si="21"/>
        <v>🚫  Inh. vigente OSCE</v>
      </c>
      <c r="AE44" s="22">
        <f>IFERROR(MATRIZ_174!W43,0)</f>
        <v>0</v>
      </c>
      <c r="AF44" s="22">
        <f>IFERROR(MATRIZ_174!X43,0)</f>
        <v>0</v>
      </c>
      <c r="AG44" s="22">
        <f>IFERROR(MATRIZ_174!Y43,0)</f>
        <v>0</v>
      </c>
      <c r="AH44" s="22">
        <f>IFERROR(MATRIZ_174!Z43,0)</f>
        <v>0</v>
      </c>
      <c r="AI44" s="17">
        <f>IFERROR(MATRIZ_174!AP43,"N/A")</f>
        <v>0</v>
      </c>
      <c r="AJ44" s="17">
        <f>IFERROR(MATRIZ_174!AO43,"N/A")</f>
        <v>0</v>
      </c>
      <c r="AK44" s="23">
        <f t="shared" si="22"/>
        <v>0</v>
      </c>
      <c r="AL44" s="24">
        <f t="shared" si="23"/>
        <v>0</v>
      </c>
    </row>
    <row r="45" spans="1:38" ht="16.05" customHeight="1" x14ac:dyDescent="0.3">
      <c r="A45" s="13" t="s">
        <v>155</v>
      </c>
      <c r="B45" s="14" t="s">
        <v>156</v>
      </c>
      <c r="C45" s="13" t="s">
        <v>71</v>
      </c>
      <c r="D45" s="15">
        <v>0</v>
      </c>
      <c r="E45" s="16">
        <v>0</v>
      </c>
      <c r="F45" s="17">
        <f>IFERROR(SCORECARDS!H44,"")</f>
        <v>0</v>
      </c>
      <c r="G45" s="17">
        <f>IFERROR(MATRIZ_174!U44,0)</f>
        <v>0</v>
      </c>
      <c r="H45" s="16">
        <v>0</v>
      </c>
      <c r="I45" s="17">
        <f>IFERROR(SCORECARDS!I44,"")</f>
        <v>0</v>
      </c>
      <c r="J45" s="17">
        <f>IFERROR(SCORECARDS!J44,"")</f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7">
        <f t="shared" si="12"/>
        <v>0</v>
      </c>
      <c r="Q45" s="17">
        <f t="shared" si="13"/>
        <v>0</v>
      </c>
      <c r="R45" s="17">
        <f t="shared" si="14"/>
        <v>0</v>
      </c>
      <c r="S45" s="17">
        <f t="shared" si="15"/>
        <v>0</v>
      </c>
      <c r="T45" s="17">
        <f>IFERROR((K45+M45+MATRIZ_174!O44)/3,0)</f>
        <v>0</v>
      </c>
      <c r="U45" s="18">
        <f>IFERROR(MATRIZ_174!AP44*50,0)</f>
        <v>0</v>
      </c>
      <c r="V45" s="18">
        <f t="shared" si="16"/>
        <v>50</v>
      </c>
      <c r="W45" s="18">
        <f>IF(MATRIZ_174!R44&gt;0,65,35)</f>
        <v>35</v>
      </c>
      <c r="X45" s="18">
        <f>IF(MATRIZ_174!O44=0,70,30)</f>
        <v>70</v>
      </c>
      <c r="Y45" s="18">
        <f>IF(OR(MATRIZ_174!P44="ASOCIACION",MATRIZ_174!P44="PENDIENTE"),65,40)</f>
        <v>65</v>
      </c>
      <c r="Z45" s="19">
        <f t="shared" si="17"/>
        <v>0</v>
      </c>
      <c r="AA45" s="20">
        <f t="shared" si="18"/>
        <v>44</v>
      </c>
      <c r="AB45" s="21">
        <f t="shared" si="19"/>
        <v>44</v>
      </c>
      <c r="AC45" s="13" t="str">
        <f t="shared" si="20"/>
        <v>⬜  Riesgo Latente</v>
      </c>
      <c r="AD45" s="13" t="str">
        <f t="shared" si="21"/>
        <v>🚫  Inh. vigente OSCE</v>
      </c>
      <c r="AE45" s="22">
        <f>IFERROR(MATRIZ_174!W44,0)</f>
        <v>0</v>
      </c>
      <c r="AF45" s="22">
        <f>IFERROR(MATRIZ_174!X44,0)</f>
        <v>0</v>
      </c>
      <c r="AG45" s="22">
        <f>IFERROR(MATRIZ_174!Y44,0)</f>
        <v>0</v>
      </c>
      <c r="AH45" s="22">
        <f>IFERROR(MATRIZ_174!Z44,0)</f>
        <v>0</v>
      </c>
      <c r="AI45" s="17">
        <f>IFERROR(MATRIZ_174!AP44,"N/A")</f>
        <v>0</v>
      </c>
      <c r="AJ45" s="17">
        <f>IFERROR(MATRIZ_174!AO44,"N/A")</f>
        <v>0</v>
      </c>
      <c r="AK45" s="23">
        <f t="shared" si="22"/>
        <v>0</v>
      </c>
      <c r="AL45" s="24">
        <f t="shared" si="23"/>
        <v>0</v>
      </c>
    </row>
    <row r="46" spans="1:38" ht="16.05" customHeight="1" x14ac:dyDescent="0.3">
      <c r="A46" s="13" t="s">
        <v>157</v>
      </c>
      <c r="B46" s="14" t="s">
        <v>158</v>
      </c>
      <c r="C46" s="13" t="s">
        <v>71</v>
      </c>
      <c r="D46" s="15">
        <v>6603846.0300000003</v>
      </c>
      <c r="E46" s="16">
        <v>0</v>
      </c>
      <c r="F46" s="17">
        <f>IFERROR(SCORECARDS!H45,"")</f>
        <v>0</v>
      </c>
      <c r="G46" s="17">
        <f>IFERROR(MATRIZ_174!U45,0)</f>
        <v>1</v>
      </c>
      <c r="H46" s="16">
        <v>0</v>
      </c>
      <c r="I46" s="17">
        <f>IFERROR(SCORECARDS!I45,"")</f>
        <v>0</v>
      </c>
      <c r="J46" s="17">
        <f>IFERROR(SCORECARDS!J45,"")</f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7">
        <f t="shared" si="12"/>
        <v>0</v>
      </c>
      <c r="Q46" s="17">
        <f t="shared" si="13"/>
        <v>0</v>
      </c>
      <c r="R46" s="17">
        <f t="shared" si="14"/>
        <v>0</v>
      </c>
      <c r="S46" s="17">
        <f t="shared" si="15"/>
        <v>0</v>
      </c>
      <c r="T46" s="17">
        <f>IFERROR((K46+M46+MATRIZ_174!O45)/3,0)</f>
        <v>0</v>
      </c>
      <c r="U46" s="18">
        <f>IFERROR(MATRIZ_174!AP45*50,0)</f>
        <v>6.25</v>
      </c>
      <c r="V46" s="18">
        <f t="shared" si="16"/>
        <v>50</v>
      </c>
      <c r="W46" s="18">
        <f>IF(MATRIZ_174!R45&gt;0,65,35)</f>
        <v>35</v>
      </c>
      <c r="X46" s="18">
        <f>IF(MATRIZ_174!O45=0,70,30)</f>
        <v>70</v>
      </c>
      <c r="Y46" s="18">
        <f>IF(OR(MATRIZ_174!P45="ASOCIACION",MATRIZ_174!P45="PENDIENTE"),65,40)</f>
        <v>65</v>
      </c>
      <c r="Z46" s="19">
        <f t="shared" si="17"/>
        <v>0</v>
      </c>
      <c r="AA46" s="20">
        <f t="shared" si="18"/>
        <v>45.3</v>
      </c>
      <c r="AB46" s="21">
        <f t="shared" si="19"/>
        <v>45.3</v>
      </c>
      <c r="AC46" s="13" t="str">
        <f t="shared" si="20"/>
        <v>⬜  Riesgo Latente</v>
      </c>
      <c r="AD46" s="13" t="str">
        <f t="shared" si="21"/>
        <v/>
      </c>
      <c r="AE46" s="22">
        <f>IFERROR(MATRIZ_174!W45,0)</f>
        <v>1</v>
      </c>
      <c r="AF46" s="22">
        <f>IFERROR(MATRIZ_174!X45,0)</f>
        <v>0</v>
      </c>
      <c r="AG46" s="22">
        <f>IFERROR(MATRIZ_174!Y45,0)</f>
        <v>0</v>
      </c>
      <c r="AH46" s="22">
        <f>IFERROR(MATRIZ_174!Z45,0)</f>
        <v>0</v>
      </c>
      <c r="AI46" s="17">
        <f>IFERROR(MATRIZ_174!AP45,"N/A")</f>
        <v>0.125</v>
      </c>
      <c r="AJ46" s="17">
        <f>IFERROR(MATRIZ_174!AO45,"N/A")</f>
        <v>0</v>
      </c>
      <c r="AK46" s="23">
        <f t="shared" si="22"/>
        <v>0</v>
      </c>
      <c r="AL46" s="24">
        <f t="shared" si="23"/>
        <v>0</v>
      </c>
    </row>
    <row r="47" spans="1:38" ht="16.05" customHeight="1" x14ac:dyDescent="0.3">
      <c r="A47" s="13" t="s">
        <v>159</v>
      </c>
      <c r="B47" s="14" t="s">
        <v>160</v>
      </c>
      <c r="C47" s="13" t="s">
        <v>71</v>
      </c>
      <c r="D47" s="15">
        <v>0</v>
      </c>
      <c r="E47" s="16">
        <v>0</v>
      </c>
      <c r="F47" s="17">
        <f>IFERROR(SCORECARDS!H46,"")</f>
        <v>0</v>
      </c>
      <c r="G47" s="17">
        <f>IFERROR(MATRIZ_174!U46,0)</f>
        <v>0</v>
      </c>
      <c r="H47" s="16">
        <v>0</v>
      </c>
      <c r="I47" s="17">
        <f>IFERROR(SCORECARDS!I46,"")</f>
        <v>0</v>
      </c>
      <c r="J47" s="17">
        <f>IFERROR(SCORECARDS!J46,"")</f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7">
        <f t="shared" si="12"/>
        <v>0</v>
      </c>
      <c r="Q47" s="17">
        <f t="shared" si="13"/>
        <v>0</v>
      </c>
      <c r="R47" s="17">
        <f t="shared" si="14"/>
        <v>0</v>
      </c>
      <c r="S47" s="17">
        <f t="shared" si="15"/>
        <v>0</v>
      </c>
      <c r="T47" s="17">
        <f>IFERROR((K47+M47+MATRIZ_174!O46)/3,0)</f>
        <v>0</v>
      </c>
      <c r="U47" s="18">
        <f>IFERROR(MATRIZ_174!AP46*50,0)</f>
        <v>0</v>
      </c>
      <c r="V47" s="18">
        <f t="shared" si="16"/>
        <v>50</v>
      </c>
      <c r="W47" s="18">
        <f>IF(MATRIZ_174!R46&gt;0,65,35)</f>
        <v>35</v>
      </c>
      <c r="X47" s="18">
        <f>IF(MATRIZ_174!O46=0,70,30)</f>
        <v>70</v>
      </c>
      <c r="Y47" s="18">
        <f>IF(OR(MATRIZ_174!P46="ASOCIACION",MATRIZ_174!P46="PENDIENTE"),65,40)</f>
        <v>65</v>
      </c>
      <c r="Z47" s="19">
        <f t="shared" si="17"/>
        <v>0</v>
      </c>
      <c r="AA47" s="20">
        <f t="shared" si="18"/>
        <v>44</v>
      </c>
      <c r="AB47" s="21">
        <f t="shared" si="19"/>
        <v>44</v>
      </c>
      <c r="AC47" s="13" t="str">
        <f t="shared" si="20"/>
        <v>⬜  Riesgo Latente</v>
      </c>
      <c r="AD47" s="13" t="str">
        <f t="shared" si="21"/>
        <v>🚫  Inh. vigente OSCE</v>
      </c>
      <c r="AE47" s="22">
        <f>IFERROR(MATRIZ_174!W46,0)</f>
        <v>0</v>
      </c>
      <c r="AF47" s="22">
        <f>IFERROR(MATRIZ_174!X46,0)</f>
        <v>0</v>
      </c>
      <c r="AG47" s="22">
        <f>IFERROR(MATRIZ_174!Y46,0)</f>
        <v>0</v>
      </c>
      <c r="AH47" s="22">
        <f>IFERROR(MATRIZ_174!Z46,0)</f>
        <v>0</v>
      </c>
      <c r="AI47" s="17">
        <f>IFERROR(MATRIZ_174!AP46,"N/A")</f>
        <v>0</v>
      </c>
      <c r="AJ47" s="17">
        <f>IFERROR(MATRIZ_174!AO46,"N/A")</f>
        <v>0</v>
      </c>
      <c r="AK47" s="23">
        <f t="shared" si="22"/>
        <v>0</v>
      </c>
      <c r="AL47" s="24">
        <f t="shared" si="23"/>
        <v>0</v>
      </c>
    </row>
    <row r="48" spans="1:38" ht="16.05" customHeight="1" x14ac:dyDescent="0.3">
      <c r="A48" s="13" t="s">
        <v>161</v>
      </c>
      <c r="B48" s="14" t="s">
        <v>162</v>
      </c>
      <c r="C48" s="13" t="s">
        <v>71</v>
      </c>
      <c r="D48" s="15">
        <v>0</v>
      </c>
      <c r="E48" s="16">
        <v>0</v>
      </c>
      <c r="F48" s="17">
        <f>IFERROR(SCORECARDS!H47,"")</f>
        <v>0</v>
      </c>
      <c r="G48" s="17">
        <f>IFERROR(MATRIZ_174!U47,0)</f>
        <v>0</v>
      </c>
      <c r="H48" s="16">
        <v>0</v>
      </c>
      <c r="I48" s="17">
        <f>IFERROR(SCORECARDS!I47,"")</f>
        <v>0</v>
      </c>
      <c r="J48" s="17">
        <f>IFERROR(SCORECARDS!J47,"")</f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7">
        <f t="shared" si="12"/>
        <v>0</v>
      </c>
      <c r="Q48" s="17">
        <f t="shared" si="13"/>
        <v>0</v>
      </c>
      <c r="R48" s="17">
        <f t="shared" si="14"/>
        <v>0</v>
      </c>
      <c r="S48" s="17">
        <f t="shared" si="15"/>
        <v>0</v>
      </c>
      <c r="T48" s="17">
        <f>IFERROR((K48+M48+MATRIZ_174!O47)/3,0)</f>
        <v>0</v>
      </c>
      <c r="U48" s="18">
        <f>IFERROR(MATRIZ_174!AP47*50,0)</f>
        <v>0</v>
      </c>
      <c r="V48" s="18">
        <f t="shared" si="16"/>
        <v>50</v>
      </c>
      <c r="W48" s="18">
        <f>IF(MATRIZ_174!R47&gt;0,65,35)</f>
        <v>35</v>
      </c>
      <c r="X48" s="18">
        <f>IF(MATRIZ_174!O47=0,70,30)</f>
        <v>70</v>
      </c>
      <c r="Y48" s="18">
        <f>IF(OR(MATRIZ_174!P47="ASOCIACION",MATRIZ_174!P47="PENDIENTE"),65,40)</f>
        <v>65</v>
      </c>
      <c r="Z48" s="19">
        <f t="shared" si="17"/>
        <v>0</v>
      </c>
      <c r="AA48" s="20">
        <f t="shared" si="18"/>
        <v>44</v>
      </c>
      <c r="AB48" s="21">
        <f t="shared" si="19"/>
        <v>44</v>
      </c>
      <c r="AC48" s="13" t="str">
        <f t="shared" si="20"/>
        <v>⬜  Riesgo Latente</v>
      </c>
      <c r="AD48" s="13" t="str">
        <f t="shared" si="21"/>
        <v>🚫  Inh. vigente OSCE</v>
      </c>
      <c r="AE48" s="22">
        <f>IFERROR(MATRIZ_174!W47,0)</f>
        <v>0</v>
      </c>
      <c r="AF48" s="22">
        <f>IFERROR(MATRIZ_174!X47,0)</f>
        <v>0</v>
      </c>
      <c r="AG48" s="22">
        <f>IFERROR(MATRIZ_174!Y47,0)</f>
        <v>0</v>
      </c>
      <c r="AH48" s="22">
        <f>IFERROR(MATRIZ_174!Z47,0)</f>
        <v>0</v>
      </c>
      <c r="AI48" s="17">
        <f>IFERROR(MATRIZ_174!AP47,"N/A")</f>
        <v>0</v>
      </c>
      <c r="AJ48" s="17">
        <f>IFERROR(MATRIZ_174!AO47,"N/A")</f>
        <v>0</v>
      </c>
      <c r="AK48" s="23">
        <f t="shared" si="22"/>
        <v>0</v>
      </c>
      <c r="AL48" s="24">
        <f t="shared" si="23"/>
        <v>0</v>
      </c>
    </row>
    <row r="49" spans="1:38" ht="16.05" customHeight="1" x14ac:dyDescent="0.3">
      <c r="A49" s="13" t="s">
        <v>163</v>
      </c>
      <c r="B49" s="14" t="s">
        <v>164</v>
      </c>
      <c r="C49" s="13" t="s">
        <v>71</v>
      </c>
      <c r="D49" s="15">
        <v>15171146.539999999</v>
      </c>
      <c r="E49" s="16">
        <v>0</v>
      </c>
      <c r="F49" s="17">
        <f>IFERROR(SCORECARDS!H48,"")</f>
        <v>0</v>
      </c>
      <c r="G49" s="17">
        <f>IFERROR(MATRIZ_174!U48,0)</f>
        <v>1</v>
      </c>
      <c r="H49" s="16">
        <v>0</v>
      </c>
      <c r="I49" s="17">
        <f>IFERROR(SCORECARDS!I48,"")</f>
        <v>0</v>
      </c>
      <c r="J49" s="17">
        <f>IFERROR(SCORECARDS!J48,"")</f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7">
        <f t="shared" si="12"/>
        <v>0</v>
      </c>
      <c r="Q49" s="17">
        <f t="shared" si="13"/>
        <v>0</v>
      </c>
      <c r="R49" s="17">
        <f t="shared" si="14"/>
        <v>0</v>
      </c>
      <c r="S49" s="17">
        <f t="shared" si="15"/>
        <v>0</v>
      </c>
      <c r="T49" s="17">
        <f>IFERROR((K49+M49+MATRIZ_174!O48)/3,0)</f>
        <v>0</v>
      </c>
      <c r="U49" s="18">
        <f>IFERROR(MATRIZ_174!AP48*50,0)</f>
        <v>6.25</v>
      </c>
      <c r="V49" s="18">
        <f t="shared" si="16"/>
        <v>50</v>
      </c>
      <c r="W49" s="18">
        <f>IF(MATRIZ_174!R48&gt;0,65,35)</f>
        <v>35</v>
      </c>
      <c r="X49" s="18">
        <f>IF(MATRIZ_174!O48=0,70,30)</f>
        <v>70</v>
      </c>
      <c r="Y49" s="18">
        <f>IF(OR(MATRIZ_174!P48="ASOCIACION",MATRIZ_174!P48="PENDIENTE"),65,40)</f>
        <v>65</v>
      </c>
      <c r="Z49" s="19">
        <f t="shared" si="17"/>
        <v>0</v>
      </c>
      <c r="AA49" s="20">
        <f t="shared" si="18"/>
        <v>45.3</v>
      </c>
      <c r="AB49" s="21">
        <f t="shared" si="19"/>
        <v>45.3</v>
      </c>
      <c r="AC49" s="13" t="str">
        <f t="shared" si="20"/>
        <v>⬜  Riesgo Latente</v>
      </c>
      <c r="AD49" s="13" t="str">
        <f t="shared" si="21"/>
        <v/>
      </c>
      <c r="AE49" s="22">
        <f>IFERROR(MATRIZ_174!W48,0)</f>
        <v>1</v>
      </c>
      <c r="AF49" s="22">
        <f>IFERROR(MATRIZ_174!X48,0)</f>
        <v>0</v>
      </c>
      <c r="AG49" s="22">
        <f>IFERROR(MATRIZ_174!Y48,0)</f>
        <v>0</v>
      </c>
      <c r="AH49" s="22">
        <f>IFERROR(MATRIZ_174!Z48,0)</f>
        <v>0</v>
      </c>
      <c r="AI49" s="17">
        <f>IFERROR(MATRIZ_174!AP48,"N/A")</f>
        <v>0.125</v>
      </c>
      <c r="AJ49" s="17">
        <f>IFERROR(MATRIZ_174!AO48,"N/A")</f>
        <v>0</v>
      </c>
      <c r="AK49" s="23">
        <f t="shared" si="22"/>
        <v>0</v>
      </c>
      <c r="AL49" s="24">
        <f t="shared" si="23"/>
        <v>0</v>
      </c>
    </row>
    <row r="50" spans="1:38" ht="16.05" customHeight="1" x14ac:dyDescent="0.3">
      <c r="A50" s="13" t="s">
        <v>165</v>
      </c>
      <c r="B50" s="14" t="s">
        <v>166</v>
      </c>
      <c r="C50" s="13" t="s">
        <v>71</v>
      </c>
      <c r="D50" s="15">
        <v>1145489.3500000001</v>
      </c>
      <c r="E50" s="16">
        <v>0</v>
      </c>
      <c r="F50" s="17">
        <f>IFERROR(SCORECARDS!H49,"")</f>
        <v>0</v>
      </c>
      <c r="G50" s="17">
        <f>IFERROR(MATRIZ_174!U49,0)</f>
        <v>1</v>
      </c>
      <c r="H50" s="16">
        <v>0</v>
      </c>
      <c r="I50" s="17">
        <f>IFERROR(SCORECARDS!I49,"")</f>
        <v>0</v>
      </c>
      <c r="J50" s="17">
        <f>IFERROR(SCORECARDS!J49,"")</f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7">
        <f t="shared" si="12"/>
        <v>0</v>
      </c>
      <c r="Q50" s="17">
        <f t="shared" si="13"/>
        <v>0</v>
      </c>
      <c r="R50" s="17">
        <f t="shared" si="14"/>
        <v>0</v>
      </c>
      <c r="S50" s="17">
        <f t="shared" si="15"/>
        <v>0</v>
      </c>
      <c r="T50" s="17">
        <f>IFERROR((K50+M50+MATRIZ_174!O49)/3,0)</f>
        <v>0</v>
      </c>
      <c r="U50" s="18">
        <f>IFERROR(MATRIZ_174!AP49*50,0)</f>
        <v>6.25</v>
      </c>
      <c r="V50" s="18">
        <f t="shared" si="16"/>
        <v>50</v>
      </c>
      <c r="W50" s="18">
        <f>IF(MATRIZ_174!R49&gt;0,65,35)</f>
        <v>35</v>
      </c>
      <c r="X50" s="18">
        <f>IF(MATRIZ_174!O49=0,70,30)</f>
        <v>70</v>
      </c>
      <c r="Y50" s="18">
        <f>IF(OR(MATRIZ_174!P49="ASOCIACION",MATRIZ_174!P49="PENDIENTE"),65,40)</f>
        <v>65</v>
      </c>
      <c r="Z50" s="19">
        <f t="shared" si="17"/>
        <v>0</v>
      </c>
      <c r="AA50" s="20">
        <f t="shared" si="18"/>
        <v>45.3</v>
      </c>
      <c r="AB50" s="21">
        <f t="shared" si="19"/>
        <v>45.3</v>
      </c>
      <c r="AC50" s="13" t="str">
        <f t="shared" si="20"/>
        <v>⬜  Riesgo Latente</v>
      </c>
      <c r="AD50" s="13" t="str">
        <f t="shared" si="21"/>
        <v/>
      </c>
      <c r="AE50" s="22">
        <f>IFERROR(MATRIZ_174!W49,0)</f>
        <v>1</v>
      </c>
      <c r="AF50" s="22">
        <f>IFERROR(MATRIZ_174!X49,0)</f>
        <v>0</v>
      </c>
      <c r="AG50" s="22">
        <f>IFERROR(MATRIZ_174!Y49,0)</f>
        <v>0</v>
      </c>
      <c r="AH50" s="22">
        <f>IFERROR(MATRIZ_174!Z49,0)</f>
        <v>0</v>
      </c>
      <c r="AI50" s="17">
        <f>IFERROR(MATRIZ_174!AP49,"N/A")</f>
        <v>0.125</v>
      </c>
      <c r="AJ50" s="17">
        <f>IFERROR(MATRIZ_174!AO49,"N/A")</f>
        <v>0</v>
      </c>
      <c r="AK50" s="23">
        <f t="shared" si="22"/>
        <v>0</v>
      </c>
      <c r="AL50" s="24">
        <f t="shared" si="23"/>
        <v>0</v>
      </c>
    </row>
    <row r="51" spans="1:38" ht="16.05" customHeight="1" x14ac:dyDescent="0.3">
      <c r="A51" s="13" t="s">
        <v>167</v>
      </c>
      <c r="B51" s="14" t="s">
        <v>168</v>
      </c>
      <c r="C51" s="13" t="s">
        <v>169</v>
      </c>
      <c r="D51" s="15">
        <v>0</v>
      </c>
      <c r="E51" s="16">
        <v>0</v>
      </c>
      <c r="F51" s="17">
        <f>IFERROR(SCORECARDS!H50,"")</f>
        <v>0</v>
      </c>
      <c r="G51" s="17">
        <f>IFERROR(MATRIZ_174!U50,0)</f>
        <v>0</v>
      </c>
      <c r="H51" s="16">
        <v>0</v>
      </c>
      <c r="I51" s="17">
        <f>IFERROR(SCORECARDS!I50,"")</f>
        <v>0</v>
      </c>
      <c r="J51" s="17">
        <f>IFERROR(SCORECARDS!J50,"")</f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7">
        <f t="shared" si="12"/>
        <v>0</v>
      </c>
      <c r="Q51" s="17">
        <f t="shared" si="13"/>
        <v>0</v>
      </c>
      <c r="R51" s="17">
        <f t="shared" si="14"/>
        <v>0</v>
      </c>
      <c r="S51" s="17">
        <f t="shared" si="15"/>
        <v>0</v>
      </c>
      <c r="T51" s="17">
        <f>IFERROR((K51+M51+MATRIZ_174!O50)/3,0)</f>
        <v>0</v>
      </c>
      <c r="U51" s="18">
        <f>IFERROR(MATRIZ_174!AP50*50,0)</f>
        <v>0</v>
      </c>
      <c r="V51" s="18">
        <f t="shared" si="16"/>
        <v>50</v>
      </c>
      <c r="W51" s="18">
        <f>IF(MATRIZ_174!R50&gt;0,65,35)</f>
        <v>35</v>
      </c>
      <c r="X51" s="18">
        <f>IF(MATRIZ_174!O50=0,70,30)</f>
        <v>70</v>
      </c>
      <c r="Y51" s="18">
        <f>IF(OR(MATRIZ_174!P50="ASOCIACION",MATRIZ_174!P50="PENDIENTE"),65,40)</f>
        <v>65</v>
      </c>
      <c r="Z51" s="19">
        <f t="shared" si="17"/>
        <v>0</v>
      </c>
      <c r="AA51" s="20">
        <f t="shared" si="18"/>
        <v>44</v>
      </c>
      <c r="AB51" s="21">
        <f t="shared" si="19"/>
        <v>44</v>
      </c>
      <c r="AC51" s="13" t="str">
        <f t="shared" si="20"/>
        <v>⬜  Riesgo Latente</v>
      </c>
      <c r="AD51" s="13" t="str">
        <f t="shared" si="21"/>
        <v>🚫  Inh. vigente OSCE</v>
      </c>
      <c r="AE51" s="22">
        <f>IFERROR(MATRIZ_174!W50,0)</f>
        <v>0</v>
      </c>
      <c r="AF51" s="22">
        <f>IFERROR(MATRIZ_174!X50,0)</f>
        <v>0</v>
      </c>
      <c r="AG51" s="22">
        <f>IFERROR(MATRIZ_174!Y50,0)</f>
        <v>0</v>
      </c>
      <c r="AH51" s="22">
        <f>IFERROR(MATRIZ_174!Z50,0)</f>
        <v>0</v>
      </c>
      <c r="AI51" s="17">
        <f>IFERROR(MATRIZ_174!AP50,"N/A")</f>
        <v>0</v>
      </c>
      <c r="AJ51" s="17">
        <f>IFERROR(MATRIZ_174!AO50,"N/A")</f>
        <v>0</v>
      </c>
      <c r="AK51" s="23">
        <f t="shared" si="22"/>
        <v>0</v>
      </c>
      <c r="AL51" s="24">
        <f t="shared" si="23"/>
        <v>0</v>
      </c>
    </row>
    <row r="52" spans="1:38" ht="16.05" customHeight="1" x14ac:dyDescent="0.3">
      <c r="A52" s="13" t="s">
        <v>170</v>
      </c>
      <c r="B52" s="14" t="s">
        <v>171</v>
      </c>
      <c r="C52" s="13" t="s">
        <v>140</v>
      </c>
      <c r="D52" s="15">
        <v>0</v>
      </c>
      <c r="E52" s="16">
        <v>0</v>
      </c>
      <c r="F52" s="17">
        <f>IFERROR(SCORECARDS!H51,"")</f>
        <v>0</v>
      </c>
      <c r="G52" s="17">
        <f>IFERROR(MATRIZ_174!U51,0)</f>
        <v>0</v>
      </c>
      <c r="H52" s="16">
        <v>0</v>
      </c>
      <c r="I52" s="17">
        <f>IFERROR(SCORECARDS!I51,"")</f>
        <v>0</v>
      </c>
      <c r="J52" s="17">
        <f>IFERROR(SCORECARDS!J51,"")</f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7">
        <f t="shared" si="12"/>
        <v>0</v>
      </c>
      <c r="Q52" s="17">
        <f t="shared" si="13"/>
        <v>0</v>
      </c>
      <c r="R52" s="17">
        <f t="shared" si="14"/>
        <v>0</v>
      </c>
      <c r="S52" s="17">
        <f t="shared" si="15"/>
        <v>0</v>
      </c>
      <c r="T52" s="17">
        <f>IFERROR((K52+M52+MATRIZ_174!O51)/3,0)</f>
        <v>0</v>
      </c>
      <c r="U52" s="18">
        <f>IFERROR(MATRIZ_174!AP51*50,0)</f>
        <v>0</v>
      </c>
      <c r="V52" s="18">
        <f t="shared" si="16"/>
        <v>50</v>
      </c>
      <c r="W52" s="18">
        <f>IF(MATRIZ_174!R51&gt;0,65,35)</f>
        <v>35</v>
      </c>
      <c r="X52" s="18">
        <f>IF(MATRIZ_174!O51=0,70,30)</f>
        <v>70</v>
      </c>
      <c r="Y52" s="18">
        <f>IF(OR(MATRIZ_174!P51="ASOCIACION",MATRIZ_174!P51="PENDIENTE"),65,40)</f>
        <v>65</v>
      </c>
      <c r="Z52" s="19">
        <f t="shared" si="17"/>
        <v>0</v>
      </c>
      <c r="AA52" s="20">
        <f t="shared" si="18"/>
        <v>44</v>
      </c>
      <c r="AB52" s="21">
        <f t="shared" si="19"/>
        <v>44</v>
      </c>
      <c r="AC52" s="13" t="str">
        <f t="shared" si="20"/>
        <v>⬜  Riesgo Latente</v>
      </c>
      <c r="AD52" s="13" t="str">
        <f t="shared" si="21"/>
        <v>🚫  Inh. vigente OSCE</v>
      </c>
      <c r="AE52" s="22">
        <f>IFERROR(MATRIZ_174!W51,0)</f>
        <v>0</v>
      </c>
      <c r="AF52" s="22">
        <f>IFERROR(MATRIZ_174!X51,0)</f>
        <v>0</v>
      </c>
      <c r="AG52" s="22">
        <f>IFERROR(MATRIZ_174!Y51,0)</f>
        <v>0</v>
      </c>
      <c r="AH52" s="22">
        <f>IFERROR(MATRIZ_174!Z51,0)</f>
        <v>0</v>
      </c>
      <c r="AI52" s="17">
        <f>IFERROR(MATRIZ_174!AP51,"N/A")</f>
        <v>0</v>
      </c>
      <c r="AJ52" s="17">
        <f>IFERROR(MATRIZ_174!AO51,"N/A")</f>
        <v>0</v>
      </c>
      <c r="AK52" s="23">
        <f t="shared" si="22"/>
        <v>0</v>
      </c>
      <c r="AL52" s="24">
        <f t="shared" si="23"/>
        <v>0</v>
      </c>
    </row>
    <row r="53" spans="1:38" ht="16.05" customHeight="1" x14ac:dyDescent="0.3">
      <c r="A53" s="13" t="s">
        <v>172</v>
      </c>
      <c r="B53" s="14" t="s">
        <v>173</v>
      </c>
      <c r="C53" s="13" t="s">
        <v>74</v>
      </c>
      <c r="D53" s="15">
        <v>0</v>
      </c>
      <c r="E53" s="16">
        <v>0</v>
      </c>
      <c r="F53" s="17">
        <f>IFERROR(SCORECARDS!H52,"")</f>
        <v>0</v>
      </c>
      <c r="G53" s="17">
        <f>IFERROR(MATRIZ_174!U52,0)</f>
        <v>0</v>
      </c>
      <c r="H53" s="16">
        <v>0</v>
      </c>
      <c r="I53" s="17">
        <f>IFERROR(SCORECARDS!I52,"")</f>
        <v>0</v>
      </c>
      <c r="J53" s="17">
        <f>IFERROR(SCORECARDS!J52,"")</f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7">
        <f t="shared" si="12"/>
        <v>0</v>
      </c>
      <c r="Q53" s="17">
        <f t="shared" si="13"/>
        <v>0</v>
      </c>
      <c r="R53" s="17">
        <f t="shared" si="14"/>
        <v>0</v>
      </c>
      <c r="S53" s="17">
        <f t="shared" si="15"/>
        <v>0</v>
      </c>
      <c r="T53" s="17">
        <f>IFERROR((K53+M53+MATRIZ_174!O52)/3,0)</f>
        <v>0</v>
      </c>
      <c r="U53" s="18">
        <f>IFERROR(MATRIZ_174!AP52*50,0)</f>
        <v>0</v>
      </c>
      <c r="V53" s="18">
        <f t="shared" si="16"/>
        <v>50</v>
      </c>
      <c r="W53" s="18">
        <f>IF(MATRIZ_174!R52&gt;0,65,35)</f>
        <v>35</v>
      </c>
      <c r="X53" s="18">
        <f>IF(MATRIZ_174!O52=0,70,30)</f>
        <v>70</v>
      </c>
      <c r="Y53" s="18">
        <f>IF(OR(MATRIZ_174!P52="ASOCIACION",MATRIZ_174!P52="PENDIENTE"),65,40)</f>
        <v>65</v>
      </c>
      <c r="Z53" s="19">
        <f t="shared" si="17"/>
        <v>0</v>
      </c>
      <c r="AA53" s="20">
        <f t="shared" si="18"/>
        <v>44</v>
      </c>
      <c r="AB53" s="21">
        <f t="shared" si="19"/>
        <v>44</v>
      </c>
      <c r="AC53" s="13" t="str">
        <f t="shared" si="20"/>
        <v>⬜  Riesgo Latente</v>
      </c>
      <c r="AD53" s="13" t="str">
        <f t="shared" si="21"/>
        <v>🚫  Inh. vigente OSCE</v>
      </c>
      <c r="AE53" s="22">
        <f>IFERROR(MATRIZ_174!W52,0)</f>
        <v>0</v>
      </c>
      <c r="AF53" s="22">
        <f>IFERROR(MATRIZ_174!X52,0)</f>
        <v>0</v>
      </c>
      <c r="AG53" s="22">
        <f>IFERROR(MATRIZ_174!Y52,0)</f>
        <v>0</v>
      </c>
      <c r="AH53" s="22">
        <f>IFERROR(MATRIZ_174!Z52,0)</f>
        <v>0</v>
      </c>
      <c r="AI53" s="17">
        <f>IFERROR(MATRIZ_174!AP52,"N/A")</f>
        <v>0</v>
      </c>
      <c r="AJ53" s="17">
        <f>IFERROR(MATRIZ_174!AO52,"N/A")</f>
        <v>0</v>
      </c>
      <c r="AK53" s="23">
        <f t="shared" si="22"/>
        <v>0</v>
      </c>
      <c r="AL53" s="24">
        <f t="shared" si="23"/>
        <v>0</v>
      </c>
    </row>
    <row r="54" spans="1:38" ht="16.05" customHeight="1" x14ac:dyDescent="0.3">
      <c r="A54" s="13" t="s">
        <v>174</v>
      </c>
      <c r="B54" s="14" t="s">
        <v>175</v>
      </c>
      <c r="C54" s="13" t="s">
        <v>129</v>
      </c>
      <c r="D54" s="15">
        <v>0</v>
      </c>
      <c r="E54" s="16">
        <v>0</v>
      </c>
      <c r="F54" s="17">
        <f>IFERROR(SCORECARDS!H53,"")</f>
        <v>0</v>
      </c>
      <c r="G54" s="17">
        <f>IFERROR(MATRIZ_174!U53,0)</f>
        <v>0</v>
      </c>
      <c r="H54" s="16">
        <v>0</v>
      </c>
      <c r="I54" s="17">
        <f>IFERROR(SCORECARDS!I53,"")</f>
        <v>0</v>
      </c>
      <c r="J54" s="17">
        <f>IFERROR(SCORECARDS!J53,"")</f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7">
        <f t="shared" si="12"/>
        <v>0</v>
      </c>
      <c r="Q54" s="17">
        <f t="shared" si="13"/>
        <v>0</v>
      </c>
      <c r="R54" s="17">
        <f t="shared" si="14"/>
        <v>0</v>
      </c>
      <c r="S54" s="17">
        <f t="shared" si="15"/>
        <v>0</v>
      </c>
      <c r="T54" s="17">
        <f>IFERROR((K54+M54+MATRIZ_174!O53)/3,0)</f>
        <v>0</v>
      </c>
      <c r="U54" s="18">
        <f>IFERROR(MATRIZ_174!AP53*50,0)</f>
        <v>0</v>
      </c>
      <c r="V54" s="18">
        <f t="shared" si="16"/>
        <v>50</v>
      </c>
      <c r="W54" s="18">
        <f>IF(MATRIZ_174!R53&gt;0,65,35)</f>
        <v>35</v>
      </c>
      <c r="X54" s="18">
        <f>IF(MATRIZ_174!O53=0,70,30)</f>
        <v>70</v>
      </c>
      <c r="Y54" s="18">
        <f>IF(OR(MATRIZ_174!P53="ASOCIACION",MATRIZ_174!P53="PENDIENTE"),65,40)</f>
        <v>65</v>
      </c>
      <c r="Z54" s="19">
        <f t="shared" si="17"/>
        <v>0</v>
      </c>
      <c r="AA54" s="20">
        <f t="shared" si="18"/>
        <v>44</v>
      </c>
      <c r="AB54" s="21">
        <f t="shared" si="19"/>
        <v>44</v>
      </c>
      <c r="AC54" s="13" t="str">
        <f t="shared" si="20"/>
        <v>⬜  Riesgo Latente</v>
      </c>
      <c r="AD54" s="13" t="str">
        <f t="shared" si="21"/>
        <v>🚫  Inh. vigente OSCE</v>
      </c>
      <c r="AE54" s="22">
        <f>IFERROR(MATRIZ_174!W53,0)</f>
        <v>0</v>
      </c>
      <c r="AF54" s="22">
        <f>IFERROR(MATRIZ_174!X53,0)</f>
        <v>0</v>
      </c>
      <c r="AG54" s="22">
        <f>IFERROR(MATRIZ_174!Y53,0)</f>
        <v>0</v>
      </c>
      <c r="AH54" s="22">
        <f>IFERROR(MATRIZ_174!Z53,0)</f>
        <v>0</v>
      </c>
      <c r="AI54" s="17">
        <f>IFERROR(MATRIZ_174!AP53,"N/A")</f>
        <v>0</v>
      </c>
      <c r="AJ54" s="17">
        <f>IFERROR(MATRIZ_174!AO53,"N/A")</f>
        <v>0</v>
      </c>
      <c r="AK54" s="23">
        <f t="shared" si="22"/>
        <v>0</v>
      </c>
      <c r="AL54" s="24">
        <f t="shared" si="23"/>
        <v>0</v>
      </c>
    </row>
    <row r="55" spans="1:38" ht="16.05" customHeight="1" x14ac:dyDescent="0.3">
      <c r="A55" s="13" t="s">
        <v>176</v>
      </c>
      <c r="B55" s="14" t="s">
        <v>177</v>
      </c>
      <c r="C55" s="13" t="s">
        <v>129</v>
      </c>
      <c r="D55" s="15">
        <v>0</v>
      </c>
      <c r="E55" s="16">
        <v>0</v>
      </c>
      <c r="F55" s="17">
        <f>IFERROR(SCORECARDS!H54,"")</f>
        <v>0</v>
      </c>
      <c r="G55" s="17">
        <f>IFERROR(MATRIZ_174!U54,0)</f>
        <v>0</v>
      </c>
      <c r="H55" s="16">
        <v>0</v>
      </c>
      <c r="I55" s="17">
        <f>IFERROR(SCORECARDS!I54,"")</f>
        <v>0</v>
      </c>
      <c r="J55" s="17">
        <f>IFERROR(SCORECARDS!J54,"")</f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7">
        <f t="shared" si="12"/>
        <v>0</v>
      </c>
      <c r="Q55" s="17">
        <f t="shared" si="13"/>
        <v>0</v>
      </c>
      <c r="R55" s="17">
        <f t="shared" si="14"/>
        <v>0</v>
      </c>
      <c r="S55" s="17">
        <f t="shared" si="15"/>
        <v>0</v>
      </c>
      <c r="T55" s="17">
        <f>IFERROR((K55+M55+MATRIZ_174!O54)/3,0)</f>
        <v>0</v>
      </c>
      <c r="U55" s="18">
        <f>IFERROR(MATRIZ_174!AP54*50,0)</f>
        <v>0</v>
      </c>
      <c r="V55" s="18">
        <f t="shared" si="16"/>
        <v>50</v>
      </c>
      <c r="W55" s="18">
        <f>IF(MATRIZ_174!R54&gt;0,65,35)</f>
        <v>35</v>
      </c>
      <c r="X55" s="18">
        <f>IF(MATRIZ_174!O54=0,70,30)</f>
        <v>70</v>
      </c>
      <c r="Y55" s="18">
        <f>IF(OR(MATRIZ_174!P54="ASOCIACION",MATRIZ_174!P54="PENDIENTE"),65,40)</f>
        <v>65</v>
      </c>
      <c r="Z55" s="19">
        <f t="shared" si="17"/>
        <v>0</v>
      </c>
      <c r="AA55" s="20">
        <f t="shared" si="18"/>
        <v>44</v>
      </c>
      <c r="AB55" s="21">
        <f t="shared" si="19"/>
        <v>44</v>
      </c>
      <c r="AC55" s="13" t="str">
        <f t="shared" si="20"/>
        <v>⬜  Riesgo Latente</v>
      </c>
      <c r="AD55" s="13" t="str">
        <f t="shared" si="21"/>
        <v>🚫  Inh. vigente OSCE</v>
      </c>
      <c r="AE55" s="22">
        <f>IFERROR(MATRIZ_174!W54,0)</f>
        <v>0</v>
      </c>
      <c r="AF55" s="22">
        <f>IFERROR(MATRIZ_174!X54,0)</f>
        <v>0</v>
      </c>
      <c r="AG55" s="22">
        <f>IFERROR(MATRIZ_174!Y54,0)</f>
        <v>0</v>
      </c>
      <c r="AH55" s="22">
        <f>IFERROR(MATRIZ_174!Z54,0)</f>
        <v>0</v>
      </c>
      <c r="AI55" s="17">
        <f>IFERROR(MATRIZ_174!AP54,"N/A")</f>
        <v>0</v>
      </c>
      <c r="AJ55" s="17">
        <f>IFERROR(MATRIZ_174!AO54,"N/A")</f>
        <v>0</v>
      </c>
      <c r="AK55" s="23">
        <f t="shared" si="22"/>
        <v>0</v>
      </c>
      <c r="AL55" s="24">
        <f t="shared" si="23"/>
        <v>0</v>
      </c>
    </row>
    <row r="56" spans="1:38" ht="16.05" customHeight="1" x14ac:dyDescent="0.3">
      <c r="A56" s="13" t="s">
        <v>178</v>
      </c>
      <c r="B56" s="14" t="s">
        <v>179</v>
      </c>
      <c r="C56" s="13" t="s">
        <v>129</v>
      </c>
      <c r="D56" s="15">
        <v>0</v>
      </c>
      <c r="E56" s="16">
        <v>0</v>
      </c>
      <c r="F56" s="17">
        <f>IFERROR(SCORECARDS!H55,"")</f>
        <v>0</v>
      </c>
      <c r="G56" s="17">
        <f>IFERROR(MATRIZ_174!U55,0)</f>
        <v>0</v>
      </c>
      <c r="H56" s="16">
        <v>0</v>
      </c>
      <c r="I56" s="17">
        <f>IFERROR(SCORECARDS!I55,"")</f>
        <v>0</v>
      </c>
      <c r="J56" s="17">
        <f>IFERROR(SCORECARDS!J55,"")</f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7">
        <f t="shared" si="12"/>
        <v>0</v>
      </c>
      <c r="Q56" s="17">
        <f t="shared" si="13"/>
        <v>0</v>
      </c>
      <c r="R56" s="17">
        <f t="shared" si="14"/>
        <v>0</v>
      </c>
      <c r="S56" s="17">
        <f t="shared" si="15"/>
        <v>0</v>
      </c>
      <c r="T56" s="17">
        <f>IFERROR((K56+M56+MATRIZ_174!O55)/3,0)</f>
        <v>0</v>
      </c>
      <c r="U56" s="18">
        <f>IFERROR(MATRIZ_174!AP55*50,0)</f>
        <v>0</v>
      </c>
      <c r="V56" s="18">
        <f t="shared" si="16"/>
        <v>50</v>
      </c>
      <c r="W56" s="18">
        <f>IF(MATRIZ_174!R55&gt;0,65,35)</f>
        <v>35</v>
      </c>
      <c r="X56" s="18">
        <f>IF(MATRIZ_174!O55=0,70,30)</f>
        <v>70</v>
      </c>
      <c r="Y56" s="18">
        <f>IF(OR(MATRIZ_174!P55="ASOCIACION",MATRIZ_174!P55="PENDIENTE"),65,40)</f>
        <v>65</v>
      </c>
      <c r="Z56" s="19">
        <f t="shared" si="17"/>
        <v>0</v>
      </c>
      <c r="AA56" s="20">
        <f t="shared" si="18"/>
        <v>44</v>
      </c>
      <c r="AB56" s="21">
        <f t="shared" si="19"/>
        <v>44</v>
      </c>
      <c r="AC56" s="13" t="str">
        <f t="shared" si="20"/>
        <v>⬜  Riesgo Latente</v>
      </c>
      <c r="AD56" s="13" t="str">
        <f t="shared" si="21"/>
        <v>🚫  Inh. vigente OSCE</v>
      </c>
      <c r="AE56" s="22">
        <f>IFERROR(MATRIZ_174!W55,0)</f>
        <v>0</v>
      </c>
      <c r="AF56" s="22">
        <f>IFERROR(MATRIZ_174!X55,0)</f>
        <v>0</v>
      </c>
      <c r="AG56" s="22">
        <f>IFERROR(MATRIZ_174!Y55,0)</f>
        <v>0</v>
      </c>
      <c r="AH56" s="22">
        <f>IFERROR(MATRIZ_174!Z55,0)</f>
        <v>0</v>
      </c>
      <c r="AI56" s="17">
        <f>IFERROR(MATRIZ_174!AP55,"N/A")</f>
        <v>0</v>
      </c>
      <c r="AJ56" s="17">
        <f>IFERROR(MATRIZ_174!AO55,"N/A")</f>
        <v>0</v>
      </c>
      <c r="AK56" s="23">
        <f t="shared" si="22"/>
        <v>0</v>
      </c>
      <c r="AL56" s="24">
        <f t="shared" si="23"/>
        <v>0</v>
      </c>
    </row>
    <row r="57" spans="1:38" ht="16.05" customHeight="1" x14ac:dyDescent="0.3">
      <c r="A57" s="13" t="s">
        <v>180</v>
      </c>
      <c r="B57" s="14" t="s">
        <v>181</v>
      </c>
      <c r="C57" s="13" t="s">
        <v>182</v>
      </c>
      <c r="D57" s="15">
        <v>0</v>
      </c>
      <c r="E57" s="16">
        <v>0</v>
      </c>
      <c r="F57" s="17">
        <f>IFERROR(SCORECARDS!H56,"")</f>
        <v>0</v>
      </c>
      <c r="G57" s="17">
        <f>IFERROR(MATRIZ_174!U56,0)</f>
        <v>0</v>
      </c>
      <c r="H57" s="16">
        <v>0</v>
      </c>
      <c r="I57" s="17">
        <f>IFERROR(SCORECARDS!I56,"")</f>
        <v>0</v>
      </c>
      <c r="J57" s="17">
        <f>IFERROR(SCORECARDS!J56,"")</f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7">
        <f t="shared" si="12"/>
        <v>0</v>
      </c>
      <c r="Q57" s="17">
        <f t="shared" si="13"/>
        <v>0</v>
      </c>
      <c r="R57" s="17">
        <f t="shared" si="14"/>
        <v>0</v>
      </c>
      <c r="S57" s="17">
        <f t="shared" si="15"/>
        <v>0</v>
      </c>
      <c r="T57" s="17">
        <f>IFERROR((K57+M57+MATRIZ_174!O56)/3,0)</f>
        <v>0</v>
      </c>
      <c r="U57" s="18">
        <f>IFERROR(MATRIZ_174!AP56*50,0)</f>
        <v>0</v>
      </c>
      <c r="V57" s="18">
        <f t="shared" si="16"/>
        <v>50</v>
      </c>
      <c r="W57" s="18">
        <f>IF(MATRIZ_174!R56&gt;0,65,35)</f>
        <v>35</v>
      </c>
      <c r="X57" s="18">
        <f>IF(MATRIZ_174!O56=0,70,30)</f>
        <v>70</v>
      </c>
      <c r="Y57" s="18">
        <f>IF(OR(MATRIZ_174!P56="ASOCIACION",MATRIZ_174!P56="PENDIENTE"),65,40)</f>
        <v>65</v>
      </c>
      <c r="Z57" s="19">
        <f t="shared" si="17"/>
        <v>0</v>
      </c>
      <c r="AA57" s="20">
        <f t="shared" si="18"/>
        <v>44</v>
      </c>
      <c r="AB57" s="21">
        <f t="shared" si="19"/>
        <v>44</v>
      </c>
      <c r="AC57" s="13" t="str">
        <f t="shared" si="20"/>
        <v>⬜  Riesgo Latente</v>
      </c>
      <c r="AD57" s="13" t="str">
        <f t="shared" si="21"/>
        <v>🚫  Inh. vigente OSCE</v>
      </c>
      <c r="AE57" s="22">
        <f>IFERROR(MATRIZ_174!W56,0)</f>
        <v>0</v>
      </c>
      <c r="AF57" s="22">
        <f>IFERROR(MATRIZ_174!X56,0)</f>
        <v>0</v>
      </c>
      <c r="AG57" s="22">
        <f>IFERROR(MATRIZ_174!Y56,0)</f>
        <v>0</v>
      </c>
      <c r="AH57" s="22">
        <f>IFERROR(MATRIZ_174!Z56,0)</f>
        <v>0</v>
      </c>
      <c r="AI57" s="17">
        <f>IFERROR(MATRIZ_174!AP56,"N/A")</f>
        <v>0</v>
      </c>
      <c r="AJ57" s="17">
        <f>IFERROR(MATRIZ_174!AO56,"N/A")</f>
        <v>0</v>
      </c>
      <c r="AK57" s="23">
        <f t="shared" si="22"/>
        <v>0</v>
      </c>
      <c r="AL57" s="24">
        <f t="shared" si="23"/>
        <v>0</v>
      </c>
    </row>
    <row r="58" spans="1:38" ht="16.05" customHeight="1" x14ac:dyDescent="0.3">
      <c r="A58" s="13" t="s">
        <v>183</v>
      </c>
      <c r="B58" s="14" t="s">
        <v>184</v>
      </c>
      <c r="C58" s="13" t="s">
        <v>74</v>
      </c>
      <c r="D58" s="15">
        <v>0</v>
      </c>
      <c r="E58" s="16">
        <v>0</v>
      </c>
      <c r="F58" s="17">
        <f>IFERROR(SCORECARDS!H57,"")</f>
        <v>0</v>
      </c>
      <c r="G58" s="17">
        <f>IFERROR(MATRIZ_174!U57,0)</f>
        <v>0</v>
      </c>
      <c r="H58" s="16">
        <v>0</v>
      </c>
      <c r="I58" s="17">
        <f>IFERROR(SCORECARDS!I57,"")</f>
        <v>0</v>
      </c>
      <c r="J58" s="17">
        <f>IFERROR(SCORECARDS!J57,"")</f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7">
        <f t="shared" si="12"/>
        <v>0</v>
      </c>
      <c r="Q58" s="17">
        <f t="shared" si="13"/>
        <v>0</v>
      </c>
      <c r="R58" s="17">
        <f t="shared" si="14"/>
        <v>0</v>
      </c>
      <c r="S58" s="17">
        <f t="shared" si="15"/>
        <v>0</v>
      </c>
      <c r="T58" s="17">
        <f>IFERROR((K58+M58+MATRIZ_174!O57)/3,0)</f>
        <v>0</v>
      </c>
      <c r="U58" s="18">
        <f>IFERROR(MATRIZ_174!AP57*50,0)</f>
        <v>0</v>
      </c>
      <c r="V58" s="18">
        <f t="shared" si="16"/>
        <v>50</v>
      </c>
      <c r="W58" s="18">
        <f>IF(MATRIZ_174!R57&gt;0,65,35)</f>
        <v>35</v>
      </c>
      <c r="X58" s="18">
        <f>IF(MATRIZ_174!O57=0,70,30)</f>
        <v>70</v>
      </c>
      <c r="Y58" s="18">
        <f>IF(OR(MATRIZ_174!P57="ASOCIACION",MATRIZ_174!P57="PENDIENTE"),65,40)</f>
        <v>65</v>
      </c>
      <c r="Z58" s="19">
        <f t="shared" si="17"/>
        <v>0</v>
      </c>
      <c r="AA58" s="20">
        <f t="shared" si="18"/>
        <v>44</v>
      </c>
      <c r="AB58" s="21">
        <f t="shared" si="19"/>
        <v>44</v>
      </c>
      <c r="AC58" s="13" t="str">
        <f t="shared" si="20"/>
        <v>⬜  Riesgo Latente</v>
      </c>
      <c r="AD58" s="13" t="str">
        <f t="shared" si="21"/>
        <v>🚫  Inh. vigente OSCE</v>
      </c>
      <c r="AE58" s="22">
        <f>IFERROR(MATRIZ_174!W57,0)</f>
        <v>0</v>
      </c>
      <c r="AF58" s="22">
        <f>IFERROR(MATRIZ_174!X57,0)</f>
        <v>0</v>
      </c>
      <c r="AG58" s="22">
        <f>IFERROR(MATRIZ_174!Y57,0)</f>
        <v>0</v>
      </c>
      <c r="AH58" s="22">
        <f>IFERROR(MATRIZ_174!Z57,0)</f>
        <v>0</v>
      </c>
      <c r="AI58" s="17">
        <f>IFERROR(MATRIZ_174!AP57,"N/A")</f>
        <v>0</v>
      </c>
      <c r="AJ58" s="17">
        <f>IFERROR(MATRIZ_174!AO57,"N/A")</f>
        <v>0</v>
      </c>
      <c r="AK58" s="23">
        <f t="shared" si="22"/>
        <v>0</v>
      </c>
      <c r="AL58" s="24">
        <f t="shared" si="23"/>
        <v>0</v>
      </c>
    </row>
    <row r="59" spans="1:38" ht="16.05" customHeight="1" x14ac:dyDescent="0.3">
      <c r="A59" s="13" t="s">
        <v>185</v>
      </c>
      <c r="B59" s="14" t="s">
        <v>186</v>
      </c>
      <c r="C59" s="13" t="s">
        <v>95</v>
      </c>
      <c r="D59" s="15">
        <v>52920</v>
      </c>
      <c r="E59" s="16">
        <v>0</v>
      </c>
      <c r="F59" s="17">
        <f>IFERROR(SCORECARDS!H58,"")</f>
        <v>0</v>
      </c>
      <c r="G59" s="17">
        <f>IFERROR(MATRIZ_174!U58,0)</f>
        <v>1</v>
      </c>
      <c r="H59" s="16">
        <v>0</v>
      </c>
      <c r="I59" s="17">
        <f>IFERROR(SCORECARDS!I58,"")</f>
        <v>0</v>
      </c>
      <c r="J59" s="17">
        <f>IFERROR(SCORECARDS!J58,"")</f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7">
        <f t="shared" si="12"/>
        <v>0</v>
      </c>
      <c r="Q59" s="17">
        <f t="shared" si="13"/>
        <v>0</v>
      </c>
      <c r="R59" s="17">
        <f t="shared" si="14"/>
        <v>0</v>
      </c>
      <c r="S59" s="17">
        <f t="shared" si="15"/>
        <v>0</v>
      </c>
      <c r="T59" s="17">
        <f>IFERROR((K59+M59+MATRIZ_174!O58)/3,0)</f>
        <v>0</v>
      </c>
      <c r="U59" s="18">
        <f>IFERROR(MATRIZ_174!AP58*50,0)</f>
        <v>0</v>
      </c>
      <c r="V59" s="18">
        <f t="shared" si="16"/>
        <v>50</v>
      </c>
      <c r="W59" s="18">
        <f>IF(MATRIZ_174!R58&gt;0,65,35)</f>
        <v>35</v>
      </c>
      <c r="X59" s="18">
        <f>IF(MATRIZ_174!O58=0,70,30)</f>
        <v>70</v>
      </c>
      <c r="Y59" s="18">
        <f>IF(OR(MATRIZ_174!P58="ASOCIACION",MATRIZ_174!P58="PENDIENTE"),65,40)</f>
        <v>65</v>
      </c>
      <c r="Z59" s="19">
        <f t="shared" si="17"/>
        <v>0</v>
      </c>
      <c r="AA59" s="20">
        <f t="shared" si="18"/>
        <v>44</v>
      </c>
      <c r="AB59" s="21">
        <f t="shared" si="19"/>
        <v>44</v>
      </c>
      <c r="AC59" s="13" t="str">
        <f t="shared" si="20"/>
        <v>⬜  Riesgo Latente</v>
      </c>
      <c r="AD59" s="13" t="str">
        <f t="shared" si="21"/>
        <v/>
      </c>
      <c r="AE59" s="22">
        <f>IFERROR(MATRIZ_174!W58,0)</f>
        <v>0</v>
      </c>
      <c r="AF59" s="22">
        <f>IFERROR(MATRIZ_174!X58,0)</f>
        <v>0</v>
      </c>
      <c r="AG59" s="22">
        <f>IFERROR(MATRIZ_174!Y58,0)</f>
        <v>0</v>
      </c>
      <c r="AH59" s="22">
        <f>IFERROR(MATRIZ_174!Z58,0)</f>
        <v>0</v>
      </c>
      <c r="AI59" s="17">
        <f>IFERROR(MATRIZ_174!AP58,"N/A")</f>
        <v>0</v>
      </c>
      <c r="AJ59" s="17">
        <f>IFERROR(MATRIZ_174!AO58,"N/A")</f>
        <v>0</v>
      </c>
      <c r="AK59" s="23">
        <f t="shared" si="22"/>
        <v>0</v>
      </c>
      <c r="AL59" s="24">
        <f t="shared" si="23"/>
        <v>0</v>
      </c>
    </row>
    <row r="60" spans="1:38" ht="16.05" customHeight="1" x14ac:dyDescent="0.3">
      <c r="A60" s="13" t="s">
        <v>187</v>
      </c>
      <c r="B60" s="14" t="s">
        <v>188</v>
      </c>
      <c r="C60" s="13" t="s">
        <v>95</v>
      </c>
      <c r="D60" s="15">
        <v>0</v>
      </c>
      <c r="E60" s="16">
        <v>0</v>
      </c>
      <c r="F60" s="17">
        <f>IFERROR(SCORECARDS!H59,"")</f>
        <v>0</v>
      </c>
      <c r="G60" s="17">
        <f>IFERROR(MATRIZ_174!U59,0)</f>
        <v>0</v>
      </c>
      <c r="H60" s="16">
        <v>0</v>
      </c>
      <c r="I60" s="17">
        <f>IFERROR(SCORECARDS!I59,"")</f>
        <v>0</v>
      </c>
      <c r="J60" s="17">
        <f>IFERROR(SCORECARDS!J59,"")</f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7">
        <f t="shared" si="12"/>
        <v>0</v>
      </c>
      <c r="Q60" s="17">
        <f t="shared" si="13"/>
        <v>0</v>
      </c>
      <c r="R60" s="17">
        <f t="shared" si="14"/>
        <v>0</v>
      </c>
      <c r="S60" s="17">
        <f t="shared" si="15"/>
        <v>0</v>
      </c>
      <c r="T60" s="17">
        <f>IFERROR((K60+M60+MATRIZ_174!O59)/3,0)</f>
        <v>0</v>
      </c>
      <c r="U60" s="18">
        <f>IFERROR(MATRIZ_174!AP59*50,0)</f>
        <v>0</v>
      </c>
      <c r="V60" s="18">
        <f t="shared" si="16"/>
        <v>50</v>
      </c>
      <c r="W60" s="18">
        <f>IF(MATRIZ_174!R59&gt;0,65,35)</f>
        <v>35</v>
      </c>
      <c r="X60" s="18">
        <f>IF(MATRIZ_174!O59=0,70,30)</f>
        <v>70</v>
      </c>
      <c r="Y60" s="18">
        <f>IF(OR(MATRIZ_174!P59="ASOCIACION",MATRIZ_174!P59="PENDIENTE"),65,40)</f>
        <v>65</v>
      </c>
      <c r="Z60" s="19">
        <f t="shared" si="17"/>
        <v>0</v>
      </c>
      <c r="AA60" s="20">
        <f t="shared" si="18"/>
        <v>44</v>
      </c>
      <c r="AB60" s="21">
        <f t="shared" si="19"/>
        <v>44</v>
      </c>
      <c r="AC60" s="13" t="str">
        <f t="shared" si="20"/>
        <v>⬜  Riesgo Latente</v>
      </c>
      <c r="AD60" s="13" t="str">
        <f t="shared" si="21"/>
        <v>🚫  Inh. vigente OSCE</v>
      </c>
      <c r="AE60" s="22">
        <f>IFERROR(MATRIZ_174!W59,0)</f>
        <v>0</v>
      </c>
      <c r="AF60" s="22">
        <f>IFERROR(MATRIZ_174!X59,0)</f>
        <v>0</v>
      </c>
      <c r="AG60" s="22">
        <f>IFERROR(MATRIZ_174!Y59,0)</f>
        <v>0</v>
      </c>
      <c r="AH60" s="22">
        <f>IFERROR(MATRIZ_174!Z59,0)</f>
        <v>0</v>
      </c>
      <c r="AI60" s="17">
        <f>IFERROR(MATRIZ_174!AP59,"N/A")</f>
        <v>0</v>
      </c>
      <c r="AJ60" s="17">
        <f>IFERROR(MATRIZ_174!AO59,"N/A")</f>
        <v>0</v>
      </c>
      <c r="AK60" s="23">
        <f t="shared" si="22"/>
        <v>0</v>
      </c>
      <c r="AL60" s="24">
        <f t="shared" si="23"/>
        <v>0</v>
      </c>
    </row>
    <row r="61" spans="1:38" ht="16.05" customHeight="1" x14ac:dyDescent="0.3">
      <c r="A61" s="13" t="s">
        <v>189</v>
      </c>
      <c r="B61" s="14" t="s">
        <v>190</v>
      </c>
      <c r="C61" s="13" t="s">
        <v>191</v>
      </c>
      <c r="D61" s="15">
        <v>5373465.4699999997</v>
      </c>
      <c r="E61" s="16">
        <v>0</v>
      </c>
      <c r="F61" s="17">
        <f>IFERROR(SCORECARDS!H60,"")</f>
        <v>0</v>
      </c>
      <c r="G61" s="17">
        <f>IFERROR(MATRIZ_174!U60,0)</f>
        <v>1</v>
      </c>
      <c r="H61" s="16">
        <v>0</v>
      </c>
      <c r="I61" s="17">
        <f>IFERROR(SCORECARDS!I60,"")</f>
        <v>0</v>
      </c>
      <c r="J61" s="17">
        <f>IFERROR(SCORECARDS!J60,"")</f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7">
        <f t="shared" si="12"/>
        <v>0</v>
      </c>
      <c r="Q61" s="17">
        <f t="shared" si="13"/>
        <v>0</v>
      </c>
      <c r="R61" s="17">
        <f t="shared" si="14"/>
        <v>0</v>
      </c>
      <c r="S61" s="17">
        <f t="shared" si="15"/>
        <v>0</v>
      </c>
      <c r="T61" s="17">
        <f>IFERROR((K61+M61+MATRIZ_174!O60)/3,0)</f>
        <v>0</v>
      </c>
      <c r="U61" s="18">
        <f>IFERROR(MATRIZ_174!AP60*50,0)</f>
        <v>6.25</v>
      </c>
      <c r="V61" s="18">
        <f t="shared" si="16"/>
        <v>50</v>
      </c>
      <c r="W61" s="18">
        <f>IF(MATRIZ_174!R60&gt;0,65,35)</f>
        <v>35</v>
      </c>
      <c r="X61" s="18">
        <f>IF(MATRIZ_174!O60=0,70,30)</f>
        <v>70</v>
      </c>
      <c r="Y61" s="18">
        <f>IF(OR(MATRIZ_174!P60="ASOCIACION",MATRIZ_174!P60="PENDIENTE"),65,40)</f>
        <v>65</v>
      </c>
      <c r="Z61" s="19">
        <f t="shared" si="17"/>
        <v>0</v>
      </c>
      <c r="AA61" s="20">
        <f t="shared" si="18"/>
        <v>45.3</v>
      </c>
      <c r="AB61" s="21">
        <f t="shared" si="19"/>
        <v>45.3</v>
      </c>
      <c r="AC61" s="13" t="str">
        <f t="shared" si="20"/>
        <v>⬜  Riesgo Latente</v>
      </c>
      <c r="AD61" s="13" t="str">
        <f t="shared" si="21"/>
        <v/>
      </c>
      <c r="AE61" s="22">
        <f>IFERROR(MATRIZ_174!W60,0)</f>
        <v>1</v>
      </c>
      <c r="AF61" s="22">
        <f>IFERROR(MATRIZ_174!X60,0)</f>
        <v>0</v>
      </c>
      <c r="AG61" s="22">
        <f>IFERROR(MATRIZ_174!Y60,0)</f>
        <v>0</v>
      </c>
      <c r="AH61" s="22">
        <f>IFERROR(MATRIZ_174!Z60,0)</f>
        <v>0</v>
      </c>
      <c r="AI61" s="17">
        <f>IFERROR(MATRIZ_174!AP60,"N/A")</f>
        <v>0.125</v>
      </c>
      <c r="AJ61" s="17">
        <f>IFERROR(MATRIZ_174!AO60,"N/A")</f>
        <v>0</v>
      </c>
      <c r="AK61" s="23">
        <f t="shared" si="22"/>
        <v>0</v>
      </c>
      <c r="AL61" s="24">
        <f t="shared" si="23"/>
        <v>0</v>
      </c>
    </row>
    <row r="62" spans="1:38" ht="16.05" customHeight="1" x14ac:dyDescent="0.3">
      <c r="A62" s="13" t="s">
        <v>192</v>
      </c>
      <c r="B62" s="14" t="s">
        <v>193</v>
      </c>
      <c r="C62" s="13" t="s">
        <v>110</v>
      </c>
      <c r="D62" s="15">
        <v>0</v>
      </c>
      <c r="E62" s="16">
        <v>0</v>
      </c>
      <c r="F62" s="17">
        <f>IFERROR(SCORECARDS!H61,"")</f>
        <v>0</v>
      </c>
      <c r="G62" s="17">
        <f>IFERROR(MATRIZ_174!U61,0)</f>
        <v>0</v>
      </c>
      <c r="H62" s="16">
        <v>0</v>
      </c>
      <c r="I62" s="17">
        <f>IFERROR(SCORECARDS!I61,"")</f>
        <v>0</v>
      </c>
      <c r="J62" s="17">
        <f>IFERROR(SCORECARDS!J61,"")</f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f t="shared" si="12"/>
        <v>0</v>
      </c>
      <c r="Q62" s="17">
        <f t="shared" si="13"/>
        <v>0</v>
      </c>
      <c r="R62" s="17">
        <f t="shared" si="14"/>
        <v>0</v>
      </c>
      <c r="S62" s="17">
        <f t="shared" si="15"/>
        <v>0</v>
      </c>
      <c r="T62" s="17">
        <f>IFERROR((K62+M62+MATRIZ_174!O61)/3,0)</f>
        <v>0</v>
      </c>
      <c r="U62" s="18">
        <f>IFERROR(MATRIZ_174!AP61*50,0)</f>
        <v>0</v>
      </c>
      <c r="V62" s="18">
        <f t="shared" si="16"/>
        <v>50</v>
      </c>
      <c r="W62" s="18">
        <f>IF(MATRIZ_174!R61&gt;0,65,35)</f>
        <v>35</v>
      </c>
      <c r="X62" s="18">
        <f>IF(MATRIZ_174!O61=0,70,30)</f>
        <v>70</v>
      </c>
      <c r="Y62" s="18">
        <f>IF(OR(MATRIZ_174!P61="ASOCIACION",MATRIZ_174!P61="PENDIENTE"),65,40)</f>
        <v>65</v>
      </c>
      <c r="Z62" s="19">
        <f t="shared" si="17"/>
        <v>0</v>
      </c>
      <c r="AA62" s="20">
        <f t="shared" si="18"/>
        <v>44</v>
      </c>
      <c r="AB62" s="21">
        <f t="shared" si="19"/>
        <v>44</v>
      </c>
      <c r="AC62" s="13" t="str">
        <f t="shared" si="20"/>
        <v>⬜  Riesgo Latente</v>
      </c>
      <c r="AD62" s="13" t="str">
        <f t="shared" si="21"/>
        <v>🚫  Inh. vigente OSCE</v>
      </c>
      <c r="AE62" s="22">
        <f>IFERROR(MATRIZ_174!W61,0)</f>
        <v>0</v>
      </c>
      <c r="AF62" s="22">
        <f>IFERROR(MATRIZ_174!X61,0)</f>
        <v>0</v>
      </c>
      <c r="AG62" s="22">
        <f>IFERROR(MATRIZ_174!Y61,0)</f>
        <v>0</v>
      </c>
      <c r="AH62" s="22">
        <f>IFERROR(MATRIZ_174!Z61,0)</f>
        <v>0</v>
      </c>
      <c r="AI62" s="17">
        <f>IFERROR(MATRIZ_174!AP61,"N/A")</f>
        <v>0</v>
      </c>
      <c r="AJ62" s="17">
        <f>IFERROR(MATRIZ_174!AO61,"N/A")</f>
        <v>0</v>
      </c>
      <c r="AK62" s="23">
        <f t="shared" si="22"/>
        <v>0</v>
      </c>
      <c r="AL62" s="24">
        <f t="shared" si="23"/>
        <v>0</v>
      </c>
    </row>
    <row r="63" spans="1:38" ht="16.05" customHeight="1" x14ac:dyDescent="0.3">
      <c r="A63" s="13" t="s">
        <v>194</v>
      </c>
      <c r="B63" s="14" t="s">
        <v>195</v>
      </c>
      <c r="C63" s="13" t="s">
        <v>95</v>
      </c>
      <c r="D63" s="15">
        <v>0</v>
      </c>
      <c r="E63" s="16">
        <v>0</v>
      </c>
      <c r="F63" s="17">
        <f>IFERROR(SCORECARDS!H62,"")</f>
        <v>0</v>
      </c>
      <c r="G63" s="17">
        <f>IFERROR(MATRIZ_174!U62,0)</f>
        <v>0</v>
      </c>
      <c r="H63" s="16">
        <v>0</v>
      </c>
      <c r="I63" s="17">
        <f>IFERROR(SCORECARDS!I62,"")</f>
        <v>0</v>
      </c>
      <c r="J63" s="17">
        <f>IFERROR(SCORECARDS!J62,"")</f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7">
        <f t="shared" si="12"/>
        <v>0</v>
      </c>
      <c r="Q63" s="17">
        <f t="shared" si="13"/>
        <v>0</v>
      </c>
      <c r="R63" s="17">
        <f t="shared" si="14"/>
        <v>0</v>
      </c>
      <c r="S63" s="17">
        <f t="shared" si="15"/>
        <v>0</v>
      </c>
      <c r="T63" s="17">
        <f>IFERROR((K63+M63+MATRIZ_174!O62)/3,0)</f>
        <v>0</v>
      </c>
      <c r="U63" s="18">
        <f>IFERROR(MATRIZ_174!AP62*50,0)</f>
        <v>0</v>
      </c>
      <c r="V63" s="18">
        <f t="shared" si="16"/>
        <v>50</v>
      </c>
      <c r="W63" s="18">
        <f>IF(MATRIZ_174!R62&gt;0,65,35)</f>
        <v>35</v>
      </c>
      <c r="X63" s="18">
        <f>IF(MATRIZ_174!O62=0,70,30)</f>
        <v>70</v>
      </c>
      <c r="Y63" s="18">
        <f>IF(OR(MATRIZ_174!P62="ASOCIACION",MATRIZ_174!P62="PENDIENTE"),65,40)</f>
        <v>65</v>
      </c>
      <c r="Z63" s="19">
        <f t="shared" si="17"/>
        <v>0</v>
      </c>
      <c r="AA63" s="20">
        <f t="shared" si="18"/>
        <v>44</v>
      </c>
      <c r="AB63" s="21">
        <f t="shared" si="19"/>
        <v>44</v>
      </c>
      <c r="AC63" s="13" t="str">
        <f t="shared" si="20"/>
        <v>⬜  Riesgo Latente</v>
      </c>
      <c r="AD63" s="13" t="str">
        <f t="shared" si="21"/>
        <v>🚫  Inh. vigente OSCE</v>
      </c>
      <c r="AE63" s="22">
        <f>IFERROR(MATRIZ_174!W62,0)</f>
        <v>0</v>
      </c>
      <c r="AF63" s="22">
        <f>IFERROR(MATRIZ_174!X62,0)</f>
        <v>0</v>
      </c>
      <c r="AG63" s="22">
        <f>IFERROR(MATRIZ_174!Y62,0)</f>
        <v>0</v>
      </c>
      <c r="AH63" s="22">
        <f>IFERROR(MATRIZ_174!Z62,0)</f>
        <v>0</v>
      </c>
      <c r="AI63" s="17">
        <f>IFERROR(MATRIZ_174!AP62,"N/A")</f>
        <v>0</v>
      </c>
      <c r="AJ63" s="17">
        <f>IFERROR(MATRIZ_174!AO62,"N/A")</f>
        <v>0</v>
      </c>
      <c r="AK63" s="23">
        <f t="shared" si="22"/>
        <v>0</v>
      </c>
      <c r="AL63" s="24">
        <f t="shared" si="23"/>
        <v>0</v>
      </c>
    </row>
    <row r="64" spans="1:38" ht="16.05" customHeight="1" x14ac:dyDescent="0.3">
      <c r="A64" s="13" t="s">
        <v>196</v>
      </c>
      <c r="B64" s="14" t="s">
        <v>197</v>
      </c>
      <c r="C64" s="13" t="s">
        <v>95</v>
      </c>
      <c r="D64" s="15">
        <v>0</v>
      </c>
      <c r="E64" s="16">
        <v>0</v>
      </c>
      <c r="F64" s="17">
        <f>IFERROR(SCORECARDS!H63,"")</f>
        <v>0</v>
      </c>
      <c r="G64" s="17">
        <f>IFERROR(MATRIZ_174!U63,0)</f>
        <v>0</v>
      </c>
      <c r="H64" s="16">
        <v>0</v>
      </c>
      <c r="I64" s="17">
        <f>IFERROR(SCORECARDS!I63,"")</f>
        <v>0</v>
      </c>
      <c r="J64" s="17">
        <f>IFERROR(SCORECARDS!J63,"")</f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7">
        <f t="shared" si="12"/>
        <v>0</v>
      </c>
      <c r="Q64" s="17">
        <f t="shared" si="13"/>
        <v>0</v>
      </c>
      <c r="R64" s="17">
        <f t="shared" si="14"/>
        <v>0</v>
      </c>
      <c r="S64" s="17">
        <f t="shared" si="15"/>
        <v>0</v>
      </c>
      <c r="T64" s="17">
        <f>IFERROR((K64+M64+MATRIZ_174!O63)/3,0)</f>
        <v>0</v>
      </c>
      <c r="U64" s="18">
        <f>IFERROR(MATRIZ_174!AP63*50,0)</f>
        <v>0</v>
      </c>
      <c r="V64" s="18">
        <f t="shared" si="16"/>
        <v>50</v>
      </c>
      <c r="W64" s="18">
        <f>IF(MATRIZ_174!R63&gt;0,65,35)</f>
        <v>35</v>
      </c>
      <c r="X64" s="18">
        <f>IF(MATRIZ_174!O63=0,70,30)</f>
        <v>70</v>
      </c>
      <c r="Y64" s="18">
        <f>IF(OR(MATRIZ_174!P63="ASOCIACION",MATRIZ_174!P63="PENDIENTE"),65,40)</f>
        <v>65</v>
      </c>
      <c r="Z64" s="19">
        <f t="shared" si="17"/>
        <v>0</v>
      </c>
      <c r="AA64" s="20">
        <f t="shared" si="18"/>
        <v>44</v>
      </c>
      <c r="AB64" s="21">
        <f t="shared" si="19"/>
        <v>44</v>
      </c>
      <c r="AC64" s="13" t="str">
        <f t="shared" si="20"/>
        <v>⬜  Riesgo Latente</v>
      </c>
      <c r="AD64" s="13" t="str">
        <f t="shared" si="21"/>
        <v>🚫  Inh. vigente OSCE</v>
      </c>
      <c r="AE64" s="22">
        <f>IFERROR(MATRIZ_174!W63,0)</f>
        <v>0</v>
      </c>
      <c r="AF64" s="22">
        <f>IFERROR(MATRIZ_174!X63,0)</f>
        <v>0</v>
      </c>
      <c r="AG64" s="22">
        <f>IFERROR(MATRIZ_174!Y63,0)</f>
        <v>0</v>
      </c>
      <c r="AH64" s="22">
        <f>IFERROR(MATRIZ_174!Z63,0)</f>
        <v>0</v>
      </c>
      <c r="AI64" s="17">
        <f>IFERROR(MATRIZ_174!AP63,"N/A")</f>
        <v>0</v>
      </c>
      <c r="AJ64" s="17">
        <f>IFERROR(MATRIZ_174!AO63,"N/A")</f>
        <v>0</v>
      </c>
      <c r="AK64" s="23">
        <f t="shared" si="22"/>
        <v>0</v>
      </c>
      <c r="AL64" s="24">
        <f t="shared" si="23"/>
        <v>0</v>
      </c>
    </row>
    <row r="65" spans="1:38" ht="16.05" customHeight="1" x14ac:dyDescent="0.3">
      <c r="A65" s="13" t="s">
        <v>198</v>
      </c>
      <c r="B65" s="14" t="s">
        <v>199</v>
      </c>
      <c r="C65" s="13" t="s">
        <v>129</v>
      </c>
      <c r="D65" s="15">
        <v>0</v>
      </c>
      <c r="E65" s="16">
        <v>0</v>
      </c>
      <c r="F65" s="17">
        <f>IFERROR(SCORECARDS!H64,"")</f>
        <v>0</v>
      </c>
      <c r="G65" s="17">
        <f>IFERROR(MATRIZ_174!U64,0)</f>
        <v>0</v>
      </c>
      <c r="H65" s="16">
        <v>0</v>
      </c>
      <c r="I65" s="17">
        <f>IFERROR(SCORECARDS!I64,"")</f>
        <v>0</v>
      </c>
      <c r="J65" s="17">
        <f>IFERROR(SCORECARDS!J64,"")</f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7">
        <f t="shared" si="12"/>
        <v>0</v>
      </c>
      <c r="Q65" s="17">
        <f t="shared" si="13"/>
        <v>0</v>
      </c>
      <c r="R65" s="17">
        <f t="shared" si="14"/>
        <v>0</v>
      </c>
      <c r="S65" s="17">
        <f t="shared" si="15"/>
        <v>0</v>
      </c>
      <c r="T65" s="17">
        <f>IFERROR((K65+M65+MATRIZ_174!O64)/3,0)</f>
        <v>0</v>
      </c>
      <c r="U65" s="18">
        <f>IFERROR(MATRIZ_174!AP64*50,0)</f>
        <v>0</v>
      </c>
      <c r="V65" s="18">
        <f t="shared" si="16"/>
        <v>50</v>
      </c>
      <c r="W65" s="18">
        <f>IF(MATRIZ_174!R64&gt;0,65,35)</f>
        <v>35</v>
      </c>
      <c r="X65" s="18">
        <f>IF(MATRIZ_174!O64=0,70,30)</f>
        <v>70</v>
      </c>
      <c r="Y65" s="18">
        <f>IF(OR(MATRIZ_174!P64="ASOCIACION",MATRIZ_174!P64="PENDIENTE"),65,40)</f>
        <v>65</v>
      </c>
      <c r="Z65" s="19">
        <f t="shared" si="17"/>
        <v>0</v>
      </c>
      <c r="AA65" s="20">
        <f t="shared" si="18"/>
        <v>44</v>
      </c>
      <c r="AB65" s="21">
        <f t="shared" si="19"/>
        <v>44</v>
      </c>
      <c r="AC65" s="13" t="str">
        <f t="shared" si="20"/>
        <v>⬜  Riesgo Latente</v>
      </c>
      <c r="AD65" s="13" t="str">
        <f t="shared" si="21"/>
        <v>🚫  Inh. vigente OSCE</v>
      </c>
      <c r="AE65" s="22">
        <f>IFERROR(MATRIZ_174!W64,0)</f>
        <v>0</v>
      </c>
      <c r="AF65" s="22">
        <f>IFERROR(MATRIZ_174!X64,0)</f>
        <v>0</v>
      </c>
      <c r="AG65" s="22">
        <f>IFERROR(MATRIZ_174!Y64,0)</f>
        <v>0</v>
      </c>
      <c r="AH65" s="22">
        <f>IFERROR(MATRIZ_174!Z64,0)</f>
        <v>0</v>
      </c>
      <c r="AI65" s="17">
        <f>IFERROR(MATRIZ_174!AP64,"N/A")</f>
        <v>0</v>
      </c>
      <c r="AJ65" s="17">
        <f>IFERROR(MATRIZ_174!AO64,"N/A")</f>
        <v>0</v>
      </c>
      <c r="AK65" s="23">
        <f t="shared" si="22"/>
        <v>0</v>
      </c>
      <c r="AL65" s="24">
        <f t="shared" si="23"/>
        <v>0</v>
      </c>
    </row>
    <row r="66" spans="1:38" ht="16.05" customHeight="1" x14ac:dyDescent="0.3">
      <c r="A66" s="13" t="s">
        <v>200</v>
      </c>
      <c r="B66" s="14" t="s">
        <v>201</v>
      </c>
      <c r="C66" s="13" t="s">
        <v>129</v>
      </c>
      <c r="D66" s="15">
        <v>0</v>
      </c>
      <c r="E66" s="16">
        <v>0</v>
      </c>
      <c r="F66" s="17">
        <f>IFERROR(SCORECARDS!H65,"")</f>
        <v>0</v>
      </c>
      <c r="G66" s="17">
        <f>IFERROR(MATRIZ_174!U65,0)</f>
        <v>0</v>
      </c>
      <c r="H66" s="16">
        <v>0</v>
      </c>
      <c r="I66" s="17">
        <f>IFERROR(SCORECARDS!I65,"")</f>
        <v>0</v>
      </c>
      <c r="J66" s="17">
        <f>IFERROR(SCORECARDS!J65,"")</f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7">
        <f t="shared" si="12"/>
        <v>0</v>
      </c>
      <c r="Q66" s="17">
        <f t="shared" si="13"/>
        <v>0</v>
      </c>
      <c r="R66" s="17">
        <f t="shared" si="14"/>
        <v>0</v>
      </c>
      <c r="S66" s="17">
        <f t="shared" si="15"/>
        <v>0</v>
      </c>
      <c r="T66" s="17">
        <f>IFERROR((K66+M66+MATRIZ_174!O65)/3,0)</f>
        <v>0</v>
      </c>
      <c r="U66" s="18">
        <f>IFERROR(MATRIZ_174!AP65*50,0)</f>
        <v>0</v>
      </c>
      <c r="V66" s="18">
        <f t="shared" si="16"/>
        <v>50</v>
      </c>
      <c r="W66" s="18">
        <f>IF(MATRIZ_174!R65&gt;0,65,35)</f>
        <v>35</v>
      </c>
      <c r="X66" s="18">
        <f>IF(MATRIZ_174!O65=0,70,30)</f>
        <v>70</v>
      </c>
      <c r="Y66" s="18">
        <f>IF(OR(MATRIZ_174!P65="ASOCIACION",MATRIZ_174!P65="PENDIENTE"),65,40)</f>
        <v>65</v>
      </c>
      <c r="Z66" s="19">
        <f t="shared" si="17"/>
        <v>0</v>
      </c>
      <c r="AA66" s="20">
        <f t="shared" si="18"/>
        <v>44</v>
      </c>
      <c r="AB66" s="21">
        <f t="shared" si="19"/>
        <v>44</v>
      </c>
      <c r="AC66" s="13" t="str">
        <f t="shared" si="20"/>
        <v>⬜  Riesgo Latente</v>
      </c>
      <c r="AD66" s="13" t="str">
        <f t="shared" si="21"/>
        <v>🚫  Inh. vigente OSCE</v>
      </c>
      <c r="AE66" s="22">
        <f>IFERROR(MATRIZ_174!W65,0)</f>
        <v>0</v>
      </c>
      <c r="AF66" s="22">
        <f>IFERROR(MATRIZ_174!X65,0)</f>
        <v>0</v>
      </c>
      <c r="AG66" s="22">
        <f>IFERROR(MATRIZ_174!Y65,0)</f>
        <v>0</v>
      </c>
      <c r="AH66" s="22">
        <f>IFERROR(MATRIZ_174!Z65,0)</f>
        <v>0</v>
      </c>
      <c r="AI66" s="17">
        <f>IFERROR(MATRIZ_174!AP65,"N/A")</f>
        <v>0</v>
      </c>
      <c r="AJ66" s="17">
        <f>IFERROR(MATRIZ_174!AO65,"N/A")</f>
        <v>0</v>
      </c>
      <c r="AK66" s="23">
        <f t="shared" si="22"/>
        <v>0</v>
      </c>
      <c r="AL66" s="24">
        <f t="shared" si="23"/>
        <v>0</v>
      </c>
    </row>
    <row r="67" spans="1:38" ht="16.05" customHeight="1" x14ac:dyDescent="0.3">
      <c r="A67" s="13" t="s">
        <v>202</v>
      </c>
      <c r="B67" s="14" t="s">
        <v>203</v>
      </c>
      <c r="C67" s="13" t="s">
        <v>74</v>
      </c>
      <c r="D67" s="15">
        <v>0</v>
      </c>
      <c r="E67" s="16">
        <v>0</v>
      </c>
      <c r="F67" s="17">
        <f>IFERROR(SCORECARDS!H66,"")</f>
        <v>0</v>
      </c>
      <c r="G67" s="17">
        <f>IFERROR(MATRIZ_174!U66,0)</f>
        <v>0</v>
      </c>
      <c r="H67" s="16">
        <v>0</v>
      </c>
      <c r="I67" s="17">
        <f>IFERROR(SCORECARDS!I66,"")</f>
        <v>0</v>
      </c>
      <c r="J67" s="17">
        <f>IFERROR(SCORECARDS!J66,"")</f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7">
        <f t="shared" si="12"/>
        <v>0</v>
      </c>
      <c r="Q67" s="17">
        <f t="shared" si="13"/>
        <v>0</v>
      </c>
      <c r="R67" s="17">
        <f t="shared" si="14"/>
        <v>0</v>
      </c>
      <c r="S67" s="17">
        <f t="shared" si="15"/>
        <v>0</v>
      </c>
      <c r="T67" s="17">
        <f>IFERROR((K67+M67+MATRIZ_174!O66)/3,0)</f>
        <v>0</v>
      </c>
      <c r="U67" s="18">
        <f>IFERROR(MATRIZ_174!AP66*50,0)</f>
        <v>0</v>
      </c>
      <c r="V67" s="18">
        <f t="shared" si="16"/>
        <v>50</v>
      </c>
      <c r="W67" s="18">
        <f>IF(MATRIZ_174!R66&gt;0,65,35)</f>
        <v>35</v>
      </c>
      <c r="X67" s="18">
        <f>IF(MATRIZ_174!O66=0,70,30)</f>
        <v>70</v>
      </c>
      <c r="Y67" s="18">
        <f>IF(OR(MATRIZ_174!P66="ASOCIACION",MATRIZ_174!P66="PENDIENTE"),65,40)</f>
        <v>65</v>
      </c>
      <c r="Z67" s="19">
        <f t="shared" si="17"/>
        <v>0</v>
      </c>
      <c r="AA67" s="20">
        <f t="shared" si="18"/>
        <v>44</v>
      </c>
      <c r="AB67" s="21">
        <f t="shared" si="19"/>
        <v>44</v>
      </c>
      <c r="AC67" s="13" t="str">
        <f t="shared" si="20"/>
        <v>⬜  Riesgo Latente</v>
      </c>
      <c r="AD67" s="13" t="str">
        <f t="shared" si="21"/>
        <v>🚫  Inh. vigente OSCE</v>
      </c>
      <c r="AE67" s="22">
        <f>IFERROR(MATRIZ_174!W66,0)</f>
        <v>0</v>
      </c>
      <c r="AF67" s="22">
        <f>IFERROR(MATRIZ_174!X66,0)</f>
        <v>0</v>
      </c>
      <c r="AG67" s="22">
        <f>IFERROR(MATRIZ_174!Y66,0)</f>
        <v>0</v>
      </c>
      <c r="AH67" s="22">
        <f>IFERROR(MATRIZ_174!Z66,0)</f>
        <v>0</v>
      </c>
      <c r="AI67" s="17">
        <f>IFERROR(MATRIZ_174!AP66,"N/A")</f>
        <v>0</v>
      </c>
      <c r="AJ67" s="17">
        <f>IFERROR(MATRIZ_174!AO66,"N/A")</f>
        <v>0</v>
      </c>
      <c r="AK67" s="23">
        <f t="shared" si="22"/>
        <v>0</v>
      </c>
      <c r="AL67" s="24">
        <f t="shared" si="23"/>
        <v>0</v>
      </c>
    </row>
    <row r="68" spans="1:38" ht="16.05" customHeight="1" x14ac:dyDescent="0.3">
      <c r="A68" s="13" t="s">
        <v>204</v>
      </c>
      <c r="B68" s="14" t="s">
        <v>205</v>
      </c>
      <c r="C68" s="13" t="s">
        <v>103</v>
      </c>
      <c r="D68" s="15">
        <v>0</v>
      </c>
      <c r="E68" s="16">
        <v>0</v>
      </c>
      <c r="F68" s="17">
        <f>IFERROR(SCORECARDS!H67,"")</f>
        <v>0</v>
      </c>
      <c r="G68" s="17">
        <f>IFERROR(MATRIZ_174!U67,0)</f>
        <v>0</v>
      </c>
      <c r="H68" s="16">
        <v>0</v>
      </c>
      <c r="I68" s="17">
        <f>IFERROR(SCORECARDS!I67,"")</f>
        <v>0</v>
      </c>
      <c r="J68" s="17">
        <f>IFERROR(SCORECARDS!J67,"")</f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f t="shared" ref="P68:P99" si="24">IFERROR(F68,0)</f>
        <v>0</v>
      </c>
      <c r="Q68" s="17">
        <f t="shared" ref="Q68:Q99" si="25">IFERROR(SQRT(G68*H68),0)</f>
        <v>0</v>
      </c>
      <c r="R68" s="17">
        <f t="shared" ref="R68:R99" si="26">IFERROR((I68+J68+L68)/3,0)</f>
        <v>0</v>
      </c>
      <c r="S68" s="17">
        <f t="shared" ref="S68:S99" si="27">IFERROR((J68+F68)/2,0)</f>
        <v>0</v>
      </c>
      <c r="T68" s="17">
        <f>IFERROR((K68+M68+MATRIZ_174!O67)/3,0)</f>
        <v>0</v>
      </c>
      <c r="U68" s="18">
        <f>IFERROR(MATRIZ_174!AP67*50,0)</f>
        <v>0</v>
      </c>
      <c r="V68" s="18">
        <f t="shared" ref="V68:V99" si="28">IFERROR(IF(E68=0,50,E68),0)</f>
        <v>50</v>
      </c>
      <c r="W68" s="18">
        <f>IF(MATRIZ_174!R67&gt;0,65,35)</f>
        <v>35</v>
      </c>
      <c r="X68" s="18">
        <f>IF(MATRIZ_174!O67=0,70,30)</f>
        <v>70</v>
      </c>
      <c r="Y68" s="18">
        <f>IF(OR(MATRIZ_174!P67="ASOCIACION",MATRIZ_174!P67="PENDIENTE"),65,40)</f>
        <v>65</v>
      </c>
      <c r="Z68" s="19">
        <f t="shared" ref="Z68:Z99" si="29">IFERROR(ROUND(AVERAGE(P68,Q68,R68,S68,T68),1),0)</f>
        <v>0</v>
      </c>
      <c r="AA68" s="20">
        <f t="shared" ref="AA68:AA99" si="30">IFERROR(ROUND(AVERAGE(U68,V68,W68,X68,Y68),1),0)</f>
        <v>44</v>
      </c>
      <c r="AB68" s="21">
        <f t="shared" ref="AB68:AB99" si="31">IFERROR(ROUND(AA68*(1-Z68/100),1),0)</f>
        <v>44</v>
      </c>
      <c r="AC68" s="13" t="str">
        <f t="shared" ref="AC68:AC99" si="32">IF(AND(Z68&gt;=50,AA68&lt;50),"🟢  Resilientes",IF(AND(Z68&gt;=50,AA68&gt;=50),"🟠  Expuestas Adaptables",IF(AND(Z68&lt;50,AA68&lt;50),"⬜  Riesgo Latente","🔴  Riesgo Crítico")))</f>
        <v>⬜  Riesgo Latente</v>
      </c>
      <c r="AD68" s="13" t="str">
        <f t="shared" ref="AD68:AD99" si="33">IF(G68=0,"🚫  Inh. vigente OSCE","")</f>
        <v>🚫  Inh. vigente OSCE</v>
      </c>
      <c r="AE68" s="22">
        <f>IFERROR(MATRIZ_174!W67,0)</f>
        <v>0</v>
      </c>
      <c r="AF68" s="22">
        <f>IFERROR(MATRIZ_174!X67,0)</f>
        <v>0</v>
      </c>
      <c r="AG68" s="22">
        <f>IFERROR(MATRIZ_174!Y67,0)</f>
        <v>0</v>
      </c>
      <c r="AH68" s="22">
        <f>IFERROR(MATRIZ_174!Z67,0)</f>
        <v>0</v>
      </c>
      <c r="AI68" s="17">
        <f>IFERROR(MATRIZ_174!AP67,"N/A")</f>
        <v>0</v>
      </c>
      <c r="AJ68" s="17">
        <f>IFERROR(MATRIZ_174!AO67,"N/A")</f>
        <v>0</v>
      </c>
      <c r="AK68" s="23">
        <f t="shared" ref="AK68:AK99" si="34">IFERROR(ROUND(POWER((E68*F68*G68*H68*I68*J68*K68),1/7)*0.875+((L68+M68)/2)*0.125,1),"N/A")</f>
        <v>0</v>
      </c>
      <c r="AL68" s="24">
        <f t="shared" ref="AL68:AL99" si="35">IFERROR(IF(AK68="N/A","N/A",ROUND(0.7*AK68+0.3*AI68,1)),"N/A")</f>
        <v>0</v>
      </c>
    </row>
    <row r="69" spans="1:38" ht="16.05" customHeight="1" x14ac:dyDescent="0.3">
      <c r="A69" s="13" t="s">
        <v>206</v>
      </c>
      <c r="B69" s="14" t="s">
        <v>207</v>
      </c>
      <c r="C69" s="13" t="s">
        <v>103</v>
      </c>
      <c r="D69" s="15">
        <v>0</v>
      </c>
      <c r="E69" s="16">
        <v>0</v>
      </c>
      <c r="F69" s="17">
        <f>IFERROR(SCORECARDS!H68,"")</f>
        <v>0</v>
      </c>
      <c r="G69" s="17">
        <f>IFERROR(MATRIZ_174!U68,0)</f>
        <v>0</v>
      </c>
      <c r="H69" s="16">
        <v>0</v>
      </c>
      <c r="I69" s="17">
        <f>IFERROR(SCORECARDS!I68,"")</f>
        <v>0</v>
      </c>
      <c r="J69" s="17">
        <f>IFERROR(SCORECARDS!J68,"")</f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7">
        <f t="shared" si="24"/>
        <v>0</v>
      </c>
      <c r="Q69" s="17">
        <f t="shared" si="25"/>
        <v>0</v>
      </c>
      <c r="R69" s="17">
        <f t="shared" si="26"/>
        <v>0</v>
      </c>
      <c r="S69" s="17">
        <f t="shared" si="27"/>
        <v>0</v>
      </c>
      <c r="T69" s="17">
        <f>IFERROR((K69+M69+MATRIZ_174!O68)/3,0)</f>
        <v>0</v>
      </c>
      <c r="U69" s="18">
        <f>IFERROR(MATRIZ_174!AP68*50,0)</f>
        <v>0</v>
      </c>
      <c r="V69" s="18">
        <f t="shared" si="28"/>
        <v>50</v>
      </c>
      <c r="W69" s="18">
        <f>IF(MATRIZ_174!R68&gt;0,65,35)</f>
        <v>35</v>
      </c>
      <c r="X69" s="18">
        <f>IF(MATRIZ_174!O68=0,70,30)</f>
        <v>70</v>
      </c>
      <c r="Y69" s="18">
        <f>IF(OR(MATRIZ_174!P68="ASOCIACION",MATRIZ_174!P68="PENDIENTE"),65,40)</f>
        <v>65</v>
      </c>
      <c r="Z69" s="19">
        <f t="shared" si="29"/>
        <v>0</v>
      </c>
      <c r="AA69" s="20">
        <f t="shared" si="30"/>
        <v>44</v>
      </c>
      <c r="AB69" s="21">
        <f t="shared" si="31"/>
        <v>44</v>
      </c>
      <c r="AC69" s="13" t="str">
        <f t="shared" si="32"/>
        <v>⬜  Riesgo Latente</v>
      </c>
      <c r="AD69" s="13" t="str">
        <f t="shared" si="33"/>
        <v>🚫  Inh. vigente OSCE</v>
      </c>
      <c r="AE69" s="22">
        <f>IFERROR(MATRIZ_174!W68,0)</f>
        <v>0</v>
      </c>
      <c r="AF69" s="22">
        <f>IFERROR(MATRIZ_174!X68,0)</f>
        <v>0</v>
      </c>
      <c r="AG69" s="22">
        <f>IFERROR(MATRIZ_174!Y68,0)</f>
        <v>0</v>
      </c>
      <c r="AH69" s="22">
        <f>IFERROR(MATRIZ_174!Z68,0)</f>
        <v>0</v>
      </c>
      <c r="AI69" s="17">
        <f>IFERROR(MATRIZ_174!AP68,"N/A")</f>
        <v>0</v>
      </c>
      <c r="AJ69" s="17">
        <f>IFERROR(MATRIZ_174!AO68,"N/A")</f>
        <v>0</v>
      </c>
      <c r="AK69" s="23">
        <f t="shared" si="34"/>
        <v>0</v>
      </c>
      <c r="AL69" s="24">
        <f t="shared" si="35"/>
        <v>0</v>
      </c>
    </row>
    <row r="70" spans="1:38" ht="16.05" customHeight="1" x14ac:dyDescent="0.3">
      <c r="A70" s="13" t="s">
        <v>208</v>
      </c>
      <c r="B70" s="14" t="s">
        <v>209</v>
      </c>
      <c r="C70" s="13" t="s">
        <v>169</v>
      </c>
      <c r="D70" s="15">
        <v>0</v>
      </c>
      <c r="E70" s="16">
        <v>0</v>
      </c>
      <c r="F70" s="17">
        <f>IFERROR(SCORECARDS!H69,"")</f>
        <v>0</v>
      </c>
      <c r="G70" s="17">
        <f>IFERROR(MATRIZ_174!U69,0)</f>
        <v>0</v>
      </c>
      <c r="H70" s="16">
        <v>0</v>
      </c>
      <c r="I70" s="17">
        <f>IFERROR(SCORECARDS!I69,"")</f>
        <v>0</v>
      </c>
      <c r="J70" s="17">
        <f>IFERROR(SCORECARDS!J69,"")</f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7">
        <f t="shared" si="24"/>
        <v>0</v>
      </c>
      <c r="Q70" s="17">
        <f t="shared" si="25"/>
        <v>0</v>
      </c>
      <c r="R70" s="17">
        <f t="shared" si="26"/>
        <v>0</v>
      </c>
      <c r="S70" s="17">
        <f t="shared" si="27"/>
        <v>0</v>
      </c>
      <c r="T70" s="17">
        <f>IFERROR((K70+M70+MATRIZ_174!O69)/3,0)</f>
        <v>0</v>
      </c>
      <c r="U70" s="18">
        <f>IFERROR(MATRIZ_174!AP69*50,0)</f>
        <v>0</v>
      </c>
      <c r="V70" s="18">
        <f t="shared" si="28"/>
        <v>50</v>
      </c>
      <c r="W70" s="18">
        <f>IF(MATRIZ_174!R69&gt;0,65,35)</f>
        <v>35</v>
      </c>
      <c r="X70" s="18">
        <f>IF(MATRIZ_174!O69=0,70,30)</f>
        <v>70</v>
      </c>
      <c r="Y70" s="18">
        <f>IF(OR(MATRIZ_174!P69="ASOCIACION",MATRIZ_174!P69="PENDIENTE"),65,40)</f>
        <v>65</v>
      </c>
      <c r="Z70" s="19">
        <f t="shared" si="29"/>
        <v>0</v>
      </c>
      <c r="AA70" s="20">
        <f t="shared" si="30"/>
        <v>44</v>
      </c>
      <c r="AB70" s="21">
        <f t="shared" si="31"/>
        <v>44</v>
      </c>
      <c r="AC70" s="13" t="str">
        <f t="shared" si="32"/>
        <v>⬜  Riesgo Latente</v>
      </c>
      <c r="AD70" s="13" t="str">
        <f t="shared" si="33"/>
        <v>🚫  Inh. vigente OSCE</v>
      </c>
      <c r="AE70" s="22">
        <f>IFERROR(MATRIZ_174!W69,0)</f>
        <v>0</v>
      </c>
      <c r="AF70" s="22">
        <f>IFERROR(MATRIZ_174!X69,0)</f>
        <v>0</v>
      </c>
      <c r="AG70" s="22">
        <f>IFERROR(MATRIZ_174!Y69,0)</f>
        <v>0</v>
      </c>
      <c r="AH70" s="22">
        <f>IFERROR(MATRIZ_174!Z69,0)</f>
        <v>0</v>
      </c>
      <c r="AI70" s="17">
        <f>IFERROR(MATRIZ_174!AP69,"N/A")</f>
        <v>0</v>
      </c>
      <c r="AJ70" s="17">
        <f>IFERROR(MATRIZ_174!AO69,"N/A")</f>
        <v>0</v>
      </c>
      <c r="AK70" s="23">
        <f t="shared" si="34"/>
        <v>0</v>
      </c>
      <c r="AL70" s="24">
        <f t="shared" si="35"/>
        <v>0</v>
      </c>
    </row>
    <row r="71" spans="1:38" ht="16.05" customHeight="1" x14ac:dyDescent="0.3">
      <c r="A71" s="13" t="s">
        <v>210</v>
      </c>
      <c r="B71" s="14" t="s">
        <v>211</v>
      </c>
      <c r="C71" s="13" t="s">
        <v>129</v>
      </c>
      <c r="D71" s="15">
        <v>7878141.7300000004</v>
      </c>
      <c r="E71" s="16">
        <v>0</v>
      </c>
      <c r="F71" s="17">
        <f>IFERROR(SCORECARDS!H70,"")</f>
        <v>0</v>
      </c>
      <c r="G71" s="17">
        <f>IFERROR(MATRIZ_174!U70,0)</f>
        <v>1</v>
      </c>
      <c r="H71" s="16">
        <v>0</v>
      </c>
      <c r="I71" s="17">
        <f>IFERROR(SCORECARDS!I70,"")</f>
        <v>0</v>
      </c>
      <c r="J71" s="17">
        <f>IFERROR(SCORECARDS!J70,"")</f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7">
        <f t="shared" si="24"/>
        <v>0</v>
      </c>
      <c r="Q71" s="17">
        <f t="shared" si="25"/>
        <v>0</v>
      </c>
      <c r="R71" s="17">
        <f t="shared" si="26"/>
        <v>0</v>
      </c>
      <c r="S71" s="17">
        <f t="shared" si="27"/>
        <v>0</v>
      </c>
      <c r="T71" s="17">
        <f>IFERROR((K71+M71+MATRIZ_174!O70)/3,0)</f>
        <v>0</v>
      </c>
      <c r="U71" s="18">
        <f>IFERROR(MATRIZ_174!AP70*50,0)</f>
        <v>6.25</v>
      </c>
      <c r="V71" s="18">
        <f t="shared" si="28"/>
        <v>50</v>
      </c>
      <c r="W71" s="18">
        <f>IF(MATRIZ_174!R70&gt;0,65,35)</f>
        <v>65</v>
      </c>
      <c r="X71" s="18">
        <f>IF(MATRIZ_174!O70=0,70,30)</f>
        <v>70</v>
      </c>
      <c r="Y71" s="18">
        <f>IF(OR(MATRIZ_174!P70="ASOCIACION",MATRIZ_174!P70="PENDIENTE"),65,40)</f>
        <v>65</v>
      </c>
      <c r="Z71" s="19">
        <f t="shared" si="29"/>
        <v>0</v>
      </c>
      <c r="AA71" s="20">
        <f t="shared" si="30"/>
        <v>51.3</v>
      </c>
      <c r="AB71" s="21">
        <f t="shared" si="31"/>
        <v>51.3</v>
      </c>
      <c r="AC71" s="13" t="str">
        <f t="shared" si="32"/>
        <v>🔴  Riesgo Crítico</v>
      </c>
      <c r="AD71" s="13" t="str">
        <f t="shared" si="33"/>
        <v/>
      </c>
      <c r="AE71" s="22">
        <f>IFERROR(MATRIZ_174!W70,0)</f>
        <v>1</v>
      </c>
      <c r="AF71" s="22">
        <f>IFERROR(MATRIZ_174!X70,0)</f>
        <v>0</v>
      </c>
      <c r="AG71" s="22">
        <f>IFERROR(MATRIZ_174!Y70,0)</f>
        <v>0</v>
      </c>
      <c r="AH71" s="22">
        <f>IFERROR(MATRIZ_174!Z70,0)</f>
        <v>0</v>
      </c>
      <c r="AI71" s="17">
        <f>IFERROR(MATRIZ_174!AP70,"N/A")</f>
        <v>0.125</v>
      </c>
      <c r="AJ71" s="17">
        <f>IFERROR(MATRIZ_174!AO70,"N/A")</f>
        <v>0</v>
      </c>
      <c r="AK71" s="23">
        <f t="shared" si="34"/>
        <v>0</v>
      </c>
      <c r="AL71" s="24">
        <f t="shared" si="35"/>
        <v>0</v>
      </c>
    </row>
    <row r="72" spans="1:38" ht="16.05" customHeight="1" x14ac:dyDescent="0.3">
      <c r="A72" s="13" t="s">
        <v>212</v>
      </c>
      <c r="B72" s="14" t="s">
        <v>213</v>
      </c>
      <c r="C72" s="13" t="s">
        <v>129</v>
      </c>
      <c r="D72" s="15">
        <v>0</v>
      </c>
      <c r="E72" s="16">
        <v>0</v>
      </c>
      <c r="F72" s="17">
        <f>IFERROR(SCORECARDS!H71,"")</f>
        <v>0</v>
      </c>
      <c r="G72" s="17">
        <f>IFERROR(MATRIZ_174!U71,0)</f>
        <v>0</v>
      </c>
      <c r="H72" s="16">
        <v>0</v>
      </c>
      <c r="I72" s="17">
        <f>IFERROR(SCORECARDS!I71,"")</f>
        <v>0</v>
      </c>
      <c r="J72" s="17">
        <f>IFERROR(SCORECARDS!J71,"")</f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7">
        <f t="shared" si="24"/>
        <v>0</v>
      </c>
      <c r="Q72" s="17">
        <f t="shared" si="25"/>
        <v>0</v>
      </c>
      <c r="R72" s="17">
        <f t="shared" si="26"/>
        <v>0</v>
      </c>
      <c r="S72" s="17">
        <f t="shared" si="27"/>
        <v>0</v>
      </c>
      <c r="T72" s="17">
        <f>IFERROR((K72+M72+MATRIZ_174!O71)/3,0)</f>
        <v>0</v>
      </c>
      <c r="U72" s="18">
        <f>IFERROR(MATRIZ_174!AP71*50,0)</f>
        <v>0</v>
      </c>
      <c r="V72" s="18">
        <f t="shared" si="28"/>
        <v>50</v>
      </c>
      <c r="W72" s="18">
        <f>IF(MATRIZ_174!R71&gt;0,65,35)</f>
        <v>35</v>
      </c>
      <c r="X72" s="18">
        <f>IF(MATRIZ_174!O71=0,70,30)</f>
        <v>70</v>
      </c>
      <c r="Y72" s="18">
        <f>IF(OR(MATRIZ_174!P71="ASOCIACION",MATRIZ_174!P71="PENDIENTE"),65,40)</f>
        <v>65</v>
      </c>
      <c r="Z72" s="19">
        <f t="shared" si="29"/>
        <v>0</v>
      </c>
      <c r="AA72" s="20">
        <f t="shared" si="30"/>
        <v>44</v>
      </c>
      <c r="AB72" s="21">
        <f t="shared" si="31"/>
        <v>44</v>
      </c>
      <c r="AC72" s="13" t="str">
        <f t="shared" si="32"/>
        <v>⬜  Riesgo Latente</v>
      </c>
      <c r="AD72" s="13" t="str">
        <f t="shared" si="33"/>
        <v>🚫  Inh. vigente OSCE</v>
      </c>
      <c r="AE72" s="22">
        <f>IFERROR(MATRIZ_174!W71,0)</f>
        <v>0</v>
      </c>
      <c r="AF72" s="22">
        <f>IFERROR(MATRIZ_174!X71,0)</f>
        <v>0</v>
      </c>
      <c r="AG72" s="22">
        <f>IFERROR(MATRIZ_174!Y71,0)</f>
        <v>0</v>
      </c>
      <c r="AH72" s="22">
        <f>IFERROR(MATRIZ_174!Z71,0)</f>
        <v>0</v>
      </c>
      <c r="AI72" s="17">
        <f>IFERROR(MATRIZ_174!AP71,"N/A")</f>
        <v>0</v>
      </c>
      <c r="AJ72" s="17">
        <f>IFERROR(MATRIZ_174!AO71,"N/A")</f>
        <v>0</v>
      </c>
      <c r="AK72" s="23">
        <f t="shared" si="34"/>
        <v>0</v>
      </c>
      <c r="AL72" s="24">
        <f t="shared" si="35"/>
        <v>0</v>
      </c>
    </row>
    <row r="73" spans="1:38" ht="16.05" customHeight="1" x14ac:dyDescent="0.3">
      <c r="A73" s="13" t="s">
        <v>214</v>
      </c>
      <c r="B73" s="14" t="s">
        <v>215</v>
      </c>
      <c r="C73" s="13" t="s">
        <v>129</v>
      </c>
      <c r="D73" s="15">
        <v>1413037.5</v>
      </c>
      <c r="E73" s="16">
        <v>0</v>
      </c>
      <c r="F73" s="17">
        <f>IFERROR(SCORECARDS!H72,"")</f>
        <v>0</v>
      </c>
      <c r="G73" s="17">
        <f>IFERROR(MATRIZ_174!U72,0)</f>
        <v>1</v>
      </c>
      <c r="H73" s="16">
        <v>0</v>
      </c>
      <c r="I73" s="17">
        <f>IFERROR(SCORECARDS!I72,"")</f>
        <v>0</v>
      </c>
      <c r="J73" s="17">
        <f>IFERROR(SCORECARDS!J72,"")</f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7">
        <f t="shared" si="24"/>
        <v>0</v>
      </c>
      <c r="Q73" s="17">
        <f t="shared" si="25"/>
        <v>0</v>
      </c>
      <c r="R73" s="17">
        <f t="shared" si="26"/>
        <v>0</v>
      </c>
      <c r="S73" s="17">
        <f t="shared" si="27"/>
        <v>0</v>
      </c>
      <c r="T73" s="17">
        <f>IFERROR((K73+M73+MATRIZ_174!O72)/3,0)</f>
        <v>0</v>
      </c>
      <c r="U73" s="18">
        <f>IFERROR(MATRIZ_174!AP72*50,0)</f>
        <v>6.25</v>
      </c>
      <c r="V73" s="18">
        <f t="shared" si="28"/>
        <v>50</v>
      </c>
      <c r="W73" s="18">
        <f>IF(MATRIZ_174!R72&gt;0,65,35)</f>
        <v>35</v>
      </c>
      <c r="X73" s="18">
        <f>IF(MATRIZ_174!O72=0,70,30)</f>
        <v>70</v>
      </c>
      <c r="Y73" s="18">
        <f>IF(OR(MATRIZ_174!P72="ASOCIACION",MATRIZ_174!P72="PENDIENTE"),65,40)</f>
        <v>65</v>
      </c>
      <c r="Z73" s="19">
        <f t="shared" si="29"/>
        <v>0</v>
      </c>
      <c r="AA73" s="20">
        <f t="shared" si="30"/>
        <v>45.3</v>
      </c>
      <c r="AB73" s="21">
        <f t="shared" si="31"/>
        <v>45.3</v>
      </c>
      <c r="AC73" s="13" t="str">
        <f t="shared" si="32"/>
        <v>⬜  Riesgo Latente</v>
      </c>
      <c r="AD73" s="13" t="str">
        <f t="shared" si="33"/>
        <v/>
      </c>
      <c r="AE73" s="22">
        <f>IFERROR(MATRIZ_174!W72,0)</f>
        <v>1</v>
      </c>
      <c r="AF73" s="22">
        <f>IFERROR(MATRIZ_174!X72,0)</f>
        <v>0</v>
      </c>
      <c r="AG73" s="22">
        <f>IFERROR(MATRIZ_174!Y72,0)</f>
        <v>0</v>
      </c>
      <c r="AH73" s="22">
        <f>IFERROR(MATRIZ_174!Z72,0)</f>
        <v>0</v>
      </c>
      <c r="AI73" s="17">
        <f>IFERROR(MATRIZ_174!AP72,"N/A")</f>
        <v>0.125</v>
      </c>
      <c r="AJ73" s="17">
        <f>IFERROR(MATRIZ_174!AO72,"N/A")</f>
        <v>0</v>
      </c>
      <c r="AK73" s="23">
        <f t="shared" si="34"/>
        <v>0</v>
      </c>
      <c r="AL73" s="24">
        <f t="shared" si="35"/>
        <v>0</v>
      </c>
    </row>
    <row r="74" spans="1:38" ht="16.05" customHeight="1" x14ac:dyDescent="0.3">
      <c r="A74" s="13" t="s">
        <v>216</v>
      </c>
      <c r="B74" s="14" t="s">
        <v>217</v>
      </c>
      <c r="C74" s="13" t="s">
        <v>129</v>
      </c>
      <c r="D74" s="15">
        <v>1187600.48</v>
      </c>
      <c r="E74" s="16">
        <v>0</v>
      </c>
      <c r="F74" s="17">
        <f>IFERROR(SCORECARDS!H73,"")</f>
        <v>0</v>
      </c>
      <c r="G74" s="17">
        <f>IFERROR(MATRIZ_174!U73,0)</f>
        <v>1</v>
      </c>
      <c r="H74" s="16">
        <v>0</v>
      </c>
      <c r="I74" s="17">
        <f>IFERROR(SCORECARDS!I73,"")</f>
        <v>0</v>
      </c>
      <c r="J74" s="17">
        <f>IFERROR(SCORECARDS!J73,"")</f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7">
        <f t="shared" si="24"/>
        <v>0</v>
      </c>
      <c r="Q74" s="17">
        <f t="shared" si="25"/>
        <v>0</v>
      </c>
      <c r="R74" s="17">
        <f t="shared" si="26"/>
        <v>0</v>
      </c>
      <c r="S74" s="17">
        <f t="shared" si="27"/>
        <v>0</v>
      </c>
      <c r="T74" s="17">
        <f>IFERROR((K74+M74+MATRIZ_174!O73)/3,0)</f>
        <v>0</v>
      </c>
      <c r="U74" s="18">
        <f>IFERROR(MATRIZ_174!AP73*50,0)</f>
        <v>6.25</v>
      </c>
      <c r="V74" s="18">
        <f t="shared" si="28"/>
        <v>50</v>
      </c>
      <c r="W74" s="18">
        <f>IF(MATRIZ_174!R73&gt;0,65,35)</f>
        <v>65</v>
      </c>
      <c r="X74" s="18">
        <f>IF(MATRIZ_174!O73=0,70,30)</f>
        <v>70</v>
      </c>
      <c r="Y74" s="18">
        <f>IF(OR(MATRIZ_174!P73="ASOCIACION",MATRIZ_174!P73="PENDIENTE"),65,40)</f>
        <v>65</v>
      </c>
      <c r="Z74" s="19">
        <f t="shared" si="29"/>
        <v>0</v>
      </c>
      <c r="AA74" s="20">
        <f t="shared" si="30"/>
        <v>51.3</v>
      </c>
      <c r="AB74" s="21">
        <f t="shared" si="31"/>
        <v>51.3</v>
      </c>
      <c r="AC74" s="13" t="str">
        <f t="shared" si="32"/>
        <v>🔴  Riesgo Crítico</v>
      </c>
      <c r="AD74" s="13" t="str">
        <f t="shared" si="33"/>
        <v/>
      </c>
      <c r="AE74" s="22">
        <f>IFERROR(MATRIZ_174!W73,0)</f>
        <v>1</v>
      </c>
      <c r="AF74" s="22">
        <f>IFERROR(MATRIZ_174!X73,0)</f>
        <v>0</v>
      </c>
      <c r="AG74" s="22">
        <f>IFERROR(MATRIZ_174!Y73,0)</f>
        <v>0</v>
      </c>
      <c r="AH74" s="22">
        <f>IFERROR(MATRIZ_174!Z73,0)</f>
        <v>0</v>
      </c>
      <c r="AI74" s="17">
        <f>IFERROR(MATRIZ_174!AP73,"N/A")</f>
        <v>0.125</v>
      </c>
      <c r="AJ74" s="17">
        <f>IFERROR(MATRIZ_174!AO73,"N/A")</f>
        <v>0</v>
      </c>
      <c r="AK74" s="23">
        <f t="shared" si="34"/>
        <v>0</v>
      </c>
      <c r="AL74" s="24">
        <f t="shared" si="35"/>
        <v>0</v>
      </c>
    </row>
    <row r="75" spans="1:38" ht="16.05" customHeight="1" x14ac:dyDescent="0.3">
      <c r="A75" s="13" t="s">
        <v>218</v>
      </c>
      <c r="B75" s="14" t="s">
        <v>219</v>
      </c>
      <c r="C75" s="13" t="s">
        <v>129</v>
      </c>
      <c r="D75" s="15">
        <v>12142715.91</v>
      </c>
      <c r="E75" s="16">
        <v>0</v>
      </c>
      <c r="F75" s="17">
        <f>IFERROR(SCORECARDS!H74,"")</f>
        <v>0</v>
      </c>
      <c r="G75" s="17">
        <f>IFERROR(MATRIZ_174!U74,0)</f>
        <v>1</v>
      </c>
      <c r="H75" s="16">
        <v>0</v>
      </c>
      <c r="I75" s="17">
        <f>IFERROR(SCORECARDS!I74,"")</f>
        <v>0</v>
      </c>
      <c r="J75" s="17">
        <f>IFERROR(SCORECARDS!J74,"")</f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7">
        <f t="shared" si="24"/>
        <v>0</v>
      </c>
      <c r="Q75" s="17">
        <f t="shared" si="25"/>
        <v>0</v>
      </c>
      <c r="R75" s="17">
        <f t="shared" si="26"/>
        <v>0</v>
      </c>
      <c r="S75" s="17">
        <f t="shared" si="27"/>
        <v>0</v>
      </c>
      <c r="T75" s="17">
        <f>IFERROR((K75+M75+MATRIZ_174!O74)/3,0)</f>
        <v>0</v>
      </c>
      <c r="U75" s="18">
        <f>IFERROR(MATRIZ_174!AP74*50,0)</f>
        <v>6.25</v>
      </c>
      <c r="V75" s="18">
        <f t="shared" si="28"/>
        <v>50</v>
      </c>
      <c r="W75" s="18">
        <f>IF(MATRIZ_174!R74&gt;0,65,35)</f>
        <v>35</v>
      </c>
      <c r="X75" s="18">
        <f>IF(MATRIZ_174!O74=0,70,30)</f>
        <v>70</v>
      </c>
      <c r="Y75" s="18">
        <f>IF(OR(MATRIZ_174!P74="ASOCIACION",MATRIZ_174!P74="PENDIENTE"),65,40)</f>
        <v>65</v>
      </c>
      <c r="Z75" s="19">
        <f t="shared" si="29"/>
        <v>0</v>
      </c>
      <c r="AA75" s="20">
        <f t="shared" si="30"/>
        <v>45.3</v>
      </c>
      <c r="AB75" s="21">
        <f t="shared" si="31"/>
        <v>45.3</v>
      </c>
      <c r="AC75" s="13" t="str">
        <f t="shared" si="32"/>
        <v>⬜  Riesgo Latente</v>
      </c>
      <c r="AD75" s="13" t="str">
        <f t="shared" si="33"/>
        <v/>
      </c>
      <c r="AE75" s="22">
        <f>IFERROR(MATRIZ_174!W74,0)</f>
        <v>1</v>
      </c>
      <c r="AF75" s="22">
        <f>IFERROR(MATRIZ_174!X74,0)</f>
        <v>0</v>
      </c>
      <c r="AG75" s="22">
        <f>IFERROR(MATRIZ_174!Y74,0)</f>
        <v>0</v>
      </c>
      <c r="AH75" s="22">
        <f>IFERROR(MATRIZ_174!Z74,0)</f>
        <v>0</v>
      </c>
      <c r="AI75" s="17">
        <f>IFERROR(MATRIZ_174!AP74,"N/A")</f>
        <v>0.125</v>
      </c>
      <c r="AJ75" s="17">
        <f>IFERROR(MATRIZ_174!AO74,"N/A")</f>
        <v>0</v>
      </c>
      <c r="AK75" s="23">
        <f t="shared" si="34"/>
        <v>0</v>
      </c>
      <c r="AL75" s="24">
        <f t="shared" si="35"/>
        <v>0</v>
      </c>
    </row>
    <row r="76" spans="1:38" ht="16.05" customHeight="1" x14ac:dyDescent="0.3">
      <c r="A76" s="13" t="s">
        <v>220</v>
      </c>
      <c r="B76" s="14" t="s">
        <v>221</v>
      </c>
      <c r="C76" s="13" t="s">
        <v>182</v>
      </c>
      <c r="D76" s="15">
        <v>0</v>
      </c>
      <c r="E76" s="16">
        <v>0</v>
      </c>
      <c r="F76" s="17">
        <f>IFERROR(SCORECARDS!H75,"")</f>
        <v>0</v>
      </c>
      <c r="G76" s="17">
        <f>IFERROR(MATRIZ_174!U75,0)</f>
        <v>0</v>
      </c>
      <c r="H76" s="16">
        <v>0</v>
      </c>
      <c r="I76" s="17">
        <f>IFERROR(SCORECARDS!I75,"")</f>
        <v>0</v>
      </c>
      <c r="J76" s="17">
        <f>IFERROR(SCORECARDS!J75,"")</f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7">
        <f t="shared" si="24"/>
        <v>0</v>
      </c>
      <c r="Q76" s="17">
        <f t="shared" si="25"/>
        <v>0</v>
      </c>
      <c r="R76" s="17">
        <f t="shared" si="26"/>
        <v>0</v>
      </c>
      <c r="S76" s="17">
        <f t="shared" si="27"/>
        <v>0</v>
      </c>
      <c r="T76" s="17">
        <f>IFERROR((K76+M76+MATRIZ_174!O75)/3,0)</f>
        <v>0</v>
      </c>
      <c r="U76" s="18">
        <f>IFERROR(MATRIZ_174!AP75*50,0)</f>
        <v>0</v>
      </c>
      <c r="V76" s="18">
        <f t="shared" si="28"/>
        <v>50</v>
      </c>
      <c r="W76" s="18">
        <f>IF(MATRIZ_174!R75&gt;0,65,35)</f>
        <v>35</v>
      </c>
      <c r="X76" s="18">
        <f>IF(MATRIZ_174!O75=0,70,30)</f>
        <v>70</v>
      </c>
      <c r="Y76" s="18">
        <f>IF(OR(MATRIZ_174!P75="ASOCIACION",MATRIZ_174!P75="PENDIENTE"),65,40)</f>
        <v>65</v>
      </c>
      <c r="Z76" s="19">
        <f t="shared" si="29"/>
        <v>0</v>
      </c>
      <c r="AA76" s="20">
        <f t="shared" si="30"/>
        <v>44</v>
      </c>
      <c r="AB76" s="21">
        <f t="shared" si="31"/>
        <v>44</v>
      </c>
      <c r="AC76" s="13" t="str">
        <f t="shared" si="32"/>
        <v>⬜  Riesgo Latente</v>
      </c>
      <c r="AD76" s="13" t="str">
        <f t="shared" si="33"/>
        <v>🚫  Inh. vigente OSCE</v>
      </c>
      <c r="AE76" s="22">
        <f>IFERROR(MATRIZ_174!W75,0)</f>
        <v>0</v>
      </c>
      <c r="AF76" s="22">
        <f>IFERROR(MATRIZ_174!X75,0)</f>
        <v>0</v>
      </c>
      <c r="AG76" s="22">
        <f>IFERROR(MATRIZ_174!Y75,0)</f>
        <v>0</v>
      </c>
      <c r="AH76" s="22">
        <f>IFERROR(MATRIZ_174!Z75,0)</f>
        <v>0</v>
      </c>
      <c r="AI76" s="17">
        <f>IFERROR(MATRIZ_174!AP75,"N/A")</f>
        <v>0</v>
      </c>
      <c r="AJ76" s="17">
        <f>IFERROR(MATRIZ_174!AO75,"N/A")</f>
        <v>0</v>
      </c>
      <c r="AK76" s="23">
        <f t="shared" si="34"/>
        <v>0</v>
      </c>
      <c r="AL76" s="24">
        <f t="shared" si="35"/>
        <v>0</v>
      </c>
    </row>
    <row r="77" spans="1:38" ht="16.05" customHeight="1" x14ac:dyDescent="0.3">
      <c r="A77" s="13" t="s">
        <v>222</v>
      </c>
      <c r="B77" s="14" t="s">
        <v>223</v>
      </c>
      <c r="C77" s="13" t="s">
        <v>182</v>
      </c>
      <c r="D77" s="15">
        <v>0</v>
      </c>
      <c r="E77" s="16">
        <v>0</v>
      </c>
      <c r="F77" s="17">
        <f>IFERROR(SCORECARDS!H76,"")</f>
        <v>0</v>
      </c>
      <c r="G77" s="17">
        <f>IFERROR(MATRIZ_174!U76,0)</f>
        <v>0</v>
      </c>
      <c r="H77" s="16">
        <v>0</v>
      </c>
      <c r="I77" s="17">
        <f>IFERROR(SCORECARDS!I76,"")</f>
        <v>0</v>
      </c>
      <c r="J77" s="17">
        <f>IFERROR(SCORECARDS!J76,"")</f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7">
        <f t="shared" si="24"/>
        <v>0</v>
      </c>
      <c r="Q77" s="17">
        <f t="shared" si="25"/>
        <v>0</v>
      </c>
      <c r="R77" s="17">
        <f t="shared" si="26"/>
        <v>0</v>
      </c>
      <c r="S77" s="17">
        <f t="shared" si="27"/>
        <v>0</v>
      </c>
      <c r="T77" s="17">
        <f>IFERROR((K77+M77+MATRIZ_174!O76)/3,0)</f>
        <v>0</v>
      </c>
      <c r="U77" s="18">
        <f>IFERROR(MATRIZ_174!AP76*50,0)</f>
        <v>0</v>
      </c>
      <c r="V77" s="18">
        <f t="shared" si="28"/>
        <v>50</v>
      </c>
      <c r="W77" s="18">
        <f>IF(MATRIZ_174!R76&gt;0,65,35)</f>
        <v>35</v>
      </c>
      <c r="X77" s="18">
        <f>IF(MATRIZ_174!O76=0,70,30)</f>
        <v>70</v>
      </c>
      <c r="Y77" s="18">
        <f>IF(OR(MATRIZ_174!P76="ASOCIACION",MATRIZ_174!P76="PENDIENTE"),65,40)</f>
        <v>65</v>
      </c>
      <c r="Z77" s="19">
        <f t="shared" si="29"/>
        <v>0</v>
      </c>
      <c r="AA77" s="20">
        <f t="shared" si="30"/>
        <v>44</v>
      </c>
      <c r="AB77" s="21">
        <f t="shared" si="31"/>
        <v>44</v>
      </c>
      <c r="AC77" s="13" t="str">
        <f t="shared" si="32"/>
        <v>⬜  Riesgo Latente</v>
      </c>
      <c r="AD77" s="13" t="str">
        <f t="shared" si="33"/>
        <v>🚫  Inh. vigente OSCE</v>
      </c>
      <c r="AE77" s="22">
        <f>IFERROR(MATRIZ_174!W76,0)</f>
        <v>0</v>
      </c>
      <c r="AF77" s="22">
        <f>IFERROR(MATRIZ_174!X76,0)</f>
        <v>0</v>
      </c>
      <c r="AG77" s="22">
        <f>IFERROR(MATRIZ_174!Y76,0)</f>
        <v>0</v>
      </c>
      <c r="AH77" s="22">
        <f>IFERROR(MATRIZ_174!Z76,0)</f>
        <v>0</v>
      </c>
      <c r="AI77" s="17">
        <f>IFERROR(MATRIZ_174!AP76,"N/A")</f>
        <v>0</v>
      </c>
      <c r="AJ77" s="17">
        <f>IFERROR(MATRIZ_174!AO76,"N/A")</f>
        <v>0</v>
      </c>
      <c r="AK77" s="23">
        <f t="shared" si="34"/>
        <v>0</v>
      </c>
      <c r="AL77" s="24">
        <f t="shared" si="35"/>
        <v>0</v>
      </c>
    </row>
    <row r="78" spans="1:38" ht="16.05" customHeight="1" x14ac:dyDescent="0.3">
      <c r="A78" s="13" t="s">
        <v>224</v>
      </c>
      <c r="B78" s="14" t="s">
        <v>225</v>
      </c>
      <c r="C78" s="13" t="s">
        <v>140</v>
      </c>
      <c r="D78" s="15">
        <v>8445503.2400000002</v>
      </c>
      <c r="E78" s="16">
        <v>0</v>
      </c>
      <c r="F78" s="17">
        <f>IFERROR(SCORECARDS!H77,"")</f>
        <v>0</v>
      </c>
      <c r="G78" s="17">
        <f>IFERROR(MATRIZ_174!U77,0)</f>
        <v>1</v>
      </c>
      <c r="H78" s="16">
        <v>0</v>
      </c>
      <c r="I78" s="17">
        <f>IFERROR(SCORECARDS!I77,"")</f>
        <v>0</v>
      </c>
      <c r="J78" s="17">
        <f>IFERROR(SCORECARDS!J77,"")</f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7">
        <f t="shared" si="24"/>
        <v>0</v>
      </c>
      <c r="Q78" s="17">
        <f t="shared" si="25"/>
        <v>0</v>
      </c>
      <c r="R78" s="17">
        <f t="shared" si="26"/>
        <v>0</v>
      </c>
      <c r="S78" s="17">
        <f t="shared" si="27"/>
        <v>0</v>
      </c>
      <c r="T78" s="17">
        <f>IFERROR((K78+M78+MATRIZ_174!O77)/3,0)</f>
        <v>0</v>
      </c>
      <c r="U78" s="18">
        <f>IFERROR(MATRIZ_174!AP77*50,0)</f>
        <v>6.25</v>
      </c>
      <c r="V78" s="18">
        <f t="shared" si="28"/>
        <v>50</v>
      </c>
      <c r="W78" s="18">
        <f>IF(MATRIZ_174!R77&gt;0,65,35)</f>
        <v>35</v>
      </c>
      <c r="X78" s="18">
        <f>IF(MATRIZ_174!O77=0,70,30)</f>
        <v>70</v>
      </c>
      <c r="Y78" s="18">
        <f>IF(OR(MATRIZ_174!P77="ASOCIACION",MATRIZ_174!P77="PENDIENTE"),65,40)</f>
        <v>65</v>
      </c>
      <c r="Z78" s="19">
        <f t="shared" si="29"/>
        <v>0</v>
      </c>
      <c r="AA78" s="20">
        <f t="shared" si="30"/>
        <v>45.3</v>
      </c>
      <c r="AB78" s="21">
        <f t="shared" si="31"/>
        <v>45.3</v>
      </c>
      <c r="AC78" s="13" t="str">
        <f t="shared" si="32"/>
        <v>⬜  Riesgo Latente</v>
      </c>
      <c r="AD78" s="13" t="str">
        <f t="shared" si="33"/>
        <v/>
      </c>
      <c r="AE78" s="22">
        <f>IFERROR(MATRIZ_174!W77,0)</f>
        <v>1</v>
      </c>
      <c r="AF78" s="22">
        <f>IFERROR(MATRIZ_174!X77,0)</f>
        <v>0</v>
      </c>
      <c r="AG78" s="22">
        <f>IFERROR(MATRIZ_174!Y77,0)</f>
        <v>0</v>
      </c>
      <c r="AH78" s="22">
        <f>IFERROR(MATRIZ_174!Z77,0)</f>
        <v>0</v>
      </c>
      <c r="AI78" s="17">
        <f>IFERROR(MATRIZ_174!AP77,"N/A")</f>
        <v>0.125</v>
      </c>
      <c r="AJ78" s="17">
        <f>IFERROR(MATRIZ_174!AO77,"N/A")</f>
        <v>0</v>
      </c>
      <c r="AK78" s="23">
        <f t="shared" si="34"/>
        <v>0</v>
      </c>
      <c r="AL78" s="24">
        <f t="shared" si="35"/>
        <v>0</v>
      </c>
    </row>
    <row r="79" spans="1:38" ht="16.05" customHeight="1" x14ac:dyDescent="0.3">
      <c r="A79" s="13" t="s">
        <v>226</v>
      </c>
      <c r="B79" s="14" t="s">
        <v>227</v>
      </c>
      <c r="C79" s="13" t="s">
        <v>110</v>
      </c>
      <c r="D79" s="15">
        <v>0</v>
      </c>
      <c r="E79" s="16">
        <v>0</v>
      </c>
      <c r="F79" s="17">
        <f>IFERROR(SCORECARDS!H78,"")</f>
        <v>0</v>
      </c>
      <c r="G79" s="17">
        <f>IFERROR(MATRIZ_174!U78,0)</f>
        <v>0</v>
      </c>
      <c r="H79" s="16">
        <v>0</v>
      </c>
      <c r="I79" s="17">
        <f>IFERROR(SCORECARDS!I78,"")</f>
        <v>0</v>
      </c>
      <c r="J79" s="17">
        <f>IFERROR(SCORECARDS!J78,"")</f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7">
        <f t="shared" si="24"/>
        <v>0</v>
      </c>
      <c r="Q79" s="17">
        <f t="shared" si="25"/>
        <v>0</v>
      </c>
      <c r="R79" s="17">
        <f t="shared" si="26"/>
        <v>0</v>
      </c>
      <c r="S79" s="17">
        <f t="shared" si="27"/>
        <v>0</v>
      </c>
      <c r="T79" s="17">
        <f>IFERROR((K79+M79+MATRIZ_174!O78)/3,0)</f>
        <v>0</v>
      </c>
      <c r="U79" s="18">
        <f>IFERROR(MATRIZ_174!AP78*50,0)</f>
        <v>0</v>
      </c>
      <c r="V79" s="18">
        <f t="shared" si="28"/>
        <v>50</v>
      </c>
      <c r="W79" s="18">
        <f>IF(MATRIZ_174!R78&gt;0,65,35)</f>
        <v>35</v>
      </c>
      <c r="X79" s="18">
        <f>IF(MATRIZ_174!O78=0,70,30)</f>
        <v>70</v>
      </c>
      <c r="Y79" s="18">
        <f>IF(OR(MATRIZ_174!P78="ASOCIACION",MATRIZ_174!P78="PENDIENTE"),65,40)</f>
        <v>65</v>
      </c>
      <c r="Z79" s="19">
        <f t="shared" si="29"/>
        <v>0</v>
      </c>
      <c r="AA79" s="20">
        <f t="shared" si="30"/>
        <v>44</v>
      </c>
      <c r="AB79" s="21">
        <f t="shared" si="31"/>
        <v>44</v>
      </c>
      <c r="AC79" s="13" t="str">
        <f t="shared" si="32"/>
        <v>⬜  Riesgo Latente</v>
      </c>
      <c r="AD79" s="13" t="str">
        <f t="shared" si="33"/>
        <v>🚫  Inh. vigente OSCE</v>
      </c>
      <c r="AE79" s="22">
        <f>IFERROR(MATRIZ_174!W78,0)</f>
        <v>0</v>
      </c>
      <c r="AF79" s="22">
        <f>IFERROR(MATRIZ_174!X78,0)</f>
        <v>0</v>
      </c>
      <c r="AG79" s="22">
        <f>IFERROR(MATRIZ_174!Y78,0)</f>
        <v>0</v>
      </c>
      <c r="AH79" s="22">
        <f>IFERROR(MATRIZ_174!Z78,0)</f>
        <v>0</v>
      </c>
      <c r="AI79" s="17">
        <f>IFERROR(MATRIZ_174!AP78,"N/A")</f>
        <v>0</v>
      </c>
      <c r="AJ79" s="17">
        <f>IFERROR(MATRIZ_174!AO78,"N/A")</f>
        <v>0</v>
      </c>
      <c r="AK79" s="23">
        <f t="shared" si="34"/>
        <v>0</v>
      </c>
      <c r="AL79" s="24">
        <f t="shared" si="35"/>
        <v>0</v>
      </c>
    </row>
    <row r="80" spans="1:38" ht="16.05" customHeight="1" x14ac:dyDescent="0.3">
      <c r="A80" s="13" t="s">
        <v>228</v>
      </c>
      <c r="B80" s="14" t="s">
        <v>229</v>
      </c>
      <c r="C80" s="13" t="s">
        <v>230</v>
      </c>
      <c r="D80" s="15">
        <v>0</v>
      </c>
      <c r="E80" s="16">
        <v>0</v>
      </c>
      <c r="F80" s="17">
        <f>IFERROR(SCORECARDS!H79,"")</f>
        <v>0</v>
      </c>
      <c r="G80" s="17">
        <f>IFERROR(MATRIZ_174!U79,0)</f>
        <v>0</v>
      </c>
      <c r="H80" s="16">
        <v>0</v>
      </c>
      <c r="I80" s="17">
        <f>IFERROR(SCORECARDS!I79,"")</f>
        <v>0</v>
      </c>
      <c r="J80" s="17">
        <f>IFERROR(SCORECARDS!J79,"")</f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7">
        <f t="shared" si="24"/>
        <v>0</v>
      </c>
      <c r="Q80" s="17">
        <f t="shared" si="25"/>
        <v>0</v>
      </c>
      <c r="R80" s="17">
        <f t="shared" si="26"/>
        <v>0</v>
      </c>
      <c r="S80" s="17">
        <f t="shared" si="27"/>
        <v>0</v>
      </c>
      <c r="T80" s="17">
        <f>IFERROR((K80+M80+MATRIZ_174!O79)/3,0)</f>
        <v>0</v>
      </c>
      <c r="U80" s="18">
        <f>IFERROR(MATRIZ_174!AP79*50,0)</f>
        <v>0</v>
      </c>
      <c r="V80" s="18">
        <f t="shared" si="28"/>
        <v>50</v>
      </c>
      <c r="W80" s="18">
        <f>IF(MATRIZ_174!R79&gt;0,65,35)</f>
        <v>35</v>
      </c>
      <c r="X80" s="18">
        <f>IF(MATRIZ_174!O79=0,70,30)</f>
        <v>70</v>
      </c>
      <c r="Y80" s="18">
        <f>IF(OR(MATRIZ_174!P79="ASOCIACION",MATRIZ_174!P79="PENDIENTE"),65,40)</f>
        <v>65</v>
      </c>
      <c r="Z80" s="19">
        <f t="shared" si="29"/>
        <v>0</v>
      </c>
      <c r="AA80" s="20">
        <f t="shared" si="30"/>
        <v>44</v>
      </c>
      <c r="AB80" s="21">
        <f t="shared" si="31"/>
        <v>44</v>
      </c>
      <c r="AC80" s="13" t="str">
        <f t="shared" si="32"/>
        <v>⬜  Riesgo Latente</v>
      </c>
      <c r="AD80" s="13" t="str">
        <f t="shared" si="33"/>
        <v>🚫  Inh. vigente OSCE</v>
      </c>
      <c r="AE80" s="22">
        <f>IFERROR(MATRIZ_174!W79,0)</f>
        <v>0</v>
      </c>
      <c r="AF80" s="22">
        <f>IFERROR(MATRIZ_174!X79,0)</f>
        <v>0</v>
      </c>
      <c r="AG80" s="22">
        <f>IFERROR(MATRIZ_174!Y79,0)</f>
        <v>0</v>
      </c>
      <c r="AH80" s="22">
        <f>IFERROR(MATRIZ_174!Z79,0)</f>
        <v>0</v>
      </c>
      <c r="AI80" s="17">
        <f>IFERROR(MATRIZ_174!AP79,"N/A")</f>
        <v>0</v>
      </c>
      <c r="AJ80" s="17">
        <f>IFERROR(MATRIZ_174!AO79,"N/A")</f>
        <v>0</v>
      </c>
      <c r="AK80" s="23">
        <f t="shared" si="34"/>
        <v>0</v>
      </c>
      <c r="AL80" s="24">
        <f t="shared" si="35"/>
        <v>0</v>
      </c>
    </row>
    <row r="81" spans="1:38" ht="16.05" customHeight="1" x14ac:dyDescent="0.3">
      <c r="A81" s="13" t="s">
        <v>231</v>
      </c>
      <c r="B81" s="14" t="s">
        <v>232</v>
      </c>
      <c r="C81" s="13" t="s">
        <v>103</v>
      </c>
      <c r="D81" s="15">
        <v>0</v>
      </c>
      <c r="E81" s="16">
        <v>0</v>
      </c>
      <c r="F81" s="17">
        <f>IFERROR(SCORECARDS!H80,"")</f>
        <v>0</v>
      </c>
      <c r="G81" s="17">
        <f>IFERROR(MATRIZ_174!U80,0)</f>
        <v>0</v>
      </c>
      <c r="H81" s="16">
        <v>0</v>
      </c>
      <c r="I81" s="17">
        <f>IFERROR(SCORECARDS!I80,"")</f>
        <v>0</v>
      </c>
      <c r="J81" s="17">
        <f>IFERROR(SCORECARDS!J80,"")</f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7">
        <f t="shared" si="24"/>
        <v>0</v>
      </c>
      <c r="Q81" s="17">
        <f t="shared" si="25"/>
        <v>0</v>
      </c>
      <c r="R81" s="17">
        <f t="shared" si="26"/>
        <v>0</v>
      </c>
      <c r="S81" s="17">
        <f t="shared" si="27"/>
        <v>0</v>
      </c>
      <c r="T81" s="17">
        <f>IFERROR((K81+M81+MATRIZ_174!O80)/3,0)</f>
        <v>0</v>
      </c>
      <c r="U81" s="18">
        <f>IFERROR(MATRIZ_174!AP80*50,0)</f>
        <v>6.25</v>
      </c>
      <c r="V81" s="18">
        <f t="shared" si="28"/>
        <v>50</v>
      </c>
      <c r="W81" s="18">
        <f>IF(MATRIZ_174!R80&gt;0,65,35)</f>
        <v>65</v>
      </c>
      <c r="X81" s="18">
        <f>IF(MATRIZ_174!O80=0,70,30)</f>
        <v>70</v>
      </c>
      <c r="Y81" s="18">
        <f>IF(OR(MATRIZ_174!P80="ASOCIACION",MATRIZ_174!P80="PENDIENTE"),65,40)</f>
        <v>65</v>
      </c>
      <c r="Z81" s="19">
        <f t="shared" si="29"/>
        <v>0</v>
      </c>
      <c r="AA81" s="20">
        <f t="shared" si="30"/>
        <v>51.3</v>
      </c>
      <c r="AB81" s="21">
        <f t="shared" si="31"/>
        <v>51.3</v>
      </c>
      <c r="AC81" s="13" t="str">
        <f t="shared" si="32"/>
        <v>🔴  Riesgo Crítico</v>
      </c>
      <c r="AD81" s="13" t="str">
        <f t="shared" si="33"/>
        <v>🚫  Inh. vigente OSCE</v>
      </c>
      <c r="AE81" s="22">
        <f>IFERROR(MATRIZ_174!W80,0)</f>
        <v>1</v>
      </c>
      <c r="AF81" s="22">
        <f>IFERROR(MATRIZ_174!X80,0)</f>
        <v>0</v>
      </c>
      <c r="AG81" s="22">
        <f>IFERROR(MATRIZ_174!Y80,0)</f>
        <v>0</v>
      </c>
      <c r="AH81" s="22">
        <f>IFERROR(MATRIZ_174!Z80,0)</f>
        <v>0</v>
      </c>
      <c r="AI81" s="17">
        <f>IFERROR(MATRIZ_174!AP80,"N/A")</f>
        <v>0.125</v>
      </c>
      <c r="AJ81" s="17">
        <f>IFERROR(MATRIZ_174!AO80,"N/A")</f>
        <v>0</v>
      </c>
      <c r="AK81" s="23">
        <f t="shared" si="34"/>
        <v>0</v>
      </c>
      <c r="AL81" s="24">
        <f t="shared" si="35"/>
        <v>0</v>
      </c>
    </row>
    <row r="82" spans="1:38" ht="16.05" customHeight="1" x14ac:dyDescent="0.3">
      <c r="A82" s="13" t="s">
        <v>233</v>
      </c>
      <c r="B82" s="14" t="s">
        <v>234</v>
      </c>
      <c r="C82" s="13" t="s">
        <v>74</v>
      </c>
      <c r="D82" s="15">
        <v>0</v>
      </c>
      <c r="E82" s="16">
        <v>0</v>
      </c>
      <c r="F82" s="17">
        <f>IFERROR(SCORECARDS!H81,"")</f>
        <v>0</v>
      </c>
      <c r="G82" s="17">
        <f>IFERROR(MATRIZ_174!U81,0)</f>
        <v>0</v>
      </c>
      <c r="H82" s="16">
        <v>0</v>
      </c>
      <c r="I82" s="17">
        <f>IFERROR(SCORECARDS!I81,"")</f>
        <v>0</v>
      </c>
      <c r="J82" s="17">
        <f>IFERROR(SCORECARDS!J81,"")</f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7">
        <f t="shared" si="24"/>
        <v>0</v>
      </c>
      <c r="Q82" s="17">
        <f t="shared" si="25"/>
        <v>0</v>
      </c>
      <c r="R82" s="17">
        <f t="shared" si="26"/>
        <v>0</v>
      </c>
      <c r="S82" s="17">
        <f t="shared" si="27"/>
        <v>0</v>
      </c>
      <c r="T82" s="17">
        <f>IFERROR((K82+M82+MATRIZ_174!O81)/3,0)</f>
        <v>0</v>
      </c>
      <c r="U82" s="18">
        <f>IFERROR(MATRIZ_174!AP81*50,0)</f>
        <v>0</v>
      </c>
      <c r="V82" s="18">
        <f t="shared" si="28"/>
        <v>50</v>
      </c>
      <c r="W82" s="18">
        <f>IF(MATRIZ_174!R81&gt;0,65,35)</f>
        <v>35</v>
      </c>
      <c r="X82" s="18">
        <f>IF(MATRIZ_174!O81=0,70,30)</f>
        <v>70</v>
      </c>
      <c r="Y82" s="18">
        <f>IF(OR(MATRIZ_174!P81="ASOCIACION",MATRIZ_174!P81="PENDIENTE"),65,40)</f>
        <v>65</v>
      </c>
      <c r="Z82" s="19">
        <f t="shared" si="29"/>
        <v>0</v>
      </c>
      <c r="AA82" s="20">
        <f t="shared" si="30"/>
        <v>44</v>
      </c>
      <c r="AB82" s="21">
        <f t="shared" si="31"/>
        <v>44</v>
      </c>
      <c r="AC82" s="13" t="str">
        <f t="shared" si="32"/>
        <v>⬜  Riesgo Latente</v>
      </c>
      <c r="AD82" s="13" t="str">
        <f t="shared" si="33"/>
        <v>🚫  Inh. vigente OSCE</v>
      </c>
      <c r="AE82" s="22">
        <f>IFERROR(MATRIZ_174!W81,0)</f>
        <v>0</v>
      </c>
      <c r="AF82" s="22">
        <f>IFERROR(MATRIZ_174!X81,0)</f>
        <v>0</v>
      </c>
      <c r="AG82" s="22">
        <f>IFERROR(MATRIZ_174!Y81,0)</f>
        <v>0</v>
      </c>
      <c r="AH82" s="22">
        <f>IFERROR(MATRIZ_174!Z81,0)</f>
        <v>0</v>
      </c>
      <c r="AI82" s="17">
        <f>IFERROR(MATRIZ_174!AP81,"N/A")</f>
        <v>0</v>
      </c>
      <c r="AJ82" s="17">
        <f>IFERROR(MATRIZ_174!AO81,"N/A")</f>
        <v>0</v>
      </c>
      <c r="AK82" s="23">
        <f t="shared" si="34"/>
        <v>0</v>
      </c>
      <c r="AL82" s="24">
        <f t="shared" si="35"/>
        <v>0</v>
      </c>
    </row>
    <row r="83" spans="1:38" ht="16.05" customHeight="1" x14ac:dyDescent="0.3">
      <c r="A83" s="13" t="s">
        <v>235</v>
      </c>
      <c r="B83" s="14" t="s">
        <v>236</v>
      </c>
      <c r="C83" s="13" t="s">
        <v>237</v>
      </c>
      <c r="D83" s="15">
        <v>717861.85</v>
      </c>
      <c r="E83" s="16">
        <v>0</v>
      </c>
      <c r="F83" s="17">
        <f>IFERROR(SCORECARDS!H82,"")</f>
        <v>0</v>
      </c>
      <c r="G83" s="17">
        <f>IFERROR(MATRIZ_174!U82,0)</f>
        <v>1</v>
      </c>
      <c r="H83" s="16">
        <v>0</v>
      </c>
      <c r="I83" s="17">
        <f>IFERROR(SCORECARDS!I82,"")</f>
        <v>0</v>
      </c>
      <c r="J83" s="17">
        <f>IFERROR(SCORECARDS!J82,"")</f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7">
        <f t="shared" si="24"/>
        <v>0</v>
      </c>
      <c r="Q83" s="17">
        <f t="shared" si="25"/>
        <v>0</v>
      </c>
      <c r="R83" s="17">
        <f t="shared" si="26"/>
        <v>0</v>
      </c>
      <c r="S83" s="17">
        <f t="shared" si="27"/>
        <v>0</v>
      </c>
      <c r="T83" s="17">
        <f>IFERROR((K83+M83+MATRIZ_174!O82)/3,0)</f>
        <v>0</v>
      </c>
      <c r="U83" s="18">
        <f>IFERROR(MATRIZ_174!AP82*50,0)</f>
        <v>6.25</v>
      </c>
      <c r="V83" s="18">
        <f t="shared" si="28"/>
        <v>50</v>
      </c>
      <c r="W83" s="18">
        <f>IF(MATRIZ_174!R82&gt;0,65,35)</f>
        <v>35</v>
      </c>
      <c r="X83" s="18">
        <f>IF(MATRIZ_174!O82=0,70,30)</f>
        <v>70</v>
      </c>
      <c r="Y83" s="18">
        <f>IF(OR(MATRIZ_174!P82="ASOCIACION",MATRIZ_174!P82="PENDIENTE"),65,40)</f>
        <v>65</v>
      </c>
      <c r="Z83" s="19">
        <f t="shared" si="29"/>
        <v>0</v>
      </c>
      <c r="AA83" s="20">
        <f t="shared" si="30"/>
        <v>45.3</v>
      </c>
      <c r="AB83" s="21">
        <f t="shared" si="31"/>
        <v>45.3</v>
      </c>
      <c r="AC83" s="13" t="str">
        <f t="shared" si="32"/>
        <v>⬜  Riesgo Latente</v>
      </c>
      <c r="AD83" s="13" t="str">
        <f t="shared" si="33"/>
        <v/>
      </c>
      <c r="AE83" s="22">
        <f>IFERROR(MATRIZ_174!W82,0)</f>
        <v>1</v>
      </c>
      <c r="AF83" s="22">
        <f>IFERROR(MATRIZ_174!X82,0)</f>
        <v>0</v>
      </c>
      <c r="AG83" s="22">
        <f>IFERROR(MATRIZ_174!Y82,0)</f>
        <v>0</v>
      </c>
      <c r="AH83" s="22">
        <f>IFERROR(MATRIZ_174!Z82,0)</f>
        <v>0</v>
      </c>
      <c r="AI83" s="17">
        <f>IFERROR(MATRIZ_174!AP82,"N/A")</f>
        <v>0.125</v>
      </c>
      <c r="AJ83" s="17">
        <f>IFERROR(MATRIZ_174!AO82,"N/A")</f>
        <v>0</v>
      </c>
      <c r="AK83" s="23">
        <f t="shared" si="34"/>
        <v>0</v>
      </c>
      <c r="AL83" s="24">
        <f t="shared" si="35"/>
        <v>0</v>
      </c>
    </row>
    <row r="84" spans="1:38" ht="16.05" customHeight="1" x14ac:dyDescent="0.3">
      <c r="A84" s="13" t="s">
        <v>238</v>
      </c>
      <c r="B84" s="14" t="s">
        <v>239</v>
      </c>
      <c r="C84" s="13" t="s">
        <v>237</v>
      </c>
      <c r="D84" s="15">
        <v>0</v>
      </c>
      <c r="E84" s="16">
        <v>0</v>
      </c>
      <c r="F84" s="17">
        <f>IFERROR(SCORECARDS!H83,"")</f>
        <v>0</v>
      </c>
      <c r="G84" s="17">
        <f>IFERROR(MATRIZ_174!U83,0)</f>
        <v>0</v>
      </c>
      <c r="H84" s="16">
        <v>0</v>
      </c>
      <c r="I84" s="17">
        <f>IFERROR(SCORECARDS!I83,"")</f>
        <v>0</v>
      </c>
      <c r="J84" s="17">
        <f>IFERROR(SCORECARDS!J83,"")</f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7">
        <f t="shared" si="24"/>
        <v>0</v>
      </c>
      <c r="Q84" s="17">
        <f t="shared" si="25"/>
        <v>0</v>
      </c>
      <c r="R84" s="17">
        <f t="shared" si="26"/>
        <v>0</v>
      </c>
      <c r="S84" s="17">
        <f t="shared" si="27"/>
        <v>0</v>
      </c>
      <c r="T84" s="17">
        <f>IFERROR((K84+M84+MATRIZ_174!O83)/3,0)</f>
        <v>0</v>
      </c>
      <c r="U84" s="18">
        <f>IFERROR(MATRIZ_174!AP83*50,0)</f>
        <v>0</v>
      </c>
      <c r="V84" s="18">
        <f t="shared" si="28"/>
        <v>50</v>
      </c>
      <c r="W84" s="18">
        <f>IF(MATRIZ_174!R83&gt;0,65,35)</f>
        <v>35</v>
      </c>
      <c r="X84" s="18">
        <f>IF(MATRIZ_174!O83=0,70,30)</f>
        <v>70</v>
      </c>
      <c r="Y84" s="18">
        <f>IF(OR(MATRIZ_174!P83="ASOCIACION",MATRIZ_174!P83="PENDIENTE"),65,40)</f>
        <v>65</v>
      </c>
      <c r="Z84" s="19">
        <f t="shared" si="29"/>
        <v>0</v>
      </c>
      <c r="AA84" s="20">
        <f t="shared" si="30"/>
        <v>44</v>
      </c>
      <c r="AB84" s="21">
        <f t="shared" si="31"/>
        <v>44</v>
      </c>
      <c r="AC84" s="13" t="str">
        <f t="shared" si="32"/>
        <v>⬜  Riesgo Latente</v>
      </c>
      <c r="AD84" s="13" t="str">
        <f t="shared" si="33"/>
        <v>🚫  Inh. vigente OSCE</v>
      </c>
      <c r="AE84" s="22">
        <f>IFERROR(MATRIZ_174!W83,0)</f>
        <v>0</v>
      </c>
      <c r="AF84" s="22">
        <f>IFERROR(MATRIZ_174!X83,0)</f>
        <v>0</v>
      </c>
      <c r="AG84" s="22">
        <f>IFERROR(MATRIZ_174!Y83,0)</f>
        <v>0</v>
      </c>
      <c r="AH84" s="22">
        <f>IFERROR(MATRIZ_174!Z83,0)</f>
        <v>0</v>
      </c>
      <c r="AI84" s="17">
        <f>IFERROR(MATRIZ_174!AP83,"N/A")</f>
        <v>0</v>
      </c>
      <c r="AJ84" s="17">
        <f>IFERROR(MATRIZ_174!AO83,"N/A")</f>
        <v>0</v>
      </c>
      <c r="AK84" s="23">
        <f t="shared" si="34"/>
        <v>0</v>
      </c>
      <c r="AL84" s="24">
        <f t="shared" si="35"/>
        <v>0</v>
      </c>
    </row>
    <row r="85" spans="1:38" ht="16.05" customHeight="1" x14ac:dyDescent="0.3">
      <c r="A85" s="13" t="s">
        <v>240</v>
      </c>
      <c r="B85" s="14" t="s">
        <v>241</v>
      </c>
      <c r="C85" s="13" t="s">
        <v>71</v>
      </c>
      <c r="D85" s="15">
        <v>0</v>
      </c>
      <c r="E85" s="16">
        <v>0</v>
      </c>
      <c r="F85" s="17">
        <f>IFERROR(SCORECARDS!H84,"")</f>
        <v>0</v>
      </c>
      <c r="G85" s="17">
        <f>IFERROR(MATRIZ_174!U84,0)</f>
        <v>0</v>
      </c>
      <c r="H85" s="16">
        <v>0</v>
      </c>
      <c r="I85" s="17">
        <f>IFERROR(SCORECARDS!I84,"")</f>
        <v>0</v>
      </c>
      <c r="J85" s="17">
        <f>IFERROR(SCORECARDS!J84,"")</f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7">
        <f t="shared" si="24"/>
        <v>0</v>
      </c>
      <c r="Q85" s="17">
        <f t="shared" si="25"/>
        <v>0</v>
      </c>
      <c r="R85" s="17">
        <f t="shared" si="26"/>
        <v>0</v>
      </c>
      <c r="S85" s="17">
        <f t="shared" si="27"/>
        <v>0</v>
      </c>
      <c r="T85" s="17">
        <f>IFERROR((K85+M85+MATRIZ_174!O84)/3,0)</f>
        <v>0</v>
      </c>
      <c r="U85" s="18">
        <f>IFERROR(MATRIZ_174!AP84*50,0)</f>
        <v>0</v>
      </c>
      <c r="V85" s="18">
        <f t="shared" si="28"/>
        <v>50</v>
      </c>
      <c r="W85" s="18">
        <f>IF(MATRIZ_174!R84&gt;0,65,35)</f>
        <v>35</v>
      </c>
      <c r="X85" s="18">
        <f>IF(MATRIZ_174!O84=0,70,30)</f>
        <v>70</v>
      </c>
      <c r="Y85" s="18">
        <f>IF(OR(MATRIZ_174!P84="ASOCIACION",MATRIZ_174!P84="PENDIENTE"),65,40)</f>
        <v>65</v>
      </c>
      <c r="Z85" s="19">
        <f t="shared" si="29"/>
        <v>0</v>
      </c>
      <c r="AA85" s="20">
        <f t="shared" si="30"/>
        <v>44</v>
      </c>
      <c r="AB85" s="21">
        <f t="shared" si="31"/>
        <v>44</v>
      </c>
      <c r="AC85" s="13" t="str">
        <f t="shared" si="32"/>
        <v>⬜  Riesgo Latente</v>
      </c>
      <c r="AD85" s="13" t="str">
        <f t="shared" si="33"/>
        <v>🚫  Inh. vigente OSCE</v>
      </c>
      <c r="AE85" s="22">
        <f>IFERROR(MATRIZ_174!W84,0)</f>
        <v>0</v>
      </c>
      <c r="AF85" s="22">
        <f>IFERROR(MATRIZ_174!X84,0)</f>
        <v>0</v>
      </c>
      <c r="AG85" s="22">
        <f>IFERROR(MATRIZ_174!Y84,0)</f>
        <v>0</v>
      </c>
      <c r="AH85" s="22">
        <f>IFERROR(MATRIZ_174!Z84,0)</f>
        <v>0</v>
      </c>
      <c r="AI85" s="17">
        <f>IFERROR(MATRIZ_174!AP84,"N/A")</f>
        <v>0</v>
      </c>
      <c r="AJ85" s="17">
        <f>IFERROR(MATRIZ_174!AO84,"N/A")</f>
        <v>0</v>
      </c>
      <c r="AK85" s="23">
        <f t="shared" si="34"/>
        <v>0</v>
      </c>
      <c r="AL85" s="24">
        <f t="shared" si="35"/>
        <v>0</v>
      </c>
    </row>
    <row r="86" spans="1:38" ht="16.05" customHeight="1" x14ac:dyDescent="0.3">
      <c r="A86" s="13" t="s">
        <v>242</v>
      </c>
      <c r="B86" s="14" t="s">
        <v>243</v>
      </c>
      <c r="C86" s="13" t="s">
        <v>71</v>
      </c>
      <c r="D86" s="15">
        <v>2677512.61</v>
      </c>
      <c r="E86" s="16">
        <v>0</v>
      </c>
      <c r="F86" s="17">
        <f>IFERROR(SCORECARDS!H85,"")</f>
        <v>0</v>
      </c>
      <c r="G86" s="17">
        <f>IFERROR(MATRIZ_174!U85,0)</f>
        <v>1</v>
      </c>
      <c r="H86" s="16">
        <v>0</v>
      </c>
      <c r="I86" s="17">
        <f>IFERROR(SCORECARDS!I85,"")</f>
        <v>0</v>
      </c>
      <c r="J86" s="17">
        <f>IFERROR(SCORECARDS!J85,"")</f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7">
        <f t="shared" si="24"/>
        <v>0</v>
      </c>
      <c r="Q86" s="17">
        <f t="shared" si="25"/>
        <v>0</v>
      </c>
      <c r="R86" s="17">
        <f t="shared" si="26"/>
        <v>0</v>
      </c>
      <c r="S86" s="17">
        <f t="shared" si="27"/>
        <v>0</v>
      </c>
      <c r="T86" s="17">
        <f>IFERROR((K86+M86+MATRIZ_174!O85)/3,0)</f>
        <v>0</v>
      </c>
      <c r="U86" s="18">
        <f>IFERROR(MATRIZ_174!AP85*50,0)</f>
        <v>6.25</v>
      </c>
      <c r="V86" s="18">
        <f t="shared" si="28"/>
        <v>50</v>
      </c>
      <c r="W86" s="18">
        <f>IF(MATRIZ_174!R85&gt;0,65,35)</f>
        <v>35</v>
      </c>
      <c r="X86" s="18">
        <f>IF(MATRIZ_174!O85=0,70,30)</f>
        <v>70</v>
      </c>
      <c r="Y86" s="18">
        <f>IF(OR(MATRIZ_174!P85="ASOCIACION",MATRIZ_174!P85="PENDIENTE"),65,40)</f>
        <v>65</v>
      </c>
      <c r="Z86" s="19">
        <f t="shared" si="29"/>
        <v>0</v>
      </c>
      <c r="AA86" s="20">
        <f t="shared" si="30"/>
        <v>45.3</v>
      </c>
      <c r="AB86" s="21">
        <f t="shared" si="31"/>
        <v>45.3</v>
      </c>
      <c r="AC86" s="13" t="str">
        <f t="shared" si="32"/>
        <v>⬜  Riesgo Latente</v>
      </c>
      <c r="AD86" s="13" t="str">
        <f t="shared" si="33"/>
        <v/>
      </c>
      <c r="AE86" s="22">
        <f>IFERROR(MATRIZ_174!W85,0)</f>
        <v>1</v>
      </c>
      <c r="AF86" s="22">
        <f>IFERROR(MATRIZ_174!X85,0)</f>
        <v>0</v>
      </c>
      <c r="AG86" s="22">
        <f>IFERROR(MATRIZ_174!Y85,0)</f>
        <v>0</v>
      </c>
      <c r="AH86" s="22">
        <f>IFERROR(MATRIZ_174!Z85,0)</f>
        <v>0</v>
      </c>
      <c r="AI86" s="17">
        <f>IFERROR(MATRIZ_174!AP85,"N/A")</f>
        <v>0.125</v>
      </c>
      <c r="AJ86" s="17">
        <f>IFERROR(MATRIZ_174!AO85,"N/A")</f>
        <v>0</v>
      </c>
      <c r="AK86" s="23">
        <f t="shared" si="34"/>
        <v>0</v>
      </c>
      <c r="AL86" s="24">
        <f t="shared" si="35"/>
        <v>0</v>
      </c>
    </row>
    <row r="87" spans="1:38" ht="16.05" customHeight="1" x14ac:dyDescent="0.3">
      <c r="A87" s="13" t="s">
        <v>244</v>
      </c>
      <c r="B87" s="14" t="s">
        <v>245</v>
      </c>
      <c r="C87" s="13" t="s">
        <v>237</v>
      </c>
      <c r="D87" s="15">
        <v>0</v>
      </c>
      <c r="E87" s="16">
        <v>0</v>
      </c>
      <c r="F87" s="17">
        <f>IFERROR(SCORECARDS!H86,"")</f>
        <v>0</v>
      </c>
      <c r="G87" s="17">
        <f>IFERROR(MATRIZ_174!U86,0)</f>
        <v>0</v>
      </c>
      <c r="H87" s="16">
        <v>0</v>
      </c>
      <c r="I87" s="17">
        <f>IFERROR(SCORECARDS!I86,"")</f>
        <v>0</v>
      </c>
      <c r="J87" s="17">
        <f>IFERROR(SCORECARDS!J86,"")</f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7">
        <f t="shared" si="24"/>
        <v>0</v>
      </c>
      <c r="Q87" s="17">
        <f t="shared" si="25"/>
        <v>0</v>
      </c>
      <c r="R87" s="17">
        <f t="shared" si="26"/>
        <v>0</v>
      </c>
      <c r="S87" s="17">
        <f t="shared" si="27"/>
        <v>0</v>
      </c>
      <c r="T87" s="17">
        <f>IFERROR((K87+M87+MATRIZ_174!O86)/3,0)</f>
        <v>0</v>
      </c>
      <c r="U87" s="18">
        <f>IFERROR(MATRIZ_174!AP86*50,0)</f>
        <v>0</v>
      </c>
      <c r="V87" s="18">
        <f t="shared" si="28"/>
        <v>50</v>
      </c>
      <c r="W87" s="18">
        <f>IF(MATRIZ_174!R86&gt;0,65,35)</f>
        <v>35</v>
      </c>
      <c r="X87" s="18">
        <f>IF(MATRIZ_174!O86=0,70,30)</f>
        <v>70</v>
      </c>
      <c r="Y87" s="18">
        <f>IF(OR(MATRIZ_174!P86="ASOCIACION",MATRIZ_174!P86="PENDIENTE"),65,40)</f>
        <v>65</v>
      </c>
      <c r="Z87" s="19">
        <f t="shared" si="29"/>
        <v>0</v>
      </c>
      <c r="AA87" s="20">
        <f t="shared" si="30"/>
        <v>44</v>
      </c>
      <c r="AB87" s="21">
        <f t="shared" si="31"/>
        <v>44</v>
      </c>
      <c r="AC87" s="13" t="str">
        <f t="shared" si="32"/>
        <v>⬜  Riesgo Latente</v>
      </c>
      <c r="AD87" s="13" t="str">
        <f t="shared" si="33"/>
        <v>🚫  Inh. vigente OSCE</v>
      </c>
      <c r="AE87" s="22">
        <f>IFERROR(MATRIZ_174!W86,0)</f>
        <v>0</v>
      </c>
      <c r="AF87" s="22">
        <f>IFERROR(MATRIZ_174!X86,0)</f>
        <v>0</v>
      </c>
      <c r="AG87" s="22">
        <f>IFERROR(MATRIZ_174!Y86,0)</f>
        <v>0</v>
      </c>
      <c r="AH87" s="22">
        <f>IFERROR(MATRIZ_174!Z86,0)</f>
        <v>0</v>
      </c>
      <c r="AI87" s="17">
        <f>IFERROR(MATRIZ_174!AP86,"N/A")</f>
        <v>0</v>
      </c>
      <c r="AJ87" s="17">
        <f>IFERROR(MATRIZ_174!AO86,"N/A")</f>
        <v>0</v>
      </c>
      <c r="AK87" s="23">
        <f t="shared" si="34"/>
        <v>0</v>
      </c>
      <c r="AL87" s="24">
        <f t="shared" si="35"/>
        <v>0</v>
      </c>
    </row>
    <row r="88" spans="1:38" ht="16.05" customHeight="1" x14ac:dyDescent="0.3">
      <c r="A88" s="13" t="s">
        <v>246</v>
      </c>
      <c r="B88" s="14" t="s">
        <v>247</v>
      </c>
      <c r="C88" s="13" t="s">
        <v>237</v>
      </c>
      <c r="D88" s="15">
        <v>0</v>
      </c>
      <c r="E88" s="16">
        <v>0</v>
      </c>
      <c r="F88" s="17">
        <f>IFERROR(SCORECARDS!H87,"")</f>
        <v>0</v>
      </c>
      <c r="G88" s="17">
        <f>IFERROR(MATRIZ_174!U87,0)</f>
        <v>0</v>
      </c>
      <c r="H88" s="16">
        <v>0</v>
      </c>
      <c r="I88" s="17">
        <f>IFERROR(SCORECARDS!I87,"")</f>
        <v>0</v>
      </c>
      <c r="J88" s="17">
        <f>IFERROR(SCORECARDS!J87,"")</f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7">
        <f t="shared" si="24"/>
        <v>0</v>
      </c>
      <c r="Q88" s="17">
        <f t="shared" si="25"/>
        <v>0</v>
      </c>
      <c r="R88" s="17">
        <f t="shared" si="26"/>
        <v>0</v>
      </c>
      <c r="S88" s="17">
        <f t="shared" si="27"/>
        <v>0</v>
      </c>
      <c r="T88" s="17">
        <f>IFERROR((K88+M88+MATRIZ_174!O87)/3,0)</f>
        <v>0</v>
      </c>
      <c r="U88" s="18">
        <f>IFERROR(MATRIZ_174!AP87*50,0)</f>
        <v>0</v>
      </c>
      <c r="V88" s="18">
        <f t="shared" si="28"/>
        <v>50</v>
      </c>
      <c r="W88" s="18">
        <f>IF(MATRIZ_174!R87&gt;0,65,35)</f>
        <v>35</v>
      </c>
      <c r="X88" s="18">
        <f>IF(MATRIZ_174!O87=0,70,30)</f>
        <v>70</v>
      </c>
      <c r="Y88" s="18">
        <f>IF(OR(MATRIZ_174!P87="ASOCIACION",MATRIZ_174!P87="PENDIENTE"),65,40)</f>
        <v>65</v>
      </c>
      <c r="Z88" s="19">
        <f t="shared" si="29"/>
        <v>0</v>
      </c>
      <c r="AA88" s="20">
        <f t="shared" si="30"/>
        <v>44</v>
      </c>
      <c r="AB88" s="21">
        <f t="shared" si="31"/>
        <v>44</v>
      </c>
      <c r="AC88" s="13" t="str">
        <f t="shared" si="32"/>
        <v>⬜  Riesgo Latente</v>
      </c>
      <c r="AD88" s="13" t="str">
        <f t="shared" si="33"/>
        <v>🚫  Inh. vigente OSCE</v>
      </c>
      <c r="AE88" s="22">
        <f>IFERROR(MATRIZ_174!W87,0)</f>
        <v>0</v>
      </c>
      <c r="AF88" s="22">
        <f>IFERROR(MATRIZ_174!X87,0)</f>
        <v>0</v>
      </c>
      <c r="AG88" s="22">
        <f>IFERROR(MATRIZ_174!Y87,0)</f>
        <v>0</v>
      </c>
      <c r="AH88" s="22">
        <f>IFERROR(MATRIZ_174!Z87,0)</f>
        <v>0</v>
      </c>
      <c r="AI88" s="17">
        <f>IFERROR(MATRIZ_174!AP87,"N/A")</f>
        <v>0</v>
      </c>
      <c r="AJ88" s="17">
        <f>IFERROR(MATRIZ_174!AO87,"N/A")</f>
        <v>0</v>
      </c>
      <c r="AK88" s="23">
        <f t="shared" si="34"/>
        <v>0</v>
      </c>
      <c r="AL88" s="24">
        <f t="shared" si="35"/>
        <v>0</v>
      </c>
    </row>
    <row r="89" spans="1:38" ht="16.05" customHeight="1" x14ac:dyDescent="0.3">
      <c r="A89" s="13" t="s">
        <v>248</v>
      </c>
      <c r="B89" s="14" t="s">
        <v>249</v>
      </c>
      <c r="C89" s="13" t="s">
        <v>237</v>
      </c>
      <c r="D89" s="15">
        <v>0</v>
      </c>
      <c r="E89" s="16">
        <v>0</v>
      </c>
      <c r="F89" s="17">
        <f>IFERROR(SCORECARDS!H88,"")</f>
        <v>0</v>
      </c>
      <c r="G89" s="17">
        <f>IFERROR(MATRIZ_174!U88,0)</f>
        <v>0</v>
      </c>
      <c r="H89" s="16">
        <v>0</v>
      </c>
      <c r="I89" s="17">
        <f>IFERROR(SCORECARDS!I88,"")</f>
        <v>0</v>
      </c>
      <c r="J89" s="17">
        <f>IFERROR(SCORECARDS!J88,"")</f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7">
        <f t="shared" si="24"/>
        <v>0</v>
      </c>
      <c r="Q89" s="17">
        <f t="shared" si="25"/>
        <v>0</v>
      </c>
      <c r="R89" s="17">
        <f t="shared" si="26"/>
        <v>0</v>
      </c>
      <c r="S89" s="17">
        <f t="shared" si="27"/>
        <v>0</v>
      </c>
      <c r="T89" s="17">
        <f>IFERROR((K89+M89+MATRIZ_174!O88)/3,0)</f>
        <v>0</v>
      </c>
      <c r="U89" s="18">
        <f>IFERROR(MATRIZ_174!AP88*50,0)</f>
        <v>0</v>
      </c>
      <c r="V89" s="18">
        <f t="shared" si="28"/>
        <v>50</v>
      </c>
      <c r="W89" s="18">
        <f>IF(MATRIZ_174!R88&gt;0,65,35)</f>
        <v>35</v>
      </c>
      <c r="X89" s="18">
        <f>IF(MATRIZ_174!O88=0,70,30)</f>
        <v>70</v>
      </c>
      <c r="Y89" s="18">
        <f>IF(OR(MATRIZ_174!P88="ASOCIACION",MATRIZ_174!P88="PENDIENTE"),65,40)</f>
        <v>65</v>
      </c>
      <c r="Z89" s="19">
        <f t="shared" si="29"/>
        <v>0</v>
      </c>
      <c r="AA89" s="20">
        <f t="shared" si="30"/>
        <v>44</v>
      </c>
      <c r="AB89" s="21">
        <f t="shared" si="31"/>
        <v>44</v>
      </c>
      <c r="AC89" s="13" t="str">
        <f t="shared" si="32"/>
        <v>⬜  Riesgo Latente</v>
      </c>
      <c r="AD89" s="13" t="str">
        <f t="shared" si="33"/>
        <v>🚫  Inh. vigente OSCE</v>
      </c>
      <c r="AE89" s="22">
        <f>IFERROR(MATRIZ_174!W88,0)</f>
        <v>0</v>
      </c>
      <c r="AF89" s="22">
        <f>IFERROR(MATRIZ_174!X88,0)</f>
        <v>0</v>
      </c>
      <c r="AG89" s="22">
        <f>IFERROR(MATRIZ_174!Y88,0)</f>
        <v>0</v>
      </c>
      <c r="AH89" s="22">
        <f>IFERROR(MATRIZ_174!Z88,0)</f>
        <v>0</v>
      </c>
      <c r="AI89" s="17">
        <f>IFERROR(MATRIZ_174!AP88,"N/A")</f>
        <v>0</v>
      </c>
      <c r="AJ89" s="17">
        <f>IFERROR(MATRIZ_174!AO88,"N/A")</f>
        <v>0</v>
      </c>
      <c r="AK89" s="23">
        <f t="shared" si="34"/>
        <v>0</v>
      </c>
      <c r="AL89" s="24">
        <f t="shared" si="35"/>
        <v>0</v>
      </c>
    </row>
    <row r="90" spans="1:38" ht="16.05" customHeight="1" x14ac:dyDescent="0.3">
      <c r="A90" s="13" t="s">
        <v>250</v>
      </c>
      <c r="B90" s="14" t="s">
        <v>251</v>
      </c>
      <c r="C90" s="13" t="s">
        <v>237</v>
      </c>
      <c r="D90" s="15">
        <v>0</v>
      </c>
      <c r="E90" s="16">
        <v>0</v>
      </c>
      <c r="F90" s="17">
        <f>IFERROR(SCORECARDS!H89,"")</f>
        <v>0</v>
      </c>
      <c r="G90" s="17">
        <f>IFERROR(MATRIZ_174!U89,0)</f>
        <v>0</v>
      </c>
      <c r="H90" s="16">
        <v>0</v>
      </c>
      <c r="I90" s="17">
        <f>IFERROR(SCORECARDS!I89,"")</f>
        <v>0</v>
      </c>
      <c r="J90" s="17">
        <f>IFERROR(SCORECARDS!J89,"")</f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7">
        <f t="shared" si="24"/>
        <v>0</v>
      </c>
      <c r="Q90" s="17">
        <f t="shared" si="25"/>
        <v>0</v>
      </c>
      <c r="R90" s="17">
        <f t="shared" si="26"/>
        <v>0</v>
      </c>
      <c r="S90" s="17">
        <f t="shared" si="27"/>
        <v>0</v>
      </c>
      <c r="T90" s="17">
        <f>IFERROR((K90+M90+MATRIZ_174!O89)/3,0)</f>
        <v>0</v>
      </c>
      <c r="U90" s="18">
        <f>IFERROR(MATRIZ_174!AP89*50,0)</f>
        <v>0</v>
      </c>
      <c r="V90" s="18">
        <f t="shared" si="28"/>
        <v>50</v>
      </c>
      <c r="W90" s="18">
        <f>IF(MATRIZ_174!R89&gt;0,65,35)</f>
        <v>35</v>
      </c>
      <c r="X90" s="18">
        <f>IF(MATRIZ_174!O89=0,70,30)</f>
        <v>70</v>
      </c>
      <c r="Y90" s="18">
        <f>IF(OR(MATRIZ_174!P89="ASOCIACION",MATRIZ_174!P89="PENDIENTE"),65,40)</f>
        <v>65</v>
      </c>
      <c r="Z90" s="19">
        <f t="shared" si="29"/>
        <v>0</v>
      </c>
      <c r="AA90" s="20">
        <f t="shared" si="30"/>
        <v>44</v>
      </c>
      <c r="AB90" s="21">
        <f t="shared" si="31"/>
        <v>44</v>
      </c>
      <c r="AC90" s="13" t="str">
        <f t="shared" si="32"/>
        <v>⬜  Riesgo Latente</v>
      </c>
      <c r="AD90" s="13" t="str">
        <f t="shared" si="33"/>
        <v>🚫  Inh. vigente OSCE</v>
      </c>
      <c r="AE90" s="22">
        <f>IFERROR(MATRIZ_174!W89,0)</f>
        <v>0</v>
      </c>
      <c r="AF90" s="22">
        <f>IFERROR(MATRIZ_174!X89,0)</f>
        <v>0</v>
      </c>
      <c r="AG90" s="22">
        <f>IFERROR(MATRIZ_174!Y89,0)</f>
        <v>0</v>
      </c>
      <c r="AH90" s="22">
        <f>IFERROR(MATRIZ_174!Z89,0)</f>
        <v>0</v>
      </c>
      <c r="AI90" s="17">
        <f>IFERROR(MATRIZ_174!AP89,"N/A")</f>
        <v>0</v>
      </c>
      <c r="AJ90" s="17">
        <f>IFERROR(MATRIZ_174!AO89,"N/A")</f>
        <v>0</v>
      </c>
      <c r="AK90" s="23">
        <f t="shared" si="34"/>
        <v>0</v>
      </c>
      <c r="AL90" s="24">
        <f t="shared" si="35"/>
        <v>0</v>
      </c>
    </row>
    <row r="91" spans="1:38" ht="16.05" customHeight="1" x14ac:dyDescent="0.3">
      <c r="A91" s="13" t="s">
        <v>252</v>
      </c>
      <c r="B91" s="14" t="s">
        <v>253</v>
      </c>
      <c r="C91" s="13" t="s">
        <v>71</v>
      </c>
      <c r="D91" s="15">
        <v>0</v>
      </c>
      <c r="E91" s="16">
        <v>0</v>
      </c>
      <c r="F91" s="17">
        <f>IFERROR(SCORECARDS!H90,"")</f>
        <v>0</v>
      </c>
      <c r="G91" s="17">
        <f>IFERROR(MATRIZ_174!U90,0)</f>
        <v>0</v>
      </c>
      <c r="H91" s="16">
        <v>0</v>
      </c>
      <c r="I91" s="17">
        <f>IFERROR(SCORECARDS!I90,"")</f>
        <v>0</v>
      </c>
      <c r="J91" s="17">
        <f>IFERROR(SCORECARDS!J90,"")</f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7">
        <f t="shared" si="24"/>
        <v>0</v>
      </c>
      <c r="Q91" s="17">
        <f t="shared" si="25"/>
        <v>0</v>
      </c>
      <c r="R91" s="17">
        <f t="shared" si="26"/>
        <v>0</v>
      </c>
      <c r="S91" s="17">
        <f t="shared" si="27"/>
        <v>0</v>
      </c>
      <c r="T91" s="17">
        <f>IFERROR((K91+M91+MATRIZ_174!O90)/3,0)</f>
        <v>0</v>
      </c>
      <c r="U91" s="18">
        <f>IFERROR(MATRIZ_174!AP90*50,0)</f>
        <v>0</v>
      </c>
      <c r="V91" s="18">
        <f t="shared" si="28"/>
        <v>50</v>
      </c>
      <c r="W91" s="18">
        <f>IF(MATRIZ_174!R90&gt;0,65,35)</f>
        <v>35</v>
      </c>
      <c r="X91" s="18">
        <f>IF(MATRIZ_174!O90=0,70,30)</f>
        <v>70</v>
      </c>
      <c r="Y91" s="18">
        <f>IF(OR(MATRIZ_174!P90="ASOCIACION",MATRIZ_174!P90="PENDIENTE"),65,40)</f>
        <v>65</v>
      </c>
      <c r="Z91" s="19">
        <f t="shared" si="29"/>
        <v>0</v>
      </c>
      <c r="AA91" s="20">
        <f t="shared" si="30"/>
        <v>44</v>
      </c>
      <c r="AB91" s="21">
        <f t="shared" si="31"/>
        <v>44</v>
      </c>
      <c r="AC91" s="13" t="str">
        <f t="shared" si="32"/>
        <v>⬜  Riesgo Latente</v>
      </c>
      <c r="AD91" s="13" t="str">
        <f t="shared" si="33"/>
        <v>🚫  Inh. vigente OSCE</v>
      </c>
      <c r="AE91" s="22">
        <f>IFERROR(MATRIZ_174!W90,0)</f>
        <v>0</v>
      </c>
      <c r="AF91" s="22">
        <f>IFERROR(MATRIZ_174!X90,0)</f>
        <v>0</v>
      </c>
      <c r="AG91" s="22">
        <f>IFERROR(MATRIZ_174!Y90,0)</f>
        <v>0</v>
      </c>
      <c r="AH91" s="22">
        <f>IFERROR(MATRIZ_174!Z90,0)</f>
        <v>0</v>
      </c>
      <c r="AI91" s="17">
        <f>IFERROR(MATRIZ_174!AP90,"N/A")</f>
        <v>0</v>
      </c>
      <c r="AJ91" s="17">
        <f>IFERROR(MATRIZ_174!AO90,"N/A")</f>
        <v>0</v>
      </c>
      <c r="AK91" s="23">
        <f t="shared" si="34"/>
        <v>0</v>
      </c>
      <c r="AL91" s="24">
        <f t="shared" si="35"/>
        <v>0</v>
      </c>
    </row>
    <row r="92" spans="1:38" ht="16.05" customHeight="1" x14ac:dyDescent="0.3">
      <c r="A92" s="13" t="s">
        <v>254</v>
      </c>
      <c r="B92" s="14" t="s">
        <v>255</v>
      </c>
      <c r="C92" s="13" t="s">
        <v>71</v>
      </c>
      <c r="D92" s="15">
        <v>0</v>
      </c>
      <c r="E92" s="16">
        <v>0</v>
      </c>
      <c r="F92" s="17">
        <f>IFERROR(SCORECARDS!H91,"")</f>
        <v>0</v>
      </c>
      <c r="G92" s="17">
        <f>IFERROR(MATRIZ_174!U91,0)</f>
        <v>0</v>
      </c>
      <c r="H92" s="16">
        <v>0</v>
      </c>
      <c r="I92" s="17">
        <f>IFERROR(SCORECARDS!I91,"")</f>
        <v>0</v>
      </c>
      <c r="J92" s="17">
        <f>IFERROR(SCORECARDS!J91,"")</f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7">
        <f t="shared" si="24"/>
        <v>0</v>
      </c>
      <c r="Q92" s="17">
        <f t="shared" si="25"/>
        <v>0</v>
      </c>
      <c r="R92" s="17">
        <f t="shared" si="26"/>
        <v>0</v>
      </c>
      <c r="S92" s="17">
        <f t="shared" si="27"/>
        <v>0</v>
      </c>
      <c r="T92" s="17">
        <f>IFERROR((K92+M92+MATRIZ_174!O91)/3,0)</f>
        <v>0</v>
      </c>
      <c r="U92" s="18">
        <f>IFERROR(MATRIZ_174!AP91*50,0)</f>
        <v>0</v>
      </c>
      <c r="V92" s="18">
        <f t="shared" si="28"/>
        <v>50</v>
      </c>
      <c r="W92" s="18">
        <f>IF(MATRIZ_174!R91&gt;0,65,35)</f>
        <v>35</v>
      </c>
      <c r="X92" s="18">
        <f>IF(MATRIZ_174!O91=0,70,30)</f>
        <v>70</v>
      </c>
      <c r="Y92" s="18">
        <f>IF(OR(MATRIZ_174!P91="ASOCIACION",MATRIZ_174!P91="PENDIENTE"),65,40)</f>
        <v>65</v>
      </c>
      <c r="Z92" s="19">
        <f t="shared" si="29"/>
        <v>0</v>
      </c>
      <c r="AA92" s="20">
        <f t="shared" si="30"/>
        <v>44</v>
      </c>
      <c r="AB92" s="21">
        <f t="shared" si="31"/>
        <v>44</v>
      </c>
      <c r="AC92" s="13" t="str">
        <f t="shared" si="32"/>
        <v>⬜  Riesgo Latente</v>
      </c>
      <c r="AD92" s="13" t="str">
        <f t="shared" si="33"/>
        <v>🚫  Inh. vigente OSCE</v>
      </c>
      <c r="AE92" s="22">
        <f>IFERROR(MATRIZ_174!W91,0)</f>
        <v>0</v>
      </c>
      <c r="AF92" s="22">
        <f>IFERROR(MATRIZ_174!X91,0)</f>
        <v>0</v>
      </c>
      <c r="AG92" s="22">
        <f>IFERROR(MATRIZ_174!Y91,0)</f>
        <v>0</v>
      </c>
      <c r="AH92" s="22">
        <f>IFERROR(MATRIZ_174!Z91,0)</f>
        <v>0</v>
      </c>
      <c r="AI92" s="17">
        <f>IFERROR(MATRIZ_174!AP91,"N/A")</f>
        <v>0</v>
      </c>
      <c r="AJ92" s="17">
        <f>IFERROR(MATRIZ_174!AO91,"N/A")</f>
        <v>0</v>
      </c>
      <c r="AK92" s="23">
        <f t="shared" si="34"/>
        <v>0</v>
      </c>
      <c r="AL92" s="24">
        <f t="shared" si="35"/>
        <v>0</v>
      </c>
    </row>
    <row r="93" spans="1:38" ht="16.05" customHeight="1" x14ac:dyDescent="0.3">
      <c r="A93" s="13" t="s">
        <v>256</v>
      </c>
      <c r="B93" s="14" t="s">
        <v>257</v>
      </c>
      <c r="C93" s="13" t="s">
        <v>140</v>
      </c>
      <c r="D93" s="15">
        <v>4792670.9000000004</v>
      </c>
      <c r="E93" s="16">
        <v>0</v>
      </c>
      <c r="F93" s="17">
        <f>IFERROR(SCORECARDS!H92,"")</f>
        <v>0</v>
      </c>
      <c r="G93" s="17">
        <f>IFERROR(MATRIZ_174!U92,0)</f>
        <v>1</v>
      </c>
      <c r="H93" s="16">
        <v>0</v>
      </c>
      <c r="I93" s="17">
        <f>IFERROR(SCORECARDS!I92,"")</f>
        <v>0</v>
      </c>
      <c r="J93" s="17">
        <f>IFERROR(SCORECARDS!J92,"")</f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7">
        <f t="shared" si="24"/>
        <v>0</v>
      </c>
      <c r="Q93" s="17">
        <f t="shared" si="25"/>
        <v>0</v>
      </c>
      <c r="R93" s="17">
        <f t="shared" si="26"/>
        <v>0</v>
      </c>
      <c r="S93" s="17">
        <f t="shared" si="27"/>
        <v>0</v>
      </c>
      <c r="T93" s="17">
        <f>IFERROR((K93+M93+MATRIZ_174!O92)/3,0)</f>
        <v>0</v>
      </c>
      <c r="U93" s="18">
        <f>IFERROR(MATRIZ_174!AP92*50,0)</f>
        <v>6.25</v>
      </c>
      <c r="V93" s="18">
        <f t="shared" si="28"/>
        <v>50</v>
      </c>
      <c r="W93" s="18">
        <f>IF(MATRIZ_174!R92&gt;0,65,35)</f>
        <v>35</v>
      </c>
      <c r="X93" s="18">
        <f>IF(MATRIZ_174!O92=0,70,30)</f>
        <v>70</v>
      </c>
      <c r="Y93" s="18">
        <f>IF(OR(MATRIZ_174!P92="ASOCIACION",MATRIZ_174!P92="PENDIENTE"),65,40)</f>
        <v>65</v>
      </c>
      <c r="Z93" s="19">
        <f t="shared" si="29"/>
        <v>0</v>
      </c>
      <c r="AA93" s="20">
        <f t="shared" si="30"/>
        <v>45.3</v>
      </c>
      <c r="AB93" s="21">
        <f t="shared" si="31"/>
        <v>45.3</v>
      </c>
      <c r="AC93" s="13" t="str">
        <f t="shared" si="32"/>
        <v>⬜  Riesgo Latente</v>
      </c>
      <c r="AD93" s="13" t="str">
        <f t="shared" si="33"/>
        <v/>
      </c>
      <c r="AE93" s="22">
        <f>IFERROR(MATRIZ_174!W92,0)</f>
        <v>1</v>
      </c>
      <c r="AF93" s="22">
        <f>IFERROR(MATRIZ_174!X92,0)</f>
        <v>0</v>
      </c>
      <c r="AG93" s="22">
        <f>IFERROR(MATRIZ_174!Y92,0)</f>
        <v>0</v>
      </c>
      <c r="AH93" s="22">
        <f>IFERROR(MATRIZ_174!Z92,0)</f>
        <v>0</v>
      </c>
      <c r="AI93" s="17">
        <f>IFERROR(MATRIZ_174!AP92,"N/A")</f>
        <v>0.125</v>
      </c>
      <c r="AJ93" s="17">
        <f>IFERROR(MATRIZ_174!AO92,"N/A")</f>
        <v>0</v>
      </c>
      <c r="AK93" s="23">
        <f t="shared" si="34"/>
        <v>0</v>
      </c>
      <c r="AL93" s="24">
        <f t="shared" si="35"/>
        <v>0</v>
      </c>
    </row>
    <row r="94" spans="1:38" ht="16.05" customHeight="1" x14ac:dyDescent="0.3">
      <c r="A94" s="13" t="s">
        <v>258</v>
      </c>
      <c r="B94" s="14" t="s">
        <v>259</v>
      </c>
      <c r="C94" s="13" t="s">
        <v>129</v>
      </c>
      <c r="D94" s="15">
        <v>0</v>
      </c>
      <c r="E94" s="16">
        <v>0</v>
      </c>
      <c r="F94" s="17">
        <f>IFERROR(SCORECARDS!H93,"")</f>
        <v>0</v>
      </c>
      <c r="G94" s="17">
        <f>IFERROR(MATRIZ_174!U93,0)</f>
        <v>0</v>
      </c>
      <c r="H94" s="16">
        <v>0</v>
      </c>
      <c r="I94" s="17">
        <f>IFERROR(SCORECARDS!I93,"")</f>
        <v>0</v>
      </c>
      <c r="J94" s="17">
        <f>IFERROR(SCORECARDS!J93,"")</f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7">
        <f t="shared" si="24"/>
        <v>0</v>
      </c>
      <c r="Q94" s="17">
        <f t="shared" si="25"/>
        <v>0</v>
      </c>
      <c r="R94" s="17">
        <f t="shared" si="26"/>
        <v>0</v>
      </c>
      <c r="S94" s="17">
        <f t="shared" si="27"/>
        <v>0</v>
      </c>
      <c r="T94" s="17">
        <f>IFERROR((K94+M94+MATRIZ_174!O93)/3,0)</f>
        <v>0</v>
      </c>
      <c r="U94" s="18">
        <f>IFERROR(MATRIZ_174!AP93*50,0)</f>
        <v>0</v>
      </c>
      <c r="V94" s="18">
        <f t="shared" si="28"/>
        <v>50</v>
      </c>
      <c r="W94" s="18">
        <f>IF(MATRIZ_174!R93&gt;0,65,35)</f>
        <v>35</v>
      </c>
      <c r="X94" s="18">
        <f>IF(MATRIZ_174!O93=0,70,30)</f>
        <v>70</v>
      </c>
      <c r="Y94" s="18">
        <f>IF(OR(MATRIZ_174!P93="ASOCIACION",MATRIZ_174!P93="PENDIENTE"),65,40)</f>
        <v>65</v>
      </c>
      <c r="Z94" s="19">
        <f t="shared" si="29"/>
        <v>0</v>
      </c>
      <c r="AA94" s="20">
        <f t="shared" si="30"/>
        <v>44</v>
      </c>
      <c r="AB94" s="21">
        <f t="shared" si="31"/>
        <v>44</v>
      </c>
      <c r="AC94" s="13" t="str">
        <f t="shared" si="32"/>
        <v>⬜  Riesgo Latente</v>
      </c>
      <c r="AD94" s="13" t="str">
        <f t="shared" si="33"/>
        <v>🚫  Inh. vigente OSCE</v>
      </c>
      <c r="AE94" s="22">
        <f>IFERROR(MATRIZ_174!W93,0)</f>
        <v>0</v>
      </c>
      <c r="AF94" s="22">
        <f>IFERROR(MATRIZ_174!X93,0)</f>
        <v>0</v>
      </c>
      <c r="AG94" s="22">
        <f>IFERROR(MATRIZ_174!Y93,0)</f>
        <v>0</v>
      </c>
      <c r="AH94" s="22">
        <f>IFERROR(MATRIZ_174!Z93,0)</f>
        <v>0</v>
      </c>
      <c r="AI94" s="17">
        <f>IFERROR(MATRIZ_174!AP93,"N/A")</f>
        <v>0</v>
      </c>
      <c r="AJ94" s="17">
        <f>IFERROR(MATRIZ_174!AO93,"N/A")</f>
        <v>0</v>
      </c>
      <c r="AK94" s="23">
        <f t="shared" si="34"/>
        <v>0</v>
      </c>
      <c r="AL94" s="24">
        <f t="shared" si="35"/>
        <v>0</v>
      </c>
    </row>
    <row r="95" spans="1:38" ht="16.05" customHeight="1" x14ac:dyDescent="0.3">
      <c r="A95" s="13" t="s">
        <v>260</v>
      </c>
      <c r="B95" s="14" t="s">
        <v>261</v>
      </c>
      <c r="C95" s="13" t="s">
        <v>129</v>
      </c>
      <c r="D95" s="15">
        <v>1888972.42</v>
      </c>
      <c r="E95" s="16">
        <v>0</v>
      </c>
      <c r="F95" s="17">
        <f>IFERROR(SCORECARDS!H94,"")</f>
        <v>0</v>
      </c>
      <c r="G95" s="17">
        <f>IFERROR(MATRIZ_174!U94,0)</f>
        <v>1</v>
      </c>
      <c r="H95" s="16">
        <v>0</v>
      </c>
      <c r="I95" s="17">
        <f>IFERROR(SCORECARDS!I94,"")</f>
        <v>0</v>
      </c>
      <c r="J95" s="17">
        <f>IFERROR(SCORECARDS!J94,"")</f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7">
        <f t="shared" si="24"/>
        <v>0</v>
      </c>
      <c r="Q95" s="17">
        <f t="shared" si="25"/>
        <v>0</v>
      </c>
      <c r="R95" s="17">
        <f t="shared" si="26"/>
        <v>0</v>
      </c>
      <c r="S95" s="17">
        <f t="shared" si="27"/>
        <v>0</v>
      </c>
      <c r="T95" s="17">
        <f>IFERROR((K95+M95+MATRIZ_174!O94)/3,0)</f>
        <v>0</v>
      </c>
      <c r="U95" s="18">
        <f>IFERROR(MATRIZ_174!AP94*50,0)</f>
        <v>6.25</v>
      </c>
      <c r="V95" s="18">
        <f t="shared" si="28"/>
        <v>50</v>
      </c>
      <c r="W95" s="18">
        <f>IF(MATRIZ_174!R94&gt;0,65,35)</f>
        <v>35</v>
      </c>
      <c r="X95" s="18">
        <f>IF(MATRIZ_174!O94=0,70,30)</f>
        <v>70</v>
      </c>
      <c r="Y95" s="18">
        <f>IF(OR(MATRIZ_174!P94="ASOCIACION",MATRIZ_174!P94="PENDIENTE"),65,40)</f>
        <v>65</v>
      </c>
      <c r="Z95" s="19">
        <f t="shared" si="29"/>
        <v>0</v>
      </c>
      <c r="AA95" s="20">
        <f t="shared" si="30"/>
        <v>45.3</v>
      </c>
      <c r="AB95" s="21">
        <f t="shared" si="31"/>
        <v>45.3</v>
      </c>
      <c r="AC95" s="13" t="str">
        <f t="shared" si="32"/>
        <v>⬜  Riesgo Latente</v>
      </c>
      <c r="AD95" s="13" t="str">
        <f t="shared" si="33"/>
        <v/>
      </c>
      <c r="AE95" s="22">
        <f>IFERROR(MATRIZ_174!W94,0)</f>
        <v>1</v>
      </c>
      <c r="AF95" s="22">
        <f>IFERROR(MATRIZ_174!X94,0)</f>
        <v>0</v>
      </c>
      <c r="AG95" s="22">
        <f>IFERROR(MATRIZ_174!Y94,0)</f>
        <v>0</v>
      </c>
      <c r="AH95" s="22">
        <f>IFERROR(MATRIZ_174!Z94,0)</f>
        <v>0</v>
      </c>
      <c r="AI95" s="17">
        <f>IFERROR(MATRIZ_174!AP94,"N/A")</f>
        <v>0.125</v>
      </c>
      <c r="AJ95" s="17">
        <f>IFERROR(MATRIZ_174!AO94,"N/A")</f>
        <v>0</v>
      </c>
      <c r="AK95" s="23">
        <f t="shared" si="34"/>
        <v>0</v>
      </c>
      <c r="AL95" s="24">
        <f t="shared" si="35"/>
        <v>0</v>
      </c>
    </row>
    <row r="96" spans="1:38" ht="16.05" customHeight="1" x14ac:dyDescent="0.3">
      <c r="A96" s="13" t="s">
        <v>262</v>
      </c>
      <c r="B96" s="14" t="s">
        <v>263</v>
      </c>
      <c r="C96" s="13" t="s">
        <v>110</v>
      </c>
      <c r="D96" s="15">
        <v>0</v>
      </c>
      <c r="E96" s="16">
        <v>0</v>
      </c>
      <c r="F96" s="17">
        <f>IFERROR(SCORECARDS!H95,"")</f>
        <v>0</v>
      </c>
      <c r="G96" s="17">
        <f>IFERROR(MATRIZ_174!U95,0)</f>
        <v>0</v>
      </c>
      <c r="H96" s="16">
        <v>0</v>
      </c>
      <c r="I96" s="17">
        <f>IFERROR(SCORECARDS!I95,"")</f>
        <v>0</v>
      </c>
      <c r="J96" s="17">
        <f>IFERROR(SCORECARDS!J95,"")</f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7">
        <f t="shared" si="24"/>
        <v>0</v>
      </c>
      <c r="Q96" s="17">
        <f t="shared" si="25"/>
        <v>0</v>
      </c>
      <c r="R96" s="17">
        <f t="shared" si="26"/>
        <v>0</v>
      </c>
      <c r="S96" s="17">
        <f t="shared" si="27"/>
        <v>0</v>
      </c>
      <c r="T96" s="17">
        <f>IFERROR((K96+M96+MATRIZ_174!O95)/3,0)</f>
        <v>0</v>
      </c>
      <c r="U96" s="18">
        <f>IFERROR(MATRIZ_174!AP95*50,0)</f>
        <v>0</v>
      </c>
      <c r="V96" s="18">
        <f t="shared" si="28"/>
        <v>50</v>
      </c>
      <c r="W96" s="18">
        <f>IF(MATRIZ_174!R95&gt;0,65,35)</f>
        <v>35</v>
      </c>
      <c r="X96" s="18">
        <f>IF(MATRIZ_174!O95=0,70,30)</f>
        <v>70</v>
      </c>
      <c r="Y96" s="18">
        <f>IF(OR(MATRIZ_174!P95="ASOCIACION",MATRIZ_174!P95="PENDIENTE"),65,40)</f>
        <v>65</v>
      </c>
      <c r="Z96" s="19">
        <f t="shared" si="29"/>
        <v>0</v>
      </c>
      <c r="AA96" s="20">
        <f t="shared" si="30"/>
        <v>44</v>
      </c>
      <c r="AB96" s="21">
        <f t="shared" si="31"/>
        <v>44</v>
      </c>
      <c r="AC96" s="13" t="str">
        <f t="shared" si="32"/>
        <v>⬜  Riesgo Latente</v>
      </c>
      <c r="AD96" s="13" t="str">
        <f t="shared" si="33"/>
        <v>🚫  Inh. vigente OSCE</v>
      </c>
      <c r="AE96" s="22">
        <f>IFERROR(MATRIZ_174!W95,0)</f>
        <v>0</v>
      </c>
      <c r="AF96" s="22">
        <f>IFERROR(MATRIZ_174!X95,0)</f>
        <v>0</v>
      </c>
      <c r="AG96" s="22">
        <f>IFERROR(MATRIZ_174!Y95,0)</f>
        <v>0</v>
      </c>
      <c r="AH96" s="22">
        <f>IFERROR(MATRIZ_174!Z95,0)</f>
        <v>0</v>
      </c>
      <c r="AI96" s="17">
        <f>IFERROR(MATRIZ_174!AP95,"N/A")</f>
        <v>0</v>
      </c>
      <c r="AJ96" s="17">
        <f>IFERROR(MATRIZ_174!AO95,"N/A")</f>
        <v>0</v>
      </c>
      <c r="AK96" s="23">
        <f t="shared" si="34"/>
        <v>0</v>
      </c>
      <c r="AL96" s="24">
        <f t="shared" si="35"/>
        <v>0</v>
      </c>
    </row>
    <row r="97" spans="1:38" ht="16.05" customHeight="1" x14ac:dyDescent="0.3">
      <c r="A97" s="13" t="s">
        <v>264</v>
      </c>
      <c r="B97" s="14" t="s">
        <v>265</v>
      </c>
      <c r="C97" s="13" t="s">
        <v>110</v>
      </c>
      <c r="D97" s="15">
        <v>0</v>
      </c>
      <c r="E97" s="16">
        <v>0</v>
      </c>
      <c r="F97" s="17">
        <f>IFERROR(SCORECARDS!H96,"")</f>
        <v>0</v>
      </c>
      <c r="G97" s="17">
        <f>IFERROR(MATRIZ_174!U96,0)</f>
        <v>0</v>
      </c>
      <c r="H97" s="16">
        <v>0</v>
      </c>
      <c r="I97" s="17">
        <f>IFERROR(SCORECARDS!I96,"")</f>
        <v>0</v>
      </c>
      <c r="J97" s="17">
        <f>IFERROR(SCORECARDS!J96,"")</f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7">
        <f t="shared" si="24"/>
        <v>0</v>
      </c>
      <c r="Q97" s="17">
        <f t="shared" si="25"/>
        <v>0</v>
      </c>
      <c r="R97" s="17">
        <f t="shared" si="26"/>
        <v>0</v>
      </c>
      <c r="S97" s="17">
        <f t="shared" si="27"/>
        <v>0</v>
      </c>
      <c r="T97" s="17">
        <f>IFERROR((K97+M97+MATRIZ_174!O96)/3,0)</f>
        <v>0</v>
      </c>
      <c r="U97" s="18">
        <f>IFERROR(MATRIZ_174!AP96*50,0)</f>
        <v>0</v>
      </c>
      <c r="V97" s="18">
        <f t="shared" si="28"/>
        <v>50</v>
      </c>
      <c r="W97" s="18">
        <f>IF(MATRIZ_174!R96&gt;0,65,35)</f>
        <v>35</v>
      </c>
      <c r="X97" s="18">
        <f>IF(MATRIZ_174!O96=0,70,30)</f>
        <v>70</v>
      </c>
      <c r="Y97" s="18">
        <f>IF(OR(MATRIZ_174!P96="ASOCIACION",MATRIZ_174!P96="PENDIENTE"),65,40)</f>
        <v>65</v>
      </c>
      <c r="Z97" s="19">
        <f t="shared" si="29"/>
        <v>0</v>
      </c>
      <c r="AA97" s="20">
        <f t="shared" si="30"/>
        <v>44</v>
      </c>
      <c r="AB97" s="21">
        <f t="shared" si="31"/>
        <v>44</v>
      </c>
      <c r="AC97" s="13" t="str">
        <f t="shared" si="32"/>
        <v>⬜  Riesgo Latente</v>
      </c>
      <c r="AD97" s="13" t="str">
        <f t="shared" si="33"/>
        <v>🚫  Inh. vigente OSCE</v>
      </c>
      <c r="AE97" s="22">
        <f>IFERROR(MATRIZ_174!W96,0)</f>
        <v>0</v>
      </c>
      <c r="AF97" s="22">
        <f>IFERROR(MATRIZ_174!X96,0)</f>
        <v>0</v>
      </c>
      <c r="AG97" s="22">
        <f>IFERROR(MATRIZ_174!Y96,0)</f>
        <v>0</v>
      </c>
      <c r="AH97" s="22">
        <f>IFERROR(MATRIZ_174!Z96,0)</f>
        <v>0</v>
      </c>
      <c r="AI97" s="17">
        <f>IFERROR(MATRIZ_174!AP96,"N/A")</f>
        <v>0</v>
      </c>
      <c r="AJ97" s="17">
        <f>IFERROR(MATRIZ_174!AO96,"N/A")</f>
        <v>0</v>
      </c>
      <c r="AK97" s="23">
        <f t="shared" si="34"/>
        <v>0</v>
      </c>
      <c r="AL97" s="24">
        <f t="shared" si="35"/>
        <v>0</v>
      </c>
    </row>
    <row r="98" spans="1:38" ht="16.05" customHeight="1" x14ac:dyDescent="0.3">
      <c r="A98" s="13" t="s">
        <v>266</v>
      </c>
      <c r="B98" s="14" t="s">
        <v>267</v>
      </c>
      <c r="C98" s="13" t="s">
        <v>110</v>
      </c>
      <c r="D98" s="15">
        <v>0</v>
      </c>
      <c r="E98" s="16">
        <v>0</v>
      </c>
      <c r="F98" s="17">
        <f>IFERROR(SCORECARDS!H97,"")</f>
        <v>0</v>
      </c>
      <c r="G98" s="17">
        <f>IFERROR(MATRIZ_174!U97,0)</f>
        <v>0</v>
      </c>
      <c r="H98" s="16">
        <v>0</v>
      </c>
      <c r="I98" s="17">
        <f>IFERROR(SCORECARDS!I97,"")</f>
        <v>0</v>
      </c>
      <c r="J98" s="17">
        <f>IFERROR(SCORECARDS!J97,"")</f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7">
        <f t="shared" si="24"/>
        <v>0</v>
      </c>
      <c r="Q98" s="17">
        <f t="shared" si="25"/>
        <v>0</v>
      </c>
      <c r="R98" s="17">
        <f t="shared" si="26"/>
        <v>0</v>
      </c>
      <c r="S98" s="17">
        <f t="shared" si="27"/>
        <v>0</v>
      </c>
      <c r="T98" s="17">
        <f>IFERROR((K98+M98+MATRIZ_174!O97)/3,0)</f>
        <v>0</v>
      </c>
      <c r="U98" s="18">
        <f>IFERROR(MATRIZ_174!AP97*50,0)</f>
        <v>0</v>
      </c>
      <c r="V98" s="18">
        <f t="shared" si="28"/>
        <v>50</v>
      </c>
      <c r="W98" s="18">
        <f>IF(MATRIZ_174!R97&gt;0,65,35)</f>
        <v>35</v>
      </c>
      <c r="X98" s="18">
        <f>IF(MATRIZ_174!O97=0,70,30)</f>
        <v>70</v>
      </c>
      <c r="Y98" s="18">
        <f>IF(OR(MATRIZ_174!P97="ASOCIACION",MATRIZ_174!P97="PENDIENTE"),65,40)</f>
        <v>65</v>
      </c>
      <c r="Z98" s="19">
        <f t="shared" si="29"/>
        <v>0</v>
      </c>
      <c r="AA98" s="20">
        <f t="shared" si="30"/>
        <v>44</v>
      </c>
      <c r="AB98" s="21">
        <f t="shared" si="31"/>
        <v>44</v>
      </c>
      <c r="AC98" s="13" t="str">
        <f t="shared" si="32"/>
        <v>⬜  Riesgo Latente</v>
      </c>
      <c r="AD98" s="13" t="str">
        <f t="shared" si="33"/>
        <v>🚫  Inh. vigente OSCE</v>
      </c>
      <c r="AE98" s="22">
        <f>IFERROR(MATRIZ_174!W97,0)</f>
        <v>0</v>
      </c>
      <c r="AF98" s="22">
        <f>IFERROR(MATRIZ_174!X97,0)</f>
        <v>0</v>
      </c>
      <c r="AG98" s="22">
        <f>IFERROR(MATRIZ_174!Y97,0)</f>
        <v>0</v>
      </c>
      <c r="AH98" s="22">
        <f>IFERROR(MATRIZ_174!Z97,0)</f>
        <v>0</v>
      </c>
      <c r="AI98" s="17">
        <f>IFERROR(MATRIZ_174!AP97,"N/A")</f>
        <v>0</v>
      </c>
      <c r="AJ98" s="17">
        <f>IFERROR(MATRIZ_174!AO97,"N/A")</f>
        <v>0</v>
      </c>
      <c r="AK98" s="23">
        <f t="shared" si="34"/>
        <v>0</v>
      </c>
      <c r="AL98" s="24">
        <f t="shared" si="35"/>
        <v>0</v>
      </c>
    </row>
    <row r="99" spans="1:38" ht="16.05" customHeight="1" x14ac:dyDescent="0.3">
      <c r="A99" s="13" t="s">
        <v>268</v>
      </c>
      <c r="B99" s="14" t="s">
        <v>269</v>
      </c>
      <c r="C99" s="13" t="s">
        <v>110</v>
      </c>
      <c r="D99" s="15">
        <v>0</v>
      </c>
      <c r="E99" s="16">
        <v>0</v>
      </c>
      <c r="F99" s="17">
        <f>IFERROR(SCORECARDS!H98,"")</f>
        <v>0</v>
      </c>
      <c r="G99" s="17">
        <f>IFERROR(MATRIZ_174!U98,0)</f>
        <v>0</v>
      </c>
      <c r="H99" s="16">
        <v>0</v>
      </c>
      <c r="I99" s="17">
        <f>IFERROR(SCORECARDS!I98,"")</f>
        <v>0</v>
      </c>
      <c r="J99" s="17">
        <f>IFERROR(SCORECARDS!J98,"")</f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7">
        <f t="shared" si="24"/>
        <v>0</v>
      </c>
      <c r="Q99" s="17">
        <f t="shared" si="25"/>
        <v>0</v>
      </c>
      <c r="R99" s="17">
        <f t="shared" si="26"/>
        <v>0</v>
      </c>
      <c r="S99" s="17">
        <f t="shared" si="27"/>
        <v>0</v>
      </c>
      <c r="T99" s="17">
        <f>IFERROR((K99+M99+MATRIZ_174!O98)/3,0)</f>
        <v>0</v>
      </c>
      <c r="U99" s="18">
        <f>IFERROR(MATRIZ_174!AP98*50,0)</f>
        <v>0</v>
      </c>
      <c r="V99" s="18">
        <f t="shared" si="28"/>
        <v>50</v>
      </c>
      <c r="W99" s="18">
        <f>IF(MATRIZ_174!R98&gt;0,65,35)</f>
        <v>35</v>
      </c>
      <c r="X99" s="18">
        <f>IF(MATRIZ_174!O98=0,70,30)</f>
        <v>70</v>
      </c>
      <c r="Y99" s="18">
        <f>IF(OR(MATRIZ_174!P98="ASOCIACION",MATRIZ_174!P98="PENDIENTE"),65,40)</f>
        <v>65</v>
      </c>
      <c r="Z99" s="19">
        <f t="shared" si="29"/>
        <v>0</v>
      </c>
      <c r="AA99" s="20">
        <f t="shared" si="30"/>
        <v>44</v>
      </c>
      <c r="AB99" s="21">
        <f t="shared" si="31"/>
        <v>44</v>
      </c>
      <c r="AC99" s="13" t="str">
        <f t="shared" si="32"/>
        <v>⬜  Riesgo Latente</v>
      </c>
      <c r="AD99" s="13" t="str">
        <f t="shared" si="33"/>
        <v>🚫  Inh. vigente OSCE</v>
      </c>
      <c r="AE99" s="22">
        <f>IFERROR(MATRIZ_174!W98,0)</f>
        <v>0</v>
      </c>
      <c r="AF99" s="22">
        <f>IFERROR(MATRIZ_174!X98,0)</f>
        <v>0</v>
      </c>
      <c r="AG99" s="22">
        <f>IFERROR(MATRIZ_174!Y98,0)</f>
        <v>0</v>
      </c>
      <c r="AH99" s="22">
        <f>IFERROR(MATRIZ_174!Z98,0)</f>
        <v>0</v>
      </c>
      <c r="AI99" s="17">
        <f>IFERROR(MATRIZ_174!AP98,"N/A")</f>
        <v>0</v>
      </c>
      <c r="AJ99" s="17">
        <f>IFERROR(MATRIZ_174!AO98,"N/A")</f>
        <v>0</v>
      </c>
      <c r="AK99" s="23">
        <f t="shared" si="34"/>
        <v>0</v>
      </c>
      <c r="AL99" s="24">
        <f t="shared" si="35"/>
        <v>0</v>
      </c>
    </row>
    <row r="100" spans="1:38" ht="16.05" customHeight="1" x14ac:dyDescent="0.3">
      <c r="A100" s="13" t="s">
        <v>270</v>
      </c>
      <c r="B100" s="14" t="s">
        <v>271</v>
      </c>
      <c r="C100" s="13" t="s">
        <v>110</v>
      </c>
      <c r="D100" s="15">
        <v>0</v>
      </c>
      <c r="E100" s="16">
        <v>0</v>
      </c>
      <c r="F100" s="17">
        <f>IFERROR(SCORECARDS!H99,"")</f>
        <v>0</v>
      </c>
      <c r="G100" s="17">
        <f>IFERROR(MATRIZ_174!U99,0)</f>
        <v>0</v>
      </c>
      <c r="H100" s="16">
        <v>0</v>
      </c>
      <c r="I100" s="17">
        <f>IFERROR(SCORECARDS!I99,"")</f>
        <v>0</v>
      </c>
      <c r="J100" s="17">
        <f>IFERROR(SCORECARDS!J99,"")</f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7">
        <f t="shared" ref="P100:P131" si="36">IFERROR(F100,0)</f>
        <v>0</v>
      </c>
      <c r="Q100" s="17">
        <f t="shared" ref="Q100:Q131" si="37">IFERROR(SQRT(G100*H100),0)</f>
        <v>0</v>
      </c>
      <c r="R100" s="17">
        <f t="shared" ref="R100:R131" si="38">IFERROR((I100+J100+L100)/3,0)</f>
        <v>0</v>
      </c>
      <c r="S100" s="17">
        <f t="shared" ref="S100:S131" si="39">IFERROR((J100+F100)/2,0)</f>
        <v>0</v>
      </c>
      <c r="T100" s="17">
        <f>IFERROR((K100+M100+MATRIZ_174!O99)/3,0)</f>
        <v>0</v>
      </c>
      <c r="U100" s="18">
        <f>IFERROR(MATRIZ_174!AP99*50,0)</f>
        <v>0</v>
      </c>
      <c r="V100" s="18">
        <f t="shared" ref="V100:V131" si="40">IFERROR(IF(E100=0,50,E100),0)</f>
        <v>50</v>
      </c>
      <c r="W100" s="18">
        <f>IF(MATRIZ_174!R99&gt;0,65,35)</f>
        <v>35</v>
      </c>
      <c r="X100" s="18">
        <f>IF(MATRIZ_174!O99=0,70,30)</f>
        <v>70</v>
      </c>
      <c r="Y100" s="18">
        <f>IF(OR(MATRIZ_174!P99="ASOCIACION",MATRIZ_174!P99="PENDIENTE"),65,40)</f>
        <v>65</v>
      </c>
      <c r="Z100" s="19">
        <f t="shared" ref="Z100:Z131" si="41">IFERROR(ROUND(AVERAGE(P100,Q100,R100,S100,T100),1),0)</f>
        <v>0</v>
      </c>
      <c r="AA100" s="20">
        <f t="shared" ref="AA100:AA131" si="42">IFERROR(ROUND(AVERAGE(U100,V100,W100,X100,Y100),1),0)</f>
        <v>44</v>
      </c>
      <c r="AB100" s="21">
        <f t="shared" ref="AB100:AB131" si="43">IFERROR(ROUND(AA100*(1-Z100/100),1),0)</f>
        <v>44</v>
      </c>
      <c r="AC100" s="13" t="str">
        <f t="shared" ref="AC100:AC131" si="44">IF(AND(Z100&gt;=50,AA100&lt;50),"🟢  Resilientes",IF(AND(Z100&gt;=50,AA100&gt;=50),"🟠  Expuestas Adaptables",IF(AND(Z100&lt;50,AA100&lt;50),"⬜  Riesgo Latente","🔴  Riesgo Crítico")))</f>
        <v>⬜  Riesgo Latente</v>
      </c>
      <c r="AD100" s="13" t="str">
        <f t="shared" ref="AD100:AD131" si="45">IF(G100=0,"🚫  Inh. vigente OSCE","")</f>
        <v>🚫  Inh. vigente OSCE</v>
      </c>
      <c r="AE100" s="22">
        <f>IFERROR(MATRIZ_174!W99,0)</f>
        <v>0</v>
      </c>
      <c r="AF100" s="22">
        <f>IFERROR(MATRIZ_174!X99,0)</f>
        <v>0</v>
      </c>
      <c r="AG100" s="22">
        <f>IFERROR(MATRIZ_174!Y99,0)</f>
        <v>0</v>
      </c>
      <c r="AH100" s="22">
        <f>IFERROR(MATRIZ_174!Z99,0)</f>
        <v>0</v>
      </c>
      <c r="AI100" s="17">
        <f>IFERROR(MATRIZ_174!AP99,"N/A")</f>
        <v>0</v>
      </c>
      <c r="AJ100" s="17">
        <f>IFERROR(MATRIZ_174!AO99,"N/A")</f>
        <v>0</v>
      </c>
      <c r="AK100" s="23">
        <f t="shared" ref="AK100:AK131" si="46">IFERROR(ROUND(POWER((E100*F100*G100*H100*I100*J100*K100),1/7)*0.875+((L100+M100)/2)*0.125,1),"N/A")</f>
        <v>0</v>
      </c>
      <c r="AL100" s="24">
        <f t="shared" ref="AL100:AL131" si="47">IFERROR(IF(AK100="N/A","N/A",ROUND(0.7*AK100+0.3*AI100,1)),"N/A")</f>
        <v>0</v>
      </c>
    </row>
    <row r="101" spans="1:38" ht="16.05" customHeight="1" x14ac:dyDescent="0.3">
      <c r="A101" s="13" t="s">
        <v>272</v>
      </c>
      <c r="B101" s="14" t="s">
        <v>273</v>
      </c>
      <c r="C101" s="13" t="s">
        <v>74</v>
      </c>
      <c r="D101" s="15">
        <v>0</v>
      </c>
      <c r="E101" s="16">
        <v>0</v>
      </c>
      <c r="F101" s="17">
        <f>IFERROR(SCORECARDS!H100,"")</f>
        <v>0</v>
      </c>
      <c r="G101" s="17">
        <f>IFERROR(MATRIZ_174!U100,0)</f>
        <v>0</v>
      </c>
      <c r="H101" s="16">
        <v>0</v>
      </c>
      <c r="I101" s="17">
        <f>IFERROR(SCORECARDS!I100,"")</f>
        <v>0</v>
      </c>
      <c r="J101" s="17">
        <f>IFERROR(SCORECARDS!J100,"")</f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7">
        <f t="shared" si="36"/>
        <v>0</v>
      </c>
      <c r="Q101" s="17">
        <f t="shared" si="37"/>
        <v>0</v>
      </c>
      <c r="R101" s="17">
        <f t="shared" si="38"/>
        <v>0</v>
      </c>
      <c r="S101" s="17">
        <f t="shared" si="39"/>
        <v>0</v>
      </c>
      <c r="T101" s="17">
        <f>IFERROR((K101+M101+MATRIZ_174!O100)/3,0)</f>
        <v>0</v>
      </c>
      <c r="U101" s="18">
        <f>IFERROR(MATRIZ_174!AP100*50,0)</f>
        <v>0</v>
      </c>
      <c r="V101" s="18">
        <f t="shared" si="40"/>
        <v>50</v>
      </c>
      <c r="W101" s="18">
        <f>IF(MATRIZ_174!R100&gt;0,65,35)</f>
        <v>35</v>
      </c>
      <c r="X101" s="18">
        <f>IF(MATRIZ_174!O100=0,70,30)</f>
        <v>70</v>
      </c>
      <c r="Y101" s="18">
        <f>IF(OR(MATRIZ_174!P100="ASOCIACION",MATRIZ_174!P100="PENDIENTE"),65,40)</f>
        <v>65</v>
      </c>
      <c r="Z101" s="19">
        <f t="shared" si="41"/>
        <v>0</v>
      </c>
      <c r="AA101" s="20">
        <f t="shared" si="42"/>
        <v>44</v>
      </c>
      <c r="AB101" s="21">
        <f t="shared" si="43"/>
        <v>44</v>
      </c>
      <c r="AC101" s="13" t="str">
        <f t="shared" si="44"/>
        <v>⬜  Riesgo Latente</v>
      </c>
      <c r="AD101" s="13" t="str">
        <f t="shared" si="45"/>
        <v>🚫  Inh. vigente OSCE</v>
      </c>
      <c r="AE101" s="22">
        <f>IFERROR(MATRIZ_174!W100,0)</f>
        <v>0</v>
      </c>
      <c r="AF101" s="22">
        <f>IFERROR(MATRIZ_174!X100,0)</f>
        <v>0</v>
      </c>
      <c r="AG101" s="22">
        <f>IFERROR(MATRIZ_174!Y100,0)</f>
        <v>0</v>
      </c>
      <c r="AH101" s="22">
        <f>IFERROR(MATRIZ_174!Z100,0)</f>
        <v>0</v>
      </c>
      <c r="AI101" s="17">
        <f>IFERROR(MATRIZ_174!AP100,"N/A")</f>
        <v>0</v>
      </c>
      <c r="AJ101" s="17">
        <f>IFERROR(MATRIZ_174!AO100,"N/A")</f>
        <v>0</v>
      </c>
      <c r="AK101" s="23">
        <f t="shared" si="46"/>
        <v>0</v>
      </c>
      <c r="AL101" s="24">
        <f t="shared" si="47"/>
        <v>0</v>
      </c>
    </row>
    <row r="102" spans="1:38" ht="16.05" customHeight="1" x14ac:dyDescent="0.3">
      <c r="A102" s="13" t="s">
        <v>274</v>
      </c>
      <c r="B102" s="14" t="s">
        <v>275</v>
      </c>
      <c r="C102" s="13" t="s">
        <v>103</v>
      </c>
      <c r="D102" s="15">
        <v>0</v>
      </c>
      <c r="E102" s="16">
        <v>0</v>
      </c>
      <c r="F102" s="17">
        <f>IFERROR(SCORECARDS!H101,"")</f>
        <v>0</v>
      </c>
      <c r="G102" s="17">
        <f>IFERROR(MATRIZ_174!U101,0)</f>
        <v>0</v>
      </c>
      <c r="H102" s="16">
        <v>0</v>
      </c>
      <c r="I102" s="17">
        <f>IFERROR(SCORECARDS!I101,"")</f>
        <v>0</v>
      </c>
      <c r="J102" s="17">
        <f>IFERROR(SCORECARDS!J101,"")</f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7">
        <f t="shared" si="36"/>
        <v>0</v>
      </c>
      <c r="Q102" s="17">
        <f t="shared" si="37"/>
        <v>0</v>
      </c>
      <c r="R102" s="17">
        <f t="shared" si="38"/>
        <v>0</v>
      </c>
      <c r="S102" s="17">
        <f t="shared" si="39"/>
        <v>0</v>
      </c>
      <c r="T102" s="17">
        <f>IFERROR((K102+M102+MATRIZ_174!O101)/3,0)</f>
        <v>0</v>
      </c>
      <c r="U102" s="18">
        <f>IFERROR(MATRIZ_174!AP101*50,0)</f>
        <v>0</v>
      </c>
      <c r="V102" s="18">
        <f t="shared" si="40"/>
        <v>50</v>
      </c>
      <c r="W102" s="18">
        <f>IF(MATRIZ_174!R101&gt;0,65,35)</f>
        <v>35</v>
      </c>
      <c r="X102" s="18">
        <f>IF(MATRIZ_174!O101=0,70,30)</f>
        <v>70</v>
      </c>
      <c r="Y102" s="18">
        <f>IF(OR(MATRIZ_174!P101="ASOCIACION",MATRIZ_174!P101="PENDIENTE"),65,40)</f>
        <v>65</v>
      </c>
      <c r="Z102" s="19">
        <f t="shared" si="41"/>
        <v>0</v>
      </c>
      <c r="AA102" s="20">
        <f t="shared" si="42"/>
        <v>44</v>
      </c>
      <c r="AB102" s="21">
        <f t="shared" si="43"/>
        <v>44</v>
      </c>
      <c r="AC102" s="13" t="str">
        <f t="shared" si="44"/>
        <v>⬜  Riesgo Latente</v>
      </c>
      <c r="AD102" s="13" t="str">
        <f t="shared" si="45"/>
        <v>🚫  Inh. vigente OSCE</v>
      </c>
      <c r="AE102" s="22">
        <f>IFERROR(MATRIZ_174!W101,0)</f>
        <v>0</v>
      </c>
      <c r="AF102" s="22">
        <f>IFERROR(MATRIZ_174!X101,0)</f>
        <v>0</v>
      </c>
      <c r="AG102" s="22">
        <f>IFERROR(MATRIZ_174!Y101,0)</f>
        <v>0</v>
      </c>
      <c r="AH102" s="22">
        <f>IFERROR(MATRIZ_174!Z101,0)</f>
        <v>0</v>
      </c>
      <c r="AI102" s="17">
        <f>IFERROR(MATRIZ_174!AP101,"N/A")</f>
        <v>0</v>
      </c>
      <c r="AJ102" s="17">
        <f>IFERROR(MATRIZ_174!AO101,"N/A")</f>
        <v>0</v>
      </c>
      <c r="AK102" s="23">
        <f t="shared" si="46"/>
        <v>0</v>
      </c>
      <c r="AL102" s="24">
        <f t="shared" si="47"/>
        <v>0</v>
      </c>
    </row>
    <row r="103" spans="1:38" ht="16.05" customHeight="1" x14ac:dyDescent="0.3">
      <c r="A103" s="13" t="s">
        <v>276</v>
      </c>
      <c r="B103" s="14" t="s">
        <v>277</v>
      </c>
      <c r="C103" s="13" t="s">
        <v>110</v>
      </c>
      <c r="D103" s="15">
        <v>0</v>
      </c>
      <c r="E103" s="16">
        <v>0</v>
      </c>
      <c r="F103" s="17">
        <f>IFERROR(SCORECARDS!H102,"")</f>
        <v>0</v>
      </c>
      <c r="G103" s="17">
        <f>IFERROR(MATRIZ_174!U102,0)</f>
        <v>0</v>
      </c>
      <c r="H103" s="16">
        <v>0</v>
      </c>
      <c r="I103" s="17">
        <f>IFERROR(SCORECARDS!I102,"")</f>
        <v>0</v>
      </c>
      <c r="J103" s="17">
        <f>IFERROR(SCORECARDS!J102,"")</f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7">
        <f t="shared" si="36"/>
        <v>0</v>
      </c>
      <c r="Q103" s="17">
        <f t="shared" si="37"/>
        <v>0</v>
      </c>
      <c r="R103" s="17">
        <f t="shared" si="38"/>
        <v>0</v>
      </c>
      <c r="S103" s="17">
        <f t="shared" si="39"/>
        <v>0</v>
      </c>
      <c r="T103" s="17">
        <f>IFERROR((K103+M103+MATRIZ_174!O102)/3,0)</f>
        <v>0</v>
      </c>
      <c r="U103" s="18">
        <f>IFERROR(MATRIZ_174!AP102*50,0)</f>
        <v>0</v>
      </c>
      <c r="V103" s="18">
        <f t="shared" si="40"/>
        <v>50</v>
      </c>
      <c r="W103" s="18">
        <f>IF(MATRIZ_174!R102&gt;0,65,35)</f>
        <v>35</v>
      </c>
      <c r="X103" s="18">
        <f>IF(MATRIZ_174!O102=0,70,30)</f>
        <v>70</v>
      </c>
      <c r="Y103" s="18">
        <f>IF(OR(MATRIZ_174!P102="ASOCIACION",MATRIZ_174!P102="PENDIENTE"),65,40)</f>
        <v>65</v>
      </c>
      <c r="Z103" s="19">
        <f t="shared" si="41"/>
        <v>0</v>
      </c>
      <c r="AA103" s="20">
        <f t="shared" si="42"/>
        <v>44</v>
      </c>
      <c r="AB103" s="21">
        <f t="shared" si="43"/>
        <v>44</v>
      </c>
      <c r="AC103" s="13" t="str">
        <f t="shared" si="44"/>
        <v>⬜  Riesgo Latente</v>
      </c>
      <c r="AD103" s="13" t="str">
        <f t="shared" si="45"/>
        <v>🚫  Inh. vigente OSCE</v>
      </c>
      <c r="AE103" s="22">
        <f>IFERROR(MATRIZ_174!W102,0)</f>
        <v>0</v>
      </c>
      <c r="AF103" s="22">
        <f>IFERROR(MATRIZ_174!X102,0)</f>
        <v>0</v>
      </c>
      <c r="AG103" s="22">
        <f>IFERROR(MATRIZ_174!Y102,0)</f>
        <v>0</v>
      </c>
      <c r="AH103" s="22">
        <f>IFERROR(MATRIZ_174!Z102,0)</f>
        <v>0</v>
      </c>
      <c r="AI103" s="17">
        <f>IFERROR(MATRIZ_174!AP102,"N/A")</f>
        <v>0</v>
      </c>
      <c r="AJ103" s="17">
        <f>IFERROR(MATRIZ_174!AO102,"N/A")</f>
        <v>0</v>
      </c>
      <c r="AK103" s="23">
        <f t="shared" si="46"/>
        <v>0</v>
      </c>
      <c r="AL103" s="24">
        <f t="shared" si="47"/>
        <v>0</v>
      </c>
    </row>
    <row r="104" spans="1:38" ht="16.05" customHeight="1" x14ac:dyDescent="0.3">
      <c r="A104" s="13" t="s">
        <v>278</v>
      </c>
      <c r="B104" s="14" t="s">
        <v>279</v>
      </c>
      <c r="C104" s="13" t="s">
        <v>182</v>
      </c>
      <c r="D104" s="15">
        <v>0</v>
      </c>
      <c r="E104" s="16">
        <v>0</v>
      </c>
      <c r="F104" s="17">
        <f>IFERROR(SCORECARDS!H103,"")</f>
        <v>0</v>
      </c>
      <c r="G104" s="17">
        <f>IFERROR(MATRIZ_174!U103,0)</f>
        <v>0</v>
      </c>
      <c r="H104" s="16">
        <v>0</v>
      </c>
      <c r="I104" s="17">
        <f>IFERROR(SCORECARDS!I103,"")</f>
        <v>0</v>
      </c>
      <c r="J104" s="17">
        <f>IFERROR(SCORECARDS!J103,"")</f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7">
        <f t="shared" si="36"/>
        <v>0</v>
      </c>
      <c r="Q104" s="17">
        <f t="shared" si="37"/>
        <v>0</v>
      </c>
      <c r="R104" s="17">
        <f t="shared" si="38"/>
        <v>0</v>
      </c>
      <c r="S104" s="17">
        <f t="shared" si="39"/>
        <v>0</v>
      </c>
      <c r="T104" s="17">
        <f>IFERROR((K104+M104+MATRIZ_174!O103)/3,0)</f>
        <v>0</v>
      </c>
      <c r="U104" s="18">
        <f>IFERROR(MATRIZ_174!AP103*50,0)</f>
        <v>0</v>
      </c>
      <c r="V104" s="18">
        <f t="shared" si="40"/>
        <v>50</v>
      </c>
      <c r="W104" s="18">
        <f>IF(MATRIZ_174!R103&gt;0,65,35)</f>
        <v>35</v>
      </c>
      <c r="X104" s="18">
        <f>IF(MATRIZ_174!O103=0,70,30)</f>
        <v>70</v>
      </c>
      <c r="Y104" s="18">
        <f>IF(OR(MATRIZ_174!P103="ASOCIACION",MATRIZ_174!P103="PENDIENTE"),65,40)</f>
        <v>65</v>
      </c>
      <c r="Z104" s="19">
        <f t="shared" si="41"/>
        <v>0</v>
      </c>
      <c r="AA104" s="20">
        <f t="shared" si="42"/>
        <v>44</v>
      </c>
      <c r="AB104" s="21">
        <f t="shared" si="43"/>
        <v>44</v>
      </c>
      <c r="AC104" s="13" t="str">
        <f t="shared" si="44"/>
        <v>⬜  Riesgo Latente</v>
      </c>
      <c r="AD104" s="13" t="str">
        <f t="shared" si="45"/>
        <v>🚫  Inh. vigente OSCE</v>
      </c>
      <c r="AE104" s="22">
        <f>IFERROR(MATRIZ_174!W103,0)</f>
        <v>0</v>
      </c>
      <c r="AF104" s="22">
        <f>IFERROR(MATRIZ_174!X103,0)</f>
        <v>0</v>
      </c>
      <c r="AG104" s="22">
        <f>IFERROR(MATRIZ_174!Y103,0)</f>
        <v>0</v>
      </c>
      <c r="AH104" s="22">
        <f>IFERROR(MATRIZ_174!Z103,0)</f>
        <v>0</v>
      </c>
      <c r="AI104" s="17">
        <f>IFERROR(MATRIZ_174!AP103,"N/A")</f>
        <v>0</v>
      </c>
      <c r="AJ104" s="17">
        <f>IFERROR(MATRIZ_174!AO103,"N/A")</f>
        <v>0</v>
      </c>
      <c r="AK104" s="23">
        <f t="shared" si="46"/>
        <v>0</v>
      </c>
      <c r="AL104" s="24">
        <f t="shared" si="47"/>
        <v>0</v>
      </c>
    </row>
    <row r="105" spans="1:38" ht="16.05" customHeight="1" x14ac:dyDescent="0.3">
      <c r="A105" s="13" t="s">
        <v>280</v>
      </c>
      <c r="B105" s="14" t="s">
        <v>281</v>
      </c>
      <c r="C105" s="13" t="s">
        <v>230</v>
      </c>
      <c r="D105" s="15">
        <v>0</v>
      </c>
      <c r="E105" s="16">
        <v>0</v>
      </c>
      <c r="F105" s="17">
        <f>IFERROR(SCORECARDS!H104,"")</f>
        <v>0</v>
      </c>
      <c r="G105" s="17">
        <f>IFERROR(MATRIZ_174!U104,0)</f>
        <v>0</v>
      </c>
      <c r="H105" s="16">
        <v>0</v>
      </c>
      <c r="I105" s="17">
        <f>IFERROR(SCORECARDS!I104,"")</f>
        <v>0</v>
      </c>
      <c r="J105" s="17">
        <f>IFERROR(SCORECARDS!J104,"")</f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7">
        <f t="shared" si="36"/>
        <v>0</v>
      </c>
      <c r="Q105" s="17">
        <f t="shared" si="37"/>
        <v>0</v>
      </c>
      <c r="R105" s="17">
        <f t="shared" si="38"/>
        <v>0</v>
      </c>
      <c r="S105" s="17">
        <f t="shared" si="39"/>
        <v>0</v>
      </c>
      <c r="T105" s="17">
        <f>IFERROR((K105+M105+MATRIZ_174!O104)/3,0)</f>
        <v>0</v>
      </c>
      <c r="U105" s="18">
        <f>IFERROR(MATRIZ_174!AP104*50,0)</f>
        <v>0</v>
      </c>
      <c r="V105" s="18">
        <f t="shared" si="40"/>
        <v>50</v>
      </c>
      <c r="W105" s="18">
        <f>IF(MATRIZ_174!R104&gt;0,65,35)</f>
        <v>35</v>
      </c>
      <c r="X105" s="18">
        <f>IF(MATRIZ_174!O104=0,70,30)</f>
        <v>70</v>
      </c>
      <c r="Y105" s="18">
        <f>IF(OR(MATRIZ_174!P104="ASOCIACION",MATRIZ_174!P104="PENDIENTE"),65,40)</f>
        <v>65</v>
      </c>
      <c r="Z105" s="19">
        <f t="shared" si="41"/>
        <v>0</v>
      </c>
      <c r="AA105" s="20">
        <f t="shared" si="42"/>
        <v>44</v>
      </c>
      <c r="AB105" s="21">
        <f t="shared" si="43"/>
        <v>44</v>
      </c>
      <c r="AC105" s="13" t="str">
        <f t="shared" si="44"/>
        <v>⬜  Riesgo Latente</v>
      </c>
      <c r="AD105" s="13" t="str">
        <f t="shared" si="45"/>
        <v>🚫  Inh. vigente OSCE</v>
      </c>
      <c r="AE105" s="22">
        <f>IFERROR(MATRIZ_174!W104,0)</f>
        <v>0</v>
      </c>
      <c r="AF105" s="22">
        <f>IFERROR(MATRIZ_174!X104,0)</f>
        <v>0</v>
      </c>
      <c r="AG105" s="22">
        <f>IFERROR(MATRIZ_174!Y104,0)</f>
        <v>0</v>
      </c>
      <c r="AH105" s="22">
        <f>IFERROR(MATRIZ_174!Z104,0)</f>
        <v>0</v>
      </c>
      <c r="AI105" s="17">
        <f>IFERROR(MATRIZ_174!AP104,"N/A")</f>
        <v>0</v>
      </c>
      <c r="AJ105" s="17">
        <f>IFERROR(MATRIZ_174!AO104,"N/A")</f>
        <v>0</v>
      </c>
      <c r="AK105" s="23">
        <f t="shared" si="46"/>
        <v>0</v>
      </c>
      <c r="AL105" s="24">
        <f t="shared" si="47"/>
        <v>0</v>
      </c>
    </row>
    <row r="106" spans="1:38" ht="16.05" customHeight="1" x14ac:dyDescent="0.3">
      <c r="A106" s="13" t="s">
        <v>282</v>
      </c>
      <c r="B106" s="14" t="s">
        <v>283</v>
      </c>
      <c r="C106" s="13" t="s">
        <v>103</v>
      </c>
      <c r="D106" s="15">
        <v>0</v>
      </c>
      <c r="E106" s="16">
        <v>0</v>
      </c>
      <c r="F106" s="17">
        <f>IFERROR(SCORECARDS!H105,"")</f>
        <v>0</v>
      </c>
      <c r="G106" s="17">
        <f>IFERROR(MATRIZ_174!U105,0)</f>
        <v>0</v>
      </c>
      <c r="H106" s="16">
        <v>0</v>
      </c>
      <c r="I106" s="17">
        <f>IFERROR(SCORECARDS!I105,"")</f>
        <v>0</v>
      </c>
      <c r="J106" s="17">
        <f>IFERROR(SCORECARDS!J105,"")</f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7">
        <f t="shared" si="36"/>
        <v>0</v>
      </c>
      <c r="Q106" s="17">
        <f t="shared" si="37"/>
        <v>0</v>
      </c>
      <c r="R106" s="17">
        <f t="shared" si="38"/>
        <v>0</v>
      </c>
      <c r="S106" s="17">
        <f t="shared" si="39"/>
        <v>0</v>
      </c>
      <c r="T106" s="17">
        <f>IFERROR((K106+M106+MATRIZ_174!O105)/3,0)</f>
        <v>0</v>
      </c>
      <c r="U106" s="18">
        <f>IFERROR(MATRIZ_174!AP105*50,0)</f>
        <v>0</v>
      </c>
      <c r="V106" s="18">
        <f t="shared" si="40"/>
        <v>50</v>
      </c>
      <c r="W106" s="18">
        <f>IF(MATRIZ_174!R105&gt;0,65,35)</f>
        <v>35</v>
      </c>
      <c r="X106" s="18">
        <f>IF(MATRIZ_174!O105=0,70,30)</f>
        <v>70</v>
      </c>
      <c r="Y106" s="18">
        <f>IF(OR(MATRIZ_174!P105="ASOCIACION",MATRIZ_174!P105="PENDIENTE"),65,40)</f>
        <v>65</v>
      </c>
      <c r="Z106" s="19">
        <f t="shared" si="41"/>
        <v>0</v>
      </c>
      <c r="AA106" s="20">
        <f t="shared" si="42"/>
        <v>44</v>
      </c>
      <c r="AB106" s="21">
        <f t="shared" si="43"/>
        <v>44</v>
      </c>
      <c r="AC106" s="13" t="str">
        <f t="shared" si="44"/>
        <v>⬜  Riesgo Latente</v>
      </c>
      <c r="AD106" s="13" t="str">
        <f t="shared" si="45"/>
        <v>🚫  Inh. vigente OSCE</v>
      </c>
      <c r="AE106" s="22">
        <f>IFERROR(MATRIZ_174!W105,0)</f>
        <v>0</v>
      </c>
      <c r="AF106" s="22">
        <f>IFERROR(MATRIZ_174!X105,0)</f>
        <v>0</v>
      </c>
      <c r="AG106" s="22">
        <f>IFERROR(MATRIZ_174!Y105,0)</f>
        <v>0</v>
      </c>
      <c r="AH106" s="22">
        <f>IFERROR(MATRIZ_174!Z105,0)</f>
        <v>0</v>
      </c>
      <c r="AI106" s="17">
        <f>IFERROR(MATRIZ_174!AP105,"N/A")</f>
        <v>0</v>
      </c>
      <c r="AJ106" s="17">
        <f>IFERROR(MATRIZ_174!AO105,"N/A")</f>
        <v>0</v>
      </c>
      <c r="AK106" s="23">
        <f t="shared" si="46"/>
        <v>0</v>
      </c>
      <c r="AL106" s="24">
        <f t="shared" si="47"/>
        <v>0</v>
      </c>
    </row>
    <row r="107" spans="1:38" ht="16.05" customHeight="1" x14ac:dyDescent="0.3">
      <c r="A107" s="13" t="s">
        <v>284</v>
      </c>
      <c r="B107" s="14" t="s">
        <v>285</v>
      </c>
      <c r="C107" s="13" t="s">
        <v>129</v>
      </c>
      <c r="D107" s="15">
        <v>2059443.82</v>
      </c>
      <c r="E107" s="16">
        <v>0</v>
      </c>
      <c r="F107" s="17">
        <f>IFERROR(SCORECARDS!H106,"")</f>
        <v>0</v>
      </c>
      <c r="G107" s="17">
        <f>IFERROR(MATRIZ_174!U106,0)</f>
        <v>1</v>
      </c>
      <c r="H107" s="16">
        <v>0</v>
      </c>
      <c r="I107" s="17">
        <f>IFERROR(SCORECARDS!I106,"")</f>
        <v>0</v>
      </c>
      <c r="J107" s="17">
        <f>IFERROR(SCORECARDS!J106,"")</f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7">
        <f t="shared" si="36"/>
        <v>0</v>
      </c>
      <c r="Q107" s="17">
        <f t="shared" si="37"/>
        <v>0</v>
      </c>
      <c r="R107" s="17">
        <f t="shared" si="38"/>
        <v>0</v>
      </c>
      <c r="S107" s="17">
        <f t="shared" si="39"/>
        <v>0</v>
      </c>
      <c r="T107" s="17">
        <f>IFERROR((K107+M107+MATRIZ_174!O106)/3,0)</f>
        <v>0</v>
      </c>
      <c r="U107" s="18">
        <f>IFERROR(MATRIZ_174!AP106*50,0)</f>
        <v>6.25</v>
      </c>
      <c r="V107" s="18">
        <f t="shared" si="40"/>
        <v>50</v>
      </c>
      <c r="W107" s="18">
        <f>IF(MATRIZ_174!R106&gt;0,65,35)</f>
        <v>65</v>
      </c>
      <c r="X107" s="18">
        <f>IF(MATRIZ_174!O106=0,70,30)</f>
        <v>70</v>
      </c>
      <c r="Y107" s="18">
        <f>IF(OR(MATRIZ_174!P106="ASOCIACION",MATRIZ_174!P106="PENDIENTE"),65,40)</f>
        <v>65</v>
      </c>
      <c r="Z107" s="19">
        <f t="shared" si="41"/>
        <v>0</v>
      </c>
      <c r="AA107" s="20">
        <f t="shared" si="42"/>
        <v>51.3</v>
      </c>
      <c r="AB107" s="21">
        <f t="shared" si="43"/>
        <v>51.3</v>
      </c>
      <c r="AC107" s="13" t="str">
        <f t="shared" si="44"/>
        <v>🔴  Riesgo Crítico</v>
      </c>
      <c r="AD107" s="13" t="str">
        <f t="shared" si="45"/>
        <v/>
      </c>
      <c r="AE107" s="22">
        <f>IFERROR(MATRIZ_174!W106,0)</f>
        <v>1</v>
      </c>
      <c r="AF107" s="22">
        <f>IFERROR(MATRIZ_174!X106,0)</f>
        <v>0</v>
      </c>
      <c r="AG107" s="22">
        <f>IFERROR(MATRIZ_174!Y106,0)</f>
        <v>0</v>
      </c>
      <c r="AH107" s="22">
        <f>IFERROR(MATRIZ_174!Z106,0)</f>
        <v>0</v>
      </c>
      <c r="AI107" s="17">
        <f>IFERROR(MATRIZ_174!AP106,"N/A")</f>
        <v>0.125</v>
      </c>
      <c r="AJ107" s="17">
        <f>IFERROR(MATRIZ_174!AO106,"N/A")</f>
        <v>0</v>
      </c>
      <c r="AK107" s="23">
        <f t="shared" si="46"/>
        <v>0</v>
      </c>
      <c r="AL107" s="24">
        <f t="shared" si="47"/>
        <v>0</v>
      </c>
    </row>
    <row r="108" spans="1:38" ht="16.05" customHeight="1" x14ac:dyDescent="0.3">
      <c r="A108" s="13" t="s">
        <v>286</v>
      </c>
      <c r="B108" s="14" t="s">
        <v>287</v>
      </c>
      <c r="C108" s="13" t="s">
        <v>100</v>
      </c>
      <c r="D108" s="15">
        <v>0</v>
      </c>
      <c r="E108" s="16">
        <v>0</v>
      </c>
      <c r="F108" s="17">
        <f>IFERROR(SCORECARDS!H107,"")</f>
        <v>0</v>
      </c>
      <c r="G108" s="17">
        <f>IFERROR(MATRIZ_174!U107,0)</f>
        <v>0</v>
      </c>
      <c r="H108" s="16">
        <v>0</v>
      </c>
      <c r="I108" s="17">
        <f>IFERROR(SCORECARDS!I107,"")</f>
        <v>0</v>
      </c>
      <c r="J108" s="17">
        <f>IFERROR(SCORECARDS!J107,"")</f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7">
        <f t="shared" si="36"/>
        <v>0</v>
      </c>
      <c r="Q108" s="17">
        <f t="shared" si="37"/>
        <v>0</v>
      </c>
      <c r="R108" s="17">
        <f t="shared" si="38"/>
        <v>0</v>
      </c>
      <c r="S108" s="17">
        <f t="shared" si="39"/>
        <v>0</v>
      </c>
      <c r="T108" s="17">
        <f>IFERROR((K108+M108+MATRIZ_174!O107)/3,0)</f>
        <v>0</v>
      </c>
      <c r="U108" s="18">
        <f>IFERROR(MATRIZ_174!AP107*50,0)</f>
        <v>0</v>
      </c>
      <c r="V108" s="18">
        <f t="shared" si="40"/>
        <v>50</v>
      </c>
      <c r="W108" s="18">
        <f>IF(MATRIZ_174!R107&gt;0,65,35)</f>
        <v>35</v>
      </c>
      <c r="X108" s="18">
        <f>IF(MATRIZ_174!O107=0,70,30)</f>
        <v>70</v>
      </c>
      <c r="Y108" s="18">
        <f>IF(OR(MATRIZ_174!P107="ASOCIACION",MATRIZ_174!P107="PENDIENTE"),65,40)</f>
        <v>65</v>
      </c>
      <c r="Z108" s="19">
        <f t="shared" si="41"/>
        <v>0</v>
      </c>
      <c r="AA108" s="20">
        <f t="shared" si="42"/>
        <v>44</v>
      </c>
      <c r="AB108" s="21">
        <f t="shared" si="43"/>
        <v>44</v>
      </c>
      <c r="AC108" s="13" t="str">
        <f t="shared" si="44"/>
        <v>⬜  Riesgo Latente</v>
      </c>
      <c r="AD108" s="13" t="str">
        <f t="shared" si="45"/>
        <v>🚫  Inh. vigente OSCE</v>
      </c>
      <c r="AE108" s="22">
        <f>IFERROR(MATRIZ_174!W107,0)</f>
        <v>0</v>
      </c>
      <c r="AF108" s="22">
        <f>IFERROR(MATRIZ_174!X107,0)</f>
        <v>0</v>
      </c>
      <c r="AG108" s="22">
        <f>IFERROR(MATRIZ_174!Y107,0)</f>
        <v>0</v>
      </c>
      <c r="AH108" s="22">
        <f>IFERROR(MATRIZ_174!Z107,0)</f>
        <v>0</v>
      </c>
      <c r="AI108" s="17">
        <f>IFERROR(MATRIZ_174!AP107,"N/A")</f>
        <v>0</v>
      </c>
      <c r="AJ108" s="17">
        <f>IFERROR(MATRIZ_174!AO107,"N/A")</f>
        <v>0</v>
      </c>
      <c r="AK108" s="23">
        <f t="shared" si="46"/>
        <v>0</v>
      </c>
      <c r="AL108" s="24">
        <f t="shared" si="47"/>
        <v>0</v>
      </c>
    </row>
    <row r="109" spans="1:38" ht="16.05" customHeight="1" x14ac:dyDescent="0.3">
      <c r="A109" s="13" t="s">
        <v>288</v>
      </c>
      <c r="B109" s="14" t="s">
        <v>289</v>
      </c>
      <c r="C109" s="13" t="s">
        <v>100</v>
      </c>
      <c r="D109" s="15">
        <v>10616860.41</v>
      </c>
      <c r="E109" s="16">
        <v>0</v>
      </c>
      <c r="F109" s="17">
        <f>IFERROR(SCORECARDS!H108,"")</f>
        <v>0</v>
      </c>
      <c r="G109" s="17">
        <f>IFERROR(MATRIZ_174!U108,0)</f>
        <v>1</v>
      </c>
      <c r="H109" s="16">
        <v>0</v>
      </c>
      <c r="I109" s="17">
        <f>IFERROR(SCORECARDS!I108,"")</f>
        <v>0</v>
      </c>
      <c r="J109" s="17">
        <f>IFERROR(SCORECARDS!J108,"")</f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7">
        <f t="shared" si="36"/>
        <v>0</v>
      </c>
      <c r="Q109" s="17">
        <f t="shared" si="37"/>
        <v>0</v>
      </c>
      <c r="R109" s="17">
        <f t="shared" si="38"/>
        <v>0</v>
      </c>
      <c r="S109" s="17">
        <f t="shared" si="39"/>
        <v>0</v>
      </c>
      <c r="T109" s="17">
        <f>IFERROR((K109+M109+MATRIZ_174!O108)/3,0)</f>
        <v>0</v>
      </c>
      <c r="U109" s="18">
        <f>IFERROR(MATRIZ_174!AP108*50,0)</f>
        <v>6.25</v>
      </c>
      <c r="V109" s="18">
        <f t="shared" si="40"/>
        <v>50</v>
      </c>
      <c r="W109" s="18">
        <f>IF(MATRIZ_174!R108&gt;0,65,35)</f>
        <v>35</v>
      </c>
      <c r="X109" s="18">
        <f>IF(MATRIZ_174!O108=0,70,30)</f>
        <v>70</v>
      </c>
      <c r="Y109" s="18">
        <f>IF(OR(MATRIZ_174!P108="ASOCIACION",MATRIZ_174!P108="PENDIENTE"),65,40)</f>
        <v>65</v>
      </c>
      <c r="Z109" s="19">
        <f t="shared" si="41"/>
        <v>0</v>
      </c>
      <c r="AA109" s="20">
        <f t="shared" si="42"/>
        <v>45.3</v>
      </c>
      <c r="AB109" s="21">
        <f t="shared" si="43"/>
        <v>45.3</v>
      </c>
      <c r="AC109" s="13" t="str">
        <f t="shared" si="44"/>
        <v>⬜  Riesgo Latente</v>
      </c>
      <c r="AD109" s="13" t="str">
        <f t="shared" si="45"/>
        <v/>
      </c>
      <c r="AE109" s="22">
        <f>IFERROR(MATRIZ_174!W108,0)</f>
        <v>1</v>
      </c>
      <c r="AF109" s="22">
        <f>IFERROR(MATRIZ_174!X108,0)</f>
        <v>0</v>
      </c>
      <c r="AG109" s="22">
        <f>IFERROR(MATRIZ_174!Y108,0)</f>
        <v>0</v>
      </c>
      <c r="AH109" s="22">
        <f>IFERROR(MATRIZ_174!Z108,0)</f>
        <v>0</v>
      </c>
      <c r="AI109" s="17">
        <f>IFERROR(MATRIZ_174!AP108,"N/A")</f>
        <v>0.125</v>
      </c>
      <c r="AJ109" s="17">
        <f>IFERROR(MATRIZ_174!AO108,"N/A")</f>
        <v>0</v>
      </c>
      <c r="AK109" s="23">
        <f t="shared" si="46"/>
        <v>0</v>
      </c>
      <c r="AL109" s="24">
        <f t="shared" si="47"/>
        <v>0</v>
      </c>
    </row>
    <row r="110" spans="1:38" ht="16.05" customHeight="1" x14ac:dyDescent="0.3">
      <c r="A110" s="13" t="s">
        <v>290</v>
      </c>
      <c r="B110" s="14" t="s">
        <v>291</v>
      </c>
      <c r="C110" s="13" t="s">
        <v>68</v>
      </c>
      <c r="D110" s="15">
        <v>0</v>
      </c>
      <c r="E110" s="16">
        <v>0</v>
      </c>
      <c r="F110" s="17">
        <f>IFERROR(SCORECARDS!H109,"")</f>
        <v>0</v>
      </c>
      <c r="G110" s="17">
        <f>IFERROR(MATRIZ_174!U109,0)</f>
        <v>0</v>
      </c>
      <c r="H110" s="16">
        <v>0</v>
      </c>
      <c r="I110" s="17">
        <f>IFERROR(SCORECARDS!I109,"")</f>
        <v>0</v>
      </c>
      <c r="J110" s="17">
        <f>IFERROR(SCORECARDS!J109,"")</f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7">
        <f t="shared" si="36"/>
        <v>0</v>
      </c>
      <c r="Q110" s="17">
        <f t="shared" si="37"/>
        <v>0</v>
      </c>
      <c r="R110" s="17">
        <f t="shared" si="38"/>
        <v>0</v>
      </c>
      <c r="S110" s="17">
        <f t="shared" si="39"/>
        <v>0</v>
      </c>
      <c r="T110" s="17">
        <f>IFERROR((K110+M110+MATRIZ_174!O109)/3,0)</f>
        <v>0</v>
      </c>
      <c r="U110" s="18">
        <f>IFERROR(MATRIZ_174!AP109*50,0)</f>
        <v>0</v>
      </c>
      <c r="V110" s="18">
        <f t="shared" si="40"/>
        <v>50</v>
      </c>
      <c r="W110" s="18">
        <f>IF(MATRIZ_174!R109&gt;0,65,35)</f>
        <v>35</v>
      </c>
      <c r="X110" s="18">
        <f>IF(MATRIZ_174!O109=0,70,30)</f>
        <v>70</v>
      </c>
      <c r="Y110" s="18">
        <f>IF(OR(MATRIZ_174!P109="ASOCIACION",MATRIZ_174!P109="PENDIENTE"),65,40)</f>
        <v>65</v>
      </c>
      <c r="Z110" s="19">
        <f t="shared" si="41"/>
        <v>0</v>
      </c>
      <c r="AA110" s="20">
        <f t="shared" si="42"/>
        <v>44</v>
      </c>
      <c r="AB110" s="21">
        <f t="shared" si="43"/>
        <v>44</v>
      </c>
      <c r="AC110" s="13" t="str">
        <f t="shared" si="44"/>
        <v>⬜  Riesgo Latente</v>
      </c>
      <c r="AD110" s="13" t="str">
        <f t="shared" si="45"/>
        <v>🚫  Inh. vigente OSCE</v>
      </c>
      <c r="AE110" s="22">
        <f>IFERROR(MATRIZ_174!W109,0)</f>
        <v>0</v>
      </c>
      <c r="AF110" s="22">
        <f>IFERROR(MATRIZ_174!X109,0)</f>
        <v>0</v>
      </c>
      <c r="AG110" s="22">
        <f>IFERROR(MATRIZ_174!Y109,0)</f>
        <v>0</v>
      </c>
      <c r="AH110" s="22">
        <f>IFERROR(MATRIZ_174!Z109,0)</f>
        <v>0</v>
      </c>
      <c r="AI110" s="17">
        <f>IFERROR(MATRIZ_174!AP109,"N/A")</f>
        <v>0</v>
      </c>
      <c r="AJ110" s="17">
        <f>IFERROR(MATRIZ_174!AO109,"N/A")</f>
        <v>0</v>
      </c>
      <c r="AK110" s="23">
        <f t="shared" si="46"/>
        <v>0</v>
      </c>
      <c r="AL110" s="24">
        <f t="shared" si="47"/>
        <v>0</v>
      </c>
    </row>
    <row r="111" spans="1:38" ht="16.05" customHeight="1" x14ac:dyDescent="0.3">
      <c r="A111" s="13" t="s">
        <v>292</v>
      </c>
      <c r="B111" s="14" t="s">
        <v>293</v>
      </c>
      <c r="C111" s="13" t="s">
        <v>110</v>
      </c>
      <c r="D111" s="15">
        <v>0</v>
      </c>
      <c r="E111" s="16">
        <v>0</v>
      </c>
      <c r="F111" s="17">
        <f>IFERROR(SCORECARDS!H110,"")</f>
        <v>0</v>
      </c>
      <c r="G111" s="17">
        <f>IFERROR(MATRIZ_174!U110,0)</f>
        <v>0</v>
      </c>
      <c r="H111" s="16">
        <v>0</v>
      </c>
      <c r="I111" s="17">
        <f>IFERROR(SCORECARDS!I110,"")</f>
        <v>0</v>
      </c>
      <c r="J111" s="17">
        <f>IFERROR(SCORECARDS!J110,"")</f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7">
        <f t="shared" si="36"/>
        <v>0</v>
      </c>
      <c r="Q111" s="17">
        <f t="shared" si="37"/>
        <v>0</v>
      </c>
      <c r="R111" s="17">
        <f t="shared" si="38"/>
        <v>0</v>
      </c>
      <c r="S111" s="17">
        <f t="shared" si="39"/>
        <v>0</v>
      </c>
      <c r="T111" s="17">
        <f>IFERROR((K111+M111+MATRIZ_174!O110)/3,0)</f>
        <v>0</v>
      </c>
      <c r="U111" s="18">
        <f>IFERROR(MATRIZ_174!AP110*50,0)</f>
        <v>0</v>
      </c>
      <c r="V111" s="18">
        <f t="shared" si="40"/>
        <v>50</v>
      </c>
      <c r="W111" s="18">
        <f>IF(MATRIZ_174!R110&gt;0,65,35)</f>
        <v>35</v>
      </c>
      <c r="X111" s="18">
        <f>IF(MATRIZ_174!O110=0,70,30)</f>
        <v>70</v>
      </c>
      <c r="Y111" s="18">
        <f>IF(OR(MATRIZ_174!P110="ASOCIACION",MATRIZ_174!P110="PENDIENTE"),65,40)</f>
        <v>65</v>
      </c>
      <c r="Z111" s="19">
        <f t="shared" si="41"/>
        <v>0</v>
      </c>
      <c r="AA111" s="20">
        <f t="shared" si="42"/>
        <v>44</v>
      </c>
      <c r="AB111" s="21">
        <f t="shared" si="43"/>
        <v>44</v>
      </c>
      <c r="AC111" s="13" t="str">
        <f t="shared" si="44"/>
        <v>⬜  Riesgo Latente</v>
      </c>
      <c r="AD111" s="13" t="str">
        <f t="shared" si="45"/>
        <v>🚫  Inh. vigente OSCE</v>
      </c>
      <c r="AE111" s="22">
        <f>IFERROR(MATRIZ_174!W110,0)</f>
        <v>0</v>
      </c>
      <c r="AF111" s="22">
        <f>IFERROR(MATRIZ_174!X110,0)</f>
        <v>0</v>
      </c>
      <c r="AG111" s="22">
        <f>IFERROR(MATRIZ_174!Y110,0)</f>
        <v>0</v>
      </c>
      <c r="AH111" s="22">
        <f>IFERROR(MATRIZ_174!Z110,0)</f>
        <v>0</v>
      </c>
      <c r="AI111" s="17">
        <f>IFERROR(MATRIZ_174!AP110,"N/A")</f>
        <v>0</v>
      </c>
      <c r="AJ111" s="17">
        <f>IFERROR(MATRIZ_174!AO110,"N/A")</f>
        <v>0</v>
      </c>
      <c r="AK111" s="23">
        <f t="shared" si="46"/>
        <v>0</v>
      </c>
      <c r="AL111" s="24">
        <f t="shared" si="47"/>
        <v>0</v>
      </c>
    </row>
    <row r="112" spans="1:38" ht="16.05" customHeight="1" x14ac:dyDescent="0.3">
      <c r="A112" s="13" t="s">
        <v>294</v>
      </c>
      <c r="B112" s="14" t="s">
        <v>295</v>
      </c>
      <c r="C112" s="13" t="s">
        <v>103</v>
      </c>
      <c r="D112" s="15">
        <v>0</v>
      </c>
      <c r="E112" s="16">
        <v>0</v>
      </c>
      <c r="F112" s="17">
        <f>IFERROR(SCORECARDS!H111,"")</f>
        <v>0</v>
      </c>
      <c r="G112" s="17">
        <f>IFERROR(MATRIZ_174!U111,0)</f>
        <v>0</v>
      </c>
      <c r="H112" s="16">
        <v>0</v>
      </c>
      <c r="I112" s="17">
        <f>IFERROR(SCORECARDS!I111,"")</f>
        <v>0</v>
      </c>
      <c r="J112" s="17">
        <f>IFERROR(SCORECARDS!J111,"")</f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7">
        <f t="shared" si="36"/>
        <v>0</v>
      </c>
      <c r="Q112" s="17">
        <f t="shared" si="37"/>
        <v>0</v>
      </c>
      <c r="R112" s="17">
        <f t="shared" si="38"/>
        <v>0</v>
      </c>
      <c r="S112" s="17">
        <f t="shared" si="39"/>
        <v>0</v>
      </c>
      <c r="T112" s="17">
        <f>IFERROR((K112+M112+MATRIZ_174!O111)/3,0)</f>
        <v>0</v>
      </c>
      <c r="U112" s="18">
        <f>IFERROR(MATRIZ_174!AP111*50,0)</f>
        <v>0</v>
      </c>
      <c r="V112" s="18">
        <f t="shared" si="40"/>
        <v>50</v>
      </c>
      <c r="W112" s="18">
        <f>IF(MATRIZ_174!R111&gt;0,65,35)</f>
        <v>35</v>
      </c>
      <c r="X112" s="18">
        <f>IF(MATRIZ_174!O111=0,70,30)</f>
        <v>70</v>
      </c>
      <c r="Y112" s="18">
        <f>IF(OR(MATRIZ_174!P111="ASOCIACION",MATRIZ_174!P111="PENDIENTE"),65,40)</f>
        <v>65</v>
      </c>
      <c r="Z112" s="19">
        <f t="shared" si="41"/>
        <v>0</v>
      </c>
      <c r="AA112" s="20">
        <f t="shared" si="42"/>
        <v>44</v>
      </c>
      <c r="AB112" s="21">
        <f t="shared" si="43"/>
        <v>44</v>
      </c>
      <c r="AC112" s="13" t="str">
        <f t="shared" si="44"/>
        <v>⬜  Riesgo Latente</v>
      </c>
      <c r="AD112" s="13" t="str">
        <f t="shared" si="45"/>
        <v>🚫  Inh. vigente OSCE</v>
      </c>
      <c r="AE112" s="22">
        <f>IFERROR(MATRIZ_174!W111,0)</f>
        <v>0</v>
      </c>
      <c r="AF112" s="22">
        <f>IFERROR(MATRIZ_174!X111,0)</f>
        <v>0</v>
      </c>
      <c r="AG112" s="22">
        <f>IFERROR(MATRIZ_174!Y111,0)</f>
        <v>0</v>
      </c>
      <c r="AH112" s="22">
        <f>IFERROR(MATRIZ_174!Z111,0)</f>
        <v>0</v>
      </c>
      <c r="AI112" s="17">
        <f>IFERROR(MATRIZ_174!AP111,"N/A")</f>
        <v>0</v>
      </c>
      <c r="AJ112" s="17">
        <f>IFERROR(MATRIZ_174!AO111,"N/A")</f>
        <v>0</v>
      </c>
      <c r="AK112" s="23">
        <f t="shared" si="46"/>
        <v>0</v>
      </c>
      <c r="AL112" s="24">
        <f t="shared" si="47"/>
        <v>0</v>
      </c>
    </row>
    <row r="113" spans="1:38" ht="16.05" customHeight="1" x14ac:dyDescent="0.3">
      <c r="A113" s="13" t="s">
        <v>296</v>
      </c>
      <c r="B113" s="14" t="s">
        <v>297</v>
      </c>
      <c r="C113" s="13" t="s">
        <v>110</v>
      </c>
      <c r="D113" s="15">
        <v>0</v>
      </c>
      <c r="E113" s="16">
        <v>0</v>
      </c>
      <c r="F113" s="17">
        <f>IFERROR(SCORECARDS!H112,"")</f>
        <v>0</v>
      </c>
      <c r="G113" s="17">
        <f>IFERROR(MATRIZ_174!U112,0)</f>
        <v>0</v>
      </c>
      <c r="H113" s="16">
        <v>0</v>
      </c>
      <c r="I113" s="17">
        <f>IFERROR(SCORECARDS!I112,"")</f>
        <v>0</v>
      </c>
      <c r="J113" s="17">
        <f>IFERROR(SCORECARDS!J112,"")</f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7">
        <f t="shared" si="36"/>
        <v>0</v>
      </c>
      <c r="Q113" s="17">
        <f t="shared" si="37"/>
        <v>0</v>
      </c>
      <c r="R113" s="17">
        <f t="shared" si="38"/>
        <v>0</v>
      </c>
      <c r="S113" s="17">
        <f t="shared" si="39"/>
        <v>0</v>
      </c>
      <c r="T113" s="17">
        <f>IFERROR((K113+M113+MATRIZ_174!O112)/3,0)</f>
        <v>0</v>
      </c>
      <c r="U113" s="18">
        <f>IFERROR(MATRIZ_174!AP112*50,0)</f>
        <v>0</v>
      </c>
      <c r="V113" s="18">
        <f t="shared" si="40"/>
        <v>50</v>
      </c>
      <c r="W113" s="18">
        <f>IF(MATRIZ_174!R112&gt;0,65,35)</f>
        <v>35</v>
      </c>
      <c r="X113" s="18">
        <f>IF(MATRIZ_174!O112=0,70,30)</f>
        <v>70</v>
      </c>
      <c r="Y113" s="18">
        <f>IF(OR(MATRIZ_174!P112="ASOCIACION",MATRIZ_174!P112="PENDIENTE"),65,40)</f>
        <v>65</v>
      </c>
      <c r="Z113" s="19">
        <f t="shared" si="41"/>
        <v>0</v>
      </c>
      <c r="AA113" s="20">
        <f t="shared" si="42"/>
        <v>44</v>
      </c>
      <c r="AB113" s="21">
        <f t="shared" si="43"/>
        <v>44</v>
      </c>
      <c r="AC113" s="13" t="str">
        <f t="shared" si="44"/>
        <v>⬜  Riesgo Latente</v>
      </c>
      <c r="AD113" s="13" t="str">
        <f t="shared" si="45"/>
        <v>🚫  Inh. vigente OSCE</v>
      </c>
      <c r="AE113" s="22">
        <f>IFERROR(MATRIZ_174!W112,0)</f>
        <v>0</v>
      </c>
      <c r="AF113" s="22">
        <f>IFERROR(MATRIZ_174!X112,0)</f>
        <v>0</v>
      </c>
      <c r="AG113" s="22">
        <f>IFERROR(MATRIZ_174!Y112,0)</f>
        <v>0</v>
      </c>
      <c r="AH113" s="22">
        <f>IFERROR(MATRIZ_174!Z112,0)</f>
        <v>0</v>
      </c>
      <c r="AI113" s="17">
        <f>IFERROR(MATRIZ_174!AP112,"N/A")</f>
        <v>0</v>
      </c>
      <c r="AJ113" s="17">
        <f>IFERROR(MATRIZ_174!AO112,"N/A")</f>
        <v>0</v>
      </c>
      <c r="AK113" s="23">
        <f t="shared" si="46"/>
        <v>0</v>
      </c>
      <c r="AL113" s="24">
        <f t="shared" si="47"/>
        <v>0</v>
      </c>
    </row>
    <row r="114" spans="1:38" ht="16.05" customHeight="1" x14ac:dyDescent="0.3">
      <c r="A114" s="13" t="s">
        <v>298</v>
      </c>
      <c r="B114" s="14" t="s">
        <v>299</v>
      </c>
      <c r="C114" s="13" t="s">
        <v>140</v>
      </c>
      <c r="D114" s="15">
        <v>0</v>
      </c>
      <c r="E114" s="16">
        <v>0</v>
      </c>
      <c r="F114" s="17">
        <f>IFERROR(SCORECARDS!H113,"")</f>
        <v>0</v>
      </c>
      <c r="G114" s="17">
        <f>IFERROR(MATRIZ_174!U113,0)</f>
        <v>0</v>
      </c>
      <c r="H114" s="16">
        <v>0</v>
      </c>
      <c r="I114" s="17">
        <f>IFERROR(SCORECARDS!I113,"")</f>
        <v>0</v>
      </c>
      <c r="J114" s="17">
        <f>IFERROR(SCORECARDS!J113,"")</f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7">
        <f t="shared" si="36"/>
        <v>0</v>
      </c>
      <c r="Q114" s="17">
        <f t="shared" si="37"/>
        <v>0</v>
      </c>
      <c r="R114" s="17">
        <f t="shared" si="38"/>
        <v>0</v>
      </c>
      <c r="S114" s="17">
        <f t="shared" si="39"/>
        <v>0</v>
      </c>
      <c r="T114" s="17">
        <f>IFERROR((K114+M114+MATRIZ_174!O113)/3,0)</f>
        <v>0</v>
      </c>
      <c r="U114" s="18">
        <f>IFERROR(MATRIZ_174!AP113*50,0)</f>
        <v>0</v>
      </c>
      <c r="V114" s="18">
        <f t="shared" si="40"/>
        <v>50</v>
      </c>
      <c r="W114" s="18">
        <f>IF(MATRIZ_174!R113&gt;0,65,35)</f>
        <v>35</v>
      </c>
      <c r="X114" s="18">
        <f>IF(MATRIZ_174!O113=0,70,30)</f>
        <v>70</v>
      </c>
      <c r="Y114" s="18">
        <f>IF(OR(MATRIZ_174!P113="ASOCIACION",MATRIZ_174!P113="PENDIENTE"),65,40)</f>
        <v>65</v>
      </c>
      <c r="Z114" s="19">
        <f t="shared" si="41"/>
        <v>0</v>
      </c>
      <c r="AA114" s="20">
        <f t="shared" si="42"/>
        <v>44</v>
      </c>
      <c r="AB114" s="21">
        <f t="shared" si="43"/>
        <v>44</v>
      </c>
      <c r="AC114" s="13" t="str">
        <f t="shared" si="44"/>
        <v>⬜  Riesgo Latente</v>
      </c>
      <c r="AD114" s="13" t="str">
        <f t="shared" si="45"/>
        <v>🚫  Inh. vigente OSCE</v>
      </c>
      <c r="AE114" s="22">
        <f>IFERROR(MATRIZ_174!W113,0)</f>
        <v>0</v>
      </c>
      <c r="AF114" s="22">
        <f>IFERROR(MATRIZ_174!X113,0)</f>
        <v>0</v>
      </c>
      <c r="AG114" s="22">
        <f>IFERROR(MATRIZ_174!Y113,0)</f>
        <v>0</v>
      </c>
      <c r="AH114" s="22">
        <f>IFERROR(MATRIZ_174!Z113,0)</f>
        <v>0</v>
      </c>
      <c r="AI114" s="17">
        <f>IFERROR(MATRIZ_174!AP113,"N/A")</f>
        <v>0</v>
      </c>
      <c r="AJ114" s="17">
        <f>IFERROR(MATRIZ_174!AO113,"N/A")</f>
        <v>0</v>
      </c>
      <c r="AK114" s="23">
        <f t="shared" si="46"/>
        <v>0</v>
      </c>
      <c r="AL114" s="24">
        <f t="shared" si="47"/>
        <v>0</v>
      </c>
    </row>
    <row r="115" spans="1:38" ht="16.05" customHeight="1" x14ac:dyDescent="0.3">
      <c r="A115" s="13" t="s">
        <v>300</v>
      </c>
      <c r="B115" s="14" t="s">
        <v>301</v>
      </c>
      <c r="C115" s="13" t="s">
        <v>230</v>
      </c>
      <c r="D115" s="15">
        <v>0</v>
      </c>
      <c r="E115" s="16">
        <v>0</v>
      </c>
      <c r="F115" s="17">
        <f>IFERROR(SCORECARDS!H114,"")</f>
        <v>0</v>
      </c>
      <c r="G115" s="17">
        <f>IFERROR(MATRIZ_174!U114,0)</f>
        <v>0</v>
      </c>
      <c r="H115" s="16">
        <v>0</v>
      </c>
      <c r="I115" s="17">
        <f>IFERROR(SCORECARDS!I114,"")</f>
        <v>0</v>
      </c>
      <c r="J115" s="17">
        <f>IFERROR(SCORECARDS!J114,"")</f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7">
        <f t="shared" si="36"/>
        <v>0</v>
      </c>
      <c r="Q115" s="17">
        <f t="shared" si="37"/>
        <v>0</v>
      </c>
      <c r="R115" s="17">
        <f t="shared" si="38"/>
        <v>0</v>
      </c>
      <c r="S115" s="17">
        <f t="shared" si="39"/>
        <v>0</v>
      </c>
      <c r="T115" s="17">
        <f>IFERROR((K115+M115+MATRIZ_174!O114)/3,0)</f>
        <v>0</v>
      </c>
      <c r="U115" s="18">
        <f>IFERROR(MATRIZ_174!AP114*50,0)</f>
        <v>0</v>
      </c>
      <c r="V115" s="18">
        <f t="shared" si="40"/>
        <v>50</v>
      </c>
      <c r="W115" s="18">
        <f>IF(MATRIZ_174!R114&gt;0,65,35)</f>
        <v>35</v>
      </c>
      <c r="X115" s="18">
        <f>IF(MATRIZ_174!O114=0,70,30)</f>
        <v>70</v>
      </c>
      <c r="Y115" s="18">
        <f>IF(OR(MATRIZ_174!P114="ASOCIACION",MATRIZ_174!P114="PENDIENTE"),65,40)</f>
        <v>65</v>
      </c>
      <c r="Z115" s="19">
        <f t="shared" si="41"/>
        <v>0</v>
      </c>
      <c r="AA115" s="20">
        <f t="shared" si="42"/>
        <v>44</v>
      </c>
      <c r="AB115" s="21">
        <f t="shared" si="43"/>
        <v>44</v>
      </c>
      <c r="AC115" s="13" t="str">
        <f t="shared" si="44"/>
        <v>⬜  Riesgo Latente</v>
      </c>
      <c r="AD115" s="13" t="str">
        <f t="shared" si="45"/>
        <v>🚫  Inh. vigente OSCE</v>
      </c>
      <c r="AE115" s="22">
        <f>IFERROR(MATRIZ_174!W114,0)</f>
        <v>0</v>
      </c>
      <c r="AF115" s="22">
        <f>IFERROR(MATRIZ_174!X114,0)</f>
        <v>0</v>
      </c>
      <c r="AG115" s="22">
        <f>IFERROR(MATRIZ_174!Y114,0)</f>
        <v>0</v>
      </c>
      <c r="AH115" s="22">
        <f>IFERROR(MATRIZ_174!Z114,0)</f>
        <v>0</v>
      </c>
      <c r="AI115" s="17">
        <f>IFERROR(MATRIZ_174!AP114,"N/A")</f>
        <v>0</v>
      </c>
      <c r="AJ115" s="17">
        <f>IFERROR(MATRIZ_174!AO114,"N/A")</f>
        <v>0</v>
      </c>
      <c r="AK115" s="23">
        <f t="shared" si="46"/>
        <v>0</v>
      </c>
      <c r="AL115" s="24">
        <f t="shared" si="47"/>
        <v>0</v>
      </c>
    </row>
    <row r="116" spans="1:38" ht="16.05" customHeight="1" x14ac:dyDescent="0.3">
      <c r="A116" s="13" t="s">
        <v>302</v>
      </c>
      <c r="B116" s="14" t="s">
        <v>303</v>
      </c>
      <c r="C116" s="13" t="s">
        <v>129</v>
      </c>
      <c r="D116" s="15">
        <v>0</v>
      </c>
      <c r="E116" s="16">
        <v>0</v>
      </c>
      <c r="F116" s="17">
        <f>IFERROR(SCORECARDS!H115,"")</f>
        <v>0</v>
      </c>
      <c r="G116" s="17">
        <f>IFERROR(MATRIZ_174!U115,0)</f>
        <v>0</v>
      </c>
      <c r="H116" s="16">
        <v>0</v>
      </c>
      <c r="I116" s="17">
        <f>IFERROR(SCORECARDS!I115,"")</f>
        <v>0</v>
      </c>
      <c r="J116" s="17">
        <f>IFERROR(SCORECARDS!J115,"")</f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7">
        <f t="shared" si="36"/>
        <v>0</v>
      </c>
      <c r="Q116" s="17">
        <f t="shared" si="37"/>
        <v>0</v>
      </c>
      <c r="R116" s="17">
        <f t="shared" si="38"/>
        <v>0</v>
      </c>
      <c r="S116" s="17">
        <f t="shared" si="39"/>
        <v>0</v>
      </c>
      <c r="T116" s="17">
        <f>IFERROR((K116+M116+MATRIZ_174!O115)/3,0)</f>
        <v>0</v>
      </c>
      <c r="U116" s="18">
        <f>IFERROR(MATRIZ_174!AP115*50,0)</f>
        <v>0</v>
      </c>
      <c r="V116" s="18">
        <f t="shared" si="40"/>
        <v>50</v>
      </c>
      <c r="W116" s="18">
        <f>IF(MATRIZ_174!R115&gt;0,65,35)</f>
        <v>35</v>
      </c>
      <c r="X116" s="18">
        <f>IF(MATRIZ_174!O115=0,70,30)</f>
        <v>70</v>
      </c>
      <c r="Y116" s="18">
        <f>IF(OR(MATRIZ_174!P115="ASOCIACION",MATRIZ_174!P115="PENDIENTE"),65,40)</f>
        <v>65</v>
      </c>
      <c r="Z116" s="19">
        <f t="shared" si="41"/>
        <v>0</v>
      </c>
      <c r="AA116" s="20">
        <f t="shared" si="42"/>
        <v>44</v>
      </c>
      <c r="AB116" s="21">
        <f t="shared" si="43"/>
        <v>44</v>
      </c>
      <c r="AC116" s="13" t="str">
        <f t="shared" si="44"/>
        <v>⬜  Riesgo Latente</v>
      </c>
      <c r="AD116" s="13" t="str">
        <f t="shared" si="45"/>
        <v>🚫  Inh. vigente OSCE</v>
      </c>
      <c r="AE116" s="22">
        <f>IFERROR(MATRIZ_174!W115,0)</f>
        <v>0</v>
      </c>
      <c r="AF116" s="22">
        <f>IFERROR(MATRIZ_174!X115,0)</f>
        <v>0</v>
      </c>
      <c r="AG116" s="22">
        <f>IFERROR(MATRIZ_174!Y115,0)</f>
        <v>0</v>
      </c>
      <c r="AH116" s="22">
        <f>IFERROR(MATRIZ_174!Z115,0)</f>
        <v>0</v>
      </c>
      <c r="AI116" s="17">
        <f>IFERROR(MATRIZ_174!AP115,"N/A")</f>
        <v>0</v>
      </c>
      <c r="AJ116" s="17">
        <f>IFERROR(MATRIZ_174!AO115,"N/A")</f>
        <v>0</v>
      </c>
      <c r="AK116" s="23">
        <f t="shared" si="46"/>
        <v>0</v>
      </c>
      <c r="AL116" s="24">
        <f t="shared" si="47"/>
        <v>0</v>
      </c>
    </row>
    <row r="117" spans="1:38" ht="16.05" customHeight="1" x14ac:dyDescent="0.3">
      <c r="A117" s="13" t="s">
        <v>304</v>
      </c>
      <c r="B117" s="14" t="s">
        <v>305</v>
      </c>
      <c r="C117" s="13" t="s">
        <v>230</v>
      </c>
      <c r="D117" s="15">
        <v>0</v>
      </c>
      <c r="E117" s="16">
        <v>0</v>
      </c>
      <c r="F117" s="17">
        <f>IFERROR(SCORECARDS!H116,"")</f>
        <v>0</v>
      </c>
      <c r="G117" s="17">
        <f>IFERROR(MATRIZ_174!U116,0)</f>
        <v>0</v>
      </c>
      <c r="H117" s="16">
        <v>0</v>
      </c>
      <c r="I117" s="17">
        <f>IFERROR(SCORECARDS!I116,"")</f>
        <v>0</v>
      </c>
      <c r="J117" s="17">
        <f>IFERROR(SCORECARDS!J116,"")</f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7">
        <f t="shared" si="36"/>
        <v>0</v>
      </c>
      <c r="Q117" s="17">
        <f t="shared" si="37"/>
        <v>0</v>
      </c>
      <c r="R117" s="17">
        <f t="shared" si="38"/>
        <v>0</v>
      </c>
      <c r="S117" s="17">
        <f t="shared" si="39"/>
        <v>0</v>
      </c>
      <c r="T117" s="17">
        <f>IFERROR((K117+M117+MATRIZ_174!O116)/3,0)</f>
        <v>0</v>
      </c>
      <c r="U117" s="18">
        <f>IFERROR(MATRIZ_174!AP116*50,0)</f>
        <v>0</v>
      </c>
      <c r="V117" s="18">
        <f t="shared" si="40"/>
        <v>50</v>
      </c>
      <c r="W117" s="18">
        <f>IF(MATRIZ_174!R116&gt;0,65,35)</f>
        <v>35</v>
      </c>
      <c r="X117" s="18">
        <f>IF(MATRIZ_174!O116=0,70,30)</f>
        <v>70</v>
      </c>
      <c r="Y117" s="18">
        <f>IF(OR(MATRIZ_174!P116="ASOCIACION",MATRIZ_174!P116="PENDIENTE"),65,40)</f>
        <v>65</v>
      </c>
      <c r="Z117" s="19">
        <f t="shared" si="41"/>
        <v>0</v>
      </c>
      <c r="AA117" s="20">
        <f t="shared" si="42"/>
        <v>44</v>
      </c>
      <c r="AB117" s="21">
        <f t="shared" si="43"/>
        <v>44</v>
      </c>
      <c r="AC117" s="13" t="str">
        <f t="shared" si="44"/>
        <v>⬜  Riesgo Latente</v>
      </c>
      <c r="AD117" s="13" t="str">
        <f t="shared" si="45"/>
        <v>🚫  Inh. vigente OSCE</v>
      </c>
      <c r="AE117" s="22">
        <f>IFERROR(MATRIZ_174!W116,0)</f>
        <v>0</v>
      </c>
      <c r="AF117" s="22">
        <f>IFERROR(MATRIZ_174!X116,0)</f>
        <v>0</v>
      </c>
      <c r="AG117" s="22">
        <f>IFERROR(MATRIZ_174!Y116,0)</f>
        <v>0</v>
      </c>
      <c r="AH117" s="22">
        <f>IFERROR(MATRIZ_174!Z116,0)</f>
        <v>0</v>
      </c>
      <c r="AI117" s="17">
        <f>IFERROR(MATRIZ_174!AP116,"N/A")</f>
        <v>0</v>
      </c>
      <c r="AJ117" s="17">
        <f>IFERROR(MATRIZ_174!AO116,"N/A")</f>
        <v>0</v>
      </c>
      <c r="AK117" s="23">
        <f t="shared" si="46"/>
        <v>0</v>
      </c>
      <c r="AL117" s="24">
        <f t="shared" si="47"/>
        <v>0</v>
      </c>
    </row>
    <row r="118" spans="1:38" ht="16.05" customHeight="1" x14ac:dyDescent="0.3">
      <c r="A118" s="13" t="s">
        <v>306</v>
      </c>
      <c r="B118" s="14" t="s">
        <v>307</v>
      </c>
      <c r="C118" s="13" t="s">
        <v>169</v>
      </c>
      <c r="D118" s="15">
        <v>0</v>
      </c>
      <c r="E118" s="16">
        <v>0</v>
      </c>
      <c r="F118" s="17">
        <f>IFERROR(SCORECARDS!H117,"")</f>
        <v>0</v>
      </c>
      <c r="G118" s="17">
        <f>IFERROR(MATRIZ_174!U117,0)</f>
        <v>0</v>
      </c>
      <c r="H118" s="16">
        <v>0</v>
      </c>
      <c r="I118" s="17">
        <f>IFERROR(SCORECARDS!I117,"")</f>
        <v>0</v>
      </c>
      <c r="J118" s="17">
        <f>IFERROR(SCORECARDS!J117,"")</f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7">
        <f t="shared" si="36"/>
        <v>0</v>
      </c>
      <c r="Q118" s="17">
        <f t="shared" si="37"/>
        <v>0</v>
      </c>
      <c r="R118" s="17">
        <f t="shared" si="38"/>
        <v>0</v>
      </c>
      <c r="S118" s="17">
        <f t="shared" si="39"/>
        <v>0</v>
      </c>
      <c r="T118" s="17">
        <f>IFERROR((K118+M118+MATRIZ_174!O117)/3,0)</f>
        <v>0</v>
      </c>
      <c r="U118" s="18">
        <f>IFERROR(MATRIZ_174!AP117*50,0)</f>
        <v>0</v>
      </c>
      <c r="V118" s="18">
        <f t="shared" si="40"/>
        <v>50</v>
      </c>
      <c r="W118" s="18">
        <f>IF(MATRIZ_174!R117&gt;0,65,35)</f>
        <v>35</v>
      </c>
      <c r="X118" s="18">
        <f>IF(MATRIZ_174!O117=0,70,30)</f>
        <v>70</v>
      </c>
      <c r="Y118" s="18">
        <f>IF(OR(MATRIZ_174!P117="ASOCIACION",MATRIZ_174!P117="PENDIENTE"),65,40)</f>
        <v>65</v>
      </c>
      <c r="Z118" s="19">
        <f t="shared" si="41"/>
        <v>0</v>
      </c>
      <c r="AA118" s="20">
        <f t="shared" si="42"/>
        <v>44</v>
      </c>
      <c r="AB118" s="21">
        <f t="shared" si="43"/>
        <v>44</v>
      </c>
      <c r="AC118" s="13" t="str">
        <f t="shared" si="44"/>
        <v>⬜  Riesgo Latente</v>
      </c>
      <c r="AD118" s="13" t="str">
        <f t="shared" si="45"/>
        <v>🚫  Inh. vigente OSCE</v>
      </c>
      <c r="AE118" s="22">
        <f>IFERROR(MATRIZ_174!W117,0)</f>
        <v>0</v>
      </c>
      <c r="AF118" s="22">
        <f>IFERROR(MATRIZ_174!X117,0)</f>
        <v>0</v>
      </c>
      <c r="AG118" s="22">
        <f>IFERROR(MATRIZ_174!Y117,0)</f>
        <v>0</v>
      </c>
      <c r="AH118" s="22">
        <f>IFERROR(MATRIZ_174!Z117,0)</f>
        <v>0</v>
      </c>
      <c r="AI118" s="17">
        <f>IFERROR(MATRIZ_174!AP117,"N/A")</f>
        <v>0</v>
      </c>
      <c r="AJ118" s="17">
        <f>IFERROR(MATRIZ_174!AO117,"N/A")</f>
        <v>0</v>
      </c>
      <c r="AK118" s="23">
        <f t="shared" si="46"/>
        <v>0</v>
      </c>
      <c r="AL118" s="24">
        <f t="shared" si="47"/>
        <v>0</v>
      </c>
    </row>
    <row r="119" spans="1:38" ht="16.05" customHeight="1" x14ac:dyDescent="0.3">
      <c r="A119" s="13" t="s">
        <v>308</v>
      </c>
      <c r="B119" s="14" t="s">
        <v>309</v>
      </c>
      <c r="C119" s="13" t="s">
        <v>100</v>
      </c>
      <c r="D119" s="15">
        <v>0</v>
      </c>
      <c r="E119" s="16">
        <v>0</v>
      </c>
      <c r="F119" s="17">
        <f>IFERROR(SCORECARDS!H118,"")</f>
        <v>0</v>
      </c>
      <c r="G119" s="17">
        <f>IFERROR(MATRIZ_174!U118,0)</f>
        <v>0</v>
      </c>
      <c r="H119" s="16">
        <v>0</v>
      </c>
      <c r="I119" s="17">
        <f>IFERROR(SCORECARDS!I118,"")</f>
        <v>0</v>
      </c>
      <c r="J119" s="17">
        <f>IFERROR(SCORECARDS!J118,"")</f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7">
        <f t="shared" si="36"/>
        <v>0</v>
      </c>
      <c r="Q119" s="17">
        <f t="shared" si="37"/>
        <v>0</v>
      </c>
      <c r="R119" s="17">
        <f t="shared" si="38"/>
        <v>0</v>
      </c>
      <c r="S119" s="17">
        <f t="shared" si="39"/>
        <v>0</v>
      </c>
      <c r="T119" s="17">
        <f>IFERROR((K119+M119+MATRIZ_174!O118)/3,0)</f>
        <v>0</v>
      </c>
      <c r="U119" s="18">
        <f>IFERROR(MATRIZ_174!AP118*50,0)</f>
        <v>0</v>
      </c>
      <c r="V119" s="18">
        <f t="shared" si="40"/>
        <v>50</v>
      </c>
      <c r="W119" s="18">
        <f>IF(MATRIZ_174!R118&gt;0,65,35)</f>
        <v>35</v>
      </c>
      <c r="X119" s="18">
        <f>IF(MATRIZ_174!O118=0,70,30)</f>
        <v>70</v>
      </c>
      <c r="Y119" s="18">
        <f>IF(OR(MATRIZ_174!P118="ASOCIACION",MATRIZ_174!P118="PENDIENTE"),65,40)</f>
        <v>65</v>
      </c>
      <c r="Z119" s="19">
        <f t="shared" si="41"/>
        <v>0</v>
      </c>
      <c r="AA119" s="20">
        <f t="shared" si="42"/>
        <v>44</v>
      </c>
      <c r="AB119" s="21">
        <f t="shared" si="43"/>
        <v>44</v>
      </c>
      <c r="AC119" s="13" t="str">
        <f t="shared" si="44"/>
        <v>⬜  Riesgo Latente</v>
      </c>
      <c r="AD119" s="13" t="str">
        <f t="shared" si="45"/>
        <v>🚫  Inh. vigente OSCE</v>
      </c>
      <c r="AE119" s="22">
        <f>IFERROR(MATRIZ_174!W118,0)</f>
        <v>0</v>
      </c>
      <c r="AF119" s="22">
        <f>IFERROR(MATRIZ_174!X118,0)</f>
        <v>0</v>
      </c>
      <c r="AG119" s="22">
        <f>IFERROR(MATRIZ_174!Y118,0)</f>
        <v>0</v>
      </c>
      <c r="AH119" s="22">
        <f>IFERROR(MATRIZ_174!Z118,0)</f>
        <v>0</v>
      </c>
      <c r="AI119" s="17">
        <f>IFERROR(MATRIZ_174!AP118,"N/A")</f>
        <v>0</v>
      </c>
      <c r="AJ119" s="17">
        <f>IFERROR(MATRIZ_174!AO118,"N/A")</f>
        <v>0</v>
      </c>
      <c r="AK119" s="23">
        <f t="shared" si="46"/>
        <v>0</v>
      </c>
      <c r="AL119" s="24">
        <f t="shared" si="47"/>
        <v>0</v>
      </c>
    </row>
    <row r="120" spans="1:38" ht="16.05" customHeight="1" x14ac:dyDescent="0.3">
      <c r="A120" s="13" t="s">
        <v>310</v>
      </c>
      <c r="B120" s="14" t="s">
        <v>311</v>
      </c>
      <c r="C120" s="13" t="s">
        <v>100</v>
      </c>
      <c r="D120" s="15">
        <v>0</v>
      </c>
      <c r="E120" s="16">
        <v>0</v>
      </c>
      <c r="F120" s="17">
        <f>IFERROR(SCORECARDS!H119,"")</f>
        <v>0</v>
      </c>
      <c r="G120" s="17">
        <f>IFERROR(MATRIZ_174!U119,0)</f>
        <v>0</v>
      </c>
      <c r="H120" s="16">
        <v>0</v>
      </c>
      <c r="I120" s="17">
        <f>IFERROR(SCORECARDS!I119,"")</f>
        <v>0</v>
      </c>
      <c r="J120" s="17">
        <f>IFERROR(SCORECARDS!J119,"")</f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7">
        <f t="shared" si="36"/>
        <v>0</v>
      </c>
      <c r="Q120" s="17">
        <f t="shared" si="37"/>
        <v>0</v>
      </c>
      <c r="R120" s="17">
        <f t="shared" si="38"/>
        <v>0</v>
      </c>
      <c r="S120" s="17">
        <f t="shared" si="39"/>
        <v>0</v>
      </c>
      <c r="T120" s="17">
        <f>IFERROR((K120+M120+MATRIZ_174!O119)/3,0)</f>
        <v>0</v>
      </c>
      <c r="U120" s="18">
        <f>IFERROR(MATRIZ_174!AP119*50,0)</f>
        <v>0</v>
      </c>
      <c r="V120" s="18">
        <f t="shared" si="40"/>
        <v>50</v>
      </c>
      <c r="W120" s="18">
        <f>IF(MATRIZ_174!R119&gt;0,65,35)</f>
        <v>35</v>
      </c>
      <c r="X120" s="18">
        <f>IF(MATRIZ_174!O119=0,70,30)</f>
        <v>70</v>
      </c>
      <c r="Y120" s="18">
        <f>IF(OR(MATRIZ_174!P119="ASOCIACION",MATRIZ_174!P119="PENDIENTE"),65,40)</f>
        <v>65</v>
      </c>
      <c r="Z120" s="19">
        <f t="shared" si="41"/>
        <v>0</v>
      </c>
      <c r="AA120" s="20">
        <f t="shared" si="42"/>
        <v>44</v>
      </c>
      <c r="AB120" s="21">
        <f t="shared" si="43"/>
        <v>44</v>
      </c>
      <c r="AC120" s="13" t="str">
        <f t="shared" si="44"/>
        <v>⬜  Riesgo Latente</v>
      </c>
      <c r="AD120" s="13" t="str">
        <f t="shared" si="45"/>
        <v>🚫  Inh. vigente OSCE</v>
      </c>
      <c r="AE120" s="22">
        <f>IFERROR(MATRIZ_174!W119,0)</f>
        <v>0</v>
      </c>
      <c r="AF120" s="22">
        <f>IFERROR(MATRIZ_174!X119,0)</f>
        <v>0</v>
      </c>
      <c r="AG120" s="22">
        <f>IFERROR(MATRIZ_174!Y119,0)</f>
        <v>0</v>
      </c>
      <c r="AH120" s="22">
        <f>IFERROR(MATRIZ_174!Z119,0)</f>
        <v>0</v>
      </c>
      <c r="AI120" s="17">
        <f>IFERROR(MATRIZ_174!AP119,"N/A")</f>
        <v>0</v>
      </c>
      <c r="AJ120" s="17">
        <f>IFERROR(MATRIZ_174!AO119,"N/A")</f>
        <v>0</v>
      </c>
      <c r="AK120" s="23">
        <f t="shared" si="46"/>
        <v>0</v>
      </c>
      <c r="AL120" s="24">
        <f t="shared" si="47"/>
        <v>0</v>
      </c>
    </row>
    <row r="121" spans="1:38" ht="16.05" customHeight="1" x14ac:dyDescent="0.3">
      <c r="A121" s="13" t="s">
        <v>312</v>
      </c>
      <c r="B121" s="14" t="s">
        <v>313</v>
      </c>
      <c r="C121" s="13" t="s">
        <v>140</v>
      </c>
      <c r="D121" s="15">
        <v>0</v>
      </c>
      <c r="E121" s="16">
        <v>0</v>
      </c>
      <c r="F121" s="17">
        <f>IFERROR(SCORECARDS!H120,"")</f>
        <v>0</v>
      </c>
      <c r="G121" s="17">
        <f>IFERROR(MATRIZ_174!U120,0)</f>
        <v>0</v>
      </c>
      <c r="H121" s="16">
        <v>0</v>
      </c>
      <c r="I121" s="17">
        <f>IFERROR(SCORECARDS!I120,"")</f>
        <v>0</v>
      </c>
      <c r="J121" s="17">
        <f>IFERROR(SCORECARDS!J120,"")</f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7">
        <f t="shared" si="36"/>
        <v>0</v>
      </c>
      <c r="Q121" s="17">
        <f t="shared" si="37"/>
        <v>0</v>
      </c>
      <c r="R121" s="17">
        <f t="shared" si="38"/>
        <v>0</v>
      </c>
      <c r="S121" s="17">
        <f t="shared" si="39"/>
        <v>0</v>
      </c>
      <c r="T121" s="17">
        <f>IFERROR((K121+M121+MATRIZ_174!O120)/3,0)</f>
        <v>0</v>
      </c>
      <c r="U121" s="18">
        <f>IFERROR(MATRIZ_174!AP120*50,0)</f>
        <v>0</v>
      </c>
      <c r="V121" s="18">
        <f t="shared" si="40"/>
        <v>50</v>
      </c>
      <c r="W121" s="18">
        <f>IF(MATRIZ_174!R120&gt;0,65,35)</f>
        <v>35</v>
      </c>
      <c r="X121" s="18">
        <f>IF(MATRIZ_174!O120=0,70,30)</f>
        <v>70</v>
      </c>
      <c r="Y121" s="18">
        <f>IF(OR(MATRIZ_174!P120="ASOCIACION",MATRIZ_174!P120="PENDIENTE"),65,40)</f>
        <v>65</v>
      </c>
      <c r="Z121" s="19">
        <f t="shared" si="41"/>
        <v>0</v>
      </c>
      <c r="AA121" s="20">
        <f t="shared" si="42"/>
        <v>44</v>
      </c>
      <c r="AB121" s="21">
        <f t="shared" si="43"/>
        <v>44</v>
      </c>
      <c r="AC121" s="13" t="str">
        <f t="shared" si="44"/>
        <v>⬜  Riesgo Latente</v>
      </c>
      <c r="AD121" s="13" t="str">
        <f t="shared" si="45"/>
        <v>🚫  Inh. vigente OSCE</v>
      </c>
      <c r="AE121" s="22">
        <f>IFERROR(MATRIZ_174!W120,0)</f>
        <v>0</v>
      </c>
      <c r="AF121" s="22">
        <f>IFERROR(MATRIZ_174!X120,0)</f>
        <v>0</v>
      </c>
      <c r="AG121" s="22">
        <f>IFERROR(MATRIZ_174!Y120,0)</f>
        <v>0</v>
      </c>
      <c r="AH121" s="22">
        <f>IFERROR(MATRIZ_174!Z120,0)</f>
        <v>0</v>
      </c>
      <c r="AI121" s="17">
        <f>IFERROR(MATRIZ_174!AP120,"N/A")</f>
        <v>0</v>
      </c>
      <c r="AJ121" s="17">
        <f>IFERROR(MATRIZ_174!AO120,"N/A")</f>
        <v>0</v>
      </c>
      <c r="AK121" s="23">
        <f t="shared" si="46"/>
        <v>0</v>
      </c>
      <c r="AL121" s="24">
        <f t="shared" si="47"/>
        <v>0</v>
      </c>
    </row>
    <row r="122" spans="1:38" ht="16.05" customHeight="1" x14ac:dyDescent="0.3">
      <c r="A122" s="13" t="s">
        <v>314</v>
      </c>
      <c r="B122" s="14" t="s">
        <v>315</v>
      </c>
      <c r="C122" s="13" t="s">
        <v>237</v>
      </c>
      <c r="D122" s="15">
        <v>0</v>
      </c>
      <c r="E122" s="16">
        <v>0</v>
      </c>
      <c r="F122" s="17">
        <f>IFERROR(SCORECARDS!H121,"")</f>
        <v>0</v>
      </c>
      <c r="G122" s="17">
        <f>IFERROR(MATRIZ_174!U121,0)</f>
        <v>0</v>
      </c>
      <c r="H122" s="16">
        <v>0</v>
      </c>
      <c r="I122" s="17">
        <f>IFERROR(SCORECARDS!I121,"")</f>
        <v>0</v>
      </c>
      <c r="J122" s="17">
        <f>IFERROR(SCORECARDS!J121,"")</f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7">
        <f t="shared" si="36"/>
        <v>0</v>
      </c>
      <c r="Q122" s="17">
        <f t="shared" si="37"/>
        <v>0</v>
      </c>
      <c r="R122" s="17">
        <f t="shared" si="38"/>
        <v>0</v>
      </c>
      <c r="S122" s="17">
        <f t="shared" si="39"/>
        <v>0</v>
      </c>
      <c r="T122" s="17">
        <f>IFERROR((K122+M122+MATRIZ_174!O121)/3,0)</f>
        <v>0</v>
      </c>
      <c r="U122" s="18">
        <f>IFERROR(MATRIZ_174!AP121*50,0)</f>
        <v>0</v>
      </c>
      <c r="V122" s="18">
        <f t="shared" si="40"/>
        <v>50</v>
      </c>
      <c r="W122" s="18">
        <f>IF(MATRIZ_174!R121&gt;0,65,35)</f>
        <v>35</v>
      </c>
      <c r="X122" s="18">
        <f>IF(MATRIZ_174!O121=0,70,30)</f>
        <v>70</v>
      </c>
      <c r="Y122" s="18">
        <f>IF(OR(MATRIZ_174!P121="ASOCIACION",MATRIZ_174!P121="PENDIENTE"),65,40)</f>
        <v>65</v>
      </c>
      <c r="Z122" s="19">
        <f t="shared" si="41"/>
        <v>0</v>
      </c>
      <c r="AA122" s="20">
        <f t="shared" si="42"/>
        <v>44</v>
      </c>
      <c r="AB122" s="21">
        <f t="shared" si="43"/>
        <v>44</v>
      </c>
      <c r="AC122" s="13" t="str">
        <f t="shared" si="44"/>
        <v>⬜  Riesgo Latente</v>
      </c>
      <c r="AD122" s="13" t="str">
        <f t="shared" si="45"/>
        <v>🚫  Inh. vigente OSCE</v>
      </c>
      <c r="AE122" s="22">
        <f>IFERROR(MATRIZ_174!W121,0)</f>
        <v>0</v>
      </c>
      <c r="AF122" s="22">
        <f>IFERROR(MATRIZ_174!X121,0)</f>
        <v>0</v>
      </c>
      <c r="AG122" s="22">
        <f>IFERROR(MATRIZ_174!Y121,0)</f>
        <v>0</v>
      </c>
      <c r="AH122" s="22">
        <f>IFERROR(MATRIZ_174!Z121,0)</f>
        <v>0</v>
      </c>
      <c r="AI122" s="17">
        <f>IFERROR(MATRIZ_174!AP121,"N/A")</f>
        <v>0</v>
      </c>
      <c r="AJ122" s="17">
        <f>IFERROR(MATRIZ_174!AO121,"N/A")</f>
        <v>0</v>
      </c>
      <c r="AK122" s="23">
        <f t="shared" si="46"/>
        <v>0</v>
      </c>
      <c r="AL122" s="24">
        <f t="shared" si="47"/>
        <v>0</v>
      </c>
    </row>
    <row r="123" spans="1:38" ht="16.05" customHeight="1" x14ac:dyDescent="0.3">
      <c r="A123" s="13" t="s">
        <v>316</v>
      </c>
      <c r="B123" s="14" t="s">
        <v>317</v>
      </c>
      <c r="C123" s="13" t="s">
        <v>110</v>
      </c>
      <c r="D123" s="15">
        <v>0</v>
      </c>
      <c r="E123" s="16">
        <v>0</v>
      </c>
      <c r="F123" s="17">
        <f>IFERROR(SCORECARDS!H122,"")</f>
        <v>0</v>
      </c>
      <c r="G123" s="17">
        <f>IFERROR(MATRIZ_174!U122,0)</f>
        <v>0</v>
      </c>
      <c r="H123" s="16">
        <v>0</v>
      </c>
      <c r="I123" s="17">
        <f>IFERROR(SCORECARDS!I122,"")</f>
        <v>0</v>
      </c>
      <c r="J123" s="17">
        <f>IFERROR(SCORECARDS!J122,"")</f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7">
        <f t="shared" si="36"/>
        <v>0</v>
      </c>
      <c r="Q123" s="17">
        <f t="shared" si="37"/>
        <v>0</v>
      </c>
      <c r="R123" s="17">
        <f t="shared" si="38"/>
        <v>0</v>
      </c>
      <c r="S123" s="17">
        <f t="shared" si="39"/>
        <v>0</v>
      </c>
      <c r="T123" s="17">
        <f>IFERROR((K123+M123+MATRIZ_174!O122)/3,0)</f>
        <v>0</v>
      </c>
      <c r="U123" s="18">
        <f>IFERROR(MATRIZ_174!AP122*50,0)</f>
        <v>0</v>
      </c>
      <c r="V123" s="18">
        <f t="shared" si="40"/>
        <v>50</v>
      </c>
      <c r="W123" s="18">
        <f>IF(MATRIZ_174!R122&gt;0,65,35)</f>
        <v>35</v>
      </c>
      <c r="X123" s="18">
        <f>IF(MATRIZ_174!O122=0,70,30)</f>
        <v>70</v>
      </c>
      <c r="Y123" s="18">
        <f>IF(OR(MATRIZ_174!P122="ASOCIACION",MATRIZ_174!P122="PENDIENTE"),65,40)</f>
        <v>65</v>
      </c>
      <c r="Z123" s="19">
        <f t="shared" si="41"/>
        <v>0</v>
      </c>
      <c r="AA123" s="20">
        <f t="shared" si="42"/>
        <v>44</v>
      </c>
      <c r="AB123" s="21">
        <f t="shared" si="43"/>
        <v>44</v>
      </c>
      <c r="AC123" s="13" t="str">
        <f t="shared" si="44"/>
        <v>⬜  Riesgo Latente</v>
      </c>
      <c r="AD123" s="13" t="str">
        <f t="shared" si="45"/>
        <v>🚫  Inh. vigente OSCE</v>
      </c>
      <c r="AE123" s="22">
        <f>IFERROR(MATRIZ_174!W122,0)</f>
        <v>0</v>
      </c>
      <c r="AF123" s="22">
        <f>IFERROR(MATRIZ_174!X122,0)</f>
        <v>0</v>
      </c>
      <c r="AG123" s="22">
        <f>IFERROR(MATRIZ_174!Y122,0)</f>
        <v>0</v>
      </c>
      <c r="AH123" s="22">
        <f>IFERROR(MATRIZ_174!Z122,0)</f>
        <v>0</v>
      </c>
      <c r="AI123" s="17">
        <f>IFERROR(MATRIZ_174!AP122,"N/A")</f>
        <v>0</v>
      </c>
      <c r="AJ123" s="17">
        <f>IFERROR(MATRIZ_174!AO122,"N/A")</f>
        <v>0</v>
      </c>
      <c r="AK123" s="23">
        <f t="shared" si="46"/>
        <v>0</v>
      </c>
      <c r="AL123" s="24">
        <f t="shared" si="47"/>
        <v>0</v>
      </c>
    </row>
    <row r="124" spans="1:38" ht="16.05" customHeight="1" x14ac:dyDescent="0.3">
      <c r="A124" s="13" t="s">
        <v>318</v>
      </c>
      <c r="B124" s="14" t="s">
        <v>319</v>
      </c>
      <c r="C124" s="13" t="s">
        <v>71</v>
      </c>
      <c r="D124" s="15">
        <v>0</v>
      </c>
      <c r="E124" s="16">
        <v>0</v>
      </c>
      <c r="F124" s="17">
        <f>IFERROR(SCORECARDS!H123,"")</f>
        <v>0</v>
      </c>
      <c r="G124" s="17">
        <f>IFERROR(MATRIZ_174!U123,0)</f>
        <v>0</v>
      </c>
      <c r="H124" s="16">
        <v>0</v>
      </c>
      <c r="I124" s="17">
        <f>IFERROR(SCORECARDS!I123,"")</f>
        <v>0</v>
      </c>
      <c r="J124" s="17">
        <f>IFERROR(SCORECARDS!J123,"")</f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7">
        <f t="shared" si="36"/>
        <v>0</v>
      </c>
      <c r="Q124" s="17">
        <f t="shared" si="37"/>
        <v>0</v>
      </c>
      <c r="R124" s="17">
        <f t="shared" si="38"/>
        <v>0</v>
      </c>
      <c r="S124" s="17">
        <f t="shared" si="39"/>
        <v>0</v>
      </c>
      <c r="T124" s="17">
        <f>IFERROR((K124+M124+MATRIZ_174!O123)/3,0)</f>
        <v>0</v>
      </c>
      <c r="U124" s="18">
        <f>IFERROR(MATRIZ_174!AP123*50,0)</f>
        <v>0</v>
      </c>
      <c r="V124" s="18">
        <f t="shared" si="40"/>
        <v>50</v>
      </c>
      <c r="W124" s="18">
        <f>IF(MATRIZ_174!R123&gt;0,65,35)</f>
        <v>35</v>
      </c>
      <c r="X124" s="18">
        <f>IF(MATRIZ_174!O123=0,70,30)</f>
        <v>70</v>
      </c>
      <c r="Y124" s="18">
        <f>IF(OR(MATRIZ_174!P123="ASOCIACION",MATRIZ_174!P123="PENDIENTE"),65,40)</f>
        <v>65</v>
      </c>
      <c r="Z124" s="19">
        <f t="shared" si="41"/>
        <v>0</v>
      </c>
      <c r="AA124" s="20">
        <f t="shared" si="42"/>
        <v>44</v>
      </c>
      <c r="AB124" s="21">
        <f t="shared" si="43"/>
        <v>44</v>
      </c>
      <c r="AC124" s="13" t="str">
        <f t="shared" si="44"/>
        <v>⬜  Riesgo Latente</v>
      </c>
      <c r="AD124" s="13" t="str">
        <f t="shared" si="45"/>
        <v>🚫  Inh. vigente OSCE</v>
      </c>
      <c r="AE124" s="22">
        <f>IFERROR(MATRIZ_174!W123,0)</f>
        <v>0</v>
      </c>
      <c r="AF124" s="22">
        <f>IFERROR(MATRIZ_174!X123,0)</f>
        <v>0</v>
      </c>
      <c r="AG124" s="22">
        <f>IFERROR(MATRIZ_174!Y123,0)</f>
        <v>0</v>
      </c>
      <c r="AH124" s="22">
        <f>IFERROR(MATRIZ_174!Z123,0)</f>
        <v>0</v>
      </c>
      <c r="AI124" s="17">
        <f>IFERROR(MATRIZ_174!AP123,"N/A")</f>
        <v>0</v>
      </c>
      <c r="AJ124" s="17">
        <f>IFERROR(MATRIZ_174!AO123,"N/A")</f>
        <v>0</v>
      </c>
      <c r="AK124" s="23">
        <f t="shared" si="46"/>
        <v>0</v>
      </c>
      <c r="AL124" s="24">
        <f t="shared" si="47"/>
        <v>0</v>
      </c>
    </row>
    <row r="125" spans="1:38" ht="16.05" customHeight="1" x14ac:dyDescent="0.3">
      <c r="A125" s="13" t="s">
        <v>320</v>
      </c>
      <c r="B125" s="14" t="s">
        <v>321</v>
      </c>
      <c r="C125" s="13" t="s">
        <v>103</v>
      </c>
      <c r="D125" s="15">
        <v>0</v>
      </c>
      <c r="E125" s="16">
        <v>0</v>
      </c>
      <c r="F125" s="17">
        <f>IFERROR(SCORECARDS!H124,"")</f>
        <v>0</v>
      </c>
      <c r="G125" s="17">
        <f>IFERROR(MATRIZ_174!U124,0)</f>
        <v>0</v>
      </c>
      <c r="H125" s="16">
        <v>0</v>
      </c>
      <c r="I125" s="17">
        <f>IFERROR(SCORECARDS!I124,"")</f>
        <v>0</v>
      </c>
      <c r="J125" s="17">
        <f>IFERROR(SCORECARDS!J124,"")</f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7">
        <f t="shared" si="36"/>
        <v>0</v>
      </c>
      <c r="Q125" s="17">
        <f t="shared" si="37"/>
        <v>0</v>
      </c>
      <c r="R125" s="17">
        <f t="shared" si="38"/>
        <v>0</v>
      </c>
      <c r="S125" s="17">
        <f t="shared" si="39"/>
        <v>0</v>
      </c>
      <c r="T125" s="17">
        <f>IFERROR((K125+M125+MATRIZ_174!O124)/3,0)</f>
        <v>0</v>
      </c>
      <c r="U125" s="18">
        <f>IFERROR(MATRIZ_174!AP124*50,0)</f>
        <v>6.25</v>
      </c>
      <c r="V125" s="18">
        <f t="shared" si="40"/>
        <v>50</v>
      </c>
      <c r="W125" s="18">
        <f>IF(MATRIZ_174!R124&gt;0,65,35)</f>
        <v>65</v>
      </c>
      <c r="X125" s="18">
        <f>IF(MATRIZ_174!O124=0,70,30)</f>
        <v>70</v>
      </c>
      <c r="Y125" s="18">
        <f>IF(OR(MATRIZ_174!P124="ASOCIACION",MATRIZ_174!P124="PENDIENTE"),65,40)</f>
        <v>65</v>
      </c>
      <c r="Z125" s="19">
        <f t="shared" si="41"/>
        <v>0</v>
      </c>
      <c r="AA125" s="20">
        <f t="shared" si="42"/>
        <v>51.3</v>
      </c>
      <c r="AB125" s="21">
        <f t="shared" si="43"/>
        <v>51.3</v>
      </c>
      <c r="AC125" s="13" t="str">
        <f t="shared" si="44"/>
        <v>🔴  Riesgo Crítico</v>
      </c>
      <c r="AD125" s="13" t="str">
        <f t="shared" si="45"/>
        <v>🚫  Inh. vigente OSCE</v>
      </c>
      <c r="AE125" s="22">
        <f>IFERROR(MATRIZ_174!W124,0)</f>
        <v>1</v>
      </c>
      <c r="AF125" s="22">
        <f>IFERROR(MATRIZ_174!X124,0)</f>
        <v>0</v>
      </c>
      <c r="AG125" s="22">
        <f>IFERROR(MATRIZ_174!Y124,0)</f>
        <v>0</v>
      </c>
      <c r="AH125" s="22">
        <f>IFERROR(MATRIZ_174!Z124,0)</f>
        <v>0</v>
      </c>
      <c r="AI125" s="17">
        <f>IFERROR(MATRIZ_174!AP124,"N/A")</f>
        <v>0.125</v>
      </c>
      <c r="AJ125" s="17">
        <f>IFERROR(MATRIZ_174!AO124,"N/A")</f>
        <v>0</v>
      </c>
      <c r="AK125" s="23">
        <f t="shared" si="46"/>
        <v>0</v>
      </c>
      <c r="AL125" s="24">
        <f t="shared" si="47"/>
        <v>0</v>
      </c>
    </row>
    <row r="126" spans="1:38" ht="16.05" customHeight="1" x14ac:dyDescent="0.3">
      <c r="A126" s="13" t="s">
        <v>322</v>
      </c>
      <c r="B126" s="14" t="s">
        <v>323</v>
      </c>
      <c r="C126" s="13" t="s">
        <v>71</v>
      </c>
      <c r="D126" s="15">
        <v>0</v>
      </c>
      <c r="E126" s="16">
        <v>0</v>
      </c>
      <c r="F126" s="17">
        <f>IFERROR(SCORECARDS!H125,"")</f>
        <v>0</v>
      </c>
      <c r="G126" s="17">
        <f>IFERROR(MATRIZ_174!U125,0)</f>
        <v>0</v>
      </c>
      <c r="H126" s="16">
        <v>0</v>
      </c>
      <c r="I126" s="17">
        <f>IFERROR(SCORECARDS!I125,"")</f>
        <v>0</v>
      </c>
      <c r="J126" s="17">
        <f>IFERROR(SCORECARDS!J125,"")</f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7">
        <f t="shared" si="36"/>
        <v>0</v>
      </c>
      <c r="Q126" s="17">
        <f t="shared" si="37"/>
        <v>0</v>
      </c>
      <c r="R126" s="17">
        <f t="shared" si="38"/>
        <v>0</v>
      </c>
      <c r="S126" s="17">
        <f t="shared" si="39"/>
        <v>0</v>
      </c>
      <c r="T126" s="17">
        <f>IFERROR((K126+M126+MATRIZ_174!O125)/3,0)</f>
        <v>0</v>
      </c>
      <c r="U126" s="18">
        <f>IFERROR(MATRIZ_174!AP125*50,0)</f>
        <v>0</v>
      </c>
      <c r="V126" s="18">
        <f t="shared" si="40"/>
        <v>50</v>
      </c>
      <c r="W126" s="18">
        <f>IF(MATRIZ_174!R125&gt;0,65,35)</f>
        <v>35</v>
      </c>
      <c r="X126" s="18">
        <f>IF(MATRIZ_174!O125=0,70,30)</f>
        <v>70</v>
      </c>
      <c r="Y126" s="18">
        <f>IF(OR(MATRIZ_174!P125="ASOCIACION",MATRIZ_174!P125="PENDIENTE"),65,40)</f>
        <v>65</v>
      </c>
      <c r="Z126" s="19">
        <f t="shared" si="41"/>
        <v>0</v>
      </c>
      <c r="AA126" s="20">
        <f t="shared" si="42"/>
        <v>44</v>
      </c>
      <c r="AB126" s="21">
        <f t="shared" si="43"/>
        <v>44</v>
      </c>
      <c r="AC126" s="13" t="str">
        <f t="shared" si="44"/>
        <v>⬜  Riesgo Latente</v>
      </c>
      <c r="AD126" s="13" t="str">
        <f t="shared" si="45"/>
        <v>🚫  Inh. vigente OSCE</v>
      </c>
      <c r="AE126" s="22">
        <f>IFERROR(MATRIZ_174!W125,0)</f>
        <v>0</v>
      </c>
      <c r="AF126" s="22">
        <f>IFERROR(MATRIZ_174!X125,0)</f>
        <v>0</v>
      </c>
      <c r="AG126" s="22">
        <f>IFERROR(MATRIZ_174!Y125,0)</f>
        <v>0</v>
      </c>
      <c r="AH126" s="22">
        <f>IFERROR(MATRIZ_174!Z125,0)</f>
        <v>0</v>
      </c>
      <c r="AI126" s="17">
        <f>IFERROR(MATRIZ_174!AP125,"N/A")</f>
        <v>0</v>
      </c>
      <c r="AJ126" s="17">
        <f>IFERROR(MATRIZ_174!AO125,"N/A")</f>
        <v>0</v>
      </c>
      <c r="AK126" s="23">
        <f t="shared" si="46"/>
        <v>0</v>
      </c>
      <c r="AL126" s="24">
        <f t="shared" si="47"/>
        <v>0</v>
      </c>
    </row>
    <row r="127" spans="1:38" ht="16.05" customHeight="1" x14ac:dyDescent="0.3">
      <c r="A127" s="13" t="s">
        <v>324</v>
      </c>
      <c r="B127" s="14" t="s">
        <v>325</v>
      </c>
      <c r="C127" s="13" t="s">
        <v>71</v>
      </c>
      <c r="D127" s="15">
        <v>0</v>
      </c>
      <c r="E127" s="16">
        <v>0</v>
      </c>
      <c r="F127" s="17">
        <f>IFERROR(SCORECARDS!H126,"")</f>
        <v>0</v>
      </c>
      <c r="G127" s="17">
        <f>IFERROR(MATRIZ_174!U126,0)</f>
        <v>0</v>
      </c>
      <c r="H127" s="16">
        <v>0</v>
      </c>
      <c r="I127" s="17">
        <f>IFERROR(SCORECARDS!I126,"")</f>
        <v>0</v>
      </c>
      <c r="J127" s="17">
        <f>IFERROR(SCORECARDS!J126,"")</f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7">
        <f t="shared" si="36"/>
        <v>0</v>
      </c>
      <c r="Q127" s="17">
        <f t="shared" si="37"/>
        <v>0</v>
      </c>
      <c r="R127" s="17">
        <f t="shared" si="38"/>
        <v>0</v>
      </c>
      <c r="S127" s="17">
        <f t="shared" si="39"/>
        <v>0</v>
      </c>
      <c r="T127" s="17">
        <f>IFERROR((K127+M127+MATRIZ_174!O126)/3,0)</f>
        <v>0</v>
      </c>
      <c r="U127" s="18">
        <f>IFERROR(MATRIZ_174!AP126*50,0)</f>
        <v>0</v>
      </c>
      <c r="V127" s="18">
        <f t="shared" si="40"/>
        <v>50</v>
      </c>
      <c r="W127" s="18">
        <f>IF(MATRIZ_174!R126&gt;0,65,35)</f>
        <v>35</v>
      </c>
      <c r="X127" s="18">
        <f>IF(MATRIZ_174!O126=0,70,30)</f>
        <v>70</v>
      </c>
      <c r="Y127" s="18">
        <f>IF(OR(MATRIZ_174!P126="ASOCIACION",MATRIZ_174!P126="PENDIENTE"),65,40)</f>
        <v>65</v>
      </c>
      <c r="Z127" s="19">
        <f t="shared" si="41"/>
        <v>0</v>
      </c>
      <c r="AA127" s="20">
        <f t="shared" si="42"/>
        <v>44</v>
      </c>
      <c r="AB127" s="21">
        <f t="shared" si="43"/>
        <v>44</v>
      </c>
      <c r="AC127" s="13" t="str">
        <f t="shared" si="44"/>
        <v>⬜  Riesgo Latente</v>
      </c>
      <c r="AD127" s="13" t="str">
        <f t="shared" si="45"/>
        <v>🚫  Inh. vigente OSCE</v>
      </c>
      <c r="AE127" s="22">
        <f>IFERROR(MATRIZ_174!W126,0)</f>
        <v>0</v>
      </c>
      <c r="AF127" s="22">
        <f>IFERROR(MATRIZ_174!X126,0)</f>
        <v>0</v>
      </c>
      <c r="AG127" s="22">
        <f>IFERROR(MATRIZ_174!Y126,0)</f>
        <v>0</v>
      </c>
      <c r="AH127" s="22">
        <f>IFERROR(MATRIZ_174!Z126,0)</f>
        <v>0</v>
      </c>
      <c r="AI127" s="17">
        <f>IFERROR(MATRIZ_174!AP126,"N/A")</f>
        <v>0</v>
      </c>
      <c r="AJ127" s="17">
        <f>IFERROR(MATRIZ_174!AO126,"N/A")</f>
        <v>0</v>
      </c>
      <c r="AK127" s="23">
        <f t="shared" si="46"/>
        <v>0</v>
      </c>
      <c r="AL127" s="24">
        <f t="shared" si="47"/>
        <v>0</v>
      </c>
    </row>
    <row r="128" spans="1:38" ht="16.05" customHeight="1" x14ac:dyDescent="0.3">
      <c r="A128" s="13" t="s">
        <v>326</v>
      </c>
      <c r="B128" s="14" t="s">
        <v>327</v>
      </c>
      <c r="C128" s="13" t="s">
        <v>71</v>
      </c>
      <c r="D128" s="15">
        <v>0</v>
      </c>
      <c r="E128" s="16">
        <v>0</v>
      </c>
      <c r="F128" s="17">
        <f>IFERROR(SCORECARDS!H127,"")</f>
        <v>0</v>
      </c>
      <c r="G128" s="17">
        <f>IFERROR(MATRIZ_174!U127,0)</f>
        <v>0</v>
      </c>
      <c r="H128" s="16">
        <v>0</v>
      </c>
      <c r="I128" s="17">
        <f>IFERROR(SCORECARDS!I127,"")</f>
        <v>0</v>
      </c>
      <c r="J128" s="17">
        <f>IFERROR(SCORECARDS!J127,"")</f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7">
        <f t="shared" si="36"/>
        <v>0</v>
      </c>
      <c r="Q128" s="17">
        <f t="shared" si="37"/>
        <v>0</v>
      </c>
      <c r="R128" s="17">
        <f t="shared" si="38"/>
        <v>0</v>
      </c>
      <c r="S128" s="17">
        <f t="shared" si="39"/>
        <v>0</v>
      </c>
      <c r="T128" s="17">
        <f>IFERROR((K128+M128+MATRIZ_174!O127)/3,0)</f>
        <v>0</v>
      </c>
      <c r="U128" s="18">
        <f>IFERROR(MATRIZ_174!AP127*50,0)</f>
        <v>0</v>
      </c>
      <c r="V128" s="18">
        <f t="shared" si="40"/>
        <v>50</v>
      </c>
      <c r="W128" s="18">
        <f>IF(MATRIZ_174!R127&gt;0,65,35)</f>
        <v>35</v>
      </c>
      <c r="X128" s="18">
        <f>IF(MATRIZ_174!O127=0,70,30)</f>
        <v>70</v>
      </c>
      <c r="Y128" s="18">
        <f>IF(OR(MATRIZ_174!P127="ASOCIACION",MATRIZ_174!P127="PENDIENTE"),65,40)</f>
        <v>65</v>
      </c>
      <c r="Z128" s="19">
        <f t="shared" si="41"/>
        <v>0</v>
      </c>
      <c r="AA128" s="20">
        <f t="shared" si="42"/>
        <v>44</v>
      </c>
      <c r="AB128" s="21">
        <f t="shared" si="43"/>
        <v>44</v>
      </c>
      <c r="AC128" s="13" t="str">
        <f t="shared" si="44"/>
        <v>⬜  Riesgo Latente</v>
      </c>
      <c r="AD128" s="13" t="str">
        <f t="shared" si="45"/>
        <v>🚫  Inh. vigente OSCE</v>
      </c>
      <c r="AE128" s="22">
        <f>IFERROR(MATRIZ_174!W127,0)</f>
        <v>0</v>
      </c>
      <c r="AF128" s="22">
        <f>IFERROR(MATRIZ_174!X127,0)</f>
        <v>0</v>
      </c>
      <c r="AG128" s="22">
        <f>IFERROR(MATRIZ_174!Y127,0)</f>
        <v>0</v>
      </c>
      <c r="AH128" s="22">
        <f>IFERROR(MATRIZ_174!Z127,0)</f>
        <v>0</v>
      </c>
      <c r="AI128" s="17">
        <f>IFERROR(MATRIZ_174!AP127,"N/A")</f>
        <v>0</v>
      </c>
      <c r="AJ128" s="17">
        <f>IFERROR(MATRIZ_174!AO127,"N/A")</f>
        <v>0</v>
      </c>
      <c r="AK128" s="23">
        <f t="shared" si="46"/>
        <v>0</v>
      </c>
      <c r="AL128" s="24">
        <f t="shared" si="47"/>
        <v>0</v>
      </c>
    </row>
    <row r="129" spans="1:38" ht="16.05" customHeight="1" x14ac:dyDescent="0.3">
      <c r="A129" s="13" t="s">
        <v>328</v>
      </c>
      <c r="B129" s="14" t="s">
        <v>329</v>
      </c>
      <c r="C129" s="13" t="s">
        <v>103</v>
      </c>
      <c r="D129" s="15">
        <v>6983136.6699999999</v>
      </c>
      <c r="E129" s="16">
        <v>0</v>
      </c>
      <c r="F129" s="17">
        <f>IFERROR(SCORECARDS!H128,"")</f>
        <v>0</v>
      </c>
      <c r="G129" s="17">
        <f>IFERROR(MATRIZ_174!U128,0)</f>
        <v>1</v>
      </c>
      <c r="H129" s="16">
        <v>0</v>
      </c>
      <c r="I129" s="17">
        <f>IFERROR(SCORECARDS!I128,"")</f>
        <v>0</v>
      </c>
      <c r="J129" s="17">
        <f>IFERROR(SCORECARDS!J128,"")</f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7">
        <f t="shared" si="36"/>
        <v>0</v>
      </c>
      <c r="Q129" s="17">
        <f t="shared" si="37"/>
        <v>0</v>
      </c>
      <c r="R129" s="17">
        <f t="shared" si="38"/>
        <v>0</v>
      </c>
      <c r="S129" s="17">
        <f t="shared" si="39"/>
        <v>0</v>
      </c>
      <c r="T129" s="17">
        <f>IFERROR((K129+M129+MATRIZ_174!O128)/3,0)</f>
        <v>0</v>
      </c>
      <c r="U129" s="18">
        <f>IFERROR(MATRIZ_174!AP128*50,0)</f>
        <v>6.25</v>
      </c>
      <c r="V129" s="18">
        <f t="shared" si="40"/>
        <v>50</v>
      </c>
      <c r="W129" s="18">
        <f>IF(MATRIZ_174!R128&gt;0,65,35)</f>
        <v>35</v>
      </c>
      <c r="X129" s="18">
        <f>IF(MATRIZ_174!O128=0,70,30)</f>
        <v>70</v>
      </c>
      <c r="Y129" s="18">
        <f>IF(OR(MATRIZ_174!P128="ASOCIACION",MATRIZ_174!P128="PENDIENTE"),65,40)</f>
        <v>65</v>
      </c>
      <c r="Z129" s="19">
        <f t="shared" si="41"/>
        <v>0</v>
      </c>
      <c r="AA129" s="20">
        <f t="shared" si="42"/>
        <v>45.3</v>
      </c>
      <c r="AB129" s="21">
        <f t="shared" si="43"/>
        <v>45.3</v>
      </c>
      <c r="AC129" s="13" t="str">
        <f t="shared" si="44"/>
        <v>⬜  Riesgo Latente</v>
      </c>
      <c r="AD129" s="13" t="str">
        <f t="shared" si="45"/>
        <v/>
      </c>
      <c r="AE129" s="22">
        <f>IFERROR(MATRIZ_174!W128,0)</f>
        <v>1</v>
      </c>
      <c r="AF129" s="22">
        <f>IFERROR(MATRIZ_174!X128,0)</f>
        <v>0</v>
      </c>
      <c r="AG129" s="22">
        <f>IFERROR(MATRIZ_174!Y128,0)</f>
        <v>0</v>
      </c>
      <c r="AH129" s="22">
        <f>IFERROR(MATRIZ_174!Z128,0)</f>
        <v>0</v>
      </c>
      <c r="AI129" s="17">
        <f>IFERROR(MATRIZ_174!AP128,"N/A")</f>
        <v>0.125</v>
      </c>
      <c r="AJ129" s="17">
        <f>IFERROR(MATRIZ_174!AO128,"N/A")</f>
        <v>0</v>
      </c>
      <c r="AK129" s="23">
        <f t="shared" si="46"/>
        <v>0</v>
      </c>
      <c r="AL129" s="24">
        <f t="shared" si="47"/>
        <v>0</v>
      </c>
    </row>
    <row r="130" spans="1:38" ht="16.05" customHeight="1" x14ac:dyDescent="0.3">
      <c r="A130" s="13" t="s">
        <v>330</v>
      </c>
      <c r="B130" s="14" t="s">
        <v>331</v>
      </c>
      <c r="C130" s="13" t="s">
        <v>100</v>
      </c>
      <c r="D130" s="15">
        <v>0</v>
      </c>
      <c r="E130" s="16">
        <v>0</v>
      </c>
      <c r="F130" s="17">
        <f>IFERROR(SCORECARDS!H129,"")</f>
        <v>0</v>
      </c>
      <c r="G130" s="17">
        <f>IFERROR(MATRIZ_174!U129,0)</f>
        <v>0</v>
      </c>
      <c r="H130" s="16">
        <v>0</v>
      </c>
      <c r="I130" s="17">
        <f>IFERROR(SCORECARDS!I129,"")</f>
        <v>0</v>
      </c>
      <c r="J130" s="17">
        <f>IFERROR(SCORECARDS!J129,"")</f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7">
        <f t="shared" si="36"/>
        <v>0</v>
      </c>
      <c r="Q130" s="17">
        <f t="shared" si="37"/>
        <v>0</v>
      </c>
      <c r="R130" s="17">
        <f t="shared" si="38"/>
        <v>0</v>
      </c>
      <c r="S130" s="17">
        <f t="shared" si="39"/>
        <v>0</v>
      </c>
      <c r="T130" s="17">
        <f>IFERROR((K130+M130+MATRIZ_174!O129)/3,0)</f>
        <v>0</v>
      </c>
      <c r="U130" s="18">
        <f>IFERROR(MATRIZ_174!AP129*50,0)</f>
        <v>0</v>
      </c>
      <c r="V130" s="18">
        <f t="shared" si="40"/>
        <v>50</v>
      </c>
      <c r="W130" s="18">
        <f>IF(MATRIZ_174!R129&gt;0,65,35)</f>
        <v>35</v>
      </c>
      <c r="X130" s="18">
        <f>IF(MATRIZ_174!O129=0,70,30)</f>
        <v>70</v>
      </c>
      <c r="Y130" s="18">
        <f>IF(OR(MATRIZ_174!P129="ASOCIACION",MATRIZ_174!P129="PENDIENTE"),65,40)</f>
        <v>65</v>
      </c>
      <c r="Z130" s="19">
        <f t="shared" si="41"/>
        <v>0</v>
      </c>
      <c r="AA130" s="20">
        <f t="shared" si="42"/>
        <v>44</v>
      </c>
      <c r="AB130" s="21">
        <f t="shared" si="43"/>
        <v>44</v>
      </c>
      <c r="AC130" s="13" t="str">
        <f t="shared" si="44"/>
        <v>⬜  Riesgo Latente</v>
      </c>
      <c r="AD130" s="13" t="str">
        <f t="shared" si="45"/>
        <v>🚫  Inh. vigente OSCE</v>
      </c>
      <c r="AE130" s="22">
        <f>IFERROR(MATRIZ_174!W129,0)</f>
        <v>0</v>
      </c>
      <c r="AF130" s="22">
        <f>IFERROR(MATRIZ_174!X129,0)</f>
        <v>0</v>
      </c>
      <c r="AG130" s="22">
        <f>IFERROR(MATRIZ_174!Y129,0)</f>
        <v>0</v>
      </c>
      <c r="AH130" s="22">
        <f>IFERROR(MATRIZ_174!Z129,0)</f>
        <v>0</v>
      </c>
      <c r="AI130" s="17">
        <f>IFERROR(MATRIZ_174!AP129,"N/A")</f>
        <v>0</v>
      </c>
      <c r="AJ130" s="17">
        <f>IFERROR(MATRIZ_174!AO129,"N/A")</f>
        <v>0</v>
      </c>
      <c r="AK130" s="23">
        <f t="shared" si="46"/>
        <v>0</v>
      </c>
      <c r="AL130" s="24">
        <f t="shared" si="47"/>
        <v>0</v>
      </c>
    </row>
    <row r="131" spans="1:38" ht="16.05" customHeight="1" x14ac:dyDescent="0.3">
      <c r="A131" s="13" t="s">
        <v>332</v>
      </c>
      <c r="B131" s="14" t="s">
        <v>333</v>
      </c>
      <c r="C131" s="13" t="s">
        <v>237</v>
      </c>
      <c r="D131" s="15">
        <v>0</v>
      </c>
      <c r="E131" s="16">
        <v>0</v>
      </c>
      <c r="F131" s="17">
        <f>IFERROR(SCORECARDS!H130,"")</f>
        <v>0</v>
      </c>
      <c r="G131" s="17">
        <f>IFERROR(MATRIZ_174!U130,0)</f>
        <v>0</v>
      </c>
      <c r="H131" s="16">
        <v>0</v>
      </c>
      <c r="I131" s="17">
        <f>IFERROR(SCORECARDS!I130,"")</f>
        <v>0</v>
      </c>
      <c r="J131" s="17">
        <f>IFERROR(SCORECARDS!J130,"")</f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7">
        <f t="shared" si="36"/>
        <v>0</v>
      </c>
      <c r="Q131" s="17">
        <f t="shared" si="37"/>
        <v>0</v>
      </c>
      <c r="R131" s="17">
        <f t="shared" si="38"/>
        <v>0</v>
      </c>
      <c r="S131" s="17">
        <f t="shared" si="39"/>
        <v>0</v>
      </c>
      <c r="T131" s="17">
        <f>IFERROR((K131+M131+MATRIZ_174!O130)/3,0)</f>
        <v>0</v>
      </c>
      <c r="U131" s="18">
        <f>IFERROR(MATRIZ_174!AP130*50,0)</f>
        <v>6.25</v>
      </c>
      <c r="V131" s="18">
        <f t="shared" si="40"/>
        <v>50</v>
      </c>
      <c r="W131" s="18">
        <f>IF(MATRIZ_174!R130&gt;0,65,35)</f>
        <v>65</v>
      </c>
      <c r="X131" s="18">
        <f>IF(MATRIZ_174!O130=0,70,30)</f>
        <v>70</v>
      </c>
      <c r="Y131" s="18">
        <f>IF(OR(MATRIZ_174!P130="ASOCIACION",MATRIZ_174!P130="PENDIENTE"),65,40)</f>
        <v>65</v>
      </c>
      <c r="Z131" s="19">
        <f t="shared" si="41"/>
        <v>0</v>
      </c>
      <c r="AA131" s="20">
        <f t="shared" si="42"/>
        <v>51.3</v>
      </c>
      <c r="AB131" s="21">
        <f t="shared" si="43"/>
        <v>51.3</v>
      </c>
      <c r="AC131" s="13" t="str">
        <f t="shared" si="44"/>
        <v>🔴  Riesgo Crítico</v>
      </c>
      <c r="AD131" s="13" t="str">
        <f t="shared" si="45"/>
        <v>🚫  Inh. vigente OSCE</v>
      </c>
      <c r="AE131" s="22">
        <f>IFERROR(MATRIZ_174!W130,0)</f>
        <v>1</v>
      </c>
      <c r="AF131" s="22">
        <f>IFERROR(MATRIZ_174!X130,0)</f>
        <v>0</v>
      </c>
      <c r="AG131" s="22">
        <f>IFERROR(MATRIZ_174!Y130,0)</f>
        <v>0</v>
      </c>
      <c r="AH131" s="22">
        <f>IFERROR(MATRIZ_174!Z130,0)</f>
        <v>0</v>
      </c>
      <c r="AI131" s="17">
        <f>IFERROR(MATRIZ_174!AP130,"N/A")</f>
        <v>0.125</v>
      </c>
      <c r="AJ131" s="17">
        <f>IFERROR(MATRIZ_174!AO130,"N/A")</f>
        <v>0</v>
      </c>
      <c r="AK131" s="23">
        <f t="shared" si="46"/>
        <v>0</v>
      </c>
      <c r="AL131" s="24">
        <f t="shared" si="47"/>
        <v>0</v>
      </c>
    </row>
    <row r="132" spans="1:38" ht="16.05" customHeight="1" x14ac:dyDescent="0.3">
      <c r="A132" s="13" t="s">
        <v>334</v>
      </c>
      <c r="B132" s="14" t="s">
        <v>335</v>
      </c>
      <c r="C132" s="13" t="s">
        <v>71</v>
      </c>
      <c r="D132" s="15">
        <v>0</v>
      </c>
      <c r="E132" s="16">
        <v>0</v>
      </c>
      <c r="F132" s="17">
        <f>IFERROR(SCORECARDS!H131,"")</f>
        <v>0</v>
      </c>
      <c r="G132" s="17">
        <f>IFERROR(MATRIZ_174!U131,0)</f>
        <v>0</v>
      </c>
      <c r="H132" s="16">
        <v>0</v>
      </c>
      <c r="I132" s="17">
        <f>IFERROR(SCORECARDS!I131,"")</f>
        <v>0</v>
      </c>
      <c r="J132" s="17">
        <f>IFERROR(SCORECARDS!J131,"")</f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7">
        <f t="shared" ref="P132:P163" si="48">IFERROR(F132,0)</f>
        <v>0</v>
      </c>
      <c r="Q132" s="17">
        <f t="shared" ref="Q132:Q163" si="49">IFERROR(SQRT(G132*H132),0)</f>
        <v>0</v>
      </c>
      <c r="R132" s="17">
        <f t="shared" ref="R132:R163" si="50">IFERROR((I132+J132+L132)/3,0)</f>
        <v>0</v>
      </c>
      <c r="S132" s="17">
        <f t="shared" ref="S132:S163" si="51">IFERROR((J132+F132)/2,0)</f>
        <v>0</v>
      </c>
      <c r="T132" s="17">
        <f>IFERROR((K132+M132+MATRIZ_174!O131)/3,0)</f>
        <v>0</v>
      </c>
      <c r="U132" s="18">
        <f>IFERROR(MATRIZ_174!AP131*50,0)</f>
        <v>0</v>
      </c>
      <c r="V132" s="18">
        <f t="shared" ref="V132:V163" si="52">IFERROR(IF(E132=0,50,E132),0)</f>
        <v>50</v>
      </c>
      <c r="W132" s="18">
        <f>IF(MATRIZ_174!R131&gt;0,65,35)</f>
        <v>35</v>
      </c>
      <c r="X132" s="18">
        <f>IF(MATRIZ_174!O131=0,70,30)</f>
        <v>70</v>
      </c>
      <c r="Y132" s="18">
        <f>IF(OR(MATRIZ_174!P131="ASOCIACION",MATRIZ_174!P131="PENDIENTE"),65,40)</f>
        <v>65</v>
      </c>
      <c r="Z132" s="19">
        <f t="shared" ref="Z132:Z163" si="53">IFERROR(ROUND(AVERAGE(P132,Q132,R132,S132,T132),1),0)</f>
        <v>0</v>
      </c>
      <c r="AA132" s="20">
        <f t="shared" ref="AA132:AA163" si="54">IFERROR(ROUND(AVERAGE(U132,V132,W132,X132,Y132),1),0)</f>
        <v>44</v>
      </c>
      <c r="AB132" s="21">
        <f t="shared" ref="AB132:AB163" si="55">IFERROR(ROUND(AA132*(1-Z132/100),1),0)</f>
        <v>44</v>
      </c>
      <c r="AC132" s="13" t="str">
        <f t="shared" ref="AC132:AC163" si="56">IF(AND(Z132&gt;=50,AA132&lt;50),"🟢  Resilientes",IF(AND(Z132&gt;=50,AA132&gt;=50),"🟠  Expuestas Adaptables",IF(AND(Z132&lt;50,AA132&lt;50),"⬜  Riesgo Latente","🔴  Riesgo Crítico")))</f>
        <v>⬜  Riesgo Latente</v>
      </c>
      <c r="AD132" s="13" t="str">
        <f t="shared" ref="AD132:AD163" si="57">IF(G132=0,"🚫  Inh. vigente OSCE","")</f>
        <v>🚫  Inh. vigente OSCE</v>
      </c>
      <c r="AE132" s="22">
        <f>IFERROR(MATRIZ_174!W131,0)</f>
        <v>0</v>
      </c>
      <c r="AF132" s="22">
        <f>IFERROR(MATRIZ_174!X131,0)</f>
        <v>0</v>
      </c>
      <c r="AG132" s="22">
        <f>IFERROR(MATRIZ_174!Y131,0)</f>
        <v>0</v>
      </c>
      <c r="AH132" s="22">
        <f>IFERROR(MATRIZ_174!Z131,0)</f>
        <v>0</v>
      </c>
      <c r="AI132" s="17">
        <f>IFERROR(MATRIZ_174!AP131,"N/A")</f>
        <v>0</v>
      </c>
      <c r="AJ132" s="17">
        <f>IFERROR(MATRIZ_174!AO131,"N/A")</f>
        <v>0</v>
      </c>
      <c r="AK132" s="23">
        <f t="shared" ref="AK132:AK163" si="58">IFERROR(ROUND(POWER((E132*F132*G132*H132*I132*J132*K132),1/7)*0.875+((L132+M132)/2)*0.125,1),"N/A")</f>
        <v>0</v>
      </c>
      <c r="AL132" s="24">
        <f t="shared" ref="AL132:AL163" si="59">IFERROR(IF(AK132="N/A","N/A",ROUND(0.7*AK132+0.3*AI132,1)),"N/A")</f>
        <v>0</v>
      </c>
    </row>
    <row r="133" spans="1:38" ht="16.05" customHeight="1" x14ac:dyDescent="0.3">
      <c r="A133" s="13" t="s">
        <v>336</v>
      </c>
      <c r="B133" s="14" t="s">
        <v>337</v>
      </c>
      <c r="C133" s="13" t="s">
        <v>100</v>
      </c>
      <c r="D133" s="15">
        <v>0</v>
      </c>
      <c r="E133" s="16">
        <v>0</v>
      </c>
      <c r="F133" s="17">
        <f>IFERROR(SCORECARDS!H132,"")</f>
        <v>0</v>
      </c>
      <c r="G133" s="17">
        <f>IFERROR(MATRIZ_174!U132,0)</f>
        <v>0</v>
      </c>
      <c r="H133" s="16">
        <v>0</v>
      </c>
      <c r="I133" s="17">
        <f>IFERROR(SCORECARDS!I132,"")</f>
        <v>0</v>
      </c>
      <c r="J133" s="17">
        <f>IFERROR(SCORECARDS!J132,"")</f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7">
        <f t="shared" si="48"/>
        <v>0</v>
      </c>
      <c r="Q133" s="17">
        <f t="shared" si="49"/>
        <v>0</v>
      </c>
      <c r="R133" s="17">
        <f t="shared" si="50"/>
        <v>0</v>
      </c>
      <c r="S133" s="17">
        <f t="shared" si="51"/>
        <v>0</v>
      </c>
      <c r="T133" s="17">
        <f>IFERROR((K133+M133+MATRIZ_174!O132)/3,0)</f>
        <v>0</v>
      </c>
      <c r="U133" s="18">
        <f>IFERROR(MATRIZ_174!AP132*50,0)</f>
        <v>0</v>
      </c>
      <c r="V133" s="18">
        <f t="shared" si="52"/>
        <v>50</v>
      </c>
      <c r="W133" s="18">
        <f>IF(MATRIZ_174!R132&gt;0,65,35)</f>
        <v>35</v>
      </c>
      <c r="X133" s="18">
        <f>IF(MATRIZ_174!O132=0,70,30)</f>
        <v>70</v>
      </c>
      <c r="Y133" s="18">
        <f>IF(OR(MATRIZ_174!P132="ASOCIACION",MATRIZ_174!P132="PENDIENTE"),65,40)</f>
        <v>65</v>
      </c>
      <c r="Z133" s="19">
        <f t="shared" si="53"/>
        <v>0</v>
      </c>
      <c r="AA133" s="20">
        <f t="shared" si="54"/>
        <v>44</v>
      </c>
      <c r="AB133" s="21">
        <f t="shared" si="55"/>
        <v>44</v>
      </c>
      <c r="AC133" s="13" t="str">
        <f t="shared" si="56"/>
        <v>⬜  Riesgo Latente</v>
      </c>
      <c r="AD133" s="13" t="str">
        <f t="shared" si="57"/>
        <v>🚫  Inh. vigente OSCE</v>
      </c>
      <c r="AE133" s="22">
        <f>IFERROR(MATRIZ_174!W132,0)</f>
        <v>0</v>
      </c>
      <c r="AF133" s="22">
        <f>IFERROR(MATRIZ_174!X132,0)</f>
        <v>0</v>
      </c>
      <c r="AG133" s="22">
        <f>IFERROR(MATRIZ_174!Y132,0)</f>
        <v>0</v>
      </c>
      <c r="AH133" s="22">
        <f>IFERROR(MATRIZ_174!Z132,0)</f>
        <v>0</v>
      </c>
      <c r="AI133" s="17">
        <f>IFERROR(MATRIZ_174!AP132,"N/A")</f>
        <v>0</v>
      </c>
      <c r="AJ133" s="17">
        <f>IFERROR(MATRIZ_174!AO132,"N/A")</f>
        <v>0</v>
      </c>
      <c r="AK133" s="23">
        <f t="shared" si="58"/>
        <v>0</v>
      </c>
      <c r="AL133" s="24">
        <f t="shared" si="59"/>
        <v>0</v>
      </c>
    </row>
    <row r="134" spans="1:38" ht="16.05" customHeight="1" x14ac:dyDescent="0.3">
      <c r="A134" s="13" t="s">
        <v>338</v>
      </c>
      <c r="B134" s="14" t="s">
        <v>339</v>
      </c>
      <c r="C134" s="13" t="s">
        <v>95</v>
      </c>
      <c r="D134" s="15">
        <v>0</v>
      </c>
      <c r="E134" s="16">
        <v>0</v>
      </c>
      <c r="F134" s="17">
        <f>IFERROR(SCORECARDS!H133,"")</f>
        <v>0</v>
      </c>
      <c r="G134" s="17">
        <f>IFERROR(MATRIZ_174!U133,0)</f>
        <v>0</v>
      </c>
      <c r="H134" s="16">
        <v>0</v>
      </c>
      <c r="I134" s="17">
        <f>IFERROR(SCORECARDS!I133,"")</f>
        <v>0</v>
      </c>
      <c r="J134" s="17">
        <f>IFERROR(SCORECARDS!J133,"")</f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7">
        <f t="shared" si="48"/>
        <v>0</v>
      </c>
      <c r="Q134" s="17">
        <f t="shared" si="49"/>
        <v>0</v>
      </c>
      <c r="R134" s="17">
        <f t="shared" si="50"/>
        <v>0</v>
      </c>
      <c r="S134" s="17">
        <f t="shared" si="51"/>
        <v>0</v>
      </c>
      <c r="T134" s="17">
        <f>IFERROR((K134+M134+MATRIZ_174!O133)/3,0)</f>
        <v>0</v>
      </c>
      <c r="U134" s="18">
        <f>IFERROR(MATRIZ_174!AP133*50,0)</f>
        <v>0</v>
      </c>
      <c r="V134" s="18">
        <f t="shared" si="52"/>
        <v>50</v>
      </c>
      <c r="W134" s="18">
        <f>IF(MATRIZ_174!R133&gt;0,65,35)</f>
        <v>35</v>
      </c>
      <c r="X134" s="18">
        <f>IF(MATRIZ_174!O133=0,70,30)</f>
        <v>70</v>
      </c>
      <c r="Y134" s="18">
        <f>IF(OR(MATRIZ_174!P133="ASOCIACION",MATRIZ_174!P133="PENDIENTE"),65,40)</f>
        <v>65</v>
      </c>
      <c r="Z134" s="19">
        <f t="shared" si="53"/>
        <v>0</v>
      </c>
      <c r="AA134" s="20">
        <f t="shared" si="54"/>
        <v>44</v>
      </c>
      <c r="AB134" s="21">
        <f t="shared" si="55"/>
        <v>44</v>
      </c>
      <c r="AC134" s="13" t="str">
        <f t="shared" si="56"/>
        <v>⬜  Riesgo Latente</v>
      </c>
      <c r="AD134" s="13" t="str">
        <f t="shared" si="57"/>
        <v>🚫  Inh. vigente OSCE</v>
      </c>
      <c r="AE134" s="22">
        <f>IFERROR(MATRIZ_174!W133,0)</f>
        <v>0</v>
      </c>
      <c r="AF134" s="22">
        <f>IFERROR(MATRIZ_174!X133,0)</f>
        <v>0</v>
      </c>
      <c r="AG134" s="22">
        <f>IFERROR(MATRIZ_174!Y133,0)</f>
        <v>0</v>
      </c>
      <c r="AH134" s="22">
        <f>IFERROR(MATRIZ_174!Z133,0)</f>
        <v>0</v>
      </c>
      <c r="AI134" s="17">
        <f>IFERROR(MATRIZ_174!AP133,"N/A")</f>
        <v>0</v>
      </c>
      <c r="AJ134" s="17">
        <f>IFERROR(MATRIZ_174!AO133,"N/A")</f>
        <v>0</v>
      </c>
      <c r="AK134" s="23">
        <f t="shared" si="58"/>
        <v>0</v>
      </c>
      <c r="AL134" s="24">
        <f t="shared" si="59"/>
        <v>0</v>
      </c>
    </row>
    <row r="135" spans="1:38" ht="16.05" customHeight="1" x14ac:dyDescent="0.3">
      <c r="A135" s="13" t="s">
        <v>340</v>
      </c>
      <c r="B135" s="14" t="s">
        <v>341</v>
      </c>
      <c r="C135" s="13" t="s">
        <v>71</v>
      </c>
      <c r="D135" s="15">
        <v>0</v>
      </c>
      <c r="E135" s="16">
        <v>0</v>
      </c>
      <c r="F135" s="17">
        <f>IFERROR(SCORECARDS!H134,"")</f>
        <v>0</v>
      </c>
      <c r="G135" s="17">
        <f>IFERROR(MATRIZ_174!U134,0)</f>
        <v>0</v>
      </c>
      <c r="H135" s="16">
        <v>0</v>
      </c>
      <c r="I135" s="17">
        <f>IFERROR(SCORECARDS!I134,"")</f>
        <v>0</v>
      </c>
      <c r="J135" s="17">
        <f>IFERROR(SCORECARDS!J134,"")</f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7">
        <f t="shared" si="48"/>
        <v>0</v>
      </c>
      <c r="Q135" s="17">
        <f t="shared" si="49"/>
        <v>0</v>
      </c>
      <c r="R135" s="17">
        <f t="shared" si="50"/>
        <v>0</v>
      </c>
      <c r="S135" s="17">
        <f t="shared" si="51"/>
        <v>0</v>
      </c>
      <c r="T135" s="17">
        <f>IFERROR((K135+M135+MATRIZ_174!O134)/3,0)</f>
        <v>0</v>
      </c>
      <c r="U135" s="18">
        <f>IFERROR(MATRIZ_174!AP134*50,0)</f>
        <v>6.25</v>
      </c>
      <c r="V135" s="18">
        <f t="shared" si="52"/>
        <v>50</v>
      </c>
      <c r="W135" s="18">
        <f>IF(MATRIZ_174!R134&gt;0,65,35)</f>
        <v>65</v>
      </c>
      <c r="X135" s="18">
        <f>IF(MATRIZ_174!O134=0,70,30)</f>
        <v>70</v>
      </c>
      <c r="Y135" s="18">
        <f>IF(OR(MATRIZ_174!P134="ASOCIACION",MATRIZ_174!P134="PENDIENTE"),65,40)</f>
        <v>65</v>
      </c>
      <c r="Z135" s="19">
        <f t="shared" si="53"/>
        <v>0</v>
      </c>
      <c r="AA135" s="20">
        <f t="shared" si="54"/>
        <v>51.3</v>
      </c>
      <c r="AB135" s="21">
        <f t="shared" si="55"/>
        <v>51.3</v>
      </c>
      <c r="AC135" s="13" t="str">
        <f t="shared" si="56"/>
        <v>🔴  Riesgo Crítico</v>
      </c>
      <c r="AD135" s="13" t="str">
        <f t="shared" si="57"/>
        <v>🚫  Inh. vigente OSCE</v>
      </c>
      <c r="AE135" s="22">
        <f>IFERROR(MATRIZ_174!W134,0)</f>
        <v>1</v>
      </c>
      <c r="AF135" s="22">
        <f>IFERROR(MATRIZ_174!X134,0)</f>
        <v>0</v>
      </c>
      <c r="AG135" s="22">
        <f>IFERROR(MATRIZ_174!Y134,0)</f>
        <v>0</v>
      </c>
      <c r="AH135" s="22">
        <f>IFERROR(MATRIZ_174!Z134,0)</f>
        <v>0</v>
      </c>
      <c r="AI135" s="17">
        <f>IFERROR(MATRIZ_174!AP134,"N/A")</f>
        <v>0.125</v>
      </c>
      <c r="AJ135" s="17">
        <f>IFERROR(MATRIZ_174!AO134,"N/A")</f>
        <v>0</v>
      </c>
      <c r="AK135" s="23">
        <f t="shared" si="58"/>
        <v>0</v>
      </c>
      <c r="AL135" s="24">
        <f t="shared" si="59"/>
        <v>0</v>
      </c>
    </row>
    <row r="136" spans="1:38" ht="16.05" customHeight="1" x14ac:dyDescent="0.3">
      <c r="A136" s="13" t="s">
        <v>342</v>
      </c>
      <c r="B136" s="14" t="s">
        <v>343</v>
      </c>
      <c r="C136" s="13" t="s">
        <v>129</v>
      </c>
      <c r="D136" s="15">
        <v>4575551.37</v>
      </c>
      <c r="E136" s="16">
        <v>0</v>
      </c>
      <c r="F136" s="17">
        <f>IFERROR(SCORECARDS!H135,"")</f>
        <v>0</v>
      </c>
      <c r="G136" s="17">
        <f>IFERROR(MATRIZ_174!U135,0)</f>
        <v>1</v>
      </c>
      <c r="H136" s="16">
        <v>0</v>
      </c>
      <c r="I136" s="17">
        <f>IFERROR(SCORECARDS!I135,"")</f>
        <v>0</v>
      </c>
      <c r="J136" s="17">
        <f>IFERROR(SCORECARDS!J135,"")</f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7">
        <f t="shared" si="48"/>
        <v>0</v>
      </c>
      <c r="Q136" s="17">
        <f t="shared" si="49"/>
        <v>0</v>
      </c>
      <c r="R136" s="17">
        <f t="shared" si="50"/>
        <v>0</v>
      </c>
      <c r="S136" s="17">
        <f t="shared" si="51"/>
        <v>0</v>
      </c>
      <c r="T136" s="17">
        <f>IFERROR((K136+M136+MATRIZ_174!O135)/3,0)</f>
        <v>0</v>
      </c>
      <c r="U136" s="18">
        <f>IFERROR(MATRIZ_174!AP135*50,0)</f>
        <v>6.25</v>
      </c>
      <c r="V136" s="18">
        <f t="shared" si="52"/>
        <v>50</v>
      </c>
      <c r="W136" s="18">
        <f>IF(MATRIZ_174!R135&gt;0,65,35)</f>
        <v>65</v>
      </c>
      <c r="X136" s="18">
        <f>IF(MATRIZ_174!O135=0,70,30)</f>
        <v>70</v>
      </c>
      <c r="Y136" s="18">
        <f>IF(OR(MATRIZ_174!P135="ASOCIACION",MATRIZ_174!P135="PENDIENTE"),65,40)</f>
        <v>65</v>
      </c>
      <c r="Z136" s="19">
        <f t="shared" si="53"/>
        <v>0</v>
      </c>
      <c r="AA136" s="20">
        <f t="shared" si="54"/>
        <v>51.3</v>
      </c>
      <c r="AB136" s="21">
        <f t="shared" si="55"/>
        <v>51.3</v>
      </c>
      <c r="AC136" s="13" t="str">
        <f t="shared" si="56"/>
        <v>🔴  Riesgo Crítico</v>
      </c>
      <c r="AD136" s="13" t="str">
        <f t="shared" si="57"/>
        <v/>
      </c>
      <c r="AE136" s="22">
        <f>IFERROR(MATRIZ_174!W135,0)</f>
        <v>1</v>
      </c>
      <c r="AF136" s="22">
        <f>IFERROR(MATRIZ_174!X135,0)</f>
        <v>0</v>
      </c>
      <c r="AG136" s="22">
        <f>IFERROR(MATRIZ_174!Y135,0)</f>
        <v>0</v>
      </c>
      <c r="AH136" s="22">
        <f>IFERROR(MATRIZ_174!Z135,0)</f>
        <v>0</v>
      </c>
      <c r="AI136" s="17">
        <f>IFERROR(MATRIZ_174!AP135,"N/A")</f>
        <v>0.125</v>
      </c>
      <c r="AJ136" s="17">
        <f>IFERROR(MATRIZ_174!AO135,"N/A")</f>
        <v>0</v>
      </c>
      <c r="AK136" s="23">
        <f t="shared" si="58"/>
        <v>0</v>
      </c>
      <c r="AL136" s="24">
        <f t="shared" si="59"/>
        <v>0</v>
      </c>
    </row>
    <row r="137" spans="1:38" ht="16.05" customHeight="1" x14ac:dyDescent="0.3">
      <c r="A137" s="13" t="s">
        <v>344</v>
      </c>
      <c r="B137" s="14" t="s">
        <v>345</v>
      </c>
      <c r="C137" s="13" t="s">
        <v>71</v>
      </c>
      <c r="D137" s="15">
        <v>0</v>
      </c>
      <c r="E137" s="16">
        <v>0</v>
      </c>
      <c r="F137" s="17">
        <f>IFERROR(SCORECARDS!H136,"")</f>
        <v>0</v>
      </c>
      <c r="G137" s="17">
        <f>IFERROR(MATRIZ_174!U136,0)</f>
        <v>0</v>
      </c>
      <c r="H137" s="16">
        <v>0</v>
      </c>
      <c r="I137" s="17">
        <f>IFERROR(SCORECARDS!I136,"")</f>
        <v>0</v>
      </c>
      <c r="J137" s="17">
        <f>IFERROR(SCORECARDS!J136,"")</f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7">
        <f t="shared" si="48"/>
        <v>0</v>
      </c>
      <c r="Q137" s="17">
        <f t="shared" si="49"/>
        <v>0</v>
      </c>
      <c r="R137" s="17">
        <f t="shared" si="50"/>
        <v>0</v>
      </c>
      <c r="S137" s="17">
        <f t="shared" si="51"/>
        <v>0</v>
      </c>
      <c r="T137" s="17">
        <f>IFERROR((K137+M137+MATRIZ_174!O136)/3,0)</f>
        <v>0</v>
      </c>
      <c r="U137" s="18">
        <f>IFERROR(MATRIZ_174!AP136*50,0)</f>
        <v>0</v>
      </c>
      <c r="V137" s="18">
        <f t="shared" si="52"/>
        <v>50</v>
      </c>
      <c r="W137" s="18">
        <f>IF(MATRIZ_174!R136&gt;0,65,35)</f>
        <v>35</v>
      </c>
      <c r="X137" s="18">
        <f>IF(MATRIZ_174!O136=0,70,30)</f>
        <v>70</v>
      </c>
      <c r="Y137" s="18">
        <f>IF(OR(MATRIZ_174!P136="ASOCIACION",MATRIZ_174!P136="PENDIENTE"),65,40)</f>
        <v>65</v>
      </c>
      <c r="Z137" s="19">
        <f t="shared" si="53"/>
        <v>0</v>
      </c>
      <c r="AA137" s="20">
        <f t="shared" si="54"/>
        <v>44</v>
      </c>
      <c r="AB137" s="21">
        <f t="shared" si="55"/>
        <v>44</v>
      </c>
      <c r="AC137" s="13" t="str">
        <f t="shared" si="56"/>
        <v>⬜  Riesgo Latente</v>
      </c>
      <c r="AD137" s="13" t="str">
        <f t="shared" si="57"/>
        <v>🚫  Inh. vigente OSCE</v>
      </c>
      <c r="AE137" s="22">
        <f>IFERROR(MATRIZ_174!W136,0)</f>
        <v>0</v>
      </c>
      <c r="AF137" s="22">
        <f>IFERROR(MATRIZ_174!X136,0)</f>
        <v>0</v>
      </c>
      <c r="AG137" s="22">
        <f>IFERROR(MATRIZ_174!Y136,0)</f>
        <v>0</v>
      </c>
      <c r="AH137" s="22">
        <f>IFERROR(MATRIZ_174!Z136,0)</f>
        <v>0</v>
      </c>
      <c r="AI137" s="17">
        <f>IFERROR(MATRIZ_174!AP136,"N/A")</f>
        <v>0</v>
      </c>
      <c r="AJ137" s="17">
        <f>IFERROR(MATRIZ_174!AO136,"N/A")</f>
        <v>0</v>
      </c>
      <c r="AK137" s="23">
        <f t="shared" si="58"/>
        <v>0</v>
      </c>
      <c r="AL137" s="24">
        <f t="shared" si="59"/>
        <v>0</v>
      </c>
    </row>
    <row r="138" spans="1:38" ht="16.05" customHeight="1" x14ac:dyDescent="0.3">
      <c r="A138" s="13" t="s">
        <v>346</v>
      </c>
      <c r="B138" s="14" t="s">
        <v>347</v>
      </c>
      <c r="C138" s="13" t="s">
        <v>74</v>
      </c>
      <c r="D138" s="15">
        <v>0</v>
      </c>
      <c r="E138" s="16">
        <v>0</v>
      </c>
      <c r="F138" s="17">
        <f>IFERROR(SCORECARDS!H137,"")</f>
        <v>0</v>
      </c>
      <c r="G138" s="17">
        <f>IFERROR(MATRIZ_174!U137,0)</f>
        <v>0</v>
      </c>
      <c r="H138" s="16">
        <v>0</v>
      </c>
      <c r="I138" s="17">
        <f>IFERROR(SCORECARDS!I137,"")</f>
        <v>0</v>
      </c>
      <c r="J138" s="17">
        <f>IFERROR(SCORECARDS!J137,"")</f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7">
        <f t="shared" si="48"/>
        <v>0</v>
      </c>
      <c r="Q138" s="17">
        <f t="shared" si="49"/>
        <v>0</v>
      </c>
      <c r="R138" s="17">
        <f t="shared" si="50"/>
        <v>0</v>
      </c>
      <c r="S138" s="17">
        <f t="shared" si="51"/>
        <v>0</v>
      </c>
      <c r="T138" s="17">
        <f>IFERROR((K138+M138+MATRIZ_174!O137)/3,0)</f>
        <v>0</v>
      </c>
      <c r="U138" s="18">
        <f>IFERROR(MATRIZ_174!AP137*50,0)</f>
        <v>0</v>
      </c>
      <c r="V138" s="18">
        <f t="shared" si="52"/>
        <v>50</v>
      </c>
      <c r="W138" s="18">
        <f>IF(MATRIZ_174!R137&gt;0,65,35)</f>
        <v>35</v>
      </c>
      <c r="X138" s="18">
        <f>IF(MATRIZ_174!O137=0,70,30)</f>
        <v>70</v>
      </c>
      <c r="Y138" s="18">
        <f>IF(OR(MATRIZ_174!P137="ASOCIACION",MATRIZ_174!P137="PENDIENTE"),65,40)</f>
        <v>65</v>
      </c>
      <c r="Z138" s="19">
        <f t="shared" si="53"/>
        <v>0</v>
      </c>
      <c r="AA138" s="20">
        <f t="shared" si="54"/>
        <v>44</v>
      </c>
      <c r="AB138" s="21">
        <f t="shared" si="55"/>
        <v>44</v>
      </c>
      <c r="AC138" s="13" t="str">
        <f t="shared" si="56"/>
        <v>⬜  Riesgo Latente</v>
      </c>
      <c r="AD138" s="13" t="str">
        <f t="shared" si="57"/>
        <v>🚫  Inh. vigente OSCE</v>
      </c>
      <c r="AE138" s="22">
        <f>IFERROR(MATRIZ_174!W137,0)</f>
        <v>0</v>
      </c>
      <c r="AF138" s="22">
        <f>IFERROR(MATRIZ_174!X137,0)</f>
        <v>0</v>
      </c>
      <c r="AG138" s="22">
        <f>IFERROR(MATRIZ_174!Y137,0)</f>
        <v>0</v>
      </c>
      <c r="AH138" s="22">
        <f>IFERROR(MATRIZ_174!Z137,0)</f>
        <v>0</v>
      </c>
      <c r="AI138" s="17">
        <f>IFERROR(MATRIZ_174!AP137,"N/A")</f>
        <v>0</v>
      </c>
      <c r="AJ138" s="17">
        <f>IFERROR(MATRIZ_174!AO137,"N/A")</f>
        <v>0</v>
      </c>
      <c r="AK138" s="23">
        <f t="shared" si="58"/>
        <v>0</v>
      </c>
      <c r="AL138" s="24">
        <f t="shared" si="59"/>
        <v>0</v>
      </c>
    </row>
    <row r="139" spans="1:38" ht="16.05" customHeight="1" x14ac:dyDescent="0.3">
      <c r="A139" s="13" t="s">
        <v>348</v>
      </c>
      <c r="B139" s="14" t="s">
        <v>349</v>
      </c>
      <c r="C139" s="13" t="s">
        <v>103</v>
      </c>
      <c r="D139" s="15">
        <v>80500</v>
      </c>
      <c r="E139" s="16">
        <v>0</v>
      </c>
      <c r="F139" s="17">
        <f>IFERROR(SCORECARDS!H138,"")</f>
        <v>0</v>
      </c>
      <c r="G139" s="17">
        <f>IFERROR(MATRIZ_174!U138,0)</f>
        <v>1</v>
      </c>
      <c r="H139" s="16">
        <v>0</v>
      </c>
      <c r="I139" s="17">
        <f>IFERROR(SCORECARDS!I138,"")</f>
        <v>0</v>
      </c>
      <c r="J139" s="17">
        <f>IFERROR(SCORECARDS!J138,"")</f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7">
        <f t="shared" si="48"/>
        <v>0</v>
      </c>
      <c r="Q139" s="17">
        <f t="shared" si="49"/>
        <v>0</v>
      </c>
      <c r="R139" s="17">
        <f t="shared" si="50"/>
        <v>0</v>
      </c>
      <c r="S139" s="17">
        <f t="shared" si="51"/>
        <v>0</v>
      </c>
      <c r="T139" s="17">
        <f>IFERROR((K139+M139+MATRIZ_174!O138)/3,0)</f>
        <v>0</v>
      </c>
      <c r="U139" s="18">
        <f>IFERROR(MATRIZ_174!AP138*50,0)</f>
        <v>0</v>
      </c>
      <c r="V139" s="18">
        <f t="shared" si="52"/>
        <v>50</v>
      </c>
      <c r="W139" s="18">
        <f>IF(MATRIZ_174!R138&gt;0,65,35)</f>
        <v>35</v>
      </c>
      <c r="X139" s="18">
        <f>IF(MATRIZ_174!O138=0,70,30)</f>
        <v>70</v>
      </c>
      <c r="Y139" s="18">
        <f>IF(OR(MATRIZ_174!P138="ASOCIACION",MATRIZ_174!P138="PENDIENTE"),65,40)</f>
        <v>65</v>
      </c>
      <c r="Z139" s="19">
        <f t="shared" si="53"/>
        <v>0</v>
      </c>
      <c r="AA139" s="20">
        <f t="shared" si="54"/>
        <v>44</v>
      </c>
      <c r="AB139" s="21">
        <f t="shared" si="55"/>
        <v>44</v>
      </c>
      <c r="AC139" s="13" t="str">
        <f t="shared" si="56"/>
        <v>⬜  Riesgo Latente</v>
      </c>
      <c r="AD139" s="13" t="str">
        <f t="shared" si="57"/>
        <v/>
      </c>
      <c r="AE139" s="22">
        <f>IFERROR(MATRIZ_174!W138,0)</f>
        <v>0</v>
      </c>
      <c r="AF139" s="22">
        <f>IFERROR(MATRIZ_174!X138,0)</f>
        <v>0</v>
      </c>
      <c r="AG139" s="22">
        <f>IFERROR(MATRIZ_174!Y138,0)</f>
        <v>0</v>
      </c>
      <c r="AH139" s="22">
        <f>IFERROR(MATRIZ_174!Z138,0)</f>
        <v>0</v>
      </c>
      <c r="AI139" s="17">
        <f>IFERROR(MATRIZ_174!AP138,"N/A")</f>
        <v>0</v>
      </c>
      <c r="AJ139" s="17">
        <f>IFERROR(MATRIZ_174!AO138,"N/A")</f>
        <v>0</v>
      </c>
      <c r="AK139" s="23">
        <f t="shared" si="58"/>
        <v>0</v>
      </c>
      <c r="AL139" s="24">
        <f t="shared" si="59"/>
        <v>0</v>
      </c>
    </row>
    <row r="140" spans="1:38" ht="16.05" customHeight="1" x14ac:dyDescent="0.3">
      <c r="A140" s="13" t="s">
        <v>350</v>
      </c>
      <c r="B140" s="14" t="s">
        <v>351</v>
      </c>
      <c r="C140" s="13" t="s">
        <v>182</v>
      </c>
      <c r="D140" s="15">
        <v>0</v>
      </c>
      <c r="E140" s="16">
        <v>0</v>
      </c>
      <c r="F140" s="17">
        <f>IFERROR(SCORECARDS!H139,"")</f>
        <v>0</v>
      </c>
      <c r="G140" s="17">
        <f>IFERROR(MATRIZ_174!U139,0)</f>
        <v>0</v>
      </c>
      <c r="H140" s="16">
        <v>0</v>
      </c>
      <c r="I140" s="17">
        <f>IFERROR(SCORECARDS!I139,"")</f>
        <v>0</v>
      </c>
      <c r="J140" s="17">
        <f>IFERROR(SCORECARDS!J139,"")</f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7">
        <f t="shared" si="48"/>
        <v>0</v>
      </c>
      <c r="Q140" s="17">
        <f t="shared" si="49"/>
        <v>0</v>
      </c>
      <c r="R140" s="17">
        <f t="shared" si="50"/>
        <v>0</v>
      </c>
      <c r="S140" s="17">
        <f t="shared" si="51"/>
        <v>0</v>
      </c>
      <c r="T140" s="17">
        <f>IFERROR((K140+M140+MATRIZ_174!O139)/3,0)</f>
        <v>0</v>
      </c>
      <c r="U140" s="18">
        <f>IFERROR(MATRIZ_174!AP139*50,0)</f>
        <v>0</v>
      </c>
      <c r="V140" s="18">
        <f t="shared" si="52"/>
        <v>50</v>
      </c>
      <c r="W140" s="18">
        <f>IF(MATRIZ_174!R139&gt;0,65,35)</f>
        <v>35</v>
      </c>
      <c r="X140" s="18">
        <f>IF(MATRIZ_174!O139=0,70,30)</f>
        <v>70</v>
      </c>
      <c r="Y140" s="18">
        <f>IF(OR(MATRIZ_174!P139="ASOCIACION",MATRIZ_174!P139="PENDIENTE"),65,40)</f>
        <v>65</v>
      </c>
      <c r="Z140" s="19">
        <f t="shared" si="53"/>
        <v>0</v>
      </c>
      <c r="AA140" s="20">
        <f t="shared" si="54"/>
        <v>44</v>
      </c>
      <c r="AB140" s="21">
        <f t="shared" si="55"/>
        <v>44</v>
      </c>
      <c r="AC140" s="13" t="str">
        <f t="shared" si="56"/>
        <v>⬜  Riesgo Latente</v>
      </c>
      <c r="AD140" s="13" t="str">
        <f t="shared" si="57"/>
        <v>🚫  Inh. vigente OSCE</v>
      </c>
      <c r="AE140" s="22">
        <f>IFERROR(MATRIZ_174!W139,0)</f>
        <v>0</v>
      </c>
      <c r="AF140" s="22">
        <f>IFERROR(MATRIZ_174!X139,0)</f>
        <v>0</v>
      </c>
      <c r="AG140" s="22">
        <f>IFERROR(MATRIZ_174!Y139,0)</f>
        <v>0</v>
      </c>
      <c r="AH140" s="22">
        <f>IFERROR(MATRIZ_174!Z139,0)</f>
        <v>0</v>
      </c>
      <c r="AI140" s="17">
        <f>IFERROR(MATRIZ_174!AP139,"N/A")</f>
        <v>0</v>
      </c>
      <c r="AJ140" s="17">
        <f>IFERROR(MATRIZ_174!AO139,"N/A")</f>
        <v>0</v>
      </c>
      <c r="AK140" s="23">
        <f t="shared" si="58"/>
        <v>0</v>
      </c>
      <c r="AL140" s="24">
        <f t="shared" si="59"/>
        <v>0</v>
      </c>
    </row>
    <row r="141" spans="1:38" ht="16.05" customHeight="1" x14ac:dyDescent="0.3">
      <c r="A141" s="13" t="s">
        <v>352</v>
      </c>
      <c r="B141" s="14" t="s">
        <v>353</v>
      </c>
      <c r="C141" s="13" t="s">
        <v>71</v>
      </c>
      <c r="D141" s="15">
        <v>0</v>
      </c>
      <c r="E141" s="16">
        <v>0</v>
      </c>
      <c r="F141" s="17">
        <f>IFERROR(SCORECARDS!H140,"")</f>
        <v>0</v>
      </c>
      <c r="G141" s="17">
        <f>IFERROR(MATRIZ_174!U140,0)</f>
        <v>0</v>
      </c>
      <c r="H141" s="16">
        <v>0</v>
      </c>
      <c r="I141" s="17">
        <f>IFERROR(SCORECARDS!I140,"")</f>
        <v>0</v>
      </c>
      <c r="J141" s="17">
        <f>IFERROR(SCORECARDS!J140,"")</f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7">
        <f t="shared" si="48"/>
        <v>0</v>
      </c>
      <c r="Q141" s="17">
        <f t="shared" si="49"/>
        <v>0</v>
      </c>
      <c r="R141" s="17">
        <f t="shared" si="50"/>
        <v>0</v>
      </c>
      <c r="S141" s="17">
        <f t="shared" si="51"/>
        <v>0</v>
      </c>
      <c r="T141" s="17">
        <f>IFERROR((K141+M141+MATRIZ_174!O140)/3,0)</f>
        <v>0</v>
      </c>
      <c r="U141" s="18">
        <f>IFERROR(MATRIZ_174!AP140*50,0)</f>
        <v>0</v>
      </c>
      <c r="V141" s="18">
        <f t="shared" si="52"/>
        <v>50</v>
      </c>
      <c r="W141" s="18">
        <f>IF(MATRIZ_174!R140&gt;0,65,35)</f>
        <v>35</v>
      </c>
      <c r="X141" s="18">
        <f>IF(MATRIZ_174!O140=0,70,30)</f>
        <v>70</v>
      </c>
      <c r="Y141" s="18">
        <f>IF(OR(MATRIZ_174!P140="ASOCIACION",MATRIZ_174!P140="PENDIENTE"),65,40)</f>
        <v>65</v>
      </c>
      <c r="Z141" s="19">
        <f t="shared" si="53"/>
        <v>0</v>
      </c>
      <c r="AA141" s="20">
        <f t="shared" si="54"/>
        <v>44</v>
      </c>
      <c r="AB141" s="21">
        <f t="shared" si="55"/>
        <v>44</v>
      </c>
      <c r="AC141" s="13" t="str">
        <f t="shared" si="56"/>
        <v>⬜  Riesgo Latente</v>
      </c>
      <c r="AD141" s="13" t="str">
        <f t="shared" si="57"/>
        <v>🚫  Inh. vigente OSCE</v>
      </c>
      <c r="AE141" s="22">
        <f>IFERROR(MATRIZ_174!W140,0)</f>
        <v>0</v>
      </c>
      <c r="AF141" s="22">
        <f>IFERROR(MATRIZ_174!X140,0)</f>
        <v>0</v>
      </c>
      <c r="AG141" s="22">
        <f>IFERROR(MATRIZ_174!Y140,0)</f>
        <v>0</v>
      </c>
      <c r="AH141" s="22">
        <f>IFERROR(MATRIZ_174!Z140,0)</f>
        <v>0</v>
      </c>
      <c r="AI141" s="17">
        <f>IFERROR(MATRIZ_174!AP140,"N/A")</f>
        <v>0</v>
      </c>
      <c r="AJ141" s="17">
        <f>IFERROR(MATRIZ_174!AO140,"N/A")</f>
        <v>0</v>
      </c>
      <c r="AK141" s="23">
        <f t="shared" si="58"/>
        <v>0</v>
      </c>
      <c r="AL141" s="24">
        <f t="shared" si="59"/>
        <v>0</v>
      </c>
    </row>
    <row r="142" spans="1:38" ht="16.05" customHeight="1" x14ac:dyDescent="0.3">
      <c r="A142" s="13" t="s">
        <v>354</v>
      </c>
      <c r="B142" s="14" t="s">
        <v>355</v>
      </c>
      <c r="C142" s="13" t="s">
        <v>74</v>
      </c>
      <c r="D142" s="15">
        <v>0</v>
      </c>
      <c r="E142" s="16">
        <v>0</v>
      </c>
      <c r="F142" s="17">
        <f>IFERROR(SCORECARDS!H141,"")</f>
        <v>0</v>
      </c>
      <c r="G142" s="17">
        <f>IFERROR(MATRIZ_174!U141,0)</f>
        <v>0</v>
      </c>
      <c r="H142" s="16">
        <v>0</v>
      </c>
      <c r="I142" s="17">
        <f>IFERROR(SCORECARDS!I141,"")</f>
        <v>0</v>
      </c>
      <c r="J142" s="17">
        <f>IFERROR(SCORECARDS!J141,"")</f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7">
        <f t="shared" si="48"/>
        <v>0</v>
      </c>
      <c r="Q142" s="17">
        <f t="shared" si="49"/>
        <v>0</v>
      </c>
      <c r="R142" s="17">
        <f t="shared" si="50"/>
        <v>0</v>
      </c>
      <c r="S142" s="17">
        <f t="shared" si="51"/>
        <v>0</v>
      </c>
      <c r="T142" s="17">
        <f>IFERROR((K142+M142+MATRIZ_174!O141)/3,0)</f>
        <v>0</v>
      </c>
      <c r="U142" s="18">
        <f>IFERROR(MATRIZ_174!AP141*50,0)</f>
        <v>0</v>
      </c>
      <c r="V142" s="18">
        <f t="shared" si="52"/>
        <v>50</v>
      </c>
      <c r="W142" s="18">
        <f>IF(MATRIZ_174!R141&gt;0,65,35)</f>
        <v>35</v>
      </c>
      <c r="X142" s="18">
        <f>IF(MATRIZ_174!O141=0,70,30)</f>
        <v>70</v>
      </c>
      <c r="Y142" s="18">
        <f>IF(OR(MATRIZ_174!P141="ASOCIACION",MATRIZ_174!P141="PENDIENTE"),65,40)</f>
        <v>65</v>
      </c>
      <c r="Z142" s="19">
        <f t="shared" si="53"/>
        <v>0</v>
      </c>
      <c r="AA142" s="20">
        <f t="shared" si="54"/>
        <v>44</v>
      </c>
      <c r="AB142" s="21">
        <f t="shared" si="55"/>
        <v>44</v>
      </c>
      <c r="AC142" s="13" t="str">
        <f t="shared" si="56"/>
        <v>⬜  Riesgo Latente</v>
      </c>
      <c r="AD142" s="13" t="str">
        <f t="shared" si="57"/>
        <v>🚫  Inh. vigente OSCE</v>
      </c>
      <c r="AE142" s="22">
        <f>IFERROR(MATRIZ_174!W141,0)</f>
        <v>0</v>
      </c>
      <c r="AF142" s="22">
        <f>IFERROR(MATRIZ_174!X141,0)</f>
        <v>0</v>
      </c>
      <c r="AG142" s="22">
        <f>IFERROR(MATRIZ_174!Y141,0)</f>
        <v>0</v>
      </c>
      <c r="AH142" s="22">
        <f>IFERROR(MATRIZ_174!Z141,0)</f>
        <v>0</v>
      </c>
      <c r="AI142" s="17">
        <f>IFERROR(MATRIZ_174!AP141,"N/A")</f>
        <v>0</v>
      </c>
      <c r="AJ142" s="17">
        <f>IFERROR(MATRIZ_174!AO141,"N/A")</f>
        <v>0</v>
      </c>
      <c r="AK142" s="23">
        <f t="shared" si="58"/>
        <v>0</v>
      </c>
      <c r="AL142" s="24">
        <f t="shared" si="59"/>
        <v>0</v>
      </c>
    </row>
    <row r="143" spans="1:38" ht="16.05" customHeight="1" x14ac:dyDescent="0.3">
      <c r="A143" s="13" t="s">
        <v>356</v>
      </c>
      <c r="B143" s="14" t="s">
        <v>357</v>
      </c>
      <c r="C143" s="13" t="s">
        <v>74</v>
      </c>
      <c r="D143" s="15">
        <v>0</v>
      </c>
      <c r="E143" s="16">
        <v>0</v>
      </c>
      <c r="F143" s="17">
        <f>IFERROR(SCORECARDS!H142,"")</f>
        <v>0</v>
      </c>
      <c r="G143" s="17">
        <f>IFERROR(MATRIZ_174!U142,0)</f>
        <v>0</v>
      </c>
      <c r="H143" s="16">
        <v>0</v>
      </c>
      <c r="I143" s="17">
        <f>IFERROR(SCORECARDS!I142,"")</f>
        <v>0</v>
      </c>
      <c r="J143" s="17">
        <f>IFERROR(SCORECARDS!J142,"")</f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7">
        <f t="shared" si="48"/>
        <v>0</v>
      </c>
      <c r="Q143" s="17">
        <f t="shared" si="49"/>
        <v>0</v>
      </c>
      <c r="R143" s="17">
        <f t="shared" si="50"/>
        <v>0</v>
      </c>
      <c r="S143" s="17">
        <f t="shared" si="51"/>
        <v>0</v>
      </c>
      <c r="T143" s="17">
        <f>IFERROR((K143+M143+MATRIZ_174!O142)/3,0)</f>
        <v>0</v>
      </c>
      <c r="U143" s="18">
        <f>IFERROR(MATRIZ_174!AP142*50,0)</f>
        <v>0</v>
      </c>
      <c r="V143" s="18">
        <f t="shared" si="52"/>
        <v>50</v>
      </c>
      <c r="W143" s="18">
        <f>IF(MATRIZ_174!R142&gt;0,65,35)</f>
        <v>35</v>
      </c>
      <c r="X143" s="18">
        <f>IF(MATRIZ_174!O142=0,70,30)</f>
        <v>70</v>
      </c>
      <c r="Y143" s="18">
        <f>IF(OR(MATRIZ_174!P142="ASOCIACION",MATRIZ_174!P142="PENDIENTE"),65,40)</f>
        <v>65</v>
      </c>
      <c r="Z143" s="19">
        <f t="shared" si="53"/>
        <v>0</v>
      </c>
      <c r="AA143" s="20">
        <f t="shared" si="54"/>
        <v>44</v>
      </c>
      <c r="AB143" s="21">
        <f t="shared" si="55"/>
        <v>44</v>
      </c>
      <c r="AC143" s="13" t="str">
        <f t="shared" si="56"/>
        <v>⬜  Riesgo Latente</v>
      </c>
      <c r="AD143" s="13" t="str">
        <f t="shared" si="57"/>
        <v>🚫  Inh. vigente OSCE</v>
      </c>
      <c r="AE143" s="22">
        <f>IFERROR(MATRIZ_174!W142,0)</f>
        <v>0</v>
      </c>
      <c r="AF143" s="22">
        <f>IFERROR(MATRIZ_174!X142,0)</f>
        <v>0</v>
      </c>
      <c r="AG143" s="22">
        <f>IFERROR(MATRIZ_174!Y142,0)</f>
        <v>0</v>
      </c>
      <c r="AH143" s="22">
        <f>IFERROR(MATRIZ_174!Z142,0)</f>
        <v>0</v>
      </c>
      <c r="AI143" s="17">
        <f>IFERROR(MATRIZ_174!AP142,"N/A")</f>
        <v>0</v>
      </c>
      <c r="AJ143" s="17">
        <f>IFERROR(MATRIZ_174!AO142,"N/A")</f>
        <v>0</v>
      </c>
      <c r="AK143" s="23">
        <f t="shared" si="58"/>
        <v>0</v>
      </c>
      <c r="AL143" s="24">
        <f t="shared" si="59"/>
        <v>0</v>
      </c>
    </row>
    <row r="144" spans="1:38" ht="16.05" customHeight="1" x14ac:dyDescent="0.3">
      <c r="A144" s="13" t="s">
        <v>358</v>
      </c>
      <c r="B144" s="14" t="s">
        <v>359</v>
      </c>
      <c r="C144" s="13" t="s">
        <v>129</v>
      </c>
      <c r="D144" s="15">
        <v>852880.44</v>
      </c>
      <c r="E144" s="16">
        <v>0</v>
      </c>
      <c r="F144" s="17">
        <f>IFERROR(SCORECARDS!H143,"")</f>
        <v>0</v>
      </c>
      <c r="G144" s="17">
        <f>IFERROR(MATRIZ_174!U143,0)</f>
        <v>1</v>
      </c>
      <c r="H144" s="16">
        <v>0</v>
      </c>
      <c r="I144" s="17">
        <f>IFERROR(SCORECARDS!I143,"")</f>
        <v>0</v>
      </c>
      <c r="J144" s="17">
        <f>IFERROR(SCORECARDS!J143,"")</f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7">
        <f t="shared" si="48"/>
        <v>0</v>
      </c>
      <c r="Q144" s="17">
        <f t="shared" si="49"/>
        <v>0</v>
      </c>
      <c r="R144" s="17">
        <f t="shared" si="50"/>
        <v>0</v>
      </c>
      <c r="S144" s="17">
        <f t="shared" si="51"/>
        <v>0</v>
      </c>
      <c r="T144" s="17">
        <f>IFERROR((K144+M144+MATRIZ_174!O143)/3,0)</f>
        <v>0</v>
      </c>
      <c r="U144" s="18">
        <f>IFERROR(MATRIZ_174!AP143*50,0)</f>
        <v>6.25</v>
      </c>
      <c r="V144" s="18">
        <f t="shared" si="52"/>
        <v>50</v>
      </c>
      <c r="W144" s="18">
        <f>IF(MATRIZ_174!R143&gt;0,65,35)</f>
        <v>65</v>
      </c>
      <c r="X144" s="18">
        <f>IF(MATRIZ_174!O143=0,70,30)</f>
        <v>70</v>
      </c>
      <c r="Y144" s="18">
        <f>IF(OR(MATRIZ_174!P143="ASOCIACION",MATRIZ_174!P143="PENDIENTE"),65,40)</f>
        <v>65</v>
      </c>
      <c r="Z144" s="19">
        <f t="shared" si="53"/>
        <v>0</v>
      </c>
      <c r="AA144" s="20">
        <f t="shared" si="54"/>
        <v>51.3</v>
      </c>
      <c r="AB144" s="21">
        <f t="shared" si="55"/>
        <v>51.3</v>
      </c>
      <c r="AC144" s="13" t="str">
        <f t="shared" si="56"/>
        <v>🔴  Riesgo Crítico</v>
      </c>
      <c r="AD144" s="13" t="str">
        <f t="shared" si="57"/>
        <v/>
      </c>
      <c r="AE144" s="22">
        <f>IFERROR(MATRIZ_174!W143,0)</f>
        <v>1</v>
      </c>
      <c r="AF144" s="22">
        <f>IFERROR(MATRIZ_174!X143,0)</f>
        <v>0</v>
      </c>
      <c r="AG144" s="22">
        <f>IFERROR(MATRIZ_174!Y143,0)</f>
        <v>0</v>
      </c>
      <c r="AH144" s="22">
        <f>IFERROR(MATRIZ_174!Z143,0)</f>
        <v>0</v>
      </c>
      <c r="AI144" s="17">
        <f>IFERROR(MATRIZ_174!AP143,"N/A")</f>
        <v>0.125</v>
      </c>
      <c r="AJ144" s="17">
        <f>IFERROR(MATRIZ_174!AO143,"N/A")</f>
        <v>0</v>
      </c>
      <c r="AK144" s="23">
        <f t="shared" si="58"/>
        <v>0</v>
      </c>
      <c r="AL144" s="24">
        <f t="shared" si="59"/>
        <v>0</v>
      </c>
    </row>
    <row r="145" spans="1:38" ht="16.05" customHeight="1" x14ac:dyDescent="0.3">
      <c r="A145" s="13" t="s">
        <v>360</v>
      </c>
      <c r="B145" s="14" t="s">
        <v>361</v>
      </c>
      <c r="C145" s="13" t="s">
        <v>74</v>
      </c>
      <c r="D145" s="15">
        <v>0</v>
      </c>
      <c r="E145" s="16">
        <v>0</v>
      </c>
      <c r="F145" s="17">
        <f>IFERROR(SCORECARDS!H144,"")</f>
        <v>0</v>
      </c>
      <c r="G145" s="17">
        <f>IFERROR(MATRIZ_174!U144,0)</f>
        <v>0</v>
      </c>
      <c r="H145" s="16">
        <v>0</v>
      </c>
      <c r="I145" s="17">
        <f>IFERROR(SCORECARDS!I144,"")</f>
        <v>0</v>
      </c>
      <c r="J145" s="17">
        <f>IFERROR(SCORECARDS!J144,"")</f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7">
        <f t="shared" si="48"/>
        <v>0</v>
      </c>
      <c r="Q145" s="17">
        <f t="shared" si="49"/>
        <v>0</v>
      </c>
      <c r="R145" s="17">
        <f t="shared" si="50"/>
        <v>0</v>
      </c>
      <c r="S145" s="17">
        <f t="shared" si="51"/>
        <v>0</v>
      </c>
      <c r="T145" s="17">
        <f>IFERROR((K145+M145+MATRIZ_174!O144)/3,0)</f>
        <v>0</v>
      </c>
      <c r="U145" s="18">
        <f>IFERROR(MATRIZ_174!AP144*50,0)</f>
        <v>0</v>
      </c>
      <c r="V145" s="18">
        <f t="shared" si="52"/>
        <v>50</v>
      </c>
      <c r="W145" s="18">
        <f>IF(MATRIZ_174!R144&gt;0,65,35)</f>
        <v>35</v>
      </c>
      <c r="X145" s="18">
        <f>IF(MATRIZ_174!O144=0,70,30)</f>
        <v>70</v>
      </c>
      <c r="Y145" s="18">
        <f>IF(OR(MATRIZ_174!P144="ASOCIACION",MATRIZ_174!P144="PENDIENTE"),65,40)</f>
        <v>65</v>
      </c>
      <c r="Z145" s="19">
        <f t="shared" si="53"/>
        <v>0</v>
      </c>
      <c r="AA145" s="20">
        <f t="shared" si="54"/>
        <v>44</v>
      </c>
      <c r="AB145" s="21">
        <f t="shared" si="55"/>
        <v>44</v>
      </c>
      <c r="AC145" s="13" t="str">
        <f t="shared" si="56"/>
        <v>⬜  Riesgo Latente</v>
      </c>
      <c r="AD145" s="13" t="str">
        <f t="shared" si="57"/>
        <v>🚫  Inh. vigente OSCE</v>
      </c>
      <c r="AE145" s="22">
        <f>IFERROR(MATRIZ_174!W144,0)</f>
        <v>0</v>
      </c>
      <c r="AF145" s="22">
        <f>IFERROR(MATRIZ_174!X144,0)</f>
        <v>0</v>
      </c>
      <c r="AG145" s="22">
        <f>IFERROR(MATRIZ_174!Y144,0)</f>
        <v>0</v>
      </c>
      <c r="AH145" s="22">
        <f>IFERROR(MATRIZ_174!Z144,0)</f>
        <v>0</v>
      </c>
      <c r="AI145" s="17">
        <f>IFERROR(MATRIZ_174!AP144,"N/A")</f>
        <v>0</v>
      </c>
      <c r="AJ145" s="17">
        <f>IFERROR(MATRIZ_174!AO144,"N/A")</f>
        <v>0</v>
      </c>
      <c r="AK145" s="23">
        <f t="shared" si="58"/>
        <v>0</v>
      </c>
      <c r="AL145" s="24">
        <f t="shared" si="59"/>
        <v>0</v>
      </c>
    </row>
    <row r="146" spans="1:38" ht="16.05" customHeight="1" x14ac:dyDescent="0.3">
      <c r="A146" s="13" t="s">
        <v>362</v>
      </c>
      <c r="B146" s="14" t="s">
        <v>363</v>
      </c>
      <c r="C146" s="13" t="s">
        <v>74</v>
      </c>
      <c r="D146" s="15">
        <v>0</v>
      </c>
      <c r="E146" s="16">
        <v>0</v>
      </c>
      <c r="F146" s="17">
        <f>IFERROR(SCORECARDS!H145,"")</f>
        <v>0</v>
      </c>
      <c r="G146" s="17">
        <f>IFERROR(MATRIZ_174!U145,0)</f>
        <v>0</v>
      </c>
      <c r="H146" s="16">
        <v>0</v>
      </c>
      <c r="I146" s="17">
        <f>IFERROR(SCORECARDS!I145,"")</f>
        <v>0</v>
      </c>
      <c r="J146" s="17">
        <f>IFERROR(SCORECARDS!J145,"")</f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7">
        <f t="shared" si="48"/>
        <v>0</v>
      </c>
      <c r="Q146" s="17">
        <f t="shared" si="49"/>
        <v>0</v>
      </c>
      <c r="R146" s="17">
        <f t="shared" si="50"/>
        <v>0</v>
      </c>
      <c r="S146" s="17">
        <f t="shared" si="51"/>
        <v>0</v>
      </c>
      <c r="T146" s="17">
        <f>IFERROR((K146+M146+MATRIZ_174!O145)/3,0)</f>
        <v>0</v>
      </c>
      <c r="U146" s="18">
        <f>IFERROR(MATRIZ_174!AP145*50,0)</f>
        <v>0</v>
      </c>
      <c r="V146" s="18">
        <f t="shared" si="52"/>
        <v>50</v>
      </c>
      <c r="W146" s="18">
        <f>IF(MATRIZ_174!R145&gt;0,65,35)</f>
        <v>35</v>
      </c>
      <c r="X146" s="18">
        <f>IF(MATRIZ_174!O145=0,70,30)</f>
        <v>70</v>
      </c>
      <c r="Y146" s="18">
        <f>IF(OR(MATRIZ_174!P145="ASOCIACION",MATRIZ_174!P145="PENDIENTE"),65,40)</f>
        <v>65</v>
      </c>
      <c r="Z146" s="19">
        <f t="shared" si="53"/>
        <v>0</v>
      </c>
      <c r="AA146" s="20">
        <f t="shared" si="54"/>
        <v>44</v>
      </c>
      <c r="AB146" s="21">
        <f t="shared" si="55"/>
        <v>44</v>
      </c>
      <c r="AC146" s="13" t="str">
        <f t="shared" si="56"/>
        <v>⬜  Riesgo Latente</v>
      </c>
      <c r="AD146" s="13" t="str">
        <f t="shared" si="57"/>
        <v>🚫  Inh. vigente OSCE</v>
      </c>
      <c r="AE146" s="22">
        <f>IFERROR(MATRIZ_174!W145,0)</f>
        <v>0</v>
      </c>
      <c r="AF146" s="22">
        <f>IFERROR(MATRIZ_174!X145,0)</f>
        <v>0</v>
      </c>
      <c r="AG146" s="22">
        <f>IFERROR(MATRIZ_174!Y145,0)</f>
        <v>0</v>
      </c>
      <c r="AH146" s="22">
        <f>IFERROR(MATRIZ_174!Z145,0)</f>
        <v>0</v>
      </c>
      <c r="AI146" s="17">
        <f>IFERROR(MATRIZ_174!AP145,"N/A")</f>
        <v>0</v>
      </c>
      <c r="AJ146" s="17">
        <f>IFERROR(MATRIZ_174!AO145,"N/A")</f>
        <v>0</v>
      </c>
      <c r="AK146" s="23">
        <f t="shared" si="58"/>
        <v>0</v>
      </c>
      <c r="AL146" s="24">
        <f t="shared" si="59"/>
        <v>0</v>
      </c>
    </row>
    <row r="147" spans="1:38" ht="16.05" customHeight="1" x14ac:dyDescent="0.3">
      <c r="A147" s="13" t="s">
        <v>364</v>
      </c>
      <c r="B147" s="14" t="s">
        <v>365</v>
      </c>
      <c r="C147" s="13" t="s">
        <v>71</v>
      </c>
      <c r="D147" s="15">
        <v>332555.15999999997</v>
      </c>
      <c r="E147" s="16">
        <v>0</v>
      </c>
      <c r="F147" s="17">
        <f>IFERROR(SCORECARDS!H146,"")</f>
        <v>0</v>
      </c>
      <c r="G147" s="17">
        <f>IFERROR(MATRIZ_174!U146,0)</f>
        <v>1</v>
      </c>
      <c r="H147" s="16">
        <v>0</v>
      </c>
      <c r="I147" s="17">
        <f>IFERROR(SCORECARDS!I146,"")</f>
        <v>0</v>
      </c>
      <c r="J147" s="17">
        <f>IFERROR(SCORECARDS!J146,"")</f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7">
        <f t="shared" si="48"/>
        <v>0</v>
      </c>
      <c r="Q147" s="17">
        <f t="shared" si="49"/>
        <v>0</v>
      </c>
      <c r="R147" s="17">
        <f t="shared" si="50"/>
        <v>0</v>
      </c>
      <c r="S147" s="17">
        <f t="shared" si="51"/>
        <v>0</v>
      </c>
      <c r="T147" s="17">
        <f>IFERROR((K147+M147+MATRIZ_174!O146)/3,0)</f>
        <v>0</v>
      </c>
      <c r="U147" s="18">
        <f>IFERROR(MATRIZ_174!AP146*50,0)</f>
        <v>6.25</v>
      </c>
      <c r="V147" s="18">
        <f t="shared" si="52"/>
        <v>50</v>
      </c>
      <c r="W147" s="18">
        <f>IF(MATRIZ_174!R146&gt;0,65,35)</f>
        <v>65</v>
      </c>
      <c r="X147" s="18">
        <f>IF(MATRIZ_174!O146=0,70,30)</f>
        <v>70</v>
      </c>
      <c r="Y147" s="18">
        <f>IF(OR(MATRIZ_174!P146="ASOCIACION",MATRIZ_174!P146="PENDIENTE"),65,40)</f>
        <v>65</v>
      </c>
      <c r="Z147" s="19">
        <f t="shared" si="53"/>
        <v>0</v>
      </c>
      <c r="AA147" s="20">
        <f t="shared" si="54"/>
        <v>51.3</v>
      </c>
      <c r="AB147" s="21">
        <f t="shared" si="55"/>
        <v>51.3</v>
      </c>
      <c r="AC147" s="13" t="str">
        <f t="shared" si="56"/>
        <v>🔴  Riesgo Crítico</v>
      </c>
      <c r="AD147" s="13" t="str">
        <f t="shared" si="57"/>
        <v/>
      </c>
      <c r="AE147" s="22">
        <f>IFERROR(MATRIZ_174!W146,0)</f>
        <v>1</v>
      </c>
      <c r="AF147" s="22">
        <f>IFERROR(MATRIZ_174!X146,0)</f>
        <v>0</v>
      </c>
      <c r="AG147" s="22">
        <f>IFERROR(MATRIZ_174!Y146,0)</f>
        <v>0</v>
      </c>
      <c r="AH147" s="22">
        <f>IFERROR(MATRIZ_174!Z146,0)</f>
        <v>0</v>
      </c>
      <c r="AI147" s="17">
        <f>IFERROR(MATRIZ_174!AP146,"N/A")</f>
        <v>0.125</v>
      </c>
      <c r="AJ147" s="17">
        <f>IFERROR(MATRIZ_174!AO146,"N/A")</f>
        <v>0</v>
      </c>
      <c r="AK147" s="23">
        <f t="shared" si="58"/>
        <v>0</v>
      </c>
      <c r="AL147" s="24">
        <f t="shared" si="59"/>
        <v>0</v>
      </c>
    </row>
    <row r="148" spans="1:38" ht="16.05" customHeight="1" x14ac:dyDescent="0.3">
      <c r="A148" s="13" t="s">
        <v>366</v>
      </c>
      <c r="B148" s="14" t="s">
        <v>367</v>
      </c>
      <c r="C148" s="13" t="s">
        <v>230</v>
      </c>
      <c r="D148" s="15">
        <v>271980.69</v>
      </c>
      <c r="E148" s="16">
        <v>0</v>
      </c>
      <c r="F148" s="17">
        <f>IFERROR(SCORECARDS!H147,"")</f>
        <v>0</v>
      </c>
      <c r="G148" s="17">
        <f>IFERROR(MATRIZ_174!U147,0)</f>
        <v>1</v>
      </c>
      <c r="H148" s="16">
        <v>0</v>
      </c>
      <c r="I148" s="17">
        <f>IFERROR(SCORECARDS!I147,"")</f>
        <v>0</v>
      </c>
      <c r="J148" s="17">
        <f>IFERROR(SCORECARDS!J147,"")</f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7">
        <f t="shared" si="48"/>
        <v>0</v>
      </c>
      <c r="Q148" s="17">
        <f t="shared" si="49"/>
        <v>0</v>
      </c>
      <c r="R148" s="17">
        <f t="shared" si="50"/>
        <v>0</v>
      </c>
      <c r="S148" s="17">
        <f t="shared" si="51"/>
        <v>0</v>
      </c>
      <c r="T148" s="17">
        <f>IFERROR((K148+M148+MATRIZ_174!O147)/3,0)</f>
        <v>0</v>
      </c>
      <c r="U148" s="18">
        <f>IFERROR(MATRIZ_174!AP147*50,0)</f>
        <v>0</v>
      </c>
      <c r="V148" s="18">
        <f t="shared" si="52"/>
        <v>50</v>
      </c>
      <c r="W148" s="18">
        <f>IF(MATRIZ_174!R147&gt;0,65,35)</f>
        <v>35</v>
      </c>
      <c r="X148" s="18">
        <f>IF(MATRIZ_174!O147=0,70,30)</f>
        <v>70</v>
      </c>
      <c r="Y148" s="18">
        <f>IF(OR(MATRIZ_174!P147="ASOCIACION",MATRIZ_174!P147="PENDIENTE"),65,40)</f>
        <v>65</v>
      </c>
      <c r="Z148" s="19">
        <f t="shared" si="53"/>
        <v>0</v>
      </c>
      <c r="AA148" s="20">
        <f t="shared" si="54"/>
        <v>44</v>
      </c>
      <c r="AB148" s="21">
        <f t="shared" si="55"/>
        <v>44</v>
      </c>
      <c r="AC148" s="13" t="str">
        <f t="shared" si="56"/>
        <v>⬜  Riesgo Latente</v>
      </c>
      <c r="AD148" s="13" t="str">
        <f t="shared" si="57"/>
        <v/>
      </c>
      <c r="AE148" s="22">
        <f>IFERROR(MATRIZ_174!W147,0)</f>
        <v>0</v>
      </c>
      <c r="AF148" s="22">
        <f>IFERROR(MATRIZ_174!X147,0)</f>
        <v>0</v>
      </c>
      <c r="AG148" s="22">
        <f>IFERROR(MATRIZ_174!Y147,0)</f>
        <v>0</v>
      </c>
      <c r="AH148" s="22">
        <f>IFERROR(MATRIZ_174!Z147,0)</f>
        <v>0</v>
      </c>
      <c r="AI148" s="17">
        <f>IFERROR(MATRIZ_174!AP147,"N/A")</f>
        <v>0</v>
      </c>
      <c r="AJ148" s="17">
        <f>IFERROR(MATRIZ_174!AO147,"N/A")</f>
        <v>0</v>
      </c>
      <c r="AK148" s="23">
        <f t="shared" si="58"/>
        <v>0</v>
      </c>
      <c r="AL148" s="24">
        <f t="shared" si="59"/>
        <v>0</v>
      </c>
    </row>
    <row r="149" spans="1:38" ht="16.05" customHeight="1" x14ac:dyDescent="0.3">
      <c r="A149" s="13" t="s">
        <v>368</v>
      </c>
      <c r="B149" s="14" t="s">
        <v>369</v>
      </c>
      <c r="C149" s="13" t="s">
        <v>74</v>
      </c>
      <c r="D149" s="15">
        <v>0</v>
      </c>
      <c r="E149" s="16">
        <v>0</v>
      </c>
      <c r="F149" s="17">
        <f>IFERROR(SCORECARDS!H148,"")</f>
        <v>0</v>
      </c>
      <c r="G149" s="17">
        <f>IFERROR(MATRIZ_174!U148,0)</f>
        <v>0</v>
      </c>
      <c r="H149" s="16">
        <v>0</v>
      </c>
      <c r="I149" s="17">
        <f>IFERROR(SCORECARDS!I148,"")</f>
        <v>0</v>
      </c>
      <c r="J149" s="17">
        <f>IFERROR(SCORECARDS!J148,"")</f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7">
        <f t="shared" si="48"/>
        <v>0</v>
      </c>
      <c r="Q149" s="17">
        <f t="shared" si="49"/>
        <v>0</v>
      </c>
      <c r="R149" s="17">
        <f t="shared" si="50"/>
        <v>0</v>
      </c>
      <c r="S149" s="17">
        <f t="shared" si="51"/>
        <v>0</v>
      </c>
      <c r="T149" s="17">
        <f>IFERROR((K149+M149+MATRIZ_174!O148)/3,0)</f>
        <v>0</v>
      </c>
      <c r="U149" s="18">
        <f>IFERROR(MATRIZ_174!AP148*50,0)</f>
        <v>0</v>
      </c>
      <c r="V149" s="18">
        <f t="shared" si="52"/>
        <v>50</v>
      </c>
      <c r="W149" s="18">
        <f>IF(MATRIZ_174!R148&gt;0,65,35)</f>
        <v>35</v>
      </c>
      <c r="X149" s="18">
        <f>IF(MATRIZ_174!O148=0,70,30)</f>
        <v>70</v>
      </c>
      <c r="Y149" s="18">
        <f>IF(OR(MATRIZ_174!P148="ASOCIACION",MATRIZ_174!P148="PENDIENTE"),65,40)</f>
        <v>65</v>
      </c>
      <c r="Z149" s="19">
        <f t="shared" si="53"/>
        <v>0</v>
      </c>
      <c r="AA149" s="20">
        <f t="shared" si="54"/>
        <v>44</v>
      </c>
      <c r="AB149" s="21">
        <f t="shared" si="55"/>
        <v>44</v>
      </c>
      <c r="AC149" s="13" t="str">
        <f t="shared" si="56"/>
        <v>⬜  Riesgo Latente</v>
      </c>
      <c r="AD149" s="13" t="str">
        <f t="shared" si="57"/>
        <v>🚫  Inh. vigente OSCE</v>
      </c>
      <c r="AE149" s="22">
        <f>IFERROR(MATRIZ_174!W148,0)</f>
        <v>0</v>
      </c>
      <c r="AF149" s="22">
        <f>IFERROR(MATRIZ_174!X148,0)</f>
        <v>0</v>
      </c>
      <c r="AG149" s="22">
        <f>IFERROR(MATRIZ_174!Y148,0)</f>
        <v>0</v>
      </c>
      <c r="AH149" s="22">
        <f>IFERROR(MATRIZ_174!Z148,0)</f>
        <v>0</v>
      </c>
      <c r="AI149" s="17">
        <f>IFERROR(MATRIZ_174!AP148,"N/A")</f>
        <v>0</v>
      </c>
      <c r="AJ149" s="17">
        <f>IFERROR(MATRIZ_174!AO148,"N/A")</f>
        <v>0</v>
      </c>
      <c r="AK149" s="23">
        <f t="shared" si="58"/>
        <v>0</v>
      </c>
      <c r="AL149" s="24">
        <f t="shared" si="59"/>
        <v>0</v>
      </c>
    </row>
    <row r="150" spans="1:38" ht="16.05" customHeight="1" x14ac:dyDescent="0.3">
      <c r="A150" s="13" t="s">
        <v>370</v>
      </c>
      <c r="B150" s="14" t="s">
        <v>371</v>
      </c>
      <c r="C150" s="13" t="s">
        <v>140</v>
      </c>
      <c r="D150" s="15">
        <v>0</v>
      </c>
      <c r="E150" s="16">
        <v>0</v>
      </c>
      <c r="F150" s="17">
        <f>IFERROR(SCORECARDS!H149,"")</f>
        <v>0</v>
      </c>
      <c r="G150" s="17">
        <f>IFERROR(MATRIZ_174!U149,0)</f>
        <v>0</v>
      </c>
      <c r="H150" s="16">
        <v>0</v>
      </c>
      <c r="I150" s="17">
        <f>IFERROR(SCORECARDS!I149,"")</f>
        <v>0</v>
      </c>
      <c r="J150" s="17">
        <f>IFERROR(SCORECARDS!J149,"")</f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7">
        <f t="shared" si="48"/>
        <v>0</v>
      </c>
      <c r="Q150" s="17">
        <f t="shared" si="49"/>
        <v>0</v>
      </c>
      <c r="R150" s="17">
        <f t="shared" si="50"/>
        <v>0</v>
      </c>
      <c r="S150" s="17">
        <f t="shared" si="51"/>
        <v>0</v>
      </c>
      <c r="T150" s="17">
        <f>IFERROR((K150+M150+MATRIZ_174!O149)/3,0)</f>
        <v>0.33333333333333331</v>
      </c>
      <c r="U150" s="18">
        <f>IFERROR(MATRIZ_174!AP149*50,0)</f>
        <v>6.25</v>
      </c>
      <c r="V150" s="18">
        <f t="shared" si="52"/>
        <v>50</v>
      </c>
      <c r="W150" s="18">
        <f>IF(MATRIZ_174!R149&gt;0,65,35)</f>
        <v>65</v>
      </c>
      <c r="X150" s="18">
        <f>IF(MATRIZ_174!O149=0,70,30)</f>
        <v>30</v>
      </c>
      <c r="Y150" s="18">
        <f>IF(OR(MATRIZ_174!P149="ASOCIACION",MATRIZ_174!P149="PENDIENTE"),65,40)</f>
        <v>65</v>
      </c>
      <c r="Z150" s="19">
        <f t="shared" si="53"/>
        <v>0.1</v>
      </c>
      <c r="AA150" s="20">
        <f t="shared" si="54"/>
        <v>43.3</v>
      </c>
      <c r="AB150" s="21">
        <f t="shared" si="55"/>
        <v>43.3</v>
      </c>
      <c r="AC150" s="13" t="str">
        <f t="shared" si="56"/>
        <v>⬜  Riesgo Latente</v>
      </c>
      <c r="AD150" s="13" t="str">
        <f t="shared" si="57"/>
        <v>🚫  Inh. vigente OSCE</v>
      </c>
      <c r="AE150" s="22">
        <f>IFERROR(MATRIZ_174!W149,0)</f>
        <v>1</v>
      </c>
      <c r="AF150" s="22">
        <f>IFERROR(MATRIZ_174!X149,0)</f>
        <v>0</v>
      </c>
      <c r="AG150" s="22">
        <f>IFERROR(MATRIZ_174!Y149,0)</f>
        <v>0</v>
      </c>
      <c r="AH150" s="22">
        <f>IFERROR(MATRIZ_174!Z149,0)</f>
        <v>0</v>
      </c>
      <c r="AI150" s="17">
        <f>IFERROR(MATRIZ_174!AP149,"N/A")</f>
        <v>0.125</v>
      </c>
      <c r="AJ150" s="17">
        <f>IFERROR(MATRIZ_174!AO149,"N/A")</f>
        <v>0</v>
      </c>
      <c r="AK150" s="23">
        <f t="shared" si="58"/>
        <v>0</v>
      </c>
      <c r="AL150" s="24">
        <f t="shared" si="59"/>
        <v>0</v>
      </c>
    </row>
    <row r="151" spans="1:38" ht="16.05" customHeight="1" x14ac:dyDescent="0.3">
      <c r="A151" s="13" t="s">
        <v>372</v>
      </c>
      <c r="B151" s="14" t="s">
        <v>373</v>
      </c>
      <c r="C151" s="13" t="s">
        <v>95</v>
      </c>
      <c r="D151" s="15">
        <v>0</v>
      </c>
      <c r="E151" s="16">
        <v>0</v>
      </c>
      <c r="F151" s="17">
        <f>IFERROR(SCORECARDS!H150,"")</f>
        <v>0</v>
      </c>
      <c r="G151" s="17">
        <f>IFERROR(MATRIZ_174!U150,0)</f>
        <v>0</v>
      </c>
      <c r="H151" s="16">
        <v>0</v>
      </c>
      <c r="I151" s="17">
        <f>IFERROR(SCORECARDS!I150,"")</f>
        <v>0</v>
      </c>
      <c r="J151" s="17">
        <f>IFERROR(SCORECARDS!J150,"")</f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7">
        <f t="shared" si="48"/>
        <v>0</v>
      </c>
      <c r="Q151" s="17">
        <f t="shared" si="49"/>
        <v>0</v>
      </c>
      <c r="R151" s="17">
        <f t="shared" si="50"/>
        <v>0</v>
      </c>
      <c r="S151" s="17">
        <f t="shared" si="51"/>
        <v>0</v>
      </c>
      <c r="T151" s="17">
        <f>IFERROR((K151+M151+MATRIZ_174!O150)/3,0)</f>
        <v>0</v>
      </c>
      <c r="U151" s="18">
        <f>IFERROR(MATRIZ_174!AP150*50,0)</f>
        <v>0</v>
      </c>
      <c r="V151" s="18">
        <f t="shared" si="52"/>
        <v>50</v>
      </c>
      <c r="W151" s="18">
        <f>IF(MATRIZ_174!R150&gt;0,65,35)</f>
        <v>35</v>
      </c>
      <c r="X151" s="18">
        <f>IF(MATRIZ_174!O150=0,70,30)</f>
        <v>70</v>
      </c>
      <c r="Y151" s="18">
        <f>IF(OR(MATRIZ_174!P150="ASOCIACION",MATRIZ_174!P150="PENDIENTE"),65,40)</f>
        <v>65</v>
      </c>
      <c r="Z151" s="19">
        <f t="shared" si="53"/>
        <v>0</v>
      </c>
      <c r="AA151" s="20">
        <f t="shared" si="54"/>
        <v>44</v>
      </c>
      <c r="AB151" s="21">
        <f t="shared" si="55"/>
        <v>44</v>
      </c>
      <c r="AC151" s="13" t="str">
        <f t="shared" si="56"/>
        <v>⬜  Riesgo Latente</v>
      </c>
      <c r="AD151" s="13" t="str">
        <f t="shared" si="57"/>
        <v>🚫  Inh. vigente OSCE</v>
      </c>
      <c r="AE151" s="22">
        <f>IFERROR(MATRIZ_174!W150,0)</f>
        <v>0</v>
      </c>
      <c r="AF151" s="22">
        <f>IFERROR(MATRIZ_174!X150,0)</f>
        <v>0</v>
      </c>
      <c r="AG151" s="22">
        <f>IFERROR(MATRIZ_174!Y150,0)</f>
        <v>0</v>
      </c>
      <c r="AH151" s="22">
        <f>IFERROR(MATRIZ_174!Z150,0)</f>
        <v>0</v>
      </c>
      <c r="AI151" s="17">
        <f>IFERROR(MATRIZ_174!AP150,"N/A")</f>
        <v>0</v>
      </c>
      <c r="AJ151" s="17">
        <f>IFERROR(MATRIZ_174!AO150,"N/A")</f>
        <v>0</v>
      </c>
      <c r="AK151" s="23">
        <f t="shared" si="58"/>
        <v>0</v>
      </c>
      <c r="AL151" s="24">
        <f t="shared" si="59"/>
        <v>0</v>
      </c>
    </row>
    <row r="152" spans="1:38" ht="16.05" customHeight="1" x14ac:dyDescent="0.3">
      <c r="A152" s="13" t="s">
        <v>374</v>
      </c>
      <c r="B152" s="14" t="s">
        <v>375</v>
      </c>
      <c r="C152" s="13" t="s">
        <v>169</v>
      </c>
      <c r="D152" s="15">
        <v>0</v>
      </c>
      <c r="E152" s="16">
        <v>0</v>
      </c>
      <c r="F152" s="17">
        <f>IFERROR(SCORECARDS!H151,"")</f>
        <v>0</v>
      </c>
      <c r="G152" s="17">
        <f>IFERROR(MATRIZ_174!U151,0)</f>
        <v>0</v>
      </c>
      <c r="H152" s="16">
        <v>0</v>
      </c>
      <c r="I152" s="17">
        <f>IFERROR(SCORECARDS!I151,"")</f>
        <v>0</v>
      </c>
      <c r="J152" s="17">
        <f>IFERROR(SCORECARDS!J151,"")</f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7">
        <f t="shared" si="48"/>
        <v>0</v>
      </c>
      <c r="Q152" s="17">
        <f t="shared" si="49"/>
        <v>0</v>
      </c>
      <c r="R152" s="17">
        <f t="shared" si="50"/>
        <v>0</v>
      </c>
      <c r="S152" s="17">
        <f t="shared" si="51"/>
        <v>0</v>
      </c>
      <c r="T152" s="17">
        <f>IFERROR((K152+M152+MATRIZ_174!O151)/3,0)</f>
        <v>0</v>
      </c>
      <c r="U152" s="18">
        <f>IFERROR(MATRIZ_174!AP151*50,0)</f>
        <v>0</v>
      </c>
      <c r="V152" s="18">
        <f t="shared" si="52"/>
        <v>50</v>
      </c>
      <c r="W152" s="18">
        <f>IF(MATRIZ_174!R151&gt;0,65,35)</f>
        <v>35</v>
      </c>
      <c r="X152" s="18">
        <f>IF(MATRIZ_174!O151=0,70,30)</f>
        <v>70</v>
      </c>
      <c r="Y152" s="18">
        <f>IF(OR(MATRIZ_174!P151="ASOCIACION",MATRIZ_174!P151="PENDIENTE"),65,40)</f>
        <v>65</v>
      </c>
      <c r="Z152" s="19">
        <f t="shared" si="53"/>
        <v>0</v>
      </c>
      <c r="AA152" s="20">
        <f t="shared" si="54"/>
        <v>44</v>
      </c>
      <c r="AB152" s="21">
        <f t="shared" si="55"/>
        <v>44</v>
      </c>
      <c r="AC152" s="13" t="str">
        <f t="shared" si="56"/>
        <v>⬜  Riesgo Latente</v>
      </c>
      <c r="AD152" s="13" t="str">
        <f t="shared" si="57"/>
        <v>🚫  Inh. vigente OSCE</v>
      </c>
      <c r="AE152" s="22">
        <f>IFERROR(MATRIZ_174!W151,0)</f>
        <v>0</v>
      </c>
      <c r="AF152" s="22">
        <f>IFERROR(MATRIZ_174!X151,0)</f>
        <v>0</v>
      </c>
      <c r="AG152" s="22">
        <f>IFERROR(MATRIZ_174!Y151,0)</f>
        <v>0</v>
      </c>
      <c r="AH152" s="22">
        <f>IFERROR(MATRIZ_174!Z151,0)</f>
        <v>0</v>
      </c>
      <c r="AI152" s="17">
        <f>IFERROR(MATRIZ_174!AP151,"N/A")</f>
        <v>0</v>
      </c>
      <c r="AJ152" s="17">
        <f>IFERROR(MATRIZ_174!AO151,"N/A")</f>
        <v>0</v>
      </c>
      <c r="AK152" s="23">
        <f t="shared" si="58"/>
        <v>0</v>
      </c>
      <c r="AL152" s="24">
        <f t="shared" si="59"/>
        <v>0</v>
      </c>
    </row>
    <row r="153" spans="1:38" ht="16.05" customHeight="1" x14ac:dyDescent="0.3">
      <c r="A153" s="13" t="s">
        <v>376</v>
      </c>
      <c r="B153" s="14" t="s">
        <v>377</v>
      </c>
      <c r="C153" s="13" t="s">
        <v>74</v>
      </c>
      <c r="D153" s="15">
        <v>0</v>
      </c>
      <c r="E153" s="16">
        <v>0</v>
      </c>
      <c r="F153" s="17">
        <f>IFERROR(SCORECARDS!H152,"")</f>
        <v>0</v>
      </c>
      <c r="G153" s="17">
        <f>IFERROR(MATRIZ_174!U152,0)</f>
        <v>0</v>
      </c>
      <c r="H153" s="16">
        <v>0</v>
      </c>
      <c r="I153" s="17">
        <f>IFERROR(SCORECARDS!I152,"")</f>
        <v>0</v>
      </c>
      <c r="J153" s="17">
        <f>IFERROR(SCORECARDS!J152,"")</f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7">
        <f t="shared" si="48"/>
        <v>0</v>
      </c>
      <c r="Q153" s="17">
        <f t="shared" si="49"/>
        <v>0</v>
      </c>
      <c r="R153" s="17">
        <f t="shared" si="50"/>
        <v>0</v>
      </c>
      <c r="S153" s="17">
        <f t="shared" si="51"/>
        <v>0</v>
      </c>
      <c r="T153" s="17">
        <f>IFERROR((K153+M153+MATRIZ_174!O152)/3,0)</f>
        <v>0</v>
      </c>
      <c r="U153" s="18">
        <f>IFERROR(MATRIZ_174!AP152*50,0)</f>
        <v>0</v>
      </c>
      <c r="V153" s="18">
        <f t="shared" si="52"/>
        <v>50</v>
      </c>
      <c r="W153" s="18">
        <f>IF(MATRIZ_174!R152&gt;0,65,35)</f>
        <v>35</v>
      </c>
      <c r="X153" s="18">
        <f>IF(MATRIZ_174!O152=0,70,30)</f>
        <v>70</v>
      </c>
      <c r="Y153" s="18">
        <f>IF(OR(MATRIZ_174!P152="ASOCIACION",MATRIZ_174!P152="PENDIENTE"),65,40)</f>
        <v>65</v>
      </c>
      <c r="Z153" s="19">
        <f t="shared" si="53"/>
        <v>0</v>
      </c>
      <c r="AA153" s="20">
        <f t="shared" si="54"/>
        <v>44</v>
      </c>
      <c r="AB153" s="21">
        <f t="shared" si="55"/>
        <v>44</v>
      </c>
      <c r="AC153" s="13" t="str">
        <f t="shared" si="56"/>
        <v>⬜  Riesgo Latente</v>
      </c>
      <c r="AD153" s="13" t="str">
        <f t="shared" si="57"/>
        <v>🚫  Inh. vigente OSCE</v>
      </c>
      <c r="AE153" s="22">
        <f>IFERROR(MATRIZ_174!W152,0)</f>
        <v>0</v>
      </c>
      <c r="AF153" s="22">
        <f>IFERROR(MATRIZ_174!X152,0)</f>
        <v>0</v>
      </c>
      <c r="AG153" s="22">
        <f>IFERROR(MATRIZ_174!Y152,0)</f>
        <v>0</v>
      </c>
      <c r="AH153" s="22">
        <f>IFERROR(MATRIZ_174!Z152,0)</f>
        <v>0</v>
      </c>
      <c r="AI153" s="17">
        <f>IFERROR(MATRIZ_174!AP152,"N/A")</f>
        <v>0</v>
      </c>
      <c r="AJ153" s="17">
        <f>IFERROR(MATRIZ_174!AO152,"N/A")</f>
        <v>0</v>
      </c>
      <c r="AK153" s="23">
        <f t="shared" si="58"/>
        <v>0</v>
      </c>
      <c r="AL153" s="24">
        <f t="shared" si="59"/>
        <v>0</v>
      </c>
    </row>
    <row r="154" spans="1:38" ht="16.05" customHeight="1" x14ac:dyDescent="0.3">
      <c r="A154" s="13" t="s">
        <v>378</v>
      </c>
      <c r="B154" s="14" t="s">
        <v>379</v>
      </c>
      <c r="C154" s="13" t="s">
        <v>74</v>
      </c>
      <c r="D154" s="15">
        <v>0</v>
      </c>
      <c r="E154" s="16">
        <v>0</v>
      </c>
      <c r="F154" s="17">
        <f>IFERROR(SCORECARDS!H153,"")</f>
        <v>0</v>
      </c>
      <c r="G154" s="17">
        <f>IFERROR(MATRIZ_174!U153,0)</f>
        <v>0</v>
      </c>
      <c r="H154" s="16">
        <v>0</v>
      </c>
      <c r="I154" s="17">
        <f>IFERROR(SCORECARDS!I153,"")</f>
        <v>0</v>
      </c>
      <c r="J154" s="17">
        <f>IFERROR(SCORECARDS!J153,"")</f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7">
        <f t="shared" si="48"/>
        <v>0</v>
      </c>
      <c r="Q154" s="17">
        <f t="shared" si="49"/>
        <v>0</v>
      </c>
      <c r="R154" s="17">
        <f t="shared" si="50"/>
        <v>0</v>
      </c>
      <c r="S154" s="17">
        <f t="shared" si="51"/>
        <v>0</v>
      </c>
      <c r="T154" s="17">
        <f>IFERROR((K154+M154+MATRIZ_174!O153)/3,0)</f>
        <v>0</v>
      </c>
      <c r="U154" s="18">
        <f>IFERROR(MATRIZ_174!AP153*50,0)</f>
        <v>0</v>
      </c>
      <c r="V154" s="18">
        <f t="shared" si="52"/>
        <v>50</v>
      </c>
      <c r="W154" s="18">
        <f>IF(MATRIZ_174!R153&gt;0,65,35)</f>
        <v>35</v>
      </c>
      <c r="X154" s="18">
        <f>IF(MATRIZ_174!O153=0,70,30)</f>
        <v>70</v>
      </c>
      <c r="Y154" s="18">
        <f>IF(OR(MATRIZ_174!P153="ASOCIACION",MATRIZ_174!P153="PENDIENTE"),65,40)</f>
        <v>65</v>
      </c>
      <c r="Z154" s="19">
        <f t="shared" si="53"/>
        <v>0</v>
      </c>
      <c r="AA154" s="20">
        <f t="shared" si="54"/>
        <v>44</v>
      </c>
      <c r="AB154" s="21">
        <f t="shared" si="55"/>
        <v>44</v>
      </c>
      <c r="AC154" s="13" t="str">
        <f t="shared" si="56"/>
        <v>⬜  Riesgo Latente</v>
      </c>
      <c r="AD154" s="13" t="str">
        <f t="shared" si="57"/>
        <v>🚫  Inh. vigente OSCE</v>
      </c>
      <c r="AE154" s="22">
        <f>IFERROR(MATRIZ_174!W153,0)</f>
        <v>0</v>
      </c>
      <c r="AF154" s="22">
        <f>IFERROR(MATRIZ_174!X153,0)</f>
        <v>0</v>
      </c>
      <c r="AG154" s="22">
        <f>IFERROR(MATRIZ_174!Y153,0)</f>
        <v>0</v>
      </c>
      <c r="AH154" s="22">
        <f>IFERROR(MATRIZ_174!Z153,0)</f>
        <v>0</v>
      </c>
      <c r="AI154" s="17">
        <f>IFERROR(MATRIZ_174!AP153,"N/A")</f>
        <v>0</v>
      </c>
      <c r="AJ154" s="17">
        <f>IFERROR(MATRIZ_174!AO153,"N/A")</f>
        <v>0</v>
      </c>
      <c r="AK154" s="23">
        <f t="shared" si="58"/>
        <v>0</v>
      </c>
      <c r="AL154" s="24">
        <f t="shared" si="59"/>
        <v>0</v>
      </c>
    </row>
    <row r="155" spans="1:38" ht="16.05" customHeight="1" x14ac:dyDescent="0.3">
      <c r="A155" s="13" t="s">
        <v>380</v>
      </c>
      <c r="B155" s="14" t="s">
        <v>381</v>
      </c>
      <c r="C155" s="13" t="s">
        <v>71</v>
      </c>
      <c r="D155" s="15">
        <v>0</v>
      </c>
      <c r="E155" s="16">
        <v>0</v>
      </c>
      <c r="F155" s="17">
        <f>IFERROR(SCORECARDS!H154,"")</f>
        <v>0</v>
      </c>
      <c r="G155" s="17">
        <f>IFERROR(MATRIZ_174!U154,0)</f>
        <v>0</v>
      </c>
      <c r="H155" s="16">
        <v>0</v>
      </c>
      <c r="I155" s="17">
        <f>IFERROR(SCORECARDS!I154,"")</f>
        <v>0</v>
      </c>
      <c r="J155" s="17">
        <f>IFERROR(SCORECARDS!J154,"")</f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7">
        <f t="shared" si="48"/>
        <v>0</v>
      </c>
      <c r="Q155" s="17">
        <f t="shared" si="49"/>
        <v>0</v>
      </c>
      <c r="R155" s="17">
        <f t="shared" si="50"/>
        <v>0</v>
      </c>
      <c r="S155" s="17">
        <f t="shared" si="51"/>
        <v>0</v>
      </c>
      <c r="T155" s="17">
        <f>IFERROR((K155+M155+MATRIZ_174!O154)/3,0)</f>
        <v>0</v>
      </c>
      <c r="U155" s="18">
        <f>IFERROR(MATRIZ_174!AP154*50,0)</f>
        <v>6.25</v>
      </c>
      <c r="V155" s="18">
        <f t="shared" si="52"/>
        <v>50</v>
      </c>
      <c r="W155" s="18">
        <f>IF(MATRIZ_174!R154&gt;0,65,35)</f>
        <v>65</v>
      </c>
      <c r="X155" s="18">
        <f>IF(MATRIZ_174!O154=0,70,30)</f>
        <v>70</v>
      </c>
      <c r="Y155" s="18">
        <f>IF(OR(MATRIZ_174!P154="ASOCIACION",MATRIZ_174!P154="PENDIENTE"),65,40)</f>
        <v>65</v>
      </c>
      <c r="Z155" s="19">
        <f t="shared" si="53"/>
        <v>0</v>
      </c>
      <c r="AA155" s="20">
        <f t="shared" si="54"/>
        <v>51.3</v>
      </c>
      <c r="AB155" s="21">
        <f t="shared" si="55"/>
        <v>51.3</v>
      </c>
      <c r="AC155" s="13" t="str">
        <f t="shared" si="56"/>
        <v>🔴  Riesgo Crítico</v>
      </c>
      <c r="AD155" s="13" t="str">
        <f t="shared" si="57"/>
        <v>🚫  Inh. vigente OSCE</v>
      </c>
      <c r="AE155" s="22">
        <f>IFERROR(MATRIZ_174!W154,0)</f>
        <v>1</v>
      </c>
      <c r="AF155" s="22">
        <f>IFERROR(MATRIZ_174!X154,0)</f>
        <v>0</v>
      </c>
      <c r="AG155" s="22">
        <f>IFERROR(MATRIZ_174!Y154,0)</f>
        <v>0</v>
      </c>
      <c r="AH155" s="22">
        <f>IFERROR(MATRIZ_174!Z154,0)</f>
        <v>0</v>
      </c>
      <c r="AI155" s="17">
        <f>IFERROR(MATRIZ_174!AP154,"N/A")</f>
        <v>0.125</v>
      </c>
      <c r="AJ155" s="17">
        <f>IFERROR(MATRIZ_174!AO154,"N/A")</f>
        <v>0</v>
      </c>
      <c r="AK155" s="23">
        <f t="shared" si="58"/>
        <v>0</v>
      </c>
      <c r="AL155" s="24">
        <f t="shared" si="59"/>
        <v>0</v>
      </c>
    </row>
    <row r="156" spans="1:38" ht="16.05" customHeight="1" x14ac:dyDescent="0.3">
      <c r="A156" s="13" t="s">
        <v>382</v>
      </c>
      <c r="B156" s="14" t="s">
        <v>383</v>
      </c>
      <c r="C156" s="13" t="s">
        <v>100</v>
      </c>
      <c r="D156" s="15">
        <v>0</v>
      </c>
      <c r="E156" s="16">
        <v>0</v>
      </c>
      <c r="F156" s="17">
        <f>IFERROR(SCORECARDS!H155,"")</f>
        <v>0</v>
      </c>
      <c r="G156" s="17">
        <f>IFERROR(MATRIZ_174!U155,0)</f>
        <v>0</v>
      </c>
      <c r="H156" s="16">
        <v>0</v>
      </c>
      <c r="I156" s="17">
        <f>IFERROR(SCORECARDS!I155,"")</f>
        <v>0</v>
      </c>
      <c r="J156" s="17">
        <f>IFERROR(SCORECARDS!J155,"")</f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7">
        <f t="shared" si="48"/>
        <v>0</v>
      </c>
      <c r="Q156" s="17">
        <f t="shared" si="49"/>
        <v>0</v>
      </c>
      <c r="R156" s="17">
        <f t="shared" si="50"/>
        <v>0</v>
      </c>
      <c r="S156" s="17">
        <f t="shared" si="51"/>
        <v>0</v>
      </c>
      <c r="T156" s="17">
        <f>IFERROR((K156+M156+MATRIZ_174!O155)/3,0)</f>
        <v>0</v>
      </c>
      <c r="U156" s="18">
        <f>IFERROR(MATRIZ_174!AP155*50,0)</f>
        <v>0</v>
      </c>
      <c r="V156" s="18">
        <f t="shared" si="52"/>
        <v>50</v>
      </c>
      <c r="W156" s="18">
        <f>IF(MATRIZ_174!R155&gt;0,65,35)</f>
        <v>35</v>
      </c>
      <c r="X156" s="18">
        <f>IF(MATRIZ_174!O155=0,70,30)</f>
        <v>70</v>
      </c>
      <c r="Y156" s="18">
        <f>IF(OR(MATRIZ_174!P155="ASOCIACION",MATRIZ_174!P155="PENDIENTE"),65,40)</f>
        <v>65</v>
      </c>
      <c r="Z156" s="19">
        <f t="shared" si="53"/>
        <v>0</v>
      </c>
      <c r="AA156" s="20">
        <f t="shared" si="54"/>
        <v>44</v>
      </c>
      <c r="AB156" s="21">
        <f t="shared" si="55"/>
        <v>44</v>
      </c>
      <c r="AC156" s="13" t="str">
        <f t="shared" si="56"/>
        <v>⬜  Riesgo Latente</v>
      </c>
      <c r="AD156" s="13" t="str">
        <f t="shared" si="57"/>
        <v>🚫  Inh. vigente OSCE</v>
      </c>
      <c r="AE156" s="22">
        <f>IFERROR(MATRIZ_174!W155,0)</f>
        <v>0</v>
      </c>
      <c r="AF156" s="22">
        <f>IFERROR(MATRIZ_174!X155,0)</f>
        <v>0</v>
      </c>
      <c r="AG156" s="22">
        <f>IFERROR(MATRIZ_174!Y155,0)</f>
        <v>0</v>
      </c>
      <c r="AH156" s="22">
        <f>IFERROR(MATRIZ_174!Z155,0)</f>
        <v>0</v>
      </c>
      <c r="AI156" s="17">
        <f>IFERROR(MATRIZ_174!AP155,"N/A")</f>
        <v>0</v>
      </c>
      <c r="AJ156" s="17">
        <f>IFERROR(MATRIZ_174!AO155,"N/A")</f>
        <v>0</v>
      </c>
      <c r="AK156" s="23">
        <f t="shared" si="58"/>
        <v>0</v>
      </c>
      <c r="AL156" s="24">
        <f t="shared" si="59"/>
        <v>0</v>
      </c>
    </row>
    <row r="157" spans="1:38" ht="16.05" customHeight="1" x14ac:dyDescent="0.3">
      <c r="A157" s="13" t="s">
        <v>384</v>
      </c>
      <c r="B157" s="14" t="s">
        <v>385</v>
      </c>
      <c r="C157" s="13" t="s">
        <v>169</v>
      </c>
      <c r="D157" s="15">
        <v>0</v>
      </c>
      <c r="E157" s="16">
        <v>0</v>
      </c>
      <c r="F157" s="17">
        <f>IFERROR(SCORECARDS!H156,"")</f>
        <v>0</v>
      </c>
      <c r="G157" s="17">
        <f>IFERROR(MATRIZ_174!U156,0)</f>
        <v>0</v>
      </c>
      <c r="H157" s="16">
        <v>0</v>
      </c>
      <c r="I157" s="17">
        <f>IFERROR(SCORECARDS!I156,"")</f>
        <v>0</v>
      </c>
      <c r="J157" s="17">
        <f>IFERROR(SCORECARDS!J156,"")</f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7">
        <f t="shared" si="48"/>
        <v>0</v>
      </c>
      <c r="Q157" s="17">
        <f t="shared" si="49"/>
        <v>0</v>
      </c>
      <c r="R157" s="17">
        <f t="shared" si="50"/>
        <v>0</v>
      </c>
      <c r="S157" s="17">
        <f t="shared" si="51"/>
        <v>0</v>
      </c>
      <c r="T157" s="17">
        <f>IFERROR((K157+M157+MATRIZ_174!O156)/3,0)</f>
        <v>0</v>
      </c>
      <c r="U157" s="18">
        <f>IFERROR(MATRIZ_174!AP156*50,0)</f>
        <v>0</v>
      </c>
      <c r="V157" s="18">
        <f t="shared" si="52"/>
        <v>50</v>
      </c>
      <c r="W157" s="18">
        <f>IF(MATRIZ_174!R156&gt;0,65,35)</f>
        <v>35</v>
      </c>
      <c r="X157" s="18">
        <f>IF(MATRIZ_174!O156=0,70,30)</f>
        <v>70</v>
      </c>
      <c r="Y157" s="18">
        <f>IF(OR(MATRIZ_174!P156="ASOCIACION",MATRIZ_174!P156="PENDIENTE"),65,40)</f>
        <v>65</v>
      </c>
      <c r="Z157" s="19">
        <f t="shared" si="53"/>
        <v>0</v>
      </c>
      <c r="AA157" s="20">
        <f t="shared" si="54"/>
        <v>44</v>
      </c>
      <c r="AB157" s="21">
        <f t="shared" si="55"/>
        <v>44</v>
      </c>
      <c r="AC157" s="13" t="str">
        <f t="shared" si="56"/>
        <v>⬜  Riesgo Latente</v>
      </c>
      <c r="AD157" s="13" t="str">
        <f t="shared" si="57"/>
        <v>🚫  Inh. vigente OSCE</v>
      </c>
      <c r="AE157" s="22">
        <f>IFERROR(MATRIZ_174!W156,0)</f>
        <v>0</v>
      </c>
      <c r="AF157" s="22">
        <f>IFERROR(MATRIZ_174!X156,0)</f>
        <v>0</v>
      </c>
      <c r="AG157" s="22">
        <f>IFERROR(MATRIZ_174!Y156,0)</f>
        <v>0</v>
      </c>
      <c r="AH157" s="22">
        <f>IFERROR(MATRIZ_174!Z156,0)</f>
        <v>0</v>
      </c>
      <c r="AI157" s="17">
        <f>IFERROR(MATRIZ_174!AP156,"N/A")</f>
        <v>0</v>
      </c>
      <c r="AJ157" s="17">
        <f>IFERROR(MATRIZ_174!AO156,"N/A")</f>
        <v>0</v>
      </c>
      <c r="AK157" s="23">
        <f t="shared" si="58"/>
        <v>0</v>
      </c>
      <c r="AL157" s="24">
        <f t="shared" si="59"/>
        <v>0</v>
      </c>
    </row>
    <row r="158" spans="1:38" ht="16.05" customHeight="1" x14ac:dyDescent="0.3">
      <c r="A158" s="13" t="s">
        <v>386</v>
      </c>
      <c r="B158" s="14" t="s">
        <v>387</v>
      </c>
      <c r="C158" s="13" t="s">
        <v>129</v>
      </c>
      <c r="D158" s="15">
        <v>76135.47</v>
      </c>
      <c r="E158" s="16">
        <v>0</v>
      </c>
      <c r="F158" s="17">
        <f>IFERROR(SCORECARDS!H157,"")</f>
        <v>0</v>
      </c>
      <c r="G158" s="17">
        <f>IFERROR(MATRIZ_174!U157,0)</f>
        <v>1</v>
      </c>
      <c r="H158" s="16">
        <v>0</v>
      </c>
      <c r="I158" s="17">
        <f>IFERROR(SCORECARDS!I157,"")</f>
        <v>0</v>
      </c>
      <c r="J158" s="17">
        <f>IFERROR(SCORECARDS!J157,"")</f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7">
        <f t="shared" si="48"/>
        <v>0</v>
      </c>
      <c r="Q158" s="17">
        <f t="shared" si="49"/>
        <v>0</v>
      </c>
      <c r="R158" s="17">
        <f t="shared" si="50"/>
        <v>0</v>
      </c>
      <c r="S158" s="17">
        <f t="shared" si="51"/>
        <v>0</v>
      </c>
      <c r="T158" s="17">
        <f>IFERROR((K158+M158+MATRIZ_174!O157)/3,0)</f>
        <v>0</v>
      </c>
      <c r="U158" s="18">
        <f>IFERROR(MATRIZ_174!AP157*50,0)</f>
        <v>6.25</v>
      </c>
      <c r="V158" s="18">
        <f t="shared" si="52"/>
        <v>50</v>
      </c>
      <c r="W158" s="18">
        <f>IF(MATRIZ_174!R157&gt;0,65,35)</f>
        <v>65</v>
      </c>
      <c r="X158" s="18">
        <f>IF(MATRIZ_174!O157=0,70,30)</f>
        <v>70</v>
      </c>
      <c r="Y158" s="18">
        <f>IF(OR(MATRIZ_174!P157="ASOCIACION",MATRIZ_174!P157="PENDIENTE"),65,40)</f>
        <v>65</v>
      </c>
      <c r="Z158" s="19">
        <f t="shared" si="53"/>
        <v>0</v>
      </c>
      <c r="AA158" s="20">
        <f t="shared" si="54"/>
        <v>51.3</v>
      </c>
      <c r="AB158" s="21">
        <f t="shared" si="55"/>
        <v>51.3</v>
      </c>
      <c r="AC158" s="13" t="str">
        <f t="shared" si="56"/>
        <v>🔴  Riesgo Crítico</v>
      </c>
      <c r="AD158" s="13" t="str">
        <f t="shared" si="57"/>
        <v/>
      </c>
      <c r="AE158" s="22">
        <f>IFERROR(MATRIZ_174!W157,0)</f>
        <v>1</v>
      </c>
      <c r="AF158" s="22">
        <f>IFERROR(MATRIZ_174!X157,0)</f>
        <v>0</v>
      </c>
      <c r="AG158" s="22">
        <f>IFERROR(MATRIZ_174!Y157,0)</f>
        <v>0</v>
      </c>
      <c r="AH158" s="22">
        <f>IFERROR(MATRIZ_174!Z157,0)</f>
        <v>0</v>
      </c>
      <c r="AI158" s="17">
        <f>IFERROR(MATRIZ_174!AP157,"N/A")</f>
        <v>0.125</v>
      </c>
      <c r="AJ158" s="17">
        <f>IFERROR(MATRIZ_174!AO157,"N/A")</f>
        <v>0</v>
      </c>
      <c r="AK158" s="23">
        <f t="shared" si="58"/>
        <v>0</v>
      </c>
      <c r="AL158" s="24">
        <f t="shared" si="59"/>
        <v>0</v>
      </c>
    </row>
    <row r="159" spans="1:38" ht="16.05" customHeight="1" x14ac:dyDescent="0.3">
      <c r="A159" s="13" t="s">
        <v>388</v>
      </c>
      <c r="B159" s="14" t="s">
        <v>389</v>
      </c>
      <c r="C159" s="13" t="s">
        <v>71</v>
      </c>
      <c r="D159" s="15">
        <v>0</v>
      </c>
      <c r="E159" s="16">
        <v>0</v>
      </c>
      <c r="F159" s="17">
        <f>IFERROR(SCORECARDS!H158,"")</f>
        <v>0</v>
      </c>
      <c r="G159" s="17">
        <f>IFERROR(MATRIZ_174!U158,0)</f>
        <v>0</v>
      </c>
      <c r="H159" s="16">
        <v>0</v>
      </c>
      <c r="I159" s="17">
        <f>IFERROR(SCORECARDS!I158,"")</f>
        <v>0</v>
      </c>
      <c r="J159" s="17">
        <f>IFERROR(SCORECARDS!J158,"")</f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7">
        <f t="shared" si="48"/>
        <v>0</v>
      </c>
      <c r="Q159" s="17">
        <f t="shared" si="49"/>
        <v>0</v>
      </c>
      <c r="R159" s="17">
        <f t="shared" si="50"/>
        <v>0</v>
      </c>
      <c r="S159" s="17">
        <f t="shared" si="51"/>
        <v>0</v>
      </c>
      <c r="T159" s="17">
        <f>IFERROR((K159+M159+MATRIZ_174!O158)/3,0)</f>
        <v>0</v>
      </c>
      <c r="U159" s="18">
        <f>IFERROR(MATRIZ_174!AP158*50,0)</f>
        <v>0</v>
      </c>
      <c r="V159" s="18">
        <f t="shared" si="52"/>
        <v>50</v>
      </c>
      <c r="W159" s="18">
        <f>IF(MATRIZ_174!R158&gt;0,65,35)</f>
        <v>35</v>
      </c>
      <c r="X159" s="18">
        <f>IF(MATRIZ_174!O158=0,70,30)</f>
        <v>70</v>
      </c>
      <c r="Y159" s="18">
        <f>IF(OR(MATRIZ_174!P158="ASOCIACION",MATRIZ_174!P158="PENDIENTE"),65,40)</f>
        <v>65</v>
      </c>
      <c r="Z159" s="19">
        <f t="shared" si="53"/>
        <v>0</v>
      </c>
      <c r="AA159" s="20">
        <f t="shared" si="54"/>
        <v>44</v>
      </c>
      <c r="AB159" s="21">
        <f t="shared" si="55"/>
        <v>44</v>
      </c>
      <c r="AC159" s="13" t="str">
        <f t="shared" si="56"/>
        <v>⬜  Riesgo Latente</v>
      </c>
      <c r="AD159" s="13" t="str">
        <f t="shared" si="57"/>
        <v>🚫  Inh. vigente OSCE</v>
      </c>
      <c r="AE159" s="22">
        <f>IFERROR(MATRIZ_174!W158,0)</f>
        <v>0</v>
      </c>
      <c r="AF159" s="22">
        <f>IFERROR(MATRIZ_174!X158,0)</f>
        <v>0</v>
      </c>
      <c r="AG159" s="22">
        <f>IFERROR(MATRIZ_174!Y158,0)</f>
        <v>0</v>
      </c>
      <c r="AH159" s="22">
        <f>IFERROR(MATRIZ_174!Z158,0)</f>
        <v>0</v>
      </c>
      <c r="AI159" s="17">
        <f>IFERROR(MATRIZ_174!AP158,"N/A")</f>
        <v>0</v>
      </c>
      <c r="AJ159" s="17">
        <f>IFERROR(MATRIZ_174!AO158,"N/A")</f>
        <v>0</v>
      </c>
      <c r="AK159" s="23">
        <f t="shared" si="58"/>
        <v>0</v>
      </c>
      <c r="AL159" s="24">
        <f t="shared" si="59"/>
        <v>0</v>
      </c>
    </row>
    <row r="160" spans="1:38" ht="16.05" customHeight="1" x14ac:dyDescent="0.3">
      <c r="A160" s="13" t="s">
        <v>390</v>
      </c>
      <c r="B160" s="14" t="s">
        <v>391</v>
      </c>
      <c r="C160" s="13" t="s">
        <v>129</v>
      </c>
      <c r="D160" s="15">
        <v>0</v>
      </c>
      <c r="E160" s="16">
        <v>0</v>
      </c>
      <c r="F160" s="17">
        <f>IFERROR(SCORECARDS!H159,"")</f>
        <v>0</v>
      </c>
      <c r="G160" s="17">
        <f>IFERROR(MATRIZ_174!U159,0)</f>
        <v>0</v>
      </c>
      <c r="H160" s="16">
        <v>0</v>
      </c>
      <c r="I160" s="17">
        <f>IFERROR(SCORECARDS!I159,"")</f>
        <v>0</v>
      </c>
      <c r="J160" s="17">
        <f>IFERROR(SCORECARDS!J159,"")</f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7">
        <f t="shared" si="48"/>
        <v>0</v>
      </c>
      <c r="Q160" s="17">
        <f t="shared" si="49"/>
        <v>0</v>
      </c>
      <c r="R160" s="17">
        <f t="shared" si="50"/>
        <v>0</v>
      </c>
      <c r="S160" s="17">
        <f t="shared" si="51"/>
        <v>0</v>
      </c>
      <c r="T160" s="17">
        <f>IFERROR((K160+M160+MATRIZ_174!O159)/3,0)</f>
        <v>0</v>
      </c>
      <c r="U160" s="18">
        <f>IFERROR(MATRIZ_174!AP159*50,0)</f>
        <v>0</v>
      </c>
      <c r="V160" s="18">
        <f t="shared" si="52"/>
        <v>50</v>
      </c>
      <c r="W160" s="18">
        <f>IF(MATRIZ_174!R159&gt;0,65,35)</f>
        <v>35</v>
      </c>
      <c r="X160" s="18">
        <f>IF(MATRIZ_174!O159=0,70,30)</f>
        <v>70</v>
      </c>
      <c r="Y160" s="18">
        <f>IF(OR(MATRIZ_174!P159="ASOCIACION",MATRIZ_174!P159="PENDIENTE"),65,40)</f>
        <v>65</v>
      </c>
      <c r="Z160" s="19">
        <f t="shared" si="53"/>
        <v>0</v>
      </c>
      <c r="AA160" s="20">
        <f t="shared" si="54"/>
        <v>44</v>
      </c>
      <c r="AB160" s="21">
        <f t="shared" si="55"/>
        <v>44</v>
      </c>
      <c r="AC160" s="13" t="str">
        <f t="shared" si="56"/>
        <v>⬜  Riesgo Latente</v>
      </c>
      <c r="AD160" s="13" t="str">
        <f t="shared" si="57"/>
        <v>🚫  Inh. vigente OSCE</v>
      </c>
      <c r="AE160" s="22">
        <f>IFERROR(MATRIZ_174!W159,0)</f>
        <v>0</v>
      </c>
      <c r="AF160" s="22">
        <f>IFERROR(MATRIZ_174!X159,0)</f>
        <v>0</v>
      </c>
      <c r="AG160" s="22">
        <f>IFERROR(MATRIZ_174!Y159,0)</f>
        <v>0</v>
      </c>
      <c r="AH160" s="22">
        <f>IFERROR(MATRIZ_174!Z159,0)</f>
        <v>0</v>
      </c>
      <c r="AI160" s="17">
        <f>IFERROR(MATRIZ_174!AP159,"N/A")</f>
        <v>0</v>
      </c>
      <c r="AJ160" s="17">
        <f>IFERROR(MATRIZ_174!AO159,"N/A")</f>
        <v>0</v>
      </c>
      <c r="AK160" s="23">
        <f t="shared" si="58"/>
        <v>0</v>
      </c>
      <c r="AL160" s="24">
        <f t="shared" si="59"/>
        <v>0</v>
      </c>
    </row>
    <row r="161" spans="1:38" ht="16.05" customHeight="1" x14ac:dyDescent="0.3">
      <c r="A161" s="13" t="s">
        <v>392</v>
      </c>
      <c r="B161" s="14" t="s">
        <v>393</v>
      </c>
      <c r="C161" s="13" t="s">
        <v>95</v>
      </c>
      <c r="D161" s="15">
        <v>0</v>
      </c>
      <c r="E161" s="16">
        <v>0</v>
      </c>
      <c r="F161" s="17">
        <f>IFERROR(SCORECARDS!H160,"")</f>
        <v>0</v>
      </c>
      <c r="G161" s="17">
        <f>IFERROR(MATRIZ_174!U160,0)</f>
        <v>0</v>
      </c>
      <c r="H161" s="16">
        <v>0</v>
      </c>
      <c r="I161" s="17">
        <f>IFERROR(SCORECARDS!I160,"")</f>
        <v>0</v>
      </c>
      <c r="J161" s="17">
        <f>IFERROR(SCORECARDS!J160,"")</f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7">
        <f t="shared" si="48"/>
        <v>0</v>
      </c>
      <c r="Q161" s="17">
        <f t="shared" si="49"/>
        <v>0</v>
      </c>
      <c r="R161" s="17">
        <f t="shared" si="50"/>
        <v>0</v>
      </c>
      <c r="S161" s="17">
        <f t="shared" si="51"/>
        <v>0</v>
      </c>
      <c r="T161" s="17">
        <f>IFERROR((K161+M161+MATRIZ_174!O160)/3,0)</f>
        <v>0</v>
      </c>
      <c r="U161" s="18">
        <f>IFERROR(MATRIZ_174!AP160*50,0)</f>
        <v>0</v>
      </c>
      <c r="V161" s="18">
        <f t="shared" si="52"/>
        <v>50</v>
      </c>
      <c r="W161" s="18">
        <f>IF(MATRIZ_174!R160&gt;0,65,35)</f>
        <v>35</v>
      </c>
      <c r="X161" s="18">
        <f>IF(MATRIZ_174!O160=0,70,30)</f>
        <v>70</v>
      </c>
      <c r="Y161" s="18">
        <f>IF(OR(MATRIZ_174!P160="ASOCIACION",MATRIZ_174!P160="PENDIENTE"),65,40)</f>
        <v>65</v>
      </c>
      <c r="Z161" s="19">
        <f t="shared" si="53"/>
        <v>0</v>
      </c>
      <c r="AA161" s="20">
        <f t="shared" si="54"/>
        <v>44</v>
      </c>
      <c r="AB161" s="21">
        <f t="shared" si="55"/>
        <v>44</v>
      </c>
      <c r="AC161" s="13" t="str">
        <f t="shared" si="56"/>
        <v>⬜  Riesgo Latente</v>
      </c>
      <c r="AD161" s="13" t="str">
        <f t="shared" si="57"/>
        <v>🚫  Inh. vigente OSCE</v>
      </c>
      <c r="AE161" s="22">
        <f>IFERROR(MATRIZ_174!W160,0)</f>
        <v>0</v>
      </c>
      <c r="AF161" s="22">
        <f>IFERROR(MATRIZ_174!X160,0)</f>
        <v>0</v>
      </c>
      <c r="AG161" s="22">
        <f>IFERROR(MATRIZ_174!Y160,0)</f>
        <v>0</v>
      </c>
      <c r="AH161" s="22">
        <f>IFERROR(MATRIZ_174!Z160,0)</f>
        <v>0</v>
      </c>
      <c r="AI161" s="17">
        <f>IFERROR(MATRIZ_174!AP160,"N/A")</f>
        <v>0</v>
      </c>
      <c r="AJ161" s="17">
        <f>IFERROR(MATRIZ_174!AO160,"N/A")</f>
        <v>0</v>
      </c>
      <c r="AK161" s="23">
        <f t="shared" si="58"/>
        <v>0</v>
      </c>
      <c r="AL161" s="24">
        <f t="shared" si="59"/>
        <v>0</v>
      </c>
    </row>
    <row r="162" spans="1:38" ht="16.05" customHeight="1" x14ac:dyDescent="0.3">
      <c r="A162" s="13" t="s">
        <v>394</v>
      </c>
      <c r="B162" s="14" t="s">
        <v>395</v>
      </c>
      <c r="C162" s="13" t="s">
        <v>169</v>
      </c>
      <c r="D162" s="15">
        <v>0</v>
      </c>
      <c r="E162" s="16">
        <v>0</v>
      </c>
      <c r="F162" s="17">
        <f>IFERROR(SCORECARDS!H161,"")</f>
        <v>0</v>
      </c>
      <c r="G162" s="17">
        <f>IFERROR(MATRIZ_174!U161,0)</f>
        <v>0</v>
      </c>
      <c r="H162" s="16">
        <v>0</v>
      </c>
      <c r="I162" s="17">
        <f>IFERROR(SCORECARDS!I161,"")</f>
        <v>0</v>
      </c>
      <c r="J162" s="17">
        <f>IFERROR(SCORECARDS!J161,"")</f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7">
        <f t="shared" si="48"/>
        <v>0</v>
      </c>
      <c r="Q162" s="17">
        <f t="shared" si="49"/>
        <v>0</v>
      </c>
      <c r="R162" s="17">
        <f t="shared" si="50"/>
        <v>0</v>
      </c>
      <c r="S162" s="17">
        <f t="shared" si="51"/>
        <v>0</v>
      </c>
      <c r="T162" s="17">
        <f>IFERROR((K162+M162+MATRIZ_174!O161)/3,0)</f>
        <v>0</v>
      </c>
      <c r="U162" s="18">
        <f>IFERROR(MATRIZ_174!AP161*50,0)</f>
        <v>0</v>
      </c>
      <c r="V162" s="18">
        <f t="shared" si="52"/>
        <v>50</v>
      </c>
      <c r="W162" s="18">
        <f>IF(MATRIZ_174!R161&gt;0,65,35)</f>
        <v>35</v>
      </c>
      <c r="X162" s="18">
        <f>IF(MATRIZ_174!O161=0,70,30)</f>
        <v>70</v>
      </c>
      <c r="Y162" s="18">
        <f>IF(OR(MATRIZ_174!P161="ASOCIACION",MATRIZ_174!P161="PENDIENTE"),65,40)</f>
        <v>65</v>
      </c>
      <c r="Z162" s="19">
        <f t="shared" si="53"/>
        <v>0</v>
      </c>
      <c r="AA162" s="20">
        <f t="shared" si="54"/>
        <v>44</v>
      </c>
      <c r="AB162" s="21">
        <f t="shared" si="55"/>
        <v>44</v>
      </c>
      <c r="AC162" s="13" t="str">
        <f t="shared" si="56"/>
        <v>⬜  Riesgo Latente</v>
      </c>
      <c r="AD162" s="13" t="str">
        <f t="shared" si="57"/>
        <v>🚫  Inh. vigente OSCE</v>
      </c>
      <c r="AE162" s="22">
        <f>IFERROR(MATRIZ_174!W161,0)</f>
        <v>0</v>
      </c>
      <c r="AF162" s="22">
        <f>IFERROR(MATRIZ_174!X161,0)</f>
        <v>0</v>
      </c>
      <c r="AG162" s="22">
        <f>IFERROR(MATRIZ_174!Y161,0)</f>
        <v>0</v>
      </c>
      <c r="AH162" s="22">
        <f>IFERROR(MATRIZ_174!Z161,0)</f>
        <v>0</v>
      </c>
      <c r="AI162" s="17">
        <f>IFERROR(MATRIZ_174!AP161,"N/A")</f>
        <v>0</v>
      </c>
      <c r="AJ162" s="17">
        <f>IFERROR(MATRIZ_174!AO161,"N/A")</f>
        <v>0</v>
      </c>
      <c r="AK162" s="23">
        <f t="shared" si="58"/>
        <v>0</v>
      </c>
      <c r="AL162" s="24">
        <f t="shared" si="59"/>
        <v>0</v>
      </c>
    </row>
    <row r="163" spans="1:38" ht="16.05" customHeight="1" x14ac:dyDescent="0.3">
      <c r="A163" s="13" t="s">
        <v>396</v>
      </c>
      <c r="B163" s="14" t="s">
        <v>397</v>
      </c>
      <c r="C163" s="13" t="s">
        <v>95</v>
      </c>
      <c r="D163" s="15">
        <v>0</v>
      </c>
      <c r="E163" s="16">
        <v>0</v>
      </c>
      <c r="F163" s="17">
        <f>IFERROR(SCORECARDS!H162,"")</f>
        <v>0</v>
      </c>
      <c r="G163" s="17">
        <f>IFERROR(MATRIZ_174!U162,0)</f>
        <v>0</v>
      </c>
      <c r="H163" s="16">
        <v>0</v>
      </c>
      <c r="I163" s="17">
        <f>IFERROR(SCORECARDS!I162,"")</f>
        <v>0</v>
      </c>
      <c r="J163" s="17">
        <f>IFERROR(SCORECARDS!J162,"")</f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7">
        <f t="shared" si="48"/>
        <v>0</v>
      </c>
      <c r="Q163" s="17">
        <f t="shared" si="49"/>
        <v>0</v>
      </c>
      <c r="R163" s="17">
        <f t="shared" si="50"/>
        <v>0</v>
      </c>
      <c r="S163" s="17">
        <f t="shared" si="51"/>
        <v>0</v>
      </c>
      <c r="T163" s="17">
        <f>IFERROR((K163+M163+MATRIZ_174!O162)/3,0)</f>
        <v>0</v>
      </c>
      <c r="U163" s="18">
        <f>IFERROR(MATRIZ_174!AP162*50,0)</f>
        <v>0</v>
      </c>
      <c r="V163" s="18">
        <f t="shared" si="52"/>
        <v>50</v>
      </c>
      <c r="W163" s="18">
        <f>IF(MATRIZ_174!R162&gt;0,65,35)</f>
        <v>35</v>
      </c>
      <c r="X163" s="18">
        <f>IF(MATRIZ_174!O162=0,70,30)</f>
        <v>70</v>
      </c>
      <c r="Y163" s="18">
        <f>IF(OR(MATRIZ_174!P162="ASOCIACION",MATRIZ_174!P162="PENDIENTE"),65,40)</f>
        <v>65</v>
      </c>
      <c r="Z163" s="19">
        <f t="shared" si="53"/>
        <v>0</v>
      </c>
      <c r="AA163" s="20">
        <f t="shared" si="54"/>
        <v>44</v>
      </c>
      <c r="AB163" s="21">
        <f t="shared" si="55"/>
        <v>44</v>
      </c>
      <c r="AC163" s="13" t="str">
        <f t="shared" si="56"/>
        <v>⬜  Riesgo Latente</v>
      </c>
      <c r="AD163" s="13" t="str">
        <f t="shared" si="57"/>
        <v>🚫  Inh. vigente OSCE</v>
      </c>
      <c r="AE163" s="22">
        <f>IFERROR(MATRIZ_174!W162,0)</f>
        <v>0</v>
      </c>
      <c r="AF163" s="22">
        <f>IFERROR(MATRIZ_174!X162,0)</f>
        <v>0</v>
      </c>
      <c r="AG163" s="22">
        <f>IFERROR(MATRIZ_174!Y162,0)</f>
        <v>0</v>
      </c>
      <c r="AH163" s="22">
        <f>IFERROR(MATRIZ_174!Z162,0)</f>
        <v>0</v>
      </c>
      <c r="AI163" s="17">
        <f>IFERROR(MATRIZ_174!AP162,"N/A")</f>
        <v>0</v>
      </c>
      <c r="AJ163" s="17">
        <f>IFERROR(MATRIZ_174!AO162,"N/A")</f>
        <v>0</v>
      </c>
      <c r="AK163" s="23">
        <f t="shared" si="58"/>
        <v>0</v>
      </c>
      <c r="AL163" s="24">
        <f t="shared" si="59"/>
        <v>0</v>
      </c>
    </row>
    <row r="164" spans="1:38" ht="16.05" customHeight="1" x14ac:dyDescent="0.3">
      <c r="A164" s="13" t="s">
        <v>398</v>
      </c>
      <c r="B164" s="14" t="s">
        <v>399</v>
      </c>
      <c r="C164" s="13" t="s">
        <v>140</v>
      </c>
      <c r="D164" s="15">
        <v>1501109.51</v>
      </c>
      <c r="E164" s="16">
        <v>0</v>
      </c>
      <c r="F164" s="17">
        <f>IFERROR(SCORECARDS!H163,"")</f>
        <v>0</v>
      </c>
      <c r="G164" s="17">
        <f>IFERROR(MATRIZ_174!U163,0)</f>
        <v>1</v>
      </c>
      <c r="H164" s="16">
        <v>0</v>
      </c>
      <c r="I164" s="17">
        <f>IFERROR(SCORECARDS!I163,"")</f>
        <v>0</v>
      </c>
      <c r="J164" s="17">
        <f>IFERROR(SCORECARDS!J163,"")</f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7">
        <f t="shared" ref="P164:P177" si="60">IFERROR(F164,0)</f>
        <v>0</v>
      </c>
      <c r="Q164" s="17">
        <f t="shared" ref="Q164:Q177" si="61">IFERROR(SQRT(G164*H164),0)</f>
        <v>0</v>
      </c>
      <c r="R164" s="17">
        <f t="shared" ref="R164:R177" si="62">IFERROR((I164+J164+L164)/3,0)</f>
        <v>0</v>
      </c>
      <c r="S164" s="17">
        <f t="shared" ref="S164:S177" si="63">IFERROR((J164+F164)/2,0)</f>
        <v>0</v>
      </c>
      <c r="T164" s="17">
        <f>IFERROR((K164+M164+MATRIZ_174!O163)/3,0)</f>
        <v>0</v>
      </c>
      <c r="U164" s="18">
        <f>IFERROR(MATRIZ_174!AP163*50,0)</f>
        <v>6.25</v>
      </c>
      <c r="V164" s="18">
        <f t="shared" ref="V164:V177" si="64">IFERROR(IF(E164=0,50,E164),0)</f>
        <v>50</v>
      </c>
      <c r="W164" s="18">
        <f>IF(MATRIZ_174!R163&gt;0,65,35)</f>
        <v>35</v>
      </c>
      <c r="X164" s="18">
        <f>IF(MATRIZ_174!O163=0,70,30)</f>
        <v>70</v>
      </c>
      <c r="Y164" s="18">
        <f>IF(OR(MATRIZ_174!P163="ASOCIACION",MATRIZ_174!P163="PENDIENTE"),65,40)</f>
        <v>65</v>
      </c>
      <c r="Z164" s="19">
        <f t="shared" ref="Z164:Z177" si="65">IFERROR(ROUND(AVERAGE(P164,Q164,R164,S164,T164),1),0)</f>
        <v>0</v>
      </c>
      <c r="AA164" s="20">
        <f t="shared" ref="AA164:AA177" si="66">IFERROR(ROUND(AVERAGE(U164,V164,W164,X164,Y164),1),0)</f>
        <v>45.3</v>
      </c>
      <c r="AB164" s="21">
        <f t="shared" ref="AB164:AB195" si="67">IFERROR(ROUND(AA164*(1-Z164/100),1),0)</f>
        <v>45.3</v>
      </c>
      <c r="AC164" s="13" t="str">
        <f t="shared" ref="AC164:AC177" si="68">IF(AND(Z164&gt;=50,AA164&lt;50),"🟢  Resilientes",IF(AND(Z164&gt;=50,AA164&gt;=50),"🟠  Expuestas Adaptables",IF(AND(Z164&lt;50,AA164&lt;50),"⬜  Riesgo Latente","🔴  Riesgo Crítico")))</f>
        <v>⬜  Riesgo Latente</v>
      </c>
      <c r="AD164" s="13" t="str">
        <f t="shared" ref="AD164:AD177" si="69">IF(G164=0,"🚫  Inh. vigente OSCE","")</f>
        <v/>
      </c>
      <c r="AE164" s="22">
        <f>IFERROR(MATRIZ_174!W163,0)</f>
        <v>1</v>
      </c>
      <c r="AF164" s="22">
        <f>IFERROR(MATRIZ_174!X163,0)</f>
        <v>0</v>
      </c>
      <c r="AG164" s="22">
        <f>IFERROR(MATRIZ_174!Y163,0)</f>
        <v>0</v>
      </c>
      <c r="AH164" s="22">
        <f>IFERROR(MATRIZ_174!Z163,0)</f>
        <v>0</v>
      </c>
      <c r="AI164" s="17">
        <f>IFERROR(MATRIZ_174!AP163,"N/A")</f>
        <v>0.125</v>
      </c>
      <c r="AJ164" s="17">
        <f>IFERROR(MATRIZ_174!AO163,"N/A")</f>
        <v>0</v>
      </c>
      <c r="AK164" s="23">
        <f t="shared" ref="AK164:AK177" si="70">IFERROR(ROUND(POWER((E164*F164*G164*H164*I164*J164*K164),1/7)*0.875+((L164+M164)/2)*0.125,1),"N/A")</f>
        <v>0</v>
      </c>
      <c r="AL164" s="24">
        <f t="shared" ref="AL164:AL195" si="71">IFERROR(IF(AK164="N/A","N/A",ROUND(0.7*AK164+0.3*AI164,1)),"N/A")</f>
        <v>0</v>
      </c>
    </row>
    <row r="165" spans="1:38" ht="16.05" customHeight="1" x14ac:dyDescent="0.3">
      <c r="A165" s="13" t="s">
        <v>400</v>
      </c>
      <c r="B165" s="14" t="s">
        <v>401</v>
      </c>
      <c r="C165" s="13" t="s">
        <v>103</v>
      </c>
      <c r="D165" s="15">
        <v>0</v>
      </c>
      <c r="E165" s="16">
        <v>0</v>
      </c>
      <c r="F165" s="17">
        <f>IFERROR(SCORECARDS!H164,"")</f>
        <v>0</v>
      </c>
      <c r="G165" s="17">
        <f>IFERROR(MATRIZ_174!U164,0)</f>
        <v>0</v>
      </c>
      <c r="H165" s="16">
        <v>0</v>
      </c>
      <c r="I165" s="17">
        <f>IFERROR(SCORECARDS!I164,"")</f>
        <v>0</v>
      </c>
      <c r="J165" s="17">
        <f>IFERROR(SCORECARDS!J164,"")</f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7">
        <f t="shared" si="60"/>
        <v>0</v>
      </c>
      <c r="Q165" s="17">
        <f t="shared" si="61"/>
        <v>0</v>
      </c>
      <c r="R165" s="17">
        <f t="shared" si="62"/>
        <v>0</v>
      </c>
      <c r="S165" s="17">
        <f t="shared" si="63"/>
        <v>0</v>
      </c>
      <c r="T165" s="17">
        <f>IFERROR((K165+M165+MATRIZ_174!O164)/3,0)</f>
        <v>0</v>
      </c>
      <c r="U165" s="18">
        <f>IFERROR(MATRIZ_174!AP164*50,0)</f>
        <v>0</v>
      </c>
      <c r="V165" s="18">
        <f t="shared" si="64"/>
        <v>50</v>
      </c>
      <c r="W165" s="18">
        <f>IF(MATRIZ_174!R164&gt;0,65,35)</f>
        <v>35</v>
      </c>
      <c r="X165" s="18">
        <f>IF(MATRIZ_174!O164=0,70,30)</f>
        <v>70</v>
      </c>
      <c r="Y165" s="18">
        <f>IF(OR(MATRIZ_174!P164="ASOCIACION",MATRIZ_174!P164="PENDIENTE"),65,40)</f>
        <v>65</v>
      </c>
      <c r="Z165" s="19">
        <f t="shared" si="65"/>
        <v>0</v>
      </c>
      <c r="AA165" s="20">
        <f t="shared" si="66"/>
        <v>44</v>
      </c>
      <c r="AB165" s="21">
        <f t="shared" si="67"/>
        <v>44</v>
      </c>
      <c r="AC165" s="13" t="str">
        <f t="shared" si="68"/>
        <v>⬜  Riesgo Latente</v>
      </c>
      <c r="AD165" s="13" t="str">
        <f t="shared" si="69"/>
        <v>🚫  Inh. vigente OSCE</v>
      </c>
      <c r="AE165" s="22">
        <f>IFERROR(MATRIZ_174!W164,0)</f>
        <v>0</v>
      </c>
      <c r="AF165" s="22">
        <f>IFERROR(MATRIZ_174!X164,0)</f>
        <v>0</v>
      </c>
      <c r="AG165" s="22">
        <f>IFERROR(MATRIZ_174!Y164,0)</f>
        <v>0</v>
      </c>
      <c r="AH165" s="22">
        <f>IFERROR(MATRIZ_174!Z164,0)</f>
        <v>0</v>
      </c>
      <c r="AI165" s="17">
        <f>IFERROR(MATRIZ_174!AP164,"N/A")</f>
        <v>0</v>
      </c>
      <c r="AJ165" s="17">
        <f>IFERROR(MATRIZ_174!AO164,"N/A")</f>
        <v>0</v>
      </c>
      <c r="AK165" s="23">
        <f t="shared" si="70"/>
        <v>0</v>
      </c>
      <c r="AL165" s="24">
        <f t="shared" si="71"/>
        <v>0</v>
      </c>
    </row>
    <row r="166" spans="1:38" ht="16.05" customHeight="1" x14ac:dyDescent="0.3">
      <c r="A166" s="13" t="s">
        <v>402</v>
      </c>
      <c r="B166" s="14" t="s">
        <v>403</v>
      </c>
      <c r="C166" s="13" t="s">
        <v>169</v>
      </c>
      <c r="D166" s="15">
        <v>0</v>
      </c>
      <c r="E166" s="16">
        <v>0</v>
      </c>
      <c r="F166" s="17">
        <f>IFERROR(SCORECARDS!H165,"")</f>
        <v>0</v>
      </c>
      <c r="G166" s="17">
        <f>IFERROR(MATRIZ_174!U165,0)</f>
        <v>0</v>
      </c>
      <c r="H166" s="16">
        <v>0</v>
      </c>
      <c r="I166" s="17">
        <f>IFERROR(SCORECARDS!I165,"")</f>
        <v>0</v>
      </c>
      <c r="J166" s="17">
        <f>IFERROR(SCORECARDS!J165,"")</f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7">
        <f t="shared" si="60"/>
        <v>0</v>
      </c>
      <c r="Q166" s="17">
        <f t="shared" si="61"/>
        <v>0</v>
      </c>
      <c r="R166" s="17">
        <f t="shared" si="62"/>
        <v>0</v>
      </c>
      <c r="S166" s="17">
        <f t="shared" si="63"/>
        <v>0</v>
      </c>
      <c r="T166" s="17">
        <f>IFERROR((K166+M166+MATRIZ_174!O165)/3,0)</f>
        <v>0</v>
      </c>
      <c r="U166" s="18">
        <f>IFERROR(MATRIZ_174!AP165*50,0)</f>
        <v>0</v>
      </c>
      <c r="V166" s="18">
        <f t="shared" si="64"/>
        <v>50</v>
      </c>
      <c r="W166" s="18">
        <f>IF(MATRIZ_174!R165&gt;0,65,35)</f>
        <v>35</v>
      </c>
      <c r="X166" s="18">
        <f>IF(MATRIZ_174!O165=0,70,30)</f>
        <v>70</v>
      </c>
      <c r="Y166" s="18">
        <f>IF(OR(MATRIZ_174!P165="ASOCIACION",MATRIZ_174!P165="PENDIENTE"),65,40)</f>
        <v>65</v>
      </c>
      <c r="Z166" s="19">
        <f t="shared" si="65"/>
        <v>0</v>
      </c>
      <c r="AA166" s="20">
        <f t="shared" si="66"/>
        <v>44</v>
      </c>
      <c r="AB166" s="21">
        <f t="shared" si="67"/>
        <v>44</v>
      </c>
      <c r="AC166" s="13" t="str">
        <f t="shared" si="68"/>
        <v>⬜  Riesgo Latente</v>
      </c>
      <c r="AD166" s="13" t="str">
        <f t="shared" si="69"/>
        <v>🚫  Inh. vigente OSCE</v>
      </c>
      <c r="AE166" s="22">
        <f>IFERROR(MATRIZ_174!W165,0)</f>
        <v>0</v>
      </c>
      <c r="AF166" s="22">
        <f>IFERROR(MATRIZ_174!X165,0)</f>
        <v>0</v>
      </c>
      <c r="AG166" s="22">
        <f>IFERROR(MATRIZ_174!Y165,0)</f>
        <v>0</v>
      </c>
      <c r="AH166" s="22">
        <f>IFERROR(MATRIZ_174!Z165,0)</f>
        <v>0</v>
      </c>
      <c r="AI166" s="17">
        <f>IFERROR(MATRIZ_174!AP165,"N/A")</f>
        <v>0</v>
      </c>
      <c r="AJ166" s="17">
        <f>IFERROR(MATRIZ_174!AO165,"N/A")</f>
        <v>0</v>
      </c>
      <c r="AK166" s="23">
        <f t="shared" si="70"/>
        <v>0</v>
      </c>
      <c r="AL166" s="24">
        <f t="shared" si="71"/>
        <v>0</v>
      </c>
    </row>
    <row r="167" spans="1:38" ht="16.05" customHeight="1" x14ac:dyDescent="0.3">
      <c r="A167" s="13" t="s">
        <v>404</v>
      </c>
      <c r="B167" s="14" t="s">
        <v>405</v>
      </c>
      <c r="C167" s="13" t="s">
        <v>230</v>
      </c>
      <c r="D167" s="15">
        <v>0</v>
      </c>
      <c r="E167" s="16">
        <v>0</v>
      </c>
      <c r="F167" s="17">
        <f>IFERROR(SCORECARDS!H166,"")</f>
        <v>0</v>
      </c>
      <c r="G167" s="17">
        <f>IFERROR(MATRIZ_174!U166,0)</f>
        <v>0</v>
      </c>
      <c r="H167" s="16">
        <v>0</v>
      </c>
      <c r="I167" s="17">
        <f>IFERROR(SCORECARDS!I166,"")</f>
        <v>0</v>
      </c>
      <c r="J167" s="17">
        <f>IFERROR(SCORECARDS!J166,"")</f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7">
        <f t="shared" si="60"/>
        <v>0</v>
      </c>
      <c r="Q167" s="17">
        <f t="shared" si="61"/>
        <v>0</v>
      </c>
      <c r="R167" s="17">
        <f t="shared" si="62"/>
        <v>0</v>
      </c>
      <c r="S167" s="17">
        <f t="shared" si="63"/>
        <v>0</v>
      </c>
      <c r="T167" s="17">
        <f>IFERROR((K167+M167+MATRIZ_174!O166)/3,0)</f>
        <v>0</v>
      </c>
      <c r="U167" s="18">
        <f>IFERROR(MATRIZ_174!AP166*50,0)</f>
        <v>0</v>
      </c>
      <c r="V167" s="18">
        <f t="shared" si="64"/>
        <v>50</v>
      </c>
      <c r="W167" s="18">
        <f>IF(MATRIZ_174!R166&gt;0,65,35)</f>
        <v>35</v>
      </c>
      <c r="X167" s="18">
        <f>IF(MATRIZ_174!O166=0,70,30)</f>
        <v>70</v>
      </c>
      <c r="Y167" s="18">
        <f>IF(OR(MATRIZ_174!P166="ASOCIACION",MATRIZ_174!P166="PENDIENTE"),65,40)</f>
        <v>65</v>
      </c>
      <c r="Z167" s="19">
        <f t="shared" si="65"/>
        <v>0</v>
      </c>
      <c r="AA167" s="20">
        <f t="shared" si="66"/>
        <v>44</v>
      </c>
      <c r="AB167" s="21">
        <f t="shared" si="67"/>
        <v>44</v>
      </c>
      <c r="AC167" s="13" t="str">
        <f t="shared" si="68"/>
        <v>⬜  Riesgo Latente</v>
      </c>
      <c r="AD167" s="13" t="str">
        <f t="shared" si="69"/>
        <v>🚫  Inh. vigente OSCE</v>
      </c>
      <c r="AE167" s="22">
        <f>IFERROR(MATRIZ_174!W166,0)</f>
        <v>0</v>
      </c>
      <c r="AF167" s="22">
        <f>IFERROR(MATRIZ_174!X166,0)</f>
        <v>0</v>
      </c>
      <c r="AG167" s="22">
        <f>IFERROR(MATRIZ_174!Y166,0)</f>
        <v>0</v>
      </c>
      <c r="AH167" s="22">
        <f>IFERROR(MATRIZ_174!Z166,0)</f>
        <v>0</v>
      </c>
      <c r="AI167" s="17">
        <f>IFERROR(MATRIZ_174!AP166,"N/A")</f>
        <v>0</v>
      </c>
      <c r="AJ167" s="17">
        <f>IFERROR(MATRIZ_174!AO166,"N/A")</f>
        <v>0</v>
      </c>
      <c r="AK167" s="23">
        <f t="shared" si="70"/>
        <v>0</v>
      </c>
      <c r="AL167" s="24">
        <f t="shared" si="71"/>
        <v>0</v>
      </c>
    </row>
    <row r="168" spans="1:38" ht="16.05" customHeight="1" x14ac:dyDescent="0.3">
      <c r="A168" s="13" t="s">
        <v>406</v>
      </c>
      <c r="B168" s="14" t="s">
        <v>407</v>
      </c>
      <c r="C168" s="13" t="s">
        <v>129</v>
      </c>
      <c r="D168" s="15">
        <v>0</v>
      </c>
      <c r="E168" s="16">
        <v>0</v>
      </c>
      <c r="F168" s="17">
        <f>IFERROR(SCORECARDS!H167,"")</f>
        <v>0</v>
      </c>
      <c r="G168" s="17">
        <f>IFERROR(MATRIZ_174!U167,0)</f>
        <v>0</v>
      </c>
      <c r="H168" s="16">
        <v>0</v>
      </c>
      <c r="I168" s="17">
        <f>IFERROR(SCORECARDS!I167,"")</f>
        <v>0</v>
      </c>
      <c r="J168" s="17">
        <f>IFERROR(SCORECARDS!J167,"")</f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7">
        <f t="shared" si="60"/>
        <v>0</v>
      </c>
      <c r="Q168" s="17">
        <f t="shared" si="61"/>
        <v>0</v>
      </c>
      <c r="R168" s="17">
        <f t="shared" si="62"/>
        <v>0</v>
      </c>
      <c r="S168" s="17">
        <f t="shared" si="63"/>
        <v>0</v>
      </c>
      <c r="T168" s="17">
        <f>IFERROR((K168+M168+MATRIZ_174!O167)/3,0)</f>
        <v>0</v>
      </c>
      <c r="U168" s="18">
        <f>IFERROR(MATRIZ_174!AP167*50,0)</f>
        <v>0</v>
      </c>
      <c r="V168" s="18">
        <f t="shared" si="64"/>
        <v>50</v>
      </c>
      <c r="W168" s="18">
        <f>IF(MATRIZ_174!R167&gt;0,65,35)</f>
        <v>35</v>
      </c>
      <c r="X168" s="18">
        <f>IF(MATRIZ_174!O167=0,70,30)</f>
        <v>70</v>
      </c>
      <c r="Y168" s="18">
        <f>IF(OR(MATRIZ_174!P167="ASOCIACION",MATRIZ_174!P167="PENDIENTE"),65,40)</f>
        <v>65</v>
      </c>
      <c r="Z168" s="19">
        <f t="shared" si="65"/>
        <v>0</v>
      </c>
      <c r="AA168" s="20">
        <f t="shared" si="66"/>
        <v>44</v>
      </c>
      <c r="AB168" s="21">
        <f t="shared" si="67"/>
        <v>44</v>
      </c>
      <c r="AC168" s="13" t="str">
        <f t="shared" si="68"/>
        <v>⬜  Riesgo Latente</v>
      </c>
      <c r="AD168" s="13" t="str">
        <f t="shared" si="69"/>
        <v>🚫  Inh. vigente OSCE</v>
      </c>
      <c r="AE168" s="22">
        <f>IFERROR(MATRIZ_174!W167,0)</f>
        <v>0</v>
      </c>
      <c r="AF168" s="22">
        <f>IFERROR(MATRIZ_174!X167,0)</f>
        <v>0</v>
      </c>
      <c r="AG168" s="22">
        <f>IFERROR(MATRIZ_174!Y167,0)</f>
        <v>0</v>
      </c>
      <c r="AH168" s="22">
        <f>IFERROR(MATRIZ_174!Z167,0)</f>
        <v>0</v>
      </c>
      <c r="AI168" s="17">
        <f>IFERROR(MATRIZ_174!AP167,"N/A")</f>
        <v>0</v>
      </c>
      <c r="AJ168" s="17">
        <f>IFERROR(MATRIZ_174!AO167,"N/A")</f>
        <v>0</v>
      </c>
      <c r="AK168" s="23">
        <f t="shared" si="70"/>
        <v>0</v>
      </c>
      <c r="AL168" s="24">
        <f t="shared" si="71"/>
        <v>0</v>
      </c>
    </row>
    <row r="169" spans="1:38" ht="16.05" customHeight="1" x14ac:dyDescent="0.3">
      <c r="A169" s="13" t="s">
        <v>408</v>
      </c>
      <c r="B169" s="14" t="s">
        <v>409</v>
      </c>
      <c r="C169" s="13" t="s">
        <v>103</v>
      </c>
      <c r="D169" s="15">
        <v>0</v>
      </c>
      <c r="E169" s="16">
        <v>0</v>
      </c>
      <c r="F169" s="17">
        <f>IFERROR(SCORECARDS!H168,"")</f>
        <v>0</v>
      </c>
      <c r="G169" s="17">
        <f>IFERROR(MATRIZ_174!U168,0)</f>
        <v>0</v>
      </c>
      <c r="H169" s="16">
        <v>0</v>
      </c>
      <c r="I169" s="17">
        <f>IFERROR(SCORECARDS!I168,"")</f>
        <v>0</v>
      </c>
      <c r="J169" s="17">
        <f>IFERROR(SCORECARDS!J168,"")</f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7">
        <f t="shared" si="60"/>
        <v>0</v>
      </c>
      <c r="Q169" s="17">
        <f t="shared" si="61"/>
        <v>0</v>
      </c>
      <c r="R169" s="17">
        <f t="shared" si="62"/>
        <v>0</v>
      </c>
      <c r="S169" s="17">
        <f t="shared" si="63"/>
        <v>0</v>
      </c>
      <c r="T169" s="17">
        <f>IFERROR((K169+M169+MATRIZ_174!O168)/3,0)</f>
        <v>0</v>
      </c>
      <c r="U169" s="18">
        <f>IFERROR(MATRIZ_174!AP168*50,0)</f>
        <v>0</v>
      </c>
      <c r="V169" s="18">
        <f t="shared" si="64"/>
        <v>50</v>
      </c>
      <c r="W169" s="18">
        <f>IF(MATRIZ_174!R168&gt;0,65,35)</f>
        <v>35</v>
      </c>
      <c r="X169" s="18">
        <f>IF(MATRIZ_174!O168=0,70,30)</f>
        <v>70</v>
      </c>
      <c r="Y169" s="18">
        <f>IF(OR(MATRIZ_174!P168="ASOCIACION",MATRIZ_174!P168="PENDIENTE"),65,40)</f>
        <v>65</v>
      </c>
      <c r="Z169" s="19">
        <f t="shared" si="65"/>
        <v>0</v>
      </c>
      <c r="AA169" s="20">
        <f t="shared" si="66"/>
        <v>44</v>
      </c>
      <c r="AB169" s="21">
        <f t="shared" si="67"/>
        <v>44</v>
      </c>
      <c r="AC169" s="13" t="str">
        <f t="shared" si="68"/>
        <v>⬜  Riesgo Latente</v>
      </c>
      <c r="AD169" s="13" t="str">
        <f t="shared" si="69"/>
        <v>🚫  Inh. vigente OSCE</v>
      </c>
      <c r="AE169" s="22">
        <f>IFERROR(MATRIZ_174!W168,0)</f>
        <v>0</v>
      </c>
      <c r="AF169" s="22">
        <f>IFERROR(MATRIZ_174!X168,0)</f>
        <v>0</v>
      </c>
      <c r="AG169" s="22">
        <f>IFERROR(MATRIZ_174!Y168,0)</f>
        <v>0</v>
      </c>
      <c r="AH169" s="22">
        <f>IFERROR(MATRIZ_174!Z168,0)</f>
        <v>0</v>
      </c>
      <c r="AI169" s="17">
        <f>IFERROR(MATRIZ_174!AP168,"N/A")</f>
        <v>0</v>
      </c>
      <c r="AJ169" s="17">
        <f>IFERROR(MATRIZ_174!AO168,"N/A")</f>
        <v>0</v>
      </c>
      <c r="AK169" s="23">
        <f t="shared" si="70"/>
        <v>0</v>
      </c>
      <c r="AL169" s="24">
        <f t="shared" si="71"/>
        <v>0</v>
      </c>
    </row>
    <row r="170" spans="1:38" ht="16.05" customHeight="1" x14ac:dyDescent="0.3">
      <c r="A170" s="13" t="s">
        <v>410</v>
      </c>
      <c r="B170" s="14" t="s">
        <v>411</v>
      </c>
      <c r="C170" s="13" t="s">
        <v>140</v>
      </c>
      <c r="D170" s="15">
        <v>0</v>
      </c>
      <c r="E170" s="16">
        <v>0</v>
      </c>
      <c r="F170" s="17">
        <f>IFERROR(SCORECARDS!H169,"")</f>
        <v>0</v>
      </c>
      <c r="G170" s="17">
        <f>IFERROR(MATRIZ_174!U169,0)</f>
        <v>0</v>
      </c>
      <c r="H170" s="16">
        <v>0</v>
      </c>
      <c r="I170" s="17">
        <f>IFERROR(SCORECARDS!I169,"")</f>
        <v>0</v>
      </c>
      <c r="J170" s="17">
        <f>IFERROR(SCORECARDS!J169,"")</f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7">
        <f t="shared" si="60"/>
        <v>0</v>
      </c>
      <c r="Q170" s="17">
        <f t="shared" si="61"/>
        <v>0</v>
      </c>
      <c r="R170" s="17">
        <f t="shared" si="62"/>
        <v>0</v>
      </c>
      <c r="S170" s="17">
        <f t="shared" si="63"/>
        <v>0</v>
      </c>
      <c r="T170" s="17">
        <f>IFERROR((K170+M170+MATRIZ_174!O169)/3,0)</f>
        <v>0</v>
      </c>
      <c r="U170" s="18">
        <f>IFERROR(MATRIZ_174!AP169*50,0)</f>
        <v>0</v>
      </c>
      <c r="V170" s="18">
        <f t="shared" si="64"/>
        <v>50</v>
      </c>
      <c r="W170" s="18">
        <f>IF(MATRIZ_174!R169&gt;0,65,35)</f>
        <v>35</v>
      </c>
      <c r="X170" s="18">
        <f>IF(MATRIZ_174!O169=0,70,30)</f>
        <v>70</v>
      </c>
      <c r="Y170" s="18">
        <f>IF(OR(MATRIZ_174!P169="ASOCIACION",MATRIZ_174!P169="PENDIENTE"),65,40)</f>
        <v>65</v>
      </c>
      <c r="Z170" s="19">
        <f t="shared" si="65"/>
        <v>0</v>
      </c>
      <c r="AA170" s="20">
        <f t="shared" si="66"/>
        <v>44</v>
      </c>
      <c r="AB170" s="21">
        <f t="shared" si="67"/>
        <v>44</v>
      </c>
      <c r="AC170" s="13" t="str">
        <f t="shared" si="68"/>
        <v>⬜  Riesgo Latente</v>
      </c>
      <c r="AD170" s="13" t="str">
        <f t="shared" si="69"/>
        <v>🚫  Inh. vigente OSCE</v>
      </c>
      <c r="AE170" s="22">
        <f>IFERROR(MATRIZ_174!W169,0)</f>
        <v>0</v>
      </c>
      <c r="AF170" s="22">
        <f>IFERROR(MATRIZ_174!X169,0)</f>
        <v>0</v>
      </c>
      <c r="AG170" s="22">
        <f>IFERROR(MATRIZ_174!Y169,0)</f>
        <v>0</v>
      </c>
      <c r="AH170" s="22">
        <f>IFERROR(MATRIZ_174!Z169,0)</f>
        <v>0</v>
      </c>
      <c r="AI170" s="17">
        <f>IFERROR(MATRIZ_174!AP169,"N/A")</f>
        <v>0</v>
      </c>
      <c r="AJ170" s="17">
        <f>IFERROR(MATRIZ_174!AO169,"N/A")</f>
        <v>0</v>
      </c>
      <c r="AK170" s="23">
        <f t="shared" si="70"/>
        <v>0</v>
      </c>
      <c r="AL170" s="24">
        <f t="shared" si="71"/>
        <v>0</v>
      </c>
    </row>
    <row r="171" spans="1:38" ht="16.05" customHeight="1" x14ac:dyDescent="0.3">
      <c r="A171" s="13" t="s">
        <v>412</v>
      </c>
      <c r="B171" s="14" t="s">
        <v>413</v>
      </c>
      <c r="C171" s="13" t="s">
        <v>100</v>
      </c>
      <c r="D171" s="15">
        <v>0</v>
      </c>
      <c r="E171" s="16">
        <v>0</v>
      </c>
      <c r="F171" s="17">
        <f>IFERROR(SCORECARDS!H170,"")</f>
        <v>0</v>
      </c>
      <c r="G171" s="17">
        <f>IFERROR(MATRIZ_174!U170,0)</f>
        <v>0</v>
      </c>
      <c r="H171" s="16">
        <v>0</v>
      </c>
      <c r="I171" s="17">
        <f>IFERROR(SCORECARDS!I170,"")</f>
        <v>0</v>
      </c>
      <c r="J171" s="17">
        <f>IFERROR(SCORECARDS!J170,"")</f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7">
        <f t="shared" si="60"/>
        <v>0</v>
      </c>
      <c r="Q171" s="17">
        <f t="shared" si="61"/>
        <v>0</v>
      </c>
      <c r="R171" s="17">
        <f t="shared" si="62"/>
        <v>0</v>
      </c>
      <c r="S171" s="17">
        <f t="shared" si="63"/>
        <v>0</v>
      </c>
      <c r="T171" s="17">
        <f>IFERROR((K171+M171+MATRIZ_174!O170)/3,0)</f>
        <v>0</v>
      </c>
      <c r="U171" s="18">
        <f>IFERROR(MATRIZ_174!AP170*50,0)</f>
        <v>0</v>
      </c>
      <c r="V171" s="18">
        <f t="shared" si="64"/>
        <v>50</v>
      </c>
      <c r="W171" s="18">
        <f>IF(MATRIZ_174!R170&gt;0,65,35)</f>
        <v>35</v>
      </c>
      <c r="X171" s="18">
        <f>IF(MATRIZ_174!O170=0,70,30)</f>
        <v>70</v>
      </c>
      <c r="Y171" s="18">
        <f>IF(OR(MATRIZ_174!P170="ASOCIACION",MATRIZ_174!P170="PENDIENTE"),65,40)</f>
        <v>65</v>
      </c>
      <c r="Z171" s="19">
        <f t="shared" si="65"/>
        <v>0</v>
      </c>
      <c r="AA171" s="20">
        <f t="shared" si="66"/>
        <v>44</v>
      </c>
      <c r="AB171" s="21">
        <f t="shared" si="67"/>
        <v>44</v>
      </c>
      <c r="AC171" s="13" t="str">
        <f t="shared" si="68"/>
        <v>⬜  Riesgo Latente</v>
      </c>
      <c r="AD171" s="13" t="str">
        <f t="shared" si="69"/>
        <v>🚫  Inh. vigente OSCE</v>
      </c>
      <c r="AE171" s="22">
        <f>IFERROR(MATRIZ_174!W170,0)</f>
        <v>0</v>
      </c>
      <c r="AF171" s="22">
        <f>IFERROR(MATRIZ_174!X170,0)</f>
        <v>0</v>
      </c>
      <c r="AG171" s="22">
        <f>IFERROR(MATRIZ_174!Y170,0)</f>
        <v>0</v>
      </c>
      <c r="AH171" s="22">
        <f>IFERROR(MATRIZ_174!Z170,0)</f>
        <v>0</v>
      </c>
      <c r="AI171" s="17">
        <f>IFERROR(MATRIZ_174!AP170,"N/A")</f>
        <v>0</v>
      </c>
      <c r="AJ171" s="17">
        <f>IFERROR(MATRIZ_174!AO170,"N/A")</f>
        <v>0</v>
      </c>
      <c r="AK171" s="23">
        <f t="shared" si="70"/>
        <v>0</v>
      </c>
      <c r="AL171" s="24">
        <f t="shared" si="71"/>
        <v>0</v>
      </c>
    </row>
    <row r="172" spans="1:38" ht="16.05" customHeight="1" x14ac:dyDescent="0.3">
      <c r="A172" s="13" t="s">
        <v>414</v>
      </c>
      <c r="B172" s="14" t="s">
        <v>415</v>
      </c>
      <c r="C172" s="13" t="s">
        <v>129</v>
      </c>
      <c r="D172" s="15">
        <v>0</v>
      </c>
      <c r="E172" s="16">
        <v>0</v>
      </c>
      <c r="F172" s="17">
        <f>IFERROR(SCORECARDS!H171,"")</f>
        <v>0</v>
      </c>
      <c r="G172" s="17">
        <f>IFERROR(MATRIZ_174!U171,0)</f>
        <v>0</v>
      </c>
      <c r="H172" s="16">
        <v>0</v>
      </c>
      <c r="I172" s="17">
        <f>IFERROR(SCORECARDS!I171,"")</f>
        <v>0</v>
      </c>
      <c r="J172" s="17">
        <f>IFERROR(SCORECARDS!J171,"")</f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7">
        <f t="shared" si="60"/>
        <v>0</v>
      </c>
      <c r="Q172" s="17">
        <f t="shared" si="61"/>
        <v>0</v>
      </c>
      <c r="R172" s="17">
        <f t="shared" si="62"/>
        <v>0</v>
      </c>
      <c r="S172" s="17">
        <f t="shared" si="63"/>
        <v>0</v>
      </c>
      <c r="T172" s="17">
        <f>IFERROR((K172+M172+MATRIZ_174!O171)/3,0)</f>
        <v>0</v>
      </c>
      <c r="U172" s="18">
        <f>IFERROR(MATRIZ_174!AP171*50,0)</f>
        <v>6.25</v>
      </c>
      <c r="V172" s="18">
        <f t="shared" si="64"/>
        <v>50</v>
      </c>
      <c r="W172" s="18">
        <f>IF(MATRIZ_174!R171&gt;0,65,35)</f>
        <v>65</v>
      </c>
      <c r="X172" s="18">
        <f>IF(MATRIZ_174!O171=0,70,30)</f>
        <v>70</v>
      </c>
      <c r="Y172" s="18">
        <f>IF(OR(MATRIZ_174!P171="ASOCIACION",MATRIZ_174!P171="PENDIENTE"),65,40)</f>
        <v>65</v>
      </c>
      <c r="Z172" s="19">
        <f t="shared" si="65"/>
        <v>0</v>
      </c>
      <c r="AA172" s="20">
        <f t="shared" si="66"/>
        <v>51.3</v>
      </c>
      <c r="AB172" s="21">
        <f t="shared" si="67"/>
        <v>51.3</v>
      </c>
      <c r="AC172" s="13" t="str">
        <f t="shared" si="68"/>
        <v>🔴  Riesgo Crítico</v>
      </c>
      <c r="AD172" s="13" t="str">
        <f t="shared" si="69"/>
        <v>🚫  Inh. vigente OSCE</v>
      </c>
      <c r="AE172" s="22">
        <f>IFERROR(MATRIZ_174!W171,0)</f>
        <v>1</v>
      </c>
      <c r="AF172" s="22">
        <f>IFERROR(MATRIZ_174!X171,0)</f>
        <v>0</v>
      </c>
      <c r="AG172" s="22">
        <f>IFERROR(MATRIZ_174!Y171,0)</f>
        <v>0</v>
      </c>
      <c r="AH172" s="22">
        <f>IFERROR(MATRIZ_174!Z171,0)</f>
        <v>0</v>
      </c>
      <c r="AI172" s="17">
        <f>IFERROR(MATRIZ_174!AP171,"N/A")</f>
        <v>0.125</v>
      </c>
      <c r="AJ172" s="17">
        <f>IFERROR(MATRIZ_174!AO171,"N/A")</f>
        <v>0</v>
      </c>
      <c r="AK172" s="23">
        <f t="shared" si="70"/>
        <v>0</v>
      </c>
      <c r="AL172" s="24">
        <f t="shared" si="71"/>
        <v>0</v>
      </c>
    </row>
    <row r="173" spans="1:38" ht="16.05" customHeight="1" x14ac:dyDescent="0.3">
      <c r="A173" s="13" t="s">
        <v>416</v>
      </c>
      <c r="B173" s="14" t="s">
        <v>417</v>
      </c>
      <c r="C173" s="13" t="s">
        <v>103</v>
      </c>
      <c r="D173" s="15">
        <v>0</v>
      </c>
      <c r="E173" s="16">
        <v>0</v>
      </c>
      <c r="F173" s="17">
        <f>IFERROR(SCORECARDS!H172,"")</f>
        <v>0</v>
      </c>
      <c r="G173" s="17">
        <f>IFERROR(MATRIZ_174!U172,0)</f>
        <v>0</v>
      </c>
      <c r="H173" s="16">
        <v>0</v>
      </c>
      <c r="I173" s="17">
        <f>IFERROR(SCORECARDS!I172,"")</f>
        <v>0</v>
      </c>
      <c r="J173" s="17">
        <f>IFERROR(SCORECARDS!J172,"")</f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7">
        <f t="shared" si="60"/>
        <v>0</v>
      </c>
      <c r="Q173" s="17">
        <f t="shared" si="61"/>
        <v>0</v>
      </c>
      <c r="R173" s="17">
        <f t="shared" si="62"/>
        <v>0</v>
      </c>
      <c r="S173" s="17">
        <f t="shared" si="63"/>
        <v>0</v>
      </c>
      <c r="T173" s="17">
        <f>IFERROR((K173+M173+MATRIZ_174!O172)/3,0)</f>
        <v>0</v>
      </c>
      <c r="U173" s="18">
        <f>IFERROR(MATRIZ_174!AP172*50,0)</f>
        <v>0</v>
      </c>
      <c r="V173" s="18">
        <f t="shared" si="64"/>
        <v>50</v>
      </c>
      <c r="W173" s="18">
        <f>IF(MATRIZ_174!R172&gt;0,65,35)</f>
        <v>35</v>
      </c>
      <c r="X173" s="18">
        <f>IF(MATRIZ_174!O172=0,70,30)</f>
        <v>70</v>
      </c>
      <c r="Y173" s="18">
        <f>IF(OR(MATRIZ_174!P172="ASOCIACION",MATRIZ_174!P172="PENDIENTE"),65,40)</f>
        <v>65</v>
      </c>
      <c r="Z173" s="19">
        <f t="shared" si="65"/>
        <v>0</v>
      </c>
      <c r="AA173" s="20">
        <f t="shared" si="66"/>
        <v>44</v>
      </c>
      <c r="AB173" s="21">
        <f t="shared" si="67"/>
        <v>44</v>
      </c>
      <c r="AC173" s="13" t="str">
        <f t="shared" si="68"/>
        <v>⬜  Riesgo Latente</v>
      </c>
      <c r="AD173" s="13" t="str">
        <f t="shared" si="69"/>
        <v>🚫  Inh. vigente OSCE</v>
      </c>
      <c r="AE173" s="22">
        <f>IFERROR(MATRIZ_174!W172,0)</f>
        <v>0</v>
      </c>
      <c r="AF173" s="22">
        <f>IFERROR(MATRIZ_174!X172,0)</f>
        <v>0</v>
      </c>
      <c r="AG173" s="22">
        <f>IFERROR(MATRIZ_174!Y172,0)</f>
        <v>0</v>
      </c>
      <c r="AH173" s="22">
        <f>IFERROR(MATRIZ_174!Z172,0)</f>
        <v>0</v>
      </c>
      <c r="AI173" s="17">
        <f>IFERROR(MATRIZ_174!AP172,"N/A")</f>
        <v>0</v>
      </c>
      <c r="AJ173" s="17">
        <f>IFERROR(MATRIZ_174!AO172,"N/A")</f>
        <v>0</v>
      </c>
      <c r="AK173" s="23">
        <f t="shared" si="70"/>
        <v>0</v>
      </c>
      <c r="AL173" s="24">
        <f t="shared" si="71"/>
        <v>0</v>
      </c>
    </row>
    <row r="174" spans="1:38" ht="16.05" customHeight="1" x14ac:dyDescent="0.3">
      <c r="A174" s="13" t="s">
        <v>418</v>
      </c>
      <c r="B174" s="14" t="s">
        <v>419</v>
      </c>
      <c r="C174" s="13" t="s">
        <v>169</v>
      </c>
      <c r="D174" s="15">
        <v>0</v>
      </c>
      <c r="E174" s="16">
        <v>0</v>
      </c>
      <c r="F174" s="17">
        <f>IFERROR(SCORECARDS!H173,"")</f>
        <v>0</v>
      </c>
      <c r="G174" s="17">
        <f>IFERROR(MATRIZ_174!U173,0)</f>
        <v>0</v>
      </c>
      <c r="H174" s="16">
        <v>0</v>
      </c>
      <c r="I174" s="17">
        <f>IFERROR(SCORECARDS!I173,"")</f>
        <v>0</v>
      </c>
      <c r="J174" s="17">
        <f>IFERROR(SCORECARDS!J173,"")</f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7">
        <f t="shared" si="60"/>
        <v>0</v>
      </c>
      <c r="Q174" s="17">
        <f t="shared" si="61"/>
        <v>0</v>
      </c>
      <c r="R174" s="17">
        <f t="shared" si="62"/>
        <v>0</v>
      </c>
      <c r="S174" s="17">
        <f t="shared" si="63"/>
        <v>0</v>
      </c>
      <c r="T174" s="17">
        <f>IFERROR((K174+M174+MATRIZ_174!O173)/3,0)</f>
        <v>0</v>
      </c>
      <c r="U174" s="18">
        <f>IFERROR(MATRIZ_174!AP173*50,0)</f>
        <v>0</v>
      </c>
      <c r="V174" s="18">
        <f t="shared" si="64"/>
        <v>50</v>
      </c>
      <c r="W174" s="18">
        <f>IF(MATRIZ_174!R173&gt;0,65,35)</f>
        <v>35</v>
      </c>
      <c r="X174" s="18">
        <f>IF(MATRIZ_174!O173=0,70,30)</f>
        <v>70</v>
      </c>
      <c r="Y174" s="18">
        <f>IF(OR(MATRIZ_174!P173="ASOCIACION",MATRIZ_174!P173="PENDIENTE"),65,40)</f>
        <v>65</v>
      </c>
      <c r="Z174" s="19">
        <f t="shared" si="65"/>
        <v>0</v>
      </c>
      <c r="AA174" s="20">
        <f t="shared" si="66"/>
        <v>44</v>
      </c>
      <c r="AB174" s="21">
        <f t="shared" si="67"/>
        <v>44</v>
      </c>
      <c r="AC174" s="13" t="str">
        <f t="shared" si="68"/>
        <v>⬜  Riesgo Latente</v>
      </c>
      <c r="AD174" s="13" t="str">
        <f t="shared" si="69"/>
        <v>🚫  Inh. vigente OSCE</v>
      </c>
      <c r="AE174" s="22">
        <f>IFERROR(MATRIZ_174!W173,0)</f>
        <v>0</v>
      </c>
      <c r="AF174" s="22">
        <f>IFERROR(MATRIZ_174!X173,0)</f>
        <v>0</v>
      </c>
      <c r="AG174" s="22">
        <f>IFERROR(MATRIZ_174!Y173,0)</f>
        <v>0</v>
      </c>
      <c r="AH174" s="22">
        <f>IFERROR(MATRIZ_174!Z173,0)</f>
        <v>0</v>
      </c>
      <c r="AI174" s="17">
        <f>IFERROR(MATRIZ_174!AP173,"N/A")</f>
        <v>0</v>
      </c>
      <c r="AJ174" s="17">
        <f>IFERROR(MATRIZ_174!AO173,"N/A")</f>
        <v>0</v>
      </c>
      <c r="AK174" s="23">
        <f t="shared" si="70"/>
        <v>0</v>
      </c>
      <c r="AL174" s="24">
        <f t="shared" si="71"/>
        <v>0</v>
      </c>
    </row>
    <row r="175" spans="1:38" ht="16.05" customHeight="1" x14ac:dyDescent="0.3">
      <c r="A175" s="13" t="s">
        <v>420</v>
      </c>
      <c r="B175" s="14" t="s">
        <v>421</v>
      </c>
      <c r="C175" s="13" t="s">
        <v>421</v>
      </c>
      <c r="D175" s="15">
        <v>0</v>
      </c>
      <c r="E175" s="16">
        <v>0</v>
      </c>
      <c r="F175" s="17">
        <f>IFERROR(SCORECARDS!H174,"")</f>
        <v>0</v>
      </c>
      <c r="G175" s="17">
        <f>IFERROR(MATRIZ_174!U174,0)</f>
        <v>0</v>
      </c>
      <c r="H175" s="16">
        <v>0</v>
      </c>
      <c r="I175" s="17">
        <f>IFERROR(SCORECARDS!I174,"")</f>
        <v>0</v>
      </c>
      <c r="J175" s="17">
        <f>IFERROR(SCORECARDS!J174,"")</f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7">
        <f t="shared" si="60"/>
        <v>0</v>
      </c>
      <c r="Q175" s="17">
        <f t="shared" si="61"/>
        <v>0</v>
      </c>
      <c r="R175" s="17">
        <f t="shared" si="62"/>
        <v>0</v>
      </c>
      <c r="S175" s="17">
        <f t="shared" si="63"/>
        <v>0</v>
      </c>
      <c r="T175" s="17">
        <f>IFERROR((K175+M175+MATRIZ_174!O174)/3,0)</f>
        <v>0</v>
      </c>
      <c r="U175" s="18">
        <f>IFERROR(MATRIZ_174!AP174*50,0)</f>
        <v>0</v>
      </c>
      <c r="V175" s="18">
        <f t="shared" si="64"/>
        <v>50</v>
      </c>
      <c r="W175" s="18">
        <f>IF(MATRIZ_174!R174&gt;0,65,35)</f>
        <v>35</v>
      </c>
      <c r="X175" s="18">
        <f>IF(MATRIZ_174!O174=0,70,30)</f>
        <v>70</v>
      </c>
      <c r="Y175" s="18">
        <f>IF(OR(MATRIZ_174!P174="ASOCIACION",MATRIZ_174!P174="PENDIENTE"),65,40)</f>
        <v>65</v>
      </c>
      <c r="Z175" s="19">
        <f t="shared" si="65"/>
        <v>0</v>
      </c>
      <c r="AA175" s="20">
        <f t="shared" si="66"/>
        <v>44</v>
      </c>
      <c r="AB175" s="21">
        <f t="shared" si="67"/>
        <v>44</v>
      </c>
      <c r="AC175" s="13" t="str">
        <f t="shared" si="68"/>
        <v>⬜  Riesgo Latente</v>
      </c>
      <c r="AD175" s="13" t="str">
        <f t="shared" si="69"/>
        <v>🚫  Inh. vigente OSCE</v>
      </c>
      <c r="AE175" s="22">
        <f>IFERROR(MATRIZ_174!W174,0)</f>
        <v>0</v>
      </c>
      <c r="AF175" s="22">
        <f>IFERROR(MATRIZ_174!X174,0)</f>
        <v>0</v>
      </c>
      <c r="AG175" s="22">
        <f>IFERROR(MATRIZ_174!Y174,0)</f>
        <v>0</v>
      </c>
      <c r="AH175" s="22">
        <f>IFERROR(MATRIZ_174!Z174,0)</f>
        <v>0</v>
      </c>
      <c r="AI175" s="17">
        <f>IFERROR(MATRIZ_174!AP174,"N/A")</f>
        <v>0</v>
      </c>
      <c r="AJ175" s="17">
        <f>IFERROR(MATRIZ_174!AO174,"N/A")</f>
        <v>0</v>
      </c>
      <c r="AK175" s="23">
        <f t="shared" si="70"/>
        <v>0</v>
      </c>
      <c r="AL175" s="24">
        <f t="shared" si="71"/>
        <v>0</v>
      </c>
    </row>
    <row r="176" spans="1:38" ht="16.05" customHeight="1" x14ac:dyDescent="0.3">
      <c r="A176" s="13" t="s">
        <v>422</v>
      </c>
      <c r="B176" s="14" t="s">
        <v>423</v>
      </c>
      <c r="C176" s="13" t="s">
        <v>100</v>
      </c>
      <c r="D176" s="15">
        <v>3861667.52</v>
      </c>
      <c r="E176" s="16">
        <v>0</v>
      </c>
      <c r="F176" s="17">
        <f>IFERROR(SCORECARDS!H175,"")</f>
        <v>0</v>
      </c>
      <c r="G176" s="17">
        <f>IFERROR(MATRIZ_174!U175,0)</f>
        <v>1</v>
      </c>
      <c r="H176" s="16">
        <v>0</v>
      </c>
      <c r="I176" s="17">
        <f>IFERROR(SCORECARDS!I175,"")</f>
        <v>0</v>
      </c>
      <c r="J176" s="17">
        <f>IFERROR(SCORECARDS!J175,"")</f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7">
        <f t="shared" si="60"/>
        <v>0</v>
      </c>
      <c r="Q176" s="17">
        <f t="shared" si="61"/>
        <v>0</v>
      </c>
      <c r="R176" s="17">
        <f t="shared" si="62"/>
        <v>0</v>
      </c>
      <c r="S176" s="17">
        <f t="shared" si="63"/>
        <v>0</v>
      </c>
      <c r="T176" s="17">
        <f>IFERROR((K176+M176+MATRIZ_174!O175)/3,0)</f>
        <v>0</v>
      </c>
      <c r="U176" s="18">
        <f>IFERROR(MATRIZ_174!AP175*50,0)</f>
        <v>6.25</v>
      </c>
      <c r="V176" s="18">
        <f t="shared" si="64"/>
        <v>50</v>
      </c>
      <c r="W176" s="18">
        <f>IF(MATRIZ_174!R175&gt;0,65,35)</f>
        <v>35</v>
      </c>
      <c r="X176" s="18">
        <f>IF(MATRIZ_174!O175=0,70,30)</f>
        <v>70</v>
      </c>
      <c r="Y176" s="18">
        <f>IF(OR(MATRIZ_174!P175="ASOCIACION",MATRIZ_174!P175="PENDIENTE"),65,40)</f>
        <v>65</v>
      </c>
      <c r="Z176" s="19">
        <f t="shared" si="65"/>
        <v>0</v>
      </c>
      <c r="AA176" s="20">
        <f t="shared" si="66"/>
        <v>45.3</v>
      </c>
      <c r="AB176" s="21">
        <f t="shared" si="67"/>
        <v>45.3</v>
      </c>
      <c r="AC176" s="13" t="str">
        <f t="shared" si="68"/>
        <v>⬜  Riesgo Latente</v>
      </c>
      <c r="AD176" s="13" t="str">
        <f t="shared" si="69"/>
        <v/>
      </c>
      <c r="AE176" s="22">
        <f>IFERROR(MATRIZ_174!W175,0)</f>
        <v>1</v>
      </c>
      <c r="AF176" s="22">
        <f>IFERROR(MATRIZ_174!X175,0)</f>
        <v>0</v>
      </c>
      <c r="AG176" s="22">
        <f>IFERROR(MATRIZ_174!Y175,0)</f>
        <v>0</v>
      </c>
      <c r="AH176" s="22">
        <f>IFERROR(MATRIZ_174!Z175,0)</f>
        <v>0</v>
      </c>
      <c r="AI176" s="17">
        <f>IFERROR(MATRIZ_174!AP175,"N/A")</f>
        <v>0.125</v>
      </c>
      <c r="AJ176" s="17">
        <f>IFERROR(MATRIZ_174!AO175,"N/A")</f>
        <v>0</v>
      </c>
      <c r="AK176" s="23">
        <f t="shared" si="70"/>
        <v>0</v>
      </c>
      <c r="AL176" s="24">
        <f t="shared" si="71"/>
        <v>0</v>
      </c>
    </row>
    <row r="177" spans="1:38" ht="16.05" customHeight="1" x14ac:dyDescent="0.3">
      <c r="A177" s="13" t="s">
        <v>424</v>
      </c>
      <c r="B177" s="14" t="s">
        <v>425</v>
      </c>
      <c r="C177" s="13" t="s">
        <v>103</v>
      </c>
      <c r="D177" s="15">
        <v>0</v>
      </c>
      <c r="E177" s="16">
        <v>0</v>
      </c>
      <c r="F177" s="17">
        <f>IFERROR(SCORECARDS!H176,"")</f>
        <v>0</v>
      </c>
      <c r="G177" s="17">
        <f>IFERROR(MATRIZ_174!U176,0)</f>
        <v>0</v>
      </c>
      <c r="H177" s="16">
        <v>0</v>
      </c>
      <c r="I177" s="17">
        <f>IFERROR(SCORECARDS!I176,"")</f>
        <v>0</v>
      </c>
      <c r="J177" s="17">
        <f>IFERROR(SCORECARDS!J176,"")</f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7">
        <f t="shared" si="60"/>
        <v>0</v>
      </c>
      <c r="Q177" s="17">
        <f t="shared" si="61"/>
        <v>0</v>
      </c>
      <c r="R177" s="17">
        <f t="shared" si="62"/>
        <v>0</v>
      </c>
      <c r="S177" s="17">
        <f t="shared" si="63"/>
        <v>0</v>
      </c>
      <c r="T177" s="17">
        <f>IFERROR((K177+M177+MATRIZ_174!O176)/3,0)</f>
        <v>0</v>
      </c>
      <c r="U177" s="18">
        <f>IFERROR(MATRIZ_174!AP176*50,0)</f>
        <v>0</v>
      </c>
      <c r="V177" s="18">
        <f t="shared" si="64"/>
        <v>50</v>
      </c>
      <c r="W177" s="18">
        <f>IF(MATRIZ_174!R176&gt;0,65,35)</f>
        <v>35</v>
      </c>
      <c r="X177" s="18">
        <f>IF(MATRIZ_174!O176=0,70,30)</f>
        <v>70</v>
      </c>
      <c r="Y177" s="18">
        <f>IF(OR(MATRIZ_174!P176="ASOCIACION",MATRIZ_174!P176="PENDIENTE"),65,40)</f>
        <v>65</v>
      </c>
      <c r="Z177" s="19">
        <f t="shared" si="65"/>
        <v>0</v>
      </c>
      <c r="AA177" s="20">
        <f t="shared" si="66"/>
        <v>44</v>
      </c>
      <c r="AB177" s="21">
        <f t="shared" si="67"/>
        <v>44</v>
      </c>
      <c r="AC177" s="13" t="str">
        <f t="shared" si="68"/>
        <v>⬜  Riesgo Latente</v>
      </c>
      <c r="AD177" s="13" t="str">
        <f t="shared" si="69"/>
        <v>🚫  Inh. vigente OSCE</v>
      </c>
      <c r="AE177" s="22">
        <f>IFERROR(MATRIZ_174!W176,0)</f>
        <v>0</v>
      </c>
      <c r="AF177" s="22">
        <f>IFERROR(MATRIZ_174!X176,0)</f>
        <v>0</v>
      </c>
      <c r="AG177" s="22">
        <f>IFERROR(MATRIZ_174!Y176,0)</f>
        <v>0</v>
      </c>
      <c r="AH177" s="22">
        <f>IFERROR(MATRIZ_174!Z176,0)</f>
        <v>0</v>
      </c>
      <c r="AI177" s="17">
        <f>IFERROR(MATRIZ_174!AP176,"N/A")</f>
        <v>0</v>
      </c>
      <c r="AJ177" s="17">
        <f>IFERROR(MATRIZ_174!AO176,"N/A")</f>
        <v>0</v>
      </c>
      <c r="AK177" s="23">
        <f t="shared" si="70"/>
        <v>0</v>
      </c>
      <c r="AL177" s="24">
        <f t="shared" si="71"/>
        <v>0</v>
      </c>
    </row>
    <row r="178" spans="1:38" ht="22.05" customHeight="1" x14ac:dyDescent="0.3">
      <c r="A178" s="39" t="s">
        <v>426</v>
      </c>
      <c r="B178" s="40"/>
      <c r="C178" s="40"/>
      <c r="D178" s="41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6">
        <f>IFERROR(AVERAGE(Z4:Z176),"—")</f>
        <v>1.1560693641618498E-3</v>
      </c>
      <c r="AA178" s="26">
        <f>IFERROR(AVERAGE(AA4:AA176),"—")</f>
        <v>45.008670520231242</v>
      </c>
      <c r="AB178" s="26">
        <f>IFERROR(AVERAGE(AB4:AB176),"—")</f>
        <v>45.008670520231242</v>
      </c>
      <c r="AC178" s="25" t="s">
        <v>427</v>
      </c>
      <c r="AD178" s="25"/>
      <c r="AE178" s="25"/>
      <c r="AF178" s="25"/>
      <c r="AG178" s="25"/>
      <c r="AH178" s="25"/>
      <c r="AI178" s="25"/>
      <c r="AJ178" s="25"/>
      <c r="AK178" s="25"/>
      <c r="AL178" s="26">
        <f>IFERROR(AVERAGE(AL4:AL176),"—")</f>
        <v>0</v>
      </c>
    </row>
    <row r="180" spans="1:38" ht="30" customHeight="1" x14ac:dyDescent="0.3">
      <c r="A180" s="42" t="s">
        <v>428</v>
      </c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</sheetData>
  <mergeCells count="4">
    <mergeCell ref="A1:AL1"/>
    <mergeCell ref="A178:D178"/>
    <mergeCell ref="A180:AL180"/>
    <mergeCell ref="A2:A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48" customWidth="1"/>
    <col min="4" max="4" width="16" customWidth="1"/>
  </cols>
  <sheetData>
    <row r="1" spans="1:4" ht="28.05" customHeight="1" x14ac:dyDescent="0.3">
      <c r="A1" s="37" t="s">
        <v>429</v>
      </c>
      <c r="B1" s="37"/>
      <c r="C1" s="37"/>
      <c r="D1" s="37"/>
    </row>
    <row r="2" spans="1:4" x14ac:dyDescent="0.3">
      <c r="A2" s="37" t="s">
        <v>430</v>
      </c>
      <c r="B2" s="37"/>
      <c r="C2" s="37"/>
      <c r="D2" s="37"/>
    </row>
    <row r="3" spans="1:4" x14ac:dyDescent="0.3">
      <c r="A3" t="s">
        <v>431</v>
      </c>
      <c r="B3" t="s">
        <v>432</v>
      </c>
    </row>
    <row r="4" spans="1:4" x14ac:dyDescent="0.3">
      <c r="A4" t="s">
        <v>433</v>
      </c>
      <c r="B4" t="s">
        <v>434</v>
      </c>
    </row>
    <row r="5" spans="1:4" x14ac:dyDescent="0.3">
      <c r="A5" t="s">
        <v>435</v>
      </c>
      <c r="B5" t="s">
        <v>436</v>
      </c>
    </row>
    <row r="6" spans="1:4" x14ac:dyDescent="0.3">
      <c r="A6" t="s">
        <v>437</v>
      </c>
      <c r="B6" t="s">
        <v>438</v>
      </c>
    </row>
    <row r="7" spans="1:4" x14ac:dyDescent="0.3">
      <c r="A7" t="s">
        <v>439</v>
      </c>
      <c r="B7" t="s">
        <v>440</v>
      </c>
    </row>
    <row r="8" spans="1:4" x14ac:dyDescent="0.3">
      <c r="A8" t="s">
        <v>441</v>
      </c>
      <c r="B8" t="s">
        <v>442</v>
      </c>
    </row>
    <row r="10" spans="1:4" x14ac:dyDescent="0.3">
      <c r="A10" s="37" t="s">
        <v>443</v>
      </c>
      <c r="B10" s="37"/>
      <c r="C10" s="37"/>
      <c r="D10" s="37"/>
    </row>
    <row r="11" spans="1:4" x14ac:dyDescent="0.3">
      <c r="A11" t="s">
        <v>444</v>
      </c>
      <c r="B11" t="s">
        <v>445</v>
      </c>
      <c r="C11" t="s">
        <v>446</v>
      </c>
      <c r="D11" t="s">
        <v>447</v>
      </c>
    </row>
    <row r="12" spans="1:4" ht="18" customHeight="1" x14ac:dyDescent="0.3">
      <c r="A12" t="s">
        <v>448</v>
      </c>
      <c r="B12" t="s">
        <v>449</v>
      </c>
      <c r="C12" t="s">
        <v>450</v>
      </c>
      <c r="D12">
        <v>25</v>
      </c>
    </row>
    <row r="13" spans="1:4" ht="18" customHeight="1" x14ac:dyDescent="0.3">
      <c r="A13" t="s">
        <v>451</v>
      </c>
      <c r="B13" t="s">
        <v>452</v>
      </c>
      <c r="C13" t="s">
        <v>453</v>
      </c>
      <c r="D13">
        <v>20</v>
      </c>
    </row>
    <row r="14" spans="1:4" ht="18" customHeight="1" x14ac:dyDescent="0.3">
      <c r="A14" t="s">
        <v>454</v>
      </c>
      <c r="B14" t="s">
        <v>455</v>
      </c>
      <c r="C14" t="s">
        <v>456</v>
      </c>
      <c r="D14">
        <v>15</v>
      </c>
    </row>
    <row r="15" spans="1:4" ht="18" customHeight="1" x14ac:dyDescent="0.3">
      <c r="A15" t="s">
        <v>457</v>
      </c>
      <c r="B15" t="s">
        <v>458</v>
      </c>
      <c r="C15" t="s">
        <v>459</v>
      </c>
      <c r="D15">
        <v>10</v>
      </c>
    </row>
    <row r="16" spans="1:4" ht="18" customHeight="1" x14ac:dyDescent="0.3">
      <c r="A16" t="s">
        <v>460</v>
      </c>
      <c r="B16" t="s">
        <v>461</v>
      </c>
      <c r="C16" t="s">
        <v>462</v>
      </c>
      <c r="D16">
        <v>15</v>
      </c>
    </row>
    <row r="17" spans="1:4" ht="18" customHeight="1" x14ac:dyDescent="0.3">
      <c r="A17" t="s">
        <v>463</v>
      </c>
      <c r="B17" t="s">
        <v>464</v>
      </c>
      <c r="C17" t="s">
        <v>465</v>
      </c>
      <c r="D17">
        <v>10</v>
      </c>
    </row>
    <row r="18" spans="1:4" ht="18" customHeight="1" x14ac:dyDescent="0.3">
      <c r="A18" t="s">
        <v>466</v>
      </c>
      <c r="B18" t="s">
        <v>467</v>
      </c>
      <c r="C18" t="s">
        <v>468</v>
      </c>
      <c r="D18">
        <v>5</v>
      </c>
    </row>
    <row r="19" spans="1:4" ht="19.95" customHeight="1" x14ac:dyDescent="0.3">
      <c r="A19" t="s">
        <v>469</v>
      </c>
      <c r="B19" s="37"/>
      <c r="C19" s="37"/>
      <c r="D19">
        <f>SUM(D12:D18)</f>
        <v>100</v>
      </c>
    </row>
    <row r="21" spans="1:4" x14ac:dyDescent="0.3">
      <c r="A21" s="37" t="s">
        <v>470</v>
      </c>
      <c r="B21" s="37"/>
      <c r="C21" s="37"/>
      <c r="D21" s="37"/>
    </row>
    <row r="23" spans="1:4" x14ac:dyDescent="0.3">
      <c r="A23" s="44" t="s">
        <v>471</v>
      </c>
      <c r="B23" s="37"/>
      <c r="C23" s="37"/>
      <c r="D23" s="37"/>
    </row>
    <row r="24" spans="1:4" x14ac:dyDescent="0.3">
      <c r="A24" s="45" t="s">
        <v>472</v>
      </c>
      <c r="B24" s="37"/>
      <c r="C24" s="37"/>
      <c r="D24" s="37"/>
    </row>
    <row r="25" spans="1:4" x14ac:dyDescent="0.3">
      <c r="A25" s="27" t="s">
        <v>473</v>
      </c>
      <c r="B25" s="27" t="s">
        <v>474</v>
      </c>
      <c r="C25" s="27" t="s">
        <v>475</v>
      </c>
    </row>
    <row r="26" spans="1:4" x14ac:dyDescent="0.3">
      <c r="A26" s="28" t="s">
        <v>476</v>
      </c>
      <c r="B26" s="29"/>
      <c r="C26" s="27" t="s">
        <v>477</v>
      </c>
    </row>
    <row r="27" spans="1:4" x14ac:dyDescent="0.3">
      <c r="A27" s="14"/>
      <c r="B27" s="14"/>
      <c r="C27" s="13"/>
    </row>
    <row r="28" spans="1:4" ht="28.8" x14ac:dyDescent="0.3">
      <c r="A28" s="28" t="s">
        <v>478</v>
      </c>
      <c r="B28" s="29" t="e">
        <f ca="1">PROMEDIO(D12:D15)</f>
        <v>#NAME?</v>
      </c>
      <c r="C28" s="27" t="s">
        <v>477</v>
      </c>
    </row>
    <row r="29" spans="1:4" x14ac:dyDescent="0.3">
      <c r="A29" s="14"/>
      <c r="B29" s="14"/>
      <c r="C29" s="13"/>
    </row>
    <row r="30" spans="1:4" ht="28.8" x14ac:dyDescent="0.3">
      <c r="A30" s="28" t="s">
        <v>479</v>
      </c>
      <c r="B30" s="29" t="e">
        <f>0.7*ISA-EUDR + 0.3*ISA-PV</f>
        <v>#NAME?</v>
      </c>
      <c r="C30" s="27" t="s">
        <v>477</v>
      </c>
    </row>
    <row r="31" spans="1:4" x14ac:dyDescent="0.3">
      <c r="A31" s="14"/>
      <c r="B31" s="14"/>
      <c r="C31" s="13"/>
    </row>
    <row r="32" spans="1:4" x14ac:dyDescent="0.3">
      <c r="A32" s="30" t="s">
        <v>480</v>
      </c>
      <c r="B32" s="31">
        <f>D2</f>
        <v>0</v>
      </c>
      <c r="C32" s="32" t="s">
        <v>481</v>
      </c>
    </row>
    <row r="33" spans="1:3" x14ac:dyDescent="0.3">
      <c r="A33" s="33" t="s">
        <v>482</v>
      </c>
      <c r="B33" s="34" t="e">
        <f ca="1">√(D3 * D4)</f>
        <v>#NAME?</v>
      </c>
      <c r="C33" s="35" t="s">
        <v>481</v>
      </c>
    </row>
    <row r="34" spans="1:3" x14ac:dyDescent="0.3">
      <c r="A34" s="30" t="s">
        <v>483</v>
      </c>
      <c r="B34" s="31">
        <f>(D5 + D6 + D8) / 3</f>
        <v>0</v>
      </c>
      <c r="C34" s="32" t="s">
        <v>481</v>
      </c>
    </row>
    <row r="35" spans="1:3" x14ac:dyDescent="0.3">
      <c r="A35" s="33" t="s">
        <v>484</v>
      </c>
      <c r="B35" s="34">
        <f>(D6 + D2) / 2</f>
        <v>0</v>
      </c>
      <c r="C35" s="35" t="s">
        <v>481</v>
      </c>
    </row>
    <row r="36" spans="1:3" x14ac:dyDescent="0.3">
      <c r="A36" s="30" t="s">
        <v>485</v>
      </c>
      <c r="B36" s="31" t="e">
        <f>(D7 + D9 + Cert) / 3</f>
        <v>#NAME?</v>
      </c>
      <c r="C36" s="32" t="s">
        <v>481</v>
      </c>
    </row>
    <row r="37" spans="1:3" x14ac:dyDescent="0.3">
      <c r="A37" s="33" t="s">
        <v>486</v>
      </c>
      <c r="B37" s="34" t="e">
        <f ca="1">PROMEDIO(IP1:IP5)</f>
        <v>#NAME?</v>
      </c>
      <c r="C37" s="35" t="s">
        <v>477</v>
      </c>
    </row>
    <row r="38" spans="1:3" x14ac:dyDescent="0.3">
      <c r="A38" s="14"/>
      <c r="B38" s="14"/>
      <c r="C38" s="13"/>
    </row>
    <row r="39" spans="1:3" x14ac:dyDescent="0.3">
      <c r="A39" s="33" t="s">
        <v>487</v>
      </c>
      <c r="B39" s="34"/>
      <c r="C39" s="35" t="s">
        <v>481</v>
      </c>
    </row>
    <row r="40" spans="1:3" x14ac:dyDescent="0.3">
      <c r="A40" s="30" t="s">
        <v>488</v>
      </c>
      <c r="B40" s="31"/>
      <c r="C40" s="32" t="s">
        <v>481</v>
      </c>
    </row>
    <row r="41" spans="1:3" x14ac:dyDescent="0.3">
      <c r="A41" s="33" t="s">
        <v>489</v>
      </c>
      <c r="B41" s="34"/>
      <c r="C41" s="35" t="s">
        <v>481</v>
      </c>
    </row>
    <row r="42" spans="1:3" x14ac:dyDescent="0.3">
      <c r="A42" s="30" t="s">
        <v>490</v>
      </c>
      <c r="B42" s="31"/>
      <c r="C42" s="32" t="s">
        <v>481</v>
      </c>
    </row>
    <row r="43" spans="1:3" x14ac:dyDescent="0.3">
      <c r="A43" s="33" t="s">
        <v>491</v>
      </c>
      <c r="B43" s="34"/>
      <c r="C43" s="35" t="s">
        <v>481</v>
      </c>
    </row>
    <row r="44" spans="1:3" x14ac:dyDescent="0.3">
      <c r="A44" s="30" t="s">
        <v>492</v>
      </c>
      <c r="B44" s="31" t="e">
        <f ca="1">PROMEDIO(IV1:IV5)</f>
        <v>#NAME?</v>
      </c>
      <c r="C44" s="32" t="s">
        <v>477</v>
      </c>
    </row>
    <row r="45" spans="1:3" x14ac:dyDescent="0.3">
      <c r="A45" s="14"/>
      <c r="B45" s="14"/>
      <c r="C45" s="13"/>
    </row>
    <row r="46" spans="1:3" x14ac:dyDescent="0.3">
      <c r="A46" s="30" t="s">
        <v>493</v>
      </c>
      <c r="B46" s="31"/>
      <c r="C46" s="32" t="s">
        <v>494</v>
      </c>
    </row>
    <row r="47" spans="1:3" ht="28.8" x14ac:dyDescent="0.3">
      <c r="A47" s="33" t="s">
        <v>495</v>
      </c>
      <c r="B47" s="34" t="s">
        <v>496</v>
      </c>
      <c r="C47" s="35" t="s">
        <v>497</v>
      </c>
    </row>
  </sheetData>
  <mergeCells count="7">
    <mergeCell ref="A1:D1"/>
    <mergeCell ref="A23:D23"/>
    <mergeCell ref="B19:C19"/>
    <mergeCell ref="A21:D21"/>
    <mergeCell ref="A24:D24"/>
    <mergeCell ref="A2:D2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76"/>
  <sheetViews>
    <sheetView workbookViewId="0">
      <pane xSplit="2" ySplit="2" topLeftCell="C97" activePane="bottomRight" state="frozen"/>
      <selection pane="topRight"/>
      <selection pane="bottomLeft"/>
      <selection pane="bottomRight" activeCell="J4" sqref="J4"/>
    </sheetView>
  </sheetViews>
  <sheetFormatPr baseColWidth="10" defaultColWidth="8.88671875" defaultRowHeight="14.4" x14ac:dyDescent="0.3"/>
  <cols>
    <col min="1" max="1" width="14" customWidth="1"/>
    <col min="2" max="2" width="65.6640625" bestFit="1" customWidth="1"/>
    <col min="3" max="3" width="14" customWidth="1"/>
    <col min="4" max="4" width="12" customWidth="1"/>
    <col min="5" max="5" width="14" customWidth="1"/>
    <col min="6" max="6" width="8" customWidth="1"/>
    <col min="7" max="7" width="9" customWidth="1"/>
    <col min="8" max="12" width="14" customWidth="1"/>
    <col min="13" max="13" width="10" customWidth="1"/>
    <col min="14" max="15" width="14" customWidth="1"/>
    <col min="16" max="16" width="12" customWidth="1"/>
    <col min="17" max="20" width="14" customWidth="1"/>
    <col min="23" max="26" width="22" customWidth="1"/>
    <col min="27" max="40" width="20" customWidth="1"/>
    <col min="41" max="42" width="16" customWidth="1"/>
  </cols>
  <sheetData>
    <row r="1" spans="1:42" ht="28.05" customHeight="1" x14ac:dyDescent="0.3">
      <c r="A1" s="37" t="s">
        <v>498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W1" t="s">
        <v>499</v>
      </c>
      <c r="X1" t="s">
        <v>500</v>
      </c>
      <c r="Y1" t="s">
        <v>501</v>
      </c>
      <c r="Z1" t="s">
        <v>502</v>
      </c>
      <c r="AA1" t="s">
        <v>503</v>
      </c>
      <c r="AB1" t="s">
        <v>504</v>
      </c>
      <c r="AC1" t="s">
        <v>505</v>
      </c>
      <c r="AD1" t="s">
        <v>506</v>
      </c>
      <c r="AE1" t="s">
        <v>507</v>
      </c>
      <c r="AF1" t="s">
        <v>508</v>
      </c>
      <c r="AG1" t="s">
        <v>509</v>
      </c>
      <c r="AH1" t="s">
        <v>510</v>
      </c>
      <c r="AI1" t="s">
        <v>511</v>
      </c>
      <c r="AJ1" t="s">
        <v>512</v>
      </c>
      <c r="AK1" t="s">
        <v>513</v>
      </c>
      <c r="AL1" t="s">
        <v>514</v>
      </c>
      <c r="AM1" t="s">
        <v>515</v>
      </c>
      <c r="AN1" t="s">
        <v>516</v>
      </c>
      <c r="AO1" t="s">
        <v>517</v>
      </c>
      <c r="AP1" t="s">
        <v>518</v>
      </c>
    </row>
    <row r="2" spans="1:42" ht="100.05" customHeight="1" x14ac:dyDescent="0.3">
      <c r="A2" t="s">
        <v>25</v>
      </c>
      <c r="B2" t="s">
        <v>519</v>
      </c>
      <c r="C2" t="s">
        <v>27</v>
      </c>
      <c r="D2" t="s">
        <v>520</v>
      </c>
      <c r="E2" t="s">
        <v>521</v>
      </c>
      <c r="F2" t="s">
        <v>522</v>
      </c>
      <c r="G2" t="s">
        <v>523</v>
      </c>
      <c r="H2" t="s">
        <v>524</v>
      </c>
      <c r="I2" t="s">
        <v>525</v>
      </c>
      <c r="J2" t="s">
        <v>526</v>
      </c>
      <c r="K2" t="s">
        <v>527</v>
      </c>
      <c r="L2" t="s">
        <v>28</v>
      </c>
      <c r="M2" t="s">
        <v>528</v>
      </c>
      <c r="N2" t="s">
        <v>529</v>
      </c>
      <c r="O2" t="s">
        <v>530</v>
      </c>
      <c r="P2" t="s">
        <v>531</v>
      </c>
      <c r="Q2" t="s">
        <v>532</v>
      </c>
      <c r="R2" t="s">
        <v>533</v>
      </c>
      <c r="S2" t="s">
        <v>534</v>
      </c>
      <c r="T2" t="s">
        <v>535</v>
      </c>
      <c r="U2" t="s">
        <v>536</v>
      </c>
      <c r="V2" t="s">
        <v>537</v>
      </c>
      <c r="W2" t="s">
        <v>538</v>
      </c>
      <c r="X2" t="s">
        <v>539</v>
      </c>
      <c r="Y2" t="s">
        <v>540</v>
      </c>
      <c r="Z2" t="s">
        <v>541</v>
      </c>
      <c r="AA2" t="s">
        <v>542</v>
      </c>
      <c r="AB2" t="s">
        <v>543</v>
      </c>
      <c r="AC2" t="s">
        <v>544</v>
      </c>
      <c r="AD2" t="s">
        <v>545</v>
      </c>
      <c r="AE2" t="s">
        <v>546</v>
      </c>
      <c r="AF2" t="s">
        <v>547</v>
      </c>
      <c r="AG2" t="s">
        <v>548</v>
      </c>
      <c r="AH2" t="s">
        <v>549</v>
      </c>
      <c r="AI2" t="s">
        <v>550</v>
      </c>
      <c r="AJ2" t="s">
        <v>551</v>
      </c>
      <c r="AK2" t="s">
        <v>552</v>
      </c>
      <c r="AL2" t="s">
        <v>553</v>
      </c>
      <c r="AM2" t="s">
        <v>554</v>
      </c>
      <c r="AN2" t="s">
        <v>555</v>
      </c>
      <c r="AO2" t="s">
        <v>556</v>
      </c>
      <c r="AP2" t="s">
        <v>557</v>
      </c>
    </row>
    <row r="3" spans="1:42" ht="16.05" customHeight="1" x14ac:dyDescent="0.3">
      <c r="A3" t="s">
        <v>63</v>
      </c>
      <c r="B3" t="s">
        <v>64</v>
      </c>
      <c r="C3" t="s">
        <v>65</v>
      </c>
      <c r="D3" t="s">
        <v>558</v>
      </c>
      <c r="E3">
        <v>5107246.6199999992</v>
      </c>
      <c r="F3">
        <v>38</v>
      </c>
      <c r="G3" t="s">
        <v>559</v>
      </c>
      <c r="H3" t="s">
        <v>421</v>
      </c>
      <c r="I3" t="s">
        <v>421</v>
      </c>
      <c r="J3" t="s">
        <v>560</v>
      </c>
      <c r="K3" t="s">
        <v>421</v>
      </c>
      <c r="L3">
        <v>2553623.31</v>
      </c>
      <c r="M3">
        <f t="shared" ref="M3:M34" si="0">IF(E3&gt;0,ROUND(L3/E3*100,1),0)</f>
        <v>50</v>
      </c>
      <c r="N3" t="s">
        <v>561</v>
      </c>
      <c r="O3">
        <f t="shared" ref="O3:O34" si="1">IF(H3="SI",1,0)*0.6+IF(I3="SI",1,0)*0.4</f>
        <v>0</v>
      </c>
      <c r="P3" t="s">
        <v>561</v>
      </c>
      <c r="S3">
        <f>IFERROR(SCORECARDS!C1,"—")</f>
        <v>0</v>
      </c>
      <c r="T3" t="str">
        <f t="shared" ref="T3:T34" si="2">IF(ISTEXT(S3),S3,IF(S3&lt;34,"🔴 Crítico",IF(S3&lt;67,"🟡 Vulnerable","🟢 Preparado")))</f>
        <v>🔴 Crítico</v>
      </c>
      <c r="U3">
        <v>1</v>
      </c>
      <c r="V3" t="s">
        <v>562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f t="shared" ref="AO3:AO34" si="3">IFERROR(AVERAGE(AA3,AB3,AC3,AD3,AE3,AF3,AG3,AH3,AI3,AJ3,AK3,AL3,AM3,AN3),"N/A")</f>
        <v>0</v>
      </c>
      <c r="AP3">
        <f t="shared" ref="AP3:AP34" si="4">IFERROR(AVERAGE(W3,X3,Y3,Z3)/2,"N/A")</f>
        <v>0.125</v>
      </c>
    </row>
    <row r="4" spans="1:42" ht="16.05" customHeight="1" x14ac:dyDescent="0.3">
      <c r="A4" t="s">
        <v>66</v>
      </c>
      <c r="B4" t="s">
        <v>67</v>
      </c>
      <c r="C4" t="s">
        <v>68</v>
      </c>
      <c r="D4" t="s">
        <v>563</v>
      </c>
      <c r="E4">
        <v>0</v>
      </c>
      <c r="G4" t="s">
        <v>564</v>
      </c>
      <c r="H4" t="s">
        <v>421</v>
      </c>
      <c r="I4" t="s">
        <v>421</v>
      </c>
      <c r="J4" t="s">
        <v>560</v>
      </c>
      <c r="K4" t="s">
        <v>421</v>
      </c>
      <c r="L4">
        <v>0</v>
      </c>
      <c r="M4">
        <f t="shared" si="0"/>
        <v>0</v>
      </c>
      <c r="N4" t="s">
        <v>561</v>
      </c>
      <c r="O4">
        <f t="shared" si="1"/>
        <v>0</v>
      </c>
      <c r="P4" t="s">
        <v>561</v>
      </c>
      <c r="S4" t="str">
        <f>IFERROR(SCORECARDS!C2,"—")</f>
        <v>ISA-Completo
(0-100)</v>
      </c>
      <c r="T4" t="str">
        <f t="shared" si="2"/>
        <v>ISA-Completo
(0-100)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f t="shared" si="3"/>
        <v>0</v>
      </c>
      <c r="AP4">
        <f t="shared" si="4"/>
        <v>0</v>
      </c>
    </row>
    <row r="5" spans="1:42" ht="16.05" customHeight="1" x14ac:dyDescent="0.3">
      <c r="A5" t="s">
        <v>69</v>
      </c>
      <c r="B5" t="s">
        <v>70</v>
      </c>
      <c r="C5" t="s">
        <v>71</v>
      </c>
      <c r="D5" t="s">
        <v>421</v>
      </c>
      <c r="E5">
        <v>9603968.1199999992</v>
      </c>
      <c r="F5">
        <v>41</v>
      </c>
      <c r="G5" t="s">
        <v>559</v>
      </c>
      <c r="H5" t="s">
        <v>421</v>
      </c>
      <c r="I5" t="s">
        <v>421</v>
      </c>
      <c r="J5" t="s">
        <v>560</v>
      </c>
      <c r="K5" t="s">
        <v>421</v>
      </c>
      <c r="L5">
        <v>4801984.0599999996</v>
      </c>
      <c r="M5">
        <f t="shared" si="0"/>
        <v>50</v>
      </c>
      <c r="N5" t="s">
        <v>561</v>
      </c>
      <c r="O5">
        <f t="shared" si="1"/>
        <v>0</v>
      </c>
      <c r="P5" t="s">
        <v>561</v>
      </c>
      <c r="S5">
        <f>IFERROR(SCORECARDS!C3,"—")</f>
        <v>0</v>
      </c>
      <c r="T5" t="str">
        <f t="shared" si="2"/>
        <v>🔴 Crítico</v>
      </c>
      <c r="U5">
        <v>1</v>
      </c>
      <c r="V5" t="s">
        <v>562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f t="shared" si="3"/>
        <v>0</v>
      </c>
      <c r="AP5">
        <f t="shared" si="4"/>
        <v>0.125</v>
      </c>
    </row>
    <row r="6" spans="1:42" ht="16.05" customHeight="1" x14ac:dyDescent="0.3">
      <c r="A6" t="s">
        <v>72</v>
      </c>
      <c r="B6" t="s">
        <v>73</v>
      </c>
      <c r="C6" t="s">
        <v>74</v>
      </c>
      <c r="D6" t="s">
        <v>421</v>
      </c>
      <c r="G6" t="s">
        <v>564</v>
      </c>
      <c r="H6" t="s">
        <v>565</v>
      </c>
      <c r="I6" t="s">
        <v>566</v>
      </c>
      <c r="J6" t="s">
        <v>560</v>
      </c>
      <c r="K6" t="s">
        <v>421</v>
      </c>
      <c r="L6">
        <v>0</v>
      </c>
      <c r="M6">
        <f t="shared" si="0"/>
        <v>0</v>
      </c>
      <c r="N6" t="s">
        <v>561</v>
      </c>
      <c r="O6">
        <f t="shared" si="1"/>
        <v>0</v>
      </c>
      <c r="P6" t="s">
        <v>561</v>
      </c>
      <c r="Q6">
        <v>44</v>
      </c>
      <c r="R6">
        <v>44</v>
      </c>
      <c r="S6">
        <f>IFERROR(SCORECARDS!C4,"—")</f>
        <v>0</v>
      </c>
      <c r="T6" t="str">
        <f t="shared" si="2"/>
        <v>🔴 Crítico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f t="shared" si="3"/>
        <v>0</v>
      </c>
      <c r="AP6">
        <f t="shared" si="4"/>
        <v>0.125</v>
      </c>
    </row>
    <row r="7" spans="1:42" ht="16.05" customHeight="1" x14ac:dyDescent="0.3">
      <c r="A7" t="s">
        <v>75</v>
      </c>
      <c r="B7" t="s">
        <v>76</v>
      </c>
      <c r="C7" t="s">
        <v>74</v>
      </c>
      <c r="D7" t="s">
        <v>558</v>
      </c>
      <c r="G7" t="s">
        <v>564</v>
      </c>
      <c r="H7" t="s">
        <v>565</v>
      </c>
      <c r="I7" t="s">
        <v>421</v>
      </c>
      <c r="J7" t="s">
        <v>560</v>
      </c>
      <c r="K7" t="s">
        <v>567</v>
      </c>
      <c r="L7">
        <v>0</v>
      </c>
      <c r="M7">
        <f t="shared" si="0"/>
        <v>0</v>
      </c>
      <c r="N7" t="s">
        <v>561</v>
      </c>
      <c r="O7">
        <f t="shared" si="1"/>
        <v>0</v>
      </c>
      <c r="P7" t="s">
        <v>561</v>
      </c>
      <c r="Q7">
        <v>100</v>
      </c>
      <c r="R7">
        <v>218</v>
      </c>
      <c r="S7">
        <f>IFERROR(SCORECARDS!C5,"—")</f>
        <v>0</v>
      </c>
      <c r="T7" t="str">
        <f t="shared" si="2"/>
        <v>🔴 Crítico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f t="shared" si="3"/>
        <v>0</v>
      </c>
      <c r="AP7">
        <f t="shared" si="4"/>
        <v>0.125</v>
      </c>
    </row>
    <row r="8" spans="1:42" ht="16.05" customHeight="1" x14ac:dyDescent="0.3">
      <c r="A8" t="s">
        <v>77</v>
      </c>
      <c r="B8" t="s">
        <v>78</v>
      </c>
      <c r="C8" t="s">
        <v>74</v>
      </c>
      <c r="D8" t="s">
        <v>558</v>
      </c>
      <c r="E8">
        <v>2477083.5</v>
      </c>
      <c r="F8">
        <v>14</v>
      </c>
      <c r="G8" t="s">
        <v>559</v>
      </c>
      <c r="H8" t="s">
        <v>421</v>
      </c>
      <c r="I8" t="s">
        <v>421</v>
      </c>
      <c r="J8" t="s">
        <v>560</v>
      </c>
      <c r="K8" t="s">
        <v>421</v>
      </c>
      <c r="L8">
        <v>1238541.75</v>
      </c>
      <c r="M8">
        <f t="shared" si="0"/>
        <v>50</v>
      </c>
      <c r="N8" t="s">
        <v>561</v>
      </c>
      <c r="O8">
        <f t="shared" si="1"/>
        <v>0</v>
      </c>
      <c r="P8" t="s">
        <v>561</v>
      </c>
      <c r="S8">
        <f>IFERROR(SCORECARDS!C6,"—")</f>
        <v>0</v>
      </c>
      <c r="T8" t="str">
        <f t="shared" si="2"/>
        <v>🔴 Crítico</v>
      </c>
      <c r="U8">
        <v>1</v>
      </c>
      <c r="V8" t="s">
        <v>562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f t="shared" si="3"/>
        <v>0</v>
      </c>
      <c r="AP8">
        <f t="shared" si="4"/>
        <v>0.125</v>
      </c>
    </row>
    <row r="9" spans="1:42" ht="16.05" customHeight="1" x14ac:dyDescent="0.3">
      <c r="A9" t="s">
        <v>79</v>
      </c>
      <c r="B9" t="s">
        <v>80</v>
      </c>
      <c r="C9" t="s">
        <v>74</v>
      </c>
      <c r="D9" t="s">
        <v>558</v>
      </c>
      <c r="E9">
        <v>1689820.33</v>
      </c>
      <c r="F9">
        <v>5</v>
      </c>
      <c r="G9" t="s">
        <v>559</v>
      </c>
      <c r="H9" t="s">
        <v>421</v>
      </c>
      <c r="I9" t="s">
        <v>421</v>
      </c>
      <c r="J9" t="s">
        <v>560</v>
      </c>
      <c r="K9" t="s">
        <v>421</v>
      </c>
      <c r="L9">
        <v>0</v>
      </c>
      <c r="M9">
        <f t="shared" si="0"/>
        <v>0</v>
      </c>
      <c r="N9" t="s">
        <v>561</v>
      </c>
      <c r="O9">
        <f t="shared" si="1"/>
        <v>0</v>
      </c>
      <c r="P9" t="s">
        <v>561</v>
      </c>
      <c r="S9">
        <f>IFERROR(SCORECARDS!C7,"—")</f>
        <v>0</v>
      </c>
      <c r="T9" t="str">
        <f t="shared" si="2"/>
        <v>🔴 Crítico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f t="shared" si="3"/>
        <v>0</v>
      </c>
      <c r="AP9">
        <f t="shared" si="4"/>
        <v>0</v>
      </c>
    </row>
    <row r="10" spans="1:42" ht="16.05" customHeight="1" x14ac:dyDescent="0.3">
      <c r="A10" t="s">
        <v>81</v>
      </c>
      <c r="B10" t="s">
        <v>82</v>
      </c>
      <c r="C10" t="s">
        <v>74</v>
      </c>
      <c r="D10" t="s">
        <v>558</v>
      </c>
      <c r="E10">
        <v>0</v>
      </c>
      <c r="G10" t="s">
        <v>564</v>
      </c>
      <c r="H10" t="s">
        <v>565</v>
      </c>
      <c r="I10" t="s">
        <v>568</v>
      </c>
      <c r="J10" t="s">
        <v>560</v>
      </c>
      <c r="K10" t="s">
        <v>567</v>
      </c>
      <c r="L10">
        <v>0</v>
      </c>
      <c r="M10">
        <f t="shared" si="0"/>
        <v>0</v>
      </c>
      <c r="N10" t="s">
        <v>561</v>
      </c>
      <c r="O10">
        <f t="shared" si="1"/>
        <v>0</v>
      </c>
      <c r="P10" t="s">
        <v>561</v>
      </c>
      <c r="Q10">
        <v>177</v>
      </c>
      <c r="R10">
        <v>469</v>
      </c>
      <c r="S10">
        <f>IFERROR(SCORECARDS!C8,"—")</f>
        <v>0</v>
      </c>
      <c r="T10" t="str">
        <f t="shared" si="2"/>
        <v>🔴 Crítico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f t="shared" si="3"/>
        <v>0</v>
      </c>
      <c r="AP10">
        <f t="shared" si="4"/>
        <v>0.125</v>
      </c>
    </row>
    <row r="11" spans="1:42" ht="16.05" customHeight="1" x14ac:dyDescent="0.3">
      <c r="A11" t="s">
        <v>83</v>
      </c>
      <c r="B11" t="s">
        <v>84</v>
      </c>
      <c r="C11" t="s">
        <v>74</v>
      </c>
      <c r="D11" t="s">
        <v>558</v>
      </c>
      <c r="E11">
        <v>681394.36</v>
      </c>
      <c r="F11">
        <v>6</v>
      </c>
      <c r="G11" t="s">
        <v>559</v>
      </c>
      <c r="H11" t="s">
        <v>421</v>
      </c>
      <c r="I11" t="s">
        <v>421</v>
      </c>
      <c r="J11" t="s">
        <v>560</v>
      </c>
      <c r="K11" t="s">
        <v>421</v>
      </c>
      <c r="L11">
        <v>0</v>
      </c>
      <c r="M11">
        <f t="shared" si="0"/>
        <v>0</v>
      </c>
      <c r="N11" t="s">
        <v>561</v>
      </c>
      <c r="O11">
        <f t="shared" si="1"/>
        <v>0</v>
      </c>
      <c r="P11" t="s">
        <v>561</v>
      </c>
      <c r="S11">
        <f>IFERROR(SCORECARDS!C9,"—")</f>
        <v>0</v>
      </c>
      <c r="T11" t="str">
        <f t="shared" si="2"/>
        <v>🔴 Crítico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f t="shared" si="3"/>
        <v>0</v>
      </c>
      <c r="AP11">
        <f t="shared" si="4"/>
        <v>0</v>
      </c>
    </row>
    <row r="12" spans="1:42" ht="16.05" customHeight="1" x14ac:dyDescent="0.3">
      <c r="A12" t="s">
        <v>85</v>
      </c>
      <c r="B12" t="s">
        <v>86</v>
      </c>
      <c r="C12" t="s">
        <v>74</v>
      </c>
      <c r="D12" t="s">
        <v>558</v>
      </c>
      <c r="E12">
        <v>4445611.5999999978</v>
      </c>
      <c r="F12">
        <v>33</v>
      </c>
      <c r="G12" t="s">
        <v>559</v>
      </c>
      <c r="H12" t="s">
        <v>565</v>
      </c>
      <c r="I12" t="s">
        <v>568</v>
      </c>
      <c r="J12" t="s">
        <v>560</v>
      </c>
      <c r="K12" t="s">
        <v>567</v>
      </c>
      <c r="L12">
        <v>894391.27</v>
      </c>
      <c r="M12">
        <f t="shared" si="0"/>
        <v>20.100000000000001</v>
      </c>
      <c r="N12" t="s">
        <v>561</v>
      </c>
      <c r="O12">
        <f t="shared" si="1"/>
        <v>0</v>
      </c>
      <c r="P12" t="s">
        <v>561</v>
      </c>
      <c r="Q12">
        <v>660</v>
      </c>
      <c r="R12">
        <v>1670</v>
      </c>
      <c r="S12">
        <f>IFERROR(SCORECARDS!C10,"—")</f>
        <v>0</v>
      </c>
      <c r="T12" t="str">
        <f t="shared" si="2"/>
        <v>🔴 Crítico</v>
      </c>
      <c r="U12">
        <v>0.75</v>
      </c>
      <c r="V12" t="s">
        <v>569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f t="shared" si="3"/>
        <v>0</v>
      </c>
      <c r="AP12">
        <f t="shared" si="4"/>
        <v>0.125</v>
      </c>
    </row>
    <row r="13" spans="1:42" ht="16.05" customHeight="1" x14ac:dyDescent="0.3">
      <c r="A13" t="s">
        <v>87</v>
      </c>
      <c r="B13" t="s">
        <v>88</v>
      </c>
      <c r="C13" t="s">
        <v>74</v>
      </c>
      <c r="D13" t="s">
        <v>558</v>
      </c>
      <c r="E13">
        <v>0</v>
      </c>
      <c r="G13" t="s">
        <v>564</v>
      </c>
      <c r="H13" t="s">
        <v>565</v>
      </c>
      <c r="I13" t="s">
        <v>570</v>
      </c>
      <c r="J13" t="s">
        <v>560</v>
      </c>
      <c r="K13" t="s">
        <v>567</v>
      </c>
      <c r="L13">
        <v>0</v>
      </c>
      <c r="M13">
        <f t="shared" si="0"/>
        <v>0</v>
      </c>
      <c r="N13" t="s">
        <v>561</v>
      </c>
      <c r="O13">
        <f t="shared" si="1"/>
        <v>0</v>
      </c>
      <c r="P13" t="s">
        <v>561</v>
      </c>
      <c r="Q13">
        <v>49</v>
      </c>
      <c r="R13">
        <v>136.9</v>
      </c>
      <c r="S13">
        <f>IFERROR(SCORECARDS!C11,"—")</f>
        <v>0</v>
      </c>
      <c r="T13" t="str">
        <f t="shared" si="2"/>
        <v>🔴 Crítico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f t="shared" si="3"/>
        <v>0</v>
      </c>
      <c r="AP13">
        <f t="shared" si="4"/>
        <v>0.125</v>
      </c>
    </row>
    <row r="14" spans="1:42" ht="16.05" customHeight="1" x14ac:dyDescent="0.3">
      <c r="A14" t="s">
        <v>89</v>
      </c>
      <c r="B14" t="s">
        <v>90</v>
      </c>
      <c r="C14" t="s">
        <v>68</v>
      </c>
      <c r="D14" t="s">
        <v>563</v>
      </c>
      <c r="E14">
        <v>4030694.66</v>
      </c>
      <c r="F14">
        <v>14</v>
      </c>
      <c r="G14" t="s">
        <v>559</v>
      </c>
      <c r="H14" t="s">
        <v>421</v>
      </c>
      <c r="I14" t="s">
        <v>421</v>
      </c>
      <c r="J14" t="s">
        <v>560</v>
      </c>
      <c r="K14" t="s">
        <v>421</v>
      </c>
      <c r="L14">
        <v>2015347.33</v>
      </c>
      <c r="M14">
        <f t="shared" si="0"/>
        <v>50</v>
      </c>
      <c r="N14" t="s">
        <v>561</v>
      </c>
      <c r="O14">
        <f t="shared" si="1"/>
        <v>0</v>
      </c>
      <c r="P14" t="s">
        <v>561</v>
      </c>
      <c r="S14">
        <f>IFERROR(SCORECARDS!C12,"—")</f>
        <v>0</v>
      </c>
      <c r="T14" t="str">
        <f t="shared" si="2"/>
        <v>🔴 Crítico</v>
      </c>
      <c r="U14">
        <v>1</v>
      </c>
      <c r="V14" t="s">
        <v>562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f t="shared" si="3"/>
        <v>0</v>
      </c>
      <c r="AP14">
        <f t="shared" si="4"/>
        <v>0.125</v>
      </c>
    </row>
    <row r="15" spans="1:42" ht="16.05" customHeight="1" x14ac:dyDescent="0.3">
      <c r="A15" t="s">
        <v>91</v>
      </c>
      <c r="B15" t="s">
        <v>92</v>
      </c>
      <c r="C15" t="s">
        <v>65</v>
      </c>
      <c r="D15" t="s">
        <v>558</v>
      </c>
      <c r="G15" t="s">
        <v>564</v>
      </c>
      <c r="H15" t="s">
        <v>421</v>
      </c>
      <c r="I15" t="s">
        <v>421</v>
      </c>
      <c r="J15" t="s">
        <v>560</v>
      </c>
      <c r="K15" t="s">
        <v>421</v>
      </c>
      <c r="L15">
        <v>0</v>
      </c>
      <c r="M15">
        <f t="shared" si="0"/>
        <v>0</v>
      </c>
      <c r="N15" t="s">
        <v>561</v>
      </c>
      <c r="O15">
        <f t="shared" si="1"/>
        <v>0</v>
      </c>
      <c r="P15" t="s">
        <v>561</v>
      </c>
      <c r="S15">
        <f>IFERROR(SCORECARDS!C13,"—")</f>
        <v>0</v>
      </c>
      <c r="T15" t="str">
        <f t="shared" si="2"/>
        <v>🔴 Crítico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f t="shared" si="3"/>
        <v>0</v>
      </c>
      <c r="AP15">
        <f t="shared" si="4"/>
        <v>0</v>
      </c>
    </row>
    <row r="16" spans="1:42" ht="16.05" customHeight="1" x14ac:dyDescent="0.3">
      <c r="A16" t="s">
        <v>93</v>
      </c>
      <c r="B16" t="s">
        <v>94</v>
      </c>
      <c r="C16" t="s">
        <v>95</v>
      </c>
      <c r="D16" t="s">
        <v>558</v>
      </c>
      <c r="G16" t="s">
        <v>564</v>
      </c>
      <c r="H16" t="s">
        <v>421</v>
      </c>
      <c r="I16" t="s">
        <v>421</v>
      </c>
      <c r="J16" t="s">
        <v>560</v>
      </c>
      <c r="K16" t="s">
        <v>421</v>
      </c>
      <c r="L16">
        <v>0</v>
      </c>
      <c r="M16">
        <f t="shared" si="0"/>
        <v>0</v>
      </c>
      <c r="N16" t="s">
        <v>561</v>
      </c>
      <c r="O16">
        <f t="shared" si="1"/>
        <v>0</v>
      </c>
      <c r="P16" t="s">
        <v>561</v>
      </c>
      <c r="S16">
        <f>IFERROR(SCORECARDS!C14,"—")</f>
        <v>0</v>
      </c>
      <c r="T16" t="str">
        <f t="shared" si="2"/>
        <v>🔴 Crítico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f t="shared" si="3"/>
        <v>0</v>
      </c>
      <c r="AP16">
        <f t="shared" si="4"/>
        <v>0</v>
      </c>
    </row>
    <row r="17" spans="1:42" ht="16.05" customHeight="1" x14ac:dyDescent="0.3">
      <c r="A17" t="s">
        <v>96</v>
      </c>
      <c r="B17" t="s">
        <v>97</v>
      </c>
      <c r="C17" t="s">
        <v>74</v>
      </c>
      <c r="D17" t="s">
        <v>421</v>
      </c>
      <c r="G17" t="s">
        <v>564</v>
      </c>
      <c r="H17" t="s">
        <v>565</v>
      </c>
      <c r="I17" t="s">
        <v>566</v>
      </c>
      <c r="J17" t="s">
        <v>571</v>
      </c>
      <c r="K17" t="s">
        <v>421</v>
      </c>
      <c r="L17">
        <v>0</v>
      </c>
      <c r="M17">
        <f t="shared" si="0"/>
        <v>0</v>
      </c>
      <c r="N17" t="s">
        <v>561</v>
      </c>
      <c r="O17">
        <f t="shared" si="1"/>
        <v>0</v>
      </c>
      <c r="P17" t="s">
        <v>561</v>
      </c>
      <c r="Q17">
        <v>74</v>
      </c>
      <c r="R17">
        <v>150</v>
      </c>
      <c r="S17">
        <f>IFERROR(SCORECARDS!C15,"—")</f>
        <v>0</v>
      </c>
      <c r="T17" t="str">
        <f t="shared" si="2"/>
        <v>🔴 Crítico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f t="shared" si="3"/>
        <v>0</v>
      </c>
      <c r="AP17">
        <f t="shared" si="4"/>
        <v>0.125</v>
      </c>
    </row>
    <row r="18" spans="1:42" ht="16.05" customHeight="1" x14ac:dyDescent="0.3">
      <c r="A18" t="s">
        <v>98</v>
      </c>
      <c r="B18" t="s">
        <v>99</v>
      </c>
      <c r="C18" t="s">
        <v>100</v>
      </c>
      <c r="D18" t="s">
        <v>563</v>
      </c>
      <c r="G18" t="s">
        <v>564</v>
      </c>
      <c r="H18" t="s">
        <v>421</v>
      </c>
      <c r="I18" t="s">
        <v>421</v>
      </c>
      <c r="J18" t="s">
        <v>560</v>
      </c>
      <c r="K18" t="s">
        <v>421</v>
      </c>
      <c r="L18">
        <v>0</v>
      </c>
      <c r="M18">
        <f t="shared" si="0"/>
        <v>0</v>
      </c>
      <c r="N18" t="s">
        <v>561</v>
      </c>
      <c r="O18">
        <f t="shared" si="1"/>
        <v>0</v>
      </c>
      <c r="P18" t="s">
        <v>561</v>
      </c>
      <c r="S18">
        <f>IFERROR(SCORECARDS!C16,"—")</f>
        <v>0</v>
      </c>
      <c r="T18" t="str">
        <f t="shared" si="2"/>
        <v>🔴 Crítico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f t="shared" si="3"/>
        <v>0</v>
      </c>
      <c r="AP18">
        <f t="shared" si="4"/>
        <v>0</v>
      </c>
    </row>
    <row r="19" spans="1:42" ht="16.05" customHeight="1" x14ac:dyDescent="0.3">
      <c r="A19" t="s">
        <v>101</v>
      </c>
      <c r="B19" t="s">
        <v>102</v>
      </c>
      <c r="C19" t="s">
        <v>103</v>
      </c>
      <c r="D19" t="s">
        <v>558</v>
      </c>
      <c r="E19">
        <v>9070756.8800000008</v>
      </c>
      <c r="F19">
        <v>41</v>
      </c>
      <c r="G19" t="s">
        <v>559</v>
      </c>
      <c r="H19" t="s">
        <v>421</v>
      </c>
      <c r="I19" t="s">
        <v>421</v>
      </c>
      <c r="J19" t="s">
        <v>560</v>
      </c>
      <c r="K19" t="s">
        <v>421</v>
      </c>
      <c r="L19">
        <v>4535378.4400000004</v>
      </c>
      <c r="M19">
        <f t="shared" si="0"/>
        <v>50</v>
      </c>
      <c r="N19" t="s">
        <v>561</v>
      </c>
      <c r="O19">
        <f t="shared" si="1"/>
        <v>0</v>
      </c>
      <c r="P19" t="s">
        <v>561</v>
      </c>
      <c r="S19">
        <f>IFERROR(SCORECARDS!C17,"—")</f>
        <v>0</v>
      </c>
      <c r="T19" t="str">
        <f t="shared" si="2"/>
        <v>🔴 Crítico</v>
      </c>
      <c r="U19">
        <v>1</v>
      </c>
      <c r="V19" t="s">
        <v>562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f t="shared" si="3"/>
        <v>0</v>
      </c>
      <c r="AP19">
        <f t="shared" si="4"/>
        <v>0.125</v>
      </c>
    </row>
    <row r="20" spans="1:42" ht="16.05" customHeight="1" x14ac:dyDescent="0.3">
      <c r="A20" t="s">
        <v>104</v>
      </c>
      <c r="B20" t="s">
        <v>105</v>
      </c>
      <c r="C20" t="s">
        <v>74</v>
      </c>
      <c r="D20" t="s">
        <v>421</v>
      </c>
      <c r="G20" t="s">
        <v>564</v>
      </c>
      <c r="H20" t="s">
        <v>565</v>
      </c>
      <c r="I20" t="s">
        <v>566</v>
      </c>
      <c r="J20" t="s">
        <v>560</v>
      </c>
      <c r="K20" t="s">
        <v>421</v>
      </c>
      <c r="L20">
        <v>0</v>
      </c>
      <c r="M20">
        <f t="shared" si="0"/>
        <v>0</v>
      </c>
      <c r="N20" t="s">
        <v>561</v>
      </c>
      <c r="O20">
        <f t="shared" si="1"/>
        <v>0</v>
      </c>
      <c r="P20" t="s">
        <v>561</v>
      </c>
      <c r="Q20">
        <v>36</v>
      </c>
      <c r="R20">
        <v>38</v>
      </c>
      <c r="S20">
        <f>IFERROR(SCORECARDS!C18,"—")</f>
        <v>0</v>
      </c>
      <c r="T20" t="str">
        <f t="shared" si="2"/>
        <v>🔴 Crítico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f t="shared" si="3"/>
        <v>0</v>
      </c>
      <c r="AP20">
        <f t="shared" si="4"/>
        <v>0.125</v>
      </c>
    </row>
    <row r="21" spans="1:42" ht="16.05" customHeight="1" x14ac:dyDescent="0.3">
      <c r="A21" t="s">
        <v>106</v>
      </c>
      <c r="B21" t="s">
        <v>107</v>
      </c>
      <c r="C21" t="s">
        <v>100</v>
      </c>
      <c r="D21" t="s">
        <v>563</v>
      </c>
      <c r="E21">
        <v>0</v>
      </c>
      <c r="G21" t="s">
        <v>564</v>
      </c>
      <c r="H21" t="s">
        <v>421</v>
      </c>
      <c r="I21" t="s">
        <v>421</v>
      </c>
      <c r="J21" t="s">
        <v>571</v>
      </c>
      <c r="K21" t="s">
        <v>421</v>
      </c>
      <c r="L21">
        <v>0</v>
      </c>
      <c r="M21">
        <f t="shared" si="0"/>
        <v>0</v>
      </c>
      <c r="N21" t="s">
        <v>561</v>
      </c>
      <c r="O21">
        <f t="shared" si="1"/>
        <v>0</v>
      </c>
      <c r="P21" t="s">
        <v>561</v>
      </c>
      <c r="S21">
        <f>IFERROR(SCORECARDS!C19,"—")</f>
        <v>0</v>
      </c>
      <c r="T21" t="str">
        <f t="shared" si="2"/>
        <v>🔴 Crítico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f t="shared" si="3"/>
        <v>0</v>
      </c>
      <c r="AP21">
        <f t="shared" si="4"/>
        <v>0</v>
      </c>
    </row>
    <row r="22" spans="1:42" ht="16.05" customHeight="1" x14ac:dyDescent="0.3">
      <c r="A22" t="s">
        <v>108</v>
      </c>
      <c r="B22" t="s">
        <v>109</v>
      </c>
      <c r="C22" t="s">
        <v>110</v>
      </c>
      <c r="D22" t="s">
        <v>558</v>
      </c>
      <c r="E22">
        <v>0</v>
      </c>
      <c r="G22" t="s">
        <v>564</v>
      </c>
      <c r="H22" t="s">
        <v>421</v>
      </c>
      <c r="I22" t="s">
        <v>421</v>
      </c>
      <c r="J22" t="s">
        <v>560</v>
      </c>
      <c r="K22" t="s">
        <v>421</v>
      </c>
      <c r="L22">
        <v>0</v>
      </c>
      <c r="M22">
        <f t="shared" si="0"/>
        <v>0</v>
      </c>
      <c r="N22" t="s">
        <v>561</v>
      </c>
      <c r="O22">
        <f t="shared" si="1"/>
        <v>0</v>
      </c>
      <c r="P22" t="s">
        <v>561</v>
      </c>
      <c r="S22">
        <f>IFERROR(SCORECARDS!C20,"—")</f>
        <v>0</v>
      </c>
      <c r="T22" t="str">
        <f t="shared" si="2"/>
        <v>🔴 Crítico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f t="shared" si="3"/>
        <v>0</v>
      </c>
      <c r="AP22">
        <f t="shared" si="4"/>
        <v>0</v>
      </c>
    </row>
    <row r="23" spans="1:42" ht="16.05" customHeight="1" x14ac:dyDescent="0.3">
      <c r="A23" t="s">
        <v>111</v>
      </c>
      <c r="B23" t="s">
        <v>112</v>
      </c>
      <c r="C23" t="s">
        <v>100</v>
      </c>
      <c r="D23" t="s">
        <v>563</v>
      </c>
      <c r="G23" t="s">
        <v>564</v>
      </c>
      <c r="H23" t="s">
        <v>421</v>
      </c>
      <c r="I23" t="s">
        <v>421</v>
      </c>
      <c r="J23" t="s">
        <v>560</v>
      </c>
      <c r="K23" t="s">
        <v>421</v>
      </c>
      <c r="L23">
        <v>0</v>
      </c>
      <c r="M23">
        <f t="shared" si="0"/>
        <v>0</v>
      </c>
      <c r="N23" t="s">
        <v>561</v>
      </c>
      <c r="O23">
        <f t="shared" si="1"/>
        <v>0</v>
      </c>
      <c r="P23" t="s">
        <v>561</v>
      </c>
      <c r="S23">
        <f>IFERROR(SCORECARDS!C21,"—")</f>
        <v>0</v>
      </c>
      <c r="T23" t="str">
        <f t="shared" si="2"/>
        <v>🔴 Crítico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f t="shared" si="3"/>
        <v>0</v>
      </c>
      <c r="AP23">
        <f t="shared" si="4"/>
        <v>0</v>
      </c>
    </row>
    <row r="24" spans="1:42" ht="16.05" customHeight="1" x14ac:dyDescent="0.3">
      <c r="A24" t="s">
        <v>113</v>
      </c>
      <c r="B24" t="s">
        <v>114</v>
      </c>
      <c r="C24" t="s">
        <v>100</v>
      </c>
      <c r="D24" t="s">
        <v>563</v>
      </c>
      <c r="E24">
        <v>0</v>
      </c>
      <c r="G24" t="s">
        <v>564</v>
      </c>
      <c r="H24" t="s">
        <v>421</v>
      </c>
      <c r="I24" t="s">
        <v>421</v>
      </c>
      <c r="J24" t="s">
        <v>572</v>
      </c>
      <c r="K24" t="s">
        <v>421</v>
      </c>
      <c r="L24">
        <v>0</v>
      </c>
      <c r="M24">
        <f t="shared" si="0"/>
        <v>0</v>
      </c>
      <c r="N24" t="s">
        <v>561</v>
      </c>
      <c r="O24">
        <f t="shared" si="1"/>
        <v>0</v>
      </c>
      <c r="P24" t="s">
        <v>561</v>
      </c>
      <c r="S24">
        <f>IFERROR(SCORECARDS!C22,"—")</f>
        <v>0</v>
      </c>
      <c r="T24" t="str">
        <f t="shared" si="2"/>
        <v>🔴 Crítico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f t="shared" si="3"/>
        <v>0</v>
      </c>
      <c r="AP24">
        <f t="shared" si="4"/>
        <v>0</v>
      </c>
    </row>
    <row r="25" spans="1:42" ht="16.05" customHeight="1" x14ac:dyDescent="0.3">
      <c r="A25" t="s">
        <v>115</v>
      </c>
      <c r="B25" t="s">
        <v>116</v>
      </c>
      <c r="C25" t="s">
        <v>100</v>
      </c>
      <c r="D25" t="s">
        <v>563</v>
      </c>
      <c r="E25">
        <v>0</v>
      </c>
      <c r="G25" t="s">
        <v>564</v>
      </c>
      <c r="H25" t="s">
        <v>421</v>
      </c>
      <c r="I25" t="s">
        <v>421</v>
      </c>
      <c r="J25" t="s">
        <v>560</v>
      </c>
      <c r="K25" t="s">
        <v>421</v>
      </c>
      <c r="L25">
        <v>0</v>
      </c>
      <c r="M25">
        <f t="shared" si="0"/>
        <v>0</v>
      </c>
      <c r="N25" t="s">
        <v>561</v>
      </c>
      <c r="O25">
        <f t="shared" si="1"/>
        <v>0</v>
      </c>
      <c r="P25" t="s">
        <v>561</v>
      </c>
      <c r="S25">
        <f>IFERROR(SCORECARDS!C23,"—")</f>
        <v>0</v>
      </c>
      <c r="T25" t="str">
        <f t="shared" si="2"/>
        <v>🔴 Crítico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f t="shared" si="3"/>
        <v>0</v>
      </c>
      <c r="AP25">
        <f t="shared" si="4"/>
        <v>0</v>
      </c>
    </row>
    <row r="26" spans="1:42" ht="16.05" customHeight="1" x14ac:dyDescent="0.3">
      <c r="A26" t="s">
        <v>117</v>
      </c>
      <c r="B26" t="s">
        <v>118</v>
      </c>
      <c r="C26" t="s">
        <v>100</v>
      </c>
      <c r="D26" t="s">
        <v>558</v>
      </c>
      <c r="G26" t="s">
        <v>564</v>
      </c>
      <c r="H26" t="s">
        <v>421</v>
      </c>
      <c r="I26" t="s">
        <v>421</v>
      </c>
      <c r="J26" t="s">
        <v>560</v>
      </c>
      <c r="K26" t="s">
        <v>421</v>
      </c>
      <c r="L26">
        <v>0</v>
      </c>
      <c r="M26">
        <f t="shared" si="0"/>
        <v>0</v>
      </c>
      <c r="N26" t="s">
        <v>561</v>
      </c>
      <c r="O26">
        <f t="shared" si="1"/>
        <v>0</v>
      </c>
      <c r="P26" t="s">
        <v>561</v>
      </c>
      <c r="S26">
        <f>IFERROR(SCORECARDS!C24,"—")</f>
        <v>0</v>
      </c>
      <c r="T26" t="str">
        <f t="shared" si="2"/>
        <v>🔴 Crítico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f t="shared" si="3"/>
        <v>0</v>
      </c>
      <c r="AP26">
        <f t="shared" si="4"/>
        <v>0</v>
      </c>
    </row>
    <row r="27" spans="1:42" ht="16.05" customHeight="1" x14ac:dyDescent="0.3">
      <c r="A27" t="s">
        <v>119</v>
      </c>
      <c r="B27" t="s">
        <v>120</v>
      </c>
      <c r="C27" t="s">
        <v>100</v>
      </c>
      <c r="D27" t="s">
        <v>563</v>
      </c>
      <c r="E27">
        <v>0</v>
      </c>
      <c r="G27" t="s">
        <v>564</v>
      </c>
      <c r="H27" t="s">
        <v>421</v>
      </c>
      <c r="I27" t="s">
        <v>421</v>
      </c>
      <c r="J27" t="s">
        <v>560</v>
      </c>
      <c r="K27" t="s">
        <v>421</v>
      </c>
      <c r="L27">
        <v>0</v>
      </c>
      <c r="M27">
        <f t="shared" si="0"/>
        <v>0</v>
      </c>
      <c r="N27" t="s">
        <v>561</v>
      </c>
      <c r="O27">
        <f t="shared" si="1"/>
        <v>0</v>
      </c>
      <c r="P27" t="s">
        <v>561</v>
      </c>
      <c r="S27">
        <f>IFERROR(SCORECARDS!C25,"—")</f>
        <v>0</v>
      </c>
      <c r="T27" t="str">
        <f t="shared" si="2"/>
        <v>🔴 Crítico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f t="shared" si="3"/>
        <v>0</v>
      </c>
      <c r="AP27">
        <f t="shared" si="4"/>
        <v>0</v>
      </c>
    </row>
    <row r="28" spans="1:42" ht="16.05" customHeight="1" x14ac:dyDescent="0.3">
      <c r="A28" t="s">
        <v>121</v>
      </c>
      <c r="B28" t="s">
        <v>122</v>
      </c>
      <c r="C28" t="s">
        <v>100</v>
      </c>
      <c r="D28" t="s">
        <v>563</v>
      </c>
      <c r="G28" t="s">
        <v>564</v>
      </c>
      <c r="H28" t="s">
        <v>421</v>
      </c>
      <c r="I28" t="s">
        <v>421</v>
      </c>
      <c r="J28" t="s">
        <v>560</v>
      </c>
      <c r="K28" t="s">
        <v>421</v>
      </c>
      <c r="L28">
        <v>0</v>
      </c>
      <c r="M28">
        <f t="shared" si="0"/>
        <v>0</v>
      </c>
      <c r="N28" t="s">
        <v>561</v>
      </c>
      <c r="O28">
        <f t="shared" si="1"/>
        <v>0</v>
      </c>
      <c r="P28" t="s">
        <v>561</v>
      </c>
      <c r="S28">
        <f>IFERROR(SCORECARDS!C26,"—")</f>
        <v>0</v>
      </c>
      <c r="T28" t="str">
        <f t="shared" si="2"/>
        <v>🔴 Crítico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f t="shared" si="3"/>
        <v>0</v>
      </c>
      <c r="AP28">
        <f t="shared" si="4"/>
        <v>0</v>
      </c>
    </row>
    <row r="29" spans="1:42" ht="16.05" customHeight="1" x14ac:dyDescent="0.3">
      <c r="A29" t="s">
        <v>123</v>
      </c>
      <c r="B29" t="s">
        <v>124</v>
      </c>
      <c r="C29" t="s">
        <v>100</v>
      </c>
      <c r="D29" t="s">
        <v>563</v>
      </c>
      <c r="G29" t="s">
        <v>564</v>
      </c>
      <c r="H29" t="s">
        <v>421</v>
      </c>
      <c r="I29" t="s">
        <v>421</v>
      </c>
      <c r="J29" t="s">
        <v>560</v>
      </c>
      <c r="K29" t="s">
        <v>421</v>
      </c>
      <c r="L29">
        <v>0</v>
      </c>
      <c r="M29">
        <f t="shared" si="0"/>
        <v>0</v>
      </c>
      <c r="N29" t="s">
        <v>561</v>
      </c>
      <c r="O29">
        <f t="shared" si="1"/>
        <v>0</v>
      </c>
      <c r="P29" t="s">
        <v>561</v>
      </c>
      <c r="S29">
        <f>IFERROR(SCORECARDS!C27,"—")</f>
        <v>0</v>
      </c>
      <c r="T29" t="str">
        <f t="shared" si="2"/>
        <v>🔴 Crítico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f t="shared" si="3"/>
        <v>0</v>
      </c>
      <c r="AP29">
        <f t="shared" si="4"/>
        <v>0</v>
      </c>
    </row>
    <row r="30" spans="1:42" ht="16.05" customHeight="1" x14ac:dyDescent="0.3">
      <c r="A30" t="s">
        <v>125</v>
      </c>
      <c r="B30" t="s">
        <v>126</v>
      </c>
      <c r="C30" t="s">
        <v>65</v>
      </c>
      <c r="D30" t="s">
        <v>563</v>
      </c>
      <c r="G30" t="s">
        <v>564</v>
      </c>
      <c r="H30" t="s">
        <v>421</v>
      </c>
      <c r="I30" t="s">
        <v>421</v>
      </c>
      <c r="J30" t="s">
        <v>560</v>
      </c>
      <c r="K30" t="s">
        <v>421</v>
      </c>
      <c r="L30">
        <v>0</v>
      </c>
      <c r="M30">
        <f t="shared" si="0"/>
        <v>0</v>
      </c>
      <c r="N30" t="s">
        <v>561</v>
      </c>
      <c r="O30">
        <f t="shared" si="1"/>
        <v>0</v>
      </c>
      <c r="P30" t="s">
        <v>561</v>
      </c>
      <c r="S30">
        <f>IFERROR(SCORECARDS!C28,"—")</f>
        <v>0</v>
      </c>
      <c r="T30" t="str">
        <f t="shared" si="2"/>
        <v>🔴 Crítico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f t="shared" si="3"/>
        <v>0</v>
      </c>
      <c r="AP30">
        <f t="shared" si="4"/>
        <v>0</v>
      </c>
    </row>
    <row r="31" spans="1:42" ht="16.05" customHeight="1" x14ac:dyDescent="0.3">
      <c r="A31" t="s">
        <v>127</v>
      </c>
      <c r="B31" t="s">
        <v>128</v>
      </c>
      <c r="C31" t="s">
        <v>129</v>
      </c>
      <c r="D31" t="s">
        <v>558</v>
      </c>
      <c r="E31">
        <v>0</v>
      </c>
      <c r="G31" t="s">
        <v>564</v>
      </c>
      <c r="H31" t="s">
        <v>421</v>
      </c>
      <c r="I31" t="s">
        <v>421</v>
      </c>
      <c r="J31" t="s">
        <v>560</v>
      </c>
      <c r="K31" t="s">
        <v>421</v>
      </c>
      <c r="L31">
        <v>0</v>
      </c>
      <c r="M31">
        <f t="shared" si="0"/>
        <v>0</v>
      </c>
      <c r="N31" t="s">
        <v>561</v>
      </c>
      <c r="O31">
        <f t="shared" si="1"/>
        <v>0</v>
      </c>
      <c r="P31" t="s">
        <v>561</v>
      </c>
      <c r="S31">
        <f>IFERROR(SCORECARDS!C29,"—")</f>
        <v>0</v>
      </c>
      <c r="T31" t="str">
        <f t="shared" si="2"/>
        <v>🔴 Crítico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f t="shared" si="3"/>
        <v>0</v>
      </c>
      <c r="AP31">
        <f t="shared" si="4"/>
        <v>0</v>
      </c>
    </row>
    <row r="32" spans="1:42" ht="16.05" customHeight="1" x14ac:dyDescent="0.3">
      <c r="A32" t="s">
        <v>130</v>
      </c>
      <c r="B32" t="s">
        <v>131</v>
      </c>
      <c r="C32" t="s">
        <v>129</v>
      </c>
      <c r="D32" t="s">
        <v>563</v>
      </c>
      <c r="E32">
        <v>0</v>
      </c>
      <c r="G32" t="s">
        <v>564</v>
      </c>
      <c r="H32" t="s">
        <v>421</v>
      </c>
      <c r="I32" t="s">
        <v>421</v>
      </c>
      <c r="J32" t="s">
        <v>560</v>
      </c>
      <c r="K32" t="s">
        <v>421</v>
      </c>
      <c r="L32">
        <v>0</v>
      </c>
      <c r="M32">
        <f t="shared" si="0"/>
        <v>0</v>
      </c>
      <c r="N32" t="s">
        <v>561</v>
      </c>
      <c r="O32">
        <f t="shared" si="1"/>
        <v>0</v>
      </c>
      <c r="P32" t="s">
        <v>561</v>
      </c>
      <c r="S32">
        <f>IFERROR(SCORECARDS!C30,"—")</f>
        <v>0</v>
      </c>
      <c r="T32" t="str">
        <f t="shared" si="2"/>
        <v>🔴 Crítico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f t="shared" si="3"/>
        <v>0</v>
      </c>
      <c r="AP32">
        <f t="shared" si="4"/>
        <v>0</v>
      </c>
    </row>
    <row r="33" spans="1:42" ht="16.05" customHeight="1" x14ac:dyDescent="0.3">
      <c r="A33" t="s">
        <v>132</v>
      </c>
      <c r="B33" t="s">
        <v>133</v>
      </c>
      <c r="C33" t="s">
        <v>129</v>
      </c>
      <c r="D33" t="s">
        <v>558</v>
      </c>
      <c r="E33">
        <v>0</v>
      </c>
      <c r="G33" t="s">
        <v>564</v>
      </c>
      <c r="H33" t="s">
        <v>421</v>
      </c>
      <c r="I33" t="s">
        <v>421</v>
      </c>
      <c r="J33" t="s">
        <v>560</v>
      </c>
      <c r="K33" t="s">
        <v>421</v>
      </c>
      <c r="L33">
        <v>0</v>
      </c>
      <c r="M33">
        <f t="shared" si="0"/>
        <v>0</v>
      </c>
      <c r="N33" t="s">
        <v>561</v>
      </c>
      <c r="O33">
        <f t="shared" si="1"/>
        <v>0</v>
      </c>
      <c r="P33" t="s">
        <v>561</v>
      </c>
      <c r="S33">
        <f>IFERROR(SCORECARDS!C31,"—")</f>
        <v>0</v>
      </c>
      <c r="T33" t="str">
        <f t="shared" si="2"/>
        <v>🔴 Crítico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f t="shared" si="3"/>
        <v>0</v>
      </c>
      <c r="AP33">
        <f t="shared" si="4"/>
        <v>0</v>
      </c>
    </row>
    <row r="34" spans="1:42" ht="16.05" customHeight="1" x14ac:dyDescent="0.3">
      <c r="A34" t="s">
        <v>134</v>
      </c>
      <c r="B34" t="s">
        <v>135</v>
      </c>
      <c r="C34" t="s">
        <v>129</v>
      </c>
      <c r="D34" t="s">
        <v>558</v>
      </c>
      <c r="G34" t="s">
        <v>564</v>
      </c>
      <c r="H34" t="s">
        <v>421</v>
      </c>
      <c r="I34" t="s">
        <v>421</v>
      </c>
      <c r="J34" t="s">
        <v>560</v>
      </c>
      <c r="K34" t="s">
        <v>421</v>
      </c>
      <c r="L34">
        <v>0</v>
      </c>
      <c r="M34">
        <f t="shared" si="0"/>
        <v>0</v>
      </c>
      <c r="N34" t="s">
        <v>561</v>
      </c>
      <c r="O34">
        <f t="shared" si="1"/>
        <v>0</v>
      </c>
      <c r="P34" t="s">
        <v>561</v>
      </c>
      <c r="S34">
        <f>IFERROR(SCORECARDS!C32,"—")</f>
        <v>0</v>
      </c>
      <c r="T34" t="str">
        <f t="shared" si="2"/>
        <v>🔴 Crítico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f t="shared" si="3"/>
        <v>0</v>
      </c>
      <c r="AP34">
        <f t="shared" si="4"/>
        <v>0</v>
      </c>
    </row>
    <row r="35" spans="1:42" ht="16.05" customHeight="1" x14ac:dyDescent="0.3">
      <c r="A35" t="s">
        <v>136</v>
      </c>
      <c r="B35" t="s">
        <v>137</v>
      </c>
      <c r="C35" t="s">
        <v>74</v>
      </c>
      <c r="D35" t="s">
        <v>563</v>
      </c>
      <c r="E35">
        <v>1931452.7</v>
      </c>
      <c r="F35">
        <v>7</v>
      </c>
      <c r="G35" t="s">
        <v>559</v>
      </c>
      <c r="H35" t="s">
        <v>421</v>
      </c>
      <c r="I35" t="s">
        <v>421</v>
      </c>
      <c r="J35" t="s">
        <v>560</v>
      </c>
      <c r="K35" t="s">
        <v>421</v>
      </c>
      <c r="L35">
        <v>965726.35</v>
      </c>
      <c r="M35">
        <f t="shared" ref="M35:M66" si="5">IF(E35&gt;0,ROUND(L35/E35*100,1),0)</f>
        <v>50</v>
      </c>
      <c r="N35" t="s">
        <v>561</v>
      </c>
      <c r="O35">
        <f t="shared" ref="O35:O66" si="6">IF(H35="SI",1,0)*0.6+IF(I35="SI",1,0)*0.4</f>
        <v>0</v>
      </c>
      <c r="P35" t="s">
        <v>561</v>
      </c>
      <c r="S35">
        <f>IFERROR(SCORECARDS!C33,"—")</f>
        <v>0</v>
      </c>
      <c r="T35" t="str">
        <f t="shared" ref="T35:T66" si="7">IF(ISTEXT(S35),S35,IF(S35&lt;34,"🔴 Crítico",IF(S35&lt;67,"🟡 Vulnerable","🟢 Preparado")))</f>
        <v>🔴 Crítico</v>
      </c>
      <c r="U35">
        <v>1</v>
      </c>
      <c r="V35" t="s">
        <v>562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f t="shared" ref="AO35:AO66" si="8">IFERROR(AVERAGE(AA35,AB35,AC35,AD35,AE35,AF35,AG35,AH35,AI35,AJ35,AK35,AL35,AM35,AN35),"N/A")</f>
        <v>0</v>
      </c>
      <c r="AP35">
        <f t="shared" ref="AP35:AP66" si="9">IFERROR(AVERAGE(W35,X35,Y35,Z35)/2,"N/A")</f>
        <v>0.125</v>
      </c>
    </row>
    <row r="36" spans="1:42" ht="16.05" customHeight="1" x14ac:dyDescent="0.3">
      <c r="A36" t="s">
        <v>138</v>
      </c>
      <c r="B36" t="s">
        <v>139</v>
      </c>
      <c r="C36" t="s">
        <v>140</v>
      </c>
      <c r="D36" t="s">
        <v>558</v>
      </c>
      <c r="E36">
        <v>4538578.93</v>
      </c>
      <c r="F36">
        <v>24</v>
      </c>
      <c r="G36" t="s">
        <v>559</v>
      </c>
      <c r="H36" t="s">
        <v>559</v>
      </c>
      <c r="I36" t="s">
        <v>559</v>
      </c>
      <c r="J36" t="s">
        <v>560</v>
      </c>
      <c r="K36" t="s">
        <v>421</v>
      </c>
      <c r="L36">
        <v>965167.45</v>
      </c>
      <c r="M36">
        <f t="shared" si="5"/>
        <v>21.3</v>
      </c>
      <c r="N36" t="s">
        <v>561</v>
      </c>
      <c r="O36">
        <f t="shared" si="6"/>
        <v>1</v>
      </c>
      <c r="P36" t="s">
        <v>561</v>
      </c>
      <c r="Q36">
        <v>178</v>
      </c>
      <c r="R36">
        <v>437</v>
      </c>
      <c r="S36">
        <f>IFERROR(SCORECARDS!C34,"—")</f>
        <v>0</v>
      </c>
      <c r="T36" t="str">
        <f t="shared" si="7"/>
        <v>🔴 Crítico</v>
      </c>
      <c r="U36">
        <v>1</v>
      </c>
      <c r="V36" t="s">
        <v>562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f t="shared" si="8"/>
        <v>0</v>
      </c>
      <c r="AP36">
        <f t="shared" si="9"/>
        <v>0.125</v>
      </c>
    </row>
    <row r="37" spans="1:42" ht="16.05" customHeight="1" x14ac:dyDescent="0.3">
      <c r="A37" t="s">
        <v>141</v>
      </c>
      <c r="B37" t="s">
        <v>142</v>
      </c>
      <c r="C37" t="s">
        <v>103</v>
      </c>
      <c r="D37" t="s">
        <v>558</v>
      </c>
      <c r="E37">
        <v>0</v>
      </c>
      <c r="G37" t="s">
        <v>564</v>
      </c>
      <c r="H37" t="s">
        <v>421</v>
      </c>
      <c r="I37" t="s">
        <v>421</v>
      </c>
      <c r="J37" t="s">
        <v>560</v>
      </c>
      <c r="K37" t="s">
        <v>421</v>
      </c>
      <c r="L37">
        <v>0</v>
      </c>
      <c r="M37">
        <f t="shared" si="5"/>
        <v>0</v>
      </c>
      <c r="N37" t="s">
        <v>561</v>
      </c>
      <c r="O37">
        <f t="shared" si="6"/>
        <v>0</v>
      </c>
      <c r="P37" t="s">
        <v>561</v>
      </c>
      <c r="S37">
        <f>IFERROR(SCORECARDS!C35,"—")</f>
        <v>0</v>
      </c>
      <c r="T37" t="str">
        <f t="shared" si="7"/>
        <v>🔴 Crítico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f t="shared" si="8"/>
        <v>0</v>
      </c>
      <c r="AP37">
        <f t="shared" si="9"/>
        <v>0</v>
      </c>
    </row>
    <row r="38" spans="1:42" ht="16.05" customHeight="1" x14ac:dyDescent="0.3">
      <c r="A38" t="s">
        <v>143</v>
      </c>
      <c r="B38" t="s">
        <v>144</v>
      </c>
      <c r="C38" t="s">
        <v>103</v>
      </c>
      <c r="D38" t="s">
        <v>421</v>
      </c>
      <c r="G38" t="s">
        <v>564</v>
      </c>
      <c r="H38" t="s">
        <v>421</v>
      </c>
      <c r="I38" t="s">
        <v>421</v>
      </c>
      <c r="J38" t="s">
        <v>572</v>
      </c>
      <c r="K38" t="s">
        <v>421</v>
      </c>
      <c r="L38">
        <v>0</v>
      </c>
      <c r="M38">
        <f t="shared" si="5"/>
        <v>0</v>
      </c>
      <c r="N38" t="s">
        <v>561</v>
      </c>
      <c r="O38">
        <f t="shared" si="6"/>
        <v>0</v>
      </c>
      <c r="P38" t="s">
        <v>561</v>
      </c>
      <c r="S38">
        <f>IFERROR(SCORECARDS!C36,"—")</f>
        <v>0</v>
      </c>
      <c r="T38" t="str">
        <f t="shared" si="7"/>
        <v>🔴 Crítico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f t="shared" si="8"/>
        <v>0</v>
      </c>
      <c r="AP38">
        <f t="shared" si="9"/>
        <v>0</v>
      </c>
    </row>
    <row r="39" spans="1:42" ht="16.05" customHeight="1" x14ac:dyDescent="0.3">
      <c r="A39" t="s">
        <v>145</v>
      </c>
      <c r="B39" t="s">
        <v>146</v>
      </c>
      <c r="C39" t="s">
        <v>103</v>
      </c>
      <c r="D39" t="s">
        <v>563</v>
      </c>
      <c r="E39">
        <v>1175215.28</v>
      </c>
      <c r="F39">
        <v>7</v>
      </c>
      <c r="G39" t="s">
        <v>559</v>
      </c>
      <c r="H39" t="s">
        <v>421</v>
      </c>
      <c r="I39" t="s">
        <v>421</v>
      </c>
      <c r="J39" t="s">
        <v>560</v>
      </c>
      <c r="K39" t="s">
        <v>421</v>
      </c>
      <c r="L39">
        <v>587607.64</v>
      </c>
      <c r="M39">
        <f t="shared" si="5"/>
        <v>50</v>
      </c>
      <c r="N39" t="s">
        <v>561</v>
      </c>
      <c r="O39">
        <f t="shared" si="6"/>
        <v>0</v>
      </c>
      <c r="P39" t="s">
        <v>561</v>
      </c>
      <c r="S39">
        <f>IFERROR(SCORECARDS!C37,"—")</f>
        <v>0</v>
      </c>
      <c r="T39" t="str">
        <f t="shared" si="7"/>
        <v>🔴 Crítico</v>
      </c>
      <c r="U39">
        <v>1</v>
      </c>
      <c r="V39" t="s">
        <v>562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f t="shared" si="8"/>
        <v>0</v>
      </c>
      <c r="AP39">
        <f t="shared" si="9"/>
        <v>0.125</v>
      </c>
    </row>
    <row r="40" spans="1:42" ht="16.05" customHeight="1" x14ac:dyDescent="0.3">
      <c r="A40" t="s">
        <v>147</v>
      </c>
      <c r="B40" t="s">
        <v>148</v>
      </c>
      <c r="C40" t="s">
        <v>103</v>
      </c>
      <c r="D40" t="s">
        <v>563</v>
      </c>
      <c r="E40">
        <v>1684429.98</v>
      </c>
      <c r="F40">
        <v>14</v>
      </c>
      <c r="G40" t="s">
        <v>559</v>
      </c>
      <c r="H40" t="s">
        <v>421</v>
      </c>
      <c r="I40" t="s">
        <v>421</v>
      </c>
      <c r="J40" t="s">
        <v>560</v>
      </c>
      <c r="K40" t="s">
        <v>421</v>
      </c>
      <c r="L40">
        <v>842214.99</v>
      </c>
      <c r="M40">
        <f t="shared" si="5"/>
        <v>50</v>
      </c>
      <c r="N40" t="s">
        <v>561</v>
      </c>
      <c r="O40">
        <f t="shared" si="6"/>
        <v>0</v>
      </c>
      <c r="P40" t="s">
        <v>561</v>
      </c>
      <c r="S40">
        <f>IFERROR(SCORECARDS!C38,"—")</f>
        <v>0</v>
      </c>
      <c r="T40" t="str">
        <f t="shared" si="7"/>
        <v>🔴 Crítico</v>
      </c>
      <c r="U40">
        <v>1</v>
      </c>
      <c r="V40" t="s">
        <v>562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f t="shared" si="8"/>
        <v>0</v>
      </c>
      <c r="AP40">
        <f t="shared" si="9"/>
        <v>0.125</v>
      </c>
    </row>
    <row r="41" spans="1:42" ht="16.05" customHeight="1" x14ac:dyDescent="0.3">
      <c r="A41" t="s">
        <v>149</v>
      </c>
      <c r="B41" t="s">
        <v>150</v>
      </c>
      <c r="C41" t="s">
        <v>103</v>
      </c>
      <c r="D41" t="s">
        <v>558</v>
      </c>
      <c r="E41">
        <v>0</v>
      </c>
      <c r="G41" t="s">
        <v>564</v>
      </c>
      <c r="H41" t="s">
        <v>421</v>
      </c>
      <c r="I41" t="s">
        <v>421</v>
      </c>
      <c r="J41" t="s">
        <v>572</v>
      </c>
      <c r="K41" t="s">
        <v>421</v>
      </c>
      <c r="L41">
        <v>0</v>
      </c>
      <c r="M41">
        <f t="shared" si="5"/>
        <v>0</v>
      </c>
      <c r="N41" t="s">
        <v>561</v>
      </c>
      <c r="O41">
        <f t="shared" si="6"/>
        <v>0</v>
      </c>
      <c r="P41" t="s">
        <v>561</v>
      </c>
      <c r="S41">
        <f>IFERROR(SCORECARDS!C39,"—")</f>
        <v>0</v>
      </c>
      <c r="T41" t="str">
        <f t="shared" si="7"/>
        <v>🔴 Crítico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f t="shared" si="8"/>
        <v>0</v>
      </c>
      <c r="AP41">
        <f t="shared" si="9"/>
        <v>0</v>
      </c>
    </row>
    <row r="42" spans="1:42" ht="16.05" customHeight="1" x14ac:dyDescent="0.3">
      <c r="A42" t="s">
        <v>151</v>
      </c>
      <c r="B42" t="s">
        <v>152</v>
      </c>
      <c r="C42" t="s">
        <v>95</v>
      </c>
      <c r="D42" t="s">
        <v>563</v>
      </c>
      <c r="E42">
        <v>817000</v>
      </c>
      <c r="F42">
        <v>6</v>
      </c>
      <c r="G42" t="s">
        <v>559</v>
      </c>
      <c r="H42" t="s">
        <v>421</v>
      </c>
      <c r="I42" t="s">
        <v>421</v>
      </c>
      <c r="J42" t="s">
        <v>560</v>
      </c>
      <c r="K42" t="s">
        <v>421</v>
      </c>
      <c r="L42">
        <v>408500</v>
      </c>
      <c r="M42">
        <f t="shared" si="5"/>
        <v>50</v>
      </c>
      <c r="N42" t="s">
        <v>561</v>
      </c>
      <c r="O42">
        <f t="shared" si="6"/>
        <v>0</v>
      </c>
      <c r="P42" t="s">
        <v>561</v>
      </c>
      <c r="S42">
        <f>IFERROR(SCORECARDS!C40,"—")</f>
        <v>0</v>
      </c>
      <c r="T42" t="str">
        <f t="shared" si="7"/>
        <v>🔴 Crítico</v>
      </c>
      <c r="U42">
        <v>1</v>
      </c>
      <c r="V42" t="s">
        <v>562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f t="shared" si="8"/>
        <v>0</v>
      </c>
      <c r="AP42">
        <f t="shared" si="9"/>
        <v>0</v>
      </c>
    </row>
    <row r="43" spans="1:42" ht="16.05" customHeight="1" x14ac:dyDescent="0.3">
      <c r="A43" t="s">
        <v>153</v>
      </c>
      <c r="B43" t="s">
        <v>154</v>
      </c>
      <c r="C43" t="s">
        <v>71</v>
      </c>
      <c r="D43" t="s">
        <v>558</v>
      </c>
      <c r="E43">
        <v>0</v>
      </c>
      <c r="G43" t="s">
        <v>564</v>
      </c>
      <c r="H43" t="s">
        <v>421</v>
      </c>
      <c r="I43" t="s">
        <v>421</v>
      </c>
      <c r="J43" t="s">
        <v>571</v>
      </c>
      <c r="K43" t="s">
        <v>421</v>
      </c>
      <c r="L43">
        <v>0</v>
      </c>
      <c r="M43">
        <f t="shared" si="5"/>
        <v>0</v>
      </c>
      <c r="N43" t="s">
        <v>561</v>
      </c>
      <c r="O43">
        <f t="shared" si="6"/>
        <v>0</v>
      </c>
      <c r="P43" t="s">
        <v>561</v>
      </c>
      <c r="S43">
        <f>IFERROR(SCORECARDS!C41,"—")</f>
        <v>0</v>
      </c>
      <c r="T43" t="str">
        <f t="shared" si="7"/>
        <v>🔴 Crítico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f t="shared" si="8"/>
        <v>0</v>
      </c>
      <c r="AP43">
        <f t="shared" si="9"/>
        <v>0</v>
      </c>
    </row>
    <row r="44" spans="1:42" ht="16.05" customHeight="1" x14ac:dyDescent="0.3">
      <c r="A44" t="s">
        <v>155</v>
      </c>
      <c r="B44" t="s">
        <v>156</v>
      </c>
      <c r="C44" t="s">
        <v>71</v>
      </c>
      <c r="D44" t="s">
        <v>558</v>
      </c>
      <c r="E44">
        <v>0</v>
      </c>
      <c r="G44" t="s">
        <v>564</v>
      </c>
      <c r="H44" t="s">
        <v>421</v>
      </c>
      <c r="I44" t="s">
        <v>421</v>
      </c>
      <c r="J44" t="s">
        <v>560</v>
      </c>
      <c r="K44" t="s">
        <v>421</v>
      </c>
      <c r="L44">
        <v>0</v>
      </c>
      <c r="M44">
        <f t="shared" si="5"/>
        <v>0</v>
      </c>
      <c r="N44" t="s">
        <v>561</v>
      </c>
      <c r="O44">
        <f t="shared" si="6"/>
        <v>0</v>
      </c>
      <c r="P44" t="s">
        <v>561</v>
      </c>
      <c r="S44">
        <f>IFERROR(SCORECARDS!C42,"—")</f>
        <v>0</v>
      </c>
      <c r="T44" t="str">
        <f t="shared" si="7"/>
        <v>🔴 Crítico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f t="shared" si="8"/>
        <v>0</v>
      </c>
      <c r="AP44">
        <f t="shared" si="9"/>
        <v>0</v>
      </c>
    </row>
    <row r="45" spans="1:42" ht="16.05" customHeight="1" x14ac:dyDescent="0.3">
      <c r="A45" t="s">
        <v>157</v>
      </c>
      <c r="B45" t="s">
        <v>158</v>
      </c>
      <c r="C45" t="s">
        <v>71</v>
      </c>
      <c r="D45" t="s">
        <v>558</v>
      </c>
      <c r="E45">
        <v>13207692.050000001</v>
      </c>
      <c r="F45">
        <v>41</v>
      </c>
      <c r="G45" t="s">
        <v>559</v>
      </c>
      <c r="H45" t="s">
        <v>421</v>
      </c>
      <c r="I45" t="s">
        <v>421</v>
      </c>
      <c r="J45" t="s">
        <v>560</v>
      </c>
      <c r="K45" t="s">
        <v>421</v>
      </c>
      <c r="L45">
        <v>6603846.0300000003</v>
      </c>
      <c r="M45">
        <f t="shared" si="5"/>
        <v>50</v>
      </c>
      <c r="N45" t="s">
        <v>561</v>
      </c>
      <c r="O45">
        <f t="shared" si="6"/>
        <v>0</v>
      </c>
      <c r="P45" t="s">
        <v>561</v>
      </c>
      <c r="S45">
        <f>IFERROR(SCORECARDS!C43,"—")</f>
        <v>0</v>
      </c>
      <c r="T45" t="str">
        <f t="shared" si="7"/>
        <v>🔴 Crítico</v>
      </c>
      <c r="U45">
        <v>1</v>
      </c>
      <c r="V45" t="s">
        <v>562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f t="shared" si="8"/>
        <v>0</v>
      </c>
      <c r="AP45">
        <f t="shared" si="9"/>
        <v>0.125</v>
      </c>
    </row>
    <row r="46" spans="1:42" ht="16.05" customHeight="1" x14ac:dyDescent="0.3">
      <c r="A46" t="s">
        <v>159</v>
      </c>
      <c r="B46" t="s">
        <v>160</v>
      </c>
      <c r="C46" t="s">
        <v>71</v>
      </c>
      <c r="D46" t="s">
        <v>421</v>
      </c>
      <c r="E46">
        <v>0</v>
      </c>
      <c r="G46" t="s">
        <v>564</v>
      </c>
      <c r="H46" t="s">
        <v>421</v>
      </c>
      <c r="I46" t="s">
        <v>421</v>
      </c>
      <c r="J46" t="s">
        <v>571</v>
      </c>
      <c r="K46" t="s">
        <v>421</v>
      </c>
      <c r="L46">
        <v>0</v>
      </c>
      <c r="M46">
        <f t="shared" si="5"/>
        <v>0</v>
      </c>
      <c r="N46" t="s">
        <v>561</v>
      </c>
      <c r="O46">
        <f t="shared" si="6"/>
        <v>0</v>
      </c>
      <c r="P46" t="s">
        <v>561</v>
      </c>
      <c r="S46">
        <f>IFERROR(SCORECARDS!C44,"—")</f>
        <v>0</v>
      </c>
      <c r="T46" t="str">
        <f t="shared" si="7"/>
        <v>🔴 Crítico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f t="shared" si="8"/>
        <v>0</v>
      </c>
      <c r="AP46">
        <f t="shared" si="9"/>
        <v>0</v>
      </c>
    </row>
    <row r="47" spans="1:42" ht="16.05" customHeight="1" x14ac:dyDescent="0.3">
      <c r="A47" t="s">
        <v>161</v>
      </c>
      <c r="B47" t="s">
        <v>162</v>
      </c>
      <c r="C47" t="s">
        <v>71</v>
      </c>
      <c r="D47" t="s">
        <v>563</v>
      </c>
      <c r="G47" t="s">
        <v>564</v>
      </c>
      <c r="H47" t="s">
        <v>421</v>
      </c>
      <c r="I47" t="s">
        <v>421</v>
      </c>
      <c r="J47" t="s">
        <v>560</v>
      </c>
      <c r="K47" t="s">
        <v>421</v>
      </c>
      <c r="L47">
        <v>0</v>
      </c>
      <c r="M47">
        <f t="shared" si="5"/>
        <v>0</v>
      </c>
      <c r="N47" t="s">
        <v>561</v>
      </c>
      <c r="O47">
        <f t="shared" si="6"/>
        <v>0</v>
      </c>
      <c r="P47" t="s">
        <v>561</v>
      </c>
      <c r="S47">
        <f>IFERROR(SCORECARDS!C45,"—")</f>
        <v>0</v>
      </c>
      <c r="T47" t="str">
        <f t="shared" si="7"/>
        <v>🔴 Crítico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f t="shared" si="8"/>
        <v>0</v>
      </c>
      <c r="AP47">
        <f t="shared" si="9"/>
        <v>0</v>
      </c>
    </row>
    <row r="48" spans="1:42" ht="16.05" customHeight="1" x14ac:dyDescent="0.3">
      <c r="A48" t="s">
        <v>163</v>
      </c>
      <c r="B48" t="s">
        <v>164</v>
      </c>
      <c r="C48" t="s">
        <v>71</v>
      </c>
      <c r="D48" t="s">
        <v>563</v>
      </c>
      <c r="E48">
        <v>30342293.079999998</v>
      </c>
      <c r="F48">
        <v>108</v>
      </c>
      <c r="G48" t="s">
        <v>559</v>
      </c>
      <c r="H48" t="s">
        <v>421</v>
      </c>
      <c r="I48" t="s">
        <v>421</v>
      </c>
      <c r="J48" t="s">
        <v>560</v>
      </c>
      <c r="K48" t="s">
        <v>421</v>
      </c>
      <c r="L48">
        <v>15171146.539999999</v>
      </c>
      <c r="M48">
        <f t="shared" si="5"/>
        <v>50</v>
      </c>
      <c r="N48" t="s">
        <v>561</v>
      </c>
      <c r="O48">
        <f t="shared" si="6"/>
        <v>0</v>
      </c>
      <c r="P48" t="s">
        <v>561</v>
      </c>
      <c r="S48">
        <f>IFERROR(SCORECARDS!C46,"—")</f>
        <v>0</v>
      </c>
      <c r="T48" t="str">
        <f t="shared" si="7"/>
        <v>🔴 Crítico</v>
      </c>
      <c r="U48">
        <v>1</v>
      </c>
      <c r="V48" t="s">
        <v>562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f t="shared" si="8"/>
        <v>0</v>
      </c>
      <c r="AP48">
        <f t="shared" si="9"/>
        <v>0.125</v>
      </c>
    </row>
    <row r="49" spans="1:42" ht="16.05" customHeight="1" x14ac:dyDescent="0.3">
      <c r="A49" t="s">
        <v>165</v>
      </c>
      <c r="B49" t="s">
        <v>166</v>
      </c>
      <c r="C49" t="s">
        <v>71</v>
      </c>
      <c r="D49" t="s">
        <v>563</v>
      </c>
      <c r="E49">
        <v>2290978.7000000002</v>
      </c>
      <c r="F49">
        <v>10</v>
      </c>
      <c r="G49" t="s">
        <v>559</v>
      </c>
      <c r="H49" t="s">
        <v>421</v>
      </c>
      <c r="I49" t="s">
        <v>421</v>
      </c>
      <c r="J49" t="s">
        <v>560</v>
      </c>
      <c r="K49" t="s">
        <v>421</v>
      </c>
      <c r="L49">
        <v>1145489.3500000001</v>
      </c>
      <c r="M49">
        <f t="shared" si="5"/>
        <v>50</v>
      </c>
      <c r="N49" t="s">
        <v>561</v>
      </c>
      <c r="O49">
        <f t="shared" si="6"/>
        <v>0</v>
      </c>
      <c r="P49" t="s">
        <v>561</v>
      </c>
      <c r="S49">
        <f>IFERROR(SCORECARDS!C47,"—")</f>
        <v>0</v>
      </c>
      <c r="T49" t="str">
        <f t="shared" si="7"/>
        <v>🔴 Crítico</v>
      </c>
      <c r="U49">
        <v>1</v>
      </c>
      <c r="V49" t="s">
        <v>562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f t="shared" si="8"/>
        <v>0</v>
      </c>
      <c r="AP49">
        <f t="shared" si="9"/>
        <v>0.125</v>
      </c>
    </row>
    <row r="50" spans="1:42" ht="16.05" customHeight="1" x14ac:dyDescent="0.3">
      <c r="A50" t="s">
        <v>167</v>
      </c>
      <c r="B50" t="s">
        <v>168</v>
      </c>
      <c r="C50" t="s">
        <v>169</v>
      </c>
      <c r="D50" t="s">
        <v>558</v>
      </c>
      <c r="G50" t="s">
        <v>564</v>
      </c>
      <c r="H50" t="s">
        <v>421</v>
      </c>
      <c r="I50" t="s">
        <v>421</v>
      </c>
      <c r="J50" t="s">
        <v>572</v>
      </c>
      <c r="K50" t="s">
        <v>421</v>
      </c>
      <c r="L50">
        <v>0</v>
      </c>
      <c r="M50">
        <f t="shared" si="5"/>
        <v>0</v>
      </c>
      <c r="N50" t="s">
        <v>561</v>
      </c>
      <c r="O50">
        <f t="shared" si="6"/>
        <v>0</v>
      </c>
      <c r="P50" t="s">
        <v>561</v>
      </c>
      <c r="S50">
        <f>IFERROR(SCORECARDS!C48,"—")</f>
        <v>0</v>
      </c>
      <c r="T50" t="str">
        <f t="shared" si="7"/>
        <v>🔴 Crítico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f t="shared" si="8"/>
        <v>0</v>
      </c>
      <c r="AP50">
        <f t="shared" si="9"/>
        <v>0</v>
      </c>
    </row>
    <row r="51" spans="1:42" ht="16.05" customHeight="1" x14ac:dyDescent="0.3">
      <c r="A51" t="s">
        <v>170</v>
      </c>
      <c r="B51" t="s">
        <v>171</v>
      </c>
      <c r="C51" t="s">
        <v>140</v>
      </c>
      <c r="D51" t="s">
        <v>563</v>
      </c>
      <c r="G51" t="s">
        <v>564</v>
      </c>
      <c r="H51" t="s">
        <v>421</v>
      </c>
      <c r="I51" t="s">
        <v>421</v>
      </c>
      <c r="J51" t="s">
        <v>560</v>
      </c>
      <c r="K51" t="s">
        <v>421</v>
      </c>
      <c r="L51">
        <v>0</v>
      </c>
      <c r="M51">
        <f t="shared" si="5"/>
        <v>0</v>
      </c>
      <c r="N51" t="s">
        <v>561</v>
      </c>
      <c r="O51">
        <f t="shared" si="6"/>
        <v>0</v>
      </c>
      <c r="P51" t="s">
        <v>561</v>
      </c>
      <c r="S51">
        <f>IFERROR(SCORECARDS!C49,"—")</f>
        <v>0</v>
      </c>
      <c r="T51" t="str">
        <f t="shared" si="7"/>
        <v>🔴 Crítico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f t="shared" si="8"/>
        <v>0</v>
      </c>
      <c r="AP51">
        <f t="shared" si="9"/>
        <v>0</v>
      </c>
    </row>
    <row r="52" spans="1:42" ht="16.05" customHeight="1" x14ac:dyDescent="0.3">
      <c r="A52" t="s">
        <v>172</v>
      </c>
      <c r="B52" t="s">
        <v>173</v>
      </c>
      <c r="C52" t="s">
        <v>74</v>
      </c>
      <c r="D52" t="s">
        <v>563</v>
      </c>
      <c r="G52" t="s">
        <v>564</v>
      </c>
      <c r="H52" t="s">
        <v>421</v>
      </c>
      <c r="I52" t="s">
        <v>421</v>
      </c>
      <c r="J52" t="s">
        <v>560</v>
      </c>
      <c r="K52" t="s">
        <v>421</v>
      </c>
      <c r="L52">
        <v>0</v>
      </c>
      <c r="M52">
        <f t="shared" si="5"/>
        <v>0</v>
      </c>
      <c r="N52" t="s">
        <v>561</v>
      </c>
      <c r="O52">
        <f t="shared" si="6"/>
        <v>0</v>
      </c>
      <c r="P52" t="s">
        <v>561</v>
      </c>
      <c r="S52">
        <f>IFERROR(SCORECARDS!C50,"—")</f>
        <v>0</v>
      </c>
      <c r="T52" t="str">
        <f t="shared" si="7"/>
        <v>🔴 Crítico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f t="shared" si="8"/>
        <v>0</v>
      </c>
      <c r="AP52">
        <f t="shared" si="9"/>
        <v>0</v>
      </c>
    </row>
    <row r="53" spans="1:42" ht="16.05" customHeight="1" x14ac:dyDescent="0.3">
      <c r="A53" t="s">
        <v>174</v>
      </c>
      <c r="B53" t="s">
        <v>175</v>
      </c>
      <c r="C53" t="s">
        <v>129</v>
      </c>
      <c r="D53" t="s">
        <v>563</v>
      </c>
      <c r="E53">
        <v>0</v>
      </c>
      <c r="G53" t="s">
        <v>564</v>
      </c>
      <c r="H53" t="s">
        <v>421</v>
      </c>
      <c r="I53" t="s">
        <v>421</v>
      </c>
      <c r="J53" t="s">
        <v>560</v>
      </c>
      <c r="K53" t="s">
        <v>421</v>
      </c>
      <c r="L53">
        <v>0</v>
      </c>
      <c r="M53">
        <f t="shared" si="5"/>
        <v>0</v>
      </c>
      <c r="N53" t="s">
        <v>561</v>
      </c>
      <c r="O53">
        <f t="shared" si="6"/>
        <v>0</v>
      </c>
      <c r="P53" t="s">
        <v>561</v>
      </c>
      <c r="S53">
        <f>IFERROR(SCORECARDS!C51,"—")</f>
        <v>0</v>
      </c>
      <c r="T53" t="str">
        <f t="shared" si="7"/>
        <v>🔴 Crítico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f t="shared" si="8"/>
        <v>0</v>
      </c>
      <c r="AP53">
        <f t="shared" si="9"/>
        <v>0</v>
      </c>
    </row>
    <row r="54" spans="1:42" ht="16.05" customHeight="1" x14ac:dyDescent="0.3">
      <c r="A54" t="s">
        <v>176</v>
      </c>
      <c r="B54" t="s">
        <v>177</v>
      </c>
      <c r="C54" t="s">
        <v>129</v>
      </c>
      <c r="D54" t="s">
        <v>563</v>
      </c>
      <c r="G54" t="s">
        <v>564</v>
      </c>
      <c r="H54" t="s">
        <v>421</v>
      </c>
      <c r="I54" t="s">
        <v>421</v>
      </c>
      <c r="J54" t="s">
        <v>571</v>
      </c>
      <c r="K54" t="s">
        <v>421</v>
      </c>
      <c r="L54">
        <v>0</v>
      </c>
      <c r="M54">
        <f t="shared" si="5"/>
        <v>0</v>
      </c>
      <c r="N54" t="s">
        <v>561</v>
      </c>
      <c r="O54">
        <f t="shared" si="6"/>
        <v>0</v>
      </c>
      <c r="P54" t="s">
        <v>561</v>
      </c>
      <c r="S54">
        <f>IFERROR(SCORECARDS!C52,"—")</f>
        <v>0</v>
      </c>
      <c r="T54" t="str">
        <f t="shared" si="7"/>
        <v>🔴 Crítico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f t="shared" si="8"/>
        <v>0</v>
      </c>
      <c r="AP54">
        <f t="shared" si="9"/>
        <v>0</v>
      </c>
    </row>
    <row r="55" spans="1:42" ht="16.05" customHeight="1" x14ac:dyDescent="0.3">
      <c r="A55" t="s">
        <v>178</v>
      </c>
      <c r="B55" t="s">
        <v>179</v>
      </c>
      <c r="C55" t="s">
        <v>129</v>
      </c>
      <c r="D55" t="s">
        <v>563</v>
      </c>
      <c r="G55" t="s">
        <v>564</v>
      </c>
      <c r="H55" t="s">
        <v>421</v>
      </c>
      <c r="I55" t="s">
        <v>421</v>
      </c>
      <c r="J55" t="s">
        <v>560</v>
      </c>
      <c r="K55" t="s">
        <v>421</v>
      </c>
      <c r="L55">
        <v>0</v>
      </c>
      <c r="M55">
        <f t="shared" si="5"/>
        <v>0</v>
      </c>
      <c r="N55" t="s">
        <v>561</v>
      </c>
      <c r="O55">
        <f t="shared" si="6"/>
        <v>0</v>
      </c>
      <c r="P55" t="s">
        <v>561</v>
      </c>
      <c r="S55">
        <f>IFERROR(SCORECARDS!C53,"—")</f>
        <v>0</v>
      </c>
      <c r="T55" t="str">
        <f t="shared" si="7"/>
        <v>🔴 Crítico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f t="shared" si="8"/>
        <v>0</v>
      </c>
      <c r="AP55">
        <f t="shared" si="9"/>
        <v>0</v>
      </c>
    </row>
    <row r="56" spans="1:42" ht="16.05" customHeight="1" x14ac:dyDescent="0.3">
      <c r="A56" t="s">
        <v>180</v>
      </c>
      <c r="B56" t="s">
        <v>181</v>
      </c>
      <c r="C56" t="s">
        <v>182</v>
      </c>
      <c r="D56" t="s">
        <v>563</v>
      </c>
      <c r="G56" t="s">
        <v>564</v>
      </c>
      <c r="H56" t="s">
        <v>421</v>
      </c>
      <c r="I56" t="s">
        <v>421</v>
      </c>
      <c r="J56" t="s">
        <v>560</v>
      </c>
      <c r="K56" t="s">
        <v>421</v>
      </c>
      <c r="L56">
        <v>0</v>
      </c>
      <c r="M56">
        <f t="shared" si="5"/>
        <v>0</v>
      </c>
      <c r="N56" t="s">
        <v>561</v>
      </c>
      <c r="O56">
        <f t="shared" si="6"/>
        <v>0</v>
      </c>
      <c r="P56" t="s">
        <v>561</v>
      </c>
      <c r="S56">
        <f>IFERROR(SCORECARDS!C54,"—")</f>
        <v>0</v>
      </c>
      <c r="T56" t="str">
        <f t="shared" si="7"/>
        <v>🔴 Crítico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f t="shared" si="8"/>
        <v>0</v>
      </c>
      <c r="AP56">
        <f t="shared" si="9"/>
        <v>0</v>
      </c>
    </row>
    <row r="57" spans="1:42" ht="16.05" customHeight="1" x14ac:dyDescent="0.3">
      <c r="A57" t="s">
        <v>183</v>
      </c>
      <c r="B57" t="s">
        <v>184</v>
      </c>
      <c r="C57" t="s">
        <v>74</v>
      </c>
      <c r="D57" t="s">
        <v>563</v>
      </c>
      <c r="G57" t="s">
        <v>564</v>
      </c>
      <c r="H57" t="s">
        <v>421</v>
      </c>
      <c r="I57" t="s">
        <v>421</v>
      </c>
      <c r="J57" t="s">
        <v>560</v>
      </c>
      <c r="K57" t="s">
        <v>421</v>
      </c>
      <c r="L57">
        <v>0</v>
      </c>
      <c r="M57">
        <f t="shared" si="5"/>
        <v>0</v>
      </c>
      <c r="N57" t="s">
        <v>561</v>
      </c>
      <c r="O57">
        <f t="shared" si="6"/>
        <v>0</v>
      </c>
      <c r="P57" t="s">
        <v>561</v>
      </c>
      <c r="S57">
        <f>IFERROR(SCORECARDS!C55,"—")</f>
        <v>0</v>
      </c>
      <c r="T57" t="str">
        <f t="shared" si="7"/>
        <v>🔴 Crítico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f t="shared" si="8"/>
        <v>0</v>
      </c>
      <c r="AP57">
        <f t="shared" si="9"/>
        <v>0</v>
      </c>
    </row>
    <row r="58" spans="1:42" ht="16.05" customHeight="1" x14ac:dyDescent="0.3">
      <c r="A58" t="s">
        <v>185</v>
      </c>
      <c r="B58" t="s">
        <v>186</v>
      </c>
      <c r="C58" t="s">
        <v>95</v>
      </c>
      <c r="D58" t="s">
        <v>563</v>
      </c>
      <c r="E58">
        <v>105840</v>
      </c>
      <c r="F58">
        <v>7</v>
      </c>
      <c r="G58" t="s">
        <v>559</v>
      </c>
      <c r="H58" t="s">
        <v>421</v>
      </c>
      <c r="I58" t="s">
        <v>421</v>
      </c>
      <c r="J58" t="s">
        <v>560</v>
      </c>
      <c r="K58" t="s">
        <v>421</v>
      </c>
      <c r="L58">
        <v>52920</v>
      </c>
      <c r="M58">
        <f t="shared" si="5"/>
        <v>50</v>
      </c>
      <c r="N58" t="s">
        <v>561</v>
      </c>
      <c r="O58">
        <f t="shared" si="6"/>
        <v>0</v>
      </c>
      <c r="P58" t="s">
        <v>561</v>
      </c>
      <c r="S58">
        <f>IFERROR(SCORECARDS!C56,"—")</f>
        <v>0</v>
      </c>
      <c r="T58" t="str">
        <f t="shared" si="7"/>
        <v>🔴 Crítico</v>
      </c>
      <c r="U58">
        <v>1</v>
      </c>
      <c r="V58" t="s">
        <v>562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f t="shared" si="8"/>
        <v>0</v>
      </c>
      <c r="AP58">
        <f t="shared" si="9"/>
        <v>0</v>
      </c>
    </row>
    <row r="59" spans="1:42" ht="16.05" customHeight="1" x14ac:dyDescent="0.3">
      <c r="A59" t="s">
        <v>187</v>
      </c>
      <c r="B59" t="s">
        <v>188</v>
      </c>
      <c r="C59" t="s">
        <v>95</v>
      </c>
      <c r="D59" t="s">
        <v>563</v>
      </c>
      <c r="G59" t="s">
        <v>564</v>
      </c>
      <c r="H59" t="s">
        <v>421</v>
      </c>
      <c r="I59" t="s">
        <v>421</v>
      </c>
      <c r="J59" t="s">
        <v>572</v>
      </c>
      <c r="K59" t="s">
        <v>421</v>
      </c>
      <c r="L59">
        <v>0</v>
      </c>
      <c r="M59">
        <f t="shared" si="5"/>
        <v>0</v>
      </c>
      <c r="N59" t="s">
        <v>561</v>
      </c>
      <c r="O59">
        <f t="shared" si="6"/>
        <v>0</v>
      </c>
      <c r="P59" t="s">
        <v>561</v>
      </c>
      <c r="S59">
        <f>IFERROR(SCORECARDS!C57,"—")</f>
        <v>0</v>
      </c>
      <c r="T59" t="str">
        <f t="shared" si="7"/>
        <v>🔴 Crítico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f t="shared" si="8"/>
        <v>0</v>
      </c>
      <c r="AP59">
        <f t="shared" si="9"/>
        <v>0</v>
      </c>
    </row>
    <row r="60" spans="1:42" ht="16.05" customHeight="1" x14ac:dyDescent="0.3">
      <c r="A60" t="s">
        <v>189</v>
      </c>
      <c r="B60" t="s">
        <v>190</v>
      </c>
      <c r="C60" t="s">
        <v>191</v>
      </c>
      <c r="D60" t="s">
        <v>558</v>
      </c>
      <c r="E60">
        <v>10746930.949999999</v>
      </c>
      <c r="F60">
        <v>59</v>
      </c>
      <c r="G60" t="s">
        <v>559</v>
      </c>
      <c r="H60" t="s">
        <v>421</v>
      </c>
      <c r="I60" t="s">
        <v>421</v>
      </c>
      <c r="J60" t="s">
        <v>560</v>
      </c>
      <c r="K60" t="s">
        <v>421</v>
      </c>
      <c r="L60">
        <v>5373465.4699999997</v>
      </c>
      <c r="M60">
        <f t="shared" si="5"/>
        <v>50</v>
      </c>
      <c r="N60" t="s">
        <v>561</v>
      </c>
      <c r="O60">
        <f t="shared" si="6"/>
        <v>0</v>
      </c>
      <c r="P60" t="s">
        <v>561</v>
      </c>
      <c r="S60">
        <f>IFERROR(SCORECARDS!C58,"—")</f>
        <v>0</v>
      </c>
      <c r="T60" t="str">
        <f t="shared" si="7"/>
        <v>🔴 Crítico</v>
      </c>
      <c r="U60">
        <v>1</v>
      </c>
      <c r="V60" t="s">
        <v>562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f t="shared" si="8"/>
        <v>0</v>
      </c>
      <c r="AP60">
        <f t="shared" si="9"/>
        <v>0.125</v>
      </c>
    </row>
    <row r="61" spans="1:42" ht="16.05" customHeight="1" x14ac:dyDescent="0.3">
      <c r="A61" t="s">
        <v>192</v>
      </c>
      <c r="B61" t="s">
        <v>193</v>
      </c>
      <c r="C61" t="s">
        <v>110</v>
      </c>
      <c r="D61" t="s">
        <v>558</v>
      </c>
      <c r="G61" t="s">
        <v>564</v>
      </c>
      <c r="H61" t="s">
        <v>421</v>
      </c>
      <c r="I61" t="s">
        <v>421</v>
      </c>
      <c r="J61" t="s">
        <v>560</v>
      </c>
      <c r="K61" t="s">
        <v>421</v>
      </c>
      <c r="L61">
        <v>0</v>
      </c>
      <c r="M61">
        <f t="shared" si="5"/>
        <v>0</v>
      </c>
      <c r="N61" t="s">
        <v>561</v>
      </c>
      <c r="O61">
        <f t="shared" si="6"/>
        <v>0</v>
      </c>
      <c r="P61" t="s">
        <v>561</v>
      </c>
      <c r="S61">
        <f>IFERROR(SCORECARDS!C59,"—")</f>
        <v>0</v>
      </c>
      <c r="T61" t="str">
        <f t="shared" si="7"/>
        <v>🔴 Crítico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f t="shared" si="8"/>
        <v>0</v>
      </c>
      <c r="AP61">
        <f t="shared" si="9"/>
        <v>0</v>
      </c>
    </row>
    <row r="62" spans="1:42" ht="16.05" customHeight="1" x14ac:dyDescent="0.3">
      <c r="A62" t="s">
        <v>194</v>
      </c>
      <c r="B62" t="s">
        <v>195</v>
      </c>
      <c r="C62" t="s">
        <v>95</v>
      </c>
      <c r="D62" t="s">
        <v>558</v>
      </c>
      <c r="G62" t="s">
        <v>564</v>
      </c>
      <c r="H62" t="s">
        <v>421</v>
      </c>
      <c r="I62" t="s">
        <v>421</v>
      </c>
      <c r="J62" t="s">
        <v>572</v>
      </c>
      <c r="K62" t="s">
        <v>421</v>
      </c>
      <c r="L62">
        <v>0</v>
      </c>
      <c r="M62">
        <f t="shared" si="5"/>
        <v>0</v>
      </c>
      <c r="N62" t="s">
        <v>561</v>
      </c>
      <c r="O62">
        <f t="shared" si="6"/>
        <v>0</v>
      </c>
      <c r="P62" t="s">
        <v>561</v>
      </c>
      <c r="S62">
        <f>IFERROR(SCORECARDS!C60,"—")</f>
        <v>0</v>
      </c>
      <c r="T62" t="str">
        <f t="shared" si="7"/>
        <v>🔴 Crítico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f t="shared" si="8"/>
        <v>0</v>
      </c>
      <c r="AP62">
        <f t="shared" si="9"/>
        <v>0</v>
      </c>
    </row>
    <row r="63" spans="1:42" ht="16.05" customHeight="1" x14ac:dyDescent="0.3">
      <c r="A63" t="s">
        <v>196</v>
      </c>
      <c r="B63" t="s">
        <v>197</v>
      </c>
      <c r="C63" t="s">
        <v>95</v>
      </c>
      <c r="D63" t="s">
        <v>558</v>
      </c>
      <c r="G63" t="s">
        <v>564</v>
      </c>
      <c r="H63" t="s">
        <v>421</v>
      </c>
      <c r="I63" t="s">
        <v>421</v>
      </c>
      <c r="J63" t="s">
        <v>572</v>
      </c>
      <c r="K63" t="s">
        <v>421</v>
      </c>
      <c r="L63">
        <v>0</v>
      </c>
      <c r="M63">
        <f t="shared" si="5"/>
        <v>0</v>
      </c>
      <c r="N63" t="s">
        <v>561</v>
      </c>
      <c r="O63">
        <f t="shared" si="6"/>
        <v>0</v>
      </c>
      <c r="P63" t="s">
        <v>561</v>
      </c>
      <c r="S63">
        <f>IFERROR(SCORECARDS!C61,"—")</f>
        <v>0</v>
      </c>
      <c r="T63" t="str">
        <f t="shared" si="7"/>
        <v>🔴 Crítico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f t="shared" si="8"/>
        <v>0</v>
      </c>
      <c r="AP63">
        <f t="shared" si="9"/>
        <v>0</v>
      </c>
    </row>
    <row r="64" spans="1:42" ht="16.05" customHeight="1" x14ac:dyDescent="0.3">
      <c r="A64" t="s">
        <v>198</v>
      </c>
      <c r="B64" t="s">
        <v>199</v>
      </c>
      <c r="C64" t="s">
        <v>129</v>
      </c>
      <c r="D64" t="s">
        <v>558</v>
      </c>
      <c r="E64">
        <v>0</v>
      </c>
      <c r="G64" t="s">
        <v>564</v>
      </c>
      <c r="H64" t="s">
        <v>421</v>
      </c>
      <c r="I64" t="s">
        <v>421</v>
      </c>
      <c r="J64" t="s">
        <v>560</v>
      </c>
      <c r="K64" t="s">
        <v>421</v>
      </c>
      <c r="L64">
        <v>0</v>
      </c>
      <c r="M64">
        <f t="shared" si="5"/>
        <v>0</v>
      </c>
      <c r="N64" t="s">
        <v>561</v>
      </c>
      <c r="O64">
        <f t="shared" si="6"/>
        <v>0</v>
      </c>
      <c r="P64" t="s">
        <v>561</v>
      </c>
      <c r="S64">
        <f>IFERROR(SCORECARDS!C62,"—")</f>
        <v>0</v>
      </c>
      <c r="T64" t="str">
        <f t="shared" si="7"/>
        <v>🔴 Crítico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f t="shared" si="8"/>
        <v>0</v>
      </c>
      <c r="AP64">
        <f t="shared" si="9"/>
        <v>0</v>
      </c>
    </row>
    <row r="65" spans="1:42" ht="16.05" customHeight="1" x14ac:dyDescent="0.3">
      <c r="A65" t="s">
        <v>200</v>
      </c>
      <c r="B65" t="s">
        <v>201</v>
      </c>
      <c r="C65" t="s">
        <v>129</v>
      </c>
      <c r="D65" t="s">
        <v>563</v>
      </c>
      <c r="E65">
        <v>1984.05</v>
      </c>
      <c r="F65">
        <v>1</v>
      </c>
      <c r="G65" t="s">
        <v>559</v>
      </c>
      <c r="H65" t="s">
        <v>421</v>
      </c>
      <c r="I65" t="s">
        <v>421</v>
      </c>
      <c r="J65" t="s">
        <v>560</v>
      </c>
      <c r="K65" t="s">
        <v>421</v>
      </c>
      <c r="L65">
        <v>0</v>
      </c>
      <c r="M65">
        <f t="shared" si="5"/>
        <v>0</v>
      </c>
      <c r="N65" t="s">
        <v>561</v>
      </c>
      <c r="O65">
        <f t="shared" si="6"/>
        <v>0</v>
      </c>
      <c r="P65" t="s">
        <v>561</v>
      </c>
      <c r="S65">
        <f>IFERROR(SCORECARDS!C63,"—")</f>
        <v>0</v>
      </c>
      <c r="T65" t="str">
        <f t="shared" si="7"/>
        <v>🔴 Crítico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f t="shared" si="8"/>
        <v>0</v>
      </c>
      <c r="AP65">
        <f t="shared" si="9"/>
        <v>0</v>
      </c>
    </row>
    <row r="66" spans="1:42" ht="16.05" customHeight="1" x14ac:dyDescent="0.3">
      <c r="A66" t="s">
        <v>202</v>
      </c>
      <c r="B66" t="s">
        <v>203</v>
      </c>
      <c r="C66" t="s">
        <v>74</v>
      </c>
      <c r="D66" t="s">
        <v>558</v>
      </c>
      <c r="G66" t="s">
        <v>564</v>
      </c>
      <c r="H66" t="s">
        <v>421</v>
      </c>
      <c r="I66" t="s">
        <v>421</v>
      </c>
      <c r="J66" t="s">
        <v>560</v>
      </c>
      <c r="K66" t="s">
        <v>421</v>
      </c>
      <c r="L66">
        <v>0</v>
      </c>
      <c r="M66">
        <f t="shared" si="5"/>
        <v>0</v>
      </c>
      <c r="N66" t="s">
        <v>561</v>
      </c>
      <c r="O66">
        <f t="shared" si="6"/>
        <v>0</v>
      </c>
      <c r="P66" t="s">
        <v>561</v>
      </c>
      <c r="S66">
        <f>IFERROR(SCORECARDS!C64,"—")</f>
        <v>0</v>
      </c>
      <c r="T66" t="str">
        <f t="shared" si="7"/>
        <v>🔴 Crítico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f t="shared" si="8"/>
        <v>0</v>
      </c>
      <c r="AP66">
        <f t="shared" si="9"/>
        <v>0</v>
      </c>
    </row>
    <row r="67" spans="1:42" ht="16.05" customHeight="1" x14ac:dyDescent="0.3">
      <c r="A67" t="s">
        <v>204</v>
      </c>
      <c r="B67" t="s">
        <v>205</v>
      </c>
      <c r="C67" t="s">
        <v>103</v>
      </c>
      <c r="D67" t="s">
        <v>558</v>
      </c>
      <c r="G67" t="s">
        <v>564</v>
      </c>
      <c r="H67" t="s">
        <v>421</v>
      </c>
      <c r="I67" t="s">
        <v>421</v>
      </c>
      <c r="J67" t="s">
        <v>560</v>
      </c>
      <c r="K67" t="s">
        <v>421</v>
      </c>
      <c r="L67">
        <v>0</v>
      </c>
      <c r="M67">
        <f t="shared" ref="M67:M98" si="10">IF(E67&gt;0,ROUND(L67/E67*100,1),0)</f>
        <v>0</v>
      </c>
      <c r="N67" t="s">
        <v>561</v>
      </c>
      <c r="O67">
        <f t="shared" ref="O67:O98" si="11">IF(H67="SI",1,0)*0.6+IF(I67="SI",1,0)*0.4</f>
        <v>0</v>
      </c>
      <c r="P67" t="s">
        <v>561</v>
      </c>
      <c r="S67">
        <f>IFERROR(SCORECARDS!C65,"—")</f>
        <v>0</v>
      </c>
      <c r="T67" t="str">
        <f t="shared" ref="T67:T98" si="12">IF(ISTEXT(S67),S67,IF(S67&lt;34,"🔴 Crítico",IF(S67&lt;67,"🟡 Vulnerable","🟢 Preparado")))</f>
        <v>🔴 Crítico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f t="shared" ref="AO67:AO98" si="13">IFERROR(AVERAGE(AA67,AB67,AC67,AD67,AE67,AF67,AG67,AH67,AI67,AJ67,AK67,AL67,AM67,AN67),"N/A")</f>
        <v>0</v>
      </c>
      <c r="AP67">
        <f t="shared" ref="AP67:AP98" si="14">IFERROR(AVERAGE(W67,X67,Y67,Z67)/2,"N/A")</f>
        <v>0</v>
      </c>
    </row>
    <row r="68" spans="1:42" ht="16.05" customHeight="1" x14ac:dyDescent="0.3">
      <c r="A68" t="s">
        <v>206</v>
      </c>
      <c r="B68" t="s">
        <v>207</v>
      </c>
      <c r="C68" t="s">
        <v>103</v>
      </c>
      <c r="D68" t="s">
        <v>558</v>
      </c>
      <c r="G68" t="s">
        <v>564</v>
      </c>
      <c r="H68" t="s">
        <v>421</v>
      </c>
      <c r="I68" t="s">
        <v>421</v>
      </c>
      <c r="J68" t="s">
        <v>560</v>
      </c>
      <c r="K68" t="s">
        <v>421</v>
      </c>
      <c r="L68">
        <v>0</v>
      </c>
      <c r="M68">
        <f t="shared" si="10"/>
        <v>0</v>
      </c>
      <c r="N68" t="s">
        <v>561</v>
      </c>
      <c r="O68">
        <f t="shared" si="11"/>
        <v>0</v>
      </c>
      <c r="P68" t="s">
        <v>561</v>
      </c>
      <c r="S68">
        <f>IFERROR(SCORECARDS!C66,"—")</f>
        <v>0</v>
      </c>
      <c r="T68" t="str">
        <f t="shared" si="12"/>
        <v>🔴 Crítico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f t="shared" si="13"/>
        <v>0</v>
      </c>
      <c r="AP68">
        <f t="shared" si="14"/>
        <v>0</v>
      </c>
    </row>
    <row r="69" spans="1:42" ht="16.05" customHeight="1" x14ac:dyDescent="0.3">
      <c r="A69" t="s">
        <v>208</v>
      </c>
      <c r="B69" t="s">
        <v>209</v>
      </c>
      <c r="C69" t="s">
        <v>169</v>
      </c>
      <c r="D69" t="s">
        <v>558</v>
      </c>
      <c r="G69" t="s">
        <v>564</v>
      </c>
      <c r="H69" t="s">
        <v>421</v>
      </c>
      <c r="I69" t="s">
        <v>421</v>
      </c>
      <c r="J69" t="s">
        <v>572</v>
      </c>
      <c r="K69" t="s">
        <v>421</v>
      </c>
      <c r="L69">
        <v>0</v>
      </c>
      <c r="M69">
        <f t="shared" si="10"/>
        <v>0</v>
      </c>
      <c r="N69" t="s">
        <v>561</v>
      </c>
      <c r="O69">
        <f t="shared" si="11"/>
        <v>0</v>
      </c>
      <c r="P69" t="s">
        <v>561</v>
      </c>
      <c r="S69">
        <f>IFERROR(SCORECARDS!C67,"—")</f>
        <v>0</v>
      </c>
      <c r="T69" t="str">
        <f t="shared" si="12"/>
        <v>🔴 Crítico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f t="shared" si="13"/>
        <v>0</v>
      </c>
      <c r="AP69">
        <f t="shared" si="14"/>
        <v>0</v>
      </c>
    </row>
    <row r="70" spans="1:42" ht="16.05" customHeight="1" x14ac:dyDescent="0.3">
      <c r="A70" t="s">
        <v>210</v>
      </c>
      <c r="B70" t="s">
        <v>211</v>
      </c>
      <c r="C70" t="s">
        <v>129</v>
      </c>
      <c r="D70" t="s">
        <v>558</v>
      </c>
      <c r="E70">
        <v>13246408.59</v>
      </c>
      <c r="F70">
        <v>46</v>
      </c>
      <c r="G70" t="s">
        <v>559</v>
      </c>
      <c r="H70" t="s">
        <v>573</v>
      </c>
      <c r="I70" t="s">
        <v>573</v>
      </c>
      <c r="J70" t="s">
        <v>560</v>
      </c>
      <c r="K70" t="s">
        <v>574</v>
      </c>
      <c r="L70">
        <v>7878141.7300000004</v>
      </c>
      <c r="M70">
        <f t="shared" si="10"/>
        <v>59.5</v>
      </c>
      <c r="N70" t="s">
        <v>561</v>
      </c>
      <c r="O70">
        <f t="shared" si="11"/>
        <v>0</v>
      </c>
      <c r="P70" t="s">
        <v>561</v>
      </c>
      <c r="Q70">
        <v>622</v>
      </c>
      <c r="R70">
        <v>4031</v>
      </c>
      <c r="S70">
        <f>IFERROR(SCORECARDS!C68,"—")</f>
        <v>0</v>
      </c>
      <c r="T70" t="str">
        <f t="shared" si="12"/>
        <v>🔴 Crítico</v>
      </c>
      <c r="U70">
        <v>1</v>
      </c>
      <c r="V70" t="s">
        <v>562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f t="shared" si="13"/>
        <v>0</v>
      </c>
      <c r="AP70">
        <f t="shared" si="14"/>
        <v>0.125</v>
      </c>
    </row>
    <row r="71" spans="1:42" ht="16.05" customHeight="1" x14ac:dyDescent="0.3">
      <c r="A71" t="s">
        <v>212</v>
      </c>
      <c r="B71" t="s">
        <v>213</v>
      </c>
      <c r="C71" t="s">
        <v>129</v>
      </c>
      <c r="D71" t="s">
        <v>563</v>
      </c>
      <c r="G71" t="s">
        <v>564</v>
      </c>
      <c r="H71" t="s">
        <v>421</v>
      </c>
      <c r="I71" t="s">
        <v>421</v>
      </c>
      <c r="J71" t="s">
        <v>560</v>
      </c>
      <c r="K71" t="s">
        <v>421</v>
      </c>
      <c r="L71">
        <v>0</v>
      </c>
      <c r="M71">
        <f t="shared" si="10"/>
        <v>0</v>
      </c>
      <c r="N71" t="s">
        <v>561</v>
      </c>
      <c r="O71">
        <f t="shared" si="11"/>
        <v>0</v>
      </c>
      <c r="P71" t="s">
        <v>561</v>
      </c>
      <c r="S71">
        <f>IFERROR(SCORECARDS!C69,"—")</f>
        <v>0</v>
      </c>
      <c r="T71" t="str">
        <f t="shared" si="12"/>
        <v>🔴 Crítico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f t="shared" si="13"/>
        <v>0</v>
      </c>
      <c r="AP71">
        <f t="shared" si="14"/>
        <v>0</v>
      </c>
    </row>
    <row r="72" spans="1:42" ht="16.05" customHeight="1" x14ac:dyDescent="0.3">
      <c r="A72" t="s">
        <v>214</v>
      </c>
      <c r="B72" t="s">
        <v>215</v>
      </c>
      <c r="C72" t="s">
        <v>129</v>
      </c>
      <c r="D72" t="s">
        <v>563</v>
      </c>
      <c r="E72">
        <v>2826075</v>
      </c>
      <c r="F72">
        <v>12</v>
      </c>
      <c r="G72" t="s">
        <v>559</v>
      </c>
      <c r="H72" t="s">
        <v>421</v>
      </c>
      <c r="I72" t="s">
        <v>421</v>
      </c>
      <c r="J72" t="s">
        <v>560</v>
      </c>
      <c r="K72" t="s">
        <v>421</v>
      </c>
      <c r="L72">
        <v>1413037.5</v>
      </c>
      <c r="M72">
        <f t="shared" si="10"/>
        <v>50</v>
      </c>
      <c r="N72" t="s">
        <v>561</v>
      </c>
      <c r="O72">
        <f t="shared" si="11"/>
        <v>0</v>
      </c>
      <c r="P72" t="s">
        <v>561</v>
      </c>
      <c r="S72">
        <f>IFERROR(SCORECARDS!C70,"—")</f>
        <v>0</v>
      </c>
      <c r="T72" t="str">
        <f t="shared" si="12"/>
        <v>🔴 Crítico</v>
      </c>
      <c r="U72">
        <v>1</v>
      </c>
      <c r="V72" t="s">
        <v>562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f t="shared" si="13"/>
        <v>0</v>
      </c>
      <c r="AP72">
        <f t="shared" si="14"/>
        <v>0.125</v>
      </c>
    </row>
    <row r="73" spans="1:42" ht="16.05" customHeight="1" x14ac:dyDescent="0.3">
      <c r="A73" t="s">
        <v>216</v>
      </c>
      <c r="B73" t="s">
        <v>217</v>
      </c>
      <c r="C73" t="s">
        <v>129</v>
      </c>
      <c r="D73" t="s">
        <v>558</v>
      </c>
      <c r="E73">
        <v>1187600.46</v>
      </c>
      <c r="F73">
        <v>6</v>
      </c>
      <c r="G73" t="s">
        <v>559</v>
      </c>
      <c r="H73" t="s">
        <v>575</v>
      </c>
      <c r="I73" t="s">
        <v>576</v>
      </c>
      <c r="J73" t="s">
        <v>560</v>
      </c>
      <c r="K73" t="s">
        <v>574</v>
      </c>
      <c r="L73">
        <v>1187600.48</v>
      </c>
      <c r="M73">
        <f t="shared" si="10"/>
        <v>100</v>
      </c>
      <c r="N73" t="s">
        <v>561</v>
      </c>
      <c r="O73">
        <f t="shared" si="11"/>
        <v>0</v>
      </c>
      <c r="P73" t="s">
        <v>561</v>
      </c>
      <c r="Q73">
        <v>416</v>
      </c>
      <c r="R73">
        <v>1248</v>
      </c>
      <c r="S73">
        <f>IFERROR(SCORECARDS!C71,"—")</f>
        <v>0</v>
      </c>
      <c r="T73" t="str">
        <f t="shared" si="12"/>
        <v>🔴 Crítico</v>
      </c>
      <c r="U73">
        <v>1</v>
      </c>
      <c r="V73" t="s">
        <v>562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f t="shared" si="13"/>
        <v>0</v>
      </c>
      <c r="AP73">
        <f t="shared" si="14"/>
        <v>0.125</v>
      </c>
    </row>
    <row r="74" spans="1:42" ht="16.05" customHeight="1" x14ac:dyDescent="0.3">
      <c r="A74" t="s">
        <v>218</v>
      </c>
      <c r="B74" t="s">
        <v>219</v>
      </c>
      <c r="C74" t="s">
        <v>129</v>
      </c>
      <c r="D74" t="s">
        <v>563</v>
      </c>
      <c r="E74">
        <v>24285431.82</v>
      </c>
      <c r="F74">
        <v>111</v>
      </c>
      <c r="G74" t="s">
        <v>559</v>
      </c>
      <c r="H74" t="s">
        <v>421</v>
      </c>
      <c r="I74" t="s">
        <v>421</v>
      </c>
      <c r="J74" t="s">
        <v>560</v>
      </c>
      <c r="K74" t="s">
        <v>421</v>
      </c>
      <c r="L74">
        <v>12142715.91</v>
      </c>
      <c r="M74">
        <f t="shared" si="10"/>
        <v>50</v>
      </c>
      <c r="N74" t="s">
        <v>561</v>
      </c>
      <c r="O74">
        <f t="shared" si="11"/>
        <v>0</v>
      </c>
      <c r="P74" t="s">
        <v>561</v>
      </c>
      <c r="S74">
        <f>IFERROR(SCORECARDS!C72,"—")</f>
        <v>0</v>
      </c>
      <c r="T74" t="str">
        <f t="shared" si="12"/>
        <v>🔴 Crítico</v>
      </c>
      <c r="U74">
        <v>1</v>
      </c>
      <c r="V74" t="s">
        <v>562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f t="shared" si="13"/>
        <v>0</v>
      </c>
      <c r="AP74">
        <f t="shared" si="14"/>
        <v>0.125</v>
      </c>
    </row>
    <row r="75" spans="1:42" ht="16.05" customHeight="1" x14ac:dyDescent="0.3">
      <c r="A75" t="s">
        <v>220</v>
      </c>
      <c r="B75" t="s">
        <v>221</v>
      </c>
      <c r="C75" t="s">
        <v>182</v>
      </c>
      <c r="D75" t="s">
        <v>563</v>
      </c>
      <c r="G75" t="s">
        <v>564</v>
      </c>
      <c r="H75" t="s">
        <v>421</v>
      </c>
      <c r="I75" t="s">
        <v>421</v>
      </c>
      <c r="J75" t="s">
        <v>560</v>
      </c>
      <c r="K75" t="s">
        <v>421</v>
      </c>
      <c r="L75">
        <v>0</v>
      </c>
      <c r="M75">
        <f t="shared" si="10"/>
        <v>0</v>
      </c>
      <c r="N75" t="s">
        <v>561</v>
      </c>
      <c r="O75">
        <f t="shared" si="11"/>
        <v>0</v>
      </c>
      <c r="P75" t="s">
        <v>561</v>
      </c>
      <c r="S75">
        <f>IFERROR(SCORECARDS!C73,"—")</f>
        <v>0</v>
      </c>
      <c r="T75" t="str">
        <f t="shared" si="12"/>
        <v>🔴 Crítico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f t="shared" si="13"/>
        <v>0</v>
      </c>
      <c r="AP75">
        <f t="shared" si="14"/>
        <v>0</v>
      </c>
    </row>
    <row r="76" spans="1:42" ht="16.05" customHeight="1" x14ac:dyDescent="0.3">
      <c r="A76" t="s">
        <v>222</v>
      </c>
      <c r="B76" t="s">
        <v>223</v>
      </c>
      <c r="C76" t="s">
        <v>182</v>
      </c>
      <c r="D76" t="s">
        <v>563</v>
      </c>
      <c r="G76" t="s">
        <v>564</v>
      </c>
      <c r="H76" t="s">
        <v>421</v>
      </c>
      <c r="I76" t="s">
        <v>421</v>
      </c>
      <c r="J76" t="s">
        <v>560</v>
      </c>
      <c r="K76" t="s">
        <v>421</v>
      </c>
      <c r="L76">
        <v>0</v>
      </c>
      <c r="M76">
        <f t="shared" si="10"/>
        <v>0</v>
      </c>
      <c r="N76" t="s">
        <v>561</v>
      </c>
      <c r="O76">
        <f t="shared" si="11"/>
        <v>0</v>
      </c>
      <c r="P76" t="s">
        <v>561</v>
      </c>
      <c r="S76">
        <f>IFERROR(SCORECARDS!C74,"—")</f>
        <v>0</v>
      </c>
      <c r="T76" t="str">
        <f t="shared" si="12"/>
        <v>🔴 Crítico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f t="shared" si="13"/>
        <v>0</v>
      </c>
      <c r="AP76">
        <f t="shared" si="14"/>
        <v>0</v>
      </c>
    </row>
    <row r="77" spans="1:42" ht="16.05" customHeight="1" x14ac:dyDescent="0.3">
      <c r="A77" t="s">
        <v>224</v>
      </c>
      <c r="B77" t="s">
        <v>225</v>
      </c>
      <c r="C77" t="s">
        <v>140</v>
      </c>
      <c r="D77" t="s">
        <v>558</v>
      </c>
      <c r="E77">
        <v>16891006.489999998</v>
      </c>
      <c r="F77">
        <v>81</v>
      </c>
      <c r="G77" t="s">
        <v>559</v>
      </c>
      <c r="H77" t="s">
        <v>421</v>
      </c>
      <c r="I77" t="s">
        <v>421</v>
      </c>
      <c r="J77" t="s">
        <v>560</v>
      </c>
      <c r="K77" t="s">
        <v>421</v>
      </c>
      <c r="L77">
        <v>8445503.2400000002</v>
      </c>
      <c r="M77">
        <f t="shared" si="10"/>
        <v>50</v>
      </c>
      <c r="N77" t="s">
        <v>561</v>
      </c>
      <c r="O77">
        <f t="shared" si="11"/>
        <v>0</v>
      </c>
      <c r="P77" t="s">
        <v>561</v>
      </c>
      <c r="S77">
        <f>IFERROR(SCORECARDS!C75,"—")</f>
        <v>0</v>
      </c>
      <c r="T77" t="str">
        <f t="shared" si="12"/>
        <v>🔴 Crítico</v>
      </c>
      <c r="U77">
        <v>1</v>
      </c>
      <c r="V77" t="s">
        <v>562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f t="shared" si="13"/>
        <v>0</v>
      </c>
      <c r="AP77">
        <f t="shared" si="14"/>
        <v>0.125</v>
      </c>
    </row>
    <row r="78" spans="1:42" ht="16.05" customHeight="1" x14ac:dyDescent="0.3">
      <c r="A78" t="s">
        <v>226</v>
      </c>
      <c r="B78" t="s">
        <v>227</v>
      </c>
      <c r="C78" t="s">
        <v>110</v>
      </c>
      <c r="D78" t="s">
        <v>563</v>
      </c>
      <c r="G78" t="s">
        <v>564</v>
      </c>
      <c r="H78" t="s">
        <v>421</v>
      </c>
      <c r="I78" t="s">
        <v>421</v>
      </c>
      <c r="J78" t="s">
        <v>571</v>
      </c>
      <c r="K78" t="s">
        <v>421</v>
      </c>
      <c r="L78">
        <v>0</v>
      </c>
      <c r="M78">
        <f t="shared" si="10"/>
        <v>0</v>
      </c>
      <c r="N78" t="s">
        <v>561</v>
      </c>
      <c r="O78">
        <f t="shared" si="11"/>
        <v>0</v>
      </c>
      <c r="P78" t="s">
        <v>561</v>
      </c>
      <c r="S78">
        <f>IFERROR(SCORECARDS!C76,"—")</f>
        <v>0</v>
      </c>
      <c r="T78" t="str">
        <f t="shared" si="12"/>
        <v>🔴 Crítico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f t="shared" si="13"/>
        <v>0</v>
      </c>
      <c r="AP78">
        <f t="shared" si="14"/>
        <v>0</v>
      </c>
    </row>
    <row r="79" spans="1:42" ht="16.05" customHeight="1" x14ac:dyDescent="0.3">
      <c r="A79" t="s">
        <v>228</v>
      </c>
      <c r="B79" t="s">
        <v>229</v>
      </c>
      <c r="C79" t="s">
        <v>230</v>
      </c>
      <c r="D79" t="s">
        <v>563</v>
      </c>
      <c r="E79">
        <v>0</v>
      </c>
      <c r="G79" t="s">
        <v>564</v>
      </c>
      <c r="H79" t="s">
        <v>421</v>
      </c>
      <c r="I79" t="s">
        <v>421</v>
      </c>
      <c r="J79" t="s">
        <v>560</v>
      </c>
      <c r="K79" t="s">
        <v>421</v>
      </c>
      <c r="L79">
        <v>0</v>
      </c>
      <c r="M79">
        <f t="shared" si="10"/>
        <v>0</v>
      </c>
      <c r="N79" t="s">
        <v>561</v>
      </c>
      <c r="O79">
        <f t="shared" si="11"/>
        <v>0</v>
      </c>
      <c r="P79" t="s">
        <v>561</v>
      </c>
      <c r="S79">
        <f>IFERROR(SCORECARDS!C77,"—")</f>
        <v>0</v>
      </c>
      <c r="T79" t="str">
        <f t="shared" si="12"/>
        <v>🔴 Crítico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f t="shared" si="13"/>
        <v>0</v>
      </c>
      <c r="AP79">
        <f t="shared" si="14"/>
        <v>0</v>
      </c>
    </row>
    <row r="80" spans="1:42" ht="16.05" customHeight="1" x14ac:dyDescent="0.3">
      <c r="A80" t="s">
        <v>231</v>
      </c>
      <c r="B80" t="s">
        <v>232</v>
      </c>
      <c r="C80" t="s">
        <v>103</v>
      </c>
      <c r="D80" t="s">
        <v>558</v>
      </c>
      <c r="E80">
        <v>0</v>
      </c>
      <c r="G80" t="s">
        <v>564</v>
      </c>
      <c r="H80" t="s">
        <v>577</v>
      </c>
      <c r="I80" t="s">
        <v>564</v>
      </c>
      <c r="J80" t="s">
        <v>571</v>
      </c>
      <c r="K80" t="s">
        <v>578</v>
      </c>
      <c r="L80">
        <v>0</v>
      </c>
      <c r="M80">
        <f t="shared" si="10"/>
        <v>0</v>
      </c>
      <c r="N80" t="s">
        <v>561</v>
      </c>
      <c r="O80">
        <f t="shared" si="11"/>
        <v>0</v>
      </c>
      <c r="P80" t="s">
        <v>561</v>
      </c>
      <c r="Q80">
        <v>351</v>
      </c>
      <c r="R80">
        <v>1045.5999999999999</v>
      </c>
      <c r="S80">
        <f>IFERROR(SCORECARDS!C78,"—")</f>
        <v>0</v>
      </c>
      <c r="T80" t="str">
        <f t="shared" si="12"/>
        <v>🔴 Crítico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f t="shared" si="13"/>
        <v>0</v>
      </c>
      <c r="AP80">
        <f t="shared" si="14"/>
        <v>0.125</v>
      </c>
    </row>
    <row r="81" spans="1:42" ht="16.05" customHeight="1" x14ac:dyDescent="0.3">
      <c r="A81" t="s">
        <v>233</v>
      </c>
      <c r="B81" t="s">
        <v>234</v>
      </c>
      <c r="C81" t="s">
        <v>74</v>
      </c>
      <c r="D81" t="s">
        <v>563</v>
      </c>
      <c r="E81">
        <v>0</v>
      </c>
      <c r="G81" t="s">
        <v>564</v>
      </c>
      <c r="H81" t="s">
        <v>421</v>
      </c>
      <c r="I81" t="s">
        <v>421</v>
      </c>
      <c r="J81" t="s">
        <v>560</v>
      </c>
      <c r="K81" t="s">
        <v>421</v>
      </c>
      <c r="L81">
        <v>0</v>
      </c>
      <c r="M81">
        <f t="shared" si="10"/>
        <v>0</v>
      </c>
      <c r="N81" t="s">
        <v>561</v>
      </c>
      <c r="O81">
        <f t="shared" si="11"/>
        <v>0</v>
      </c>
      <c r="P81" t="s">
        <v>561</v>
      </c>
      <c r="S81">
        <f>IFERROR(SCORECARDS!C79,"—")</f>
        <v>0</v>
      </c>
      <c r="T81" t="str">
        <f t="shared" si="12"/>
        <v>🔴 Crítico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f t="shared" si="13"/>
        <v>0</v>
      </c>
      <c r="AP81">
        <f t="shared" si="14"/>
        <v>0</v>
      </c>
    </row>
    <row r="82" spans="1:42" ht="16.05" customHeight="1" x14ac:dyDescent="0.3">
      <c r="A82" t="s">
        <v>235</v>
      </c>
      <c r="B82" t="s">
        <v>236</v>
      </c>
      <c r="C82" t="s">
        <v>237</v>
      </c>
      <c r="D82" t="s">
        <v>558</v>
      </c>
      <c r="E82">
        <v>1435723.71</v>
      </c>
      <c r="F82">
        <v>10</v>
      </c>
      <c r="G82" t="s">
        <v>559</v>
      </c>
      <c r="H82" t="s">
        <v>421</v>
      </c>
      <c r="I82" t="s">
        <v>421</v>
      </c>
      <c r="J82" t="s">
        <v>560</v>
      </c>
      <c r="K82" t="s">
        <v>421</v>
      </c>
      <c r="L82">
        <v>717861.85</v>
      </c>
      <c r="M82">
        <f t="shared" si="10"/>
        <v>50</v>
      </c>
      <c r="N82" t="s">
        <v>561</v>
      </c>
      <c r="O82">
        <f t="shared" si="11"/>
        <v>0</v>
      </c>
      <c r="P82" t="s">
        <v>561</v>
      </c>
      <c r="S82">
        <f>IFERROR(SCORECARDS!C80,"—")</f>
        <v>0</v>
      </c>
      <c r="T82" t="str">
        <f t="shared" si="12"/>
        <v>🔴 Crítico</v>
      </c>
      <c r="U82">
        <v>1</v>
      </c>
      <c r="V82" t="s">
        <v>562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f t="shared" si="13"/>
        <v>0</v>
      </c>
      <c r="AP82">
        <f t="shared" si="14"/>
        <v>0.125</v>
      </c>
    </row>
    <row r="83" spans="1:42" ht="16.05" customHeight="1" x14ac:dyDescent="0.3">
      <c r="A83" t="s">
        <v>238</v>
      </c>
      <c r="B83" t="s">
        <v>239</v>
      </c>
      <c r="C83" t="s">
        <v>237</v>
      </c>
      <c r="D83" t="s">
        <v>558</v>
      </c>
      <c r="G83" t="s">
        <v>564</v>
      </c>
      <c r="H83" t="s">
        <v>421</v>
      </c>
      <c r="I83" t="s">
        <v>421</v>
      </c>
      <c r="J83" t="s">
        <v>560</v>
      </c>
      <c r="K83" t="s">
        <v>421</v>
      </c>
      <c r="L83">
        <v>0</v>
      </c>
      <c r="M83">
        <f t="shared" si="10"/>
        <v>0</v>
      </c>
      <c r="N83" t="s">
        <v>561</v>
      </c>
      <c r="O83">
        <f t="shared" si="11"/>
        <v>0</v>
      </c>
      <c r="P83" t="s">
        <v>561</v>
      </c>
      <c r="S83">
        <f>IFERROR(SCORECARDS!C81,"—")</f>
        <v>0</v>
      </c>
      <c r="T83" t="str">
        <f t="shared" si="12"/>
        <v>🔴 Crítico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f t="shared" si="13"/>
        <v>0</v>
      </c>
      <c r="AP83">
        <f t="shared" si="14"/>
        <v>0</v>
      </c>
    </row>
    <row r="84" spans="1:42" ht="16.05" customHeight="1" x14ac:dyDescent="0.3">
      <c r="A84" t="s">
        <v>240</v>
      </c>
      <c r="B84" t="s">
        <v>241</v>
      </c>
      <c r="C84" t="s">
        <v>71</v>
      </c>
      <c r="D84" t="s">
        <v>563</v>
      </c>
      <c r="E84">
        <v>113466.98</v>
      </c>
      <c r="F84">
        <v>10</v>
      </c>
      <c r="G84" t="s">
        <v>559</v>
      </c>
      <c r="H84" t="s">
        <v>421</v>
      </c>
      <c r="I84" t="s">
        <v>421</v>
      </c>
      <c r="J84" t="s">
        <v>560</v>
      </c>
      <c r="K84" t="s">
        <v>421</v>
      </c>
      <c r="L84">
        <v>0</v>
      </c>
      <c r="M84">
        <f t="shared" si="10"/>
        <v>0</v>
      </c>
      <c r="N84" t="s">
        <v>561</v>
      </c>
      <c r="O84">
        <f t="shared" si="11"/>
        <v>0</v>
      </c>
      <c r="P84" t="s">
        <v>561</v>
      </c>
      <c r="S84">
        <f>IFERROR(SCORECARDS!C82,"—")</f>
        <v>0</v>
      </c>
      <c r="T84" t="str">
        <f t="shared" si="12"/>
        <v>🔴 Crítico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f t="shared" si="13"/>
        <v>0</v>
      </c>
      <c r="AP84">
        <f t="shared" si="14"/>
        <v>0</v>
      </c>
    </row>
    <row r="85" spans="1:42" ht="16.05" customHeight="1" x14ac:dyDescent="0.3">
      <c r="A85" t="s">
        <v>242</v>
      </c>
      <c r="B85" t="s">
        <v>243</v>
      </c>
      <c r="C85" t="s">
        <v>71</v>
      </c>
      <c r="D85" t="s">
        <v>558</v>
      </c>
      <c r="E85">
        <v>5355025.2299999986</v>
      </c>
      <c r="F85">
        <v>27</v>
      </c>
      <c r="G85" t="s">
        <v>559</v>
      </c>
      <c r="H85" t="s">
        <v>421</v>
      </c>
      <c r="I85" t="s">
        <v>421</v>
      </c>
      <c r="J85" t="s">
        <v>560</v>
      </c>
      <c r="K85" t="s">
        <v>421</v>
      </c>
      <c r="L85">
        <v>2677512.61</v>
      </c>
      <c r="M85">
        <f t="shared" si="10"/>
        <v>50</v>
      </c>
      <c r="N85" t="s">
        <v>561</v>
      </c>
      <c r="O85">
        <f t="shared" si="11"/>
        <v>0</v>
      </c>
      <c r="P85" t="s">
        <v>561</v>
      </c>
      <c r="S85">
        <f>IFERROR(SCORECARDS!C83,"—")</f>
        <v>0</v>
      </c>
      <c r="T85" t="str">
        <f t="shared" si="12"/>
        <v>🔴 Crítico</v>
      </c>
      <c r="U85">
        <v>1</v>
      </c>
      <c r="V85" t="s">
        <v>562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f t="shared" si="13"/>
        <v>0</v>
      </c>
      <c r="AP85">
        <f t="shared" si="14"/>
        <v>0.125</v>
      </c>
    </row>
    <row r="86" spans="1:42" ht="16.05" customHeight="1" x14ac:dyDescent="0.3">
      <c r="A86" t="s">
        <v>244</v>
      </c>
      <c r="B86" t="s">
        <v>245</v>
      </c>
      <c r="C86" t="s">
        <v>237</v>
      </c>
      <c r="D86" t="s">
        <v>563</v>
      </c>
      <c r="G86" t="s">
        <v>564</v>
      </c>
      <c r="H86" t="s">
        <v>421</v>
      </c>
      <c r="I86" t="s">
        <v>421</v>
      </c>
      <c r="J86" t="s">
        <v>560</v>
      </c>
      <c r="K86" t="s">
        <v>421</v>
      </c>
      <c r="L86">
        <v>0</v>
      </c>
      <c r="M86">
        <f t="shared" si="10"/>
        <v>0</v>
      </c>
      <c r="N86" t="s">
        <v>561</v>
      </c>
      <c r="O86">
        <f t="shared" si="11"/>
        <v>0</v>
      </c>
      <c r="P86" t="s">
        <v>561</v>
      </c>
      <c r="S86">
        <f>IFERROR(SCORECARDS!C84,"—")</f>
        <v>0</v>
      </c>
      <c r="T86" t="str">
        <f t="shared" si="12"/>
        <v>🔴 Crítico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f t="shared" si="13"/>
        <v>0</v>
      </c>
      <c r="AP86">
        <f t="shared" si="14"/>
        <v>0</v>
      </c>
    </row>
    <row r="87" spans="1:42" ht="16.05" customHeight="1" x14ac:dyDescent="0.3">
      <c r="A87" t="s">
        <v>246</v>
      </c>
      <c r="B87" t="s">
        <v>247</v>
      </c>
      <c r="C87" t="s">
        <v>237</v>
      </c>
      <c r="D87" t="s">
        <v>563</v>
      </c>
      <c r="G87" t="s">
        <v>564</v>
      </c>
      <c r="H87" t="s">
        <v>421</v>
      </c>
      <c r="I87" t="s">
        <v>421</v>
      </c>
      <c r="J87" t="s">
        <v>560</v>
      </c>
      <c r="K87" t="s">
        <v>421</v>
      </c>
      <c r="L87">
        <v>0</v>
      </c>
      <c r="M87">
        <f t="shared" si="10"/>
        <v>0</v>
      </c>
      <c r="N87" t="s">
        <v>561</v>
      </c>
      <c r="O87">
        <f t="shared" si="11"/>
        <v>0</v>
      </c>
      <c r="P87" t="s">
        <v>561</v>
      </c>
      <c r="S87">
        <f>IFERROR(SCORECARDS!C85,"—")</f>
        <v>0</v>
      </c>
      <c r="T87" t="str">
        <f t="shared" si="12"/>
        <v>🔴 Crítico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f t="shared" si="13"/>
        <v>0</v>
      </c>
      <c r="AP87">
        <f t="shared" si="14"/>
        <v>0</v>
      </c>
    </row>
    <row r="88" spans="1:42" ht="16.05" customHeight="1" x14ac:dyDescent="0.3">
      <c r="A88" t="s">
        <v>248</v>
      </c>
      <c r="B88" t="s">
        <v>249</v>
      </c>
      <c r="C88" t="s">
        <v>237</v>
      </c>
      <c r="D88" t="s">
        <v>563</v>
      </c>
      <c r="G88" t="s">
        <v>564</v>
      </c>
      <c r="H88" t="s">
        <v>421</v>
      </c>
      <c r="I88" t="s">
        <v>421</v>
      </c>
      <c r="J88" t="s">
        <v>560</v>
      </c>
      <c r="K88" t="s">
        <v>421</v>
      </c>
      <c r="L88">
        <v>0</v>
      </c>
      <c r="M88">
        <f t="shared" si="10"/>
        <v>0</v>
      </c>
      <c r="N88" t="s">
        <v>561</v>
      </c>
      <c r="O88">
        <f t="shared" si="11"/>
        <v>0</v>
      </c>
      <c r="P88" t="s">
        <v>561</v>
      </c>
      <c r="S88">
        <f>IFERROR(SCORECARDS!C86,"—")</f>
        <v>0</v>
      </c>
      <c r="T88" t="str">
        <f t="shared" si="12"/>
        <v>🔴 Crítico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f t="shared" si="13"/>
        <v>0</v>
      </c>
      <c r="AP88">
        <f t="shared" si="14"/>
        <v>0</v>
      </c>
    </row>
    <row r="89" spans="1:42" ht="16.05" customHeight="1" x14ac:dyDescent="0.3">
      <c r="A89" t="s">
        <v>250</v>
      </c>
      <c r="B89" t="s">
        <v>251</v>
      </c>
      <c r="C89" t="s">
        <v>237</v>
      </c>
      <c r="D89" t="s">
        <v>558</v>
      </c>
      <c r="E89">
        <v>0</v>
      </c>
      <c r="G89" t="s">
        <v>564</v>
      </c>
      <c r="H89" t="s">
        <v>421</v>
      </c>
      <c r="I89" t="s">
        <v>421</v>
      </c>
      <c r="J89" t="s">
        <v>560</v>
      </c>
      <c r="K89" t="s">
        <v>421</v>
      </c>
      <c r="L89">
        <v>0</v>
      </c>
      <c r="M89">
        <f t="shared" si="10"/>
        <v>0</v>
      </c>
      <c r="N89" t="s">
        <v>561</v>
      </c>
      <c r="O89">
        <f t="shared" si="11"/>
        <v>0</v>
      </c>
      <c r="P89" t="s">
        <v>561</v>
      </c>
      <c r="S89">
        <f>IFERROR(SCORECARDS!C87,"—")</f>
        <v>0</v>
      </c>
      <c r="T89" t="str">
        <f t="shared" si="12"/>
        <v>🔴 Crítico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f t="shared" si="13"/>
        <v>0</v>
      </c>
      <c r="AP89">
        <f t="shared" si="14"/>
        <v>0</v>
      </c>
    </row>
    <row r="90" spans="1:42" ht="16.05" customHeight="1" x14ac:dyDescent="0.3">
      <c r="A90" t="s">
        <v>252</v>
      </c>
      <c r="B90" t="s">
        <v>253</v>
      </c>
      <c r="C90" t="s">
        <v>71</v>
      </c>
      <c r="D90" t="s">
        <v>563</v>
      </c>
      <c r="G90" t="s">
        <v>564</v>
      </c>
      <c r="H90" t="s">
        <v>421</v>
      </c>
      <c r="I90" t="s">
        <v>421</v>
      </c>
      <c r="J90" t="s">
        <v>572</v>
      </c>
      <c r="K90" t="s">
        <v>421</v>
      </c>
      <c r="L90">
        <v>0</v>
      </c>
      <c r="M90">
        <f t="shared" si="10"/>
        <v>0</v>
      </c>
      <c r="N90" t="s">
        <v>561</v>
      </c>
      <c r="O90">
        <f t="shared" si="11"/>
        <v>0</v>
      </c>
      <c r="P90" t="s">
        <v>561</v>
      </c>
      <c r="S90">
        <f>IFERROR(SCORECARDS!C88,"—")</f>
        <v>0</v>
      </c>
      <c r="T90" t="str">
        <f t="shared" si="12"/>
        <v>🔴 Crítico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f t="shared" si="13"/>
        <v>0</v>
      </c>
      <c r="AP90">
        <f t="shared" si="14"/>
        <v>0</v>
      </c>
    </row>
    <row r="91" spans="1:42" ht="16.05" customHeight="1" x14ac:dyDescent="0.3">
      <c r="A91" t="s">
        <v>254</v>
      </c>
      <c r="B91" t="s">
        <v>255</v>
      </c>
      <c r="C91" t="s">
        <v>71</v>
      </c>
      <c r="D91" t="s">
        <v>558</v>
      </c>
      <c r="E91">
        <v>0</v>
      </c>
      <c r="G91" t="s">
        <v>564</v>
      </c>
      <c r="H91" t="s">
        <v>421</v>
      </c>
      <c r="I91" t="s">
        <v>421</v>
      </c>
      <c r="J91" t="s">
        <v>571</v>
      </c>
      <c r="K91" t="s">
        <v>421</v>
      </c>
      <c r="L91">
        <v>0</v>
      </c>
      <c r="M91">
        <f t="shared" si="10"/>
        <v>0</v>
      </c>
      <c r="N91" t="s">
        <v>561</v>
      </c>
      <c r="O91">
        <f t="shared" si="11"/>
        <v>0</v>
      </c>
      <c r="P91" t="s">
        <v>561</v>
      </c>
      <c r="S91">
        <f>IFERROR(SCORECARDS!C89,"—")</f>
        <v>0</v>
      </c>
      <c r="T91" t="str">
        <f t="shared" si="12"/>
        <v>🔴 Crítico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f t="shared" si="13"/>
        <v>0</v>
      </c>
      <c r="AP91">
        <f t="shared" si="14"/>
        <v>0</v>
      </c>
    </row>
    <row r="92" spans="1:42" ht="16.05" customHeight="1" x14ac:dyDescent="0.3">
      <c r="A92" t="s">
        <v>256</v>
      </c>
      <c r="B92" t="s">
        <v>257</v>
      </c>
      <c r="C92" t="s">
        <v>140</v>
      </c>
      <c r="D92" t="s">
        <v>558</v>
      </c>
      <c r="E92">
        <v>9585341.8000000007</v>
      </c>
      <c r="F92">
        <v>58</v>
      </c>
      <c r="G92" t="s">
        <v>559</v>
      </c>
      <c r="H92" t="s">
        <v>421</v>
      </c>
      <c r="I92" t="s">
        <v>421</v>
      </c>
      <c r="J92" t="s">
        <v>560</v>
      </c>
      <c r="K92" t="s">
        <v>421</v>
      </c>
      <c r="L92">
        <v>4792670.9000000004</v>
      </c>
      <c r="M92">
        <f t="shared" si="10"/>
        <v>50</v>
      </c>
      <c r="N92" t="s">
        <v>561</v>
      </c>
      <c r="O92">
        <f t="shared" si="11"/>
        <v>0</v>
      </c>
      <c r="P92" t="s">
        <v>561</v>
      </c>
      <c r="S92">
        <f>IFERROR(SCORECARDS!C90,"—")</f>
        <v>0</v>
      </c>
      <c r="T92" t="str">
        <f t="shared" si="12"/>
        <v>🔴 Crítico</v>
      </c>
      <c r="U92">
        <v>1</v>
      </c>
      <c r="V92" t="s">
        <v>562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f t="shared" si="13"/>
        <v>0</v>
      </c>
      <c r="AP92">
        <f t="shared" si="14"/>
        <v>0.125</v>
      </c>
    </row>
    <row r="93" spans="1:42" ht="16.05" customHeight="1" x14ac:dyDescent="0.3">
      <c r="A93" t="s">
        <v>258</v>
      </c>
      <c r="B93" t="s">
        <v>259</v>
      </c>
      <c r="C93" t="s">
        <v>129</v>
      </c>
      <c r="D93" t="s">
        <v>421</v>
      </c>
      <c r="G93" t="s">
        <v>564</v>
      </c>
      <c r="H93" t="s">
        <v>421</v>
      </c>
      <c r="I93" t="s">
        <v>421</v>
      </c>
      <c r="J93" t="s">
        <v>560</v>
      </c>
      <c r="K93" t="s">
        <v>421</v>
      </c>
      <c r="L93">
        <v>0</v>
      </c>
      <c r="M93">
        <f t="shared" si="10"/>
        <v>0</v>
      </c>
      <c r="N93" t="s">
        <v>561</v>
      </c>
      <c r="O93">
        <f t="shared" si="11"/>
        <v>0</v>
      </c>
      <c r="P93" t="s">
        <v>561</v>
      </c>
      <c r="S93">
        <f>IFERROR(SCORECARDS!C91,"—")</f>
        <v>0</v>
      </c>
      <c r="T93" t="str">
        <f t="shared" si="12"/>
        <v>🔴 Crítico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f t="shared" si="13"/>
        <v>0</v>
      </c>
      <c r="AP93">
        <f t="shared" si="14"/>
        <v>0</v>
      </c>
    </row>
    <row r="94" spans="1:42" ht="16.05" customHeight="1" x14ac:dyDescent="0.3">
      <c r="A94" t="s">
        <v>260</v>
      </c>
      <c r="B94" t="s">
        <v>261</v>
      </c>
      <c r="C94" t="s">
        <v>129</v>
      </c>
      <c r="D94" t="s">
        <v>421</v>
      </c>
      <c r="E94">
        <v>3777944.83</v>
      </c>
      <c r="F94">
        <v>14</v>
      </c>
      <c r="G94" t="s">
        <v>559</v>
      </c>
      <c r="H94" t="s">
        <v>421</v>
      </c>
      <c r="I94" t="s">
        <v>421</v>
      </c>
      <c r="J94" t="s">
        <v>560</v>
      </c>
      <c r="K94" t="s">
        <v>421</v>
      </c>
      <c r="L94">
        <v>1888972.42</v>
      </c>
      <c r="M94">
        <f t="shared" si="10"/>
        <v>50</v>
      </c>
      <c r="N94" t="s">
        <v>561</v>
      </c>
      <c r="O94">
        <f t="shared" si="11"/>
        <v>0</v>
      </c>
      <c r="P94" t="s">
        <v>561</v>
      </c>
      <c r="S94">
        <f>IFERROR(SCORECARDS!C92,"—")</f>
        <v>0</v>
      </c>
      <c r="T94" t="str">
        <f t="shared" si="12"/>
        <v>🔴 Crítico</v>
      </c>
      <c r="U94">
        <v>1</v>
      </c>
      <c r="V94" t="s">
        <v>562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f t="shared" si="13"/>
        <v>0</v>
      </c>
      <c r="AP94">
        <f t="shared" si="14"/>
        <v>0.125</v>
      </c>
    </row>
    <row r="95" spans="1:42" ht="16.05" customHeight="1" x14ac:dyDescent="0.3">
      <c r="A95" t="s">
        <v>262</v>
      </c>
      <c r="B95" t="s">
        <v>263</v>
      </c>
      <c r="C95" t="s">
        <v>110</v>
      </c>
      <c r="D95" t="s">
        <v>563</v>
      </c>
      <c r="G95" t="s">
        <v>564</v>
      </c>
      <c r="H95" t="s">
        <v>421</v>
      </c>
      <c r="I95" t="s">
        <v>421</v>
      </c>
      <c r="J95" t="s">
        <v>560</v>
      </c>
      <c r="K95" t="s">
        <v>421</v>
      </c>
      <c r="L95">
        <v>0</v>
      </c>
      <c r="M95">
        <f t="shared" si="10"/>
        <v>0</v>
      </c>
      <c r="N95" t="s">
        <v>561</v>
      </c>
      <c r="O95">
        <f t="shared" si="11"/>
        <v>0</v>
      </c>
      <c r="P95" t="s">
        <v>561</v>
      </c>
      <c r="S95">
        <f>IFERROR(SCORECARDS!C93,"—")</f>
        <v>0</v>
      </c>
      <c r="T95" t="str">
        <f t="shared" si="12"/>
        <v>🔴 Crítico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f t="shared" si="13"/>
        <v>0</v>
      </c>
      <c r="AP95">
        <f t="shared" si="14"/>
        <v>0</v>
      </c>
    </row>
    <row r="96" spans="1:42" ht="16.05" customHeight="1" x14ac:dyDescent="0.3">
      <c r="A96" t="s">
        <v>264</v>
      </c>
      <c r="B96" t="s">
        <v>265</v>
      </c>
      <c r="C96" t="s">
        <v>110</v>
      </c>
      <c r="D96" t="s">
        <v>563</v>
      </c>
      <c r="E96">
        <v>0</v>
      </c>
      <c r="G96" t="s">
        <v>564</v>
      </c>
      <c r="H96" t="s">
        <v>421</v>
      </c>
      <c r="I96" t="s">
        <v>421</v>
      </c>
      <c r="J96" t="s">
        <v>560</v>
      </c>
      <c r="K96" t="s">
        <v>421</v>
      </c>
      <c r="L96">
        <v>0</v>
      </c>
      <c r="M96">
        <f t="shared" si="10"/>
        <v>0</v>
      </c>
      <c r="N96" t="s">
        <v>561</v>
      </c>
      <c r="O96">
        <f t="shared" si="11"/>
        <v>0</v>
      </c>
      <c r="P96" t="s">
        <v>561</v>
      </c>
      <c r="S96">
        <f>IFERROR(SCORECARDS!C94,"—")</f>
        <v>0</v>
      </c>
      <c r="T96" t="str">
        <f t="shared" si="12"/>
        <v>🔴 Crítico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f t="shared" si="13"/>
        <v>0</v>
      </c>
      <c r="AP96">
        <f t="shared" si="14"/>
        <v>0</v>
      </c>
    </row>
    <row r="97" spans="1:42" ht="16.05" customHeight="1" x14ac:dyDescent="0.3">
      <c r="A97" t="s">
        <v>266</v>
      </c>
      <c r="B97" t="s">
        <v>267</v>
      </c>
      <c r="C97" t="s">
        <v>110</v>
      </c>
      <c r="D97" t="s">
        <v>563</v>
      </c>
      <c r="G97" t="s">
        <v>564</v>
      </c>
      <c r="H97" t="s">
        <v>421</v>
      </c>
      <c r="I97" t="s">
        <v>421</v>
      </c>
      <c r="J97" t="s">
        <v>572</v>
      </c>
      <c r="K97" t="s">
        <v>421</v>
      </c>
      <c r="L97">
        <v>0</v>
      </c>
      <c r="M97">
        <f t="shared" si="10"/>
        <v>0</v>
      </c>
      <c r="N97" t="s">
        <v>561</v>
      </c>
      <c r="O97">
        <f t="shared" si="11"/>
        <v>0</v>
      </c>
      <c r="P97" t="s">
        <v>561</v>
      </c>
      <c r="S97">
        <f>IFERROR(SCORECARDS!C95,"—")</f>
        <v>0</v>
      </c>
      <c r="T97" t="str">
        <f t="shared" si="12"/>
        <v>🔴 Crítico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f t="shared" si="13"/>
        <v>0</v>
      </c>
      <c r="AP97">
        <f t="shared" si="14"/>
        <v>0</v>
      </c>
    </row>
    <row r="98" spans="1:42" ht="16.05" customHeight="1" x14ac:dyDescent="0.3">
      <c r="A98" t="s">
        <v>268</v>
      </c>
      <c r="B98" t="s">
        <v>269</v>
      </c>
      <c r="C98" t="s">
        <v>110</v>
      </c>
      <c r="D98" t="s">
        <v>563</v>
      </c>
      <c r="G98" t="s">
        <v>564</v>
      </c>
      <c r="H98" t="s">
        <v>421</v>
      </c>
      <c r="I98" t="s">
        <v>421</v>
      </c>
      <c r="J98" t="s">
        <v>560</v>
      </c>
      <c r="K98" t="s">
        <v>421</v>
      </c>
      <c r="L98">
        <v>0</v>
      </c>
      <c r="M98">
        <f t="shared" si="10"/>
        <v>0</v>
      </c>
      <c r="N98" t="s">
        <v>561</v>
      </c>
      <c r="O98">
        <f t="shared" si="11"/>
        <v>0</v>
      </c>
      <c r="P98" t="s">
        <v>561</v>
      </c>
      <c r="S98">
        <f>IFERROR(SCORECARDS!C96,"—")</f>
        <v>0</v>
      </c>
      <c r="T98" t="str">
        <f t="shared" si="12"/>
        <v>🔴 Crítico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f t="shared" si="13"/>
        <v>0</v>
      </c>
      <c r="AP98">
        <f t="shared" si="14"/>
        <v>0</v>
      </c>
    </row>
    <row r="99" spans="1:42" ht="16.05" customHeight="1" x14ac:dyDescent="0.3">
      <c r="A99" t="s">
        <v>270</v>
      </c>
      <c r="B99" t="s">
        <v>271</v>
      </c>
      <c r="C99" t="s">
        <v>110</v>
      </c>
      <c r="D99" t="s">
        <v>579</v>
      </c>
      <c r="G99" t="s">
        <v>564</v>
      </c>
      <c r="H99" t="s">
        <v>421</v>
      </c>
      <c r="I99" t="s">
        <v>421</v>
      </c>
      <c r="J99" t="s">
        <v>572</v>
      </c>
      <c r="K99" t="s">
        <v>421</v>
      </c>
      <c r="L99">
        <v>0</v>
      </c>
      <c r="M99">
        <f t="shared" ref="M99:M130" si="15">IF(E99&gt;0,ROUND(L99/E99*100,1),0)</f>
        <v>0</v>
      </c>
      <c r="N99" t="s">
        <v>561</v>
      </c>
      <c r="O99">
        <f t="shared" ref="O99:O130" si="16">IF(H99="SI",1,0)*0.6+IF(I99="SI",1,0)*0.4</f>
        <v>0</v>
      </c>
      <c r="P99" t="s">
        <v>561</v>
      </c>
      <c r="S99">
        <f>IFERROR(SCORECARDS!C97,"—")</f>
        <v>0</v>
      </c>
      <c r="T99" t="str">
        <f t="shared" ref="T99:T130" si="17">IF(ISTEXT(S99),S99,IF(S99&lt;34,"🔴 Crítico",IF(S99&lt;67,"🟡 Vulnerable","🟢 Preparado")))</f>
        <v>🔴 Crítico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f t="shared" ref="AO99:AO130" si="18">IFERROR(AVERAGE(AA99,AB99,AC99,AD99,AE99,AF99,AG99,AH99,AI99,AJ99,AK99,AL99,AM99,AN99),"N/A")</f>
        <v>0</v>
      </c>
      <c r="AP99">
        <f t="shared" ref="AP99:AP130" si="19">IFERROR(AVERAGE(W99,X99,Y99,Z99)/2,"N/A")</f>
        <v>0</v>
      </c>
    </row>
    <row r="100" spans="1:42" ht="16.05" customHeight="1" x14ac:dyDescent="0.3">
      <c r="A100" t="s">
        <v>272</v>
      </c>
      <c r="B100" t="s">
        <v>273</v>
      </c>
      <c r="C100" t="s">
        <v>74</v>
      </c>
      <c r="D100" t="s">
        <v>563</v>
      </c>
      <c r="G100" t="s">
        <v>564</v>
      </c>
      <c r="H100" t="s">
        <v>421</v>
      </c>
      <c r="I100" t="s">
        <v>421</v>
      </c>
      <c r="J100" t="s">
        <v>560</v>
      </c>
      <c r="K100" t="s">
        <v>421</v>
      </c>
      <c r="L100">
        <v>0</v>
      </c>
      <c r="M100">
        <f t="shared" si="15"/>
        <v>0</v>
      </c>
      <c r="N100" t="s">
        <v>561</v>
      </c>
      <c r="O100">
        <f t="shared" si="16"/>
        <v>0</v>
      </c>
      <c r="P100" t="s">
        <v>561</v>
      </c>
      <c r="S100">
        <f>IFERROR(SCORECARDS!C98,"—")</f>
        <v>0</v>
      </c>
      <c r="T100" t="str">
        <f t="shared" si="17"/>
        <v>🔴 Crítico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f t="shared" si="18"/>
        <v>0</v>
      </c>
      <c r="AP100">
        <f t="shared" si="19"/>
        <v>0</v>
      </c>
    </row>
    <row r="101" spans="1:42" ht="16.05" customHeight="1" x14ac:dyDescent="0.3">
      <c r="A101" t="s">
        <v>274</v>
      </c>
      <c r="B101" t="s">
        <v>275</v>
      </c>
      <c r="C101" t="s">
        <v>103</v>
      </c>
      <c r="D101" t="s">
        <v>558</v>
      </c>
      <c r="G101" t="s">
        <v>564</v>
      </c>
      <c r="H101" t="s">
        <v>421</v>
      </c>
      <c r="I101" t="s">
        <v>421</v>
      </c>
      <c r="J101" t="s">
        <v>560</v>
      </c>
      <c r="K101" t="s">
        <v>421</v>
      </c>
      <c r="L101">
        <v>0</v>
      </c>
      <c r="M101">
        <f t="shared" si="15"/>
        <v>0</v>
      </c>
      <c r="N101" t="s">
        <v>561</v>
      </c>
      <c r="O101">
        <f t="shared" si="16"/>
        <v>0</v>
      </c>
      <c r="P101" t="s">
        <v>561</v>
      </c>
      <c r="S101">
        <f>IFERROR(SCORECARDS!C99,"—")</f>
        <v>0</v>
      </c>
      <c r="T101" t="str">
        <f t="shared" si="17"/>
        <v>🔴 Crítico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f t="shared" si="18"/>
        <v>0</v>
      </c>
      <c r="AP101">
        <f t="shared" si="19"/>
        <v>0</v>
      </c>
    </row>
    <row r="102" spans="1:42" ht="16.05" customHeight="1" x14ac:dyDescent="0.3">
      <c r="A102" t="s">
        <v>276</v>
      </c>
      <c r="B102" t="s">
        <v>277</v>
      </c>
      <c r="C102" t="s">
        <v>110</v>
      </c>
      <c r="D102" t="s">
        <v>563</v>
      </c>
      <c r="G102" t="s">
        <v>564</v>
      </c>
      <c r="H102" t="s">
        <v>421</v>
      </c>
      <c r="I102" t="s">
        <v>421</v>
      </c>
      <c r="J102" t="s">
        <v>560</v>
      </c>
      <c r="K102" t="s">
        <v>421</v>
      </c>
      <c r="L102">
        <v>0</v>
      </c>
      <c r="M102">
        <f t="shared" si="15"/>
        <v>0</v>
      </c>
      <c r="N102" t="s">
        <v>561</v>
      </c>
      <c r="O102">
        <f t="shared" si="16"/>
        <v>0</v>
      </c>
      <c r="P102" t="s">
        <v>561</v>
      </c>
      <c r="S102">
        <f>IFERROR(SCORECARDS!C100,"—")</f>
        <v>0</v>
      </c>
      <c r="T102" t="str">
        <f t="shared" si="17"/>
        <v>🔴 Crítico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f t="shared" si="18"/>
        <v>0</v>
      </c>
      <c r="AP102">
        <f t="shared" si="19"/>
        <v>0</v>
      </c>
    </row>
    <row r="103" spans="1:42" ht="16.05" customHeight="1" x14ac:dyDescent="0.3">
      <c r="A103" t="s">
        <v>278</v>
      </c>
      <c r="B103" t="s">
        <v>279</v>
      </c>
      <c r="C103" t="s">
        <v>182</v>
      </c>
      <c r="D103" t="s">
        <v>563</v>
      </c>
      <c r="G103" t="s">
        <v>564</v>
      </c>
      <c r="H103" t="s">
        <v>421</v>
      </c>
      <c r="I103" t="s">
        <v>421</v>
      </c>
      <c r="J103" t="s">
        <v>560</v>
      </c>
      <c r="K103" t="s">
        <v>421</v>
      </c>
      <c r="L103">
        <v>0</v>
      </c>
      <c r="M103">
        <f t="shared" si="15"/>
        <v>0</v>
      </c>
      <c r="N103" t="s">
        <v>561</v>
      </c>
      <c r="O103">
        <f t="shared" si="16"/>
        <v>0</v>
      </c>
      <c r="P103" t="s">
        <v>561</v>
      </c>
      <c r="S103">
        <f>IFERROR(SCORECARDS!C101,"—")</f>
        <v>0</v>
      </c>
      <c r="T103" t="str">
        <f t="shared" si="17"/>
        <v>🔴 Crítico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f t="shared" si="18"/>
        <v>0</v>
      </c>
      <c r="AP103">
        <f t="shared" si="19"/>
        <v>0</v>
      </c>
    </row>
    <row r="104" spans="1:42" ht="16.05" customHeight="1" x14ac:dyDescent="0.3">
      <c r="A104" t="s">
        <v>280</v>
      </c>
      <c r="B104" t="s">
        <v>281</v>
      </c>
      <c r="C104" t="s">
        <v>230</v>
      </c>
      <c r="D104" t="s">
        <v>563</v>
      </c>
      <c r="E104">
        <v>0</v>
      </c>
      <c r="G104" t="s">
        <v>564</v>
      </c>
      <c r="H104" t="s">
        <v>421</v>
      </c>
      <c r="I104" t="s">
        <v>421</v>
      </c>
      <c r="J104" t="s">
        <v>560</v>
      </c>
      <c r="K104" t="s">
        <v>421</v>
      </c>
      <c r="L104">
        <v>0</v>
      </c>
      <c r="M104">
        <f t="shared" si="15"/>
        <v>0</v>
      </c>
      <c r="N104" t="s">
        <v>561</v>
      </c>
      <c r="O104">
        <f t="shared" si="16"/>
        <v>0</v>
      </c>
      <c r="P104" t="s">
        <v>561</v>
      </c>
      <c r="S104">
        <f>IFERROR(SCORECARDS!C102,"—")</f>
        <v>0</v>
      </c>
      <c r="T104" t="str">
        <f t="shared" si="17"/>
        <v>🔴 Crítico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f t="shared" si="18"/>
        <v>0</v>
      </c>
      <c r="AP104">
        <f t="shared" si="19"/>
        <v>0</v>
      </c>
    </row>
    <row r="105" spans="1:42" ht="16.05" customHeight="1" x14ac:dyDescent="0.3">
      <c r="A105" t="s">
        <v>282</v>
      </c>
      <c r="B105" t="s">
        <v>283</v>
      </c>
      <c r="C105" t="s">
        <v>103</v>
      </c>
      <c r="D105" t="s">
        <v>558</v>
      </c>
      <c r="E105">
        <v>0</v>
      </c>
      <c r="G105" t="s">
        <v>564</v>
      </c>
      <c r="H105" t="s">
        <v>421</v>
      </c>
      <c r="I105" t="s">
        <v>421</v>
      </c>
      <c r="J105" t="s">
        <v>560</v>
      </c>
      <c r="K105" t="s">
        <v>421</v>
      </c>
      <c r="L105">
        <v>0</v>
      </c>
      <c r="M105">
        <f t="shared" si="15"/>
        <v>0</v>
      </c>
      <c r="N105" t="s">
        <v>561</v>
      </c>
      <c r="O105">
        <f t="shared" si="16"/>
        <v>0</v>
      </c>
      <c r="P105" t="s">
        <v>561</v>
      </c>
      <c r="S105">
        <f>IFERROR(SCORECARDS!C103,"—")</f>
        <v>0</v>
      </c>
      <c r="T105" t="str">
        <f t="shared" si="17"/>
        <v>🔴 Crítico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f t="shared" si="18"/>
        <v>0</v>
      </c>
      <c r="AP105">
        <f t="shared" si="19"/>
        <v>0</v>
      </c>
    </row>
    <row r="106" spans="1:42" ht="16.05" customHeight="1" x14ac:dyDescent="0.3">
      <c r="A106" t="s">
        <v>284</v>
      </c>
      <c r="B106" t="s">
        <v>285</v>
      </c>
      <c r="C106" t="s">
        <v>129</v>
      </c>
      <c r="D106" t="s">
        <v>558</v>
      </c>
      <c r="E106">
        <v>4154567.790000001</v>
      </c>
      <c r="F106">
        <v>25</v>
      </c>
      <c r="G106" t="s">
        <v>559</v>
      </c>
      <c r="H106" t="s">
        <v>573</v>
      </c>
      <c r="I106" t="s">
        <v>573</v>
      </c>
      <c r="J106" t="s">
        <v>560</v>
      </c>
      <c r="K106" t="s">
        <v>574</v>
      </c>
      <c r="L106">
        <v>2059443.82</v>
      </c>
      <c r="M106">
        <f t="shared" si="15"/>
        <v>49.6</v>
      </c>
      <c r="N106" t="s">
        <v>561</v>
      </c>
      <c r="O106">
        <f t="shared" si="16"/>
        <v>0</v>
      </c>
      <c r="P106" t="s">
        <v>561</v>
      </c>
      <c r="Q106">
        <v>797</v>
      </c>
      <c r="R106">
        <v>2110</v>
      </c>
      <c r="S106">
        <f>IFERROR(SCORECARDS!C104,"—")</f>
        <v>0</v>
      </c>
      <c r="T106" t="str">
        <f t="shared" si="17"/>
        <v>🔴 Crítico</v>
      </c>
      <c r="U106">
        <v>1</v>
      </c>
      <c r="V106" t="s">
        <v>562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f t="shared" si="18"/>
        <v>0</v>
      </c>
      <c r="AP106">
        <f t="shared" si="19"/>
        <v>0.125</v>
      </c>
    </row>
    <row r="107" spans="1:42" ht="16.05" customHeight="1" x14ac:dyDescent="0.3">
      <c r="A107" t="s">
        <v>286</v>
      </c>
      <c r="B107" t="s">
        <v>287</v>
      </c>
      <c r="C107" t="s">
        <v>100</v>
      </c>
      <c r="D107" t="s">
        <v>563</v>
      </c>
      <c r="G107" t="s">
        <v>564</v>
      </c>
      <c r="H107" t="s">
        <v>421</v>
      </c>
      <c r="I107" t="s">
        <v>421</v>
      </c>
      <c r="J107" t="s">
        <v>560</v>
      </c>
      <c r="K107" t="s">
        <v>421</v>
      </c>
      <c r="L107">
        <v>0</v>
      </c>
      <c r="M107">
        <f t="shared" si="15"/>
        <v>0</v>
      </c>
      <c r="N107" t="s">
        <v>561</v>
      </c>
      <c r="O107">
        <f t="shared" si="16"/>
        <v>0</v>
      </c>
      <c r="P107" t="s">
        <v>561</v>
      </c>
      <c r="S107">
        <f>IFERROR(SCORECARDS!C105,"—")</f>
        <v>0</v>
      </c>
      <c r="T107" t="str">
        <f t="shared" si="17"/>
        <v>🔴 Crítico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f t="shared" si="18"/>
        <v>0</v>
      </c>
      <c r="AP107">
        <f t="shared" si="19"/>
        <v>0</v>
      </c>
    </row>
    <row r="108" spans="1:42" ht="16.05" customHeight="1" x14ac:dyDescent="0.3">
      <c r="A108" t="s">
        <v>288</v>
      </c>
      <c r="B108" t="s">
        <v>289</v>
      </c>
      <c r="C108" t="s">
        <v>100</v>
      </c>
      <c r="D108" t="s">
        <v>563</v>
      </c>
      <c r="E108">
        <v>21233720.820000011</v>
      </c>
      <c r="F108">
        <v>93</v>
      </c>
      <c r="G108" t="s">
        <v>559</v>
      </c>
      <c r="H108" t="s">
        <v>421</v>
      </c>
      <c r="I108" t="s">
        <v>421</v>
      </c>
      <c r="J108" t="s">
        <v>560</v>
      </c>
      <c r="K108" t="s">
        <v>421</v>
      </c>
      <c r="L108">
        <v>10616860.41</v>
      </c>
      <c r="M108">
        <f t="shared" si="15"/>
        <v>50</v>
      </c>
      <c r="N108" t="s">
        <v>561</v>
      </c>
      <c r="O108">
        <f t="shared" si="16"/>
        <v>0</v>
      </c>
      <c r="P108" t="s">
        <v>561</v>
      </c>
      <c r="S108">
        <f>IFERROR(SCORECARDS!C106,"—")</f>
        <v>0</v>
      </c>
      <c r="T108" t="str">
        <f t="shared" si="17"/>
        <v>🔴 Crítico</v>
      </c>
      <c r="U108">
        <v>1</v>
      </c>
      <c r="V108" t="s">
        <v>562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f t="shared" si="18"/>
        <v>0</v>
      </c>
      <c r="AP108">
        <f t="shared" si="19"/>
        <v>0.125</v>
      </c>
    </row>
    <row r="109" spans="1:42" ht="16.05" customHeight="1" x14ac:dyDescent="0.3">
      <c r="A109" t="s">
        <v>290</v>
      </c>
      <c r="B109" t="s">
        <v>291</v>
      </c>
      <c r="C109" t="s">
        <v>68</v>
      </c>
      <c r="D109" t="s">
        <v>563</v>
      </c>
      <c r="G109" t="s">
        <v>564</v>
      </c>
      <c r="H109" t="s">
        <v>421</v>
      </c>
      <c r="I109" t="s">
        <v>421</v>
      </c>
      <c r="J109" t="s">
        <v>572</v>
      </c>
      <c r="K109" t="s">
        <v>421</v>
      </c>
      <c r="L109">
        <v>0</v>
      </c>
      <c r="M109">
        <f t="shared" si="15"/>
        <v>0</v>
      </c>
      <c r="N109" t="s">
        <v>561</v>
      </c>
      <c r="O109">
        <f t="shared" si="16"/>
        <v>0</v>
      </c>
      <c r="P109" t="s">
        <v>561</v>
      </c>
      <c r="S109">
        <f>IFERROR(SCORECARDS!C107,"—")</f>
        <v>0</v>
      </c>
      <c r="T109" t="str">
        <f t="shared" si="17"/>
        <v>🔴 Crítico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f t="shared" si="18"/>
        <v>0</v>
      </c>
      <c r="AP109">
        <f t="shared" si="19"/>
        <v>0</v>
      </c>
    </row>
    <row r="110" spans="1:42" ht="16.05" customHeight="1" x14ac:dyDescent="0.3">
      <c r="A110" t="s">
        <v>292</v>
      </c>
      <c r="B110" t="s">
        <v>293</v>
      </c>
      <c r="C110" t="s">
        <v>110</v>
      </c>
      <c r="D110" t="s">
        <v>563</v>
      </c>
      <c r="G110" t="s">
        <v>564</v>
      </c>
      <c r="H110" t="s">
        <v>421</v>
      </c>
      <c r="I110" t="s">
        <v>421</v>
      </c>
      <c r="J110" t="s">
        <v>560</v>
      </c>
      <c r="K110" t="s">
        <v>421</v>
      </c>
      <c r="L110">
        <v>0</v>
      </c>
      <c r="M110">
        <f t="shared" si="15"/>
        <v>0</v>
      </c>
      <c r="N110" t="s">
        <v>561</v>
      </c>
      <c r="O110">
        <f t="shared" si="16"/>
        <v>0</v>
      </c>
      <c r="P110" t="s">
        <v>561</v>
      </c>
      <c r="S110">
        <f>IFERROR(SCORECARDS!C108,"—")</f>
        <v>0</v>
      </c>
      <c r="T110" t="str">
        <f t="shared" si="17"/>
        <v>🔴 Crítico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f t="shared" si="18"/>
        <v>0</v>
      </c>
      <c r="AP110">
        <f t="shared" si="19"/>
        <v>0</v>
      </c>
    </row>
    <row r="111" spans="1:42" ht="16.05" customHeight="1" x14ac:dyDescent="0.3">
      <c r="A111" t="s">
        <v>294</v>
      </c>
      <c r="B111" t="s">
        <v>295</v>
      </c>
      <c r="C111" t="s">
        <v>103</v>
      </c>
      <c r="D111" t="s">
        <v>558</v>
      </c>
      <c r="E111">
        <v>3887946.29</v>
      </c>
      <c r="F111">
        <v>16</v>
      </c>
      <c r="G111" t="s">
        <v>559</v>
      </c>
      <c r="H111" t="s">
        <v>421</v>
      </c>
      <c r="I111" t="s">
        <v>421</v>
      </c>
      <c r="J111" t="s">
        <v>560</v>
      </c>
      <c r="K111" t="s">
        <v>421</v>
      </c>
      <c r="L111">
        <v>0</v>
      </c>
      <c r="M111">
        <f t="shared" si="15"/>
        <v>0</v>
      </c>
      <c r="N111" t="s">
        <v>561</v>
      </c>
      <c r="O111">
        <f t="shared" si="16"/>
        <v>0</v>
      </c>
      <c r="P111" t="s">
        <v>561</v>
      </c>
      <c r="S111">
        <f>IFERROR(SCORECARDS!C109,"—")</f>
        <v>0</v>
      </c>
      <c r="T111" t="str">
        <f t="shared" si="17"/>
        <v>🔴 Crítico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f t="shared" si="18"/>
        <v>0</v>
      </c>
      <c r="AP111">
        <f t="shared" si="19"/>
        <v>0</v>
      </c>
    </row>
    <row r="112" spans="1:42" ht="16.05" customHeight="1" x14ac:dyDescent="0.3">
      <c r="A112" t="s">
        <v>296</v>
      </c>
      <c r="B112" t="s">
        <v>297</v>
      </c>
      <c r="C112" t="s">
        <v>110</v>
      </c>
      <c r="D112" t="s">
        <v>563</v>
      </c>
      <c r="G112" t="s">
        <v>564</v>
      </c>
      <c r="H112" t="s">
        <v>421</v>
      </c>
      <c r="I112" t="s">
        <v>421</v>
      </c>
      <c r="J112" t="s">
        <v>560</v>
      </c>
      <c r="K112" t="s">
        <v>421</v>
      </c>
      <c r="L112">
        <v>0</v>
      </c>
      <c r="M112">
        <f t="shared" si="15"/>
        <v>0</v>
      </c>
      <c r="N112" t="s">
        <v>561</v>
      </c>
      <c r="O112">
        <f t="shared" si="16"/>
        <v>0</v>
      </c>
      <c r="P112" t="s">
        <v>561</v>
      </c>
      <c r="S112">
        <f>IFERROR(SCORECARDS!C110,"—")</f>
        <v>0</v>
      </c>
      <c r="T112" t="str">
        <f t="shared" si="17"/>
        <v>🔴 Crítico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f t="shared" si="18"/>
        <v>0</v>
      </c>
      <c r="AP112">
        <f t="shared" si="19"/>
        <v>0</v>
      </c>
    </row>
    <row r="113" spans="1:42" ht="16.05" customHeight="1" x14ac:dyDescent="0.3">
      <c r="A113" t="s">
        <v>298</v>
      </c>
      <c r="B113" t="s">
        <v>299</v>
      </c>
      <c r="C113" t="s">
        <v>140</v>
      </c>
      <c r="D113" t="s">
        <v>558</v>
      </c>
      <c r="E113">
        <v>464428.88</v>
      </c>
      <c r="F113">
        <v>3</v>
      </c>
      <c r="G113" t="s">
        <v>559</v>
      </c>
      <c r="H113" t="s">
        <v>421</v>
      </c>
      <c r="I113" t="s">
        <v>421</v>
      </c>
      <c r="J113" t="s">
        <v>560</v>
      </c>
      <c r="K113" t="s">
        <v>421</v>
      </c>
      <c r="L113">
        <v>0</v>
      </c>
      <c r="M113">
        <f t="shared" si="15"/>
        <v>0</v>
      </c>
      <c r="N113" t="s">
        <v>561</v>
      </c>
      <c r="O113">
        <f t="shared" si="16"/>
        <v>0</v>
      </c>
      <c r="P113" t="s">
        <v>561</v>
      </c>
      <c r="S113">
        <f>IFERROR(SCORECARDS!C111,"—")</f>
        <v>0</v>
      </c>
      <c r="T113" t="str">
        <f t="shared" si="17"/>
        <v>🔴 Crítico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f t="shared" si="18"/>
        <v>0</v>
      </c>
      <c r="AP113">
        <f t="shared" si="19"/>
        <v>0</v>
      </c>
    </row>
    <row r="114" spans="1:42" ht="16.05" customHeight="1" x14ac:dyDescent="0.3">
      <c r="A114" t="s">
        <v>300</v>
      </c>
      <c r="B114" t="s">
        <v>301</v>
      </c>
      <c r="C114" t="s">
        <v>230</v>
      </c>
      <c r="D114" t="s">
        <v>563</v>
      </c>
      <c r="G114" t="s">
        <v>564</v>
      </c>
      <c r="H114" t="s">
        <v>421</v>
      </c>
      <c r="I114" t="s">
        <v>421</v>
      </c>
      <c r="J114" t="s">
        <v>560</v>
      </c>
      <c r="K114" t="s">
        <v>421</v>
      </c>
      <c r="L114">
        <v>0</v>
      </c>
      <c r="M114">
        <f t="shared" si="15"/>
        <v>0</v>
      </c>
      <c r="N114" t="s">
        <v>561</v>
      </c>
      <c r="O114">
        <f t="shared" si="16"/>
        <v>0</v>
      </c>
      <c r="P114" t="s">
        <v>561</v>
      </c>
      <c r="S114">
        <f>IFERROR(SCORECARDS!C112,"—")</f>
        <v>0</v>
      </c>
      <c r="T114" t="str">
        <f t="shared" si="17"/>
        <v>🔴 Crítico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f t="shared" si="18"/>
        <v>0</v>
      </c>
      <c r="AP114">
        <f t="shared" si="19"/>
        <v>0</v>
      </c>
    </row>
    <row r="115" spans="1:42" ht="16.05" customHeight="1" x14ac:dyDescent="0.3">
      <c r="A115" t="s">
        <v>302</v>
      </c>
      <c r="B115" t="s">
        <v>303</v>
      </c>
      <c r="C115" t="s">
        <v>129</v>
      </c>
      <c r="D115" t="s">
        <v>558</v>
      </c>
      <c r="E115">
        <v>1789601.59</v>
      </c>
      <c r="F115">
        <v>11</v>
      </c>
      <c r="G115" t="s">
        <v>559</v>
      </c>
      <c r="H115" t="s">
        <v>421</v>
      </c>
      <c r="I115" t="s">
        <v>421</v>
      </c>
      <c r="J115" t="s">
        <v>560</v>
      </c>
      <c r="K115" t="s">
        <v>421</v>
      </c>
      <c r="L115">
        <v>0</v>
      </c>
      <c r="M115">
        <f t="shared" si="15"/>
        <v>0</v>
      </c>
      <c r="N115" t="s">
        <v>561</v>
      </c>
      <c r="O115">
        <f t="shared" si="16"/>
        <v>0</v>
      </c>
      <c r="P115" t="s">
        <v>561</v>
      </c>
      <c r="S115">
        <f>IFERROR(SCORECARDS!C113,"—")</f>
        <v>0</v>
      </c>
      <c r="T115" t="str">
        <f t="shared" si="17"/>
        <v>🔴 Crítico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f t="shared" si="18"/>
        <v>0</v>
      </c>
      <c r="AP115">
        <f t="shared" si="19"/>
        <v>0</v>
      </c>
    </row>
    <row r="116" spans="1:42" ht="16.05" customHeight="1" x14ac:dyDescent="0.3">
      <c r="A116" t="s">
        <v>304</v>
      </c>
      <c r="B116" t="s">
        <v>305</v>
      </c>
      <c r="C116" t="s">
        <v>230</v>
      </c>
      <c r="D116" t="s">
        <v>563</v>
      </c>
      <c r="G116" t="s">
        <v>564</v>
      </c>
      <c r="H116" t="s">
        <v>421</v>
      </c>
      <c r="I116" t="s">
        <v>421</v>
      </c>
      <c r="J116" t="s">
        <v>560</v>
      </c>
      <c r="K116" t="s">
        <v>421</v>
      </c>
      <c r="L116">
        <v>0</v>
      </c>
      <c r="M116">
        <f t="shared" si="15"/>
        <v>0</v>
      </c>
      <c r="N116" t="s">
        <v>561</v>
      </c>
      <c r="O116">
        <f t="shared" si="16"/>
        <v>0</v>
      </c>
      <c r="P116" t="s">
        <v>561</v>
      </c>
      <c r="S116">
        <f>IFERROR(SCORECARDS!C114,"—")</f>
        <v>0</v>
      </c>
      <c r="T116" t="str">
        <f t="shared" si="17"/>
        <v>🔴 Crítico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f t="shared" si="18"/>
        <v>0</v>
      </c>
      <c r="AP116">
        <f t="shared" si="19"/>
        <v>0</v>
      </c>
    </row>
    <row r="117" spans="1:42" ht="16.05" customHeight="1" x14ac:dyDescent="0.3">
      <c r="A117" t="s">
        <v>306</v>
      </c>
      <c r="B117" t="s">
        <v>307</v>
      </c>
      <c r="C117" t="s">
        <v>169</v>
      </c>
      <c r="D117" t="s">
        <v>558</v>
      </c>
      <c r="G117" t="s">
        <v>564</v>
      </c>
      <c r="H117" t="s">
        <v>421</v>
      </c>
      <c r="I117" t="s">
        <v>421</v>
      </c>
      <c r="J117" t="s">
        <v>560</v>
      </c>
      <c r="K117" t="s">
        <v>421</v>
      </c>
      <c r="L117">
        <v>0</v>
      </c>
      <c r="M117">
        <f t="shared" si="15"/>
        <v>0</v>
      </c>
      <c r="N117" t="s">
        <v>561</v>
      </c>
      <c r="O117">
        <f t="shared" si="16"/>
        <v>0</v>
      </c>
      <c r="P117" t="s">
        <v>561</v>
      </c>
      <c r="S117">
        <f>IFERROR(SCORECARDS!C115,"—")</f>
        <v>0</v>
      </c>
      <c r="T117" t="str">
        <f t="shared" si="17"/>
        <v>🔴 Crítico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f t="shared" si="18"/>
        <v>0</v>
      </c>
      <c r="AP117">
        <f t="shared" si="19"/>
        <v>0</v>
      </c>
    </row>
    <row r="118" spans="1:42" ht="16.05" customHeight="1" x14ac:dyDescent="0.3">
      <c r="A118" t="s">
        <v>308</v>
      </c>
      <c r="B118" t="s">
        <v>309</v>
      </c>
      <c r="C118" t="s">
        <v>100</v>
      </c>
      <c r="D118" t="s">
        <v>563</v>
      </c>
      <c r="G118" t="s">
        <v>564</v>
      </c>
      <c r="H118" t="s">
        <v>421</v>
      </c>
      <c r="I118" t="s">
        <v>421</v>
      </c>
      <c r="J118" t="s">
        <v>571</v>
      </c>
      <c r="K118" t="s">
        <v>421</v>
      </c>
      <c r="L118">
        <v>0</v>
      </c>
      <c r="M118">
        <f t="shared" si="15"/>
        <v>0</v>
      </c>
      <c r="N118" t="s">
        <v>561</v>
      </c>
      <c r="O118">
        <f t="shared" si="16"/>
        <v>0</v>
      </c>
      <c r="P118" t="s">
        <v>561</v>
      </c>
      <c r="S118">
        <f>IFERROR(SCORECARDS!C116,"—")</f>
        <v>0</v>
      </c>
      <c r="T118" t="str">
        <f t="shared" si="17"/>
        <v>🔴 Crítico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f t="shared" si="18"/>
        <v>0</v>
      </c>
      <c r="AP118">
        <f t="shared" si="19"/>
        <v>0</v>
      </c>
    </row>
    <row r="119" spans="1:42" ht="16.05" customHeight="1" x14ac:dyDescent="0.3">
      <c r="A119" t="s">
        <v>310</v>
      </c>
      <c r="B119" t="s">
        <v>311</v>
      </c>
      <c r="C119" t="s">
        <v>100</v>
      </c>
      <c r="D119" t="s">
        <v>563</v>
      </c>
      <c r="G119" t="s">
        <v>564</v>
      </c>
      <c r="H119" t="s">
        <v>421</v>
      </c>
      <c r="I119" t="s">
        <v>421</v>
      </c>
      <c r="J119" t="s">
        <v>560</v>
      </c>
      <c r="K119" t="s">
        <v>421</v>
      </c>
      <c r="L119">
        <v>0</v>
      </c>
      <c r="M119">
        <f t="shared" si="15"/>
        <v>0</v>
      </c>
      <c r="N119" t="s">
        <v>561</v>
      </c>
      <c r="O119">
        <f t="shared" si="16"/>
        <v>0</v>
      </c>
      <c r="P119" t="s">
        <v>561</v>
      </c>
      <c r="S119">
        <f>IFERROR(SCORECARDS!C117,"—")</f>
        <v>0</v>
      </c>
      <c r="T119" t="str">
        <f t="shared" si="17"/>
        <v>🔴 Crítico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f t="shared" si="18"/>
        <v>0</v>
      </c>
      <c r="AP119">
        <f t="shared" si="19"/>
        <v>0</v>
      </c>
    </row>
    <row r="120" spans="1:42" ht="16.05" customHeight="1" x14ac:dyDescent="0.3">
      <c r="A120" t="s">
        <v>312</v>
      </c>
      <c r="B120" t="s">
        <v>313</v>
      </c>
      <c r="C120" t="s">
        <v>140</v>
      </c>
      <c r="D120" t="s">
        <v>558</v>
      </c>
      <c r="G120" t="s">
        <v>564</v>
      </c>
      <c r="H120" t="s">
        <v>421</v>
      </c>
      <c r="I120" t="s">
        <v>421</v>
      </c>
      <c r="J120" t="s">
        <v>560</v>
      </c>
      <c r="K120" t="s">
        <v>421</v>
      </c>
      <c r="L120">
        <v>0</v>
      </c>
      <c r="M120">
        <f t="shared" si="15"/>
        <v>0</v>
      </c>
      <c r="N120" t="s">
        <v>561</v>
      </c>
      <c r="O120">
        <f t="shared" si="16"/>
        <v>0</v>
      </c>
      <c r="P120" t="s">
        <v>561</v>
      </c>
      <c r="S120">
        <f>IFERROR(SCORECARDS!C118,"—")</f>
        <v>0</v>
      </c>
      <c r="T120" t="str">
        <f t="shared" si="17"/>
        <v>🔴 Crítico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f t="shared" si="18"/>
        <v>0</v>
      </c>
      <c r="AP120">
        <f t="shared" si="19"/>
        <v>0</v>
      </c>
    </row>
    <row r="121" spans="1:42" ht="16.05" customHeight="1" x14ac:dyDescent="0.3">
      <c r="A121" t="s">
        <v>314</v>
      </c>
      <c r="B121" t="s">
        <v>315</v>
      </c>
      <c r="C121" t="s">
        <v>237</v>
      </c>
      <c r="D121" t="s">
        <v>558</v>
      </c>
      <c r="G121" t="s">
        <v>564</v>
      </c>
      <c r="H121" t="s">
        <v>421</v>
      </c>
      <c r="I121" t="s">
        <v>421</v>
      </c>
      <c r="J121" t="s">
        <v>560</v>
      </c>
      <c r="K121" t="s">
        <v>421</v>
      </c>
      <c r="L121">
        <v>0</v>
      </c>
      <c r="M121">
        <f t="shared" si="15"/>
        <v>0</v>
      </c>
      <c r="N121" t="s">
        <v>561</v>
      </c>
      <c r="O121">
        <f t="shared" si="16"/>
        <v>0</v>
      </c>
      <c r="P121" t="s">
        <v>561</v>
      </c>
      <c r="S121">
        <f>IFERROR(SCORECARDS!C119,"—")</f>
        <v>0</v>
      </c>
      <c r="T121" t="str">
        <f t="shared" si="17"/>
        <v>🔴 Crítico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f t="shared" si="18"/>
        <v>0</v>
      </c>
      <c r="AP121">
        <f t="shared" si="19"/>
        <v>0</v>
      </c>
    </row>
    <row r="122" spans="1:42" ht="16.05" customHeight="1" x14ac:dyDescent="0.3">
      <c r="A122" t="s">
        <v>316</v>
      </c>
      <c r="B122" t="s">
        <v>317</v>
      </c>
      <c r="C122" t="s">
        <v>110</v>
      </c>
      <c r="D122" t="s">
        <v>558</v>
      </c>
      <c r="G122" t="s">
        <v>564</v>
      </c>
      <c r="H122" t="s">
        <v>421</v>
      </c>
      <c r="I122" t="s">
        <v>421</v>
      </c>
      <c r="J122" t="s">
        <v>560</v>
      </c>
      <c r="K122" t="s">
        <v>421</v>
      </c>
      <c r="L122">
        <v>0</v>
      </c>
      <c r="M122">
        <f t="shared" si="15"/>
        <v>0</v>
      </c>
      <c r="N122" t="s">
        <v>561</v>
      </c>
      <c r="O122">
        <f t="shared" si="16"/>
        <v>0</v>
      </c>
      <c r="P122" t="s">
        <v>561</v>
      </c>
      <c r="S122">
        <f>IFERROR(SCORECARDS!C120,"—")</f>
        <v>0</v>
      </c>
      <c r="T122" t="str">
        <f t="shared" si="17"/>
        <v>🔴 Crítico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f t="shared" si="18"/>
        <v>0</v>
      </c>
      <c r="AP122">
        <f t="shared" si="19"/>
        <v>0</v>
      </c>
    </row>
    <row r="123" spans="1:42" ht="16.05" customHeight="1" x14ac:dyDescent="0.3">
      <c r="A123" t="s">
        <v>318</v>
      </c>
      <c r="B123" t="s">
        <v>319</v>
      </c>
      <c r="C123" t="s">
        <v>71</v>
      </c>
      <c r="D123" t="s">
        <v>558</v>
      </c>
      <c r="E123">
        <v>0</v>
      </c>
      <c r="G123" t="s">
        <v>564</v>
      </c>
      <c r="H123" t="s">
        <v>421</v>
      </c>
      <c r="I123" t="s">
        <v>421</v>
      </c>
      <c r="J123" t="s">
        <v>572</v>
      </c>
      <c r="K123" t="s">
        <v>421</v>
      </c>
      <c r="L123">
        <v>0</v>
      </c>
      <c r="M123">
        <f t="shared" si="15"/>
        <v>0</v>
      </c>
      <c r="N123" t="s">
        <v>561</v>
      </c>
      <c r="O123">
        <f t="shared" si="16"/>
        <v>0</v>
      </c>
      <c r="P123" t="s">
        <v>561</v>
      </c>
      <c r="S123">
        <f>IFERROR(SCORECARDS!C121,"—")</f>
        <v>0</v>
      </c>
      <c r="T123" t="str">
        <f t="shared" si="17"/>
        <v>🔴 Crítico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f t="shared" si="18"/>
        <v>0</v>
      </c>
      <c r="AP123">
        <f t="shared" si="19"/>
        <v>0</v>
      </c>
    </row>
    <row r="124" spans="1:42" ht="16.05" customHeight="1" x14ac:dyDescent="0.3">
      <c r="A124" t="s">
        <v>320</v>
      </c>
      <c r="B124" t="s">
        <v>321</v>
      </c>
      <c r="C124" t="s">
        <v>103</v>
      </c>
      <c r="D124" t="s">
        <v>558</v>
      </c>
      <c r="E124">
        <v>442439.35</v>
      </c>
      <c r="F124">
        <v>4</v>
      </c>
      <c r="G124" t="s">
        <v>559</v>
      </c>
      <c r="H124" t="s">
        <v>577</v>
      </c>
      <c r="I124" t="s">
        <v>580</v>
      </c>
      <c r="J124" t="s">
        <v>560</v>
      </c>
      <c r="K124" t="s">
        <v>581</v>
      </c>
      <c r="L124">
        <v>0</v>
      </c>
      <c r="M124">
        <f t="shared" si="15"/>
        <v>0</v>
      </c>
      <c r="N124" t="s">
        <v>561</v>
      </c>
      <c r="O124">
        <f t="shared" si="16"/>
        <v>0</v>
      </c>
      <c r="P124" t="s">
        <v>561</v>
      </c>
      <c r="Q124">
        <v>256</v>
      </c>
      <c r="R124">
        <v>685</v>
      </c>
      <c r="S124">
        <f>IFERROR(SCORECARDS!C122,"—")</f>
        <v>0</v>
      </c>
      <c r="T124" t="str">
        <f t="shared" si="17"/>
        <v>🔴 Crítico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f t="shared" si="18"/>
        <v>0</v>
      </c>
      <c r="AP124">
        <f t="shared" si="19"/>
        <v>0.125</v>
      </c>
    </row>
    <row r="125" spans="1:42" ht="16.05" customHeight="1" x14ac:dyDescent="0.3">
      <c r="A125" t="s">
        <v>322</v>
      </c>
      <c r="B125" t="s">
        <v>323</v>
      </c>
      <c r="C125" t="s">
        <v>71</v>
      </c>
      <c r="D125" t="s">
        <v>563</v>
      </c>
      <c r="G125" t="s">
        <v>564</v>
      </c>
      <c r="H125" t="s">
        <v>421</v>
      </c>
      <c r="I125" t="s">
        <v>421</v>
      </c>
      <c r="J125" t="s">
        <v>560</v>
      </c>
      <c r="K125" t="s">
        <v>421</v>
      </c>
      <c r="L125">
        <v>0</v>
      </c>
      <c r="M125">
        <f t="shared" si="15"/>
        <v>0</v>
      </c>
      <c r="N125" t="s">
        <v>561</v>
      </c>
      <c r="O125">
        <f t="shared" si="16"/>
        <v>0</v>
      </c>
      <c r="P125" t="s">
        <v>561</v>
      </c>
      <c r="S125">
        <f>IFERROR(SCORECARDS!C123,"—")</f>
        <v>0</v>
      </c>
      <c r="T125" t="str">
        <f t="shared" si="17"/>
        <v>🔴 Crítico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f t="shared" si="18"/>
        <v>0</v>
      </c>
      <c r="AP125">
        <f t="shared" si="19"/>
        <v>0</v>
      </c>
    </row>
    <row r="126" spans="1:42" ht="16.05" customHeight="1" x14ac:dyDescent="0.3">
      <c r="A126" t="s">
        <v>324</v>
      </c>
      <c r="B126" t="s">
        <v>325</v>
      </c>
      <c r="C126" t="s">
        <v>71</v>
      </c>
      <c r="D126" t="s">
        <v>563</v>
      </c>
      <c r="E126">
        <v>0</v>
      </c>
      <c r="G126" t="s">
        <v>564</v>
      </c>
      <c r="H126" t="s">
        <v>421</v>
      </c>
      <c r="I126" t="s">
        <v>421</v>
      </c>
      <c r="J126" t="s">
        <v>560</v>
      </c>
      <c r="K126" t="s">
        <v>421</v>
      </c>
      <c r="L126">
        <v>0</v>
      </c>
      <c r="M126">
        <f t="shared" si="15"/>
        <v>0</v>
      </c>
      <c r="N126" t="s">
        <v>561</v>
      </c>
      <c r="O126">
        <f t="shared" si="16"/>
        <v>0</v>
      </c>
      <c r="P126" t="s">
        <v>561</v>
      </c>
      <c r="S126">
        <f>IFERROR(SCORECARDS!C124,"—")</f>
        <v>0</v>
      </c>
      <c r="T126" t="str">
        <f t="shared" si="17"/>
        <v>🔴 Crítico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f t="shared" si="18"/>
        <v>0</v>
      </c>
      <c r="AP126">
        <f t="shared" si="19"/>
        <v>0</v>
      </c>
    </row>
    <row r="127" spans="1:42" ht="16.05" customHeight="1" x14ac:dyDescent="0.3">
      <c r="A127" t="s">
        <v>326</v>
      </c>
      <c r="B127" t="s">
        <v>327</v>
      </c>
      <c r="C127" t="s">
        <v>71</v>
      </c>
      <c r="D127" t="s">
        <v>563</v>
      </c>
      <c r="E127">
        <v>0</v>
      </c>
      <c r="G127" t="s">
        <v>564</v>
      </c>
      <c r="H127" t="s">
        <v>421</v>
      </c>
      <c r="I127" t="s">
        <v>421</v>
      </c>
      <c r="J127" t="s">
        <v>560</v>
      </c>
      <c r="K127" t="s">
        <v>421</v>
      </c>
      <c r="L127">
        <v>0</v>
      </c>
      <c r="M127">
        <f t="shared" si="15"/>
        <v>0</v>
      </c>
      <c r="N127" t="s">
        <v>561</v>
      </c>
      <c r="O127">
        <f t="shared" si="16"/>
        <v>0</v>
      </c>
      <c r="P127" t="s">
        <v>561</v>
      </c>
      <c r="S127">
        <f>IFERROR(SCORECARDS!C125,"—")</f>
        <v>0</v>
      </c>
      <c r="T127" t="str">
        <f t="shared" si="17"/>
        <v>🔴 Crítico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f t="shared" si="18"/>
        <v>0</v>
      </c>
      <c r="AP127">
        <f t="shared" si="19"/>
        <v>0</v>
      </c>
    </row>
    <row r="128" spans="1:42" ht="16.05" customHeight="1" x14ac:dyDescent="0.3">
      <c r="A128" t="s">
        <v>328</v>
      </c>
      <c r="B128" t="s">
        <v>329</v>
      </c>
      <c r="C128" t="s">
        <v>103</v>
      </c>
      <c r="D128" t="s">
        <v>558</v>
      </c>
      <c r="E128">
        <v>13966273.33</v>
      </c>
      <c r="F128">
        <v>80</v>
      </c>
      <c r="G128" t="s">
        <v>559</v>
      </c>
      <c r="H128" t="s">
        <v>421</v>
      </c>
      <c r="I128" t="s">
        <v>421</v>
      </c>
      <c r="J128" t="s">
        <v>560</v>
      </c>
      <c r="K128" t="s">
        <v>421</v>
      </c>
      <c r="L128">
        <v>6983136.6699999999</v>
      </c>
      <c r="M128">
        <f t="shared" si="15"/>
        <v>50</v>
      </c>
      <c r="N128" t="s">
        <v>561</v>
      </c>
      <c r="O128">
        <f t="shared" si="16"/>
        <v>0</v>
      </c>
      <c r="P128" t="s">
        <v>561</v>
      </c>
      <c r="S128">
        <f>IFERROR(SCORECARDS!C126,"—")</f>
        <v>0</v>
      </c>
      <c r="T128" t="str">
        <f t="shared" si="17"/>
        <v>🔴 Crítico</v>
      </c>
      <c r="U128">
        <v>1</v>
      </c>
      <c r="V128" t="s">
        <v>562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f t="shared" si="18"/>
        <v>0</v>
      </c>
      <c r="AP128">
        <f t="shared" si="19"/>
        <v>0.125</v>
      </c>
    </row>
    <row r="129" spans="1:42" ht="16.05" customHeight="1" x14ac:dyDescent="0.3">
      <c r="A129" t="s">
        <v>330</v>
      </c>
      <c r="B129" t="s">
        <v>331</v>
      </c>
      <c r="C129" t="s">
        <v>100</v>
      </c>
      <c r="D129" t="s">
        <v>563</v>
      </c>
      <c r="G129" t="s">
        <v>564</v>
      </c>
      <c r="H129" t="s">
        <v>421</v>
      </c>
      <c r="I129" t="s">
        <v>421</v>
      </c>
      <c r="J129" t="s">
        <v>560</v>
      </c>
      <c r="K129" t="s">
        <v>421</v>
      </c>
      <c r="L129">
        <v>0</v>
      </c>
      <c r="M129">
        <f t="shared" si="15"/>
        <v>0</v>
      </c>
      <c r="N129" t="s">
        <v>561</v>
      </c>
      <c r="O129">
        <f t="shared" si="16"/>
        <v>0</v>
      </c>
      <c r="P129" t="s">
        <v>561</v>
      </c>
      <c r="S129">
        <f>IFERROR(SCORECARDS!C127,"—")</f>
        <v>0</v>
      </c>
      <c r="T129" t="str">
        <f t="shared" si="17"/>
        <v>🔴 Crítico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f t="shared" si="18"/>
        <v>0</v>
      </c>
      <c r="AP129">
        <f t="shared" si="19"/>
        <v>0</v>
      </c>
    </row>
    <row r="130" spans="1:42" ht="16.05" customHeight="1" x14ac:dyDescent="0.3">
      <c r="A130" t="s">
        <v>332</v>
      </c>
      <c r="B130" t="s">
        <v>333</v>
      </c>
      <c r="C130" t="s">
        <v>237</v>
      </c>
      <c r="D130" t="s">
        <v>558</v>
      </c>
      <c r="E130">
        <v>826100.75</v>
      </c>
      <c r="F130">
        <v>5</v>
      </c>
      <c r="G130" t="s">
        <v>559</v>
      </c>
      <c r="H130" t="s">
        <v>580</v>
      </c>
      <c r="I130" t="s">
        <v>580</v>
      </c>
      <c r="J130" t="s">
        <v>560</v>
      </c>
      <c r="K130" t="s">
        <v>582</v>
      </c>
      <c r="L130">
        <v>0</v>
      </c>
      <c r="M130">
        <f t="shared" si="15"/>
        <v>0</v>
      </c>
      <c r="N130" t="s">
        <v>561</v>
      </c>
      <c r="O130">
        <f t="shared" si="16"/>
        <v>0</v>
      </c>
      <c r="P130" t="s">
        <v>561</v>
      </c>
      <c r="Q130">
        <v>177</v>
      </c>
      <c r="R130">
        <v>213</v>
      </c>
      <c r="S130">
        <f>IFERROR(SCORECARDS!C128,"—")</f>
        <v>0</v>
      </c>
      <c r="T130" t="str">
        <f t="shared" si="17"/>
        <v>🔴 Crítico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f t="shared" si="18"/>
        <v>0</v>
      </c>
      <c r="AP130">
        <f t="shared" si="19"/>
        <v>0.125</v>
      </c>
    </row>
    <row r="131" spans="1:42" ht="16.05" customHeight="1" x14ac:dyDescent="0.3">
      <c r="A131" t="s">
        <v>334</v>
      </c>
      <c r="B131" t="s">
        <v>335</v>
      </c>
      <c r="C131" t="s">
        <v>71</v>
      </c>
      <c r="D131" t="s">
        <v>558</v>
      </c>
      <c r="E131">
        <v>0</v>
      </c>
      <c r="G131" t="s">
        <v>564</v>
      </c>
      <c r="H131" t="s">
        <v>421</v>
      </c>
      <c r="I131" t="s">
        <v>421</v>
      </c>
      <c r="J131" t="s">
        <v>572</v>
      </c>
      <c r="K131" t="s">
        <v>421</v>
      </c>
      <c r="L131">
        <v>0</v>
      </c>
      <c r="M131">
        <f t="shared" ref="M131:M162" si="20">IF(E131&gt;0,ROUND(L131/E131*100,1),0)</f>
        <v>0</v>
      </c>
      <c r="N131" t="s">
        <v>561</v>
      </c>
      <c r="O131">
        <f t="shared" ref="O131:O162" si="21">IF(H131="SI",1,0)*0.6+IF(I131="SI",1,0)*0.4</f>
        <v>0</v>
      </c>
      <c r="P131" t="s">
        <v>561</v>
      </c>
      <c r="S131">
        <f>IFERROR(SCORECARDS!C129,"—")</f>
        <v>0</v>
      </c>
      <c r="T131" t="str">
        <f t="shared" ref="T131:T162" si="22">IF(ISTEXT(S131),S131,IF(S131&lt;34,"🔴 Crítico",IF(S131&lt;67,"🟡 Vulnerable","🟢 Preparado")))</f>
        <v>🔴 Crítico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f t="shared" ref="AO131:AO162" si="23">IFERROR(AVERAGE(AA131,AB131,AC131,AD131,AE131,AF131,AG131,AH131,AI131,AJ131,AK131,AL131,AM131,AN131),"N/A")</f>
        <v>0</v>
      </c>
      <c r="AP131">
        <f t="shared" ref="AP131:AP162" si="24">IFERROR(AVERAGE(W131,X131,Y131,Z131)/2,"N/A")</f>
        <v>0</v>
      </c>
    </row>
    <row r="132" spans="1:42" ht="16.05" customHeight="1" x14ac:dyDescent="0.3">
      <c r="A132" t="s">
        <v>336</v>
      </c>
      <c r="B132" t="s">
        <v>337</v>
      </c>
      <c r="C132" t="s">
        <v>100</v>
      </c>
      <c r="D132" t="s">
        <v>563</v>
      </c>
      <c r="G132" t="s">
        <v>564</v>
      </c>
      <c r="H132" t="s">
        <v>421</v>
      </c>
      <c r="I132" t="s">
        <v>421</v>
      </c>
      <c r="J132" t="s">
        <v>572</v>
      </c>
      <c r="K132" t="s">
        <v>421</v>
      </c>
      <c r="L132">
        <v>0</v>
      </c>
      <c r="M132">
        <f t="shared" si="20"/>
        <v>0</v>
      </c>
      <c r="N132" t="s">
        <v>561</v>
      </c>
      <c r="O132">
        <f t="shared" si="21"/>
        <v>0</v>
      </c>
      <c r="P132" t="s">
        <v>561</v>
      </c>
      <c r="S132">
        <f>IFERROR(SCORECARDS!C130,"—")</f>
        <v>0</v>
      </c>
      <c r="T132" t="str">
        <f t="shared" si="22"/>
        <v>🔴 Crítico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f t="shared" si="23"/>
        <v>0</v>
      </c>
      <c r="AP132">
        <f t="shared" si="24"/>
        <v>0</v>
      </c>
    </row>
    <row r="133" spans="1:42" ht="16.05" customHeight="1" x14ac:dyDescent="0.3">
      <c r="A133" t="s">
        <v>338</v>
      </c>
      <c r="B133" t="s">
        <v>339</v>
      </c>
      <c r="C133" t="s">
        <v>95</v>
      </c>
      <c r="D133" t="s">
        <v>563</v>
      </c>
      <c r="G133" t="s">
        <v>564</v>
      </c>
      <c r="H133" t="s">
        <v>421</v>
      </c>
      <c r="I133" t="s">
        <v>421</v>
      </c>
      <c r="J133" t="s">
        <v>560</v>
      </c>
      <c r="K133" t="s">
        <v>421</v>
      </c>
      <c r="L133">
        <v>0</v>
      </c>
      <c r="M133">
        <f t="shared" si="20"/>
        <v>0</v>
      </c>
      <c r="N133" t="s">
        <v>561</v>
      </c>
      <c r="O133">
        <f t="shared" si="21"/>
        <v>0</v>
      </c>
      <c r="P133" t="s">
        <v>561</v>
      </c>
      <c r="S133">
        <f>IFERROR(SCORECARDS!C131,"—")</f>
        <v>0</v>
      </c>
      <c r="T133" t="str">
        <f t="shared" si="22"/>
        <v>🔴 Crítico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f t="shared" si="23"/>
        <v>0</v>
      </c>
      <c r="AP133">
        <f t="shared" si="24"/>
        <v>0</v>
      </c>
    </row>
    <row r="134" spans="1:42" ht="16.05" customHeight="1" x14ac:dyDescent="0.3">
      <c r="A134" t="s">
        <v>340</v>
      </c>
      <c r="B134" t="s">
        <v>341</v>
      </c>
      <c r="C134" t="s">
        <v>71</v>
      </c>
      <c r="D134" t="s">
        <v>558</v>
      </c>
      <c r="E134">
        <v>0</v>
      </c>
      <c r="G134" t="s">
        <v>564</v>
      </c>
      <c r="H134" t="s">
        <v>580</v>
      </c>
      <c r="I134" t="s">
        <v>583</v>
      </c>
      <c r="J134" t="s">
        <v>560</v>
      </c>
      <c r="K134" t="s">
        <v>584</v>
      </c>
      <c r="L134">
        <v>0</v>
      </c>
      <c r="M134">
        <f t="shared" si="20"/>
        <v>0</v>
      </c>
      <c r="N134" t="s">
        <v>561</v>
      </c>
      <c r="O134">
        <f t="shared" si="21"/>
        <v>0</v>
      </c>
      <c r="P134" t="s">
        <v>561</v>
      </c>
      <c r="Q134">
        <v>162</v>
      </c>
      <c r="R134">
        <v>454.5</v>
      </c>
      <c r="S134">
        <f>IFERROR(SCORECARDS!C132,"—")</f>
        <v>0</v>
      </c>
      <c r="T134" t="str">
        <f t="shared" si="22"/>
        <v>🔴 Crítico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f t="shared" si="23"/>
        <v>0</v>
      </c>
      <c r="AP134">
        <f t="shared" si="24"/>
        <v>0.125</v>
      </c>
    </row>
    <row r="135" spans="1:42" ht="16.05" customHeight="1" x14ac:dyDescent="0.3">
      <c r="A135" t="s">
        <v>342</v>
      </c>
      <c r="B135" t="s">
        <v>343</v>
      </c>
      <c r="C135" t="s">
        <v>129</v>
      </c>
      <c r="D135" t="s">
        <v>558</v>
      </c>
      <c r="E135">
        <v>6836861.4500000002</v>
      </c>
      <c r="F135">
        <v>36</v>
      </c>
      <c r="G135" t="s">
        <v>559</v>
      </c>
      <c r="H135" t="s">
        <v>573</v>
      </c>
      <c r="I135" t="s">
        <v>573</v>
      </c>
      <c r="J135" t="s">
        <v>560</v>
      </c>
      <c r="K135" t="s">
        <v>585</v>
      </c>
      <c r="L135">
        <v>4575551.37</v>
      </c>
      <c r="M135">
        <f t="shared" si="20"/>
        <v>66.900000000000006</v>
      </c>
      <c r="N135" t="s">
        <v>561</v>
      </c>
      <c r="O135">
        <f t="shared" si="21"/>
        <v>0</v>
      </c>
      <c r="P135" t="s">
        <v>561</v>
      </c>
      <c r="Q135">
        <v>762</v>
      </c>
      <c r="R135">
        <v>1500</v>
      </c>
      <c r="S135">
        <f>IFERROR(SCORECARDS!C133,"—")</f>
        <v>0</v>
      </c>
      <c r="T135" t="str">
        <f t="shared" si="22"/>
        <v>🔴 Crítico</v>
      </c>
      <c r="U135">
        <v>1</v>
      </c>
      <c r="V135" t="s">
        <v>562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f t="shared" si="23"/>
        <v>0</v>
      </c>
      <c r="AP135">
        <f t="shared" si="24"/>
        <v>0.125</v>
      </c>
    </row>
    <row r="136" spans="1:42" ht="16.05" customHeight="1" x14ac:dyDescent="0.3">
      <c r="A136" t="s">
        <v>344</v>
      </c>
      <c r="B136" t="s">
        <v>345</v>
      </c>
      <c r="C136" t="s">
        <v>71</v>
      </c>
      <c r="D136" t="s">
        <v>558</v>
      </c>
      <c r="G136" t="s">
        <v>564</v>
      </c>
      <c r="H136" t="s">
        <v>421</v>
      </c>
      <c r="I136" t="s">
        <v>421</v>
      </c>
      <c r="J136" t="s">
        <v>560</v>
      </c>
      <c r="K136" t="s">
        <v>421</v>
      </c>
      <c r="L136">
        <v>0</v>
      </c>
      <c r="M136">
        <f t="shared" si="20"/>
        <v>0</v>
      </c>
      <c r="N136" t="s">
        <v>561</v>
      </c>
      <c r="O136">
        <f t="shared" si="21"/>
        <v>0</v>
      </c>
      <c r="P136" t="s">
        <v>561</v>
      </c>
      <c r="S136">
        <f>IFERROR(SCORECARDS!C134,"—")</f>
        <v>0</v>
      </c>
      <c r="T136" t="str">
        <f t="shared" si="22"/>
        <v>🔴 Crítico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f t="shared" si="23"/>
        <v>0</v>
      </c>
      <c r="AP136">
        <f t="shared" si="24"/>
        <v>0</v>
      </c>
    </row>
    <row r="137" spans="1:42" ht="16.05" customHeight="1" x14ac:dyDescent="0.3">
      <c r="A137" t="s">
        <v>346</v>
      </c>
      <c r="B137" t="s">
        <v>347</v>
      </c>
      <c r="C137" t="s">
        <v>74</v>
      </c>
      <c r="D137" t="s">
        <v>563</v>
      </c>
      <c r="G137" t="s">
        <v>564</v>
      </c>
      <c r="H137" t="s">
        <v>421</v>
      </c>
      <c r="I137" t="s">
        <v>421</v>
      </c>
      <c r="J137" t="s">
        <v>560</v>
      </c>
      <c r="K137" t="s">
        <v>421</v>
      </c>
      <c r="L137">
        <v>0</v>
      </c>
      <c r="M137">
        <f t="shared" si="20"/>
        <v>0</v>
      </c>
      <c r="N137" t="s">
        <v>561</v>
      </c>
      <c r="O137">
        <f t="shared" si="21"/>
        <v>0</v>
      </c>
      <c r="P137" t="s">
        <v>561</v>
      </c>
      <c r="S137">
        <f>IFERROR(SCORECARDS!C135,"—")</f>
        <v>0</v>
      </c>
      <c r="T137" t="str">
        <f t="shared" si="22"/>
        <v>🔴 Crítico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f t="shared" si="23"/>
        <v>0</v>
      </c>
      <c r="AP137">
        <f t="shared" si="24"/>
        <v>0</v>
      </c>
    </row>
    <row r="138" spans="1:42" ht="16.05" customHeight="1" x14ac:dyDescent="0.3">
      <c r="A138" t="s">
        <v>348</v>
      </c>
      <c r="B138" t="s">
        <v>349</v>
      </c>
      <c r="C138" t="s">
        <v>103</v>
      </c>
      <c r="D138" t="s">
        <v>558</v>
      </c>
      <c r="E138">
        <v>161000</v>
      </c>
      <c r="F138">
        <v>1</v>
      </c>
      <c r="G138" t="s">
        <v>559</v>
      </c>
      <c r="H138" t="s">
        <v>421</v>
      </c>
      <c r="I138" t="s">
        <v>421</v>
      </c>
      <c r="J138" t="s">
        <v>560</v>
      </c>
      <c r="K138" t="s">
        <v>421</v>
      </c>
      <c r="L138">
        <v>80500</v>
      </c>
      <c r="M138">
        <f t="shared" si="20"/>
        <v>50</v>
      </c>
      <c r="N138" t="s">
        <v>561</v>
      </c>
      <c r="O138">
        <f t="shared" si="21"/>
        <v>0</v>
      </c>
      <c r="P138" t="s">
        <v>561</v>
      </c>
      <c r="S138">
        <f>IFERROR(SCORECARDS!C136,"—")</f>
        <v>0</v>
      </c>
      <c r="T138" t="str">
        <f t="shared" si="22"/>
        <v>🔴 Crítico</v>
      </c>
      <c r="U138">
        <v>1</v>
      </c>
      <c r="V138" t="s">
        <v>562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f t="shared" si="23"/>
        <v>0</v>
      </c>
      <c r="AP138">
        <f t="shared" si="24"/>
        <v>0</v>
      </c>
    </row>
    <row r="139" spans="1:42" ht="16.05" customHeight="1" x14ac:dyDescent="0.3">
      <c r="A139" t="s">
        <v>350</v>
      </c>
      <c r="B139" t="s">
        <v>351</v>
      </c>
      <c r="C139" t="s">
        <v>182</v>
      </c>
      <c r="D139" t="s">
        <v>563</v>
      </c>
      <c r="G139" t="s">
        <v>564</v>
      </c>
      <c r="H139" t="s">
        <v>421</v>
      </c>
      <c r="I139" t="s">
        <v>421</v>
      </c>
      <c r="J139" t="s">
        <v>560</v>
      </c>
      <c r="K139" t="s">
        <v>421</v>
      </c>
      <c r="L139">
        <v>0</v>
      </c>
      <c r="M139">
        <f t="shared" si="20"/>
        <v>0</v>
      </c>
      <c r="N139" t="s">
        <v>561</v>
      </c>
      <c r="O139">
        <f t="shared" si="21"/>
        <v>0</v>
      </c>
      <c r="P139" t="s">
        <v>561</v>
      </c>
      <c r="S139">
        <f>IFERROR(SCORECARDS!C137,"—")</f>
        <v>0</v>
      </c>
      <c r="T139" t="str">
        <f t="shared" si="22"/>
        <v>🔴 Crítico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f t="shared" si="23"/>
        <v>0</v>
      </c>
      <c r="AP139">
        <f t="shared" si="24"/>
        <v>0</v>
      </c>
    </row>
    <row r="140" spans="1:42" ht="16.05" customHeight="1" x14ac:dyDescent="0.3">
      <c r="A140" t="s">
        <v>352</v>
      </c>
      <c r="B140" t="s">
        <v>353</v>
      </c>
      <c r="C140" t="s">
        <v>71</v>
      </c>
      <c r="D140" t="s">
        <v>558</v>
      </c>
      <c r="E140">
        <v>378122</v>
      </c>
      <c r="F140">
        <v>3</v>
      </c>
      <c r="G140" t="s">
        <v>559</v>
      </c>
      <c r="H140" t="s">
        <v>421</v>
      </c>
      <c r="I140" t="s">
        <v>421</v>
      </c>
      <c r="J140" t="s">
        <v>560</v>
      </c>
      <c r="K140" t="s">
        <v>421</v>
      </c>
      <c r="L140">
        <v>0</v>
      </c>
      <c r="M140">
        <f t="shared" si="20"/>
        <v>0</v>
      </c>
      <c r="N140" t="s">
        <v>561</v>
      </c>
      <c r="O140">
        <f t="shared" si="21"/>
        <v>0</v>
      </c>
      <c r="P140" t="s">
        <v>561</v>
      </c>
      <c r="S140">
        <f>IFERROR(SCORECARDS!C138,"—")</f>
        <v>0</v>
      </c>
      <c r="T140" t="str">
        <f t="shared" si="22"/>
        <v>🔴 Crítico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f t="shared" si="23"/>
        <v>0</v>
      </c>
      <c r="AP140">
        <f t="shared" si="24"/>
        <v>0</v>
      </c>
    </row>
    <row r="141" spans="1:42" ht="16.05" customHeight="1" x14ac:dyDescent="0.3">
      <c r="A141" t="s">
        <v>354</v>
      </c>
      <c r="B141" t="s">
        <v>355</v>
      </c>
      <c r="C141" t="s">
        <v>74</v>
      </c>
      <c r="D141" t="s">
        <v>563</v>
      </c>
      <c r="G141" t="s">
        <v>564</v>
      </c>
      <c r="H141" t="s">
        <v>421</v>
      </c>
      <c r="I141" t="s">
        <v>421</v>
      </c>
      <c r="J141" t="s">
        <v>560</v>
      </c>
      <c r="K141" t="s">
        <v>421</v>
      </c>
      <c r="L141">
        <v>0</v>
      </c>
      <c r="M141">
        <f t="shared" si="20"/>
        <v>0</v>
      </c>
      <c r="N141" t="s">
        <v>561</v>
      </c>
      <c r="O141">
        <f t="shared" si="21"/>
        <v>0</v>
      </c>
      <c r="P141" t="s">
        <v>561</v>
      </c>
      <c r="S141">
        <f>IFERROR(SCORECARDS!C139,"—")</f>
        <v>0</v>
      </c>
      <c r="T141" t="str">
        <f t="shared" si="22"/>
        <v>🔴 Crítico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f t="shared" si="23"/>
        <v>0</v>
      </c>
      <c r="AP141">
        <f t="shared" si="24"/>
        <v>0</v>
      </c>
    </row>
    <row r="142" spans="1:42" ht="16.05" customHeight="1" x14ac:dyDescent="0.3">
      <c r="A142" t="s">
        <v>356</v>
      </c>
      <c r="B142" t="s">
        <v>357</v>
      </c>
      <c r="C142" t="s">
        <v>74</v>
      </c>
      <c r="D142" t="s">
        <v>563</v>
      </c>
      <c r="G142" t="s">
        <v>564</v>
      </c>
      <c r="H142" t="s">
        <v>421</v>
      </c>
      <c r="I142" t="s">
        <v>421</v>
      </c>
      <c r="J142" t="s">
        <v>560</v>
      </c>
      <c r="K142" t="s">
        <v>421</v>
      </c>
      <c r="L142">
        <v>0</v>
      </c>
      <c r="M142">
        <f t="shared" si="20"/>
        <v>0</v>
      </c>
      <c r="N142" t="s">
        <v>561</v>
      </c>
      <c r="O142">
        <f t="shared" si="21"/>
        <v>0</v>
      </c>
      <c r="P142" t="s">
        <v>561</v>
      </c>
      <c r="S142">
        <f>IFERROR(SCORECARDS!C140,"—")</f>
        <v>0</v>
      </c>
      <c r="T142" t="str">
        <f t="shared" si="22"/>
        <v>🔴 Crítico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f t="shared" si="23"/>
        <v>0</v>
      </c>
      <c r="AP142">
        <f t="shared" si="24"/>
        <v>0</v>
      </c>
    </row>
    <row r="143" spans="1:42" ht="16.05" customHeight="1" x14ac:dyDescent="0.3">
      <c r="A143" t="s">
        <v>358</v>
      </c>
      <c r="B143" t="s">
        <v>359</v>
      </c>
      <c r="C143" t="s">
        <v>129</v>
      </c>
      <c r="D143" t="s">
        <v>558</v>
      </c>
      <c r="E143">
        <v>1201126.56</v>
      </c>
      <c r="F143">
        <v>8</v>
      </c>
      <c r="G143" t="s">
        <v>559</v>
      </c>
      <c r="H143" t="s">
        <v>586</v>
      </c>
      <c r="I143" t="s">
        <v>576</v>
      </c>
      <c r="J143" t="s">
        <v>560</v>
      </c>
      <c r="K143" t="s">
        <v>574</v>
      </c>
      <c r="L143">
        <v>852880.44</v>
      </c>
      <c r="M143">
        <f t="shared" si="20"/>
        <v>71</v>
      </c>
      <c r="N143" t="s">
        <v>561</v>
      </c>
      <c r="O143">
        <f t="shared" si="21"/>
        <v>0</v>
      </c>
      <c r="P143" t="s">
        <v>561</v>
      </c>
      <c r="Q143">
        <v>381</v>
      </c>
      <c r="R143">
        <v>1143</v>
      </c>
      <c r="S143">
        <f>IFERROR(SCORECARDS!C141,"—")</f>
        <v>0</v>
      </c>
      <c r="T143" t="str">
        <f t="shared" si="22"/>
        <v>🔴 Crítico</v>
      </c>
      <c r="U143">
        <v>1</v>
      </c>
      <c r="V143" t="s">
        <v>562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f t="shared" si="23"/>
        <v>0</v>
      </c>
      <c r="AP143">
        <f t="shared" si="24"/>
        <v>0.125</v>
      </c>
    </row>
    <row r="144" spans="1:42" ht="16.05" customHeight="1" x14ac:dyDescent="0.3">
      <c r="A144" t="s">
        <v>360</v>
      </c>
      <c r="B144" t="s">
        <v>361</v>
      </c>
      <c r="C144" t="s">
        <v>74</v>
      </c>
      <c r="D144" t="s">
        <v>563</v>
      </c>
      <c r="G144" t="s">
        <v>564</v>
      </c>
      <c r="H144" t="s">
        <v>421</v>
      </c>
      <c r="I144" t="s">
        <v>421</v>
      </c>
      <c r="J144" t="s">
        <v>560</v>
      </c>
      <c r="K144" t="s">
        <v>421</v>
      </c>
      <c r="L144">
        <v>0</v>
      </c>
      <c r="M144">
        <f t="shared" si="20"/>
        <v>0</v>
      </c>
      <c r="N144" t="s">
        <v>561</v>
      </c>
      <c r="O144">
        <f t="shared" si="21"/>
        <v>0</v>
      </c>
      <c r="P144" t="s">
        <v>561</v>
      </c>
      <c r="S144">
        <f>IFERROR(SCORECARDS!C142,"—")</f>
        <v>0</v>
      </c>
      <c r="T144" t="str">
        <f t="shared" si="22"/>
        <v>🔴 Crítico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f t="shared" si="23"/>
        <v>0</v>
      </c>
      <c r="AP144">
        <f t="shared" si="24"/>
        <v>0</v>
      </c>
    </row>
    <row r="145" spans="1:42" ht="16.05" customHeight="1" x14ac:dyDescent="0.3">
      <c r="A145" t="s">
        <v>362</v>
      </c>
      <c r="B145" t="s">
        <v>363</v>
      </c>
      <c r="C145" t="s">
        <v>74</v>
      </c>
      <c r="D145" t="s">
        <v>563</v>
      </c>
      <c r="G145" t="s">
        <v>564</v>
      </c>
      <c r="H145" t="s">
        <v>421</v>
      </c>
      <c r="I145" t="s">
        <v>421</v>
      </c>
      <c r="J145" t="s">
        <v>560</v>
      </c>
      <c r="K145" t="s">
        <v>421</v>
      </c>
      <c r="L145">
        <v>0</v>
      </c>
      <c r="M145">
        <f t="shared" si="20"/>
        <v>0</v>
      </c>
      <c r="N145" t="s">
        <v>561</v>
      </c>
      <c r="O145">
        <f t="shared" si="21"/>
        <v>0</v>
      </c>
      <c r="P145" t="s">
        <v>561</v>
      </c>
      <c r="S145">
        <f>IFERROR(SCORECARDS!C143,"—")</f>
        <v>0</v>
      </c>
      <c r="T145" t="str">
        <f t="shared" si="22"/>
        <v>🔴 Crítico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f t="shared" si="23"/>
        <v>0</v>
      </c>
      <c r="AP145">
        <f t="shared" si="24"/>
        <v>0</v>
      </c>
    </row>
    <row r="146" spans="1:42" ht="16.05" customHeight="1" x14ac:dyDescent="0.3">
      <c r="A146" t="s">
        <v>364</v>
      </c>
      <c r="B146" t="s">
        <v>365</v>
      </c>
      <c r="C146" t="s">
        <v>71</v>
      </c>
      <c r="D146" t="s">
        <v>558</v>
      </c>
      <c r="E146">
        <v>332555.15999999997</v>
      </c>
      <c r="F146">
        <v>2</v>
      </c>
      <c r="G146" t="s">
        <v>559</v>
      </c>
      <c r="H146" t="s">
        <v>587</v>
      </c>
      <c r="I146" t="s">
        <v>576</v>
      </c>
      <c r="J146" t="s">
        <v>560</v>
      </c>
      <c r="K146" t="s">
        <v>567</v>
      </c>
      <c r="L146">
        <v>332555.15999999997</v>
      </c>
      <c r="M146">
        <f t="shared" si="20"/>
        <v>100</v>
      </c>
      <c r="N146" t="s">
        <v>561</v>
      </c>
      <c r="O146">
        <f t="shared" si="21"/>
        <v>0</v>
      </c>
      <c r="P146" t="s">
        <v>561</v>
      </c>
      <c r="Q146">
        <v>203</v>
      </c>
      <c r="R146">
        <v>609</v>
      </c>
      <c r="S146">
        <f>IFERROR(SCORECARDS!C144,"—")</f>
        <v>0</v>
      </c>
      <c r="T146" t="str">
        <f t="shared" si="22"/>
        <v>🔴 Crítico</v>
      </c>
      <c r="U146">
        <v>1</v>
      </c>
      <c r="V146" t="s">
        <v>562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f t="shared" si="23"/>
        <v>0</v>
      </c>
      <c r="AP146">
        <f t="shared" si="24"/>
        <v>0.125</v>
      </c>
    </row>
    <row r="147" spans="1:42" ht="16.05" customHeight="1" x14ac:dyDescent="0.3">
      <c r="A147" t="s">
        <v>366</v>
      </c>
      <c r="B147" t="s">
        <v>367</v>
      </c>
      <c r="C147" t="s">
        <v>230</v>
      </c>
      <c r="D147" t="s">
        <v>563</v>
      </c>
      <c r="E147">
        <v>543961.38</v>
      </c>
      <c r="F147">
        <v>5</v>
      </c>
      <c r="G147" t="s">
        <v>559</v>
      </c>
      <c r="H147" t="s">
        <v>421</v>
      </c>
      <c r="I147" t="s">
        <v>421</v>
      </c>
      <c r="J147" t="s">
        <v>560</v>
      </c>
      <c r="K147" t="s">
        <v>421</v>
      </c>
      <c r="L147">
        <v>271980.69</v>
      </c>
      <c r="M147">
        <f t="shared" si="20"/>
        <v>50</v>
      </c>
      <c r="N147" t="s">
        <v>561</v>
      </c>
      <c r="O147">
        <f t="shared" si="21"/>
        <v>0</v>
      </c>
      <c r="P147" t="s">
        <v>561</v>
      </c>
      <c r="S147">
        <f>IFERROR(SCORECARDS!C145,"—")</f>
        <v>0</v>
      </c>
      <c r="T147" t="str">
        <f t="shared" si="22"/>
        <v>🔴 Crítico</v>
      </c>
      <c r="U147">
        <v>1</v>
      </c>
      <c r="V147" t="s">
        <v>562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f t="shared" si="23"/>
        <v>0</v>
      </c>
      <c r="AP147">
        <f t="shared" si="24"/>
        <v>0</v>
      </c>
    </row>
    <row r="148" spans="1:42" ht="16.05" customHeight="1" x14ac:dyDescent="0.3">
      <c r="A148" t="s">
        <v>368</v>
      </c>
      <c r="B148" t="s">
        <v>369</v>
      </c>
      <c r="C148" t="s">
        <v>74</v>
      </c>
      <c r="D148" t="s">
        <v>563</v>
      </c>
      <c r="G148" t="s">
        <v>564</v>
      </c>
      <c r="H148" t="s">
        <v>421</v>
      </c>
      <c r="I148" t="s">
        <v>421</v>
      </c>
      <c r="J148" t="s">
        <v>560</v>
      </c>
      <c r="K148" t="s">
        <v>421</v>
      </c>
      <c r="L148">
        <v>0</v>
      </c>
      <c r="M148">
        <f t="shared" si="20"/>
        <v>0</v>
      </c>
      <c r="N148" t="s">
        <v>561</v>
      </c>
      <c r="O148">
        <f t="shared" si="21"/>
        <v>0</v>
      </c>
      <c r="P148" t="s">
        <v>561</v>
      </c>
      <c r="S148">
        <f>IFERROR(SCORECARDS!C146,"—")</f>
        <v>0</v>
      </c>
      <c r="T148" t="str">
        <f t="shared" si="22"/>
        <v>🔴 Crítico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f t="shared" si="23"/>
        <v>0</v>
      </c>
      <c r="AP148">
        <f t="shared" si="24"/>
        <v>0</v>
      </c>
    </row>
    <row r="149" spans="1:42" ht="16.05" customHeight="1" x14ac:dyDescent="0.3">
      <c r="A149" t="s">
        <v>370</v>
      </c>
      <c r="B149" t="s">
        <v>371</v>
      </c>
      <c r="C149" t="s">
        <v>140</v>
      </c>
      <c r="D149" t="s">
        <v>558</v>
      </c>
      <c r="E149">
        <v>7275.18</v>
      </c>
      <c r="F149">
        <v>1</v>
      </c>
      <c r="G149" t="s">
        <v>559</v>
      </c>
      <c r="H149" t="s">
        <v>559</v>
      </c>
      <c r="I149" t="s">
        <v>559</v>
      </c>
      <c r="J149" t="s">
        <v>560</v>
      </c>
      <c r="K149" t="s">
        <v>421</v>
      </c>
      <c r="L149">
        <v>0</v>
      </c>
      <c r="M149">
        <f t="shared" si="20"/>
        <v>0</v>
      </c>
      <c r="N149" t="s">
        <v>561</v>
      </c>
      <c r="O149">
        <f t="shared" si="21"/>
        <v>1</v>
      </c>
      <c r="P149" t="s">
        <v>561</v>
      </c>
      <c r="Q149">
        <v>305</v>
      </c>
      <c r="R149">
        <v>699</v>
      </c>
      <c r="S149">
        <f>IFERROR(SCORECARDS!C147,"—")</f>
        <v>0</v>
      </c>
      <c r="T149" t="str">
        <f t="shared" si="22"/>
        <v>🔴 Crítico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f t="shared" si="23"/>
        <v>0</v>
      </c>
      <c r="AP149">
        <f t="shared" si="24"/>
        <v>0.125</v>
      </c>
    </row>
    <row r="150" spans="1:42" ht="16.05" customHeight="1" x14ac:dyDescent="0.3">
      <c r="A150" t="s">
        <v>372</v>
      </c>
      <c r="B150" t="s">
        <v>373</v>
      </c>
      <c r="C150" t="s">
        <v>95</v>
      </c>
      <c r="D150" t="s">
        <v>558</v>
      </c>
      <c r="G150" t="s">
        <v>564</v>
      </c>
      <c r="H150" t="s">
        <v>421</v>
      </c>
      <c r="I150" t="s">
        <v>421</v>
      </c>
      <c r="J150" t="s">
        <v>572</v>
      </c>
      <c r="K150" t="s">
        <v>421</v>
      </c>
      <c r="L150">
        <v>0</v>
      </c>
      <c r="M150">
        <f t="shared" si="20"/>
        <v>0</v>
      </c>
      <c r="N150" t="s">
        <v>561</v>
      </c>
      <c r="O150">
        <f t="shared" si="21"/>
        <v>0</v>
      </c>
      <c r="P150" t="s">
        <v>561</v>
      </c>
      <c r="S150">
        <f>IFERROR(SCORECARDS!C148,"—")</f>
        <v>0</v>
      </c>
      <c r="T150" t="str">
        <f t="shared" si="22"/>
        <v>🔴 Crítico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f t="shared" si="23"/>
        <v>0</v>
      </c>
      <c r="AP150">
        <f t="shared" si="24"/>
        <v>0</v>
      </c>
    </row>
    <row r="151" spans="1:42" ht="16.05" customHeight="1" x14ac:dyDescent="0.3">
      <c r="A151" t="s">
        <v>374</v>
      </c>
      <c r="B151" t="s">
        <v>375</v>
      </c>
      <c r="C151" t="s">
        <v>169</v>
      </c>
      <c r="D151" t="s">
        <v>558</v>
      </c>
      <c r="G151" t="s">
        <v>564</v>
      </c>
      <c r="H151" t="s">
        <v>421</v>
      </c>
      <c r="I151" t="s">
        <v>421</v>
      </c>
      <c r="J151" t="s">
        <v>560</v>
      </c>
      <c r="K151" t="s">
        <v>421</v>
      </c>
      <c r="L151">
        <v>0</v>
      </c>
      <c r="M151">
        <f t="shared" si="20"/>
        <v>0</v>
      </c>
      <c r="N151" t="s">
        <v>561</v>
      </c>
      <c r="O151">
        <f t="shared" si="21"/>
        <v>0</v>
      </c>
      <c r="P151" t="s">
        <v>561</v>
      </c>
      <c r="S151">
        <f>IFERROR(SCORECARDS!C149,"—")</f>
        <v>0</v>
      </c>
      <c r="T151" t="str">
        <f t="shared" si="22"/>
        <v>🔴 Crítico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f t="shared" si="23"/>
        <v>0</v>
      </c>
      <c r="AP151">
        <f t="shared" si="24"/>
        <v>0</v>
      </c>
    </row>
    <row r="152" spans="1:42" ht="16.05" customHeight="1" x14ac:dyDescent="0.3">
      <c r="A152" t="s">
        <v>376</v>
      </c>
      <c r="B152" t="s">
        <v>377</v>
      </c>
      <c r="C152" t="s">
        <v>74</v>
      </c>
      <c r="D152" t="s">
        <v>563</v>
      </c>
      <c r="G152" t="s">
        <v>564</v>
      </c>
      <c r="H152" t="s">
        <v>421</v>
      </c>
      <c r="I152" t="s">
        <v>421</v>
      </c>
      <c r="J152" t="s">
        <v>560</v>
      </c>
      <c r="K152" t="s">
        <v>421</v>
      </c>
      <c r="L152">
        <v>0</v>
      </c>
      <c r="M152">
        <f t="shared" si="20"/>
        <v>0</v>
      </c>
      <c r="N152" t="s">
        <v>561</v>
      </c>
      <c r="O152">
        <f t="shared" si="21"/>
        <v>0</v>
      </c>
      <c r="P152" t="s">
        <v>561</v>
      </c>
      <c r="S152">
        <f>IFERROR(SCORECARDS!C150,"—")</f>
        <v>0</v>
      </c>
      <c r="T152" t="str">
        <f t="shared" si="22"/>
        <v>🔴 Crítico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f t="shared" si="23"/>
        <v>0</v>
      </c>
      <c r="AP152">
        <f t="shared" si="24"/>
        <v>0</v>
      </c>
    </row>
    <row r="153" spans="1:42" ht="16.05" customHeight="1" x14ac:dyDescent="0.3">
      <c r="A153" t="s">
        <v>378</v>
      </c>
      <c r="B153" t="s">
        <v>379</v>
      </c>
      <c r="C153" t="s">
        <v>74</v>
      </c>
      <c r="D153" t="s">
        <v>563</v>
      </c>
      <c r="G153" t="s">
        <v>564</v>
      </c>
      <c r="H153" t="s">
        <v>421</v>
      </c>
      <c r="I153" t="s">
        <v>421</v>
      </c>
      <c r="J153" t="s">
        <v>560</v>
      </c>
      <c r="K153" t="s">
        <v>421</v>
      </c>
      <c r="L153">
        <v>0</v>
      </c>
      <c r="M153">
        <f t="shared" si="20"/>
        <v>0</v>
      </c>
      <c r="N153" t="s">
        <v>561</v>
      </c>
      <c r="O153">
        <f t="shared" si="21"/>
        <v>0</v>
      </c>
      <c r="P153" t="s">
        <v>561</v>
      </c>
      <c r="S153">
        <f>IFERROR(SCORECARDS!C151,"—")</f>
        <v>0</v>
      </c>
      <c r="T153" t="str">
        <f t="shared" si="22"/>
        <v>🔴 Crítico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f t="shared" si="23"/>
        <v>0</v>
      </c>
      <c r="AP153">
        <f t="shared" si="24"/>
        <v>0</v>
      </c>
    </row>
    <row r="154" spans="1:42" ht="16.05" customHeight="1" x14ac:dyDescent="0.3">
      <c r="A154" t="s">
        <v>380</v>
      </c>
      <c r="B154" t="s">
        <v>381</v>
      </c>
      <c r="C154" t="s">
        <v>71</v>
      </c>
      <c r="D154" t="s">
        <v>558</v>
      </c>
      <c r="E154">
        <v>147669.48000000001</v>
      </c>
      <c r="F154">
        <v>1</v>
      </c>
      <c r="G154" t="s">
        <v>559</v>
      </c>
      <c r="H154" t="s">
        <v>421</v>
      </c>
      <c r="I154" t="s">
        <v>576</v>
      </c>
      <c r="J154" t="s">
        <v>560</v>
      </c>
      <c r="K154" t="s">
        <v>567</v>
      </c>
      <c r="L154">
        <v>0</v>
      </c>
      <c r="M154">
        <f t="shared" si="20"/>
        <v>0</v>
      </c>
      <c r="N154" t="s">
        <v>561</v>
      </c>
      <c r="O154">
        <f t="shared" si="21"/>
        <v>0</v>
      </c>
      <c r="P154" t="s">
        <v>561</v>
      </c>
      <c r="Q154">
        <v>257</v>
      </c>
      <c r="R154">
        <v>771</v>
      </c>
      <c r="S154">
        <f>IFERROR(SCORECARDS!C152,"—")</f>
        <v>0</v>
      </c>
      <c r="T154" t="str">
        <f t="shared" si="22"/>
        <v>🔴 Crítico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f t="shared" si="23"/>
        <v>0</v>
      </c>
      <c r="AP154">
        <f t="shared" si="24"/>
        <v>0.125</v>
      </c>
    </row>
    <row r="155" spans="1:42" ht="16.05" customHeight="1" x14ac:dyDescent="0.3">
      <c r="A155" t="s">
        <v>382</v>
      </c>
      <c r="B155" t="s">
        <v>383</v>
      </c>
      <c r="C155" t="s">
        <v>100</v>
      </c>
      <c r="D155" t="s">
        <v>563</v>
      </c>
      <c r="G155" t="s">
        <v>564</v>
      </c>
      <c r="H155" t="s">
        <v>421</v>
      </c>
      <c r="I155" t="s">
        <v>421</v>
      </c>
      <c r="J155" t="s">
        <v>560</v>
      </c>
      <c r="K155" t="s">
        <v>421</v>
      </c>
      <c r="L155">
        <v>0</v>
      </c>
      <c r="M155">
        <f t="shared" si="20"/>
        <v>0</v>
      </c>
      <c r="N155" t="s">
        <v>561</v>
      </c>
      <c r="O155">
        <f t="shared" si="21"/>
        <v>0</v>
      </c>
      <c r="P155" t="s">
        <v>561</v>
      </c>
      <c r="S155">
        <f>IFERROR(SCORECARDS!C153,"—")</f>
        <v>0</v>
      </c>
      <c r="T155" t="str">
        <f t="shared" si="22"/>
        <v>🔴 Crítico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f t="shared" si="23"/>
        <v>0</v>
      </c>
      <c r="AP155">
        <f t="shared" si="24"/>
        <v>0</v>
      </c>
    </row>
    <row r="156" spans="1:42" ht="16.05" customHeight="1" x14ac:dyDescent="0.3">
      <c r="A156" t="s">
        <v>384</v>
      </c>
      <c r="B156" t="s">
        <v>385</v>
      </c>
      <c r="C156" t="s">
        <v>169</v>
      </c>
      <c r="D156" t="s">
        <v>558</v>
      </c>
      <c r="G156" t="s">
        <v>564</v>
      </c>
      <c r="H156" t="s">
        <v>421</v>
      </c>
      <c r="I156" t="s">
        <v>421</v>
      </c>
      <c r="J156" t="s">
        <v>572</v>
      </c>
      <c r="K156" t="s">
        <v>421</v>
      </c>
      <c r="L156">
        <v>0</v>
      </c>
      <c r="M156">
        <f t="shared" si="20"/>
        <v>0</v>
      </c>
      <c r="N156" t="s">
        <v>561</v>
      </c>
      <c r="O156">
        <f t="shared" si="21"/>
        <v>0</v>
      </c>
      <c r="P156" t="s">
        <v>561</v>
      </c>
      <c r="S156">
        <f>IFERROR(SCORECARDS!C154,"—")</f>
        <v>0</v>
      </c>
      <c r="T156" t="str">
        <f t="shared" si="22"/>
        <v>🔴 Crítico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f t="shared" si="23"/>
        <v>0</v>
      </c>
      <c r="AP156">
        <f t="shared" si="24"/>
        <v>0</v>
      </c>
    </row>
    <row r="157" spans="1:42" ht="16.05" customHeight="1" x14ac:dyDescent="0.3">
      <c r="A157" t="s">
        <v>386</v>
      </c>
      <c r="B157" t="s">
        <v>387</v>
      </c>
      <c r="C157" t="s">
        <v>129</v>
      </c>
      <c r="D157" t="s">
        <v>558</v>
      </c>
      <c r="E157">
        <v>940783.32</v>
      </c>
      <c r="F157">
        <v>7</v>
      </c>
      <c r="G157" t="s">
        <v>559</v>
      </c>
      <c r="H157" t="s">
        <v>573</v>
      </c>
      <c r="I157" t="s">
        <v>573</v>
      </c>
      <c r="J157" t="s">
        <v>560</v>
      </c>
      <c r="K157" t="s">
        <v>588</v>
      </c>
      <c r="L157">
        <v>76135.47</v>
      </c>
      <c r="M157">
        <f t="shared" si="20"/>
        <v>8.1</v>
      </c>
      <c r="N157" t="s">
        <v>561</v>
      </c>
      <c r="O157">
        <f t="shared" si="21"/>
        <v>0</v>
      </c>
      <c r="P157" t="s">
        <v>561</v>
      </c>
      <c r="Q157">
        <v>187</v>
      </c>
      <c r="R157">
        <v>600</v>
      </c>
      <c r="S157">
        <f>IFERROR(SCORECARDS!C155,"—")</f>
        <v>0</v>
      </c>
      <c r="T157" t="str">
        <f t="shared" si="22"/>
        <v>🔴 Crítico</v>
      </c>
      <c r="U157">
        <v>1</v>
      </c>
      <c r="V157" t="s">
        <v>562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f t="shared" si="23"/>
        <v>0</v>
      </c>
      <c r="AP157">
        <f t="shared" si="24"/>
        <v>0.125</v>
      </c>
    </row>
    <row r="158" spans="1:42" ht="16.05" customHeight="1" x14ac:dyDescent="0.3">
      <c r="A158" t="s">
        <v>388</v>
      </c>
      <c r="B158" t="s">
        <v>389</v>
      </c>
      <c r="C158" t="s">
        <v>71</v>
      </c>
      <c r="D158" t="s">
        <v>421</v>
      </c>
      <c r="G158" t="s">
        <v>564</v>
      </c>
      <c r="H158" t="s">
        <v>421</v>
      </c>
      <c r="I158" t="s">
        <v>421</v>
      </c>
      <c r="J158" t="s">
        <v>560</v>
      </c>
      <c r="K158" t="s">
        <v>421</v>
      </c>
      <c r="L158">
        <v>0</v>
      </c>
      <c r="M158">
        <f t="shared" si="20"/>
        <v>0</v>
      </c>
      <c r="N158" t="s">
        <v>561</v>
      </c>
      <c r="O158">
        <f t="shared" si="21"/>
        <v>0</v>
      </c>
      <c r="P158" t="s">
        <v>561</v>
      </c>
      <c r="S158">
        <f>IFERROR(SCORECARDS!C156,"—")</f>
        <v>0</v>
      </c>
      <c r="T158" t="str">
        <f t="shared" si="22"/>
        <v>🔴 Crítico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f t="shared" si="23"/>
        <v>0</v>
      </c>
      <c r="AP158">
        <f t="shared" si="24"/>
        <v>0</v>
      </c>
    </row>
    <row r="159" spans="1:42" ht="16.05" customHeight="1" x14ac:dyDescent="0.3">
      <c r="A159" t="s">
        <v>390</v>
      </c>
      <c r="B159" t="s">
        <v>391</v>
      </c>
      <c r="C159" t="s">
        <v>129</v>
      </c>
      <c r="D159" t="s">
        <v>563</v>
      </c>
      <c r="G159" t="s">
        <v>564</v>
      </c>
      <c r="H159" t="s">
        <v>421</v>
      </c>
      <c r="I159" t="s">
        <v>421</v>
      </c>
      <c r="J159" t="s">
        <v>560</v>
      </c>
      <c r="K159" t="s">
        <v>421</v>
      </c>
      <c r="L159">
        <v>0</v>
      </c>
      <c r="M159">
        <f t="shared" si="20"/>
        <v>0</v>
      </c>
      <c r="N159" t="s">
        <v>561</v>
      </c>
      <c r="O159">
        <f t="shared" si="21"/>
        <v>0</v>
      </c>
      <c r="P159" t="s">
        <v>561</v>
      </c>
      <c r="S159">
        <f>IFERROR(SCORECARDS!C157,"—")</f>
        <v>0</v>
      </c>
      <c r="T159" t="str">
        <f t="shared" si="22"/>
        <v>🔴 Crítico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f t="shared" si="23"/>
        <v>0</v>
      </c>
      <c r="AP159">
        <f t="shared" si="24"/>
        <v>0</v>
      </c>
    </row>
    <row r="160" spans="1:42" ht="16.05" customHeight="1" x14ac:dyDescent="0.3">
      <c r="A160" t="s">
        <v>392</v>
      </c>
      <c r="B160" t="s">
        <v>393</v>
      </c>
      <c r="C160" t="s">
        <v>95</v>
      </c>
      <c r="D160" t="s">
        <v>558</v>
      </c>
      <c r="G160" t="s">
        <v>564</v>
      </c>
      <c r="H160" t="s">
        <v>421</v>
      </c>
      <c r="I160" t="s">
        <v>421</v>
      </c>
      <c r="J160" t="s">
        <v>589</v>
      </c>
      <c r="K160" t="s">
        <v>421</v>
      </c>
      <c r="L160">
        <v>0</v>
      </c>
      <c r="M160">
        <f t="shared" si="20"/>
        <v>0</v>
      </c>
      <c r="N160" t="s">
        <v>561</v>
      </c>
      <c r="O160">
        <f t="shared" si="21"/>
        <v>0</v>
      </c>
      <c r="P160" t="s">
        <v>561</v>
      </c>
      <c r="S160">
        <f>IFERROR(SCORECARDS!C158,"—")</f>
        <v>0</v>
      </c>
      <c r="T160" t="str">
        <f t="shared" si="22"/>
        <v>🔴 Crítico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f t="shared" si="23"/>
        <v>0</v>
      </c>
      <c r="AP160">
        <f t="shared" si="24"/>
        <v>0</v>
      </c>
    </row>
    <row r="161" spans="1:42" ht="16.05" customHeight="1" x14ac:dyDescent="0.3">
      <c r="A161" t="s">
        <v>394</v>
      </c>
      <c r="B161" t="s">
        <v>395</v>
      </c>
      <c r="C161" t="s">
        <v>169</v>
      </c>
      <c r="D161" t="s">
        <v>558</v>
      </c>
      <c r="G161" t="s">
        <v>564</v>
      </c>
      <c r="H161" t="s">
        <v>421</v>
      </c>
      <c r="I161" t="s">
        <v>421</v>
      </c>
      <c r="J161" t="s">
        <v>560</v>
      </c>
      <c r="K161" t="s">
        <v>421</v>
      </c>
      <c r="L161">
        <v>0</v>
      </c>
      <c r="M161">
        <f t="shared" si="20"/>
        <v>0</v>
      </c>
      <c r="N161" t="s">
        <v>561</v>
      </c>
      <c r="O161">
        <f t="shared" si="21"/>
        <v>0</v>
      </c>
      <c r="P161" t="s">
        <v>561</v>
      </c>
      <c r="S161">
        <f>IFERROR(SCORECARDS!C159,"—")</f>
        <v>0</v>
      </c>
      <c r="T161" t="str">
        <f t="shared" si="22"/>
        <v>🔴 Crítico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f t="shared" si="23"/>
        <v>0</v>
      </c>
      <c r="AP161">
        <f t="shared" si="24"/>
        <v>0</v>
      </c>
    </row>
    <row r="162" spans="1:42" ht="16.05" customHeight="1" x14ac:dyDescent="0.3">
      <c r="A162" t="s">
        <v>396</v>
      </c>
      <c r="B162" t="s">
        <v>397</v>
      </c>
      <c r="C162" t="s">
        <v>95</v>
      </c>
      <c r="D162" t="s">
        <v>558</v>
      </c>
      <c r="G162" t="s">
        <v>564</v>
      </c>
      <c r="H162" t="s">
        <v>421</v>
      </c>
      <c r="I162" t="s">
        <v>421</v>
      </c>
      <c r="J162" t="s">
        <v>560</v>
      </c>
      <c r="K162" t="s">
        <v>421</v>
      </c>
      <c r="L162">
        <v>0</v>
      </c>
      <c r="M162">
        <f t="shared" si="20"/>
        <v>0</v>
      </c>
      <c r="N162" t="s">
        <v>561</v>
      </c>
      <c r="O162">
        <f t="shared" si="21"/>
        <v>0</v>
      </c>
      <c r="P162" t="s">
        <v>561</v>
      </c>
      <c r="S162">
        <f>IFERROR(SCORECARDS!C160,"—")</f>
        <v>0</v>
      </c>
      <c r="T162" t="str">
        <f t="shared" si="22"/>
        <v>🔴 Crítico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f t="shared" si="23"/>
        <v>0</v>
      </c>
      <c r="AP162">
        <f t="shared" si="24"/>
        <v>0</v>
      </c>
    </row>
    <row r="163" spans="1:42" ht="16.05" customHeight="1" x14ac:dyDescent="0.3">
      <c r="A163" t="s">
        <v>398</v>
      </c>
      <c r="B163" t="s">
        <v>399</v>
      </c>
      <c r="C163" t="s">
        <v>140</v>
      </c>
      <c r="D163" t="s">
        <v>558</v>
      </c>
      <c r="E163">
        <v>3002219.02</v>
      </c>
      <c r="F163">
        <v>19</v>
      </c>
      <c r="G163" t="s">
        <v>559</v>
      </c>
      <c r="H163" t="s">
        <v>421</v>
      </c>
      <c r="I163" t="s">
        <v>421</v>
      </c>
      <c r="J163" t="s">
        <v>560</v>
      </c>
      <c r="K163" t="s">
        <v>421</v>
      </c>
      <c r="L163">
        <v>1501109.51</v>
      </c>
      <c r="M163">
        <f t="shared" ref="M163:M194" si="25">IF(E163&gt;0,ROUND(L163/E163*100,1),0)</f>
        <v>50</v>
      </c>
      <c r="N163" t="s">
        <v>561</v>
      </c>
      <c r="O163">
        <f t="shared" ref="O163:O176" si="26">IF(H163="SI",1,0)*0.6+IF(I163="SI",1,0)*0.4</f>
        <v>0</v>
      </c>
      <c r="P163" t="s">
        <v>561</v>
      </c>
      <c r="S163">
        <f>IFERROR(SCORECARDS!C161,"—")</f>
        <v>0</v>
      </c>
      <c r="T163" t="str">
        <f t="shared" ref="T163:T194" si="27">IF(ISTEXT(S163),S163,IF(S163&lt;34,"🔴 Crítico",IF(S163&lt;67,"🟡 Vulnerable","🟢 Preparado")))</f>
        <v>🔴 Crítico</v>
      </c>
      <c r="U163">
        <v>1</v>
      </c>
      <c r="V163" t="s">
        <v>562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f t="shared" ref="AO163:AO194" si="28">IFERROR(AVERAGE(AA163,AB163,AC163,AD163,AE163,AF163,AG163,AH163,AI163,AJ163,AK163,AL163,AM163,AN163),"N/A")</f>
        <v>0</v>
      </c>
      <c r="AP163">
        <f t="shared" ref="AP163:AP176" si="29">IFERROR(AVERAGE(W163,X163,Y163,Z163)/2,"N/A")</f>
        <v>0.125</v>
      </c>
    </row>
    <row r="164" spans="1:42" ht="16.05" customHeight="1" x14ac:dyDescent="0.3">
      <c r="A164" t="s">
        <v>400</v>
      </c>
      <c r="B164" t="s">
        <v>401</v>
      </c>
      <c r="C164" t="s">
        <v>103</v>
      </c>
      <c r="D164" t="s">
        <v>563</v>
      </c>
      <c r="G164" t="s">
        <v>564</v>
      </c>
      <c r="H164" t="s">
        <v>421</v>
      </c>
      <c r="I164" t="s">
        <v>421</v>
      </c>
      <c r="J164" t="s">
        <v>560</v>
      </c>
      <c r="K164" t="s">
        <v>421</v>
      </c>
      <c r="L164">
        <v>0</v>
      </c>
      <c r="M164">
        <f t="shared" si="25"/>
        <v>0</v>
      </c>
      <c r="N164" t="s">
        <v>561</v>
      </c>
      <c r="O164">
        <f t="shared" si="26"/>
        <v>0</v>
      </c>
      <c r="P164" t="s">
        <v>561</v>
      </c>
      <c r="S164">
        <f>IFERROR(SCORECARDS!C162,"—")</f>
        <v>0</v>
      </c>
      <c r="T164" t="str">
        <f t="shared" si="27"/>
        <v>🔴 Crítico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f t="shared" si="28"/>
        <v>0</v>
      </c>
      <c r="AP164">
        <f t="shared" si="29"/>
        <v>0</v>
      </c>
    </row>
    <row r="165" spans="1:42" ht="16.05" customHeight="1" x14ac:dyDescent="0.3">
      <c r="A165" t="s">
        <v>402</v>
      </c>
      <c r="B165" t="s">
        <v>403</v>
      </c>
      <c r="C165" t="s">
        <v>169</v>
      </c>
      <c r="D165" t="s">
        <v>558</v>
      </c>
      <c r="G165" t="s">
        <v>564</v>
      </c>
      <c r="H165" t="s">
        <v>421</v>
      </c>
      <c r="I165" t="s">
        <v>421</v>
      </c>
      <c r="J165" t="s">
        <v>572</v>
      </c>
      <c r="K165" t="s">
        <v>421</v>
      </c>
      <c r="L165">
        <v>0</v>
      </c>
      <c r="M165">
        <f t="shared" si="25"/>
        <v>0</v>
      </c>
      <c r="N165" t="s">
        <v>561</v>
      </c>
      <c r="O165">
        <f t="shared" si="26"/>
        <v>0</v>
      </c>
      <c r="P165" t="s">
        <v>561</v>
      </c>
      <c r="S165">
        <f>IFERROR(SCORECARDS!C163,"—")</f>
        <v>0</v>
      </c>
      <c r="T165" t="str">
        <f t="shared" si="27"/>
        <v>🔴 Crítico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f t="shared" si="28"/>
        <v>0</v>
      </c>
      <c r="AP165">
        <f t="shared" si="29"/>
        <v>0</v>
      </c>
    </row>
    <row r="166" spans="1:42" ht="16.05" customHeight="1" x14ac:dyDescent="0.3">
      <c r="A166" t="s">
        <v>404</v>
      </c>
      <c r="B166" t="s">
        <v>405</v>
      </c>
      <c r="C166" t="s">
        <v>230</v>
      </c>
      <c r="D166" t="s">
        <v>563</v>
      </c>
      <c r="G166" t="s">
        <v>564</v>
      </c>
      <c r="H166" t="s">
        <v>421</v>
      </c>
      <c r="I166" t="s">
        <v>421</v>
      </c>
      <c r="J166" t="s">
        <v>560</v>
      </c>
      <c r="K166" t="s">
        <v>421</v>
      </c>
      <c r="L166">
        <v>0</v>
      </c>
      <c r="M166">
        <f t="shared" si="25"/>
        <v>0</v>
      </c>
      <c r="N166" t="s">
        <v>561</v>
      </c>
      <c r="O166">
        <f t="shared" si="26"/>
        <v>0</v>
      </c>
      <c r="P166" t="s">
        <v>561</v>
      </c>
      <c r="S166">
        <f>IFERROR(SCORECARDS!C164,"—")</f>
        <v>0</v>
      </c>
      <c r="T166" t="str">
        <f t="shared" si="27"/>
        <v>🔴 Crítico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f t="shared" si="28"/>
        <v>0</v>
      </c>
      <c r="AP166">
        <f t="shared" si="29"/>
        <v>0</v>
      </c>
    </row>
    <row r="167" spans="1:42" ht="16.05" customHeight="1" x14ac:dyDescent="0.3">
      <c r="A167" t="s">
        <v>406</v>
      </c>
      <c r="B167" t="s">
        <v>407</v>
      </c>
      <c r="C167" t="s">
        <v>129</v>
      </c>
      <c r="D167" t="s">
        <v>563</v>
      </c>
      <c r="E167">
        <v>4097</v>
      </c>
      <c r="F167">
        <v>2</v>
      </c>
      <c r="G167" t="s">
        <v>559</v>
      </c>
      <c r="H167" t="s">
        <v>421</v>
      </c>
      <c r="I167" t="s">
        <v>421</v>
      </c>
      <c r="J167" t="s">
        <v>560</v>
      </c>
      <c r="K167" t="s">
        <v>421</v>
      </c>
      <c r="L167">
        <v>0</v>
      </c>
      <c r="M167">
        <f t="shared" si="25"/>
        <v>0</v>
      </c>
      <c r="N167" t="s">
        <v>561</v>
      </c>
      <c r="O167">
        <f t="shared" si="26"/>
        <v>0</v>
      </c>
      <c r="P167" t="s">
        <v>561</v>
      </c>
      <c r="S167">
        <f>IFERROR(SCORECARDS!C165,"—")</f>
        <v>0</v>
      </c>
      <c r="T167" t="str">
        <f t="shared" si="27"/>
        <v>🔴 Crítico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f t="shared" si="28"/>
        <v>0</v>
      </c>
      <c r="AP167">
        <f t="shared" si="29"/>
        <v>0</v>
      </c>
    </row>
    <row r="168" spans="1:42" ht="16.05" customHeight="1" x14ac:dyDescent="0.3">
      <c r="A168" t="s">
        <v>408</v>
      </c>
      <c r="B168" t="s">
        <v>409</v>
      </c>
      <c r="C168" t="s">
        <v>103</v>
      </c>
      <c r="D168" t="s">
        <v>563</v>
      </c>
      <c r="E168">
        <v>19111.5</v>
      </c>
      <c r="F168">
        <v>1</v>
      </c>
      <c r="G168" t="s">
        <v>559</v>
      </c>
      <c r="H168" t="s">
        <v>421</v>
      </c>
      <c r="I168" t="s">
        <v>421</v>
      </c>
      <c r="J168" t="s">
        <v>560</v>
      </c>
      <c r="K168" t="s">
        <v>421</v>
      </c>
      <c r="L168">
        <v>0</v>
      </c>
      <c r="M168">
        <f t="shared" si="25"/>
        <v>0</v>
      </c>
      <c r="N168" t="s">
        <v>561</v>
      </c>
      <c r="O168">
        <f t="shared" si="26"/>
        <v>0</v>
      </c>
      <c r="P168" t="s">
        <v>561</v>
      </c>
      <c r="S168">
        <f>IFERROR(SCORECARDS!C166,"—")</f>
        <v>0</v>
      </c>
      <c r="T168" t="str">
        <f t="shared" si="27"/>
        <v>🔴 Crítico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f t="shared" si="28"/>
        <v>0</v>
      </c>
      <c r="AP168">
        <f t="shared" si="29"/>
        <v>0</v>
      </c>
    </row>
    <row r="169" spans="1:42" ht="16.05" customHeight="1" x14ac:dyDescent="0.3">
      <c r="A169" t="s">
        <v>410</v>
      </c>
      <c r="B169" t="s">
        <v>411</v>
      </c>
      <c r="C169" t="s">
        <v>140</v>
      </c>
      <c r="D169" t="s">
        <v>558</v>
      </c>
      <c r="G169" t="s">
        <v>564</v>
      </c>
      <c r="H169" t="s">
        <v>421</v>
      </c>
      <c r="I169" t="s">
        <v>421</v>
      </c>
      <c r="J169" t="s">
        <v>560</v>
      </c>
      <c r="K169" t="s">
        <v>421</v>
      </c>
      <c r="L169">
        <v>0</v>
      </c>
      <c r="M169">
        <f t="shared" si="25"/>
        <v>0</v>
      </c>
      <c r="N169" t="s">
        <v>561</v>
      </c>
      <c r="O169">
        <f t="shared" si="26"/>
        <v>0</v>
      </c>
      <c r="P169" t="s">
        <v>561</v>
      </c>
      <c r="S169">
        <f>IFERROR(SCORECARDS!C167,"—")</f>
        <v>0</v>
      </c>
      <c r="T169" t="str">
        <f t="shared" si="27"/>
        <v>🔴 Crítico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f t="shared" si="28"/>
        <v>0</v>
      </c>
      <c r="AP169">
        <f t="shared" si="29"/>
        <v>0</v>
      </c>
    </row>
    <row r="170" spans="1:42" ht="16.05" customHeight="1" x14ac:dyDescent="0.3">
      <c r="A170" t="s">
        <v>412</v>
      </c>
      <c r="B170" t="s">
        <v>413</v>
      </c>
      <c r="C170" t="s">
        <v>100</v>
      </c>
      <c r="D170" t="s">
        <v>563</v>
      </c>
      <c r="E170">
        <v>1265261.8999999999</v>
      </c>
      <c r="F170">
        <v>6</v>
      </c>
      <c r="G170" t="s">
        <v>559</v>
      </c>
      <c r="H170" t="s">
        <v>421</v>
      </c>
      <c r="I170" t="s">
        <v>421</v>
      </c>
      <c r="J170" t="s">
        <v>560</v>
      </c>
      <c r="K170" t="s">
        <v>421</v>
      </c>
      <c r="L170">
        <v>0</v>
      </c>
      <c r="M170">
        <f t="shared" si="25"/>
        <v>0</v>
      </c>
      <c r="N170" t="s">
        <v>561</v>
      </c>
      <c r="O170">
        <f t="shared" si="26"/>
        <v>0</v>
      </c>
      <c r="P170" t="s">
        <v>561</v>
      </c>
      <c r="S170">
        <f>IFERROR(SCORECARDS!C168,"—")</f>
        <v>0</v>
      </c>
      <c r="T170" t="str">
        <f t="shared" si="27"/>
        <v>🔴 Crítico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f t="shared" si="28"/>
        <v>0</v>
      </c>
      <c r="AP170">
        <f t="shared" si="29"/>
        <v>0</v>
      </c>
    </row>
    <row r="171" spans="1:42" ht="16.05" customHeight="1" x14ac:dyDescent="0.3">
      <c r="A171" t="s">
        <v>414</v>
      </c>
      <c r="B171" t="s">
        <v>415</v>
      </c>
      <c r="C171" t="s">
        <v>129</v>
      </c>
      <c r="D171" t="s">
        <v>558</v>
      </c>
      <c r="G171" t="s">
        <v>564</v>
      </c>
      <c r="H171" t="s">
        <v>573</v>
      </c>
      <c r="I171" t="s">
        <v>590</v>
      </c>
      <c r="J171" t="s">
        <v>560</v>
      </c>
      <c r="K171" t="s">
        <v>588</v>
      </c>
      <c r="L171">
        <v>0</v>
      </c>
      <c r="M171">
        <f t="shared" si="25"/>
        <v>0</v>
      </c>
      <c r="N171" t="s">
        <v>561</v>
      </c>
      <c r="O171">
        <f t="shared" si="26"/>
        <v>0</v>
      </c>
      <c r="P171" t="s">
        <v>561</v>
      </c>
      <c r="Q171">
        <v>698</v>
      </c>
      <c r="R171">
        <v>921.1</v>
      </c>
      <c r="S171">
        <f>IFERROR(SCORECARDS!C169,"—")</f>
        <v>0</v>
      </c>
      <c r="T171" t="str">
        <f t="shared" si="27"/>
        <v>🔴 Crítico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f t="shared" si="28"/>
        <v>0</v>
      </c>
      <c r="AP171">
        <f t="shared" si="29"/>
        <v>0.125</v>
      </c>
    </row>
    <row r="172" spans="1:42" ht="16.05" customHeight="1" x14ac:dyDescent="0.3">
      <c r="A172" t="s">
        <v>416</v>
      </c>
      <c r="B172" t="s">
        <v>417</v>
      </c>
      <c r="C172" t="s">
        <v>103</v>
      </c>
      <c r="D172" t="s">
        <v>558</v>
      </c>
      <c r="E172">
        <v>0</v>
      </c>
      <c r="G172" t="s">
        <v>564</v>
      </c>
      <c r="H172" t="s">
        <v>421</v>
      </c>
      <c r="I172" t="s">
        <v>421</v>
      </c>
      <c r="J172" t="s">
        <v>560</v>
      </c>
      <c r="K172" t="s">
        <v>421</v>
      </c>
      <c r="L172">
        <v>0</v>
      </c>
      <c r="M172">
        <f t="shared" si="25"/>
        <v>0</v>
      </c>
      <c r="N172" t="s">
        <v>561</v>
      </c>
      <c r="O172">
        <f t="shared" si="26"/>
        <v>0</v>
      </c>
      <c r="P172" t="s">
        <v>561</v>
      </c>
      <c r="S172">
        <f>IFERROR(SCORECARDS!C170,"—")</f>
        <v>0</v>
      </c>
      <c r="T172" t="str">
        <f t="shared" si="27"/>
        <v>🔴 Crítico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f t="shared" si="28"/>
        <v>0</v>
      </c>
      <c r="AP172">
        <f t="shared" si="29"/>
        <v>0</v>
      </c>
    </row>
    <row r="173" spans="1:42" ht="16.05" customHeight="1" x14ac:dyDescent="0.3">
      <c r="A173" t="s">
        <v>418</v>
      </c>
      <c r="B173" t="s">
        <v>419</v>
      </c>
      <c r="C173" t="s">
        <v>169</v>
      </c>
      <c r="D173" t="s">
        <v>558</v>
      </c>
      <c r="G173" t="s">
        <v>564</v>
      </c>
      <c r="H173" t="s">
        <v>421</v>
      </c>
      <c r="I173" t="s">
        <v>421</v>
      </c>
      <c r="J173" t="s">
        <v>572</v>
      </c>
      <c r="K173" t="s">
        <v>421</v>
      </c>
      <c r="L173">
        <v>0</v>
      </c>
      <c r="M173">
        <f t="shared" si="25"/>
        <v>0</v>
      </c>
      <c r="N173" t="s">
        <v>561</v>
      </c>
      <c r="O173">
        <f t="shared" si="26"/>
        <v>0</v>
      </c>
      <c r="P173" t="s">
        <v>561</v>
      </c>
      <c r="S173">
        <f>IFERROR(SCORECARDS!C171,"—")</f>
        <v>0</v>
      </c>
      <c r="T173" t="str">
        <f t="shared" si="27"/>
        <v>🔴 Crítico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f t="shared" si="28"/>
        <v>0</v>
      </c>
      <c r="AP173">
        <f t="shared" si="29"/>
        <v>0</v>
      </c>
    </row>
    <row r="174" spans="1:42" ht="16.05" customHeight="1" x14ac:dyDescent="0.3">
      <c r="A174" t="s">
        <v>420</v>
      </c>
      <c r="B174" t="s">
        <v>421</v>
      </c>
      <c r="C174" t="s">
        <v>421</v>
      </c>
      <c r="D174" t="s">
        <v>421</v>
      </c>
      <c r="G174" t="s">
        <v>421</v>
      </c>
      <c r="H174" t="s">
        <v>421</v>
      </c>
      <c r="I174" t="s">
        <v>421</v>
      </c>
      <c r="J174" t="s">
        <v>421</v>
      </c>
      <c r="K174" t="s">
        <v>421</v>
      </c>
      <c r="L174">
        <v>0</v>
      </c>
      <c r="M174">
        <f t="shared" si="25"/>
        <v>0</v>
      </c>
      <c r="N174" t="s">
        <v>561</v>
      </c>
      <c r="O174">
        <f t="shared" si="26"/>
        <v>0</v>
      </c>
      <c r="P174" t="s">
        <v>561</v>
      </c>
      <c r="S174">
        <f>IFERROR(SCORECARDS!C172,"—")</f>
        <v>0</v>
      </c>
      <c r="T174" t="str">
        <f t="shared" si="27"/>
        <v>🔴 Crítico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f t="shared" si="28"/>
        <v>0</v>
      </c>
      <c r="AP174">
        <f t="shared" si="29"/>
        <v>0</v>
      </c>
    </row>
    <row r="175" spans="1:42" ht="16.05" customHeight="1" x14ac:dyDescent="0.3">
      <c r="A175" t="s">
        <v>422</v>
      </c>
      <c r="B175" t="s">
        <v>423</v>
      </c>
      <c r="C175" t="s">
        <v>100</v>
      </c>
      <c r="D175" t="s">
        <v>563</v>
      </c>
      <c r="E175">
        <v>7723335.0299999993</v>
      </c>
      <c r="F175">
        <v>17</v>
      </c>
      <c r="G175" t="s">
        <v>559</v>
      </c>
      <c r="H175" t="s">
        <v>421</v>
      </c>
      <c r="I175" t="s">
        <v>421</v>
      </c>
      <c r="J175" t="s">
        <v>560</v>
      </c>
      <c r="K175" t="s">
        <v>421</v>
      </c>
      <c r="L175">
        <v>3861667.52</v>
      </c>
      <c r="M175">
        <f t="shared" si="25"/>
        <v>50</v>
      </c>
      <c r="N175" t="s">
        <v>561</v>
      </c>
      <c r="O175">
        <f t="shared" si="26"/>
        <v>0</v>
      </c>
      <c r="P175" t="s">
        <v>561</v>
      </c>
      <c r="S175">
        <f>IFERROR(SCORECARDS!C173,"—")</f>
        <v>0</v>
      </c>
      <c r="T175" t="str">
        <f t="shared" si="27"/>
        <v>🔴 Crítico</v>
      </c>
      <c r="U175">
        <v>1</v>
      </c>
      <c r="V175" t="s">
        <v>562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f t="shared" si="28"/>
        <v>0</v>
      </c>
      <c r="AP175">
        <f t="shared" si="29"/>
        <v>0.125</v>
      </c>
    </row>
    <row r="176" spans="1:42" ht="16.05" customHeight="1" x14ac:dyDescent="0.3">
      <c r="A176" t="s">
        <v>424</v>
      </c>
      <c r="B176" t="s">
        <v>425</v>
      </c>
      <c r="C176" t="s">
        <v>103</v>
      </c>
      <c r="D176" t="s">
        <v>558</v>
      </c>
      <c r="E176">
        <v>300233.07</v>
      </c>
      <c r="F176">
        <v>2</v>
      </c>
      <c r="G176" t="s">
        <v>559</v>
      </c>
      <c r="H176" t="s">
        <v>421</v>
      </c>
      <c r="I176" t="s">
        <v>421</v>
      </c>
      <c r="J176" t="s">
        <v>560</v>
      </c>
      <c r="K176" t="s">
        <v>421</v>
      </c>
      <c r="L176">
        <v>0</v>
      </c>
      <c r="M176">
        <f t="shared" si="25"/>
        <v>0</v>
      </c>
      <c r="N176" t="s">
        <v>561</v>
      </c>
      <c r="O176">
        <f t="shared" si="26"/>
        <v>0</v>
      </c>
      <c r="P176" t="s">
        <v>561</v>
      </c>
      <c r="S176">
        <f>IFERROR(SCORECARDS!C174,"—")</f>
        <v>0</v>
      </c>
      <c r="T176" t="str">
        <f t="shared" si="27"/>
        <v>🔴 Crítico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f t="shared" si="28"/>
        <v>0</v>
      </c>
      <c r="AP176">
        <f t="shared" si="29"/>
        <v>0</v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5"/>
  <sheetViews>
    <sheetView tabSelected="1" workbookViewId="0">
      <pane ySplit="2" topLeftCell="A3" activePane="bottomLeft" state="frozen"/>
      <selection pane="bottomLeft" activeCell="C9" sqref="C9"/>
    </sheetView>
  </sheetViews>
  <sheetFormatPr baseColWidth="10" defaultColWidth="8.88671875" defaultRowHeight="14.4" x14ac:dyDescent="0.3"/>
  <cols>
    <col min="1" max="1" width="6" customWidth="1"/>
    <col min="2" max="2" width="5" customWidth="1"/>
    <col min="3" max="3" width="97.109375" customWidth="1"/>
    <col min="4" max="4" width="16" customWidth="1"/>
    <col min="5" max="5" width="11" customWidth="1"/>
    <col min="6" max="6" width="14" customWidth="1"/>
    <col min="7" max="7" width="49" customWidth="1"/>
    <col min="8" max="8" width="22" customWidth="1"/>
  </cols>
  <sheetData>
    <row r="1" spans="1:9" x14ac:dyDescent="0.3">
      <c r="A1" s="37" t="s">
        <v>591</v>
      </c>
      <c r="B1" s="37"/>
      <c r="C1" s="37"/>
      <c r="D1" s="37"/>
      <c r="E1" s="37"/>
      <c r="F1" s="37"/>
      <c r="G1" s="37"/>
      <c r="H1" s="37"/>
      <c r="I1" s="37"/>
    </row>
    <row r="2" spans="1:9" x14ac:dyDescent="0.3">
      <c r="A2" t="s">
        <v>592</v>
      </c>
      <c r="B2" t="s">
        <v>593</v>
      </c>
      <c r="C2" t="s">
        <v>594</v>
      </c>
      <c r="D2" t="s">
        <v>595</v>
      </c>
      <c r="E2" t="s">
        <v>596</v>
      </c>
      <c r="F2" t="s">
        <v>446</v>
      </c>
      <c r="G2" t="s">
        <v>597</v>
      </c>
      <c r="H2" t="s">
        <v>598</v>
      </c>
    </row>
    <row r="3" spans="1:9" x14ac:dyDescent="0.3">
      <c r="A3" s="37" t="s">
        <v>599</v>
      </c>
      <c r="B3" s="37"/>
      <c r="C3" s="37"/>
      <c r="D3" s="37"/>
      <c r="E3" s="37"/>
      <c r="F3" s="37"/>
      <c r="G3" s="37"/>
      <c r="H3" s="37"/>
    </row>
    <row r="4" spans="1:9" x14ac:dyDescent="0.3">
      <c r="A4" t="s">
        <v>600</v>
      </c>
      <c r="B4" t="s">
        <v>574</v>
      </c>
      <c r="C4" t="s">
        <v>601</v>
      </c>
      <c r="F4" t="s">
        <v>602</v>
      </c>
      <c r="G4" t="s">
        <v>603</v>
      </c>
    </row>
    <row r="5" spans="1:9" x14ac:dyDescent="0.3">
      <c r="A5" t="s">
        <v>600</v>
      </c>
      <c r="B5" t="s">
        <v>604</v>
      </c>
      <c r="C5" t="s">
        <v>605</v>
      </c>
      <c r="F5" t="s">
        <v>606</v>
      </c>
      <c r="G5" t="s">
        <v>607</v>
      </c>
    </row>
    <row r="6" spans="1:9" x14ac:dyDescent="0.3">
      <c r="A6" t="s">
        <v>600</v>
      </c>
      <c r="B6" t="s">
        <v>608</v>
      </c>
      <c r="C6" t="s">
        <v>609</v>
      </c>
      <c r="F6" t="s">
        <v>610</v>
      </c>
      <c r="G6" t="s">
        <v>611</v>
      </c>
    </row>
    <row r="7" spans="1:9" x14ac:dyDescent="0.3">
      <c r="A7" s="37" t="s">
        <v>612</v>
      </c>
      <c r="B7" s="37"/>
      <c r="C7" s="37"/>
      <c r="D7" s="37"/>
      <c r="E7" s="37"/>
      <c r="F7" s="37"/>
      <c r="G7" s="37"/>
      <c r="H7" s="37"/>
    </row>
    <row r="8" spans="1:9" x14ac:dyDescent="0.3">
      <c r="A8" t="s">
        <v>613</v>
      </c>
      <c r="B8" t="s">
        <v>574</v>
      </c>
      <c r="C8" t="s">
        <v>614</v>
      </c>
      <c r="F8" t="s">
        <v>615</v>
      </c>
      <c r="G8" t="s">
        <v>616</v>
      </c>
    </row>
    <row r="9" spans="1:9" x14ac:dyDescent="0.3">
      <c r="A9" t="s">
        <v>613</v>
      </c>
      <c r="B9" t="s">
        <v>604</v>
      </c>
      <c r="C9" t="s">
        <v>617</v>
      </c>
      <c r="F9" t="s">
        <v>618</v>
      </c>
      <c r="G9" t="s">
        <v>619</v>
      </c>
    </row>
    <row r="10" spans="1:9" x14ac:dyDescent="0.3">
      <c r="A10" t="s">
        <v>613</v>
      </c>
      <c r="B10" t="s">
        <v>608</v>
      </c>
      <c r="C10" t="s">
        <v>620</v>
      </c>
      <c r="F10" t="s">
        <v>621</v>
      </c>
      <c r="G10" t="s">
        <v>622</v>
      </c>
    </row>
    <row r="11" spans="1:9" x14ac:dyDescent="0.3">
      <c r="A11" t="s">
        <v>613</v>
      </c>
      <c r="B11" t="s">
        <v>623</v>
      </c>
      <c r="C11" t="s">
        <v>624</v>
      </c>
      <c r="F11" t="s">
        <v>625</v>
      </c>
      <c r="G11" t="s">
        <v>626</v>
      </c>
      <c r="H11" t="s">
        <v>627</v>
      </c>
    </row>
    <row r="12" spans="1:9" x14ac:dyDescent="0.3">
      <c r="A12" t="s">
        <v>613</v>
      </c>
      <c r="B12" t="s">
        <v>628</v>
      </c>
      <c r="C12" t="s">
        <v>629</v>
      </c>
      <c r="F12" t="s">
        <v>630</v>
      </c>
      <c r="G12" t="s">
        <v>622</v>
      </c>
    </row>
    <row r="13" spans="1:9" x14ac:dyDescent="0.3">
      <c r="A13" t="s">
        <v>613</v>
      </c>
      <c r="B13" t="s">
        <v>631</v>
      </c>
      <c r="C13" t="s">
        <v>632</v>
      </c>
      <c r="F13" t="s">
        <v>633</v>
      </c>
      <c r="G13" t="s">
        <v>622</v>
      </c>
    </row>
    <row r="14" spans="1:9" x14ac:dyDescent="0.3">
      <c r="A14" s="37" t="s">
        <v>634</v>
      </c>
      <c r="B14" s="37"/>
      <c r="C14" s="37"/>
      <c r="D14" s="37"/>
      <c r="E14" s="37"/>
      <c r="F14" s="37"/>
      <c r="G14" s="37"/>
      <c r="H14" s="37"/>
    </row>
    <row r="15" spans="1:9" x14ac:dyDescent="0.3">
      <c r="A15" t="s">
        <v>635</v>
      </c>
      <c r="B15" t="s">
        <v>574</v>
      </c>
      <c r="C15" t="s">
        <v>636</v>
      </c>
      <c r="F15" t="s">
        <v>637</v>
      </c>
      <c r="G15" t="s">
        <v>638</v>
      </c>
    </row>
    <row r="16" spans="1:9" x14ac:dyDescent="0.3">
      <c r="A16" t="s">
        <v>635</v>
      </c>
      <c r="B16" t="s">
        <v>604</v>
      </c>
      <c r="C16" t="s">
        <v>639</v>
      </c>
      <c r="F16" t="s">
        <v>640</v>
      </c>
      <c r="G16" t="s">
        <v>641</v>
      </c>
    </row>
    <row r="17" spans="1:8" x14ac:dyDescent="0.3">
      <c r="A17" t="s">
        <v>635</v>
      </c>
      <c r="B17" t="s">
        <v>608</v>
      </c>
      <c r="C17" t="s">
        <v>642</v>
      </c>
      <c r="F17" t="s">
        <v>643</v>
      </c>
      <c r="G17" t="s">
        <v>644</v>
      </c>
    </row>
    <row r="18" spans="1:8" x14ac:dyDescent="0.3">
      <c r="A18" t="s">
        <v>635</v>
      </c>
      <c r="B18" t="s">
        <v>623</v>
      </c>
      <c r="C18" t="s">
        <v>645</v>
      </c>
      <c r="F18" t="s">
        <v>646</v>
      </c>
      <c r="G18" t="s">
        <v>647</v>
      </c>
    </row>
    <row r="19" spans="1:8" x14ac:dyDescent="0.3">
      <c r="A19" s="37" t="s">
        <v>648</v>
      </c>
      <c r="B19" s="37"/>
      <c r="C19" s="37"/>
      <c r="D19" s="37"/>
      <c r="E19" s="37"/>
      <c r="F19" s="37"/>
      <c r="G19" s="37"/>
      <c r="H19" s="37"/>
    </row>
    <row r="20" spans="1:8" x14ac:dyDescent="0.3">
      <c r="A20" t="s">
        <v>649</v>
      </c>
      <c r="B20" t="s">
        <v>574</v>
      </c>
      <c r="C20" t="s">
        <v>650</v>
      </c>
      <c r="F20" t="s">
        <v>651</v>
      </c>
      <c r="G20" t="s">
        <v>652</v>
      </c>
    </row>
    <row r="21" spans="1:8" x14ac:dyDescent="0.3">
      <c r="A21" t="s">
        <v>649</v>
      </c>
      <c r="B21" t="s">
        <v>604</v>
      </c>
      <c r="C21" t="s">
        <v>653</v>
      </c>
      <c r="F21" t="s">
        <v>654</v>
      </c>
      <c r="G21" t="s">
        <v>655</v>
      </c>
    </row>
    <row r="22" spans="1:8" x14ac:dyDescent="0.3">
      <c r="A22" s="37" t="s">
        <v>656</v>
      </c>
      <c r="B22" s="37"/>
      <c r="C22" s="37"/>
      <c r="D22" s="37"/>
      <c r="E22" s="37"/>
      <c r="F22" s="37"/>
      <c r="G22" s="37"/>
      <c r="H22" s="37"/>
    </row>
    <row r="23" spans="1:8" x14ac:dyDescent="0.3">
      <c r="A23" t="s">
        <v>657</v>
      </c>
      <c r="B23" t="s">
        <v>574</v>
      </c>
      <c r="C23" t="s">
        <v>658</v>
      </c>
      <c r="F23" t="s">
        <v>659</v>
      </c>
      <c r="G23" t="s">
        <v>660</v>
      </c>
    </row>
    <row r="24" spans="1:8" x14ac:dyDescent="0.3">
      <c r="A24" t="s">
        <v>657</v>
      </c>
      <c r="B24" t="s">
        <v>604</v>
      </c>
      <c r="C24" t="s">
        <v>661</v>
      </c>
      <c r="F24" t="s">
        <v>662</v>
      </c>
      <c r="G24" t="s">
        <v>622</v>
      </c>
    </row>
    <row r="25" spans="1:8" x14ac:dyDescent="0.3">
      <c r="A25" t="s">
        <v>657</v>
      </c>
      <c r="B25" t="s">
        <v>608</v>
      </c>
      <c r="C25" t="s">
        <v>663</v>
      </c>
      <c r="F25" t="s">
        <v>664</v>
      </c>
      <c r="G25" t="s">
        <v>622</v>
      </c>
    </row>
    <row r="26" spans="1:8" x14ac:dyDescent="0.3">
      <c r="A26" s="37" t="s">
        <v>665</v>
      </c>
      <c r="B26" s="37"/>
      <c r="C26" s="37"/>
      <c r="D26" s="37"/>
      <c r="E26" s="37"/>
      <c r="F26" s="37"/>
      <c r="G26" s="37"/>
      <c r="H26" s="37"/>
    </row>
    <row r="27" spans="1:8" x14ac:dyDescent="0.3">
      <c r="A27" t="s">
        <v>666</v>
      </c>
      <c r="B27" t="s">
        <v>574</v>
      </c>
      <c r="C27" t="s">
        <v>667</v>
      </c>
      <c r="F27" t="s">
        <v>668</v>
      </c>
      <c r="G27" t="s">
        <v>622</v>
      </c>
    </row>
    <row r="28" spans="1:8" x14ac:dyDescent="0.3">
      <c r="A28" t="s">
        <v>666</v>
      </c>
      <c r="B28" t="s">
        <v>604</v>
      </c>
      <c r="C28" t="s">
        <v>669</v>
      </c>
      <c r="F28" t="s">
        <v>670</v>
      </c>
      <c r="G28" t="s">
        <v>622</v>
      </c>
    </row>
    <row r="29" spans="1:8" x14ac:dyDescent="0.3">
      <c r="A29" t="s">
        <v>666</v>
      </c>
      <c r="B29" t="s">
        <v>608</v>
      </c>
      <c r="C29" t="s">
        <v>671</v>
      </c>
      <c r="F29" t="s">
        <v>672</v>
      </c>
      <c r="G29" t="s">
        <v>622</v>
      </c>
    </row>
    <row r="30" spans="1:8" x14ac:dyDescent="0.3">
      <c r="A30" t="s">
        <v>666</v>
      </c>
      <c r="B30" t="s">
        <v>623</v>
      </c>
      <c r="C30" t="s">
        <v>673</v>
      </c>
      <c r="F30" t="s">
        <v>674</v>
      </c>
      <c r="G30" t="s">
        <v>675</v>
      </c>
    </row>
    <row r="31" spans="1:8" x14ac:dyDescent="0.3">
      <c r="A31" s="37" t="s">
        <v>676</v>
      </c>
      <c r="B31" s="37"/>
      <c r="C31" s="37"/>
      <c r="D31" s="37"/>
      <c r="E31" s="37"/>
      <c r="F31" s="37"/>
      <c r="G31" s="37"/>
      <c r="H31" s="37"/>
    </row>
    <row r="32" spans="1:8" x14ac:dyDescent="0.3">
      <c r="A32" t="s">
        <v>677</v>
      </c>
      <c r="B32" t="s">
        <v>574</v>
      </c>
      <c r="C32" t="s">
        <v>678</v>
      </c>
      <c r="F32" t="s">
        <v>679</v>
      </c>
      <c r="G32" t="s">
        <v>680</v>
      </c>
    </row>
    <row r="33" spans="1:8" x14ac:dyDescent="0.3">
      <c r="A33" t="s">
        <v>677</v>
      </c>
      <c r="B33" t="s">
        <v>604</v>
      </c>
      <c r="C33" t="s">
        <v>681</v>
      </c>
      <c r="F33" t="s">
        <v>682</v>
      </c>
      <c r="G33" t="s">
        <v>683</v>
      </c>
    </row>
    <row r="34" spans="1:8" x14ac:dyDescent="0.3">
      <c r="A34" t="s">
        <v>677</v>
      </c>
      <c r="B34" t="s">
        <v>608</v>
      </c>
      <c r="C34" t="s">
        <v>684</v>
      </c>
      <c r="F34" t="s">
        <v>685</v>
      </c>
      <c r="G34" t="s">
        <v>622</v>
      </c>
    </row>
    <row r="35" spans="1:8" x14ac:dyDescent="0.3">
      <c r="A35" t="s">
        <v>677</v>
      </c>
      <c r="B35" t="s">
        <v>623</v>
      </c>
      <c r="C35" t="s">
        <v>686</v>
      </c>
      <c r="F35" t="s">
        <v>687</v>
      </c>
      <c r="G35" t="s">
        <v>688</v>
      </c>
    </row>
    <row r="36" spans="1:8" x14ac:dyDescent="0.3">
      <c r="A36" s="37" t="s">
        <v>689</v>
      </c>
      <c r="B36" s="37"/>
      <c r="C36" s="37"/>
      <c r="D36" s="37"/>
      <c r="E36" s="37"/>
      <c r="F36" s="37"/>
      <c r="G36" s="37"/>
      <c r="H36" s="37"/>
    </row>
    <row r="37" spans="1:8" x14ac:dyDescent="0.3">
      <c r="A37" t="s">
        <v>690</v>
      </c>
      <c r="B37" t="s">
        <v>574</v>
      </c>
      <c r="C37" t="s">
        <v>691</v>
      </c>
      <c r="F37" t="s">
        <v>692</v>
      </c>
      <c r="G37" t="s">
        <v>693</v>
      </c>
    </row>
    <row r="38" spans="1:8" x14ac:dyDescent="0.3">
      <c r="A38" t="s">
        <v>690</v>
      </c>
      <c r="B38" t="s">
        <v>604</v>
      </c>
      <c r="C38" t="s">
        <v>694</v>
      </c>
      <c r="F38" t="s">
        <v>695</v>
      </c>
      <c r="G38" t="s">
        <v>622</v>
      </c>
    </row>
    <row r="39" spans="1:8" x14ac:dyDescent="0.3">
      <c r="A39" s="37" t="s">
        <v>696</v>
      </c>
      <c r="B39" s="37"/>
      <c r="C39" s="37"/>
      <c r="D39" s="37"/>
      <c r="E39" s="37"/>
      <c r="F39" s="37"/>
      <c r="G39" s="37"/>
      <c r="H39" s="37"/>
    </row>
    <row r="40" spans="1:8" x14ac:dyDescent="0.3">
      <c r="A40" t="s">
        <v>697</v>
      </c>
      <c r="B40" t="s">
        <v>574</v>
      </c>
      <c r="C40" t="s">
        <v>698</v>
      </c>
      <c r="F40" t="s">
        <v>699</v>
      </c>
      <c r="G40" t="s">
        <v>675</v>
      </c>
    </row>
    <row r="41" spans="1:8" x14ac:dyDescent="0.3">
      <c r="A41" t="s">
        <v>697</v>
      </c>
      <c r="B41" t="s">
        <v>604</v>
      </c>
      <c r="C41" t="s">
        <v>700</v>
      </c>
      <c r="F41" t="s">
        <v>701</v>
      </c>
      <c r="G41" t="s">
        <v>622</v>
      </c>
    </row>
    <row r="42" spans="1:8" x14ac:dyDescent="0.3">
      <c r="A42" s="37" t="s">
        <v>702</v>
      </c>
      <c r="B42" s="37"/>
      <c r="C42" s="37"/>
      <c r="D42" s="37"/>
      <c r="E42" s="37"/>
      <c r="F42" s="37"/>
      <c r="G42" s="37"/>
      <c r="H42" s="37"/>
    </row>
    <row r="43" spans="1:8" x14ac:dyDescent="0.3">
      <c r="A43" t="s">
        <v>703</v>
      </c>
      <c r="B43" t="s">
        <v>574</v>
      </c>
      <c r="C43" t="s">
        <v>704</v>
      </c>
      <c r="F43" t="s">
        <v>705</v>
      </c>
      <c r="G43" t="s">
        <v>706</v>
      </c>
    </row>
    <row r="44" spans="1:8" x14ac:dyDescent="0.3">
      <c r="A44" t="s">
        <v>703</v>
      </c>
      <c r="B44" t="s">
        <v>604</v>
      </c>
      <c r="C44" t="s">
        <v>707</v>
      </c>
      <c r="F44" t="s">
        <v>708</v>
      </c>
      <c r="G44" t="s">
        <v>622</v>
      </c>
    </row>
    <row r="45" spans="1:8" x14ac:dyDescent="0.3">
      <c r="A45" s="37" t="s">
        <v>709</v>
      </c>
      <c r="B45" s="37"/>
      <c r="C45" s="37"/>
      <c r="D45" s="37"/>
      <c r="E45" s="37"/>
      <c r="F45" s="37"/>
      <c r="G45" s="37"/>
      <c r="H45" s="37"/>
    </row>
    <row r="46" spans="1:8" x14ac:dyDescent="0.3">
      <c r="A46" t="s">
        <v>710</v>
      </c>
      <c r="B46" t="s">
        <v>574</v>
      </c>
      <c r="C46" t="s">
        <v>711</v>
      </c>
      <c r="F46" t="s">
        <v>712</v>
      </c>
      <c r="G46" t="s">
        <v>622</v>
      </c>
    </row>
    <row r="47" spans="1:8" x14ac:dyDescent="0.3">
      <c r="A47" t="s">
        <v>710</v>
      </c>
      <c r="B47" t="s">
        <v>604</v>
      </c>
      <c r="C47" t="s">
        <v>713</v>
      </c>
      <c r="F47" t="s">
        <v>714</v>
      </c>
      <c r="G47" t="s">
        <v>715</v>
      </c>
    </row>
    <row r="48" spans="1:8" x14ac:dyDescent="0.3">
      <c r="A48" s="37" t="s">
        <v>716</v>
      </c>
      <c r="B48" s="37"/>
      <c r="C48" s="37"/>
      <c r="D48" s="37"/>
      <c r="E48" s="37"/>
      <c r="F48" s="37"/>
      <c r="G48" s="37"/>
      <c r="H48" s="37"/>
    </row>
    <row r="49" spans="1:8" x14ac:dyDescent="0.3">
      <c r="A49" t="s">
        <v>466</v>
      </c>
      <c r="B49" t="s">
        <v>503</v>
      </c>
      <c r="C49" t="s">
        <v>717</v>
      </c>
      <c r="F49" t="s">
        <v>718</v>
      </c>
      <c r="G49" t="s">
        <v>622</v>
      </c>
    </row>
    <row r="50" spans="1:8" x14ac:dyDescent="0.3">
      <c r="A50" t="s">
        <v>466</v>
      </c>
      <c r="B50" t="s">
        <v>504</v>
      </c>
      <c r="C50" t="s">
        <v>719</v>
      </c>
      <c r="F50" t="s">
        <v>720</v>
      </c>
      <c r="G50" t="s">
        <v>721</v>
      </c>
    </row>
    <row r="52" spans="1:8" x14ac:dyDescent="0.3">
      <c r="A52" s="37" t="s">
        <v>722</v>
      </c>
      <c r="B52" s="37"/>
      <c r="C52" s="37"/>
      <c r="D52" s="37"/>
      <c r="E52" s="37"/>
      <c r="F52" s="37"/>
      <c r="G52" s="37"/>
      <c r="H52" s="37"/>
    </row>
    <row r="53" spans="1:8" x14ac:dyDescent="0.3">
      <c r="A53" t="s">
        <v>723</v>
      </c>
      <c r="B53" t="s">
        <v>724</v>
      </c>
      <c r="C53" t="s">
        <v>725</v>
      </c>
      <c r="D53" t="s">
        <v>726</v>
      </c>
    </row>
    <row r="54" spans="1:8" x14ac:dyDescent="0.3">
      <c r="A54" t="s">
        <v>727</v>
      </c>
      <c r="B54">
        <f>IFERROR(AVERAGEIF(E3:E6,"&gt;0"),0)</f>
        <v>0</v>
      </c>
      <c r="C54">
        <f>COUNTIF(E3:E6,"&gt;0")</f>
        <v>0</v>
      </c>
      <c r="D54" t="str">
        <f t="shared" ref="D54:D65" si="0">IF(B54&gt;=0.67,"🟢 Verde",IF(B54&gt;=0.34,"🟡 Amarillo","🔴 Rojo"))</f>
        <v>🔴 Rojo</v>
      </c>
    </row>
    <row r="55" spans="1:8" x14ac:dyDescent="0.3">
      <c r="A55" t="s">
        <v>728</v>
      </c>
      <c r="B55">
        <f>IFERROR(AVERAGEIF(E7:E13,"&gt;0"),0)</f>
        <v>0</v>
      </c>
      <c r="C55">
        <f>COUNTIF(E7:E13,"&gt;0")</f>
        <v>0</v>
      </c>
      <c r="D55" t="str">
        <f t="shared" si="0"/>
        <v>🔴 Rojo</v>
      </c>
    </row>
    <row r="56" spans="1:8" x14ac:dyDescent="0.3">
      <c r="A56" t="s">
        <v>729</v>
      </c>
      <c r="B56">
        <f>IFERROR(AVERAGEIF(E14:E18,"&gt;0"),0)</f>
        <v>0</v>
      </c>
      <c r="C56">
        <f>COUNTIF(E14:E18,"&gt;0")</f>
        <v>0</v>
      </c>
      <c r="D56" t="str">
        <f t="shared" si="0"/>
        <v>🔴 Rojo</v>
      </c>
    </row>
    <row r="57" spans="1:8" x14ac:dyDescent="0.3">
      <c r="A57" t="s">
        <v>730</v>
      </c>
      <c r="B57">
        <f>IFERROR(AVERAGEIF(E19:E21,"&gt;0"),0)</f>
        <v>0</v>
      </c>
      <c r="C57">
        <f>COUNTIF(E19:E21,"&gt;0")</f>
        <v>0</v>
      </c>
      <c r="D57" t="str">
        <f t="shared" si="0"/>
        <v>🔴 Rojo</v>
      </c>
    </row>
    <row r="58" spans="1:8" x14ac:dyDescent="0.3">
      <c r="A58" t="s">
        <v>731</v>
      </c>
      <c r="B58">
        <f>IFERROR(AVERAGEIF(E22:E25,"&gt;0"),0)</f>
        <v>0</v>
      </c>
      <c r="C58">
        <f>COUNTIF(E22:E25,"&gt;0")</f>
        <v>0</v>
      </c>
      <c r="D58" t="str">
        <f t="shared" si="0"/>
        <v>🔴 Rojo</v>
      </c>
    </row>
    <row r="59" spans="1:8" x14ac:dyDescent="0.3">
      <c r="A59" t="s">
        <v>732</v>
      </c>
      <c r="B59">
        <f>IFERROR(AVERAGEIF(E26:E30,"&gt;0"),0)</f>
        <v>0</v>
      </c>
      <c r="C59">
        <f>COUNTIF(E26:E30,"&gt;0")</f>
        <v>0</v>
      </c>
      <c r="D59" t="str">
        <f t="shared" si="0"/>
        <v>🔴 Rojo</v>
      </c>
    </row>
    <row r="60" spans="1:8" x14ac:dyDescent="0.3">
      <c r="A60" t="s">
        <v>733</v>
      </c>
      <c r="B60">
        <f>IFERROR(AVERAGEIF(E31:E35,"&gt;0"),0)</f>
        <v>0</v>
      </c>
      <c r="C60">
        <f>COUNTIF(E31:E35,"&gt;0")</f>
        <v>0</v>
      </c>
      <c r="D60" t="str">
        <f t="shared" si="0"/>
        <v>🔴 Rojo</v>
      </c>
    </row>
    <row r="61" spans="1:8" x14ac:dyDescent="0.3">
      <c r="A61" t="s">
        <v>734</v>
      </c>
      <c r="B61">
        <f>IFERROR(AVERAGEIF(E36:E38,"&gt;0"),0)</f>
        <v>0</v>
      </c>
      <c r="C61">
        <f>COUNTIF(E36:E38,"&gt;0")</f>
        <v>0</v>
      </c>
      <c r="D61" t="str">
        <f t="shared" si="0"/>
        <v>🔴 Rojo</v>
      </c>
    </row>
    <row r="62" spans="1:8" x14ac:dyDescent="0.3">
      <c r="A62" t="s">
        <v>735</v>
      </c>
      <c r="B62">
        <f>IFERROR(AVERAGEIF(E39:E41,"&gt;0"),0)</f>
        <v>0</v>
      </c>
      <c r="C62">
        <f>COUNTIF(E39:E41,"&gt;0")</f>
        <v>0</v>
      </c>
      <c r="D62" t="str">
        <f t="shared" si="0"/>
        <v>🔴 Rojo</v>
      </c>
    </row>
    <row r="63" spans="1:8" x14ac:dyDescent="0.3">
      <c r="A63" t="s">
        <v>736</v>
      </c>
      <c r="B63">
        <f>IFERROR(AVERAGEIF(E42:E44,"&gt;0"),0)</f>
        <v>0</v>
      </c>
      <c r="C63">
        <f>COUNTIF(E42:E44,"&gt;0")</f>
        <v>0</v>
      </c>
      <c r="D63" t="str">
        <f t="shared" si="0"/>
        <v>🔴 Rojo</v>
      </c>
    </row>
    <row r="64" spans="1:8" x14ac:dyDescent="0.3">
      <c r="A64" t="s">
        <v>737</v>
      </c>
      <c r="B64">
        <f>IFERROR(AVERAGEIF(E45:E47,"&gt;0"),0)</f>
        <v>0</v>
      </c>
      <c r="C64">
        <f>COUNTIF(E45:E47,"&gt;0")</f>
        <v>0</v>
      </c>
      <c r="D64" t="str">
        <f t="shared" si="0"/>
        <v>🔴 Rojo</v>
      </c>
    </row>
    <row r="65" spans="1:4" x14ac:dyDescent="0.3">
      <c r="A65" t="s">
        <v>738</v>
      </c>
      <c r="B65">
        <f>IFERROR(AVERAGEIF(E48:E50,"&gt;0"),0)</f>
        <v>0</v>
      </c>
      <c r="C65">
        <f>COUNTIF(E48:E50,"&gt;0")</f>
        <v>0</v>
      </c>
      <c r="D65" t="str">
        <f t="shared" si="0"/>
        <v>🔴 Rojo</v>
      </c>
    </row>
  </sheetData>
  <mergeCells count="14">
    <mergeCell ref="A52:H52"/>
    <mergeCell ref="A1:I1"/>
    <mergeCell ref="A42:H42"/>
    <mergeCell ref="A19:H19"/>
    <mergeCell ref="A14:H14"/>
    <mergeCell ref="A36:H36"/>
    <mergeCell ref="A45:H45"/>
    <mergeCell ref="A31:H31"/>
    <mergeCell ref="A22:H22"/>
    <mergeCell ref="A48:H48"/>
    <mergeCell ref="A26:H26"/>
    <mergeCell ref="A3:H3"/>
    <mergeCell ref="A39:H39"/>
    <mergeCell ref="A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7"/>
  <sheetViews>
    <sheetView workbookViewId="0">
      <pane xSplit="2" ySplit="2" topLeftCell="C3" activePane="bottomRight" state="frozen"/>
      <selection pane="topRight"/>
      <selection pane="bottomLeft"/>
      <selection pane="bottomRight" sqref="A1:O1"/>
    </sheetView>
  </sheetViews>
  <sheetFormatPr baseColWidth="10" defaultColWidth="8.88671875" defaultRowHeight="14.4" x14ac:dyDescent="0.3"/>
  <cols>
    <col min="1" max="1" width="14" customWidth="1"/>
    <col min="2" max="2" width="38" customWidth="1"/>
    <col min="3" max="3" width="11" customWidth="1"/>
    <col min="4" max="4" width="14" customWidth="1"/>
    <col min="5" max="5" width="8" customWidth="1"/>
    <col min="6" max="6" width="14" customWidth="1"/>
    <col min="7" max="7" width="10" customWidth="1"/>
    <col min="8" max="8" width="11" customWidth="1"/>
    <col min="9" max="9" width="12" customWidth="1"/>
    <col min="10" max="10" width="13" customWidth="1"/>
    <col min="11" max="11" width="14" customWidth="1"/>
    <col min="12" max="12" width="10" customWidth="1"/>
    <col min="13" max="13" width="8" customWidth="1"/>
    <col min="14" max="14" width="14" customWidth="1"/>
    <col min="15" max="15" width="16" customWidth="1"/>
  </cols>
  <sheetData>
    <row r="1" spans="1:15" ht="28.05" customHeight="1" x14ac:dyDescent="0.3">
      <c r="A1" s="37" t="s">
        <v>739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22.05" customHeight="1" x14ac:dyDescent="0.3">
      <c r="A2" t="s">
        <v>25</v>
      </c>
      <c r="B2" t="s">
        <v>26</v>
      </c>
      <c r="C2" t="s">
        <v>740</v>
      </c>
      <c r="D2" t="s">
        <v>741</v>
      </c>
      <c r="E2" t="s">
        <v>742</v>
      </c>
      <c r="F2" t="s">
        <v>28</v>
      </c>
      <c r="G2" t="s">
        <v>528</v>
      </c>
      <c r="H2" t="s">
        <v>743</v>
      </c>
      <c r="I2" t="s">
        <v>744</v>
      </c>
      <c r="J2" t="s">
        <v>745</v>
      </c>
      <c r="K2" t="s">
        <v>746</v>
      </c>
      <c r="L2" t="s">
        <v>747</v>
      </c>
      <c r="M2" t="s">
        <v>466</v>
      </c>
      <c r="N2" t="s">
        <v>748</v>
      </c>
      <c r="O2" t="s">
        <v>749</v>
      </c>
    </row>
    <row r="3" spans="1:15" ht="16.05" customHeight="1" x14ac:dyDescent="0.3">
      <c r="A3" t="s">
        <v>63</v>
      </c>
      <c r="B3" t="s">
        <v>64</v>
      </c>
      <c r="C3" s="36">
        <f>IFERROR(ISCAM_Score!AL4,"—")</f>
        <v>0</v>
      </c>
      <c r="D3" t="str">
        <f t="shared" ref="D3:D34" si="0">IF(C3="—","— Sin Inst.2",IF(C3&lt;34,"🔴  Crítico",IF(C3&lt;67,"🟡  En desarrollo","🟢  Alineado")))</f>
        <v>🔴  Crítico</v>
      </c>
      <c r="E3">
        <f t="shared" ref="E3:E34" si="1">IFERROR(RANK(C3,C:C,-1),"")</f>
        <v>1</v>
      </c>
      <c r="F3">
        <v>2553623.31</v>
      </c>
      <c r="G3">
        <f>IFERROR(MATRIZ_174!M3,0)</f>
        <v>50</v>
      </c>
      <c r="H3">
        <v>0</v>
      </c>
      <c r="I3">
        <v>0</v>
      </c>
      <c r="J3">
        <v>0</v>
      </c>
      <c r="K3">
        <f>IFERROR(INDEX(MATRIZ_174!$U:$U,MATCH(A3,MATRIZ_174!$A:$A,0)),"")</f>
        <v>1</v>
      </c>
      <c r="L3">
        <f>IFERROR(MATRIZ_174!O3,0)</f>
        <v>0</v>
      </c>
      <c r="M3">
        <v>0</v>
      </c>
      <c r="N3" t="str">
        <f>IFERROR(ISCAM_Score!AC4,"")</f>
        <v>⬜  Riesgo Latente</v>
      </c>
      <c r="O3" t="s">
        <v>65</v>
      </c>
    </row>
    <row r="4" spans="1:15" ht="16.05" customHeight="1" x14ac:dyDescent="0.3">
      <c r="A4" t="s">
        <v>66</v>
      </c>
      <c r="B4" t="s">
        <v>67</v>
      </c>
      <c r="C4" s="36">
        <f>IFERROR(ISCAM_Score!AL5,"—")</f>
        <v>0</v>
      </c>
      <c r="D4" t="str">
        <f t="shared" si="0"/>
        <v>🔴  Crítico</v>
      </c>
      <c r="E4">
        <f t="shared" si="1"/>
        <v>1</v>
      </c>
      <c r="F4">
        <v>0</v>
      </c>
      <c r="G4">
        <f>IFERROR(MATRIZ_174!M4,0)</f>
        <v>0</v>
      </c>
      <c r="H4">
        <v>0</v>
      </c>
      <c r="I4">
        <v>0</v>
      </c>
      <c r="J4">
        <v>0</v>
      </c>
      <c r="K4">
        <f>IFERROR(INDEX(MATRIZ_174!$U:$U,MATCH(A4,MATRIZ_174!$A:$A,0)),"")</f>
        <v>0</v>
      </c>
      <c r="L4">
        <f>IFERROR(MATRIZ_174!O4,0)</f>
        <v>0</v>
      </c>
      <c r="M4">
        <v>0</v>
      </c>
      <c r="N4" t="str">
        <f>IFERROR(ISCAM_Score!AC5,"")</f>
        <v>⬜  Riesgo Latente</v>
      </c>
      <c r="O4" t="s">
        <v>68</v>
      </c>
    </row>
    <row r="5" spans="1:15" ht="16.05" customHeight="1" x14ac:dyDescent="0.3">
      <c r="A5" t="s">
        <v>69</v>
      </c>
      <c r="B5" t="s">
        <v>70</v>
      </c>
      <c r="C5" s="36">
        <f>IFERROR(ISCAM_Score!AL6,"—")</f>
        <v>0</v>
      </c>
      <c r="D5" t="str">
        <f t="shared" si="0"/>
        <v>🔴  Crítico</v>
      </c>
      <c r="E5">
        <f t="shared" si="1"/>
        <v>1</v>
      </c>
      <c r="F5">
        <v>4801984.0599999996</v>
      </c>
      <c r="G5">
        <f>IFERROR(MATRIZ_174!M5,0)</f>
        <v>50</v>
      </c>
      <c r="H5">
        <v>0</v>
      </c>
      <c r="I5">
        <v>0</v>
      </c>
      <c r="J5">
        <v>0</v>
      </c>
      <c r="K5">
        <f>IFERROR(INDEX(MATRIZ_174!$U:$U,MATCH(A5,MATRIZ_174!$A:$A,0)),"")</f>
        <v>1</v>
      </c>
      <c r="L5">
        <f>IFERROR(MATRIZ_174!O5,0)</f>
        <v>0</v>
      </c>
      <c r="M5">
        <v>0</v>
      </c>
      <c r="N5" t="str">
        <f>IFERROR(ISCAM_Score!AC6,"")</f>
        <v>⬜  Riesgo Latente</v>
      </c>
      <c r="O5" t="s">
        <v>71</v>
      </c>
    </row>
    <row r="6" spans="1:15" ht="16.05" customHeight="1" x14ac:dyDescent="0.3">
      <c r="A6" t="s">
        <v>72</v>
      </c>
      <c r="B6" t="s">
        <v>73</v>
      </c>
      <c r="C6" s="36">
        <f>IFERROR(ISCAM_Score!AL7,"—")</f>
        <v>0</v>
      </c>
      <c r="D6" t="str">
        <f t="shared" si="0"/>
        <v>🔴  Crítico</v>
      </c>
      <c r="E6">
        <f t="shared" si="1"/>
        <v>1</v>
      </c>
      <c r="F6">
        <f>IFERROR(MATRIZ_174!L6,0)</f>
        <v>0</v>
      </c>
      <c r="G6">
        <f>IFERROR(MATRIZ_174!M6,0)</f>
        <v>0</v>
      </c>
      <c r="H6">
        <v>0</v>
      </c>
      <c r="I6">
        <v>0</v>
      </c>
      <c r="J6">
        <v>0</v>
      </c>
      <c r="K6">
        <f>IFERROR(INDEX(MATRIZ_174!$U:$U,MATCH(A6,MATRIZ_174!$A:$A,0)),"")</f>
        <v>0</v>
      </c>
      <c r="L6">
        <f>IFERROR(MATRIZ_174!O6,0)</f>
        <v>0</v>
      </c>
      <c r="M6">
        <v>0</v>
      </c>
      <c r="N6" t="str">
        <f>IFERROR(ISCAM_Score!AC7,"")</f>
        <v>🔴  Riesgo Crítico</v>
      </c>
      <c r="O6" t="s">
        <v>74</v>
      </c>
    </row>
    <row r="7" spans="1:15" ht="16.05" customHeight="1" x14ac:dyDescent="0.3">
      <c r="A7" t="s">
        <v>75</v>
      </c>
      <c r="B7" t="s">
        <v>76</v>
      </c>
      <c r="C7" s="36">
        <f>IFERROR(ISCAM_Score!AL8,"—")</f>
        <v>0</v>
      </c>
      <c r="D7" t="str">
        <f t="shared" si="0"/>
        <v>🔴  Crítico</v>
      </c>
      <c r="E7">
        <f t="shared" si="1"/>
        <v>1</v>
      </c>
      <c r="F7">
        <f>IFERROR(MATRIZ_174!L7,0)</f>
        <v>0</v>
      </c>
      <c r="G7">
        <f>IFERROR(MATRIZ_174!M7,0)</f>
        <v>0</v>
      </c>
      <c r="H7">
        <v>0</v>
      </c>
      <c r="I7">
        <v>0</v>
      </c>
      <c r="J7">
        <v>0</v>
      </c>
      <c r="K7">
        <f>IFERROR(INDEX(MATRIZ_174!$U:$U,MATCH(A7,MATRIZ_174!$A:$A,0)),"")</f>
        <v>0</v>
      </c>
      <c r="L7">
        <f>IFERROR(MATRIZ_174!O7,0)</f>
        <v>0</v>
      </c>
      <c r="M7">
        <v>0</v>
      </c>
      <c r="N7" t="str">
        <f>IFERROR(ISCAM_Score!AC8,"")</f>
        <v>🔴  Riesgo Crítico</v>
      </c>
      <c r="O7" t="s">
        <v>74</v>
      </c>
    </row>
    <row r="8" spans="1:15" ht="16.05" customHeight="1" x14ac:dyDescent="0.3">
      <c r="A8" t="s">
        <v>77</v>
      </c>
      <c r="B8" t="s">
        <v>78</v>
      </c>
      <c r="C8" s="36">
        <f>IFERROR(ISCAM_Score!AL9,"—")</f>
        <v>0</v>
      </c>
      <c r="D8" t="str">
        <f t="shared" si="0"/>
        <v>🔴  Crítico</v>
      </c>
      <c r="E8">
        <f t="shared" si="1"/>
        <v>1</v>
      </c>
      <c r="F8">
        <v>1238541.75</v>
      </c>
      <c r="G8">
        <f>IFERROR(MATRIZ_174!M8,0)</f>
        <v>50</v>
      </c>
      <c r="H8">
        <v>0</v>
      </c>
      <c r="I8">
        <v>0</v>
      </c>
      <c r="J8">
        <v>0</v>
      </c>
      <c r="K8">
        <f>IFERROR(INDEX(MATRIZ_174!$U:$U,MATCH(A8,MATRIZ_174!$A:$A,0)),"")</f>
        <v>1</v>
      </c>
      <c r="L8">
        <f>IFERROR(MATRIZ_174!O8,0)</f>
        <v>0</v>
      </c>
      <c r="M8">
        <v>0</v>
      </c>
      <c r="N8" t="str">
        <f>IFERROR(ISCAM_Score!AC9,"")</f>
        <v>⬜  Riesgo Latente</v>
      </c>
      <c r="O8" t="s">
        <v>74</v>
      </c>
    </row>
    <row r="9" spans="1:15" ht="16.05" customHeight="1" x14ac:dyDescent="0.3">
      <c r="A9" t="s">
        <v>79</v>
      </c>
      <c r="B9" t="s">
        <v>80</v>
      </c>
      <c r="C9" s="36">
        <f>IFERROR(ISCAM_Score!AL10,"—")</f>
        <v>0</v>
      </c>
      <c r="D9" t="str">
        <f t="shared" si="0"/>
        <v>🔴  Crítico</v>
      </c>
      <c r="E9">
        <f t="shared" si="1"/>
        <v>1</v>
      </c>
      <c r="F9">
        <v>0</v>
      </c>
      <c r="G9">
        <f>IFERROR(MATRIZ_174!M9,0)</f>
        <v>0</v>
      </c>
      <c r="H9">
        <v>0</v>
      </c>
      <c r="I9">
        <v>0</v>
      </c>
      <c r="J9">
        <v>0</v>
      </c>
      <c r="K9">
        <f>IFERROR(INDEX(MATRIZ_174!$U:$U,MATCH(A9,MATRIZ_174!$A:$A,0)),"")</f>
        <v>0</v>
      </c>
      <c r="L9">
        <f>IFERROR(MATRIZ_174!O9,0)</f>
        <v>0</v>
      </c>
      <c r="M9">
        <v>0</v>
      </c>
      <c r="N9" t="str">
        <f>IFERROR(ISCAM_Score!AC10,"")</f>
        <v>⬜  Riesgo Latente</v>
      </c>
      <c r="O9" t="s">
        <v>74</v>
      </c>
    </row>
    <row r="10" spans="1:15" ht="16.05" customHeight="1" x14ac:dyDescent="0.3">
      <c r="A10" t="s">
        <v>81</v>
      </c>
      <c r="B10" t="s">
        <v>82</v>
      </c>
      <c r="C10" s="36">
        <f>IFERROR(ISCAM_Score!AL11,"—")</f>
        <v>0</v>
      </c>
      <c r="D10" t="str">
        <f t="shared" si="0"/>
        <v>🔴  Crítico</v>
      </c>
      <c r="E10">
        <f t="shared" si="1"/>
        <v>1</v>
      </c>
      <c r="F10">
        <v>0</v>
      </c>
      <c r="G10">
        <f>IFERROR(MATRIZ_174!M10,0)</f>
        <v>0</v>
      </c>
      <c r="H10">
        <v>0</v>
      </c>
      <c r="I10">
        <v>0</v>
      </c>
      <c r="J10">
        <v>0</v>
      </c>
      <c r="K10">
        <f>IFERROR(INDEX(MATRIZ_174!$U:$U,MATCH(A10,MATRIZ_174!$A:$A,0)),"")</f>
        <v>0</v>
      </c>
      <c r="L10">
        <f>IFERROR(MATRIZ_174!O10,0)</f>
        <v>0</v>
      </c>
      <c r="M10">
        <v>0</v>
      </c>
      <c r="N10" t="str">
        <f>IFERROR(ISCAM_Score!AC11,"")</f>
        <v>🔴  Riesgo Crítico</v>
      </c>
      <c r="O10" t="s">
        <v>74</v>
      </c>
    </row>
    <row r="11" spans="1:15" ht="16.05" customHeight="1" x14ac:dyDescent="0.3">
      <c r="A11" t="s">
        <v>83</v>
      </c>
      <c r="B11" t="s">
        <v>84</v>
      </c>
      <c r="C11" s="36">
        <f>IFERROR(ISCAM_Score!AL12,"—")</f>
        <v>0</v>
      </c>
      <c r="D11" t="str">
        <f t="shared" si="0"/>
        <v>🔴  Crítico</v>
      </c>
      <c r="E11">
        <f t="shared" si="1"/>
        <v>1</v>
      </c>
      <c r="F11">
        <f>IFERROR(MATRIZ_174!L11,0)</f>
        <v>0</v>
      </c>
      <c r="G11">
        <f>IFERROR(MATRIZ_174!M11,0)</f>
        <v>0</v>
      </c>
      <c r="H11">
        <v>0</v>
      </c>
      <c r="I11">
        <v>0</v>
      </c>
      <c r="J11">
        <v>0</v>
      </c>
      <c r="K11">
        <f>IFERROR(INDEX(MATRIZ_174!$U:$U,MATCH(A11,MATRIZ_174!$A:$A,0)),"")</f>
        <v>0</v>
      </c>
      <c r="L11">
        <f>IFERROR(MATRIZ_174!O11,0)</f>
        <v>0</v>
      </c>
      <c r="M11">
        <v>0</v>
      </c>
      <c r="N11" t="str">
        <f>IFERROR(ISCAM_Score!AC12,"")</f>
        <v>⬜  Riesgo Latente</v>
      </c>
      <c r="O11" t="s">
        <v>74</v>
      </c>
    </row>
    <row r="12" spans="1:15" ht="16.05" customHeight="1" x14ac:dyDescent="0.3">
      <c r="A12" t="s">
        <v>85</v>
      </c>
      <c r="B12" t="s">
        <v>86</v>
      </c>
      <c r="C12" s="36">
        <f>IFERROR(ISCAM_Score!AL13,"—")</f>
        <v>0</v>
      </c>
      <c r="D12" t="str">
        <f t="shared" si="0"/>
        <v>🔴  Crítico</v>
      </c>
      <c r="E12">
        <f t="shared" si="1"/>
        <v>1</v>
      </c>
      <c r="F12">
        <v>894391.27</v>
      </c>
      <c r="G12">
        <f>IFERROR(MATRIZ_174!M12,0)</f>
        <v>20.100000000000001</v>
      </c>
      <c r="H12">
        <v>0</v>
      </c>
      <c r="I12">
        <v>0</v>
      </c>
      <c r="J12">
        <v>0</v>
      </c>
      <c r="K12">
        <f>IFERROR(INDEX(MATRIZ_174!$U:$U,MATCH(A12,MATRIZ_174!$A:$A,0)),"")</f>
        <v>0.75</v>
      </c>
      <c r="L12">
        <f>IFERROR(MATRIZ_174!O12,0)</f>
        <v>0</v>
      </c>
      <c r="M12">
        <v>0</v>
      </c>
      <c r="N12" t="str">
        <f>IFERROR(ISCAM_Score!AC13,"")</f>
        <v>🔴  Riesgo Crítico</v>
      </c>
      <c r="O12" t="s">
        <v>74</v>
      </c>
    </row>
    <row r="13" spans="1:15" ht="16.05" customHeight="1" x14ac:dyDescent="0.3">
      <c r="A13" t="s">
        <v>87</v>
      </c>
      <c r="B13" t="s">
        <v>88</v>
      </c>
      <c r="C13" s="36">
        <f>IFERROR(ISCAM_Score!AL14,"—")</f>
        <v>0</v>
      </c>
      <c r="D13" t="str">
        <f t="shared" si="0"/>
        <v>🔴  Crítico</v>
      </c>
      <c r="E13">
        <f t="shared" si="1"/>
        <v>1</v>
      </c>
      <c r="F13">
        <v>0</v>
      </c>
      <c r="G13">
        <f>IFERROR(MATRIZ_174!M13,0)</f>
        <v>0</v>
      </c>
      <c r="H13">
        <v>0</v>
      </c>
      <c r="I13">
        <v>0</v>
      </c>
      <c r="J13">
        <v>0</v>
      </c>
      <c r="K13">
        <f>IFERROR(INDEX(MATRIZ_174!$U:$U,MATCH(A13,MATRIZ_174!$A:$A,0)),"")</f>
        <v>0</v>
      </c>
      <c r="L13">
        <f>IFERROR(MATRIZ_174!O13,0)</f>
        <v>0</v>
      </c>
      <c r="M13">
        <v>0</v>
      </c>
      <c r="N13" t="str">
        <f>IFERROR(ISCAM_Score!AC14,"")</f>
        <v>🔴  Riesgo Crítico</v>
      </c>
      <c r="O13" t="s">
        <v>74</v>
      </c>
    </row>
    <row r="14" spans="1:15" ht="16.05" customHeight="1" x14ac:dyDescent="0.3">
      <c r="A14" t="s">
        <v>89</v>
      </c>
      <c r="B14" t="s">
        <v>90</v>
      </c>
      <c r="C14" s="36">
        <f>IFERROR(ISCAM_Score!AL15,"—")</f>
        <v>0</v>
      </c>
      <c r="D14" t="str">
        <f t="shared" si="0"/>
        <v>🔴  Crítico</v>
      </c>
      <c r="E14">
        <f t="shared" si="1"/>
        <v>1</v>
      </c>
      <c r="F14">
        <v>2015347.33</v>
      </c>
      <c r="G14">
        <f>IFERROR(MATRIZ_174!M14,0)</f>
        <v>50</v>
      </c>
      <c r="H14">
        <v>0</v>
      </c>
      <c r="I14">
        <v>0</v>
      </c>
      <c r="J14">
        <v>0</v>
      </c>
      <c r="K14">
        <f>IFERROR(INDEX(MATRIZ_174!$U:$U,MATCH(A14,MATRIZ_174!$A:$A,0)),"")</f>
        <v>1</v>
      </c>
      <c r="L14">
        <f>IFERROR(MATRIZ_174!O14,0)</f>
        <v>0</v>
      </c>
      <c r="M14">
        <v>0</v>
      </c>
      <c r="N14" t="str">
        <f>IFERROR(ISCAM_Score!AC15,"")</f>
        <v>⬜  Riesgo Latente</v>
      </c>
      <c r="O14" t="s">
        <v>68</v>
      </c>
    </row>
    <row r="15" spans="1:15" ht="16.05" customHeight="1" x14ac:dyDescent="0.3">
      <c r="A15" t="s">
        <v>91</v>
      </c>
      <c r="B15" t="s">
        <v>92</v>
      </c>
      <c r="C15" s="36">
        <f>IFERROR(ISCAM_Score!AL16,"—")</f>
        <v>0</v>
      </c>
      <c r="D15" t="str">
        <f t="shared" si="0"/>
        <v>🔴  Crítico</v>
      </c>
      <c r="E15">
        <f t="shared" si="1"/>
        <v>1</v>
      </c>
      <c r="F15">
        <f>IFERROR(MATRIZ_174!L15,0)</f>
        <v>0</v>
      </c>
      <c r="G15">
        <f>IFERROR(MATRIZ_174!M15,0)</f>
        <v>0</v>
      </c>
      <c r="H15">
        <v>0</v>
      </c>
      <c r="I15">
        <v>0</v>
      </c>
      <c r="J15">
        <v>0</v>
      </c>
      <c r="K15">
        <f>IFERROR(INDEX(MATRIZ_174!$U:$U,MATCH(A15,MATRIZ_174!$A:$A,0)),"")</f>
        <v>0</v>
      </c>
      <c r="L15">
        <f>IFERROR(MATRIZ_174!O15,0)</f>
        <v>0</v>
      </c>
      <c r="M15">
        <v>0</v>
      </c>
      <c r="N15" t="str">
        <f>IFERROR(ISCAM_Score!AC16,"")</f>
        <v>⬜  Riesgo Latente</v>
      </c>
      <c r="O15" t="s">
        <v>65</v>
      </c>
    </row>
    <row r="16" spans="1:15" ht="16.05" customHeight="1" x14ac:dyDescent="0.3">
      <c r="A16" t="s">
        <v>93</v>
      </c>
      <c r="B16" t="s">
        <v>94</v>
      </c>
      <c r="C16" s="36">
        <f>IFERROR(ISCAM_Score!AL17,"—")</f>
        <v>0</v>
      </c>
      <c r="D16" t="str">
        <f t="shared" si="0"/>
        <v>🔴  Crítico</v>
      </c>
      <c r="E16">
        <f t="shared" si="1"/>
        <v>1</v>
      </c>
      <c r="F16">
        <f>IFERROR(MATRIZ_174!L16,0)</f>
        <v>0</v>
      </c>
      <c r="G16">
        <f>IFERROR(MATRIZ_174!M16,0)</f>
        <v>0</v>
      </c>
      <c r="H16">
        <v>0</v>
      </c>
      <c r="I16">
        <v>0</v>
      </c>
      <c r="J16">
        <v>0</v>
      </c>
      <c r="K16">
        <f>IFERROR(INDEX(MATRIZ_174!$U:$U,MATCH(A16,MATRIZ_174!$A:$A,0)),"")</f>
        <v>0</v>
      </c>
      <c r="L16">
        <f>IFERROR(MATRIZ_174!O16,0)</f>
        <v>0</v>
      </c>
      <c r="M16">
        <v>0</v>
      </c>
      <c r="N16" t="str">
        <f>IFERROR(ISCAM_Score!AC17,"")</f>
        <v>⬜  Riesgo Latente</v>
      </c>
      <c r="O16" t="s">
        <v>95</v>
      </c>
    </row>
    <row r="17" spans="1:15" ht="16.05" customHeight="1" x14ac:dyDescent="0.3">
      <c r="A17" t="s">
        <v>96</v>
      </c>
      <c r="B17" t="s">
        <v>97</v>
      </c>
      <c r="C17" s="36">
        <f>IFERROR(ISCAM_Score!AL18,"—")</f>
        <v>0</v>
      </c>
      <c r="D17" t="str">
        <f t="shared" si="0"/>
        <v>🔴  Crítico</v>
      </c>
      <c r="E17">
        <f t="shared" si="1"/>
        <v>1</v>
      </c>
      <c r="F17">
        <f>IFERROR(MATRIZ_174!L17,0)</f>
        <v>0</v>
      </c>
      <c r="G17">
        <f>IFERROR(MATRIZ_174!M17,0)</f>
        <v>0</v>
      </c>
      <c r="H17">
        <v>0</v>
      </c>
      <c r="I17">
        <v>0</v>
      </c>
      <c r="J17">
        <v>0</v>
      </c>
      <c r="K17">
        <f>IFERROR(INDEX(MATRIZ_174!$U:$U,MATCH(A17,MATRIZ_174!$A:$A,0)),"")</f>
        <v>0</v>
      </c>
      <c r="L17">
        <f>IFERROR(MATRIZ_174!O17,0)</f>
        <v>0</v>
      </c>
      <c r="M17">
        <v>0</v>
      </c>
      <c r="N17" t="str">
        <f>IFERROR(ISCAM_Score!AC18,"")</f>
        <v>🔴  Riesgo Crítico</v>
      </c>
      <c r="O17" t="s">
        <v>74</v>
      </c>
    </row>
    <row r="18" spans="1:15" ht="16.05" customHeight="1" x14ac:dyDescent="0.3">
      <c r="A18" t="s">
        <v>98</v>
      </c>
      <c r="B18" t="s">
        <v>99</v>
      </c>
      <c r="C18" s="36">
        <f>IFERROR(ISCAM_Score!AL19,"—")</f>
        <v>0</v>
      </c>
      <c r="D18" t="str">
        <f t="shared" si="0"/>
        <v>🔴  Crítico</v>
      </c>
      <c r="E18">
        <f t="shared" si="1"/>
        <v>1</v>
      </c>
      <c r="F18">
        <f>IFERROR(MATRIZ_174!L18,0)</f>
        <v>0</v>
      </c>
      <c r="G18">
        <f>IFERROR(MATRIZ_174!M18,0)</f>
        <v>0</v>
      </c>
      <c r="H18">
        <v>0</v>
      </c>
      <c r="I18">
        <v>0</v>
      </c>
      <c r="J18">
        <v>0</v>
      </c>
      <c r="K18">
        <f>IFERROR(INDEX(MATRIZ_174!$U:$U,MATCH(A18,MATRIZ_174!$A:$A,0)),"")</f>
        <v>0</v>
      </c>
      <c r="L18">
        <f>IFERROR(MATRIZ_174!O18,0)</f>
        <v>0</v>
      </c>
      <c r="M18">
        <v>0</v>
      </c>
      <c r="N18" t="str">
        <f>IFERROR(ISCAM_Score!AC19,"")</f>
        <v>⬜  Riesgo Latente</v>
      </c>
      <c r="O18" t="s">
        <v>100</v>
      </c>
    </row>
    <row r="19" spans="1:15" ht="16.05" customHeight="1" x14ac:dyDescent="0.3">
      <c r="A19" t="s">
        <v>101</v>
      </c>
      <c r="B19" t="s">
        <v>102</v>
      </c>
      <c r="C19" s="36">
        <f>IFERROR(ISCAM_Score!AL20,"—")</f>
        <v>0</v>
      </c>
      <c r="D19" t="str">
        <f t="shared" si="0"/>
        <v>🔴  Crítico</v>
      </c>
      <c r="E19">
        <f t="shared" si="1"/>
        <v>1</v>
      </c>
      <c r="F19">
        <v>4535378.4400000004</v>
      </c>
      <c r="G19">
        <f>IFERROR(MATRIZ_174!M19,0)</f>
        <v>50</v>
      </c>
      <c r="H19">
        <v>0</v>
      </c>
      <c r="I19">
        <v>0</v>
      </c>
      <c r="J19">
        <v>0</v>
      </c>
      <c r="K19">
        <f>IFERROR(INDEX(MATRIZ_174!$U:$U,MATCH(A19,MATRIZ_174!$A:$A,0)),"")</f>
        <v>1</v>
      </c>
      <c r="L19">
        <f>IFERROR(MATRIZ_174!O19,0)</f>
        <v>0</v>
      </c>
      <c r="M19">
        <v>0</v>
      </c>
      <c r="N19" t="str">
        <f>IFERROR(ISCAM_Score!AC20,"")</f>
        <v>⬜  Riesgo Latente</v>
      </c>
      <c r="O19" t="s">
        <v>103</v>
      </c>
    </row>
    <row r="20" spans="1:15" ht="16.05" customHeight="1" x14ac:dyDescent="0.3">
      <c r="A20" t="s">
        <v>104</v>
      </c>
      <c r="B20" t="s">
        <v>105</v>
      </c>
      <c r="C20" s="36">
        <f>IFERROR(ISCAM_Score!AL21,"—")</f>
        <v>0</v>
      </c>
      <c r="D20" t="str">
        <f t="shared" si="0"/>
        <v>🔴  Crítico</v>
      </c>
      <c r="E20">
        <f t="shared" si="1"/>
        <v>1</v>
      </c>
      <c r="F20">
        <f>IFERROR(MATRIZ_174!L20,0)</f>
        <v>0</v>
      </c>
      <c r="G20">
        <f>IFERROR(MATRIZ_174!M20,0)</f>
        <v>0</v>
      </c>
      <c r="H20">
        <v>0</v>
      </c>
      <c r="I20">
        <v>0</v>
      </c>
      <c r="J20">
        <v>0</v>
      </c>
      <c r="K20">
        <f>IFERROR(INDEX(MATRIZ_174!$U:$U,MATCH(A20,MATRIZ_174!$A:$A,0)),"")</f>
        <v>0</v>
      </c>
      <c r="L20">
        <f>IFERROR(MATRIZ_174!O20,0)</f>
        <v>0</v>
      </c>
      <c r="M20">
        <v>0</v>
      </c>
      <c r="N20" t="str">
        <f>IFERROR(ISCAM_Score!AC21,"")</f>
        <v>🔴  Riesgo Crítico</v>
      </c>
      <c r="O20" t="s">
        <v>74</v>
      </c>
    </row>
    <row r="21" spans="1:15" ht="16.05" customHeight="1" x14ac:dyDescent="0.3">
      <c r="A21" t="s">
        <v>106</v>
      </c>
      <c r="B21" t="s">
        <v>107</v>
      </c>
      <c r="C21" s="36">
        <f>IFERROR(ISCAM_Score!AL22,"—")</f>
        <v>0</v>
      </c>
      <c r="D21" t="str">
        <f t="shared" si="0"/>
        <v>🔴  Crítico</v>
      </c>
      <c r="E21">
        <f t="shared" si="1"/>
        <v>1</v>
      </c>
      <c r="F21">
        <v>0</v>
      </c>
      <c r="G21">
        <f>IFERROR(MATRIZ_174!M21,0)</f>
        <v>0</v>
      </c>
      <c r="H21">
        <v>0</v>
      </c>
      <c r="I21">
        <v>0</v>
      </c>
      <c r="J21">
        <v>0</v>
      </c>
      <c r="K21">
        <f>IFERROR(INDEX(MATRIZ_174!$U:$U,MATCH(A21,MATRIZ_174!$A:$A,0)),"")</f>
        <v>0</v>
      </c>
      <c r="L21">
        <f>IFERROR(MATRIZ_174!O21,0)</f>
        <v>0</v>
      </c>
      <c r="M21">
        <v>0</v>
      </c>
      <c r="N21" t="str">
        <f>IFERROR(ISCAM_Score!AC22,"")</f>
        <v>⬜  Riesgo Latente</v>
      </c>
      <c r="O21" t="s">
        <v>100</v>
      </c>
    </row>
    <row r="22" spans="1:15" ht="16.05" customHeight="1" x14ac:dyDescent="0.3">
      <c r="A22" t="s">
        <v>108</v>
      </c>
      <c r="B22" t="s">
        <v>109</v>
      </c>
      <c r="C22" s="36">
        <f>IFERROR(ISCAM_Score!AL23,"—")</f>
        <v>0</v>
      </c>
      <c r="D22" t="str">
        <f t="shared" si="0"/>
        <v>🔴  Crítico</v>
      </c>
      <c r="E22">
        <f t="shared" si="1"/>
        <v>1</v>
      </c>
      <c r="F22">
        <v>0</v>
      </c>
      <c r="G22">
        <f>IFERROR(MATRIZ_174!M22,0)</f>
        <v>0</v>
      </c>
      <c r="H22">
        <v>0</v>
      </c>
      <c r="I22">
        <v>0</v>
      </c>
      <c r="J22">
        <v>0</v>
      </c>
      <c r="K22">
        <f>IFERROR(INDEX(MATRIZ_174!$U:$U,MATCH(A22,MATRIZ_174!$A:$A,0)),"")</f>
        <v>0</v>
      </c>
      <c r="L22">
        <f>IFERROR(MATRIZ_174!O22,0)</f>
        <v>0</v>
      </c>
      <c r="M22">
        <v>0</v>
      </c>
      <c r="N22" t="str">
        <f>IFERROR(ISCAM_Score!AC23,"")</f>
        <v>⬜  Riesgo Latente</v>
      </c>
      <c r="O22" t="s">
        <v>110</v>
      </c>
    </row>
    <row r="23" spans="1:15" ht="16.05" customHeight="1" x14ac:dyDescent="0.3">
      <c r="A23" t="s">
        <v>111</v>
      </c>
      <c r="B23" t="s">
        <v>112</v>
      </c>
      <c r="C23" s="36">
        <f>IFERROR(ISCAM_Score!AL24,"—")</f>
        <v>0</v>
      </c>
      <c r="D23" t="str">
        <f t="shared" si="0"/>
        <v>🔴  Crítico</v>
      </c>
      <c r="E23">
        <f t="shared" si="1"/>
        <v>1</v>
      </c>
      <c r="F23">
        <f>IFERROR(MATRIZ_174!L23,0)</f>
        <v>0</v>
      </c>
      <c r="G23">
        <f>IFERROR(MATRIZ_174!M23,0)</f>
        <v>0</v>
      </c>
      <c r="H23">
        <v>0</v>
      </c>
      <c r="I23">
        <v>0</v>
      </c>
      <c r="J23">
        <v>0</v>
      </c>
      <c r="K23">
        <f>IFERROR(INDEX(MATRIZ_174!$U:$U,MATCH(A23,MATRIZ_174!$A:$A,0)),"")</f>
        <v>0</v>
      </c>
      <c r="L23">
        <f>IFERROR(MATRIZ_174!O23,0)</f>
        <v>0</v>
      </c>
      <c r="M23">
        <v>0</v>
      </c>
      <c r="N23" t="str">
        <f>IFERROR(ISCAM_Score!AC24,"")</f>
        <v>⬜  Riesgo Latente</v>
      </c>
      <c r="O23" t="s">
        <v>100</v>
      </c>
    </row>
    <row r="24" spans="1:15" ht="16.05" customHeight="1" x14ac:dyDescent="0.3">
      <c r="A24" t="s">
        <v>113</v>
      </c>
      <c r="B24" t="s">
        <v>114</v>
      </c>
      <c r="C24" s="36">
        <f>IFERROR(ISCAM_Score!AL25,"—")</f>
        <v>0</v>
      </c>
      <c r="D24" t="str">
        <f t="shared" si="0"/>
        <v>🔴  Crítico</v>
      </c>
      <c r="E24">
        <f t="shared" si="1"/>
        <v>1</v>
      </c>
      <c r="F24">
        <v>0</v>
      </c>
      <c r="G24">
        <f>IFERROR(MATRIZ_174!M24,0)</f>
        <v>0</v>
      </c>
      <c r="H24">
        <v>0</v>
      </c>
      <c r="I24">
        <v>0</v>
      </c>
      <c r="J24">
        <v>0</v>
      </c>
      <c r="K24">
        <f>IFERROR(INDEX(MATRIZ_174!$U:$U,MATCH(A24,MATRIZ_174!$A:$A,0)),"")</f>
        <v>0</v>
      </c>
      <c r="L24">
        <f>IFERROR(MATRIZ_174!O24,0)</f>
        <v>0</v>
      </c>
      <c r="M24">
        <v>0</v>
      </c>
      <c r="N24" t="str">
        <f>IFERROR(ISCAM_Score!AC25,"")</f>
        <v>⬜  Riesgo Latente</v>
      </c>
      <c r="O24" t="s">
        <v>100</v>
      </c>
    </row>
    <row r="25" spans="1:15" ht="16.05" customHeight="1" x14ac:dyDescent="0.3">
      <c r="A25" t="s">
        <v>115</v>
      </c>
      <c r="B25" t="s">
        <v>116</v>
      </c>
      <c r="C25" s="36">
        <f>IFERROR(ISCAM_Score!AL26,"—")</f>
        <v>0</v>
      </c>
      <c r="D25" t="str">
        <f t="shared" si="0"/>
        <v>🔴  Crítico</v>
      </c>
      <c r="E25">
        <f t="shared" si="1"/>
        <v>1</v>
      </c>
      <c r="F25">
        <v>0</v>
      </c>
      <c r="G25">
        <f>IFERROR(MATRIZ_174!M25,0)</f>
        <v>0</v>
      </c>
      <c r="H25">
        <v>0</v>
      </c>
      <c r="I25">
        <v>0</v>
      </c>
      <c r="J25">
        <v>0</v>
      </c>
      <c r="K25">
        <f>IFERROR(INDEX(MATRIZ_174!$U:$U,MATCH(A25,MATRIZ_174!$A:$A,0)),"")</f>
        <v>0</v>
      </c>
      <c r="L25">
        <f>IFERROR(MATRIZ_174!O25,0)</f>
        <v>0</v>
      </c>
      <c r="M25">
        <v>0</v>
      </c>
      <c r="N25" t="str">
        <f>IFERROR(ISCAM_Score!AC26,"")</f>
        <v>⬜  Riesgo Latente</v>
      </c>
      <c r="O25" t="s">
        <v>100</v>
      </c>
    </row>
    <row r="26" spans="1:15" ht="16.05" customHeight="1" x14ac:dyDescent="0.3">
      <c r="A26" t="s">
        <v>117</v>
      </c>
      <c r="B26" t="s">
        <v>118</v>
      </c>
      <c r="C26" s="36">
        <f>IFERROR(ISCAM_Score!AL27,"—")</f>
        <v>0</v>
      </c>
      <c r="D26" t="str">
        <f t="shared" si="0"/>
        <v>🔴  Crítico</v>
      </c>
      <c r="E26">
        <f t="shared" si="1"/>
        <v>1</v>
      </c>
      <c r="F26">
        <f>IFERROR(MATRIZ_174!L26,0)</f>
        <v>0</v>
      </c>
      <c r="G26">
        <f>IFERROR(MATRIZ_174!M26,0)</f>
        <v>0</v>
      </c>
      <c r="H26">
        <v>0</v>
      </c>
      <c r="I26">
        <v>0</v>
      </c>
      <c r="J26">
        <v>0</v>
      </c>
      <c r="K26">
        <f>IFERROR(INDEX(MATRIZ_174!$U:$U,MATCH(A26,MATRIZ_174!$A:$A,0)),"")</f>
        <v>0</v>
      </c>
      <c r="L26">
        <f>IFERROR(MATRIZ_174!O26,0)</f>
        <v>0</v>
      </c>
      <c r="M26">
        <v>0</v>
      </c>
      <c r="N26" t="str">
        <f>IFERROR(ISCAM_Score!AC27,"")</f>
        <v>⬜  Riesgo Latente</v>
      </c>
      <c r="O26" t="s">
        <v>100</v>
      </c>
    </row>
    <row r="27" spans="1:15" ht="16.05" customHeight="1" x14ac:dyDescent="0.3">
      <c r="A27" t="s">
        <v>119</v>
      </c>
      <c r="B27" t="s">
        <v>120</v>
      </c>
      <c r="C27" s="36">
        <f>IFERROR(ISCAM_Score!AL28,"—")</f>
        <v>0</v>
      </c>
      <c r="D27" t="str">
        <f t="shared" si="0"/>
        <v>🔴  Crítico</v>
      </c>
      <c r="E27">
        <f t="shared" si="1"/>
        <v>1</v>
      </c>
      <c r="F27">
        <v>0</v>
      </c>
      <c r="G27">
        <f>IFERROR(MATRIZ_174!M27,0)</f>
        <v>0</v>
      </c>
      <c r="H27">
        <v>0</v>
      </c>
      <c r="I27">
        <v>0</v>
      </c>
      <c r="J27">
        <v>0</v>
      </c>
      <c r="K27">
        <f>IFERROR(INDEX(MATRIZ_174!$U:$U,MATCH(A27,MATRIZ_174!$A:$A,0)),"")</f>
        <v>0</v>
      </c>
      <c r="L27">
        <f>IFERROR(MATRIZ_174!O27,0)</f>
        <v>0</v>
      </c>
      <c r="M27">
        <v>0</v>
      </c>
      <c r="N27" t="str">
        <f>IFERROR(ISCAM_Score!AC28,"")</f>
        <v>⬜  Riesgo Latente</v>
      </c>
      <c r="O27" t="s">
        <v>100</v>
      </c>
    </row>
    <row r="28" spans="1:15" ht="16.05" customHeight="1" x14ac:dyDescent="0.3">
      <c r="A28" t="s">
        <v>121</v>
      </c>
      <c r="B28" t="s">
        <v>122</v>
      </c>
      <c r="C28" s="36">
        <f>IFERROR(ISCAM_Score!AL29,"—")</f>
        <v>0</v>
      </c>
      <c r="D28" t="str">
        <f t="shared" si="0"/>
        <v>🔴  Crítico</v>
      </c>
      <c r="E28">
        <f t="shared" si="1"/>
        <v>1</v>
      </c>
      <c r="F28">
        <f>IFERROR(MATRIZ_174!L28,0)</f>
        <v>0</v>
      </c>
      <c r="G28">
        <f>IFERROR(MATRIZ_174!M28,0)</f>
        <v>0</v>
      </c>
      <c r="H28">
        <v>0</v>
      </c>
      <c r="I28">
        <v>0</v>
      </c>
      <c r="J28">
        <v>0</v>
      </c>
      <c r="K28">
        <f>IFERROR(INDEX(MATRIZ_174!$U:$U,MATCH(A28,MATRIZ_174!$A:$A,0)),"")</f>
        <v>0</v>
      </c>
      <c r="L28">
        <f>IFERROR(MATRIZ_174!O28,0)</f>
        <v>0</v>
      </c>
      <c r="M28">
        <v>0</v>
      </c>
      <c r="N28" t="str">
        <f>IFERROR(ISCAM_Score!AC29,"")</f>
        <v>⬜  Riesgo Latente</v>
      </c>
      <c r="O28" t="s">
        <v>100</v>
      </c>
    </row>
    <row r="29" spans="1:15" ht="16.05" customHeight="1" x14ac:dyDescent="0.3">
      <c r="A29" t="s">
        <v>123</v>
      </c>
      <c r="B29" t="s">
        <v>124</v>
      </c>
      <c r="C29" s="36">
        <f>IFERROR(ISCAM_Score!AL30,"—")</f>
        <v>0</v>
      </c>
      <c r="D29" t="str">
        <f t="shared" si="0"/>
        <v>🔴  Crítico</v>
      </c>
      <c r="E29">
        <f t="shared" si="1"/>
        <v>1</v>
      </c>
      <c r="F29">
        <f>IFERROR(MATRIZ_174!L29,0)</f>
        <v>0</v>
      </c>
      <c r="G29">
        <f>IFERROR(MATRIZ_174!M29,0)</f>
        <v>0</v>
      </c>
      <c r="H29">
        <v>0</v>
      </c>
      <c r="I29">
        <v>0</v>
      </c>
      <c r="J29">
        <v>0</v>
      </c>
      <c r="K29">
        <f>IFERROR(INDEX(MATRIZ_174!$U:$U,MATCH(A29,MATRIZ_174!$A:$A,0)),"")</f>
        <v>0</v>
      </c>
      <c r="L29">
        <f>IFERROR(MATRIZ_174!O29,0)</f>
        <v>0</v>
      </c>
      <c r="M29">
        <v>0</v>
      </c>
      <c r="N29" t="str">
        <f>IFERROR(ISCAM_Score!AC30,"")</f>
        <v>⬜  Riesgo Latente</v>
      </c>
      <c r="O29" t="s">
        <v>100</v>
      </c>
    </row>
    <row r="30" spans="1:15" ht="16.05" customHeight="1" x14ac:dyDescent="0.3">
      <c r="A30" t="s">
        <v>125</v>
      </c>
      <c r="B30" t="s">
        <v>126</v>
      </c>
      <c r="C30" s="36">
        <f>IFERROR(ISCAM_Score!AL31,"—")</f>
        <v>0</v>
      </c>
      <c r="D30" t="str">
        <f t="shared" si="0"/>
        <v>🔴  Crítico</v>
      </c>
      <c r="E30">
        <f t="shared" si="1"/>
        <v>1</v>
      </c>
      <c r="F30">
        <f>IFERROR(MATRIZ_174!L30,0)</f>
        <v>0</v>
      </c>
      <c r="G30">
        <f>IFERROR(MATRIZ_174!M30,0)</f>
        <v>0</v>
      </c>
      <c r="H30">
        <v>0</v>
      </c>
      <c r="I30">
        <v>0</v>
      </c>
      <c r="J30">
        <v>0</v>
      </c>
      <c r="K30">
        <f>IFERROR(INDEX(MATRIZ_174!$U:$U,MATCH(A30,MATRIZ_174!$A:$A,0)),"")</f>
        <v>0</v>
      </c>
      <c r="L30">
        <f>IFERROR(MATRIZ_174!O30,0)</f>
        <v>0</v>
      </c>
      <c r="M30">
        <v>0</v>
      </c>
      <c r="N30" t="str">
        <f>IFERROR(ISCAM_Score!AC31,"")</f>
        <v>⬜  Riesgo Latente</v>
      </c>
      <c r="O30" t="s">
        <v>65</v>
      </c>
    </row>
    <row r="31" spans="1:15" ht="16.05" customHeight="1" x14ac:dyDescent="0.3">
      <c r="A31" t="s">
        <v>127</v>
      </c>
      <c r="B31" t="s">
        <v>128</v>
      </c>
      <c r="C31" s="36">
        <f>IFERROR(ISCAM_Score!AL32,"—")</f>
        <v>0</v>
      </c>
      <c r="D31" t="str">
        <f t="shared" si="0"/>
        <v>🔴  Crítico</v>
      </c>
      <c r="E31">
        <f t="shared" si="1"/>
        <v>1</v>
      </c>
      <c r="F31">
        <v>0</v>
      </c>
      <c r="G31">
        <f>IFERROR(MATRIZ_174!M31,0)</f>
        <v>0</v>
      </c>
      <c r="H31">
        <v>0</v>
      </c>
      <c r="I31">
        <v>0</v>
      </c>
      <c r="J31">
        <v>0</v>
      </c>
      <c r="K31">
        <f>IFERROR(INDEX(MATRIZ_174!$U:$U,MATCH(A31,MATRIZ_174!$A:$A,0)),"")</f>
        <v>0</v>
      </c>
      <c r="L31">
        <f>IFERROR(MATRIZ_174!O31,0)</f>
        <v>0</v>
      </c>
      <c r="M31">
        <v>0</v>
      </c>
      <c r="N31" t="str">
        <f>IFERROR(ISCAM_Score!AC32,"")</f>
        <v>⬜  Riesgo Latente</v>
      </c>
      <c r="O31" t="s">
        <v>129</v>
      </c>
    </row>
    <row r="32" spans="1:15" ht="16.05" customHeight="1" x14ac:dyDescent="0.3">
      <c r="A32" t="s">
        <v>130</v>
      </c>
      <c r="B32" t="s">
        <v>131</v>
      </c>
      <c r="C32" s="36">
        <f>IFERROR(ISCAM_Score!AL33,"—")</f>
        <v>0</v>
      </c>
      <c r="D32" t="str">
        <f t="shared" si="0"/>
        <v>🔴  Crítico</v>
      </c>
      <c r="E32">
        <f t="shared" si="1"/>
        <v>1</v>
      </c>
      <c r="F32">
        <v>0</v>
      </c>
      <c r="G32">
        <f>IFERROR(MATRIZ_174!M32,0)</f>
        <v>0</v>
      </c>
      <c r="H32">
        <v>0</v>
      </c>
      <c r="I32">
        <v>0</v>
      </c>
      <c r="J32">
        <v>0</v>
      </c>
      <c r="K32">
        <f>IFERROR(INDEX(MATRIZ_174!$U:$U,MATCH(A32,MATRIZ_174!$A:$A,0)),"")</f>
        <v>0</v>
      </c>
      <c r="L32">
        <f>IFERROR(MATRIZ_174!O32,0)</f>
        <v>0</v>
      </c>
      <c r="M32">
        <v>0</v>
      </c>
      <c r="N32" t="str">
        <f>IFERROR(ISCAM_Score!AC33,"")</f>
        <v>⬜  Riesgo Latente</v>
      </c>
      <c r="O32" t="s">
        <v>129</v>
      </c>
    </row>
    <row r="33" spans="1:15" ht="16.05" customHeight="1" x14ac:dyDescent="0.3">
      <c r="A33" t="s">
        <v>132</v>
      </c>
      <c r="B33" t="s">
        <v>133</v>
      </c>
      <c r="C33" s="36">
        <f>IFERROR(ISCAM_Score!AL34,"—")</f>
        <v>0</v>
      </c>
      <c r="D33" t="str">
        <f t="shared" si="0"/>
        <v>🔴  Crítico</v>
      </c>
      <c r="E33">
        <f t="shared" si="1"/>
        <v>1</v>
      </c>
      <c r="F33">
        <v>0</v>
      </c>
      <c r="G33">
        <f>IFERROR(MATRIZ_174!M33,0)</f>
        <v>0</v>
      </c>
      <c r="H33">
        <v>0</v>
      </c>
      <c r="I33">
        <v>0</v>
      </c>
      <c r="J33">
        <v>0</v>
      </c>
      <c r="K33">
        <f>IFERROR(INDEX(MATRIZ_174!$U:$U,MATCH(A33,MATRIZ_174!$A:$A,0)),"")</f>
        <v>0</v>
      </c>
      <c r="L33">
        <f>IFERROR(MATRIZ_174!O33,0)</f>
        <v>0</v>
      </c>
      <c r="M33">
        <v>0</v>
      </c>
      <c r="N33" t="str">
        <f>IFERROR(ISCAM_Score!AC34,"")</f>
        <v>⬜  Riesgo Latente</v>
      </c>
      <c r="O33" t="s">
        <v>129</v>
      </c>
    </row>
    <row r="34" spans="1:15" ht="16.05" customHeight="1" x14ac:dyDescent="0.3">
      <c r="A34" t="s">
        <v>134</v>
      </c>
      <c r="B34" t="s">
        <v>135</v>
      </c>
      <c r="C34" s="36">
        <f>IFERROR(ISCAM_Score!AL35,"—")</f>
        <v>0</v>
      </c>
      <c r="D34" t="str">
        <f t="shared" si="0"/>
        <v>🔴  Crítico</v>
      </c>
      <c r="E34">
        <f t="shared" si="1"/>
        <v>1</v>
      </c>
      <c r="F34">
        <f>IFERROR(MATRIZ_174!L34,0)</f>
        <v>0</v>
      </c>
      <c r="G34">
        <f>IFERROR(MATRIZ_174!M34,0)</f>
        <v>0</v>
      </c>
      <c r="H34">
        <v>0</v>
      </c>
      <c r="I34">
        <v>0</v>
      </c>
      <c r="J34">
        <v>0</v>
      </c>
      <c r="K34">
        <f>IFERROR(INDEX(MATRIZ_174!$U:$U,MATCH(A34,MATRIZ_174!$A:$A,0)),"")</f>
        <v>0</v>
      </c>
      <c r="L34">
        <f>IFERROR(MATRIZ_174!O34,0)</f>
        <v>0</v>
      </c>
      <c r="M34">
        <v>0</v>
      </c>
      <c r="N34" t="str">
        <f>IFERROR(ISCAM_Score!AC35,"")</f>
        <v>⬜  Riesgo Latente</v>
      </c>
      <c r="O34" t="s">
        <v>129</v>
      </c>
    </row>
    <row r="35" spans="1:15" ht="16.05" customHeight="1" x14ac:dyDescent="0.3">
      <c r="A35" t="s">
        <v>136</v>
      </c>
      <c r="B35" t="s">
        <v>137</v>
      </c>
      <c r="C35" s="36">
        <f>IFERROR(ISCAM_Score!AL36,"—")</f>
        <v>0</v>
      </c>
      <c r="D35" t="str">
        <f t="shared" ref="D35:D66" si="2">IF(C35="—","— Sin Inst.2",IF(C35&lt;34,"🔴  Crítico",IF(C35&lt;67,"🟡  En desarrollo","🟢  Alineado")))</f>
        <v>🔴  Crítico</v>
      </c>
      <c r="E35">
        <f t="shared" ref="E35:E66" si="3">IFERROR(RANK(C35,C:C,-1),"")</f>
        <v>1</v>
      </c>
      <c r="F35">
        <v>965726.35</v>
      </c>
      <c r="G35">
        <f>IFERROR(MATRIZ_174!M35,0)</f>
        <v>50</v>
      </c>
      <c r="H35">
        <v>0</v>
      </c>
      <c r="I35">
        <v>0</v>
      </c>
      <c r="J35">
        <v>0</v>
      </c>
      <c r="K35">
        <f>IFERROR(INDEX(MATRIZ_174!$U:$U,MATCH(A35,MATRIZ_174!$A:$A,0)),"")</f>
        <v>1</v>
      </c>
      <c r="L35">
        <f>IFERROR(MATRIZ_174!O35,0)</f>
        <v>0</v>
      </c>
      <c r="M35">
        <v>0</v>
      </c>
      <c r="N35" t="str">
        <f>IFERROR(ISCAM_Score!AC36,"")</f>
        <v>⬜  Riesgo Latente</v>
      </c>
      <c r="O35" t="s">
        <v>74</v>
      </c>
    </row>
    <row r="36" spans="1:15" ht="16.05" customHeight="1" x14ac:dyDescent="0.3">
      <c r="A36" t="s">
        <v>138</v>
      </c>
      <c r="B36" t="s">
        <v>139</v>
      </c>
      <c r="C36" s="36">
        <f>IFERROR(ISCAM_Score!AL37,"—")</f>
        <v>0</v>
      </c>
      <c r="D36" t="str">
        <f t="shared" si="2"/>
        <v>🔴  Crítico</v>
      </c>
      <c r="E36">
        <f t="shared" si="3"/>
        <v>1</v>
      </c>
      <c r="F36">
        <v>965167.45</v>
      </c>
      <c r="G36">
        <f>IFERROR(MATRIZ_174!M36,0)</f>
        <v>21.3</v>
      </c>
      <c r="H36">
        <v>0</v>
      </c>
      <c r="I36">
        <v>0</v>
      </c>
      <c r="J36">
        <v>0</v>
      </c>
      <c r="K36">
        <f>IFERROR(INDEX(MATRIZ_174!$U:$U,MATCH(A36,MATRIZ_174!$A:$A,0)),"")</f>
        <v>1</v>
      </c>
      <c r="L36">
        <f>IFERROR(MATRIZ_174!O36,0)</f>
        <v>1</v>
      </c>
      <c r="M36">
        <v>0</v>
      </c>
      <c r="N36" t="str">
        <f>IFERROR(ISCAM_Score!AC37,"")</f>
        <v>⬜  Riesgo Latente</v>
      </c>
      <c r="O36" t="s">
        <v>140</v>
      </c>
    </row>
    <row r="37" spans="1:15" ht="16.05" customHeight="1" x14ac:dyDescent="0.3">
      <c r="A37" t="s">
        <v>141</v>
      </c>
      <c r="B37" t="s">
        <v>142</v>
      </c>
      <c r="C37" s="36">
        <f>IFERROR(ISCAM_Score!AL38,"—")</f>
        <v>0</v>
      </c>
      <c r="D37" t="str">
        <f t="shared" si="2"/>
        <v>🔴  Crítico</v>
      </c>
      <c r="E37">
        <f t="shared" si="3"/>
        <v>1</v>
      </c>
      <c r="F37">
        <v>0</v>
      </c>
      <c r="G37">
        <f>IFERROR(MATRIZ_174!M37,0)</f>
        <v>0</v>
      </c>
      <c r="H37">
        <v>0</v>
      </c>
      <c r="I37">
        <v>0</v>
      </c>
      <c r="J37">
        <v>0</v>
      </c>
      <c r="K37">
        <f>IFERROR(INDEX(MATRIZ_174!$U:$U,MATCH(A37,MATRIZ_174!$A:$A,0)),"")</f>
        <v>0</v>
      </c>
      <c r="L37">
        <f>IFERROR(MATRIZ_174!O37,0)</f>
        <v>0</v>
      </c>
      <c r="M37">
        <v>0</v>
      </c>
      <c r="N37" t="str">
        <f>IFERROR(ISCAM_Score!AC38,"")</f>
        <v>⬜  Riesgo Latente</v>
      </c>
      <c r="O37" t="s">
        <v>103</v>
      </c>
    </row>
    <row r="38" spans="1:15" ht="16.05" customHeight="1" x14ac:dyDescent="0.3">
      <c r="A38" t="s">
        <v>143</v>
      </c>
      <c r="B38" t="s">
        <v>144</v>
      </c>
      <c r="C38" s="36">
        <f>IFERROR(ISCAM_Score!AL39,"—")</f>
        <v>0</v>
      </c>
      <c r="D38" t="str">
        <f t="shared" si="2"/>
        <v>🔴  Crítico</v>
      </c>
      <c r="E38">
        <f t="shared" si="3"/>
        <v>1</v>
      </c>
      <c r="F38">
        <f>IFERROR(MATRIZ_174!L38,0)</f>
        <v>0</v>
      </c>
      <c r="G38">
        <f>IFERROR(MATRIZ_174!M38,0)</f>
        <v>0</v>
      </c>
      <c r="H38">
        <v>0</v>
      </c>
      <c r="I38">
        <v>0</v>
      </c>
      <c r="J38">
        <v>0</v>
      </c>
      <c r="K38">
        <f>IFERROR(INDEX(MATRIZ_174!$U:$U,MATCH(A38,MATRIZ_174!$A:$A,0)),"")</f>
        <v>0</v>
      </c>
      <c r="L38">
        <f>IFERROR(MATRIZ_174!O38,0)</f>
        <v>0</v>
      </c>
      <c r="M38">
        <v>0</v>
      </c>
      <c r="N38" t="str">
        <f>IFERROR(ISCAM_Score!AC39,"")</f>
        <v>⬜  Riesgo Latente</v>
      </c>
      <c r="O38" t="s">
        <v>103</v>
      </c>
    </row>
    <row r="39" spans="1:15" ht="16.05" customHeight="1" x14ac:dyDescent="0.3">
      <c r="A39" t="s">
        <v>145</v>
      </c>
      <c r="B39" t="s">
        <v>146</v>
      </c>
      <c r="C39" s="36">
        <f>IFERROR(ISCAM_Score!AL40,"—")</f>
        <v>0</v>
      </c>
      <c r="D39" t="str">
        <f t="shared" si="2"/>
        <v>🔴  Crítico</v>
      </c>
      <c r="E39">
        <f t="shared" si="3"/>
        <v>1</v>
      </c>
      <c r="F39">
        <v>587607.64</v>
      </c>
      <c r="G39">
        <f>IFERROR(MATRIZ_174!M39,0)</f>
        <v>50</v>
      </c>
      <c r="H39">
        <v>0</v>
      </c>
      <c r="I39">
        <v>0</v>
      </c>
      <c r="J39">
        <v>0</v>
      </c>
      <c r="K39">
        <f>IFERROR(INDEX(MATRIZ_174!$U:$U,MATCH(A39,MATRIZ_174!$A:$A,0)),"")</f>
        <v>1</v>
      </c>
      <c r="L39">
        <f>IFERROR(MATRIZ_174!O39,0)</f>
        <v>0</v>
      </c>
      <c r="M39">
        <v>0</v>
      </c>
      <c r="N39" t="str">
        <f>IFERROR(ISCAM_Score!AC40,"")</f>
        <v>⬜  Riesgo Latente</v>
      </c>
      <c r="O39" t="s">
        <v>103</v>
      </c>
    </row>
    <row r="40" spans="1:15" ht="16.05" customHeight="1" x14ac:dyDescent="0.3">
      <c r="A40" t="s">
        <v>147</v>
      </c>
      <c r="B40" t="s">
        <v>148</v>
      </c>
      <c r="C40" s="36">
        <f>IFERROR(ISCAM_Score!AL41,"—")</f>
        <v>0</v>
      </c>
      <c r="D40" t="str">
        <f t="shared" si="2"/>
        <v>🔴  Crítico</v>
      </c>
      <c r="E40">
        <f t="shared" si="3"/>
        <v>1</v>
      </c>
      <c r="F40">
        <v>842214.99</v>
      </c>
      <c r="G40">
        <f>IFERROR(MATRIZ_174!M40,0)</f>
        <v>50</v>
      </c>
      <c r="H40">
        <v>0</v>
      </c>
      <c r="I40">
        <v>0</v>
      </c>
      <c r="J40">
        <v>0</v>
      </c>
      <c r="K40">
        <f>IFERROR(INDEX(MATRIZ_174!$U:$U,MATCH(A40,MATRIZ_174!$A:$A,0)),"")</f>
        <v>1</v>
      </c>
      <c r="L40">
        <f>IFERROR(MATRIZ_174!O40,0)</f>
        <v>0</v>
      </c>
      <c r="M40">
        <v>0</v>
      </c>
      <c r="N40" t="str">
        <f>IFERROR(ISCAM_Score!AC41,"")</f>
        <v>⬜  Riesgo Latente</v>
      </c>
      <c r="O40" t="s">
        <v>103</v>
      </c>
    </row>
    <row r="41" spans="1:15" ht="16.05" customHeight="1" x14ac:dyDescent="0.3">
      <c r="A41" t="s">
        <v>149</v>
      </c>
      <c r="B41" t="s">
        <v>150</v>
      </c>
      <c r="C41" s="36">
        <f>IFERROR(ISCAM_Score!AL42,"—")</f>
        <v>0</v>
      </c>
      <c r="D41" t="str">
        <f t="shared" si="2"/>
        <v>🔴  Crítico</v>
      </c>
      <c r="E41">
        <f t="shared" si="3"/>
        <v>1</v>
      </c>
      <c r="F41">
        <v>0</v>
      </c>
      <c r="G41">
        <f>IFERROR(MATRIZ_174!M41,0)</f>
        <v>0</v>
      </c>
      <c r="H41">
        <v>0</v>
      </c>
      <c r="I41">
        <v>0</v>
      </c>
      <c r="J41">
        <v>0</v>
      </c>
      <c r="K41">
        <f>IFERROR(INDEX(MATRIZ_174!$U:$U,MATCH(A41,MATRIZ_174!$A:$A,0)),"")</f>
        <v>0</v>
      </c>
      <c r="L41">
        <f>IFERROR(MATRIZ_174!O41,0)</f>
        <v>0</v>
      </c>
      <c r="M41">
        <v>0</v>
      </c>
      <c r="N41" t="str">
        <f>IFERROR(ISCAM_Score!AC42,"")</f>
        <v>⬜  Riesgo Latente</v>
      </c>
      <c r="O41" t="s">
        <v>103</v>
      </c>
    </row>
    <row r="42" spans="1:15" ht="16.05" customHeight="1" x14ac:dyDescent="0.3">
      <c r="A42" t="s">
        <v>151</v>
      </c>
      <c r="B42" t="s">
        <v>152</v>
      </c>
      <c r="C42" s="36">
        <f>IFERROR(ISCAM_Score!AL43,"—")</f>
        <v>0</v>
      </c>
      <c r="D42" t="str">
        <f t="shared" si="2"/>
        <v>🔴  Crítico</v>
      </c>
      <c r="E42">
        <f t="shared" si="3"/>
        <v>1</v>
      </c>
      <c r="F42">
        <v>408500</v>
      </c>
      <c r="G42">
        <f>IFERROR(MATRIZ_174!M42,0)</f>
        <v>50</v>
      </c>
      <c r="H42">
        <v>0</v>
      </c>
      <c r="I42">
        <v>0</v>
      </c>
      <c r="J42">
        <v>0</v>
      </c>
      <c r="K42">
        <f>IFERROR(INDEX(MATRIZ_174!$U:$U,MATCH(A42,MATRIZ_174!$A:$A,0)),"")</f>
        <v>1</v>
      </c>
      <c r="L42">
        <f>IFERROR(MATRIZ_174!O42,0)</f>
        <v>0</v>
      </c>
      <c r="M42">
        <v>0</v>
      </c>
      <c r="N42" t="str">
        <f>IFERROR(ISCAM_Score!AC43,"")</f>
        <v>⬜  Riesgo Latente</v>
      </c>
      <c r="O42" t="s">
        <v>95</v>
      </c>
    </row>
    <row r="43" spans="1:15" ht="16.05" customHeight="1" x14ac:dyDescent="0.3">
      <c r="A43" t="s">
        <v>153</v>
      </c>
      <c r="B43" t="s">
        <v>154</v>
      </c>
      <c r="C43" s="36">
        <f>IFERROR(ISCAM_Score!AL44,"—")</f>
        <v>0</v>
      </c>
      <c r="D43" t="str">
        <f t="shared" si="2"/>
        <v>🔴  Crítico</v>
      </c>
      <c r="E43">
        <f t="shared" si="3"/>
        <v>1</v>
      </c>
      <c r="F43">
        <v>0</v>
      </c>
      <c r="G43">
        <f>IFERROR(MATRIZ_174!M43,0)</f>
        <v>0</v>
      </c>
      <c r="H43">
        <v>0</v>
      </c>
      <c r="I43">
        <v>0</v>
      </c>
      <c r="J43">
        <v>0</v>
      </c>
      <c r="K43">
        <f>IFERROR(INDEX(MATRIZ_174!$U:$U,MATCH(A43,MATRIZ_174!$A:$A,0)),"")</f>
        <v>0</v>
      </c>
      <c r="L43">
        <f>IFERROR(MATRIZ_174!O43,0)</f>
        <v>0</v>
      </c>
      <c r="M43">
        <v>0</v>
      </c>
      <c r="N43" t="str">
        <f>IFERROR(ISCAM_Score!AC44,"")</f>
        <v>⬜  Riesgo Latente</v>
      </c>
      <c r="O43" t="s">
        <v>71</v>
      </c>
    </row>
    <row r="44" spans="1:15" ht="16.05" customHeight="1" x14ac:dyDescent="0.3">
      <c r="A44" t="s">
        <v>155</v>
      </c>
      <c r="B44" t="s">
        <v>156</v>
      </c>
      <c r="C44" s="36">
        <f>IFERROR(ISCAM_Score!AL45,"—")</f>
        <v>0</v>
      </c>
      <c r="D44" t="str">
        <f t="shared" si="2"/>
        <v>🔴  Crítico</v>
      </c>
      <c r="E44">
        <f t="shared" si="3"/>
        <v>1</v>
      </c>
      <c r="F44">
        <v>0</v>
      </c>
      <c r="G44">
        <f>IFERROR(MATRIZ_174!M44,0)</f>
        <v>0</v>
      </c>
      <c r="H44">
        <v>0</v>
      </c>
      <c r="I44">
        <v>0</v>
      </c>
      <c r="J44">
        <v>0</v>
      </c>
      <c r="K44">
        <f>IFERROR(INDEX(MATRIZ_174!$U:$U,MATCH(A44,MATRIZ_174!$A:$A,0)),"")</f>
        <v>0</v>
      </c>
      <c r="L44">
        <f>IFERROR(MATRIZ_174!O44,0)</f>
        <v>0</v>
      </c>
      <c r="M44">
        <v>0</v>
      </c>
      <c r="N44" t="str">
        <f>IFERROR(ISCAM_Score!AC45,"")</f>
        <v>⬜  Riesgo Latente</v>
      </c>
      <c r="O44" t="s">
        <v>71</v>
      </c>
    </row>
    <row r="45" spans="1:15" ht="16.05" customHeight="1" x14ac:dyDescent="0.3">
      <c r="A45" t="s">
        <v>157</v>
      </c>
      <c r="B45" t="s">
        <v>158</v>
      </c>
      <c r="C45" s="36">
        <f>IFERROR(ISCAM_Score!AL46,"—")</f>
        <v>0</v>
      </c>
      <c r="D45" t="str">
        <f t="shared" si="2"/>
        <v>🔴  Crítico</v>
      </c>
      <c r="E45">
        <f t="shared" si="3"/>
        <v>1</v>
      </c>
      <c r="F45">
        <v>6603846.0300000003</v>
      </c>
      <c r="G45">
        <f>IFERROR(MATRIZ_174!M45,0)</f>
        <v>50</v>
      </c>
      <c r="H45">
        <v>0</v>
      </c>
      <c r="I45">
        <v>0</v>
      </c>
      <c r="J45">
        <v>0</v>
      </c>
      <c r="K45">
        <f>IFERROR(INDEX(MATRIZ_174!$U:$U,MATCH(A45,MATRIZ_174!$A:$A,0)),"")</f>
        <v>1</v>
      </c>
      <c r="L45">
        <f>IFERROR(MATRIZ_174!O45,0)</f>
        <v>0</v>
      </c>
      <c r="M45">
        <v>0</v>
      </c>
      <c r="N45" t="str">
        <f>IFERROR(ISCAM_Score!AC46,"")</f>
        <v>⬜  Riesgo Latente</v>
      </c>
      <c r="O45" t="s">
        <v>71</v>
      </c>
    </row>
    <row r="46" spans="1:15" ht="16.05" customHeight="1" x14ac:dyDescent="0.3">
      <c r="A46" t="s">
        <v>159</v>
      </c>
      <c r="B46" t="s">
        <v>160</v>
      </c>
      <c r="C46" s="36">
        <f>IFERROR(ISCAM_Score!AL47,"—")</f>
        <v>0</v>
      </c>
      <c r="D46" t="str">
        <f t="shared" si="2"/>
        <v>🔴  Crítico</v>
      </c>
      <c r="E46">
        <f t="shared" si="3"/>
        <v>1</v>
      </c>
      <c r="F46">
        <v>0</v>
      </c>
      <c r="G46">
        <f>IFERROR(MATRIZ_174!M46,0)</f>
        <v>0</v>
      </c>
      <c r="H46">
        <v>0</v>
      </c>
      <c r="I46">
        <v>0</v>
      </c>
      <c r="J46">
        <v>0</v>
      </c>
      <c r="K46">
        <f>IFERROR(INDEX(MATRIZ_174!$U:$U,MATCH(A46,MATRIZ_174!$A:$A,0)),"")</f>
        <v>0</v>
      </c>
      <c r="L46">
        <f>IFERROR(MATRIZ_174!O46,0)</f>
        <v>0</v>
      </c>
      <c r="M46">
        <v>0</v>
      </c>
      <c r="N46" t="str">
        <f>IFERROR(ISCAM_Score!AC47,"")</f>
        <v>⬜  Riesgo Latente</v>
      </c>
      <c r="O46" t="s">
        <v>71</v>
      </c>
    </row>
    <row r="47" spans="1:15" ht="16.05" customHeight="1" x14ac:dyDescent="0.3">
      <c r="A47" t="s">
        <v>161</v>
      </c>
      <c r="B47" t="s">
        <v>162</v>
      </c>
      <c r="C47" s="36">
        <f>IFERROR(ISCAM_Score!AL48,"—")</f>
        <v>0</v>
      </c>
      <c r="D47" t="str">
        <f t="shared" si="2"/>
        <v>🔴  Crítico</v>
      </c>
      <c r="E47">
        <f t="shared" si="3"/>
        <v>1</v>
      </c>
      <c r="F47">
        <f>IFERROR(MATRIZ_174!L47,0)</f>
        <v>0</v>
      </c>
      <c r="G47">
        <f>IFERROR(MATRIZ_174!M47,0)</f>
        <v>0</v>
      </c>
      <c r="H47">
        <v>0</v>
      </c>
      <c r="I47">
        <v>0</v>
      </c>
      <c r="J47">
        <v>0</v>
      </c>
      <c r="K47">
        <f>IFERROR(INDEX(MATRIZ_174!$U:$U,MATCH(A47,MATRIZ_174!$A:$A,0)),"")</f>
        <v>0</v>
      </c>
      <c r="L47">
        <f>IFERROR(MATRIZ_174!O47,0)</f>
        <v>0</v>
      </c>
      <c r="M47">
        <v>0</v>
      </c>
      <c r="N47" t="str">
        <f>IFERROR(ISCAM_Score!AC48,"")</f>
        <v>⬜  Riesgo Latente</v>
      </c>
      <c r="O47" t="s">
        <v>71</v>
      </c>
    </row>
    <row r="48" spans="1:15" ht="16.05" customHeight="1" x14ac:dyDescent="0.3">
      <c r="A48" t="s">
        <v>163</v>
      </c>
      <c r="B48" t="s">
        <v>164</v>
      </c>
      <c r="C48" s="36">
        <f>IFERROR(ISCAM_Score!AL49,"—")</f>
        <v>0</v>
      </c>
      <c r="D48" t="str">
        <f t="shared" si="2"/>
        <v>🔴  Crítico</v>
      </c>
      <c r="E48">
        <f t="shared" si="3"/>
        <v>1</v>
      </c>
      <c r="F48">
        <v>15171146.539999999</v>
      </c>
      <c r="G48">
        <f>IFERROR(MATRIZ_174!M48,0)</f>
        <v>50</v>
      </c>
      <c r="H48">
        <v>0</v>
      </c>
      <c r="I48">
        <v>0</v>
      </c>
      <c r="J48">
        <v>0</v>
      </c>
      <c r="K48">
        <f>IFERROR(INDEX(MATRIZ_174!$U:$U,MATCH(A48,MATRIZ_174!$A:$A,0)),"")</f>
        <v>1</v>
      </c>
      <c r="L48">
        <f>IFERROR(MATRIZ_174!O48,0)</f>
        <v>0</v>
      </c>
      <c r="M48">
        <v>0</v>
      </c>
      <c r="N48" t="str">
        <f>IFERROR(ISCAM_Score!AC49,"")</f>
        <v>⬜  Riesgo Latente</v>
      </c>
      <c r="O48" t="s">
        <v>71</v>
      </c>
    </row>
    <row r="49" spans="1:15" ht="16.05" customHeight="1" x14ac:dyDescent="0.3">
      <c r="A49" t="s">
        <v>165</v>
      </c>
      <c r="B49" t="s">
        <v>166</v>
      </c>
      <c r="C49" s="36">
        <f>IFERROR(ISCAM_Score!AL50,"—")</f>
        <v>0</v>
      </c>
      <c r="D49" t="str">
        <f t="shared" si="2"/>
        <v>🔴  Crítico</v>
      </c>
      <c r="E49">
        <f t="shared" si="3"/>
        <v>1</v>
      </c>
      <c r="F49">
        <v>1145489.3500000001</v>
      </c>
      <c r="G49">
        <f>IFERROR(MATRIZ_174!M49,0)</f>
        <v>50</v>
      </c>
      <c r="H49">
        <v>0</v>
      </c>
      <c r="I49">
        <v>0</v>
      </c>
      <c r="J49">
        <v>0</v>
      </c>
      <c r="K49">
        <f>IFERROR(INDEX(MATRIZ_174!$U:$U,MATCH(A49,MATRIZ_174!$A:$A,0)),"")</f>
        <v>1</v>
      </c>
      <c r="L49">
        <f>IFERROR(MATRIZ_174!O49,0)</f>
        <v>0</v>
      </c>
      <c r="M49">
        <v>0</v>
      </c>
      <c r="N49" t="str">
        <f>IFERROR(ISCAM_Score!AC50,"")</f>
        <v>⬜  Riesgo Latente</v>
      </c>
      <c r="O49" t="s">
        <v>71</v>
      </c>
    </row>
    <row r="50" spans="1:15" ht="16.05" customHeight="1" x14ac:dyDescent="0.3">
      <c r="A50" t="s">
        <v>167</v>
      </c>
      <c r="B50" t="s">
        <v>168</v>
      </c>
      <c r="C50" s="36">
        <f>IFERROR(ISCAM_Score!AL51,"—")</f>
        <v>0</v>
      </c>
      <c r="D50" t="str">
        <f t="shared" si="2"/>
        <v>🔴  Crítico</v>
      </c>
      <c r="E50">
        <f t="shared" si="3"/>
        <v>1</v>
      </c>
      <c r="F50">
        <f>IFERROR(MATRIZ_174!L50,0)</f>
        <v>0</v>
      </c>
      <c r="G50">
        <f>IFERROR(MATRIZ_174!M50,0)</f>
        <v>0</v>
      </c>
      <c r="H50">
        <v>0</v>
      </c>
      <c r="I50">
        <v>0</v>
      </c>
      <c r="J50">
        <v>0</v>
      </c>
      <c r="K50">
        <f>IFERROR(INDEX(MATRIZ_174!$U:$U,MATCH(A50,MATRIZ_174!$A:$A,0)),"")</f>
        <v>0</v>
      </c>
      <c r="L50">
        <f>IFERROR(MATRIZ_174!O50,0)</f>
        <v>0</v>
      </c>
      <c r="M50">
        <v>0</v>
      </c>
      <c r="N50" t="str">
        <f>IFERROR(ISCAM_Score!AC51,"")</f>
        <v>⬜  Riesgo Latente</v>
      </c>
      <c r="O50" t="s">
        <v>169</v>
      </c>
    </row>
    <row r="51" spans="1:15" ht="16.05" customHeight="1" x14ac:dyDescent="0.3">
      <c r="A51" t="s">
        <v>170</v>
      </c>
      <c r="B51" t="s">
        <v>171</v>
      </c>
      <c r="C51" s="36">
        <f>IFERROR(ISCAM_Score!AL52,"—")</f>
        <v>0</v>
      </c>
      <c r="D51" t="str">
        <f t="shared" si="2"/>
        <v>🔴  Crítico</v>
      </c>
      <c r="E51">
        <f t="shared" si="3"/>
        <v>1</v>
      </c>
      <c r="F51">
        <f>IFERROR(MATRIZ_174!L51,0)</f>
        <v>0</v>
      </c>
      <c r="G51">
        <f>IFERROR(MATRIZ_174!M51,0)</f>
        <v>0</v>
      </c>
      <c r="H51">
        <v>0</v>
      </c>
      <c r="I51">
        <v>0</v>
      </c>
      <c r="J51">
        <v>0</v>
      </c>
      <c r="K51">
        <f>IFERROR(INDEX(MATRIZ_174!$U:$U,MATCH(A51,MATRIZ_174!$A:$A,0)),"")</f>
        <v>0</v>
      </c>
      <c r="L51">
        <f>IFERROR(MATRIZ_174!O51,0)</f>
        <v>0</v>
      </c>
      <c r="M51">
        <v>0</v>
      </c>
      <c r="N51" t="str">
        <f>IFERROR(ISCAM_Score!AC52,"")</f>
        <v>⬜  Riesgo Latente</v>
      </c>
      <c r="O51" t="s">
        <v>140</v>
      </c>
    </row>
    <row r="52" spans="1:15" ht="16.05" customHeight="1" x14ac:dyDescent="0.3">
      <c r="A52" t="s">
        <v>172</v>
      </c>
      <c r="B52" t="s">
        <v>173</v>
      </c>
      <c r="C52" s="36">
        <f>IFERROR(ISCAM_Score!AL53,"—")</f>
        <v>0</v>
      </c>
      <c r="D52" t="str">
        <f t="shared" si="2"/>
        <v>🔴  Crítico</v>
      </c>
      <c r="E52">
        <f t="shared" si="3"/>
        <v>1</v>
      </c>
      <c r="F52">
        <f>IFERROR(MATRIZ_174!L52,0)</f>
        <v>0</v>
      </c>
      <c r="G52">
        <f>IFERROR(MATRIZ_174!M52,0)</f>
        <v>0</v>
      </c>
      <c r="H52">
        <v>0</v>
      </c>
      <c r="I52">
        <v>0</v>
      </c>
      <c r="J52">
        <v>0</v>
      </c>
      <c r="K52">
        <f>IFERROR(INDEX(MATRIZ_174!$U:$U,MATCH(A52,MATRIZ_174!$A:$A,0)),"")</f>
        <v>0</v>
      </c>
      <c r="L52">
        <f>IFERROR(MATRIZ_174!O52,0)</f>
        <v>0</v>
      </c>
      <c r="M52">
        <v>0</v>
      </c>
      <c r="N52" t="str">
        <f>IFERROR(ISCAM_Score!AC53,"")</f>
        <v>⬜  Riesgo Latente</v>
      </c>
      <c r="O52" t="s">
        <v>74</v>
      </c>
    </row>
    <row r="53" spans="1:15" ht="16.05" customHeight="1" x14ac:dyDescent="0.3">
      <c r="A53" t="s">
        <v>174</v>
      </c>
      <c r="B53" t="s">
        <v>175</v>
      </c>
      <c r="C53" s="36">
        <f>IFERROR(ISCAM_Score!AL54,"—")</f>
        <v>0</v>
      </c>
      <c r="D53" t="str">
        <f t="shared" si="2"/>
        <v>🔴  Crítico</v>
      </c>
      <c r="E53">
        <f t="shared" si="3"/>
        <v>1</v>
      </c>
      <c r="F53">
        <v>0</v>
      </c>
      <c r="G53">
        <f>IFERROR(MATRIZ_174!M53,0)</f>
        <v>0</v>
      </c>
      <c r="H53">
        <v>0</v>
      </c>
      <c r="I53">
        <v>0</v>
      </c>
      <c r="J53">
        <v>0</v>
      </c>
      <c r="K53">
        <f>IFERROR(INDEX(MATRIZ_174!$U:$U,MATCH(A53,MATRIZ_174!$A:$A,0)),"")</f>
        <v>0</v>
      </c>
      <c r="L53">
        <f>IFERROR(MATRIZ_174!O53,0)</f>
        <v>0</v>
      </c>
      <c r="M53">
        <v>0</v>
      </c>
      <c r="N53" t="str">
        <f>IFERROR(ISCAM_Score!AC54,"")</f>
        <v>⬜  Riesgo Latente</v>
      </c>
      <c r="O53" t="s">
        <v>129</v>
      </c>
    </row>
    <row r="54" spans="1:15" ht="16.05" customHeight="1" x14ac:dyDescent="0.3">
      <c r="A54" t="s">
        <v>176</v>
      </c>
      <c r="B54" t="s">
        <v>177</v>
      </c>
      <c r="C54" s="36">
        <f>IFERROR(ISCAM_Score!AL55,"—")</f>
        <v>0</v>
      </c>
      <c r="D54" t="str">
        <f t="shared" si="2"/>
        <v>🔴  Crítico</v>
      </c>
      <c r="E54">
        <f t="shared" si="3"/>
        <v>1</v>
      </c>
      <c r="F54">
        <f>IFERROR(MATRIZ_174!L54,0)</f>
        <v>0</v>
      </c>
      <c r="G54">
        <f>IFERROR(MATRIZ_174!M54,0)</f>
        <v>0</v>
      </c>
      <c r="H54">
        <v>0</v>
      </c>
      <c r="I54">
        <v>0</v>
      </c>
      <c r="J54">
        <v>0</v>
      </c>
      <c r="K54">
        <f>IFERROR(INDEX(MATRIZ_174!$U:$U,MATCH(A54,MATRIZ_174!$A:$A,0)),"")</f>
        <v>0</v>
      </c>
      <c r="L54">
        <f>IFERROR(MATRIZ_174!O54,0)</f>
        <v>0</v>
      </c>
      <c r="M54">
        <v>0</v>
      </c>
      <c r="N54" t="str">
        <f>IFERROR(ISCAM_Score!AC55,"")</f>
        <v>⬜  Riesgo Latente</v>
      </c>
      <c r="O54" t="s">
        <v>129</v>
      </c>
    </row>
    <row r="55" spans="1:15" ht="16.05" customHeight="1" x14ac:dyDescent="0.3">
      <c r="A55" t="s">
        <v>178</v>
      </c>
      <c r="B55" t="s">
        <v>179</v>
      </c>
      <c r="C55" s="36">
        <f>IFERROR(ISCAM_Score!AL56,"—")</f>
        <v>0</v>
      </c>
      <c r="D55" t="str">
        <f t="shared" si="2"/>
        <v>🔴  Crítico</v>
      </c>
      <c r="E55">
        <f t="shared" si="3"/>
        <v>1</v>
      </c>
      <c r="F55">
        <f>IFERROR(MATRIZ_174!L55,0)</f>
        <v>0</v>
      </c>
      <c r="G55">
        <f>IFERROR(MATRIZ_174!M55,0)</f>
        <v>0</v>
      </c>
      <c r="H55">
        <v>0</v>
      </c>
      <c r="I55">
        <v>0</v>
      </c>
      <c r="J55">
        <v>0</v>
      </c>
      <c r="K55">
        <f>IFERROR(INDEX(MATRIZ_174!$U:$U,MATCH(A55,MATRIZ_174!$A:$A,0)),"")</f>
        <v>0</v>
      </c>
      <c r="L55">
        <f>IFERROR(MATRIZ_174!O55,0)</f>
        <v>0</v>
      </c>
      <c r="M55">
        <v>0</v>
      </c>
      <c r="N55" t="str">
        <f>IFERROR(ISCAM_Score!AC56,"")</f>
        <v>⬜  Riesgo Latente</v>
      </c>
      <c r="O55" t="s">
        <v>129</v>
      </c>
    </row>
    <row r="56" spans="1:15" ht="16.05" customHeight="1" x14ac:dyDescent="0.3">
      <c r="A56" t="s">
        <v>180</v>
      </c>
      <c r="B56" t="s">
        <v>181</v>
      </c>
      <c r="C56" s="36">
        <f>IFERROR(ISCAM_Score!AL57,"—")</f>
        <v>0</v>
      </c>
      <c r="D56" t="str">
        <f t="shared" si="2"/>
        <v>🔴  Crítico</v>
      </c>
      <c r="E56">
        <f t="shared" si="3"/>
        <v>1</v>
      </c>
      <c r="F56">
        <f>IFERROR(MATRIZ_174!L56,0)</f>
        <v>0</v>
      </c>
      <c r="G56">
        <f>IFERROR(MATRIZ_174!M56,0)</f>
        <v>0</v>
      </c>
      <c r="H56">
        <v>0</v>
      </c>
      <c r="I56">
        <v>0</v>
      </c>
      <c r="J56">
        <v>0</v>
      </c>
      <c r="K56">
        <f>IFERROR(INDEX(MATRIZ_174!$U:$U,MATCH(A56,MATRIZ_174!$A:$A,0)),"")</f>
        <v>0</v>
      </c>
      <c r="L56">
        <f>IFERROR(MATRIZ_174!O56,0)</f>
        <v>0</v>
      </c>
      <c r="M56">
        <v>0</v>
      </c>
      <c r="N56" t="str">
        <f>IFERROR(ISCAM_Score!AC57,"")</f>
        <v>⬜  Riesgo Latente</v>
      </c>
      <c r="O56" t="s">
        <v>182</v>
      </c>
    </row>
    <row r="57" spans="1:15" ht="16.05" customHeight="1" x14ac:dyDescent="0.3">
      <c r="A57" t="s">
        <v>183</v>
      </c>
      <c r="B57" t="s">
        <v>184</v>
      </c>
      <c r="C57" s="36">
        <f>IFERROR(ISCAM_Score!AL58,"—")</f>
        <v>0</v>
      </c>
      <c r="D57" t="str">
        <f t="shared" si="2"/>
        <v>🔴  Crítico</v>
      </c>
      <c r="E57">
        <f t="shared" si="3"/>
        <v>1</v>
      </c>
      <c r="F57">
        <f>IFERROR(MATRIZ_174!L57,0)</f>
        <v>0</v>
      </c>
      <c r="G57">
        <f>IFERROR(MATRIZ_174!M57,0)</f>
        <v>0</v>
      </c>
      <c r="H57">
        <v>0</v>
      </c>
      <c r="I57">
        <v>0</v>
      </c>
      <c r="J57">
        <v>0</v>
      </c>
      <c r="K57">
        <f>IFERROR(INDEX(MATRIZ_174!$U:$U,MATCH(A57,MATRIZ_174!$A:$A,0)),"")</f>
        <v>0</v>
      </c>
      <c r="L57">
        <f>IFERROR(MATRIZ_174!O57,0)</f>
        <v>0</v>
      </c>
      <c r="M57">
        <v>0</v>
      </c>
      <c r="N57" t="str">
        <f>IFERROR(ISCAM_Score!AC58,"")</f>
        <v>⬜  Riesgo Latente</v>
      </c>
      <c r="O57" t="s">
        <v>74</v>
      </c>
    </row>
    <row r="58" spans="1:15" ht="16.05" customHeight="1" x14ac:dyDescent="0.3">
      <c r="A58" t="s">
        <v>185</v>
      </c>
      <c r="B58" t="s">
        <v>186</v>
      </c>
      <c r="C58" s="36">
        <f>IFERROR(ISCAM_Score!AL59,"—")</f>
        <v>0</v>
      </c>
      <c r="D58" t="str">
        <f t="shared" si="2"/>
        <v>🔴  Crítico</v>
      </c>
      <c r="E58">
        <f t="shared" si="3"/>
        <v>1</v>
      </c>
      <c r="F58">
        <v>52920</v>
      </c>
      <c r="G58">
        <f>IFERROR(MATRIZ_174!M58,0)</f>
        <v>50</v>
      </c>
      <c r="H58">
        <v>0</v>
      </c>
      <c r="I58">
        <v>0</v>
      </c>
      <c r="J58">
        <v>0</v>
      </c>
      <c r="K58">
        <f>IFERROR(INDEX(MATRIZ_174!$U:$U,MATCH(A58,MATRIZ_174!$A:$A,0)),"")</f>
        <v>1</v>
      </c>
      <c r="L58">
        <f>IFERROR(MATRIZ_174!O58,0)</f>
        <v>0</v>
      </c>
      <c r="M58">
        <v>0</v>
      </c>
      <c r="N58" t="str">
        <f>IFERROR(ISCAM_Score!AC59,"")</f>
        <v>⬜  Riesgo Latente</v>
      </c>
      <c r="O58" t="s">
        <v>95</v>
      </c>
    </row>
    <row r="59" spans="1:15" ht="16.05" customHeight="1" x14ac:dyDescent="0.3">
      <c r="A59" t="s">
        <v>187</v>
      </c>
      <c r="B59" t="s">
        <v>188</v>
      </c>
      <c r="C59" s="36">
        <f>IFERROR(ISCAM_Score!AL60,"—")</f>
        <v>0</v>
      </c>
      <c r="D59" t="str">
        <f t="shared" si="2"/>
        <v>🔴  Crítico</v>
      </c>
      <c r="E59">
        <f t="shared" si="3"/>
        <v>1</v>
      </c>
      <c r="F59">
        <f>IFERROR(MATRIZ_174!L59,0)</f>
        <v>0</v>
      </c>
      <c r="G59">
        <f>IFERROR(MATRIZ_174!M59,0)</f>
        <v>0</v>
      </c>
      <c r="H59">
        <v>0</v>
      </c>
      <c r="I59">
        <v>0</v>
      </c>
      <c r="J59">
        <v>0</v>
      </c>
      <c r="K59">
        <f>IFERROR(INDEX(MATRIZ_174!$U:$U,MATCH(A59,MATRIZ_174!$A:$A,0)),"")</f>
        <v>0</v>
      </c>
      <c r="L59">
        <f>IFERROR(MATRIZ_174!O59,0)</f>
        <v>0</v>
      </c>
      <c r="M59">
        <v>0</v>
      </c>
      <c r="N59" t="str">
        <f>IFERROR(ISCAM_Score!AC60,"")</f>
        <v>⬜  Riesgo Latente</v>
      </c>
      <c r="O59" t="s">
        <v>95</v>
      </c>
    </row>
    <row r="60" spans="1:15" ht="16.05" customHeight="1" x14ac:dyDescent="0.3">
      <c r="A60" t="s">
        <v>189</v>
      </c>
      <c r="B60" t="s">
        <v>190</v>
      </c>
      <c r="C60" s="36">
        <f>IFERROR(ISCAM_Score!AL61,"—")</f>
        <v>0</v>
      </c>
      <c r="D60" t="str">
        <f t="shared" si="2"/>
        <v>🔴  Crítico</v>
      </c>
      <c r="E60">
        <f t="shared" si="3"/>
        <v>1</v>
      </c>
      <c r="F60">
        <v>5373465.4699999997</v>
      </c>
      <c r="G60">
        <f>IFERROR(MATRIZ_174!M60,0)</f>
        <v>50</v>
      </c>
      <c r="H60">
        <v>0</v>
      </c>
      <c r="I60">
        <v>0</v>
      </c>
      <c r="J60">
        <v>0</v>
      </c>
      <c r="K60">
        <f>IFERROR(INDEX(MATRIZ_174!$U:$U,MATCH(A60,MATRIZ_174!$A:$A,0)),"")</f>
        <v>1</v>
      </c>
      <c r="L60">
        <f>IFERROR(MATRIZ_174!O60,0)</f>
        <v>0</v>
      </c>
      <c r="M60">
        <v>0</v>
      </c>
      <c r="N60" t="str">
        <f>IFERROR(ISCAM_Score!AC61,"")</f>
        <v>⬜  Riesgo Latente</v>
      </c>
      <c r="O60" t="s">
        <v>191</v>
      </c>
    </row>
    <row r="61" spans="1:15" ht="16.05" customHeight="1" x14ac:dyDescent="0.3">
      <c r="A61" t="s">
        <v>192</v>
      </c>
      <c r="B61" t="s">
        <v>193</v>
      </c>
      <c r="C61" s="36">
        <f>IFERROR(ISCAM_Score!AL62,"—")</f>
        <v>0</v>
      </c>
      <c r="D61" t="str">
        <f t="shared" si="2"/>
        <v>🔴  Crítico</v>
      </c>
      <c r="E61">
        <f t="shared" si="3"/>
        <v>1</v>
      </c>
      <c r="F61">
        <f>IFERROR(MATRIZ_174!L61,0)</f>
        <v>0</v>
      </c>
      <c r="G61">
        <f>IFERROR(MATRIZ_174!M61,0)</f>
        <v>0</v>
      </c>
      <c r="H61">
        <v>0</v>
      </c>
      <c r="I61">
        <v>0</v>
      </c>
      <c r="J61">
        <v>0</v>
      </c>
      <c r="K61">
        <f>IFERROR(INDEX(MATRIZ_174!$U:$U,MATCH(A61,MATRIZ_174!$A:$A,0)),"")</f>
        <v>0</v>
      </c>
      <c r="L61">
        <f>IFERROR(MATRIZ_174!O61,0)</f>
        <v>0</v>
      </c>
      <c r="M61">
        <v>0</v>
      </c>
      <c r="N61" t="str">
        <f>IFERROR(ISCAM_Score!AC62,"")</f>
        <v>⬜  Riesgo Latente</v>
      </c>
      <c r="O61" t="s">
        <v>110</v>
      </c>
    </row>
    <row r="62" spans="1:15" ht="16.05" customHeight="1" x14ac:dyDescent="0.3">
      <c r="A62" t="s">
        <v>194</v>
      </c>
      <c r="B62" t="s">
        <v>195</v>
      </c>
      <c r="C62" s="36">
        <f>IFERROR(ISCAM_Score!AL63,"—")</f>
        <v>0</v>
      </c>
      <c r="D62" t="str">
        <f t="shared" si="2"/>
        <v>🔴  Crítico</v>
      </c>
      <c r="E62">
        <f t="shared" si="3"/>
        <v>1</v>
      </c>
      <c r="F62">
        <f>IFERROR(MATRIZ_174!L62,0)</f>
        <v>0</v>
      </c>
      <c r="G62">
        <f>IFERROR(MATRIZ_174!M62,0)</f>
        <v>0</v>
      </c>
      <c r="H62">
        <v>0</v>
      </c>
      <c r="I62">
        <v>0</v>
      </c>
      <c r="J62">
        <v>0</v>
      </c>
      <c r="K62">
        <f>IFERROR(INDEX(MATRIZ_174!$U:$U,MATCH(A62,MATRIZ_174!$A:$A,0)),"")</f>
        <v>0</v>
      </c>
      <c r="L62">
        <f>IFERROR(MATRIZ_174!O62,0)</f>
        <v>0</v>
      </c>
      <c r="M62">
        <v>0</v>
      </c>
      <c r="N62" t="str">
        <f>IFERROR(ISCAM_Score!AC63,"")</f>
        <v>⬜  Riesgo Latente</v>
      </c>
      <c r="O62" t="s">
        <v>95</v>
      </c>
    </row>
    <row r="63" spans="1:15" ht="16.05" customHeight="1" x14ac:dyDescent="0.3">
      <c r="A63" t="s">
        <v>196</v>
      </c>
      <c r="B63" t="s">
        <v>197</v>
      </c>
      <c r="C63" s="36">
        <f>IFERROR(ISCAM_Score!AL64,"—")</f>
        <v>0</v>
      </c>
      <c r="D63" t="str">
        <f t="shared" si="2"/>
        <v>🔴  Crítico</v>
      </c>
      <c r="E63">
        <f t="shared" si="3"/>
        <v>1</v>
      </c>
      <c r="F63">
        <f>IFERROR(MATRIZ_174!L63,0)</f>
        <v>0</v>
      </c>
      <c r="G63">
        <f>IFERROR(MATRIZ_174!M63,0)</f>
        <v>0</v>
      </c>
      <c r="H63">
        <v>0</v>
      </c>
      <c r="I63">
        <v>0</v>
      </c>
      <c r="J63">
        <v>0</v>
      </c>
      <c r="K63">
        <f>IFERROR(INDEX(MATRIZ_174!$U:$U,MATCH(A63,MATRIZ_174!$A:$A,0)),"")</f>
        <v>0</v>
      </c>
      <c r="L63">
        <f>IFERROR(MATRIZ_174!O63,0)</f>
        <v>0</v>
      </c>
      <c r="M63">
        <v>0</v>
      </c>
      <c r="N63" t="str">
        <f>IFERROR(ISCAM_Score!AC64,"")</f>
        <v>⬜  Riesgo Latente</v>
      </c>
      <c r="O63" t="s">
        <v>95</v>
      </c>
    </row>
    <row r="64" spans="1:15" ht="16.05" customHeight="1" x14ac:dyDescent="0.3">
      <c r="A64" t="s">
        <v>198</v>
      </c>
      <c r="B64" t="s">
        <v>199</v>
      </c>
      <c r="C64" s="36">
        <f>IFERROR(ISCAM_Score!AL65,"—")</f>
        <v>0</v>
      </c>
      <c r="D64" t="str">
        <f t="shared" si="2"/>
        <v>🔴  Crítico</v>
      </c>
      <c r="E64">
        <f t="shared" si="3"/>
        <v>1</v>
      </c>
      <c r="F64">
        <v>0</v>
      </c>
      <c r="G64">
        <f>IFERROR(MATRIZ_174!M64,0)</f>
        <v>0</v>
      </c>
      <c r="H64">
        <v>0</v>
      </c>
      <c r="I64">
        <v>0</v>
      </c>
      <c r="J64">
        <v>0</v>
      </c>
      <c r="K64">
        <f>IFERROR(INDEX(MATRIZ_174!$U:$U,MATCH(A64,MATRIZ_174!$A:$A,0)),"")</f>
        <v>0</v>
      </c>
      <c r="L64">
        <f>IFERROR(MATRIZ_174!O64,0)</f>
        <v>0</v>
      </c>
      <c r="M64">
        <v>0</v>
      </c>
      <c r="N64" t="str">
        <f>IFERROR(ISCAM_Score!AC65,"")</f>
        <v>⬜  Riesgo Latente</v>
      </c>
      <c r="O64" t="s">
        <v>129</v>
      </c>
    </row>
    <row r="65" spans="1:15" ht="16.05" customHeight="1" x14ac:dyDescent="0.3">
      <c r="A65" t="s">
        <v>200</v>
      </c>
      <c r="B65" t="s">
        <v>201</v>
      </c>
      <c r="C65" s="36">
        <f>IFERROR(ISCAM_Score!AL66,"—")</f>
        <v>0</v>
      </c>
      <c r="D65" t="str">
        <f t="shared" si="2"/>
        <v>🔴  Crítico</v>
      </c>
      <c r="E65">
        <f t="shared" si="3"/>
        <v>1</v>
      </c>
      <c r="F65">
        <v>0</v>
      </c>
      <c r="G65">
        <f>IFERROR(MATRIZ_174!M65,0)</f>
        <v>0</v>
      </c>
      <c r="H65">
        <v>0</v>
      </c>
      <c r="I65">
        <v>0</v>
      </c>
      <c r="J65">
        <v>0</v>
      </c>
      <c r="K65">
        <f>IFERROR(INDEX(MATRIZ_174!$U:$U,MATCH(A65,MATRIZ_174!$A:$A,0)),"")</f>
        <v>0</v>
      </c>
      <c r="L65">
        <f>IFERROR(MATRIZ_174!O65,0)</f>
        <v>0</v>
      </c>
      <c r="M65">
        <v>0</v>
      </c>
      <c r="N65" t="str">
        <f>IFERROR(ISCAM_Score!AC66,"")</f>
        <v>⬜  Riesgo Latente</v>
      </c>
      <c r="O65" t="s">
        <v>129</v>
      </c>
    </row>
    <row r="66" spans="1:15" ht="16.05" customHeight="1" x14ac:dyDescent="0.3">
      <c r="A66" t="s">
        <v>202</v>
      </c>
      <c r="B66" t="s">
        <v>203</v>
      </c>
      <c r="C66" s="36">
        <f>IFERROR(ISCAM_Score!AL67,"—")</f>
        <v>0</v>
      </c>
      <c r="D66" t="str">
        <f t="shared" si="2"/>
        <v>🔴  Crítico</v>
      </c>
      <c r="E66">
        <f t="shared" si="3"/>
        <v>1</v>
      </c>
      <c r="F66">
        <f>IFERROR(MATRIZ_174!L66,0)</f>
        <v>0</v>
      </c>
      <c r="G66">
        <f>IFERROR(MATRIZ_174!M66,0)</f>
        <v>0</v>
      </c>
      <c r="H66">
        <v>0</v>
      </c>
      <c r="I66">
        <v>0</v>
      </c>
      <c r="J66">
        <v>0</v>
      </c>
      <c r="K66">
        <f>IFERROR(INDEX(MATRIZ_174!$U:$U,MATCH(A66,MATRIZ_174!$A:$A,0)),"")</f>
        <v>0</v>
      </c>
      <c r="L66">
        <f>IFERROR(MATRIZ_174!O66,0)</f>
        <v>0</v>
      </c>
      <c r="M66">
        <v>0</v>
      </c>
      <c r="N66" t="str">
        <f>IFERROR(ISCAM_Score!AC67,"")</f>
        <v>⬜  Riesgo Latente</v>
      </c>
      <c r="O66" t="s">
        <v>74</v>
      </c>
    </row>
    <row r="67" spans="1:15" ht="16.05" customHeight="1" x14ac:dyDescent="0.3">
      <c r="A67" t="s">
        <v>204</v>
      </c>
      <c r="B67" t="s">
        <v>205</v>
      </c>
      <c r="C67" s="36">
        <f>IFERROR(ISCAM_Score!AL68,"—")</f>
        <v>0</v>
      </c>
      <c r="D67" t="str">
        <f t="shared" ref="D67:D98" si="4">IF(C67="—","— Sin Inst.2",IF(C67&lt;34,"🔴  Crítico",IF(C67&lt;67,"🟡  En desarrollo","🟢  Alineado")))</f>
        <v>🔴  Crítico</v>
      </c>
      <c r="E67">
        <f t="shared" ref="E67:E98" si="5">IFERROR(RANK(C67,C:C,-1),"")</f>
        <v>1</v>
      </c>
      <c r="F67">
        <f>IFERROR(MATRIZ_174!L67,0)</f>
        <v>0</v>
      </c>
      <c r="G67">
        <f>IFERROR(MATRIZ_174!M67,0)</f>
        <v>0</v>
      </c>
      <c r="H67">
        <v>0</v>
      </c>
      <c r="I67">
        <v>0</v>
      </c>
      <c r="J67">
        <v>0</v>
      </c>
      <c r="K67">
        <f>IFERROR(INDEX(MATRIZ_174!$U:$U,MATCH(A67,MATRIZ_174!$A:$A,0)),"")</f>
        <v>0</v>
      </c>
      <c r="L67">
        <f>IFERROR(MATRIZ_174!O67,0)</f>
        <v>0</v>
      </c>
      <c r="M67">
        <v>0</v>
      </c>
      <c r="N67" t="str">
        <f>IFERROR(ISCAM_Score!AC68,"")</f>
        <v>⬜  Riesgo Latente</v>
      </c>
      <c r="O67" t="s">
        <v>103</v>
      </c>
    </row>
    <row r="68" spans="1:15" ht="16.05" customHeight="1" x14ac:dyDescent="0.3">
      <c r="A68" t="s">
        <v>206</v>
      </c>
      <c r="B68" t="s">
        <v>207</v>
      </c>
      <c r="C68" s="36">
        <f>IFERROR(ISCAM_Score!AL69,"—")</f>
        <v>0</v>
      </c>
      <c r="D68" t="str">
        <f t="shared" si="4"/>
        <v>🔴  Crítico</v>
      </c>
      <c r="E68">
        <f t="shared" si="5"/>
        <v>1</v>
      </c>
      <c r="F68">
        <f>IFERROR(MATRIZ_174!L68,0)</f>
        <v>0</v>
      </c>
      <c r="G68">
        <f>IFERROR(MATRIZ_174!M68,0)</f>
        <v>0</v>
      </c>
      <c r="H68">
        <v>0</v>
      </c>
      <c r="I68">
        <v>0</v>
      </c>
      <c r="J68">
        <v>0</v>
      </c>
      <c r="K68">
        <f>IFERROR(INDEX(MATRIZ_174!$U:$U,MATCH(A68,MATRIZ_174!$A:$A,0)),"")</f>
        <v>0</v>
      </c>
      <c r="L68">
        <f>IFERROR(MATRIZ_174!O68,0)</f>
        <v>0</v>
      </c>
      <c r="M68">
        <v>0</v>
      </c>
      <c r="N68" t="str">
        <f>IFERROR(ISCAM_Score!AC69,"")</f>
        <v>⬜  Riesgo Latente</v>
      </c>
      <c r="O68" t="s">
        <v>103</v>
      </c>
    </row>
    <row r="69" spans="1:15" ht="16.05" customHeight="1" x14ac:dyDescent="0.3">
      <c r="A69" t="s">
        <v>208</v>
      </c>
      <c r="B69" t="s">
        <v>209</v>
      </c>
      <c r="C69" s="36">
        <f>IFERROR(ISCAM_Score!AL70,"—")</f>
        <v>0</v>
      </c>
      <c r="D69" t="str">
        <f t="shared" si="4"/>
        <v>🔴  Crítico</v>
      </c>
      <c r="E69">
        <f t="shared" si="5"/>
        <v>1</v>
      </c>
      <c r="F69">
        <f>IFERROR(MATRIZ_174!L69,0)</f>
        <v>0</v>
      </c>
      <c r="G69">
        <f>IFERROR(MATRIZ_174!M69,0)</f>
        <v>0</v>
      </c>
      <c r="H69">
        <v>0</v>
      </c>
      <c r="I69">
        <v>0</v>
      </c>
      <c r="J69">
        <v>0</v>
      </c>
      <c r="K69">
        <f>IFERROR(INDEX(MATRIZ_174!$U:$U,MATCH(A69,MATRIZ_174!$A:$A,0)),"")</f>
        <v>0</v>
      </c>
      <c r="L69">
        <f>IFERROR(MATRIZ_174!O69,0)</f>
        <v>0</v>
      </c>
      <c r="M69">
        <v>0</v>
      </c>
      <c r="N69" t="str">
        <f>IFERROR(ISCAM_Score!AC70,"")</f>
        <v>⬜  Riesgo Latente</v>
      </c>
      <c r="O69" t="s">
        <v>169</v>
      </c>
    </row>
    <row r="70" spans="1:15" ht="16.05" customHeight="1" x14ac:dyDescent="0.3">
      <c r="A70" t="s">
        <v>210</v>
      </c>
      <c r="B70" t="s">
        <v>211</v>
      </c>
      <c r="C70" s="36">
        <f>IFERROR(ISCAM_Score!AL71,"—")</f>
        <v>0</v>
      </c>
      <c r="D70" t="str">
        <f t="shared" si="4"/>
        <v>🔴  Crítico</v>
      </c>
      <c r="E70">
        <f t="shared" si="5"/>
        <v>1</v>
      </c>
      <c r="F70">
        <v>7878141.7300000004</v>
      </c>
      <c r="G70">
        <f>IFERROR(MATRIZ_174!M70,0)</f>
        <v>59.5</v>
      </c>
      <c r="H70">
        <v>0</v>
      </c>
      <c r="I70">
        <v>0</v>
      </c>
      <c r="J70">
        <v>0</v>
      </c>
      <c r="K70">
        <f>IFERROR(INDEX(MATRIZ_174!$U:$U,MATCH(A70,MATRIZ_174!$A:$A,0)),"")</f>
        <v>1</v>
      </c>
      <c r="L70">
        <f>IFERROR(MATRIZ_174!O70,0)</f>
        <v>0</v>
      </c>
      <c r="M70">
        <v>0</v>
      </c>
      <c r="N70" t="str">
        <f>IFERROR(ISCAM_Score!AC71,"")</f>
        <v>🔴  Riesgo Crítico</v>
      </c>
      <c r="O70" t="s">
        <v>129</v>
      </c>
    </row>
    <row r="71" spans="1:15" ht="16.05" customHeight="1" x14ac:dyDescent="0.3">
      <c r="A71" t="s">
        <v>212</v>
      </c>
      <c r="B71" t="s">
        <v>213</v>
      </c>
      <c r="C71" s="36">
        <f>IFERROR(ISCAM_Score!AL72,"—")</f>
        <v>0</v>
      </c>
      <c r="D71" t="str">
        <f t="shared" si="4"/>
        <v>🔴  Crítico</v>
      </c>
      <c r="E71">
        <f t="shared" si="5"/>
        <v>1</v>
      </c>
      <c r="F71">
        <f>IFERROR(MATRIZ_174!L71,0)</f>
        <v>0</v>
      </c>
      <c r="G71">
        <f>IFERROR(MATRIZ_174!M71,0)</f>
        <v>0</v>
      </c>
      <c r="H71">
        <v>0</v>
      </c>
      <c r="I71">
        <v>0</v>
      </c>
      <c r="J71">
        <v>0</v>
      </c>
      <c r="K71">
        <f>IFERROR(INDEX(MATRIZ_174!$U:$U,MATCH(A71,MATRIZ_174!$A:$A,0)),"")</f>
        <v>0</v>
      </c>
      <c r="L71">
        <f>IFERROR(MATRIZ_174!O71,0)</f>
        <v>0</v>
      </c>
      <c r="M71">
        <v>0</v>
      </c>
      <c r="N71" t="str">
        <f>IFERROR(ISCAM_Score!AC72,"")</f>
        <v>⬜  Riesgo Latente</v>
      </c>
      <c r="O71" t="s">
        <v>129</v>
      </c>
    </row>
    <row r="72" spans="1:15" ht="16.05" customHeight="1" x14ac:dyDescent="0.3">
      <c r="A72" t="s">
        <v>214</v>
      </c>
      <c r="B72" t="s">
        <v>215</v>
      </c>
      <c r="C72" s="36">
        <f>IFERROR(ISCAM_Score!AL73,"—")</f>
        <v>0</v>
      </c>
      <c r="D72" t="str">
        <f t="shared" si="4"/>
        <v>🔴  Crítico</v>
      </c>
      <c r="E72">
        <f t="shared" si="5"/>
        <v>1</v>
      </c>
      <c r="F72">
        <v>1413037.5</v>
      </c>
      <c r="G72">
        <f>IFERROR(MATRIZ_174!M72,0)</f>
        <v>50</v>
      </c>
      <c r="H72">
        <v>0</v>
      </c>
      <c r="I72">
        <v>0</v>
      </c>
      <c r="J72">
        <v>0</v>
      </c>
      <c r="K72">
        <f>IFERROR(INDEX(MATRIZ_174!$U:$U,MATCH(A72,MATRIZ_174!$A:$A,0)),"")</f>
        <v>1</v>
      </c>
      <c r="L72">
        <f>IFERROR(MATRIZ_174!O72,0)</f>
        <v>0</v>
      </c>
      <c r="M72">
        <v>0</v>
      </c>
      <c r="N72" t="str">
        <f>IFERROR(ISCAM_Score!AC73,"")</f>
        <v>⬜  Riesgo Latente</v>
      </c>
      <c r="O72" t="s">
        <v>129</v>
      </c>
    </row>
    <row r="73" spans="1:15" ht="16.05" customHeight="1" x14ac:dyDescent="0.3">
      <c r="A73" t="s">
        <v>216</v>
      </c>
      <c r="B73" t="s">
        <v>217</v>
      </c>
      <c r="C73" s="36">
        <f>IFERROR(ISCAM_Score!AL74,"—")</f>
        <v>0</v>
      </c>
      <c r="D73" t="str">
        <f t="shared" si="4"/>
        <v>🔴  Crítico</v>
      </c>
      <c r="E73">
        <f t="shared" si="5"/>
        <v>1</v>
      </c>
      <c r="F73">
        <v>1187600.48</v>
      </c>
      <c r="G73">
        <f>IFERROR(MATRIZ_174!M73,0)</f>
        <v>100</v>
      </c>
      <c r="H73">
        <v>0</v>
      </c>
      <c r="I73">
        <v>0</v>
      </c>
      <c r="J73">
        <v>0</v>
      </c>
      <c r="K73">
        <f>IFERROR(INDEX(MATRIZ_174!$U:$U,MATCH(A73,MATRIZ_174!$A:$A,0)),"")</f>
        <v>1</v>
      </c>
      <c r="L73">
        <f>IFERROR(MATRIZ_174!O73,0)</f>
        <v>0</v>
      </c>
      <c r="M73">
        <v>0</v>
      </c>
      <c r="N73" t="str">
        <f>IFERROR(ISCAM_Score!AC74,"")</f>
        <v>🔴  Riesgo Crítico</v>
      </c>
      <c r="O73" t="s">
        <v>129</v>
      </c>
    </row>
    <row r="74" spans="1:15" ht="16.05" customHeight="1" x14ac:dyDescent="0.3">
      <c r="A74" t="s">
        <v>218</v>
      </c>
      <c r="B74" t="s">
        <v>219</v>
      </c>
      <c r="C74" s="36">
        <f>IFERROR(ISCAM_Score!AL75,"—")</f>
        <v>0</v>
      </c>
      <c r="D74" t="str">
        <f t="shared" si="4"/>
        <v>🔴  Crítico</v>
      </c>
      <c r="E74">
        <f t="shared" si="5"/>
        <v>1</v>
      </c>
      <c r="F74">
        <v>12142715.91</v>
      </c>
      <c r="G74">
        <f>IFERROR(MATRIZ_174!M74,0)</f>
        <v>50</v>
      </c>
      <c r="H74">
        <v>0</v>
      </c>
      <c r="I74">
        <v>0</v>
      </c>
      <c r="J74">
        <v>0</v>
      </c>
      <c r="K74">
        <f>IFERROR(INDEX(MATRIZ_174!$U:$U,MATCH(A74,MATRIZ_174!$A:$A,0)),"")</f>
        <v>1</v>
      </c>
      <c r="L74">
        <f>IFERROR(MATRIZ_174!O74,0)</f>
        <v>0</v>
      </c>
      <c r="M74">
        <v>0</v>
      </c>
      <c r="N74" t="str">
        <f>IFERROR(ISCAM_Score!AC75,"")</f>
        <v>⬜  Riesgo Latente</v>
      </c>
      <c r="O74" t="s">
        <v>129</v>
      </c>
    </row>
    <row r="75" spans="1:15" ht="16.05" customHeight="1" x14ac:dyDescent="0.3">
      <c r="A75" t="s">
        <v>220</v>
      </c>
      <c r="B75" t="s">
        <v>221</v>
      </c>
      <c r="C75" s="36">
        <f>IFERROR(ISCAM_Score!AL76,"—")</f>
        <v>0</v>
      </c>
      <c r="D75" t="str">
        <f t="shared" si="4"/>
        <v>🔴  Crítico</v>
      </c>
      <c r="E75">
        <f t="shared" si="5"/>
        <v>1</v>
      </c>
      <c r="F75">
        <f>IFERROR(MATRIZ_174!L75,0)</f>
        <v>0</v>
      </c>
      <c r="G75">
        <f>IFERROR(MATRIZ_174!M75,0)</f>
        <v>0</v>
      </c>
      <c r="H75">
        <v>0</v>
      </c>
      <c r="I75">
        <v>0</v>
      </c>
      <c r="J75">
        <v>0</v>
      </c>
      <c r="K75">
        <f>IFERROR(INDEX(MATRIZ_174!$U:$U,MATCH(A75,MATRIZ_174!$A:$A,0)),"")</f>
        <v>0</v>
      </c>
      <c r="L75">
        <f>IFERROR(MATRIZ_174!O75,0)</f>
        <v>0</v>
      </c>
      <c r="M75">
        <v>0</v>
      </c>
      <c r="N75" t="str">
        <f>IFERROR(ISCAM_Score!AC76,"")</f>
        <v>⬜  Riesgo Latente</v>
      </c>
      <c r="O75" t="s">
        <v>182</v>
      </c>
    </row>
    <row r="76" spans="1:15" ht="16.05" customHeight="1" x14ac:dyDescent="0.3">
      <c r="A76" t="s">
        <v>222</v>
      </c>
      <c r="B76" t="s">
        <v>223</v>
      </c>
      <c r="C76" s="36">
        <f>IFERROR(ISCAM_Score!AL77,"—")</f>
        <v>0</v>
      </c>
      <c r="D76" t="str">
        <f t="shared" si="4"/>
        <v>🔴  Crítico</v>
      </c>
      <c r="E76">
        <f t="shared" si="5"/>
        <v>1</v>
      </c>
      <c r="F76">
        <f>IFERROR(MATRIZ_174!L76,0)</f>
        <v>0</v>
      </c>
      <c r="G76">
        <f>IFERROR(MATRIZ_174!M76,0)</f>
        <v>0</v>
      </c>
      <c r="H76">
        <v>0</v>
      </c>
      <c r="I76">
        <v>0</v>
      </c>
      <c r="J76">
        <v>0</v>
      </c>
      <c r="K76">
        <f>IFERROR(INDEX(MATRIZ_174!$U:$U,MATCH(A76,MATRIZ_174!$A:$A,0)),"")</f>
        <v>0</v>
      </c>
      <c r="L76">
        <f>IFERROR(MATRIZ_174!O76,0)</f>
        <v>0</v>
      </c>
      <c r="M76">
        <v>0</v>
      </c>
      <c r="N76" t="str">
        <f>IFERROR(ISCAM_Score!AC77,"")</f>
        <v>⬜  Riesgo Latente</v>
      </c>
      <c r="O76" t="s">
        <v>182</v>
      </c>
    </row>
    <row r="77" spans="1:15" ht="16.05" customHeight="1" x14ac:dyDescent="0.3">
      <c r="A77" t="s">
        <v>224</v>
      </c>
      <c r="B77" t="s">
        <v>225</v>
      </c>
      <c r="C77" s="36">
        <f>IFERROR(ISCAM_Score!AL78,"—")</f>
        <v>0</v>
      </c>
      <c r="D77" t="str">
        <f t="shared" si="4"/>
        <v>🔴  Crítico</v>
      </c>
      <c r="E77">
        <f t="shared" si="5"/>
        <v>1</v>
      </c>
      <c r="F77">
        <v>8445503.2400000002</v>
      </c>
      <c r="G77">
        <f>IFERROR(MATRIZ_174!M77,0)</f>
        <v>50</v>
      </c>
      <c r="H77">
        <v>0</v>
      </c>
      <c r="I77">
        <v>0</v>
      </c>
      <c r="J77">
        <v>0</v>
      </c>
      <c r="K77">
        <f>IFERROR(INDEX(MATRIZ_174!$U:$U,MATCH(A77,MATRIZ_174!$A:$A,0)),"")</f>
        <v>1</v>
      </c>
      <c r="L77">
        <f>IFERROR(MATRIZ_174!O77,0)</f>
        <v>0</v>
      </c>
      <c r="M77">
        <v>0</v>
      </c>
      <c r="N77" t="str">
        <f>IFERROR(ISCAM_Score!AC78,"")</f>
        <v>⬜  Riesgo Latente</v>
      </c>
      <c r="O77" t="s">
        <v>140</v>
      </c>
    </row>
    <row r="78" spans="1:15" ht="16.05" customHeight="1" x14ac:dyDescent="0.3">
      <c r="A78" t="s">
        <v>226</v>
      </c>
      <c r="B78" t="s">
        <v>227</v>
      </c>
      <c r="C78" s="36">
        <f>IFERROR(ISCAM_Score!AL79,"—")</f>
        <v>0</v>
      </c>
      <c r="D78" t="str">
        <f t="shared" si="4"/>
        <v>🔴  Crítico</v>
      </c>
      <c r="E78">
        <f t="shared" si="5"/>
        <v>1</v>
      </c>
      <c r="F78">
        <f>IFERROR(MATRIZ_174!L78,0)</f>
        <v>0</v>
      </c>
      <c r="G78">
        <f>IFERROR(MATRIZ_174!M78,0)</f>
        <v>0</v>
      </c>
      <c r="H78">
        <v>0</v>
      </c>
      <c r="I78">
        <v>0</v>
      </c>
      <c r="J78">
        <v>0</v>
      </c>
      <c r="K78">
        <f>IFERROR(INDEX(MATRIZ_174!$U:$U,MATCH(A78,MATRIZ_174!$A:$A,0)),"")</f>
        <v>0</v>
      </c>
      <c r="L78">
        <f>IFERROR(MATRIZ_174!O78,0)</f>
        <v>0</v>
      </c>
      <c r="M78">
        <v>0</v>
      </c>
      <c r="N78" t="str">
        <f>IFERROR(ISCAM_Score!AC79,"")</f>
        <v>⬜  Riesgo Latente</v>
      </c>
      <c r="O78" t="s">
        <v>110</v>
      </c>
    </row>
    <row r="79" spans="1:15" ht="16.05" customHeight="1" x14ac:dyDescent="0.3">
      <c r="A79" t="s">
        <v>228</v>
      </c>
      <c r="B79" t="s">
        <v>229</v>
      </c>
      <c r="C79" s="36">
        <f>IFERROR(ISCAM_Score!AL80,"—")</f>
        <v>0</v>
      </c>
      <c r="D79" t="str">
        <f t="shared" si="4"/>
        <v>🔴  Crítico</v>
      </c>
      <c r="E79">
        <f t="shared" si="5"/>
        <v>1</v>
      </c>
      <c r="F79">
        <v>0</v>
      </c>
      <c r="G79">
        <f>IFERROR(MATRIZ_174!M79,0)</f>
        <v>0</v>
      </c>
      <c r="H79">
        <v>0</v>
      </c>
      <c r="I79">
        <v>0</v>
      </c>
      <c r="J79">
        <v>0</v>
      </c>
      <c r="K79">
        <f>IFERROR(INDEX(MATRIZ_174!$U:$U,MATCH(A79,MATRIZ_174!$A:$A,0)),"")</f>
        <v>0</v>
      </c>
      <c r="L79">
        <f>IFERROR(MATRIZ_174!O79,0)</f>
        <v>0</v>
      </c>
      <c r="M79">
        <v>0</v>
      </c>
      <c r="N79" t="str">
        <f>IFERROR(ISCAM_Score!AC80,"")</f>
        <v>⬜  Riesgo Latente</v>
      </c>
      <c r="O79" t="s">
        <v>230</v>
      </c>
    </row>
    <row r="80" spans="1:15" ht="16.05" customHeight="1" x14ac:dyDescent="0.3">
      <c r="A80" t="s">
        <v>231</v>
      </c>
      <c r="B80" t="s">
        <v>232</v>
      </c>
      <c r="C80" s="36">
        <f>IFERROR(ISCAM_Score!AL81,"—")</f>
        <v>0</v>
      </c>
      <c r="D80" t="str">
        <f t="shared" si="4"/>
        <v>🔴  Crítico</v>
      </c>
      <c r="E80">
        <f t="shared" si="5"/>
        <v>1</v>
      </c>
      <c r="F80">
        <v>0</v>
      </c>
      <c r="G80">
        <f>IFERROR(MATRIZ_174!M80,0)</f>
        <v>0</v>
      </c>
      <c r="H80">
        <v>0</v>
      </c>
      <c r="I80">
        <v>0</v>
      </c>
      <c r="J80">
        <v>0</v>
      </c>
      <c r="K80">
        <f>IFERROR(INDEX(MATRIZ_174!$U:$U,MATCH(A80,MATRIZ_174!$A:$A,0)),"")</f>
        <v>0</v>
      </c>
      <c r="L80">
        <f>IFERROR(MATRIZ_174!O80,0)</f>
        <v>0</v>
      </c>
      <c r="M80">
        <v>0</v>
      </c>
      <c r="N80" t="str">
        <f>IFERROR(ISCAM_Score!AC81,"")</f>
        <v>🔴  Riesgo Crítico</v>
      </c>
      <c r="O80" t="s">
        <v>103</v>
      </c>
    </row>
    <row r="81" spans="1:15" ht="16.05" customHeight="1" x14ac:dyDescent="0.3">
      <c r="A81" t="s">
        <v>233</v>
      </c>
      <c r="B81" t="s">
        <v>234</v>
      </c>
      <c r="C81" s="36">
        <f>IFERROR(ISCAM_Score!AL82,"—")</f>
        <v>0</v>
      </c>
      <c r="D81" t="str">
        <f t="shared" si="4"/>
        <v>🔴  Crítico</v>
      </c>
      <c r="E81">
        <f t="shared" si="5"/>
        <v>1</v>
      </c>
      <c r="F81">
        <v>0</v>
      </c>
      <c r="G81">
        <f>IFERROR(MATRIZ_174!M81,0)</f>
        <v>0</v>
      </c>
      <c r="H81">
        <v>0</v>
      </c>
      <c r="I81">
        <v>0</v>
      </c>
      <c r="J81">
        <v>0</v>
      </c>
      <c r="K81">
        <f>IFERROR(INDEX(MATRIZ_174!$U:$U,MATCH(A81,MATRIZ_174!$A:$A,0)),"")</f>
        <v>0</v>
      </c>
      <c r="L81">
        <f>IFERROR(MATRIZ_174!O81,0)</f>
        <v>0</v>
      </c>
      <c r="M81">
        <v>0</v>
      </c>
      <c r="N81" t="str">
        <f>IFERROR(ISCAM_Score!AC82,"")</f>
        <v>⬜  Riesgo Latente</v>
      </c>
      <c r="O81" t="s">
        <v>74</v>
      </c>
    </row>
    <row r="82" spans="1:15" ht="16.05" customHeight="1" x14ac:dyDescent="0.3">
      <c r="A82" t="s">
        <v>235</v>
      </c>
      <c r="B82" t="s">
        <v>236</v>
      </c>
      <c r="C82" s="36">
        <f>IFERROR(ISCAM_Score!AL83,"—")</f>
        <v>0</v>
      </c>
      <c r="D82" t="str">
        <f t="shared" si="4"/>
        <v>🔴  Crítico</v>
      </c>
      <c r="E82">
        <f t="shared" si="5"/>
        <v>1</v>
      </c>
      <c r="F82">
        <v>717861.85</v>
      </c>
      <c r="G82">
        <f>IFERROR(MATRIZ_174!M82,0)</f>
        <v>50</v>
      </c>
      <c r="H82">
        <v>0</v>
      </c>
      <c r="I82">
        <v>0</v>
      </c>
      <c r="J82">
        <v>0</v>
      </c>
      <c r="K82">
        <f>IFERROR(INDEX(MATRIZ_174!$U:$U,MATCH(A82,MATRIZ_174!$A:$A,0)),"")</f>
        <v>1</v>
      </c>
      <c r="L82">
        <f>IFERROR(MATRIZ_174!O82,0)</f>
        <v>0</v>
      </c>
      <c r="M82">
        <v>0</v>
      </c>
      <c r="N82" t="str">
        <f>IFERROR(ISCAM_Score!AC83,"")</f>
        <v>⬜  Riesgo Latente</v>
      </c>
      <c r="O82" t="s">
        <v>237</v>
      </c>
    </row>
    <row r="83" spans="1:15" ht="16.05" customHeight="1" x14ac:dyDescent="0.3">
      <c r="A83" t="s">
        <v>238</v>
      </c>
      <c r="B83" t="s">
        <v>239</v>
      </c>
      <c r="C83" s="36">
        <f>IFERROR(ISCAM_Score!AL84,"—")</f>
        <v>0</v>
      </c>
      <c r="D83" t="str">
        <f t="shared" si="4"/>
        <v>🔴  Crítico</v>
      </c>
      <c r="E83">
        <f t="shared" si="5"/>
        <v>1</v>
      </c>
      <c r="F83">
        <f>IFERROR(MATRIZ_174!L83,0)</f>
        <v>0</v>
      </c>
      <c r="G83">
        <f>IFERROR(MATRIZ_174!M83,0)</f>
        <v>0</v>
      </c>
      <c r="H83">
        <v>0</v>
      </c>
      <c r="I83">
        <v>0</v>
      </c>
      <c r="J83">
        <v>0</v>
      </c>
      <c r="K83">
        <f>IFERROR(INDEX(MATRIZ_174!$U:$U,MATCH(A83,MATRIZ_174!$A:$A,0)),"")</f>
        <v>0</v>
      </c>
      <c r="L83">
        <f>IFERROR(MATRIZ_174!O83,0)</f>
        <v>0</v>
      </c>
      <c r="M83">
        <v>0</v>
      </c>
      <c r="N83" t="str">
        <f>IFERROR(ISCAM_Score!AC84,"")</f>
        <v>⬜  Riesgo Latente</v>
      </c>
      <c r="O83" t="s">
        <v>237</v>
      </c>
    </row>
    <row r="84" spans="1:15" ht="16.05" customHeight="1" x14ac:dyDescent="0.3">
      <c r="A84" t="s">
        <v>240</v>
      </c>
      <c r="B84" t="s">
        <v>241</v>
      </c>
      <c r="C84" s="36">
        <f>IFERROR(ISCAM_Score!AL85,"—")</f>
        <v>0</v>
      </c>
      <c r="D84" t="str">
        <f t="shared" si="4"/>
        <v>🔴  Crítico</v>
      </c>
      <c r="E84">
        <f t="shared" si="5"/>
        <v>1</v>
      </c>
      <c r="F84">
        <f>IFERROR(MATRIZ_174!L84,0)</f>
        <v>0</v>
      </c>
      <c r="G84">
        <f>IFERROR(MATRIZ_174!M84,0)</f>
        <v>0</v>
      </c>
      <c r="H84">
        <v>0</v>
      </c>
      <c r="I84">
        <v>0</v>
      </c>
      <c r="J84">
        <v>0</v>
      </c>
      <c r="K84">
        <f>IFERROR(INDEX(MATRIZ_174!$U:$U,MATCH(A84,MATRIZ_174!$A:$A,0)),"")</f>
        <v>0</v>
      </c>
      <c r="L84">
        <f>IFERROR(MATRIZ_174!O84,0)</f>
        <v>0</v>
      </c>
      <c r="M84">
        <v>0</v>
      </c>
      <c r="N84" t="str">
        <f>IFERROR(ISCAM_Score!AC85,"")</f>
        <v>⬜  Riesgo Latente</v>
      </c>
      <c r="O84" t="s">
        <v>71</v>
      </c>
    </row>
    <row r="85" spans="1:15" ht="16.05" customHeight="1" x14ac:dyDescent="0.3">
      <c r="A85" t="s">
        <v>242</v>
      </c>
      <c r="B85" t="s">
        <v>243</v>
      </c>
      <c r="C85" s="36">
        <f>IFERROR(ISCAM_Score!AL86,"—")</f>
        <v>0</v>
      </c>
      <c r="D85" t="str">
        <f t="shared" si="4"/>
        <v>🔴  Crítico</v>
      </c>
      <c r="E85">
        <f t="shared" si="5"/>
        <v>1</v>
      </c>
      <c r="F85">
        <v>2677512.61</v>
      </c>
      <c r="G85">
        <f>IFERROR(MATRIZ_174!M85,0)</f>
        <v>50</v>
      </c>
      <c r="H85">
        <v>0</v>
      </c>
      <c r="I85">
        <v>0</v>
      </c>
      <c r="J85">
        <v>0</v>
      </c>
      <c r="K85">
        <f>IFERROR(INDEX(MATRIZ_174!$U:$U,MATCH(A85,MATRIZ_174!$A:$A,0)),"")</f>
        <v>1</v>
      </c>
      <c r="L85">
        <f>IFERROR(MATRIZ_174!O85,0)</f>
        <v>0</v>
      </c>
      <c r="M85">
        <v>0</v>
      </c>
      <c r="N85" t="str">
        <f>IFERROR(ISCAM_Score!AC86,"")</f>
        <v>⬜  Riesgo Latente</v>
      </c>
      <c r="O85" t="s">
        <v>71</v>
      </c>
    </row>
    <row r="86" spans="1:15" ht="16.05" customHeight="1" x14ac:dyDescent="0.3">
      <c r="A86" t="s">
        <v>244</v>
      </c>
      <c r="B86" t="s">
        <v>245</v>
      </c>
      <c r="C86" s="36">
        <f>IFERROR(ISCAM_Score!AL87,"—")</f>
        <v>0</v>
      </c>
      <c r="D86" t="str">
        <f t="shared" si="4"/>
        <v>🔴  Crítico</v>
      </c>
      <c r="E86">
        <f t="shared" si="5"/>
        <v>1</v>
      </c>
      <c r="F86">
        <f>IFERROR(MATRIZ_174!L86,0)</f>
        <v>0</v>
      </c>
      <c r="G86">
        <f>IFERROR(MATRIZ_174!M86,0)</f>
        <v>0</v>
      </c>
      <c r="H86">
        <v>0</v>
      </c>
      <c r="I86">
        <v>0</v>
      </c>
      <c r="J86">
        <v>0</v>
      </c>
      <c r="K86">
        <f>IFERROR(INDEX(MATRIZ_174!$U:$U,MATCH(A86,MATRIZ_174!$A:$A,0)),"")</f>
        <v>0</v>
      </c>
      <c r="L86">
        <f>IFERROR(MATRIZ_174!O86,0)</f>
        <v>0</v>
      </c>
      <c r="M86">
        <v>0</v>
      </c>
      <c r="N86" t="str">
        <f>IFERROR(ISCAM_Score!AC87,"")</f>
        <v>⬜  Riesgo Latente</v>
      </c>
      <c r="O86" t="s">
        <v>237</v>
      </c>
    </row>
    <row r="87" spans="1:15" ht="16.05" customHeight="1" x14ac:dyDescent="0.3">
      <c r="A87" t="s">
        <v>246</v>
      </c>
      <c r="B87" t="s">
        <v>247</v>
      </c>
      <c r="C87" s="36">
        <f>IFERROR(ISCAM_Score!AL88,"—")</f>
        <v>0</v>
      </c>
      <c r="D87" t="str">
        <f t="shared" si="4"/>
        <v>🔴  Crítico</v>
      </c>
      <c r="E87">
        <f t="shared" si="5"/>
        <v>1</v>
      </c>
      <c r="F87">
        <f>IFERROR(MATRIZ_174!L87,0)</f>
        <v>0</v>
      </c>
      <c r="G87">
        <f>IFERROR(MATRIZ_174!M87,0)</f>
        <v>0</v>
      </c>
      <c r="H87">
        <v>0</v>
      </c>
      <c r="I87">
        <v>0</v>
      </c>
      <c r="J87">
        <v>0</v>
      </c>
      <c r="K87">
        <f>IFERROR(INDEX(MATRIZ_174!$U:$U,MATCH(A87,MATRIZ_174!$A:$A,0)),"")</f>
        <v>0</v>
      </c>
      <c r="L87">
        <f>IFERROR(MATRIZ_174!O87,0)</f>
        <v>0</v>
      </c>
      <c r="M87">
        <v>0</v>
      </c>
      <c r="N87" t="str">
        <f>IFERROR(ISCAM_Score!AC88,"")</f>
        <v>⬜  Riesgo Latente</v>
      </c>
      <c r="O87" t="s">
        <v>237</v>
      </c>
    </row>
    <row r="88" spans="1:15" ht="16.05" customHeight="1" x14ac:dyDescent="0.3">
      <c r="A88" t="s">
        <v>248</v>
      </c>
      <c r="B88" t="s">
        <v>249</v>
      </c>
      <c r="C88" s="36">
        <f>IFERROR(ISCAM_Score!AL89,"—")</f>
        <v>0</v>
      </c>
      <c r="D88" t="str">
        <f t="shared" si="4"/>
        <v>🔴  Crítico</v>
      </c>
      <c r="E88">
        <f t="shared" si="5"/>
        <v>1</v>
      </c>
      <c r="F88">
        <f>IFERROR(MATRIZ_174!L88,0)</f>
        <v>0</v>
      </c>
      <c r="G88">
        <f>IFERROR(MATRIZ_174!M88,0)</f>
        <v>0</v>
      </c>
      <c r="H88">
        <v>0</v>
      </c>
      <c r="I88">
        <v>0</v>
      </c>
      <c r="J88">
        <v>0</v>
      </c>
      <c r="K88">
        <f>IFERROR(INDEX(MATRIZ_174!$U:$U,MATCH(A88,MATRIZ_174!$A:$A,0)),"")</f>
        <v>0</v>
      </c>
      <c r="L88">
        <f>IFERROR(MATRIZ_174!O88,0)</f>
        <v>0</v>
      </c>
      <c r="M88">
        <v>0</v>
      </c>
      <c r="N88" t="str">
        <f>IFERROR(ISCAM_Score!AC89,"")</f>
        <v>⬜  Riesgo Latente</v>
      </c>
      <c r="O88" t="s">
        <v>237</v>
      </c>
    </row>
    <row r="89" spans="1:15" ht="16.05" customHeight="1" x14ac:dyDescent="0.3">
      <c r="A89" t="s">
        <v>250</v>
      </c>
      <c r="B89" t="s">
        <v>251</v>
      </c>
      <c r="C89" s="36">
        <f>IFERROR(ISCAM_Score!AL90,"—")</f>
        <v>0</v>
      </c>
      <c r="D89" t="str">
        <f t="shared" si="4"/>
        <v>🔴  Crítico</v>
      </c>
      <c r="E89">
        <f t="shared" si="5"/>
        <v>1</v>
      </c>
      <c r="F89">
        <v>0</v>
      </c>
      <c r="G89">
        <f>IFERROR(MATRIZ_174!M89,0)</f>
        <v>0</v>
      </c>
      <c r="H89">
        <v>0</v>
      </c>
      <c r="I89">
        <v>0</v>
      </c>
      <c r="J89">
        <v>0</v>
      </c>
      <c r="K89">
        <f>IFERROR(INDEX(MATRIZ_174!$U:$U,MATCH(A89,MATRIZ_174!$A:$A,0)),"")</f>
        <v>0</v>
      </c>
      <c r="L89">
        <f>IFERROR(MATRIZ_174!O89,0)</f>
        <v>0</v>
      </c>
      <c r="M89">
        <v>0</v>
      </c>
      <c r="N89" t="str">
        <f>IFERROR(ISCAM_Score!AC90,"")</f>
        <v>⬜  Riesgo Latente</v>
      </c>
      <c r="O89" t="s">
        <v>237</v>
      </c>
    </row>
    <row r="90" spans="1:15" ht="16.05" customHeight="1" x14ac:dyDescent="0.3">
      <c r="A90" t="s">
        <v>252</v>
      </c>
      <c r="B90" t="s">
        <v>253</v>
      </c>
      <c r="C90" s="36">
        <f>IFERROR(ISCAM_Score!AL91,"—")</f>
        <v>0</v>
      </c>
      <c r="D90" t="str">
        <f t="shared" si="4"/>
        <v>🔴  Crítico</v>
      </c>
      <c r="E90">
        <f t="shared" si="5"/>
        <v>1</v>
      </c>
      <c r="F90">
        <f>IFERROR(MATRIZ_174!L90,0)</f>
        <v>0</v>
      </c>
      <c r="G90">
        <f>IFERROR(MATRIZ_174!M90,0)</f>
        <v>0</v>
      </c>
      <c r="H90">
        <v>0</v>
      </c>
      <c r="I90">
        <v>0</v>
      </c>
      <c r="J90">
        <v>0</v>
      </c>
      <c r="K90">
        <f>IFERROR(INDEX(MATRIZ_174!$U:$U,MATCH(A90,MATRIZ_174!$A:$A,0)),"")</f>
        <v>0</v>
      </c>
      <c r="L90">
        <f>IFERROR(MATRIZ_174!O90,0)</f>
        <v>0</v>
      </c>
      <c r="M90">
        <v>0</v>
      </c>
      <c r="N90" t="str">
        <f>IFERROR(ISCAM_Score!AC91,"")</f>
        <v>⬜  Riesgo Latente</v>
      </c>
      <c r="O90" t="s">
        <v>71</v>
      </c>
    </row>
    <row r="91" spans="1:15" ht="16.05" customHeight="1" x14ac:dyDescent="0.3">
      <c r="A91" t="s">
        <v>254</v>
      </c>
      <c r="B91" t="s">
        <v>255</v>
      </c>
      <c r="C91" s="36">
        <f>IFERROR(ISCAM_Score!AL92,"—")</f>
        <v>0</v>
      </c>
      <c r="D91" t="str">
        <f t="shared" si="4"/>
        <v>🔴  Crítico</v>
      </c>
      <c r="E91">
        <f t="shared" si="5"/>
        <v>1</v>
      </c>
      <c r="F91">
        <v>0</v>
      </c>
      <c r="G91">
        <f>IFERROR(MATRIZ_174!M91,0)</f>
        <v>0</v>
      </c>
      <c r="H91">
        <v>0</v>
      </c>
      <c r="I91">
        <v>0</v>
      </c>
      <c r="J91">
        <v>0</v>
      </c>
      <c r="K91">
        <f>IFERROR(INDEX(MATRIZ_174!$U:$U,MATCH(A91,MATRIZ_174!$A:$A,0)),"")</f>
        <v>0</v>
      </c>
      <c r="L91">
        <f>IFERROR(MATRIZ_174!O91,0)</f>
        <v>0</v>
      </c>
      <c r="M91">
        <v>0</v>
      </c>
      <c r="N91" t="str">
        <f>IFERROR(ISCAM_Score!AC92,"")</f>
        <v>⬜  Riesgo Latente</v>
      </c>
      <c r="O91" t="s">
        <v>71</v>
      </c>
    </row>
    <row r="92" spans="1:15" ht="16.05" customHeight="1" x14ac:dyDescent="0.3">
      <c r="A92" t="s">
        <v>256</v>
      </c>
      <c r="B92" t="s">
        <v>257</v>
      </c>
      <c r="C92" s="36">
        <f>IFERROR(ISCAM_Score!AL93,"—")</f>
        <v>0</v>
      </c>
      <c r="D92" t="str">
        <f t="shared" si="4"/>
        <v>🔴  Crítico</v>
      </c>
      <c r="E92">
        <f t="shared" si="5"/>
        <v>1</v>
      </c>
      <c r="F92">
        <v>4792670.9000000004</v>
      </c>
      <c r="G92">
        <f>IFERROR(MATRIZ_174!M92,0)</f>
        <v>50</v>
      </c>
      <c r="H92">
        <v>0</v>
      </c>
      <c r="I92">
        <v>0</v>
      </c>
      <c r="J92">
        <v>0</v>
      </c>
      <c r="K92">
        <f>IFERROR(INDEX(MATRIZ_174!$U:$U,MATCH(A92,MATRIZ_174!$A:$A,0)),"")</f>
        <v>1</v>
      </c>
      <c r="L92">
        <f>IFERROR(MATRIZ_174!O92,0)</f>
        <v>0</v>
      </c>
      <c r="M92">
        <v>0</v>
      </c>
      <c r="N92" t="str">
        <f>IFERROR(ISCAM_Score!AC93,"")</f>
        <v>⬜  Riesgo Latente</v>
      </c>
      <c r="O92" t="s">
        <v>140</v>
      </c>
    </row>
    <row r="93" spans="1:15" ht="16.05" customHeight="1" x14ac:dyDescent="0.3">
      <c r="A93" t="s">
        <v>258</v>
      </c>
      <c r="B93" t="s">
        <v>259</v>
      </c>
      <c r="C93" s="36">
        <f>IFERROR(ISCAM_Score!AL94,"—")</f>
        <v>0</v>
      </c>
      <c r="D93" t="str">
        <f t="shared" si="4"/>
        <v>🔴  Crítico</v>
      </c>
      <c r="E93">
        <f t="shared" si="5"/>
        <v>1</v>
      </c>
      <c r="F93">
        <f>IFERROR(MATRIZ_174!L93,0)</f>
        <v>0</v>
      </c>
      <c r="G93">
        <f>IFERROR(MATRIZ_174!M93,0)</f>
        <v>0</v>
      </c>
      <c r="H93">
        <v>0</v>
      </c>
      <c r="I93">
        <v>0</v>
      </c>
      <c r="J93">
        <v>0</v>
      </c>
      <c r="K93">
        <f>IFERROR(INDEX(MATRIZ_174!$U:$U,MATCH(A93,MATRIZ_174!$A:$A,0)),"")</f>
        <v>0</v>
      </c>
      <c r="L93">
        <f>IFERROR(MATRIZ_174!O93,0)</f>
        <v>0</v>
      </c>
      <c r="M93">
        <v>0</v>
      </c>
      <c r="N93" t="str">
        <f>IFERROR(ISCAM_Score!AC94,"")</f>
        <v>⬜  Riesgo Latente</v>
      </c>
      <c r="O93" t="s">
        <v>129</v>
      </c>
    </row>
    <row r="94" spans="1:15" ht="16.05" customHeight="1" x14ac:dyDescent="0.3">
      <c r="A94" t="s">
        <v>260</v>
      </c>
      <c r="B94" t="s">
        <v>261</v>
      </c>
      <c r="C94" s="36">
        <f>IFERROR(ISCAM_Score!AL95,"—")</f>
        <v>0</v>
      </c>
      <c r="D94" t="str">
        <f t="shared" si="4"/>
        <v>🔴  Crítico</v>
      </c>
      <c r="E94">
        <f t="shared" si="5"/>
        <v>1</v>
      </c>
      <c r="F94">
        <v>1888972.42</v>
      </c>
      <c r="G94">
        <f>IFERROR(MATRIZ_174!M94,0)</f>
        <v>50</v>
      </c>
      <c r="H94">
        <v>0</v>
      </c>
      <c r="I94">
        <v>0</v>
      </c>
      <c r="J94">
        <v>0</v>
      </c>
      <c r="K94">
        <f>IFERROR(INDEX(MATRIZ_174!$U:$U,MATCH(A94,MATRIZ_174!$A:$A,0)),"")</f>
        <v>1</v>
      </c>
      <c r="L94">
        <f>IFERROR(MATRIZ_174!O94,0)</f>
        <v>0</v>
      </c>
      <c r="M94">
        <v>0</v>
      </c>
      <c r="N94" t="str">
        <f>IFERROR(ISCAM_Score!AC95,"")</f>
        <v>⬜  Riesgo Latente</v>
      </c>
      <c r="O94" t="s">
        <v>129</v>
      </c>
    </row>
    <row r="95" spans="1:15" ht="16.05" customHeight="1" x14ac:dyDescent="0.3">
      <c r="A95" t="s">
        <v>262</v>
      </c>
      <c r="B95" t="s">
        <v>263</v>
      </c>
      <c r="C95" s="36">
        <f>IFERROR(ISCAM_Score!AL96,"—")</f>
        <v>0</v>
      </c>
      <c r="D95" t="str">
        <f t="shared" si="4"/>
        <v>🔴  Crítico</v>
      </c>
      <c r="E95">
        <f t="shared" si="5"/>
        <v>1</v>
      </c>
      <c r="F95">
        <f>IFERROR(MATRIZ_174!L95,0)</f>
        <v>0</v>
      </c>
      <c r="G95">
        <f>IFERROR(MATRIZ_174!M95,0)</f>
        <v>0</v>
      </c>
      <c r="H95">
        <v>0</v>
      </c>
      <c r="I95">
        <v>0</v>
      </c>
      <c r="J95">
        <v>0</v>
      </c>
      <c r="K95">
        <f>IFERROR(INDEX(MATRIZ_174!$U:$U,MATCH(A95,MATRIZ_174!$A:$A,0)),"")</f>
        <v>0</v>
      </c>
      <c r="L95">
        <f>IFERROR(MATRIZ_174!O95,0)</f>
        <v>0</v>
      </c>
      <c r="M95">
        <v>0</v>
      </c>
      <c r="N95" t="str">
        <f>IFERROR(ISCAM_Score!AC96,"")</f>
        <v>⬜  Riesgo Latente</v>
      </c>
      <c r="O95" t="s">
        <v>110</v>
      </c>
    </row>
    <row r="96" spans="1:15" ht="16.05" customHeight="1" x14ac:dyDescent="0.3">
      <c r="A96" t="s">
        <v>264</v>
      </c>
      <c r="B96" t="s">
        <v>265</v>
      </c>
      <c r="C96" s="36">
        <f>IFERROR(ISCAM_Score!AL97,"—")</f>
        <v>0</v>
      </c>
      <c r="D96" t="str">
        <f t="shared" si="4"/>
        <v>🔴  Crítico</v>
      </c>
      <c r="E96">
        <f t="shared" si="5"/>
        <v>1</v>
      </c>
      <c r="F96">
        <v>0</v>
      </c>
      <c r="G96">
        <f>IFERROR(MATRIZ_174!M96,0)</f>
        <v>0</v>
      </c>
      <c r="H96">
        <v>0</v>
      </c>
      <c r="I96">
        <v>0</v>
      </c>
      <c r="J96">
        <v>0</v>
      </c>
      <c r="K96">
        <f>IFERROR(INDEX(MATRIZ_174!$U:$U,MATCH(A96,MATRIZ_174!$A:$A,0)),"")</f>
        <v>0</v>
      </c>
      <c r="L96">
        <f>IFERROR(MATRIZ_174!O96,0)</f>
        <v>0</v>
      </c>
      <c r="M96">
        <v>0</v>
      </c>
      <c r="N96" t="str">
        <f>IFERROR(ISCAM_Score!AC97,"")</f>
        <v>⬜  Riesgo Latente</v>
      </c>
      <c r="O96" t="s">
        <v>110</v>
      </c>
    </row>
    <row r="97" spans="1:15" ht="16.05" customHeight="1" x14ac:dyDescent="0.3">
      <c r="A97" t="s">
        <v>266</v>
      </c>
      <c r="B97" t="s">
        <v>267</v>
      </c>
      <c r="C97" s="36">
        <f>IFERROR(ISCAM_Score!AL98,"—")</f>
        <v>0</v>
      </c>
      <c r="D97" t="str">
        <f t="shared" si="4"/>
        <v>🔴  Crítico</v>
      </c>
      <c r="E97">
        <f t="shared" si="5"/>
        <v>1</v>
      </c>
      <c r="F97">
        <f>IFERROR(MATRIZ_174!L97,0)</f>
        <v>0</v>
      </c>
      <c r="G97">
        <f>IFERROR(MATRIZ_174!M97,0)</f>
        <v>0</v>
      </c>
      <c r="H97">
        <v>0</v>
      </c>
      <c r="I97">
        <v>0</v>
      </c>
      <c r="J97">
        <v>0</v>
      </c>
      <c r="K97">
        <f>IFERROR(INDEX(MATRIZ_174!$U:$U,MATCH(A97,MATRIZ_174!$A:$A,0)),"")</f>
        <v>0</v>
      </c>
      <c r="L97">
        <f>IFERROR(MATRIZ_174!O97,0)</f>
        <v>0</v>
      </c>
      <c r="M97">
        <v>0</v>
      </c>
      <c r="N97" t="str">
        <f>IFERROR(ISCAM_Score!AC98,"")</f>
        <v>⬜  Riesgo Latente</v>
      </c>
      <c r="O97" t="s">
        <v>110</v>
      </c>
    </row>
    <row r="98" spans="1:15" ht="16.05" customHeight="1" x14ac:dyDescent="0.3">
      <c r="A98" t="s">
        <v>268</v>
      </c>
      <c r="B98" t="s">
        <v>269</v>
      </c>
      <c r="C98" s="36">
        <f>IFERROR(ISCAM_Score!AL99,"—")</f>
        <v>0</v>
      </c>
      <c r="D98" t="str">
        <f t="shared" si="4"/>
        <v>🔴  Crítico</v>
      </c>
      <c r="E98">
        <f t="shared" si="5"/>
        <v>1</v>
      </c>
      <c r="F98">
        <f>IFERROR(MATRIZ_174!L98,0)</f>
        <v>0</v>
      </c>
      <c r="G98">
        <f>IFERROR(MATRIZ_174!M98,0)</f>
        <v>0</v>
      </c>
      <c r="H98">
        <v>0</v>
      </c>
      <c r="I98">
        <v>0</v>
      </c>
      <c r="J98">
        <v>0</v>
      </c>
      <c r="K98">
        <f>IFERROR(INDEX(MATRIZ_174!$U:$U,MATCH(A98,MATRIZ_174!$A:$A,0)),"")</f>
        <v>0</v>
      </c>
      <c r="L98">
        <f>IFERROR(MATRIZ_174!O98,0)</f>
        <v>0</v>
      </c>
      <c r="M98">
        <v>0</v>
      </c>
      <c r="N98" t="str">
        <f>IFERROR(ISCAM_Score!AC99,"")</f>
        <v>⬜  Riesgo Latente</v>
      </c>
      <c r="O98" t="s">
        <v>110</v>
      </c>
    </row>
    <row r="99" spans="1:15" ht="16.05" customHeight="1" x14ac:dyDescent="0.3">
      <c r="A99" t="s">
        <v>270</v>
      </c>
      <c r="B99" t="s">
        <v>271</v>
      </c>
      <c r="C99" s="36">
        <f>IFERROR(ISCAM_Score!AL100,"—")</f>
        <v>0</v>
      </c>
      <c r="D99" t="str">
        <f t="shared" ref="D99:D130" si="6">IF(C99="—","— Sin Inst.2",IF(C99&lt;34,"🔴  Crítico",IF(C99&lt;67,"🟡  En desarrollo","🟢  Alineado")))</f>
        <v>🔴  Crítico</v>
      </c>
      <c r="E99">
        <f t="shared" ref="E99:E130" si="7">IFERROR(RANK(C99,C:C,-1),"")</f>
        <v>1</v>
      </c>
      <c r="F99">
        <f>IFERROR(MATRIZ_174!L99,0)</f>
        <v>0</v>
      </c>
      <c r="G99">
        <f>IFERROR(MATRIZ_174!M99,0)</f>
        <v>0</v>
      </c>
      <c r="H99">
        <v>0</v>
      </c>
      <c r="I99">
        <v>0</v>
      </c>
      <c r="J99">
        <v>0</v>
      </c>
      <c r="K99">
        <f>IFERROR(INDEX(MATRIZ_174!$U:$U,MATCH(A99,MATRIZ_174!$A:$A,0)),"")</f>
        <v>0</v>
      </c>
      <c r="L99">
        <f>IFERROR(MATRIZ_174!O99,0)</f>
        <v>0</v>
      </c>
      <c r="M99">
        <v>0</v>
      </c>
      <c r="N99" t="str">
        <f>IFERROR(ISCAM_Score!AC100,"")</f>
        <v>⬜  Riesgo Latente</v>
      </c>
      <c r="O99" t="s">
        <v>110</v>
      </c>
    </row>
    <row r="100" spans="1:15" ht="16.05" customHeight="1" x14ac:dyDescent="0.3">
      <c r="A100" t="s">
        <v>272</v>
      </c>
      <c r="B100" t="s">
        <v>273</v>
      </c>
      <c r="C100" s="36">
        <f>IFERROR(ISCAM_Score!AL101,"—")</f>
        <v>0</v>
      </c>
      <c r="D100" t="str">
        <f t="shared" si="6"/>
        <v>🔴  Crítico</v>
      </c>
      <c r="E100">
        <f t="shared" si="7"/>
        <v>1</v>
      </c>
      <c r="F100">
        <f>IFERROR(MATRIZ_174!L100,0)</f>
        <v>0</v>
      </c>
      <c r="G100">
        <f>IFERROR(MATRIZ_174!M100,0)</f>
        <v>0</v>
      </c>
      <c r="H100">
        <v>0</v>
      </c>
      <c r="I100">
        <v>0</v>
      </c>
      <c r="J100">
        <v>0</v>
      </c>
      <c r="K100">
        <f>IFERROR(INDEX(MATRIZ_174!$U:$U,MATCH(A100,MATRIZ_174!$A:$A,0)),"")</f>
        <v>0</v>
      </c>
      <c r="L100">
        <f>IFERROR(MATRIZ_174!O100,0)</f>
        <v>0</v>
      </c>
      <c r="M100">
        <v>0</v>
      </c>
      <c r="N100" t="str">
        <f>IFERROR(ISCAM_Score!AC101,"")</f>
        <v>⬜  Riesgo Latente</v>
      </c>
      <c r="O100" t="s">
        <v>74</v>
      </c>
    </row>
    <row r="101" spans="1:15" ht="16.05" customHeight="1" x14ac:dyDescent="0.3">
      <c r="A101" t="s">
        <v>274</v>
      </c>
      <c r="B101" t="s">
        <v>275</v>
      </c>
      <c r="C101" s="36">
        <f>IFERROR(ISCAM_Score!AL102,"—")</f>
        <v>0</v>
      </c>
      <c r="D101" t="str">
        <f t="shared" si="6"/>
        <v>🔴  Crítico</v>
      </c>
      <c r="E101">
        <f t="shared" si="7"/>
        <v>1</v>
      </c>
      <c r="F101">
        <f>IFERROR(MATRIZ_174!L101,0)</f>
        <v>0</v>
      </c>
      <c r="G101">
        <f>IFERROR(MATRIZ_174!M101,0)</f>
        <v>0</v>
      </c>
      <c r="H101">
        <v>0</v>
      </c>
      <c r="I101">
        <v>0</v>
      </c>
      <c r="J101">
        <v>0</v>
      </c>
      <c r="K101">
        <f>IFERROR(INDEX(MATRIZ_174!$U:$U,MATCH(A101,MATRIZ_174!$A:$A,0)),"")</f>
        <v>0</v>
      </c>
      <c r="L101">
        <f>IFERROR(MATRIZ_174!O101,0)</f>
        <v>0</v>
      </c>
      <c r="M101">
        <v>0</v>
      </c>
      <c r="N101" t="str">
        <f>IFERROR(ISCAM_Score!AC102,"")</f>
        <v>⬜  Riesgo Latente</v>
      </c>
      <c r="O101" t="s">
        <v>103</v>
      </c>
    </row>
    <row r="102" spans="1:15" ht="16.05" customHeight="1" x14ac:dyDescent="0.3">
      <c r="A102" t="s">
        <v>276</v>
      </c>
      <c r="B102" t="s">
        <v>277</v>
      </c>
      <c r="C102" s="36">
        <f>IFERROR(ISCAM_Score!AL103,"—")</f>
        <v>0</v>
      </c>
      <c r="D102" t="str">
        <f t="shared" si="6"/>
        <v>🔴  Crítico</v>
      </c>
      <c r="E102">
        <f t="shared" si="7"/>
        <v>1</v>
      </c>
      <c r="F102">
        <f>IFERROR(MATRIZ_174!L102,0)</f>
        <v>0</v>
      </c>
      <c r="G102">
        <f>IFERROR(MATRIZ_174!M102,0)</f>
        <v>0</v>
      </c>
      <c r="H102">
        <v>0</v>
      </c>
      <c r="I102">
        <v>0</v>
      </c>
      <c r="J102">
        <v>0</v>
      </c>
      <c r="K102">
        <f>IFERROR(INDEX(MATRIZ_174!$U:$U,MATCH(A102,MATRIZ_174!$A:$A,0)),"")</f>
        <v>0</v>
      </c>
      <c r="L102">
        <f>IFERROR(MATRIZ_174!O102,0)</f>
        <v>0</v>
      </c>
      <c r="M102">
        <v>0</v>
      </c>
      <c r="N102" t="str">
        <f>IFERROR(ISCAM_Score!AC103,"")</f>
        <v>⬜  Riesgo Latente</v>
      </c>
      <c r="O102" t="s">
        <v>110</v>
      </c>
    </row>
    <row r="103" spans="1:15" ht="16.05" customHeight="1" x14ac:dyDescent="0.3">
      <c r="A103" t="s">
        <v>278</v>
      </c>
      <c r="B103" t="s">
        <v>279</v>
      </c>
      <c r="C103" s="36">
        <f>IFERROR(ISCAM_Score!AL104,"—")</f>
        <v>0</v>
      </c>
      <c r="D103" t="str">
        <f t="shared" si="6"/>
        <v>🔴  Crítico</v>
      </c>
      <c r="E103">
        <f t="shared" si="7"/>
        <v>1</v>
      </c>
      <c r="F103">
        <f>IFERROR(MATRIZ_174!L103,0)</f>
        <v>0</v>
      </c>
      <c r="G103">
        <f>IFERROR(MATRIZ_174!M103,0)</f>
        <v>0</v>
      </c>
      <c r="H103">
        <v>0</v>
      </c>
      <c r="I103">
        <v>0</v>
      </c>
      <c r="J103">
        <v>0</v>
      </c>
      <c r="K103">
        <f>IFERROR(INDEX(MATRIZ_174!$U:$U,MATCH(A103,MATRIZ_174!$A:$A,0)),"")</f>
        <v>0</v>
      </c>
      <c r="L103">
        <f>IFERROR(MATRIZ_174!O103,0)</f>
        <v>0</v>
      </c>
      <c r="M103">
        <v>0</v>
      </c>
      <c r="N103" t="str">
        <f>IFERROR(ISCAM_Score!AC104,"")</f>
        <v>⬜  Riesgo Latente</v>
      </c>
      <c r="O103" t="s">
        <v>182</v>
      </c>
    </row>
    <row r="104" spans="1:15" ht="16.05" customHeight="1" x14ac:dyDescent="0.3">
      <c r="A104" t="s">
        <v>280</v>
      </c>
      <c r="B104" t="s">
        <v>281</v>
      </c>
      <c r="C104" s="36">
        <f>IFERROR(ISCAM_Score!AL105,"—")</f>
        <v>0</v>
      </c>
      <c r="D104" t="str">
        <f t="shared" si="6"/>
        <v>🔴  Crítico</v>
      </c>
      <c r="E104">
        <f t="shared" si="7"/>
        <v>1</v>
      </c>
      <c r="F104">
        <v>0</v>
      </c>
      <c r="G104">
        <f>IFERROR(MATRIZ_174!M104,0)</f>
        <v>0</v>
      </c>
      <c r="H104">
        <v>0</v>
      </c>
      <c r="I104">
        <v>0</v>
      </c>
      <c r="J104">
        <v>0</v>
      </c>
      <c r="K104">
        <f>IFERROR(INDEX(MATRIZ_174!$U:$U,MATCH(A104,MATRIZ_174!$A:$A,0)),"")</f>
        <v>0</v>
      </c>
      <c r="L104">
        <f>IFERROR(MATRIZ_174!O104,0)</f>
        <v>0</v>
      </c>
      <c r="M104">
        <v>0</v>
      </c>
      <c r="N104" t="str">
        <f>IFERROR(ISCAM_Score!AC105,"")</f>
        <v>⬜  Riesgo Latente</v>
      </c>
      <c r="O104" t="s">
        <v>230</v>
      </c>
    </row>
    <row r="105" spans="1:15" ht="16.05" customHeight="1" x14ac:dyDescent="0.3">
      <c r="A105" t="s">
        <v>282</v>
      </c>
      <c r="B105" t="s">
        <v>283</v>
      </c>
      <c r="C105" s="36">
        <f>IFERROR(ISCAM_Score!AL106,"—")</f>
        <v>0</v>
      </c>
      <c r="D105" t="str">
        <f t="shared" si="6"/>
        <v>🔴  Crítico</v>
      </c>
      <c r="E105">
        <f t="shared" si="7"/>
        <v>1</v>
      </c>
      <c r="F105">
        <v>0</v>
      </c>
      <c r="G105">
        <f>IFERROR(MATRIZ_174!M105,0)</f>
        <v>0</v>
      </c>
      <c r="H105">
        <v>0</v>
      </c>
      <c r="I105">
        <v>0</v>
      </c>
      <c r="J105">
        <v>0</v>
      </c>
      <c r="K105">
        <f>IFERROR(INDEX(MATRIZ_174!$U:$U,MATCH(A105,MATRIZ_174!$A:$A,0)),"")</f>
        <v>0</v>
      </c>
      <c r="L105">
        <f>IFERROR(MATRIZ_174!O105,0)</f>
        <v>0</v>
      </c>
      <c r="M105">
        <v>0</v>
      </c>
      <c r="N105" t="str">
        <f>IFERROR(ISCAM_Score!AC106,"")</f>
        <v>⬜  Riesgo Latente</v>
      </c>
      <c r="O105" t="s">
        <v>103</v>
      </c>
    </row>
    <row r="106" spans="1:15" ht="16.05" customHeight="1" x14ac:dyDescent="0.3">
      <c r="A106" t="s">
        <v>284</v>
      </c>
      <c r="B106" t="s">
        <v>285</v>
      </c>
      <c r="C106" s="36">
        <f>IFERROR(ISCAM_Score!AL107,"—")</f>
        <v>0</v>
      </c>
      <c r="D106" t="str">
        <f t="shared" si="6"/>
        <v>🔴  Crítico</v>
      </c>
      <c r="E106">
        <f t="shared" si="7"/>
        <v>1</v>
      </c>
      <c r="F106">
        <v>2059443.82</v>
      </c>
      <c r="G106">
        <f>IFERROR(MATRIZ_174!M106,0)</f>
        <v>49.6</v>
      </c>
      <c r="H106">
        <v>0</v>
      </c>
      <c r="I106">
        <v>0</v>
      </c>
      <c r="J106">
        <v>0</v>
      </c>
      <c r="K106">
        <f>IFERROR(INDEX(MATRIZ_174!$U:$U,MATCH(A106,MATRIZ_174!$A:$A,0)),"")</f>
        <v>1</v>
      </c>
      <c r="L106">
        <f>IFERROR(MATRIZ_174!O106,0)</f>
        <v>0</v>
      </c>
      <c r="M106">
        <v>0</v>
      </c>
      <c r="N106" t="str">
        <f>IFERROR(ISCAM_Score!AC107,"")</f>
        <v>🔴  Riesgo Crítico</v>
      </c>
      <c r="O106" t="s">
        <v>129</v>
      </c>
    </row>
    <row r="107" spans="1:15" ht="16.05" customHeight="1" x14ac:dyDescent="0.3">
      <c r="A107" t="s">
        <v>286</v>
      </c>
      <c r="B107" t="s">
        <v>287</v>
      </c>
      <c r="C107" s="36">
        <f>IFERROR(ISCAM_Score!AL108,"—")</f>
        <v>0</v>
      </c>
      <c r="D107" t="str">
        <f t="shared" si="6"/>
        <v>🔴  Crítico</v>
      </c>
      <c r="E107">
        <f t="shared" si="7"/>
        <v>1</v>
      </c>
      <c r="F107">
        <f>IFERROR(MATRIZ_174!L107,0)</f>
        <v>0</v>
      </c>
      <c r="G107">
        <f>IFERROR(MATRIZ_174!M107,0)</f>
        <v>0</v>
      </c>
      <c r="H107">
        <v>0</v>
      </c>
      <c r="I107">
        <v>0</v>
      </c>
      <c r="J107">
        <v>0</v>
      </c>
      <c r="K107">
        <f>IFERROR(INDEX(MATRIZ_174!$U:$U,MATCH(A107,MATRIZ_174!$A:$A,0)),"")</f>
        <v>0</v>
      </c>
      <c r="L107">
        <f>IFERROR(MATRIZ_174!O107,0)</f>
        <v>0</v>
      </c>
      <c r="M107">
        <v>0</v>
      </c>
      <c r="N107" t="str">
        <f>IFERROR(ISCAM_Score!AC108,"")</f>
        <v>⬜  Riesgo Latente</v>
      </c>
      <c r="O107" t="s">
        <v>100</v>
      </c>
    </row>
    <row r="108" spans="1:15" ht="16.05" customHeight="1" x14ac:dyDescent="0.3">
      <c r="A108" t="s">
        <v>288</v>
      </c>
      <c r="B108" t="s">
        <v>289</v>
      </c>
      <c r="C108" s="36">
        <f>IFERROR(ISCAM_Score!AL109,"—")</f>
        <v>0</v>
      </c>
      <c r="D108" t="str">
        <f t="shared" si="6"/>
        <v>🔴  Crítico</v>
      </c>
      <c r="E108">
        <f t="shared" si="7"/>
        <v>1</v>
      </c>
      <c r="F108">
        <v>10616860.41</v>
      </c>
      <c r="G108">
        <f>IFERROR(MATRIZ_174!M108,0)</f>
        <v>50</v>
      </c>
      <c r="H108">
        <v>0</v>
      </c>
      <c r="I108">
        <v>0</v>
      </c>
      <c r="J108">
        <v>0</v>
      </c>
      <c r="K108">
        <f>IFERROR(INDEX(MATRIZ_174!$U:$U,MATCH(A108,MATRIZ_174!$A:$A,0)),"")</f>
        <v>1</v>
      </c>
      <c r="L108">
        <f>IFERROR(MATRIZ_174!O108,0)</f>
        <v>0</v>
      </c>
      <c r="M108">
        <v>0</v>
      </c>
      <c r="N108" t="str">
        <f>IFERROR(ISCAM_Score!AC109,"")</f>
        <v>⬜  Riesgo Latente</v>
      </c>
      <c r="O108" t="s">
        <v>100</v>
      </c>
    </row>
    <row r="109" spans="1:15" ht="16.05" customHeight="1" x14ac:dyDescent="0.3">
      <c r="A109" t="s">
        <v>290</v>
      </c>
      <c r="B109" t="s">
        <v>291</v>
      </c>
      <c r="C109" s="36">
        <f>IFERROR(ISCAM_Score!AL110,"—")</f>
        <v>0</v>
      </c>
      <c r="D109" t="str">
        <f t="shared" si="6"/>
        <v>🔴  Crítico</v>
      </c>
      <c r="E109">
        <f t="shared" si="7"/>
        <v>1</v>
      </c>
      <c r="F109">
        <f>IFERROR(MATRIZ_174!L109,0)</f>
        <v>0</v>
      </c>
      <c r="G109">
        <f>IFERROR(MATRIZ_174!M109,0)</f>
        <v>0</v>
      </c>
      <c r="H109">
        <v>0</v>
      </c>
      <c r="I109">
        <v>0</v>
      </c>
      <c r="J109">
        <v>0</v>
      </c>
      <c r="K109">
        <f>IFERROR(INDEX(MATRIZ_174!$U:$U,MATCH(A109,MATRIZ_174!$A:$A,0)),"")</f>
        <v>0</v>
      </c>
      <c r="L109">
        <f>IFERROR(MATRIZ_174!O109,0)</f>
        <v>0</v>
      </c>
      <c r="M109">
        <v>0</v>
      </c>
      <c r="N109" t="str">
        <f>IFERROR(ISCAM_Score!AC110,"")</f>
        <v>⬜  Riesgo Latente</v>
      </c>
      <c r="O109" t="s">
        <v>68</v>
      </c>
    </row>
    <row r="110" spans="1:15" ht="16.05" customHeight="1" x14ac:dyDescent="0.3">
      <c r="A110" t="s">
        <v>292</v>
      </c>
      <c r="B110" t="s">
        <v>293</v>
      </c>
      <c r="C110" s="36">
        <f>IFERROR(ISCAM_Score!AL111,"—")</f>
        <v>0</v>
      </c>
      <c r="D110" t="str">
        <f t="shared" si="6"/>
        <v>🔴  Crítico</v>
      </c>
      <c r="E110">
        <f t="shared" si="7"/>
        <v>1</v>
      </c>
      <c r="F110">
        <f>IFERROR(MATRIZ_174!L110,0)</f>
        <v>0</v>
      </c>
      <c r="G110">
        <f>IFERROR(MATRIZ_174!M110,0)</f>
        <v>0</v>
      </c>
      <c r="H110">
        <v>0</v>
      </c>
      <c r="I110">
        <v>0</v>
      </c>
      <c r="J110">
        <v>0</v>
      </c>
      <c r="K110">
        <f>IFERROR(INDEX(MATRIZ_174!$U:$U,MATCH(A110,MATRIZ_174!$A:$A,0)),"")</f>
        <v>0</v>
      </c>
      <c r="L110">
        <f>IFERROR(MATRIZ_174!O110,0)</f>
        <v>0</v>
      </c>
      <c r="M110">
        <v>0</v>
      </c>
      <c r="N110" t="str">
        <f>IFERROR(ISCAM_Score!AC111,"")</f>
        <v>⬜  Riesgo Latente</v>
      </c>
      <c r="O110" t="s">
        <v>110</v>
      </c>
    </row>
    <row r="111" spans="1:15" ht="16.05" customHeight="1" x14ac:dyDescent="0.3">
      <c r="A111" t="s">
        <v>294</v>
      </c>
      <c r="B111" t="s">
        <v>295</v>
      </c>
      <c r="C111" s="36">
        <f>IFERROR(ISCAM_Score!AL112,"—")</f>
        <v>0</v>
      </c>
      <c r="D111" t="str">
        <f t="shared" si="6"/>
        <v>🔴  Crítico</v>
      </c>
      <c r="E111">
        <f t="shared" si="7"/>
        <v>1</v>
      </c>
      <c r="F111">
        <f>IFERROR(MATRIZ_174!L111,0)</f>
        <v>0</v>
      </c>
      <c r="G111">
        <f>IFERROR(MATRIZ_174!M111,0)</f>
        <v>0</v>
      </c>
      <c r="H111">
        <v>0</v>
      </c>
      <c r="I111">
        <v>0</v>
      </c>
      <c r="J111">
        <v>0</v>
      </c>
      <c r="K111">
        <f>IFERROR(INDEX(MATRIZ_174!$U:$U,MATCH(A111,MATRIZ_174!$A:$A,0)),"")</f>
        <v>0</v>
      </c>
      <c r="L111">
        <f>IFERROR(MATRIZ_174!O111,0)</f>
        <v>0</v>
      </c>
      <c r="M111">
        <v>0</v>
      </c>
      <c r="N111" t="str">
        <f>IFERROR(ISCAM_Score!AC112,"")</f>
        <v>⬜  Riesgo Latente</v>
      </c>
      <c r="O111" t="s">
        <v>103</v>
      </c>
    </row>
    <row r="112" spans="1:15" ht="16.05" customHeight="1" x14ac:dyDescent="0.3">
      <c r="A112" t="s">
        <v>296</v>
      </c>
      <c r="B112" t="s">
        <v>297</v>
      </c>
      <c r="C112" s="36">
        <f>IFERROR(ISCAM_Score!AL113,"—")</f>
        <v>0</v>
      </c>
      <c r="D112" t="str">
        <f t="shared" si="6"/>
        <v>🔴  Crítico</v>
      </c>
      <c r="E112">
        <f t="shared" si="7"/>
        <v>1</v>
      </c>
      <c r="F112">
        <f>IFERROR(MATRIZ_174!L112,0)</f>
        <v>0</v>
      </c>
      <c r="G112">
        <f>IFERROR(MATRIZ_174!M112,0)</f>
        <v>0</v>
      </c>
      <c r="H112">
        <v>0</v>
      </c>
      <c r="I112">
        <v>0</v>
      </c>
      <c r="J112">
        <v>0</v>
      </c>
      <c r="K112">
        <f>IFERROR(INDEX(MATRIZ_174!$U:$U,MATCH(A112,MATRIZ_174!$A:$A,0)),"")</f>
        <v>0</v>
      </c>
      <c r="L112">
        <f>IFERROR(MATRIZ_174!O112,0)</f>
        <v>0</v>
      </c>
      <c r="M112">
        <v>0</v>
      </c>
      <c r="N112" t="str">
        <f>IFERROR(ISCAM_Score!AC113,"")</f>
        <v>⬜  Riesgo Latente</v>
      </c>
      <c r="O112" t="s">
        <v>110</v>
      </c>
    </row>
    <row r="113" spans="1:15" ht="16.05" customHeight="1" x14ac:dyDescent="0.3">
      <c r="A113" t="s">
        <v>298</v>
      </c>
      <c r="B113" t="s">
        <v>299</v>
      </c>
      <c r="C113" s="36">
        <f>IFERROR(ISCAM_Score!AL114,"—")</f>
        <v>0</v>
      </c>
      <c r="D113" t="str">
        <f t="shared" si="6"/>
        <v>🔴  Crítico</v>
      </c>
      <c r="E113">
        <f t="shared" si="7"/>
        <v>1</v>
      </c>
      <c r="F113">
        <v>0</v>
      </c>
      <c r="G113">
        <f>IFERROR(MATRIZ_174!M113,0)</f>
        <v>0</v>
      </c>
      <c r="H113">
        <v>0</v>
      </c>
      <c r="I113">
        <v>0</v>
      </c>
      <c r="J113">
        <v>0</v>
      </c>
      <c r="K113">
        <f>IFERROR(INDEX(MATRIZ_174!$U:$U,MATCH(A113,MATRIZ_174!$A:$A,0)),"")</f>
        <v>0</v>
      </c>
      <c r="L113">
        <f>IFERROR(MATRIZ_174!O113,0)</f>
        <v>0</v>
      </c>
      <c r="M113">
        <v>0</v>
      </c>
      <c r="N113" t="str">
        <f>IFERROR(ISCAM_Score!AC114,"")</f>
        <v>⬜  Riesgo Latente</v>
      </c>
      <c r="O113" t="s">
        <v>140</v>
      </c>
    </row>
    <row r="114" spans="1:15" ht="16.05" customHeight="1" x14ac:dyDescent="0.3">
      <c r="A114" t="s">
        <v>300</v>
      </c>
      <c r="B114" t="s">
        <v>301</v>
      </c>
      <c r="C114" s="36">
        <f>IFERROR(ISCAM_Score!AL115,"—")</f>
        <v>0</v>
      </c>
      <c r="D114" t="str">
        <f t="shared" si="6"/>
        <v>🔴  Crítico</v>
      </c>
      <c r="E114">
        <f t="shared" si="7"/>
        <v>1</v>
      </c>
      <c r="F114">
        <f>IFERROR(MATRIZ_174!L114,0)</f>
        <v>0</v>
      </c>
      <c r="G114">
        <f>IFERROR(MATRIZ_174!M114,0)</f>
        <v>0</v>
      </c>
      <c r="H114">
        <v>0</v>
      </c>
      <c r="I114">
        <v>0</v>
      </c>
      <c r="J114">
        <v>0</v>
      </c>
      <c r="K114">
        <f>IFERROR(INDEX(MATRIZ_174!$U:$U,MATCH(A114,MATRIZ_174!$A:$A,0)),"")</f>
        <v>0</v>
      </c>
      <c r="L114">
        <f>IFERROR(MATRIZ_174!O114,0)</f>
        <v>0</v>
      </c>
      <c r="M114">
        <v>0</v>
      </c>
      <c r="N114" t="str">
        <f>IFERROR(ISCAM_Score!AC115,"")</f>
        <v>⬜  Riesgo Latente</v>
      </c>
      <c r="O114" t="s">
        <v>230</v>
      </c>
    </row>
    <row r="115" spans="1:15" ht="16.05" customHeight="1" x14ac:dyDescent="0.3">
      <c r="A115" t="s">
        <v>302</v>
      </c>
      <c r="B115" t="s">
        <v>303</v>
      </c>
      <c r="C115" s="36">
        <f>IFERROR(ISCAM_Score!AL116,"—")</f>
        <v>0</v>
      </c>
      <c r="D115" t="str">
        <f t="shared" si="6"/>
        <v>🔴  Crítico</v>
      </c>
      <c r="E115">
        <f t="shared" si="7"/>
        <v>1</v>
      </c>
      <c r="F115">
        <f>IFERROR(MATRIZ_174!L115,0)</f>
        <v>0</v>
      </c>
      <c r="G115">
        <f>IFERROR(MATRIZ_174!M115,0)</f>
        <v>0</v>
      </c>
      <c r="H115">
        <v>0</v>
      </c>
      <c r="I115">
        <v>0</v>
      </c>
      <c r="J115">
        <v>0</v>
      </c>
      <c r="K115">
        <f>IFERROR(INDEX(MATRIZ_174!$U:$U,MATCH(A115,MATRIZ_174!$A:$A,0)),"")</f>
        <v>0</v>
      </c>
      <c r="L115">
        <f>IFERROR(MATRIZ_174!O115,0)</f>
        <v>0</v>
      </c>
      <c r="M115">
        <v>0</v>
      </c>
      <c r="N115" t="str">
        <f>IFERROR(ISCAM_Score!AC116,"")</f>
        <v>⬜  Riesgo Latente</v>
      </c>
      <c r="O115" t="s">
        <v>129</v>
      </c>
    </row>
    <row r="116" spans="1:15" ht="16.05" customHeight="1" x14ac:dyDescent="0.3">
      <c r="A116" t="s">
        <v>304</v>
      </c>
      <c r="B116" t="s">
        <v>305</v>
      </c>
      <c r="C116" s="36">
        <f>IFERROR(ISCAM_Score!AL117,"—")</f>
        <v>0</v>
      </c>
      <c r="D116" t="str">
        <f t="shared" si="6"/>
        <v>🔴  Crítico</v>
      </c>
      <c r="E116">
        <f t="shared" si="7"/>
        <v>1</v>
      </c>
      <c r="F116">
        <f>IFERROR(MATRIZ_174!L116,0)</f>
        <v>0</v>
      </c>
      <c r="G116">
        <f>IFERROR(MATRIZ_174!M116,0)</f>
        <v>0</v>
      </c>
      <c r="H116">
        <v>0</v>
      </c>
      <c r="I116">
        <v>0</v>
      </c>
      <c r="J116">
        <v>0</v>
      </c>
      <c r="K116">
        <f>IFERROR(INDEX(MATRIZ_174!$U:$U,MATCH(A116,MATRIZ_174!$A:$A,0)),"")</f>
        <v>0</v>
      </c>
      <c r="L116">
        <f>IFERROR(MATRIZ_174!O116,0)</f>
        <v>0</v>
      </c>
      <c r="M116">
        <v>0</v>
      </c>
      <c r="N116" t="str">
        <f>IFERROR(ISCAM_Score!AC117,"")</f>
        <v>⬜  Riesgo Latente</v>
      </c>
      <c r="O116" t="s">
        <v>230</v>
      </c>
    </row>
    <row r="117" spans="1:15" ht="16.05" customHeight="1" x14ac:dyDescent="0.3">
      <c r="A117" t="s">
        <v>306</v>
      </c>
      <c r="B117" t="s">
        <v>307</v>
      </c>
      <c r="C117" s="36">
        <f>IFERROR(ISCAM_Score!AL118,"—")</f>
        <v>0</v>
      </c>
      <c r="D117" t="str">
        <f t="shared" si="6"/>
        <v>🔴  Crítico</v>
      </c>
      <c r="E117">
        <f t="shared" si="7"/>
        <v>1</v>
      </c>
      <c r="F117">
        <f>IFERROR(MATRIZ_174!L117,0)</f>
        <v>0</v>
      </c>
      <c r="G117">
        <f>IFERROR(MATRIZ_174!M117,0)</f>
        <v>0</v>
      </c>
      <c r="H117">
        <v>0</v>
      </c>
      <c r="I117">
        <v>0</v>
      </c>
      <c r="J117">
        <v>0</v>
      </c>
      <c r="K117">
        <f>IFERROR(INDEX(MATRIZ_174!$U:$U,MATCH(A117,MATRIZ_174!$A:$A,0)),"")</f>
        <v>0</v>
      </c>
      <c r="L117">
        <f>IFERROR(MATRIZ_174!O117,0)</f>
        <v>0</v>
      </c>
      <c r="M117">
        <v>0</v>
      </c>
      <c r="N117" t="str">
        <f>IFERROR(ISCAM_Score!AC118,"")</f>
        <v>⬜  Riesgo Latente</v>
      </c>
      <c r="O117" t="s">
        <v>169</v>
      </c>
    </row>
    <row r="118" spans="1:15" ht="16.05" customHeight="1" x14ac:dyDescent="0.3">
      <c r="A118" t="s">
        <v>308</v>
      </c>
      <c r="B118" t="s">
        <v>309</v>
      </c>
      <c r="C118" s="36">
        <f>IFERROR(ISCAM_Score!AL119,"—")</f>
        <v>0</v>
      </c>
      <c r="D118" t="str">
        <f t="shared" si="6"/>
        <v>🔴  Crítico</v>
      </c>
      <c r="E118">
        <f t="shared" si="7"/>
        <v>1</v>
      </c>
      <c r="F118">
        <f>IFERROR(MATRIZ_174!L118,0)</f>
        <v>0</v>
      </c>
      <c r="G118">
        <f>IFERROR(MATRIZ_174!M118,0)</f>
        <v>0</v>
      </c>
      <c r="H118">
        <v>0</v>
      </c>
      <c r="I118">
        <v>0</v>
      </c>
      <c r="J118">
        <v>0</v>
      </c>
      <c r="K118">
        <f>IFERROR(INDEX(MATRIZ_174!$U:$U,MATCH(A118,MATRIZ_174!$A:$A,0)),"")</f>
        <v>0</v>
      </c>
      <c r="L118">
        <f>IFERROR(MATRIZ_174!O118,0)</f>
        <v>0</v>
      </c>
      <c r="M118">
        <v>0</v>
      </c>
      <c r="N118" t="str">
        <f>IFERROR(ISCAM_Score!AC119,"")</f>
        <v>⬜  Riesgo Latente</v>
      </c>
      <c r="O118" t="s">
        <v>100</v>
      </c>
    </row>
    <row r="119" spans="1:15" ht="16.05" customHeight="1" x14ac:dyDescent="0.3">
      <c r="A119" t="s">
        <v>310</v>
      </c>
      <c r="B119" t="s">
        <v>311</v>
      </c>
      <c r="C119" s="36">
        <f>IFERROR(ISCAM_Score!AL120,"—")</f>
        <v>0</v>
      </c>
      <c r="D119" t="str">
        <f t="shared" si="6"/>
        <v>🔴  Crítico</v>
      </c>
      <c r="E119">
        <f t="shared" si="7"/>
        <v>1</v>
      </c>
      <c r="F119">
        <f>IFERROR(MATRIZ_174!L119,0)</f>
        <v>0</v>
      </c>
      <c r="G119">
        <f>IFERROR(MATRIZ_174!M119,0)</f>
        <v>0</v>
      </c>
      <c r="H119">
        <v>0</v>
      </c>
      <c r="I119">
        <v>0</v>
      </c>
      <c r="J119">
        <v>0</v>
      </c>
      <c r="K119">
        <f>IFERROR(INDEX(MATRIZ_174!$U:$U,MATCH(A119,MATRIZ_174!$A:$A,0)),"")</f>
        <v>0</v>
      </c>
      <c r="L119">
        <f>IFERROR(MATRIZ_174!O119,0)</f>
        <v>0</v>
      </c>
      <c r="M119">
        <v>0</v>
      </c>
      <c r="N119" t="str">
        <f>IFERROR(ISCAM_Score!AC120,"")</f>
        <v>⬜  Riesgo Latente</v>
      </c>
      <c r="O119" t="s">
        <v>100</v>
      </c>
    </row>
    <row r="120" spans="1:15" ht="16.05" customHeight="1" x14ac:dyDescent="0.3">
      <c r="A120" t="s">
        <v>312</v>
      </c>
      <c r="B120" t="s">
        <v>313</v>
      </c>
      <c r="C120" s="36">
        <f>IFERROR(ISCAM_Score!AL121,"—")</f>
        <v>0</v>
      </c>
      <c r="D120" t="str">
        <f t="shared" si="6"/>
        <v>🔴  Crítico</v>
      </c>
      <c r="E120">
        <f t="shared" si="7"/>
        <v>1</v>
      </c>
      <c r="F120">
        <f>IFERROR(MATRIZ_174!L120,0)</f>
        <v>0</v>
      </c>
      <c r="G120">
        <f>IFERROR(MATRIZ_174!M120,0)</f>
        <v>0</v>
      </c>
      <c r="H120">
        <v>0</v>
      </c>
      <c r="I120">
        <v>0</v>
      </c>
      <c r="J120">
        <v>0</v>
      </c>
      <c r="K120">
        <f>IFERROR(INDEX(MATRIZ_174!$U:$U,MATCH(A120,MATRIZ_174!$A:$A,0)),"")</f>
        <v>0</v>
      </c>
      <c r="L120">
        <f>IFERROR(MATRIZ_174!O120,0)</f>
        <v>0</v>
      </c>
      <c r="M120">
        <v>0</v>
      </c>
      <c r="N120" t="str">
        <f>IFERROR(ISCAM_Score!AC121,"")</f>
        <v>⬜  Riesgo Latente</v>
      </c>
      <c r="O120" t="s">
        <v>140</v>
      </c>
    </row>
    <row r="121" spans="1:15" ht="16.05" customHeight="1" x14ac:dyDescent="0.3">
      <c r="A121" t="s">
        <v>314</v>
      </c>
      <c r="B121" t="s">
        <v>315</v>
      </c>
      <c r="C121" s="36">
        <f>IFERROR(ISCAM_Score!AL122,"—")</f>
        <v>0</v>
      </c>
      <c r="D121" t="str">
        <f t="shared" si="6"/>
        <v>🔴  Crítico</v>
      </c>
      <c r="E121">
        <f t="shared" si="7"/>
        <v>1</v>
      </c>
      <c r="F121">
        <f>IFERROR(MATRIZ_174!L121,0)</f>
        <v>0</v>
      </c>
      <c r="G121">
        <f>IFERROR(MATRIZ_174!M121,0)</f>
        <v>0</v>
      </c>
      <c r="H121">
        <v>0</v>
      </c>
      <c r="I121">
        <v>0</v>
      </c>
      <c r="J121">
        <v>0</v>
      </c>
      <c r="K121">
        <f>IFERROR(INDEX(MATRIZ_174!$U:$U,MATCH(A121,MATRIZ_174!$A:$A,0)),"")</f>
        <v>0</v>
      </c>
      <c r="L121">
        <f>IFERROR(MATRIZ_174!O121,0)</f>
        <v>0</v>
      </c>
      <c r="M121">
        <v>0</v>
      </c>
      <c r="N121" t="str">
        <f>IFERROR(ISCAM_Score!AC122,"")</f>
        <v>⬜  Riesgo Latente</v>
      </c>
      <c r="O121" t="s">
        <v>237</v>
      </c>
    </row>
    <row r="122" spans="1:15" ht="16.05" customHeight="1" x14ac:dyDescent="0.3">
      <c r="A122" t="s">
        <v>316</v>
      </c>
      <c r="B122" t="s">
        <v>317</v>
      </c>
      <c r="C122" s="36">
        <f>IFERROR(ISCAM_Score!AL123,"—")</f>
        <v>0</v>
      </c>
      <c r="D122" t="str">
        <f t="shared" si="6"/>
        <v>🔴  Crítico</v>
      </c>
      <c r="E122">
        <f t="shared" si="7"/>
        <v>1</v>
      </c>
      <c r="F122">
        <f>IFERROR(MATRIZ_174!L122,0)</f>
        <v>0</v>
      </c>
      <c r="G122">
        <f>IFERROR(MATRIZ_174!M122,0)</f>
        <v>0</v>
      </c>
      <c r="H122">
        <v>0</v>
      </c>
      <c r="I122">
        <v>0</v>
      </c>
      <c r="J122">
        <v>0</v>
      </c>
      <c r="K122">
        <f>IFERROR(INDEX(MATRIZ_174!$U:$U,MATCH(A122,MATRIZ_174!$A:$A,0)),"")</f>
        <v>0</v>
      </c>
      <c r="L122">
        <f>IFERROR(MATRIZ_174!O122,0)</f>
        <v>0</v>
      </c>
      <c r="M122">
        <v>0</v>
      </c>
      <c r="N122" t="str">
        <f>IFERROR(ISCAM_Score!AC123,"")</f>
        <v>⬜  Riesgo Latente</v>
      </c>
      <c r="O122" t="s">
        <v>110</v>
      </c>
    </row>
    <row r="123" spans="1:15" ht="16.05" customHeight="1" x14ac:dyDescent="0.3">
      <c r="A123" t="s">
        <v>318</v>
      </c>
      <c r="B123" t="s">
        <v>319</v>
      </c>
      <c r="C123" s="36">
        <f>IFERROR(ISCAM_Score!AL124,"—")</f>
        <v>0</v>
      </c>
      <c r="D123" t="str">
        <f t="shared" si="6"/>
        <v>🔴  Crítico</v>
      </c>
      <c r="E123">
        <f t="shared" si="7"/>
        <v>1</v>
      </c>
      <c r="F123">
        <v>0</v>
      </c>
      <c r="G123">
        <f>IFERROR(MATRIZ_174!M123,0)</f>
        <v>0</v>
      </c>
      <c r="H123">
        <v>0</v>
      </c>
      <c r="I123">
        <v>0</v>
      </c>
      <c r="J123">
        <v>0</v>
      </c>
      <c r="K123">
        <f>IFERROR(INDEX(MATRIZ_174!$U:$U,MATCH(A123,MATRIZ_174!$A:$A,0)),"")</f>
        <v>0</v>
      </c>
      <c r="L123">
        <f>IFERROR(MATRIZ_174!O123,0)</f>
        <v>0</v>
      </c>
      <c r="M123">
        <v>0</v>
      </c>
      <c r="N123" t="str">
        <f>IFERROR(ISCAM_Score!AC124,"")</f>
        <v>⬜  Riesgo Latente</v>
      </c>
      <c r="O123" t="s">
        <v>71</v>
      </c>
    </row>
    <row r="124" spans="1:15" ht="16.05" customHeight="1" x14ac:dyDescent="0.3">
      <c r="A124" t="s">
        <v>320</v>
      </c>
      <c r="B124" t="s">
        <v>321</v>
      </c>
      <c r="C124" s="36">
        <f>IFERROR(ISCAM_Score!AL125,"—")</f>
        <v>0</v>
      </c>
      <c r="D124" t="str">
        <f t="shared" si="6"/>
        <v>🔴  Crítico</v>
      </c>
      <c r="E124">
        <f t="shared" si="7"/>
        <v>1</v>
      </c>
      <c r="F124">
        <v>0</v>
      </c>
      <c r="G124">
        <f>IFERROR(MATRIZ_174!M124,0)</f>
        <v>0</v>
      </c>
      <c r="H124">
        <v>0</v>
      </c>
      <c r="I124">
        <v>0</v>
      </c>
      <c r="J124">
        <v>0</v>
      </c>
      <c r="K124">
        <f>IFERROR(INDEX(MATRIZ_174!$U:$U,MATCH(A124,MATRIZ_174!$A:$A,0)),"")</f>
        <v>0</v>
      </c>
      <c r="L124">
        <f>IFERROR(MATRIZ_174!O124,0)</f>
        <v>0</v>
      </c>
      <c r="M124">
        <v>0</v>
      </c>
      <c r="N124" t="str">
        <f>IFERROR(ISCAM_Score!AC125,"")</f>
        <v>🔴  Riesgo Crítico</v>
      </c>
      <c r="O124" t="s">
        <v>103</v>
      </c>
    </row>
    <row r="125" spans="1:15" ht="16.05" customHeight="1" x14ac:dyDescent="0.3">
      <c r="A125" t="s">
        <v>322</v>
      </c>
      <c r="B125" t="s">
        <v>323</v>
      </c>
      <c r="C125" s="36">
        <f>IFERROR(ISCAM_Score!AL126,"—")</f>
        <v>0</v>
      </c>
      <c r="D125" t="str">
        <f t="shared" si="6"/>
        <v>🔴  Crítico</v>
      </c>
      <c r="E125">
        <f t="shared" si="7"/>
        <v>1</v>
      </c>
      <c r="F125">
        <f>IFERROR(MATRIZ_174!L125,0)</f>
        <v>0</v>
      </c>
      <c r="G125">
        <f>IFERROR(MATRIZ_174!M125,0)</f>
        <v>0</v>
      </c>
      <c r="H125">
        <v>0</v>
      </c>
      <c r="I125">
        <v>0</v>
      </c>
      <c r="J125">
        <v>0</v>
      </c>
      <c r="K125">
        <f>IFERROR(INDEX(MATRIZ_174!$U:$U,MATCH(A125,MATRIZ_174!$A:$A,0)),"")</f>
        <v>0</v>
      </c>
      <c r="L125">
        <f>IFERROR(MATRIZ_174!O125,0)</f>
        <v>0</v>
      </c>
      <c r="M125">
        <v>0</v>
      </c>
      <c r="N125" t="str">
        <f>IFERROR(ISCAM_Score!AC126,"")</f>
        <v>⬜  Riesgo Latente</v>
      </c>
      <c r="O125" t="s">
        <v>71</v>
      </c>
    </row>
    <row r="126" spans="1:15" ht="16.05" customHeight="1" x14ac:dyDescent="0.3">
      <c r="A126" t="s">
        <v>324</v>
      </c>
      <c r="B126" t="s">
        <v>325</v>
      </c>
      <c r="C126" s="36">
        <f>IFERROR(ISCAM_Score!AL127,"—")</f>
        <v>0</v>
      </c>
      <c r="D126" t="str">
        <f t="shared" si="6"/>
        <v>🔴  Crítico</v>
      </c>
      <c r="E126">
        <f t="shared" si="7"/>
        <v>1</v>
      </c>
      <c r="F126">
        <v>0</v>
      </c>
      <c r="G126">
        <f>IFERROR(MATRIZ_174!M126,0)</f>
        <v>0</v>
      </c>
      <c r="H126">
        <v>0</v>
      </c>
      <c r="I126">
        <v>0</v>
      </c>
      <c r="J126">
        <v>0</v>
      </c>
      <c r="K126">
        <f>IFERROR(INDEX(MATRIZ_174!$U:$U,MATCH(A126,MATRIZ_174!$A:$A,0)),"")</f>
        <v>0</v>
      </c>
      <c r="L126">
        <f>IFERROR(MATRIZ_174!O126,0)</f>
        <v>0</v>
      </c>
      <c r="M126">
        <v>0</v>
      </c>
      <c r="N126" t="str">
        <f>IFERROR(ISCAM_Score!AC127,"")</f>
        <v>⬜  Riesgo Latente</v>
      </c>
      <c r="O126" t="s">
        <v>71</v>
      </c>
    </row>
    <row r="127" spans="1:15" ht="16.05" customHeight="1" x14ac:dyDescent="0.3">
      <c r="A127" t="s">
        <v>326</v>
      </c>
      <c r="B127" t="s">
        <v>327</v>
      </c>
      <c r="C127" s="36">
        <f>IFERROR(ISCAM_Score!AL128,"—")</f>
        <v>0</v>
      </c>
      <c r="D127" t="str">
        <f t="shared" si="6"/>
        <v>🔴  Crítico</v>
      </c>
      <c r="E127">
        <f t="shared" si="7"/>
        <v>1</v>
      </c>
      <c r="F127">
        <v>0</v>
      </c>
      <c r="G127">
        <f>IFERROR(MATRIZ_174!M127,0)</f>
        <v>0</v>
      </c>
      <c r="H127">
        <v>0</v>
      </c>
      <c r="I127">
        <v>0</v>
      </c>
      <c r="J127">
        <v>0</v>
      </c>
      <c r="K127">
        <f>IFERROR(INDEX(MATRIZ_174!$U:$U,MATCH(A127,MATRIZ_174!$A:$A,0)),"")</f>
        <v>0</v>
      </c>
      <c r="L127">
        <f>IFERROR(MATRIZ_174!O127,0)</f>
        <v>0</v>
      </c>
      <c r="M127">
        <v>0</v>
      </c>
      <c r="N127" t="str">
        <f>IFERROR(ISCAM_Score!AC128,"")</f>
        <v>⬜  Riesgo Latente</v>
      </c>
      <c r="O127" t="s">
        <v>71</v>
      </c>
    </row>
    <row r="128" spans="1:15" ht="16.05" customHeight="1" x14ac:dyDescent="0.3">
      <c r="A128" t="s">
        <v>328</v>
      </c>
      <c r="B128" t="s">
        <v>329</v>
      </c>
      <c r="C128" s="36">
        <f>IFERROR(ISCAM_Score!AL129,"—")</f>
        <v>0</v>
      </c>
      <c r="D128" t="str">
        <f t="shared" si="6"/>
        <v>🔴  Crítico</v>
      </c>
      <c r="E128">
        <f t="shared" si="7"/>
        <v>1</v>
      </c>
      <c r="F128">
        <v>6983136.6699999999</v>
      </c>
      <c r="G128">
        <f>IFERROR(MATRIZ_174!M128,0)</f>
        <v>50</v>
      </c>
      <c r="H128">
        <v>0</v>
      </c>
      <c r="I128">
        <v>0</v>
      </c>
      <c r="J128">
        <v>0</v>
      </c>
      <c r="K128">
        <f>IFERROR(INDEX(MATRIZ_174!$U:$U,MATCH(A128,MATRIZ_174!$A:$A,0)),"")</f>
        <v>1</v>
      </c>
      <c r="L128">
        <f>IFERROR(MATRIZ_174!O128,0)</f>
        <v>0</v>
      </c>
      <c r="M128">
        <v>0</v>
      </c>
      <c r="N128" t="str">
        <f>IFERROR(ISCAM_Score!AC129,"")</f>
        <v>⬜  Riesgo Latente</v>
      </c>
      <c r="O128" t="s">
        <v>103</v>
      </c>
    </row>
    <row r="129" spans="1:15" ht="16.05" customHeight="1" x14ac:dyDescent="0.3">
      <c r="A129" t="s">
        <v>330</v>
      </c>
      <c r="B129" t="s">
        <v>331</v>
      </c>
      <c r="C129" s="36">
        <f>IFERROR(ISCAM_Score!AL130,"—")</f>
        <v>0</v>
      </c>
      <c r="D129" t="str">
        <f t="shared" si="6"/>
        <v>🔴  Crítico</v>
      </c>
      <c r="E129">
        <f t="shared" si="7"/>
        <v>1</v>
      </c>
      <c r="F129">
        <f>IFERROR(MATRIZ_174!L129,0)</f>
        <v>0</v>
      </c>
      <c r="G129">
        <f>IFERROR(MATRIZ_174!M129,0)</f>
        <v>0</v>
      </c>
      <c r="H129">
        <v>0</v>
      </c>
      <c r="I129">
        <v>0</v>
      </c>
      <c r="J129">
        <v>0</v>
      </c>
      <c r="K129">
        <f>IFERROR(INDEX(MATRIZ_174!$U:$U,MATCH(A129,MATRIZ_174!$A:$A,0)),"")</f>
        <v>0</v>
      </c>
      <c r="L129">
        <f>IFERROR(MATRIZ_174!O129,0)</f>
        <v>0</v>
      </c>
      <c r="M129">
        <v>0</v>
      </c>
      <c r="N129" t="str">
        <f>IFERROR(ISCAM_Score!AC130,"")</f>
        <v>⬜  Riesgo Latente</v>
      </c>
      <c r="O129" t="s">
        <v>100</v>
      </c>
    </row>
    <row r="130" spans="1:15" ht="16.05" customHeight="1" x14ac:dyDescent="0.3">
      <c r="A130" t="s">
        <v>332</v>
      </c>
      <c r="B130" t="s">
        <v>333</v>
      </c>
      <c r="C130" s="36">
        <f>IFERROR(ISCAM_Score!AL131,"—")</f>
        <v>0</v>
      </c>
      <c r="D130" t="str">
        <f t="shared" si="6"/>
        <v>🔴  Crítico</v>
      </c>
      <c r="E130">
        <f t="shared" si="7"/>
        <v>1</v>
      </c>
      <c r="F130">
        <f>IFERROR(MATRIZ_174!L130,0)</f>
        <v>0</v>
      </c>
      <c r="G130">
        <f>IFERROR(MATRIZ_174!M130,0)</f>
        <v>0</v>
      </c>
      <c r="H130">
        <v>0</v>
      </c>
      <c r="I130">
        <v>0</v>
      </c>
      <c r="J130">
        <v>0</v>
      </c>
      <c r="K130">
        <f>IFERROR(INDEX(MATRIZ_174!$U:$U,MATCH(A130,MATRIZ_174!$A:$A,0)),"")</f>
        <v>0</v>
      </c>
      <c r="L130">
        <f>IFERROR(MATRIZ_174!O130,0)</f>
        <v>0</v>
      </c>
      <c r="M130">
        <v>0</v>
      </c>
      <c r="N130" t="str">
        <f>IFERROR(ISCAM_Score!AC131,"")</f>
        <v>🔴  Riesgo Crítico</v>
      </c>
      <c r="O130" t="s">
        <v>237</v>
      </c>
    </row>
    <row r="131" spans="1:15" ht="16.05" customHeight="1" x14ac:dyDescent="0.3">
      <c r="A131" t="s">
        <v>334</v>
      </c>
      <c r="B131" t="s">
        <v>335</v>
      </c>
      <c r="C131" s="36">
        <f>IFERROR(ISCAM_Score!AL132,"—")</f>
        <v>0</v>
      </c>
      <c r="D131" t="str">
        <f t="shared" ref="D131:D162" si="8">IF(C131="—","— Sin Inst.2",IF(C131&lt;34,"🔴  Crítico",IF(C131&lt;67,"🟡  En desarrollo","🟢  Alineado")))</f>
        <v>🔴  Crítico</v>
      </c>
      <c r="E131">
        <f t="shared" ref="E131:E162" si="9">IFERROR(RANK(C131,C:C,-1),"")</f>
        <v>1</v>
      </c>
      <c r="F131">
        <v>0</v>
      </c>
      <c r="G131">
        <f>IFERROR(MATRIZ_174!M131,0)</f>
        <v>0</v>
      </c>
      <c r="H131">
        <v>0</v>
      </c>
      <c r="I131">
        <v>0</v>
      </c>
      <c r="J131">
        <v>0</v>
      </c>
      <c r="K131">
        <f>IFERROR(INDEX(MATRIZ_174!$U:$U,MATCH(A131,MATRIZ_174!$A:$A,0)),"")</f>
        <v>0</v>
      </c>
      <c r="L131">
        <f>IFERROR(MATRIZ_174!O131,0)</f>
        <v>0</v>
      </c>
      <c r="M131">
        <v>0</v>
      </c>
      <c r="N131" t="str">
        <f>IFERROR(ISCAM_Score!AC132,"")</f>
        <v>⬜  Riesgo Latente</v>
      </c>
      <c r="O131" t="s">
        <v>71</v>
      </c>
    </row>
    <row r="132" spans="1:15" ht="16.05" customHeight="1" x14ac:dyDescent="0.3">
      <c r="A132" t="s">
        <v>336</v>
      </c>
      <c r="B132" t="s">
        <v>337</v>
      </c>
      <c r="C132" s="36">
        <f>IFERROR(ISCAM_Score!AL133,"—")</f>
        <v>0</v>
      </c>
      <c r="D132" t="str">
        <f t="shared" si="8"/>
        <v>🔴  Crítico</v>
      </c>
      <c r="E132">
        <f t="shared" si="9"/>
        <v>1</v>
      </c>
      <c r="F132">
        <f>IFERROR(MATRIZ_174!L132,0)</f>
        <v>0</v>
      </c>
      <c r="G132">
        <f>IFERROR(MATRIZ_174!M132,0)</f>
        <v>0</v>
      </c>
      <c r="H132">
        <v>0</v>
      </c>
      <c r="I132">
        <v>0</v>
      </c>
      <c r="J132">
        <v>0</v>
      </c>
      <c r="K132">
        <f>IFERROR(INDEX(MATRIZ_174!$U:$U,MATCH(A132,MATRIZ_174!$A:$A,0)),"")</f>
        <v>0</v>
      </c>
      <c r="L132">
        <f>IFERROR(MATRIZ_174!O132,0)</f>
        <v>0</v>
      </c>
      <c r="M132">
        <v>0</v>
      </c>
      <c r="N132" t="str">
        <f>IFERROR(ISCAM_Score!AC133,"")</f>
        <v>⬜  Riesgo Latente</v>
      </c>
      <c r="O132" t="s">
        <v>100</v>
      </c>
    </row>
    <row r="133" spans="1:15" ht="16.05" customHeight="1" x14ac:dyDescent="0.3">
      <c r="A133" t="s">
        <v>338</v>
      </c>
      <c r="B133" t="s">
        <v>339</v>
      </c>
      <c r="C133" s="36">
        <f>IFERROR(ISCAM_Score!AL134,"—")</f>
        <v>0</v>
      </c>
      <c r="D133" t="str">
        <f t="shared" si="8"/>
        <v>🔴  Crítico</v>
      </c>
      <c r="E133">
        <f t="shared" si="9"/>
        <v>1</v>
      </c>
      <c r="F133">
        <f>IFERROR(MATRIZ_174!L133,0)</f>
        <v>0</v>
      </c>
      <c r="G133">
        <f>IFERROR(MATRIZ_174!M133,0)</f>
        <v>0</v>
      </c>
      <c r="H133">
        <v>0</v>
      </c>
      <c r="I133">
        <v>0</v>
      </c>
      <c r="J133">
        <v>0</v>
      </c>
      <c r="K133">
        <f>IFERROR(INDEX(MATRIZ_174!$U:$U,MATCH(A133,MATRIZ_174!$A:$A,0)),"")</f>
        <v>0</v>
      </c>
      <c r="L133">
        <f>IFERROR(MATRIZ_174!O133,0)</f>
        <v>0</v>
      </c>
      <c r="M133">
        <v>0</v>
      </c>
      <c r="N133" t="str">
        <f>IFERROR(ISCAM_Score!AC134,"")</f>
        <v>⬜  Riesgo Latente</v>
      </c>
      <c r="O133" t="s">
        <v>95</v>
      </c>
    </row>
    <row r="134" spans="1:15" ht="16.05" customHeight="1" x14ac:dyDescent="0.3">
      <c r="A134" t="s">
        <v>340</v>
      </c>
      <c r="B134" t="s">
        <v>341</v>
      </c>
      <c r="C134" s="36">
        <f>IFERROR(ISCAM_Score!AL135,"—")</f>
        <v>0</v>
      </c>
      <c r="D134" t="str">
        <f t="shared" si="8"/>
        <v>🔴  Crítico</v>
      </c>
      <c r="E134">
        <f t="shared" si="9"/>
        <v>1</v>
      </c>
      <c r="F134">
        <v>0</v>
      </c>
      <c r="G134">
        <f>IFERROR(MATRIZ_174!M134,0)</f>
        <v>0</v>
      </c>
      <c r="H134">
        <v>0</v>
      </c>
      <c r="I134">
        <v>0</v>
      </c>
      <c r="J134">
        <v>0</v>
      </c>
      <c r="K134">
        <f>IFERROR(INDEX(MATRIZ_174!$U:$U,MATCH(A134,MATRIZ_174!$A:$A,0)),"")</f>
        <v>0</v>
      </c>
      <c r="L134">
        <f>IFERROR(MATRIZ_174!O134,0)</f>
        <v>0</v>
      </c>
      <c r="M134">
        <v>0</v>
      </c>
      <c r="N134" t="str">
        <f>IFERROR(ISCAM_Score!AC135,"")</f>
        <v>🔴  Riesgo Crítico</v>
      </c>
      <c r="O134" t="s">
        <v>71</v>
      </c>
    </row>
    <row r="135" spans="1:15" ht="16.05" customHeight="1" x14ac:dyDescent="0.3">
      <c r="A135" t="s">
        <v>342</v>
      </c>
      <c r="B135" t="s">
        <v>343</v>
      </c>
      <c r="C135" s="36">
        <f>IFERROR(ISCAM_Score!AL136,"—")</f>
        <v>0</v>
      </c>
      <c r="D135" t="str">
        <f t="shared" si="8"/>
        <v>🔴  Crítico</v>
      </c>
      <c r="E135">
        <f t="shared" si="9"/>
        <v>1</v>
      </c>
      <c r="F135">
        <v>4575551.37</v>
      </c>
      <c r="G135">
        <f>IFERROR(MATRIZ_174!M135,0)</f>
        <v>66.900000000000006</v>
      </c>
      <c r="H135">
        <v>0</v>
      </c>
      <c r="I135">
        <v>0</v>
      </c>
      <c r="J135">
        <v>0</v>
      </c>
      <c r="K135">
        <f>IFERROR(INDEX(MATRIZ_174!$U:$U,MATCH(A135,MATRIZ_174!$A:$A,0)),"")</f>
        <v>1</v>
      </c>
      <c r="L135">
        <f>IFERROR(MATRIZ_174!O135,0)</f>
        <v>0</v>
      </c>
      <c r="M135">
        <v>0</v>
      </c>
      <c r="N135" t="str">
        <f>IFERROR(ISCAM_Score!AC136,"")</f>
        <v>🔴  Riesgo Crítico</v>
      </c>
      <c r="O135" t="s">
        <v>129</v>
      </c>
    </row>
    <row r="136" spans="1:15" ht="16.05" customHeight="1" x14ac:dyDescent="0.3">
      <c r="A136" t="s">
        <v>344</v>
      </c>
      <c r="B136" t="s">
        <v>345</v>
      </c>
      <c r="C136" s="36">
        <f>IFERROR(ISCAM_Score!AL137,"—")</f>
        <v>0</v>
      </c>
      <c r="D136" t="str">
        <f t="shared" si="8"/>
        <v>🔴  Crítico</v>
      </c>
      <c r="E136">
        <f t="shared" si="9"/>
        <v>1</v>
      </c>
      <c r="F136">
        <f>IFERROR(MATRIZ_174!L136,0)</f>
        <v>0</v>
      </c>
      <c r="G136">
        <f>IFERROR(MATRIZ_174!M136,0)</f>
        <v>0</v>
      </c>
      <c r="H136">
        <v>0</v>
      </c>
      <c r="I136">
        <v>0</v>
      </c>
      <c r="J136">
        <v>0</v>
      </c>
      <c r="K136">
        <f>IFERROR(INDEX(MATRIZ_174!$U:$U,MATCH(A136,MATRIZ_174!$A:$A,0)),"")</f>
        <v>0</v>
      </c>
      <c r="L136">
        <f>IFERROR(MATRIZ_174!O136,0)</f>
        <v>0</v>
      </c>
      <c r="M136">
        <v>0</v>
      </c>
      <c r="N136" t="str">
        <f>IFERROR(ISCAM_Score!AC137,"")</f>
        <v>⬜  Riesgo Latente</v>
      </c>
      <c r="O136" t="s">
        <v>71</v>
      </c>
    </row>
    <row r="137" spans="1:15" ht="16.05" customHeight="1" x14ac:dyDescent="0.3">
      <c r="A137" t="s">
        <v>346</v>
      </c>
      <c r="B137" t="s">
        <v>347</v>
      </c>
      <c r="C137" s="36">
        <f>IFERROR(ISCAM_Score!AL138,"—")</f>
        <v>0</v>
      </c>
      <c r="D137" t="str">
        <f t="shared" si="8"/>
        <v>🔴  Crítico</v>
      </c>
      <c r="E137">
        <f t="shared" si="9"/>
        <v>1</v>
      </c>
      <c r="F137">
        <f>IFERROR(MATRIZ_174!L137,0)</f>
        <v>0</v>
      </c>
      <c r="G137">
        <f>IFERROR(MATRIZ_174!M137,0)</f>
        <v>0</v>
      </c>
      <c r="H137">
        <v>0</v>
      </c>
      <c r="I137">
        <v>0</v>
      </c>
      <c r="J137">
        <v>0</v>
      </c>
      <c r="K137">
        <f>IFERROR(INDEX(MATRIZ_174!$U:$U,MATCH(A137,MATRIZ_174!$A:$A,0)),"")</f>
        <v>0</v>
      </c>
      <c r="L137">
        <f>IFERROR(MATRIZ_174!O137,0)</f>
        <v>0</v>
      </c>
      <c r="M137">
        <v>0</v>
      </c>
      <c r="N137" t="str">
        <f>IFERROR(ISCAM_Score!AC138,"")</f>
        <v>⬜  Riesgo Latente</v>
      </c>
      <c r="O137" t="s">
        <v>74</v>
      </c>
    </row>
    <row r="138" spans="1:15" ht="16.05" customHeight="1" x14ac:dyDescent="0.3">
      <c r="A138" t="s">
        <v>348</v>
      </c>
      <c r="B138" t="s">
        <v>349</v>
      </c>
      <c r="C138" s="36">
        <f>IFERROR(ISCAM_Score!AL139,"—")</f>
        <v>0</v>
      </c>
      <c r="D138" t="str">
        <f t="shared" si="8"/>
        <v>🔴  Crítico</v>
      </c>
      <c r="E138">
        <f t="shared" si="9"/>
        <v>1</v>
      </c>
      <c r="F138">
        <v>80500</v>
      </c>
      <c r="G138">
        <f>IFERROR(MATRIZ_174!M138,0)</f>
        <v>50</v>
      </c>
      <c r="H138">
        <v>0</v>
      </c>
      <c r="I138">
        <v>0</v>
      </c>
      <c r="J138">
        <v>0</v>
      </c>
      <c r="K138">
        <f>IFERROR(INDEX(MATRIZ_174!$U:$U,MATCH(A138,MATRIZ_174!$A:$A,0)),"")</f>
        <v>1</v>
      </c>
      <c r="L138">
        <f>IFERROR(MATRIZ_174!O138,0)</f>
        <v>0</v>
      </c>
      <c r="M138">
        <v>0</v>
      </c>
      <c r="N138" t="str">
        <f>IFERROR(ISCAM_Score!AC139,"")</f>
        <v>⬜  Riesgo Latente</v>
      </c>
      <c r="O138" t="s">
        <v>103</v>
      </c>
    </row>
    <row r="139" spans="1:15" ht="16.05" customHeight="1" x14ac:dyDescent="0.3">
      <c r="A139" t="s">
        <v>350</v>
      </c>
      <c r="B139" t="s">
        <v>351</v>
      </c>
      <c r="C139" s="36">
        <f>IFERROR(ISCAM_Score!AL140,"—")</f>
        <v>0</v>
      </c>
      <c r="D139" t="str">
        <f t="shared" si="8"/>
        <v>🔴  Crítico</v>
      </c>
      <c r="E139">
        <f t="shared" si="9"/>
        <v>1</v>
      </c>
      <c r="F139">
        <f>IFERROR(MATRIZ_174!L139,0)</f>
        <v>0</v>
      </c>
      <c r="G139">
        <f>IFERROR(MATRIZ_174!M139,0)</f>
        <v>0</v>
      </c>
      <c r="H139">
        <v>0</v>
      </c>
      <c r="I139">
        <v>0</v>
      </c>
      <c r="J139">
        <v>0</v>
      </c>
      <c r="K139">
        <f>IFERROR(INDEX(MATRIZ_174!$U:$U,MATCH(A139,MATRIZ_174!$A:$A,0)),"")</f>
        <v>0</v>
      </c>
      <c r="L139">
        <f>IFERROR(MATRIZ_174!O139,0)</f>
        <v>0</v>
      </c>
      <c r="M139">
        <v>0</v>
      </c>
      <c r="N139" t="str">
        <f>IFERROR(ISCAM_Score!AC140,"")</f>
        <v>⬜  Riesgo Latente</v>
      </c>
      <c r="O139" t="s">
        <v>182</v>
      </c>
    </row>
    <row r="140" spans="1:15" ht="16.05" customHeight="1" x14ac:dyDescent="0.3">
      <c r="A140" t="s">
        <v>352</v>
      </c>
      <c r="B140" t="s">
        <v>353</v>
      </c>
      <c r="C140" s="36">
        <f>IFERROR(ISCAM_Score!AL141,"—")</f>
        <v>0</v>
      </c>
      <c r="D140" t="str">
        <f t="shared" si="8"/>
        <v>🔴  Crítico</v>
      </c>
      <c r="E140">
        <f t="shared" si="9"/>
        <v>1</v>
      </c>
      <c r="F140">
        <f>IFERROR(MATRIZ_174!L140,0)</f>
        <v>0</v>
      </c>
      <c r="G140">
        <f>IFERROR(MATRIZ_174!M140,0)</f>
        <v>0</v>
      </c>
      <c r="H140">
        <v>0</v>
      </c>
      <c r="I140">
        <v>0</v>
      </c>
      <c r="J140">
        <v>0</v>
      </c>
      <c r="K140">
        <f>IFERROR(INDEX(MATRIZ_174!$U:$U,MATCH(A140,MATRIZ_174!$A:$A,0)),"")</f>
        <v>0</v>
      </c>
      <c r="L140">
        <f>IFERROR(MATRIZ_174!O140,0)</f>
        <v>0</v>
      </c>
      <c r="M140">
        <v>0</v>
      </c>
      <c r="N140" t="str">
        <f>IFERROR(ISCAM_Score!AC141,"")</f>
        <v>⬜  Riesgo Latente</v>
      </c>
      <c r="O140" t="s">
        <v>71</v>
      </c>
    </row>
    <row r="141" spans="1:15" ht="16.05" customHeight="1" x14ac:dyDescent="0.3">
      <c r="A141" t="s">
        <v>354</v>
      </c>
      <c r="B141" t="s">
        <v>355</v>
      </c>
      <c r="C141" s="36">
        <f>IFERROR(ISCAM_Score!AL142,"—")</f>
        <v>0</v>
      </c>
      <c r="D141" t="str">
        <f t="shared" si="8"/>
        <v>🔴  Crítico</v>
      </c>
      <c r="E141">
        <f t="shared" si="9"/>
        <v>1</v>
      </c>
      <c r="F141">
        <f>IFERROR(MATRIZ_174!L141,0)</f>
        <v>0</v>
      </c>
      <c r="G141">
        <f>IFERROR(MATRIZ_174!M141,0)</f>
        <v>0</v>
      </c>
      <c r="H141">
        <v>0</v>
      </c>
      <c r="I141">
        <v>0</v>
      </c>
      <c r="J141">
        <v>0</v>
      </c>
      <c r="K141">
        <f>IFERROR(INDEX(MATRIZ_174!$U:$U,MATCH(A141,MATRIZ_174!$A:$A,0)),"")</f>
        <v>0</v>
      </c>
      <c r="L141">
        <f>IFERROR(MATRIZ_174!O141,0)</f>
        <v>0</v>
      </c>
      <c r="M141">
        <v>0</v>
      </c>
      <c r="N141" t="str">
        <f>IFERROR(ISCAM_Score!AC142,"")</f>
        <v>⬜  Riesgo Latente</v>
      </c>
      <c r="O141" t="s">
        <v>74</v>
      </c>
    </row>
    <row r="142" spans="1:15" ht="16.05" customHeight="1" x14ac:dyDescent="0.3">
      <c r="A142" t="s">
        <v>356</v>
      </c>
      <c r="B142" t="s">
        <v>357</v>
      </c>
      <c r="C142" s="36">
        <f>IFERROR(ISCAM_Score!AL143,"—")</f>
        <v>0</v>
      </c>
      <c r="D142" t="str">
        <f t="shared" si="8"/>
        <v>🔴  Crítico</v>
      </c>
      <c r="E142">
        <f t="shared" si="9"/>
        <v>1</v>
      </c>
      <c r="F142">
        <f>IFERROR(MATRIZ_174!L142,0)</f>
        <v>0</v>
      </c>
      <c r="G142">
        <f>IFERROR(MATRIZ_174!M142,0)</f>
        <v>0</v>
      </c>
      <c r="H142">
        <v>0</v>
      </c>
      <c r="I142">
        <v>0</v>
      </c>
      <c r="J142">
        <v>0</v>
      </c>
      <c r="K142">
        <f>IFERROR(INDEX(MATRIZ_174!$U:$U,MATCH(A142,MATRIZ_174!$A:$A,0)),"")</f>
        <v>0</v>
      </c>
      <c r="L142">
        <f>IFERROR(MATRIZ_174!O142,0)</f>
        <v>0</v>
      </c>
      <c r="M142">
        <v>0</v>
      </c>
      <c r="N142" t="str">
        <f>IFERROR(ISCAM_Score!AC143,"")</f>
        <v>⬜  Riesgo Latente</v>
      </c>
      <c r="O142" t="s">
        <v>74</v>
      </c>
    </row>
    <row r="143" spans="1:15" ht="16.05" customHeight="1" x14ac:dyDescent="0.3">
      <c r="A143" t="s">
        <v>358</v>
      </c>
      <c r="B143" t="s">
        <v>359</v>
      </c>
      <c r="C143" s="36">
        <f>IFERROR(ISCAM_Score!AL144,"—")</f>
        <v>0</v>
      </c>
      <c r="D143" t="str">
        <f t="shared" si="8"/>
        <v>🔴  Crítico</v>
      </c>
      <c r="E143">
        <f t="shared" si="9"/>
        <v>1</v>
      </c>
      <c r="F143">
        <v>852880.44</v>
      </c>
      <c r="G143">
        <f>IFERROR(MATRIZ_174!M143,0)</f>
        <v>71</v>
      </c>
      <c r="H143">
        <v>0</v>
      </c>
      <c r="I143">
        <v>0</v>
      </c>
      <c r="J143">
        <v>0</v>
      </c>
      <c r="K143">
        <f>IFERROR(INDEX(MATRIZ_174!$U:$U,MATCH(A143,MATRIZ_174!$A:$A,0)),"")</f>
        <v>1</v>
      </c>
      <c r="L143">
        <f>IFERROR(MATRIZ_174!O143,0)</f>
        <v>0</v>
      </c>
      <c r="M143">
        <v>0</v>
      </c>
      <c r="N143" t="str">
        <f>IFERROR(ISCAM_Score!AC144,"")</f>
        <v>🔴  Riesgo Crítico</v>
      </c>
      <c r="O143" t="s">
        <v>129</v>
      </c>
    </row>
    <row r="144" spans="1:15" ht="16.05" customHeight="1" x14ac:dyDescent="0.3">
      <c r="A144" t="s">
        <v>360</v>
      </c>
      <c r="B144" t="s">
        <v>361</v>
      </c>
      <c r="C144" s="36">
        <f>IFERROR(ISCAM_Score!AL145,"—")</f>
        <v>0</v>
      </c>
      <c r="D144" t="str">
        <f t="shared" si="8"/>
        <v>🔴  Crítico</v>
      </c>
      <c r="E144">
        <f t="shared" si="9"/>
        <v>1</v>
      </c>
      <c r="F144">
        <f>IFERROR(MATRIZ_174!L144,0)</f>
        <v>0</v>
      </c>
      <c r="G144">
        <f>IFERROR(MATRIZ_174!M144,0)</f>
        <v>0</v>
      </c>
      <c r="H144">
        <v>0</v>
      </c>
      <c r="I144">
        <v>0</v>
      </c>
      <c r="J144">
        <v>0</v>
      </c>
      <c r="K144">
        <f>IFERROR(INDEX(MATRIZ_174!$U:$U,MATCH(A144,MATRIZ_174!$A:$A,0)),"")</f>
        <v>0</v>
      </c>
      <c r="L144">
        <f>IFERROR(MATRIZ_174!O144,0)</f>
        <v>0</v>
      </c>
      <c r="M144">
        <v>0</v>
      </c>
      <c r="N144" t="str">
        <f>IFERROR(ISCAM_Score!AC145,"")</f>
        <v>⬜  Riesgo Latente</v>
      </c>
      <c r="O144" t="s">
        <v>74</v>
      </c>
    </row>
    <row r="145" spans="1:15" ht="16.05" customHeight="1" x14ac:dyDescent="0.3">
      <c r="A145" t="s">
        <v>362</v>
      </c>
      <c r="B145" t="s">
        <v>363</v>
      </c>
      <c r="C145" s="36">
        <f>IFERROR(ISCAM_Score!AL146,"—")</f>
        <v>0</v>
      </c>
      <c r="D145" t="str">
        <f t="shared" si="8"/>
        <v>🔴  Crítico</v>
      </c>
      <c r="E145">
        <f t="shared" si="9"/>
        <v>1</v>
      </c>
      <c r="F145">
        <f>IFERROR(MATRIZ_174!L145,0)</f>
        <v>0</v>
      </c>
      <c r="G145">
        <f>IFERROR(MATRIZ_174!M145,0)</f>
        <v>0</v>
      </c>
      <c r="H145">
        <v>0</v>
      </c>
      <c r="I145">
        <v>0</v>
      </c>
      <c r="J145">
        <v>0</v>
      </c>
      <c r="K145">
        <f>IFERROR(INDEX(MATRIZ_174!$U:$U,MATCH(A145,MATRIZ_174!$A:$A,0)),"")</f>
        <v>0</v>
      </c>
      <c r="L145">
        <f>IFERROR(MATRIZ_174!O145,0)</f>
        <v>0</v>
      </c>
      <c r="M145">
        <v>0</v>
      </c>
      <c r="N145" t="str">
        <f>IFERROR(ISCAM_Score!AC146,"")</f>
        <v>⬜  Riesgo Latente</v>
      </c>
      <c r="O145" t="s">
        <v>74</v>
      </c>
    </row>
    <row r="146" spans="1:15" ht="16.05" customHeight="1" x14ac:dyDescent="0.3">
      <c r="A146" t="s">
        <v>364</v>
      </c>
      <c r="B146" t="s">
        <v>365</v>
      </c>
      <c r="C146" s="36">
        <f>IFERROR(ISCAM_Score!AL147,"—")</f>
        <v>0</v>
      </c>
      <c r="D146" t="str">
        <f t="shared" si="8"/>
        <v>🔴  Crítico</v>
      </c>
      <c r="E146">
        <f t="shared" si="9"/>
        <v>1</v>
      </c>
      <c r="F146">
        <v>332555.15999999997</v>
      </c>
      <c r="G146">
        <f>IFERROR(MATRIZ_174!M146,0)</f>
        <v>100</v>
      </c>
      <c r="H146">
        <v>0</v>
      </c>
      <c r="I146">
        <v>0</v>
      </c>
      <c r="J146">
        <v>0</v>
      </c>
      <c r="K146">
        <f>IFERROR(INDEX(MATRIZ_174!$U:$U,MATCH(A146,MATRIZ_174!$A:$A,0)),"")</f>
        <v>1</v>
      </c>
      <c r="L146">
        <f>IFERROR(MATRIZ_174!O146,0)</f>
        <v>0</v>
      </c>
      <c r="M146">
        <v>0</v>
      </c>
      <c r="N146" t="str">
        <f>IFERROR(ISCAM_Score!AC147,"")</f>
        <v>🔴  Riesgo Crítico</v>
      </c>
      <c r="O146" t="s">
        <v>71</v>
      </c>
    </row>
    <row r="147" spans="1:15" ht="16.05" customHeight="1" x14ac:dyDescent="0.3">
      <c r="A147" t="s">
        <v>366</v>
      </c>
      <c r="B147" t="s">
        <v>367</v>
      </c>
      <c r="C147" s="36">
        <f>IFERROR(ISCAM_Score!AL148,"—")</f>
        <v>0</v>
      </c>
      <c r="D147" t="str">
        <f t="shared" si="8"/>
        <v>🔴  Crítico</v>
      </c>
      <c r="E147">
        <f t="shared" si="9"/>
        <v>1</v>
      </c>
      <c r="F147">
        <v>271980.69</v>
      </c>
      <c r="G147">
        <f>IFERROR(MATRIZ_174!M147,0)</f>
        <v>50</v>
      </c>
      <c r="H147">
        <v>0</v>
      </c>
      <c r="I147">
        <v>0</v>
      </c>
      <c r="J147">
        <v>0</v>
      </c>
      <c r="K147">
        <f>IFERROR(INDEX(MATRIZ_174!$U:$U,MATCH(A147,MATRIZ_174!$A:$A,0)),"")</f>
        <v>1</v>
      </c>
      <c r="L147">
        <f>IFERROR(MATRIZ_174!O147,0)</f>
        <v>0</v>
      </c>
      <c r="M147">
        <v>0</v>
      </c>
      <c r="N147" t="str">
        <f>IFERROR(ISCAM_Score!AC148,"")</f>
        <v>⬜  Riesgo Latente</v>
      </c>
      <c r="O147" t="s">
        <v>230</v>
      </c>
    </row>
    <row r="148" spans="1:15" ht="16.05" customHeight="1" x14ac:dyDescent="0.3">
      <c r="A148" t="s">
        <v>368</v>
      </c>
      <c r="B148" t="s">
        <v>369</v>
      </c>
      <c r="C148" s="36">
        <f>IFERROR(ISCAM_Score!AL149,"—")</f>
        <v>0</v>
      </c>
      <c r="D148" t="str">
        <f t="shared" si="8"/>
        <v>🔴  Crítico</v>
      </c>
      <c r="E148">
        <f t="shared" si="9"/>
        <v>1</v>
      </c>
      <c r="F148">
        <f>IFERROR(MATRIZ_174!L148,0)</f>
        <v>0</v>
      </c>
      <c r="G148">
        <f>IFERROR(MATRIZ_174!M148,0)</f>
        <v>0</v>
      </c>
      <c r="H148">
        <v>0</v>
      </c>
      <c r="I148">
        <v>0</v>
      </c>
      <c r="J148">
        <v>0</v>
      </c>
      <c r="K148">
        <f>IFERROR(INDEX(MATRIZ_174!$U:$U,MATCH(A148,MATRIZ_174!$A:$A,0)),"")</f>
        <v>0</v>
      </c>
      <c r="L148">
        <f>IFERROR(MATRIZ_174!O148,0)</f>
        <v>0</v>
      </c>
      <c r="M148">
        <v>0</v>
      </c>
      <c r="N148" t="str">
        <f>IFERROR(ISCAM_Score!AC149,"")</f>
        <v>⬜  Riesgo Latente</v>
      </c>
      <c r="O148" t="s">
        <v>74</v>
      </c>
    </row>
    <row r="149" spans="1:15" ht="16.05" customHeight="1" x14ac:dyDescent="0.3">
      <c r="A149" t="s">
        <v>370</v>
      </c>
      <c r="B149" t="s">
        <v>371</v>
      </c>
      <c r="C149" s="36">
        <f>IFERROR(ISCAM_Score!AL150,"—")</f>
        <v>0</v>
      </c>
      <c r="D149" t="str">
        <f t="shared" si="8"/>
        <v>🔴  Crítico</v>
      </c>
      <c r="E149">
        <f t="shared" si="9"/>
        <v>1</v>
      </c>
      <c r="F149">
        <v>0</v>
      </c>
      <c r="G149">
        <f>IFERROR(MATRIZ_174!M149,0)</f>
        <v>0</v>
      </c>
      <c r="H149">
        <v>0</v>
      </c>
      <c r="I149">
        <v>0</v>
      </c>
      <c r="J149">
        <v>0</v>
      </c>
      <c r="K149">
        <f>IFERROR(INDEX(MATRIZ_174!$U:$U,MATCH(A149,MATRIZ_174!$A:$A,0)),"")</f>
        <v>0</v>
      </c>
      <c r="L149">
        <f>IFERROR(MATRIZ_174!O149,0)</f>
        <v>1</v>
      </c>
      <c r="M149">
        <v>0</v>
      </c>
      <c r="N149" t="str">
        <f>IFERROR(ISCAM_Score!AC150,"")</f>
        <v>⬜  Riesgo Latente</v>
      </c>
      <c r="O149" t="s">
        <v>140</v>
      </c>
    </row>
    <row r="150" spans="1:15" ht="16.05" customHeight="1" x14ac:dyDescent="0.3">
      <c r="A150" t="s">
        <v>372</v>
      </c>
      <c r="B150" t="s">
        <v>373</v>
      </c>
      <c r="C150" s="36">
        <f>IFERROR(ISCAM_Score!AL151,"—")</f>
        <v>0</v>
      </c>
      <c r="D150" t="str">
        <f t="shared" si="8"/>
        <v>🔴  Crítico</v>
      </c>
      <c r="E150">
        <f t="shared" si="9"/>
        <v>1</v>
      </c>
      <c r="F150">
        <f>IFERROR(MATRIZ_174!L150,0)</f>
        <v>0</v>
      </c>
      <c r="G150">
        <f>IFERROR(MATRIZ_174!M150,0)</f>
        <v>0</v>
      </c>
      <c r="H150">
        <v>0</v>
      </c>
      <c r="I150">
        <v>0</v>
      </c>
      <c r="J150">
        <v>0</v>
      </c>
      <c r="K150">
        <f>IFERROR(INDEX(MATRIZ_174!$U:$U,MATCH(A150,MATRIZ_174!$A:$A,0)),"")</f>
        <v>0</v>
      </c>
      <c r="L150">
        <f>IFERROR(MATRIZ_174!O150,0)</f>
        <v>0</v>
      </c>
      <c r="M150">
        <v>0</v>
      </c>
      <c r="N150" t="str">
        <f>IFERROR(ISCAM_Score!AC151,"")</f>
        <v>⬜  Riesgo Latente</v>
      </c>
      <c r="O150" t="s">
        <v>95</v>
      </c>
    </row>
    <row r="151" spans="1:15" ht="16.05" customHeight="1" x14ac:dyDescent="0.3">
      <c r="A151" t="s">
        <v>374</v>
      </c>
      <c r="B151" t="s">
        <v>375</v>
      </c>
      <c r="C151" s="36">
        <f>IFERROR(ISCAM_Score!AL152,"—")</f>
        <v>0</v>
      </c>
      <c r="D151" t="str">
        <f t="shared" si="8"/>
        <v>🔴  Crítico</v>
      </c>
      <c r="E151">
        <f t="shared" si="9"/>
        <v>1</v>
      </c>
      <c r="F151">
        <f>IFERROR(MATRIZ_174!L151,0)</f>
        <v>0</v>
      </c>
      <c r="G151">
        <f>IFERROR(MATRIZ_174!M151,0)</f>
        <v>0</v>
      </c>
      <c r="H151">
        <v>0</v>
      </c>
      <c r="I151">
        <v>0</v>
      </c>
      <c r="J151">
        <v>0</v>
      </c>
      <c r="K151">
        <f>IFERROR(INDEX(MATRIZ_174!$U:$U,MATCH(A151,MATRIZ_174!$A:$A,0)),"")</f>
        <v>0</v>
      </c>
      <c r="L151">
        <f>IFERROR(MATRIZ_174!O151,0)</f>
        <v>0</v>
      </c>
      <c r="M151">
        <v>0</v>
      </c>
      <c r="N151" t="str">
        <f>IFERROR(ISCAM_Score!AC152,"")</f>
        <v>⬜  Riesgo Latente</v>
      </c>
      <c r="O151" t="s">
        <v>169</v>
      </c>
    </row>
    <row r="152" spans="1:15" ht="16.05" customHeight="1" x14ac:dyDescent="0.3">
      <c r="A152" t="s">
        <v>376</v>
      </c>
      <c r="B152" t="s">
        <v>377</v>
      </c>
      <c r="C152" s="36">
        <f>IFERROR(ISCAM_Score!AL153,"—")</f>
        <v>0</v>
      </c>
      <c r="D152" t="str">
        <f t="shared" si="8"/>
        <v>🔴  Crítico</v>
      </c>
      <c r="E152">
        <f t="shared" si="9"/>
        <v>1</v>
      </c>
      <c r="F152">
        <f>IFERROR(MATRIZ_174!L152,0)</f>
        <v>0</v>
      </c>
      <c r="G152">
        <f>IFERROR(MATRIZ_174!M152,0)</f>
        <v>0</v>
      </c>
      <c r="H152">
        <v>0</v>
      </c>
      <c r="I152">
        <v>0</v>
      </c>
      <c r="J152">
        <v>0</v>
      </c>
      <c r="K152">
        <f>IFERROR(INDEX(MATRIZ_174!$U:$U,MATCH(A152,MATRIZ_174!$A:$A,0)),"")</f>
        <v>0</v>
      </c>
      <c r="L152">
        <f>IFERROR(MATRIZ_174!O152,0)</f>
        <v>0</v>
      </c>
      <c r="M152">
        <v>0</v>
      </c>
      <c r="N152" t="str">
        <f>IFERROR(ISCAM_Score!AC153,"")</f>
        <v>⬜  Riesgo Latente</v>
      </c>
      <c r="O152" t="s">
        <v>74</v>
      </c>
    </row>
    <row r="153" spans="1:15" ht="16.05" customHeight="1" x14ac:dyDescent="0.3">
      <c r="A153" t="s">
        <v>378</v>
      </c>
      <c r="B153" t="s">
        <v>379</v>
      </c>
      <c r="C153" s="36">
        <f>IFERROR(ISCAM_Score!AL154,"—")</f>
        <v>0</v>
      </c>
      <c r="D153" t="str">
        <f t="shared" si="8"/>
        <v>🔴  Crítico</v>
      </c>
      <c r="E153">
        <f t="shared" si="9"/>
        <v>1</v>
      </c>
      <c r="F153">
        <f>IFERROR(MATRIZ_174!L153,0)</f>
        <v>0</v>
      </c>
      <c r="G153">
        <f>IFERROR(MATRIZ_174!M153,0)</f>
        <v>0</v>
      </c>
      <c r="H153">
        <v>0</v>
      </c>
      <c r="I153">
        <v>0</v>
      </c>
      <c r="J153">
        <v>0</v>
      </c>
      <c r="K153">
        <f>IFERROR(INDEX(MATRIZ_174!$U:$U,MATCH(A153,MATRIZ_174!$A:$A,0)),"")</f>
        <v>0</v>
      </c>
      <c r="L153">
        <f>IFERROR(MATRIZ_174!O153,0)</f>
        <v>0</v>
      </c>
      <c r="M153">
        <v>0</v>
      </c>
      <c r="N153" t="str">
        <f>IFERROR(ISCAM_Score!AC154,"")</f>
        <v>⬜  Riesgo Latente</v>
      </c>
      <c r="O153" t="s">
        <v>74</v>
      </c>
    </row>
    <row r="154" spans="1:15" ht="16.05" customHeight="1" x14ac:dyDescent="0.3">
      <c r="A154" t="s">
        <v>380</v>
      </c>
      <c r="B154" t="s">
        <v>381</v>
      </c>
      <c r="C154" s="36">
        <f>IFERROR(ISCAM_Score!AL155,"—")</f>
        <v>0</v>
      </c>
      <c r="D154" t="str">
        <f t="shared" si="8"/>
        <v>🔴  Crítico</v>
      </c>
      <c r="E154">
        <f t="shared" si="9"/>
        <v>1</v>
      </c>
      <c r="F154">
        <f>IFERROR(MATRIZ_174!L154,0)</f>
        <v>0</v>
      </c>
      <c r="G154">
        <f>IFERROR(MATRIZ_174!M154,0)</f>
        <v>0</v>
      </c>
      <c r="H154">
        <v>0</v>
      </c>
      <c r="I154">
        <v>0</v>
      </c>
      <c r="J154">
        <v>0</v>
      </c>
      <c r="K154">
        <f>IFERROR(INDEX(MATRIZ_174!$U:$U,MATCH(A154,MATRIZ_174!$A:$A,0)),"")</f>
        <v>0</v>
      </c>
      <c r="L154">
        <f>IFERROR(MATRIZ_174!O154,0)</f>
        <v>0</v>
      </c>
      <c r="M154">
        <v>0</v>
      </c>
      <c r="N154" t="str">
        <f>IFERROR(ISCAM_Score!AC155,"")</f>
        <v>🔴  Riesgo Crítico</v>
      </c>
      <c r="O154" t="s">
        <v>71</v>
      </c>
    </row>
    <row r="155" spans="1:15" ht="16.05" customHeight="1" x14ac:dyDescent="0.3">
      <c r="A155" t="s">
        <v>382</v>
      </c>
      <c r="B155" t="s">
        <v>383</v>
      </c>
      <c r="C155" s="36">
        <f>IFERROR(ISCAM_Score!AL156,"—")</f>
        <v>0</v>
      </c>
      <c r="D155" t="str">
        <f t="shared" si="8"/>
        <v>🔴  Crítico</v>
      </c>
      <c r="E155">
        <f t="shared" si="9"/>
        <v>1</v>
      </c>
      <c r="F155">
        <f>IFERROR(MATRIZ_174!L155,0)</f>
        <v>0</v>
      </c>
      <c r="G155">
        <f>IFERROR(MATRIZ_174!M155,0)</f>
        <v>0</v>
      </c>
      <c r="H155">
        <v>0</v>
      </c>
      <c r="I155">
        <v>0</v>
      </c>
      <c r="J155">
        <v>0</v>
      </c>
      <c r="K155">
        <f>IFERROR(INDEX(MATRIZ_174!$U:$U,MATCH(A155,MATRIZ_174!$A:$A,0)),"")</f>
        <v>0</v>
      </c>
      <c r="L155">
        <f>IFERROR(MATRIZ_174!O155,0)</f>
        <v>0</v>
      </c>
      <c r="M155">
        <v>0</v>
      </c>
      <c r="N155" t="str">
        <f>IFERROR(ISCAM_Score!AC156,"")</f>
        <v>⬜  Riesgo Latente</v>
      </c>
      <c r="O155" t="s">
        <v>100</v>
      </c>
    </row>
    <row r="156" spans="1:15" ht="16.05" customHeight="1" x14ac:dyDescent="0.3">
      <c r="A156" t="s">
        <v>384</v>
      </c>
      <c r="B156" t="s">
        <v>385</v>
      </c>
      <c r="C156" s="36">
        <f>IFERROR(ISCAM_Score!AL157,"—")</f>
        <v>0</v>
      </c>
      <c r="D156" t="str">
        <f t="shared" si="8"/>
        <v>🔴  Crítico</v>
      </c>
      <c r="E156">
        <f t="shared" si="9"/>
        <v>1</v>
      </c>
      <c r="F156">
        <f>IFERROR(MATRIZ_174!L156,0)</f>
        <v>0</v>
      </c>
      <c r="G156">
        <f>IFERROR(MATRIZ_174!M156,0)</f>
        <v>0</v>
      </c>
      <c r="H156">
        <v>0</v>
      </c>
      <c r="I156">
        <v>0</v>
      </c>
      <c r="J156">
        <v>0</v>
      </c>
      <c r="K156">
        <f>IFERROR(INDEX(MATRIZ_174!$U:$U,MATCH(A156,MATRIZ_174!$A:$A,0)),"")</f>
        <v>0</v>
      </c>
      <c r="L156">
        <f>IFERROR(MATRIZ_174!O156,0)</f>
        <v>0</v>
      </c>
      <c r="M156">
        <v>0</v>
      </c>
      <c r="N156" t="str">
        <f>IFERROR(ISCAM_Score!AC157,"")</f>
        <v>⬜  Riesgo Latente</v>
      </c>
      <c r="O156" t="s">
        <v>169</v>
      </c>
    </row>
    <row r="157" spans="1:15" ht="16.05" customHeight="1" x14ac:dyDescent="0.3">
      <c r="A157" t="s">
        <v>386</v>
      </c>
      <c r="B157" t="s">
        <v>387</v>
      </c>
      <c r="C157" s="36">
        <f>IFERROR(ISCAM_Score!AL158,"—")</f>
        <v>0</v>
      </c>
      <c r="D157" t="str">
        <f t="shared" si="8"/>
        <v>🔴  Crítico</v>
      </c>
      <c r="E157">
        <f t="shared" si="9"/>
        <v>1</v>
      </c>
      <c r="F157">
        <v>76135.47</v>
      </c>
      <c r="G157">
        <f>IFERROR(MATRIZ_174!M157,0)</f>
        <v>8.1</v>
      </c>
      <c r="H157">
        <v>0</v>
      </c>
      <c r="I157">
        <v>0</v>
      </c>
      <c r="J157">
        <v>0</v>
      </c>
      <c r="K157">
        <f>IFERROR(INDEX(MATRIZ_174!$U:$U,MATCH(A157,MATRIZ_174!$A:$A,0)),"")</f>
        <v>1</v>
      </c>
      <c r="L157">
        <f>IFERROR(MATRIZ_174!O157,0)</f>
        <v>0</v>
      </c>
      <c r="M157">
        <v>0</v>
      </c>
      <c r="N157" t="str">
        <f>IFERROR(ISCAM_Score!AC158,"")</f>
        <v>🔴  Riesgo Crítico</v>
      </c>
      <c r="O157" t="s">
        <v>129</v>
      </c>
    </row>
    <row r="158" spans="1:15" ht="16.05" customHeight="1" x14ac:dyDescent="0.3">
      <c r="A158" t="s">
        <v>388</v>
      </c>
      <c r="B158" t="s">
        <v>389</v>
      </c>
      <c r="C158" s="36">
        <f>IFERROR(ISCAM_Score!AL159,"—")</f>
        <v>0</v>
      </c>
      <c r="D158" t="str">
        <f t="shared" si="8"/>
        <v>🔴  Crítico</v>
      </c>
      <c r="E158">
        <f t="shared" si="9"/>
        <v>1</v>
      </c>
      <c r="F158">
        <f>IFERROR(MATRIZ_174!L158,0)</f>
        <v>0</v>
      </c>
      <c r="G158">
        <f>IFERROR(MATRIZ_174!M158,0)</f>
        <v>0</v>
      </c>
      <c r="H158">
        <v>0</v>
      </c>
      <c r="I158">
        <v>0</v>
      </c>
      <c r="J158">
        <v>0</v>
      </c>
      <c r="K158">
        <f>IFERROR(INDEX(MATRIZ_174!$U:$U,MATCH(A158,MATRIZ_174!$A:$A,0)),"")</f>
        <v>0</v>
      </c>
      <c r="L158">
        <f>IFERROR(MATRIZ_174!O158,0)</f>
        <v>0</v>
      </c>
      <c r="M158">
        <v>0</v>
      </c>
      <c r="N158" t="str">
        <f>IFERROR(ISCAM_Score!AC159,"")</f>
        <v>⬜  Riesgo Latente</v>
      </c>
      <c r="O158" t="s">
        <v>71</v>
      </c>
    </row>
    <row r="159" spans="1:15" ht="16.05" customHeight="1" x14ac:dyDescent="0.3">
      <c r="A159" t="s">
        <v>390</v>
      </c>
      <c r="B159" t="s">
        <v>391</v>
      </c>
      <c r="C159" s="36">
        <f>IFERROR(ISCAM_Score!AL160,"—")</f>
        <v>0</v>
      </c>
      <c r="D159" t="str">
        <f t="shared" si="8"/>
        <v>🔴  Crítico</v>
      </c>
      <c r="E159">
        <f t="shared" si="9"/>
        <v>1</v>
      </c>
      <c r="F159">
        <f>IFERROR(MATRIZ_174!L159,0)</f>
        <v>0</v>
      </c>
      <c r="G159">
        <f>IFERROR(MATRIZ_174!M159,0)</f>
        <v>0</v>
      </c>
      <c r="H159">
        <v>0</v>
      </c>
      <c r="I159">
        <v>0</v>
      </c>
      <c r="J159">
        <v>0</v>
      </c>
      <c r="K159">
        <f>IFERROR(INDEX(MATRIZ_174!$U:$U,MATCH(A159,MATRIZ_174!$A:$A,0)),"")</f>
        <v>0</v>
      </c>
      <c r="L159">
        <f>IFERROR(MATRIZ_174!O159,0)</f>
        <v>0</v>
      </c>
      <c r="M159">
        <v>0</v>
      </c>
      <c r="N159" t="str">
        <f>IFERROR(ISCAM_Score!AC160,"")</f>
        <v>⬜  Riesgo Latente</v>
      </c>
      <c r="O159" t="s">
        <v>129</v>
      </c>
    </row>
    <row r="160" spans="1:15" ht="16.05" customHeight="1" x14ac:dyDescent="0.3">
      <c r="A160" t="s">
        <v>392</v>
      </c>
      <c r="B160" t="s">
        <v>393</v>
      </c>
      <c r="C160" s="36">
        <f>IFERROR(ISCAM_Score!AL161,"—")</f>
        <v>0</v>
      </c>
      <c r="D160" t="str">
        <f t="shared" si="8"/>
        <v>🔴  Crítico</v>
      </c>
      <c r="E160">
        <f t="shared" si="9"/>
        <v>1</v>
      </c>
      <c r="F160">
        <f>IFERROR(MATRIZ_174!L160,0)</f>
        <v>0</v>
      </c>
      <c r="G160">
        <f>IFERROR(MATRIZ_174!M160,0)</f>
        <v>0</v>
      </c>
      <c r="H160">
        <v>0</v>
      </c>
      <c r="I160">
        <v>0</v>
      </c>
      <c r="J160">
        <v>0</v>
      </c>
      <c r="K160">
        <f>IFERROR(INDEX(MATRIZ_174!$U:$U,MATCH(A160,MATRIZ_174!$A:$A,0)),"")</f>
        <v>0</v>
      </c>
      <c r="L160">
        <f>IFERROR(MATRIZ_174!O160,0)</f>
        <v>0</v>
      </c>
      <c r="M160">
        <v>0</v>
      </c>
      <c r="N160" t="str">
        <f>IFERROR(ISCAM_Score!AC161,"")</f>
        <v>⬜  Riesgo Latente</v>
      </c>
      <c r="O160" t="s">
        <v>95</v>
      </c>
    </row>
    <row r="161" spans="1:15" ht="16.05" customHeight="1" x14ac:dyDescent="0.3">
      <c r="A161" t="s">
        <v>394</v>
      </c>
      <c r="B161" t="s">
        <v>395</v>
      </c>
      <c r="C161" s="36">
        <f>IFERROR(ISCAM_Score!AL162,"—")</f>
        <v>0</v>
      </c>
      <c r="D161" t="str">
        <f t="shared" si="8"/>
        <v>🔴  Crítico</v>
      </c>
      <c r="E161">
        <f t="shared" si="9"/>
        <v>1</v>
      </c>
      <c r="F161">
        <f>IFERROR(MATRIZ_174!L161,0)</f>
        <v>0</v>
      </c>
      <c r="G161">
        <f>IFERROR(MATRIZ_174!M161,0)</f>
        <v>0</v>
      </c>
      <c r="H161">
        <v>0</v>
      </c>
      <c r="I161">
        <v>0</v>
      </c>
      <c r="J161">
        <v>0</v>
      </c>
      <c r="K161">
        <f>IFERROR(INDEX(MATRIZ_174!$U:$U,MATCH(A161,MATRIZ_174!$A:$A,0)),"")</f>
        <v>0</v>
      </c>
      <c r="L161">
        <f>IFERROR(MATRIZ_174!O161,0)</f>
        <v>0</v>
      </c>
      <c r="M161">
        <v>0</v>
      </c>
      <c r="N161" t="str">
        <f>IFERROR(ISCAM_Score!AC162,"")</f>
        <v>⬜  Riesgo Latente</v>
      </c>
      <c r="O161" t="s">
        <v>169</v>
      </c>
    </row>
    <row r="162" spans="1:15" ht="16.05" customHeight="1" x14ac:dyDescent="0.3">
      <c r="A162" t="s">
        <v>396</v>
      </c>
      <c r="B162" t="s">
        <v>397</v>
      </c>
      <c r="C162" s="36">
        <f>IFERROR(ISCAM_Score!AL163,"—")</f>
        <v>0</v>
      </c>
      <c r="D162" t="str">
        <f t="shared" si="8"/>
        <v>🔴  Crítico</v>
      </c>
      <c r="E162">
        <f t="shared" si="9"/>
        <v>1</v>
      </c>
      <c r="F162">
        <f>IFERROR(MATRIZ_174!L162,0)</f>
        <v>0</v>
      </c>
      <c r="G162">
        <f>IFERROR(MATRIZ_174!M162,0)</f>
        <v>0</v>
      </c>
      <c r="H162">
        <v>0</v>
      </c>
      <c r="I162">
        <v>0</v>
      </c>
      <c r="J162">
        <v>0</v>
      </c>
      <c r="K162">
        <f>IFERROR(INDEX(MATRIZ_174!$U:$U,MATCH(A162,MATRIZ_174!$A:$A,0)),"")</f>
        <v>0</v>
      </c>
      <c r="L162">
        <f>IFERROR(MATRIZ_174!O162,0)</f>
        <v>0</v>
      </c>
      <c r="M162">
        <v>0</v>
      </c>
      <c r="N162" t="str">
        <f>IFERROR(ISCAM_Score!AC163,"")</f>
        <v>⬜  Riesgo Latente</v>
      </c>
      <c r="O162" t="s">
        <v>95</v>
      </c>
    </row>
    <row r="163" spans="1:15" ht="16.05" customHeight="1" x14ac:dyDescent="0.3">
      <c r="A163" t="s">
        <v>398</v>
      </c>
      <c r="B163" t="s">
        <v>399</v>
      </c>
      <c r="C163" s="36">
        <f>IFERROR(ISCAM_Score!AL164,"—")</f>
        <v>0</v>
      </c>
      <c r="D163" t="str">
        <f t="shared" ref="D163:D194" si="10">IF(C163="—","— Sin Inst.2",IF(C163&lt;34,"🔴  Crítico",IF(C163&lt;67,"🟡  En desarrollo","🟢  Alineado")))</f>
        <v>🔴  Crítico</v>
      </c>
      <c r="E163">
        <f t="shared" ref="E163:E176" si="11">IFERROR(RANK(C163,C:C,-1),"")</f>
        <v>1</v>
      </c>
      <c r="F163">
        <v>1501109.51</v>
      </c>
      <c r="G163">
        <f>IFERROR(MATRIZ_174!M163,0)</f>
        <v>50</v>
      </c>
      <c r="H163">
        <v>0</v>
      </c>
      <c r="I163">
        <v>0</v>
      </c>
      <c r="J163">
        <v>0</v>
      </c>
      <c r="K163">
        <f>IFERROR(INDEX(MATRIZ_174!$U:$U,MATCH(A163,MATRIZ_174!$A:$A,0)),"")</f>
        <v>1</v>
      </c>
      <c r="L163">
        <f>IFERROR(MATRIZ_174!O163,0)</f>
        <v>0</v>
      </c>
      <c r="M163">
        <v>0</v>
      </c>
      <c r="N163" t="str">
        <f>IFERROR(ISCAM_Score!AC164,"")</f>
        <v>⬜  Riesgo Latente</v>
      </c>
      <c r="O163" t="s">
        <v>140</v>
      </c>
    </row>
    <row r="164" spans="1:15" ht="16.05" customHeight="1" x14ac:dyDescent="0.3">
      <c r="A164" t="s">
        <v>400</v>
      </c>
      <c r="B164" t="s">
        <v>401</v>
      </c>
      <c r="C164" s="36">
        <f>IFERROR(ISCAM_Score!AL165,"—")</f>
        <v>0</v>
      </c>
      <c r="D164" t="str">
        <f t="shared" si="10"/>
        <v>🔴  Crítico</v>
      </c>
      <c r="E164">
        <f t="shared" si="11"/>
        <v>1</v>
      </c>
      <c r="F164">
        <f>IFERROR(MATRIZ_174!L164,0)</f>
        <v>0</v>
      </c>
      <c r="G164">
        <f>IFERROR(MATRIZ_174!M164,0)</f>
        <v>0</v>
      </c>
      <c r="H164">
        <v>0</v>
      </c>
      <c r="I164">
        <v>0</v>
      </c>
      <c r="J164">
        <v>0</v>
      </c>
      <c r="K164">
        <f>IFERROR(INDEX(MATRIZ_174!$U:$U,MATCH(A164,MATRIZ_174!$A:$A,0)),"")</f>
        <v>0</v>
      </c>
      <c r="L164">
        <f>IFERROR(MATRIZ_174!O164,0)</f>
        <v>0</v>
      </c>
      <c r="M164">
        <v>0</v>
      </c>
      <c r="N164" t="str">
        <f>IFERROR(ISCAM_Score!AC165,"")</f>
        <v>⬜  Riesgo Latente</v>
      </c>
      <c r="O164" t="s">
        <v>103</v>
      </c>
    </row>
    <row r="165" spans="1:15" ht="16.05" customHeight="1" x14ac:dyDescent="0.3">
      <c r="A165" t="s">
        <v>402</v>
      </c>
      <c r="B165" t="s">
        <v>403</v>
      </c>
      <c r="C165" s="36">
        <f>IFERROR(ISCAM_Score!AL166,"—")</f>
        <v>0</v>
      </c>
      <c r="D165" t="str">
        <f t="shared" si="10"/>
        <v>🔴  Crítico</v>
      </c>
      <c r="E165">
        <f t="shared" si="11"/>
        <v>1</v>
      </c>
      <c r="F165">
        <f>IFERROR(MATRIZ_174!L165,0)</f>
        <v>0</v>
      </c>
      <c r="G165">
        <f>IFERROR(MATRIZ_174!M165,0)</f>
        <v>0</v>
      </c>
      <c r="H165">
        <v>0</v>
      </c>
      <c r="I165">
        <v>0</v>
      </c>
      <c r="J165">
        <v>0</v>
      </c>
      <c r="K165">
        <f>IFERROR(INDEX(MATRIZ_174!$U:$U,MATCH(A165,MATRIZ_174!$A:$A,0)),"")</f>
        <v>0</v>
      </c>
      <c r="L165">
        <f>IFERROR(MATRIZ_174!O165,0)</f>
        <v>0</v>
      </c>
      <c r="M165">
        <v>0</v>
      </c>
      <c r="N165" t="str">
        <f>IFERROR(ISCAM_Score!AC166,"")</f>
        <v>⬜  Riesgo Latente</v>
      </c>
      <c r="O165" t="s">
        <v>169</v>
      </c>
    </row>
    <row r="166" spans="1:15" ht="16.05" customHeight="1" x14ac:dyDescent="0.3">
      <c r="A166" t="s">
        <v>404</v>
      </c>
      <c r="B166" t="s">
        <v>405</v>
      </c>
      <c r="C166" s="36">
        <f>IFERROR(ISCAM_Score!AL167,"—")</f>
        <v>0</v>
      </c>
      <c r="D166" t="str">
        <f t="shared" si="10"/>
        <v>🔴  Crítico</v>
      </c>
      <c r="E166">
        <f t="shared" si="11"/>
        <v>1</v>
      </c>
      <c r="F166">
        <f>IFERROR(MATRIZ_174!L166,0)</f>
        <v>0</v>
      </c>
      <c r="G166">
        <f>IFERROR(MATRIZ_174!M166,0)</f>
        <v>0</v>
      </c>
      <c r="H166">
        <v>0</v>
      </c>
      <c r="I166">
        <v>0</v>
      </c>
      <c r="J166">
        <v>0</v>
      </c>
      <c r="K166">
        <f>IFERROR(INDEX(MATRIZ_174!$U:$U,MATCH(A166,MATRIZ_174!$A:$A,0)),"")</f>
        <v>0</v>
      </c>
      <c r="L166">
        <f>IFERROR(MATRIZ_174!O166,0)</f>
        <v>0</v>
      </c>
      <c r="M166">
        <v>0</v>
      </c>
      <c r="N166" t="str">
        <f>IFERROR(ISCAM_Score!AC167,"")</f>
        <v>⬜  Riesgo Latente</v>
      </c>
      <c r="O166" t="s">
        <v>230</v>
      </c>
    </row>
    <row r="167" spans="1:15" ht="16.05" customHeight="1" x14ac:dyDescent="0.3">
      <c r="A167" t="s">
        <v>406</v>
      </c>
      <c r="B167" t="s">
        <v>407</v>
      </c>
      <c r="C167" s="36">
        <f>IFERROR(ISCAM_Score!AL168,"—")</f>
        <v>0</v>
      </c>
      <c r="D167" t="str">
        <f t="shared" si="10"/>
        <v>🔴  Crítico</v>
      </c>
      <c r="E167">
        <f t="shared" si="11"/>
        <v>1</v>
      </c>
      <c r="F167">
        <v>0</v>
      </c>
      <c r="G167">
        <f>IFERROR(MATRIZ_174!M167,0)</f>
        <v>0</v>
      </c>
      <c r="H167">
        <v>0</v>
      </c>
      <c r="I167">
        <v>0</v>
      </c>
      <c r="J167">
        <v>0</v>
      </c>
      <c r="K167">
        <f>IFERROR(INDEX(MATRIZ_174!$U:$U,MATCH(A167,MATRIZ_174!$A:$A,0)),"")</f>
        <v>0</v>
      </c>
      <c r="L167">
        <f>IFERROR(MATRIZ_174!O167,0)</f>
        <v>0</v>
      </c>
      <c r="M167">
        <v>0</v>
      </c>
      <c r="N167" t="str">
        <f>IFERROR(ISCAM_Score!AC168,"")</f>
        <v>⬜  Riesgo Latente</v>
      </c>
      <c r="O167" t="s">
        <v>129</v>
      </c>
    </row>
    <row r="168" spans="1:15" ht="16.05" customHeight="1" x14ac:dyDescent="0.3">
      <c r="A168" t="s">
        <v>408</v>
      </c>
      <c r="B168" t="s">
        <v>409</v>
      </c>
      <c r="C168" s="36">
        <f>IFERROR(ISCAM_Score!AL169,"—")</f>
        <v>0</v>
      </c>
      <c r="D168" t="str">
        <f t="shared" si="10"/>
        <v>🔴  Crítico</v>
      </c>
      <c r="E168">
        <f t="shared" si="11"/>
        <v>1</v>
      </c>
      <c r="F168">
        <v>0</v>
      </c>
      <c r="G168">
        <f>IFERROR(MATRIZ_174!M168,0)</f>
        <v>0</v>
      </c>
      <c r="H168">
        <v>0</v>
      </c>
      <c r="I168">
        <v>0</v>
      </c>
      <c r="J168">
        <v>0</v>
      </c>
      <c r="K168">
        <f>IFERROR(INDEX(MATRIZ_174!$U:$U,MATCH(A168,MATRIZ_174!$A:$A,0)),"")</f>
        <v>0</v>
      </c>
      <c r="L168">
        <f>IFERROR(MATRIZ_174!O168,0)</f>
        <v>0</v>
      </c>
      <c r="M168">
        <v>0</v>
      </c>
      <c r="N168" t="str">
        <f>IFERROR(ISCAM_Score!AC169,"")</f>
        <v>⬜  Riesgo Latente</v>
      </c>
      <c r="O168" t="s">
        <v>103</v>
      </c>
    </row>
    <row r="169" spans="1:15" ht="16.05" customHeight="1" x14ac:dyDescent="0.3">
      <c r="A169" t="s">
        <v>410</v>
      </c>
      <c r="B169" t="s">
        <v>411</v>
      </c>
      <c r="C169" s="36">
        <f>IFERROR(ISCAM_Score!AL170,"—")</f>
        <v>0</v>
      </c>
      <c r="D169" t="str">
        <f t="shared" si="10"/>
        <v>🔴  Crítico</v>
      </c>
      <c r="E169">
        <f t="shared" si="11"/>
        <v>1</v>
      </c>
      <c r="F169">
        <f>IFERROR(MATRIZ_174!L169,0)</f>
        <v>0</v>
      </c>
      <c r="G169">
        <f>IFERROR(MATRIZ_174!M169,0)</f>
        <v>0</v>
      </c>
      <c r="H169">
        <v>0</v>
      </c>
      <c r="I169">
        <v>0</v>
      </c>
      <c r="J169">
        <v>0</v>
      </c>
      <c r="K169">
        <f>IFERROR(INDEX(MATRIZ_174!$U:$U,MATCH(A169,MATRIZ_174!$A:$A,0)),"")</f>
        <v>0</v>
      </c>
      <c r="L169">
        <f>IFERROR(MATRIZ_174!O169,0)</f>
        <v>0</v>
      </c>
      <c r="M169">
        <v>0</v>
      </c>
      <c r="N169" t="str">
        <f>IFERROR(ISCAM_Score!AC170,"")</f>
        <v>⬜  Riesgo Latente</v>
      </c>
      <c r="O169" t="s">
        <v>140</v>
      </c>
    </row>
    <row r="170" spans="1:15" ht="16.05" customHeight="1" x14ac:dyDescent="0.3">
      <c r="A170" t="s">
        <v>412</v>
      </c>
      <c r="B170" t="s">
        <v>413</v>
      </c>
      <c r="C170" s="36">
        <f>IFERROR(ISCAM_Score!AL171,"—")</f>
        <v>0</v>
      </c>
      <c r="D170" t="str">
        <f t="shared" si="10"/>
        <v>🔴  Crítico</v>
      </c>
      <c r="E170">
        <f t="shared" si="11"/>
        <v>1</v>
      </c>
      <c r="F170">
        <f>IFERROR(MATRIZ_174!L170,0)</f>
        <v>0</v>
      </c>
      <c r="G170">
        <f>IFERROR(MATRIZ_174!M170,0)</f>
        <v>0</v>
      </c>
      <c r="H170">
        <v>0</v>
      </c>
      <c r="I170">
        <v>0</v>
      </c>
      <c r="J170">
        <v>0</v>
      </c>
      <c r="K170">
        <f>IFERROR(INDEX(MATRIZ_174!$U:$U,MATCH(A170,MATRIZ_174!$A:$A,0)),"")</f>
        <v>0</v>
      </c>
      <c r="L170">
        <f>IFERROR(MATRIZ_174!O170,0)</f>
        <v>0</v>
      </c>
      <c r="M170">
        <v>0</v>
      </c>
      <c r="N170" t="str">
        <f>IFERROR(ISCAM_Score!AC171,"")</f>
        <v>⬜  Riesgo Latente</v>
      </c>
      <c r="O170" t="s">
        <v>100</v>
      </c>
    </row>
    <row r="171" spans="1:15" ht="16.05" customHeight="1" x14ac:dyDescent="0.3">
      <c r="A171" t="s">
        <v>414</v>
      </c>
      <c r="B171" t="s">
        <v>415</v>
      </c>
      <c r="C171" s="36">
        <f>IFERROR(ISCAM_Score!AL172,"—")</f>
        <v>0</v>
      </c>
      <c r="D171" t="str">
        <f t="shared" si="10"/>
        <v>🔴  Crítico</v>
      </c>
      <c r="E171">
        <f t="shared" si="11"/>
        <v>1</v>
      </c>
      <c r="F171">
        <f>IFERROR(MATRIZ_174!L171,0)</f>
        <v>0</v>
      </c>
      <c r="G171">
        <f>IFERROR(MATRIZ_174!M171,0)</f>
        <v>0</v>
      </c>
      <c r="H171">
        <v>0</v>
      </c>
      <c r="I171">
        <v>0</v>
      </c>
      <c r="J171">
        <v>0</v>
      </c>
      <c r="K171">
        <f>IFERROR(INDEX(MATRIZ_174!$U:$U,MATCH(A171,MATRIZ_174!$A:$A,0)),"")</f>
        <v>0</v>
      </c>
      <c r="L171">
        <f>IFERROR(MATRIZ_174!O171,0)</f>
        <v>0</v>
      </c>
      <c r="M171">
        <v>0</v>
      </c>
      <c r="N171" t="str">
        <f>IFERROR(ISCAM_Score!AC172,"")</f>
        <v>🔴  Riesgo Crítico</v>
      </c>
      <c r="O171" t="s">
        <v>129</v>
      </c>
    </row>
    <row r="172" spans="1:15" ht="16.05" customHeight="1" x14ac:dyDescent="0.3">
      <c r="A172" t="s">
        <v>416</v>
      </c>
      <c r="B172" t="s">
        <v>417</v>
      </c>
      <c r="C172" s="36">
        <f>IFERROR(ISCAM_Score!AL173,"—")</f>
        <v>0</v>
      </c>
      <c r="D172" t="str">
        <f t="shared" si="10"/>
        <v>🔴  Crítico</v>
      </c>
      <c r="E172">
        <f t="shared" si="11"/>
        <v>1</v>
      </c>
      <c r="F172">
        <v>0</v>
      </c>
      <c r="G172">
        <f>IFERROR(MATRIZ_174!M172,0)</f>
        <v>0</v>
      </c>
      <c r="H172">
        <v>0</v>
      </c>
      <c r="I172">
        <v>0</v>
      </c>
      <c r="J172">
        <v>0</v>
      </c>
      <c r="K172">
        <f>IFERROR(INDEX(MATRIZ_174!$U:$U,MATCH(A172,MATRIZ_174!$A:$A,0)),"")</f>
        <v>0</v>
      </c>
      <c r="L172">
        <f>IFERROR(MATRIZ_174!O172,0)</f>
        <v>0</v>
      </c>
      <c r="M172">
        <v>0</v>
      </c>
      <c r="N172" t="str">
        <f>IFERROR(ISCAM_Score!AC173,"")</f>
        <v>⬜  Riesgo Latente</v>
      </c>
      <c r="O172" t="s">
        <v>103</v>
      </c>
    </row>
    <row r="173" spans="1:15" ht="16.05" customHeight="1" x14ac:dyDescent="0.3">
      <c r="A173" t="s">
        <v>418</v>
      </c>
      <c r="B173" t="s">
        <v>419</v>
      </c>
      <c r="C173" s="36">
        <f>IFERROR(ISCAM_Score!AL174,"—")</f>
        <v>0</v>
      </c>
      <c r="D173" t="str">
        <f t="shared" si="10"/>
        <v>🔴  Crítico</v>
      </c>
      <c r="E173">
        <f t="shared" si="11"/>
        <v>1</v>
      </c>
      <c r="F173">
        <f>IFERROR(MATRIZ_174!L173,0)</f>
        <v>0</v>
      </c>
      <c r="G173">
        <f>IFERROR(MATRIZ_174!M173,0)</f>
        <v>0</v>
      </c>
      <c r="H173">
        <v>0</v>
      </c>
      <c r="I173">
        <v>0</v>
      </c>
      <c r="J173">
        <v>0</v>
      </c>
      <c r="K173">
        <f>IFERROR(INDEX(MATRIZ_174!$U:$U,MATCH(A173,MATRIZ_174!$A:$A,0)),"")</f>
        <v>0</v>
      </c>
      <c r="L173">
        <f>IFERROR(MATRIZ_174!O173,0)</f>
        <v>0</v>
      </c>
      <c r="M173">
        <v>0</v>
      </c>
      <c r="N173" t="str">
        <f>IFERROR(ISCAM_Score!AC174,"")</f>
        <v>⬜  Riesgo Latente</v>
      </c>
      <c r="O173" t="s">
        <v>169</v>
      </c>
    </row>
    <row r="174" spans="1:15" ht="16.05" customHeight="1" x14ac:dyDescent="0.3">
      <c r="A174" t="s">
        <v>420</v>
      </c>
      <c r="B174" t="s">
        <v>421</v>
      </c>
      <c r="C174" s="36">
        <f>IFERROR(ISCAM_Score!AL175,"—")</f>
        <v>0</v>
      </c>
      <c r="D174" t="str">
        <f t="shared" si="10"/>
        <v>🔴  Crítico</v>
      </c>
      <c r="E174">
        <f t="shared" si="11"/>
        <v>1</v>
      </c>
      <c r="F174">
        <f>IFERROR(MATRIZ_174!L174,0)</f>
        <v>0</v>
      </c>
      <c r="G174">
        <f>IFERROR(MATRIZ_174!M174,0)</f>
        <v>0</v>
      </c>
      <c r="H174">
        <v>0</v>
      </c>
      <c r="I174">
        <v>0</v>
      </c>
      <c r="J174">
        <v>0</v>
      </c>
      <c r="K174">
        <f>IFERROR(INDEX(MATRIZ_174!$U:$U,MATCH(A174,MATRIZ_174!$A:$A,0)),"")</f>
        <v>0</v>
      </c>
      <c r="L174">
        <f>IFERROR(MATRIZ_174!O174,0)</f>
        <v>0</v>
      </c>
      <c r="M174">
        <v>0</v>
      </c>
      <c r="N174" t="str">
        <f>IFERROR(ISCAM_Score!AC175,"")</f>
        <v>⬜  Riesgo Latente</v>
      </c>
      <c r="O174" t="s">
        <v>421</v>
      </c>
    </row>
    <row r="175" spans="1:15" ht="16.05" customHeight="1" x14ac:dyDescent="0.3">
      <c r="A175" t="s">
        <v>422</v>
      </c>
      <c r="B175" t="s">
        <v>423</v>
      </c>
      <c r="C175" s="36">
        <f>IFERROR(ISCAM_Score!AL176,"—")</f>
        <v>0</v>
      </c>
      <c r="D175" t="str">
        <f t="shared" si="10"/>
        <v>🔴  Crítico</v>
      </c>
      <c r="E175">
        <f t="shared" si="11"/>
        <v>1</v>
      </c>
      <c r="F175">
        <v>3861667.52</v>
      </c>
      <c r="G175">
        <f>IFERROR(MATRIZ_174!M175,0)</f>
        <v>50</v>
      </c>
      <c r="H175">
        <v>0</v>
      </c>
      <c r="I175">
        <v>0</v>
      </c>
      <c r="J175">
        <v>0</v>
      </c>
      <c r="K175">
        <f>IFERROR(INDEX(MATRIZ_174!$U:$U,MATCH(A175,MATRIZ_174!$A:$A,0)),"")</f>
        <v>1</v>
      </c>
      <c r="L175">
        <f>IFERROR(MATRIZ_174!O175,0)</f>
        <v>0</v>
      </c>
      <c r="M175">
        <v>0</v>
      </c>
      <c r="N175" t="str">
        <f>IFERROR(ISCAM_Score!AC176,"")</f>
        <v>⬜  Riesgo Latente</v>
      </c>
      <c r="O175" t="s">
        <v>100</v>
      </c>
    </row>
    <row r="176" spans="1:15" ht="16.05" customHeight="1" x14ac:dyDescent="0.3">
      <c r="A176" t="s">
        <v>424</v>
      </c>
      <c r="B176" t="s">
        <v>425</v>
      </c>
      <c r="C176" s="36">
        <f>IFERROR(ISCAM_Score!AL177,"—")</f>
        <v>0</v>
      </c>
      <c r="D176" t="str">
        <f t="shared" si="10"/>
        <v>🔴  Crítico</v>
      </c>
      <c r="E176">
        <f t="shared" si="11"/>
        <v>1</v>
      </c>
      <c r="F176">
        <v>0</v>
      </c>
      <c r="G176">
        <f>IFERROR(MATRIZ_174!M176,0)</f>
        <v>0</v>
      </c>
      <c r="H176">
        <v>0</v>
      </c>
      <c r="I176">
        <v>0</v>
      </c>
      <c r="J176">
        <v>0</v>
      </c>
      <c r="K176">
        <f>IFERROR(INDEX(MATRIZ_174!$U:$U,MATCH(A176,MATRIZ_174!$A:$A,0)),"")</f>
        <v>0</v>
      </c>
      <c r="L176">
        <f>IFERROR(MATRIZ_174!O176,0)</f>
        <v>0</v>
      </c>
      <c r="M176">
        <v>0</v>
      </c>
      <c r="N176" t="str">
        <f>IFERROR(ISCAM_Score!AC177,"")</f>
        <v>⬜  Riesgo Latente</v>
      </c>
      <c r="O176" t="s">
        <v>103</v>
      </c>
    </row>
    <row r="177" spans="1:11" x14ac:dyDescent="0.3">
      <c r="K177" t="str">
        <f>IFERROR(INDEX(MATRIZ_174!$U:$U,MATCH(A177,MATRIZ_174!$A:$A,0)),"")</f>
        <v/>
      </c>
    </row>
    <row r="178" spans="1:11" x14ac:dyDescent="0.3">
      <c r="K178" t="str">
        <f>IFERROR(INDEX(MATRIZ_174!$U:$U,MATCH(A178,MATRIZ_174!$A:$A,0)),"")</f>
        <v/>
      </c>
    </row>
    <row r="179" spans="1:11" ht="22.05" customHeight="1" x14ac:dyDescent="0.3">
      <c r="A179" s="37" t="s">
        <v>750</v>
      </c>
      <c r="B179" s="37"/>
      <c r="C179" s="37"/>
      <c r="D179" s="37"/>
      <c r="E179" s="37"/>
      <c r="F179" s="37"/>
      <c r="G179" s="37"/>
      <c r="K179" t="str">
        <f>IFERROR(INDEX(MATRIZ_174!$U:$U,MATCH(A179,MATRIZ_174!$A:$A,0)),"")</f>
        <v/>
      </c>
    </row>
    <row r="180" spans="1:11" ht="18" customHeight="1" x14ac:dyDescent="0.3">
      <c r="A180" t="s">
        <v>751</v>
      </c>
      <c r="B180" s="37">
        <f>COUNTA(A3:A176)</f>
        <v>174</v>
      </c>
      <c r="C180" s="37"/>
      <c r="D180" s="37"/>
      <c r="K180" t="str">
        <f>IFERROR(INDEX(MATRIZ_174!$U:$U,MATCH(A180,MATRIZ_174!$A:$A,0)),"")</f>
        <v/>
      </c>
    </row>
    <row r="181" spans="1:11" ht="18" customHeight="1" x14ac:dyDescent="0.3">
      <c r="A181" t="s">
        <v>752</v>
      </c>
      <c r="B181" s="37">
        <f>COUNTIF(F3:F176,"&gt;0")</f>
        <v>36</v>
      </c>
      <c r="C181" s="37"/>
      <c r="D181" s="37"/>
      <c r="K181" t="str">
        <f>IFERROR(INDEX(MATRIZ_174!$U:$U,MATCH(A181,MATRIZ_174!$A:$A,0)),"")</f>
        <v/>
      </c>
    </row>
    <row r="182" spans="1:11" ht="18" customHeight="1" x14ac:dyDescent="0.3">
      <c r="A182" t="s">
        <v>753</v>
      </c>
      <c r="B182" s="37">
        <f>COUNTIF(C3:C176,"&lt;34")-COUNTIF(C3:C176,0)</f>
        <v>0</v>
      </c>
      <c r="C182" s="37"/>
      <c r="D182" s="37"/>
      <c r="K182" t="str">
        <f>IFERROR(INDEX(MATRIZ_174!$U:$U,MATCH(A182,MATRIZ_174!$A:$A,0)),"")</f>
        <v/>
      </c>
    </row>
    <row r="183" spans="1:11" ht="18" customHeight="1" x14ac:dyDescent="0.3">
      <c r="A183" t="s">
        <v>754</v>
      </c>
      <c r="B183" s="37">
        <f>COUNTIFS(C3:C176,"&gt;=34",C3:C176,"&lt;67")</f>
        <v>0</v>
      </c>
      <c r="C183" s="37"/>
      <c r="D183" s="37"/>
      <c r="K183" t="str">
        <f>IFERROR(INDEX(MATRIZ_174!$U:$U,MATCH(A183,MATRIZ_174!$A:$A,0)),"")</f>
        <v/>
      </c>
    </row>
    <row r="184" spans="1:11" ht="18" customHeight="1" x14ac:dyDescent="0.3">
      <c r="A184" t="s">
        <v>755</v>
      </c>
      <c r="B184" s="37">
        <f>COUNTIF(C3:C176,"&gt;=67")</f>
        <v>0</v>
      </c>
      <c r="C184" s="37"/>
      <c r="D184" s="37"/>
      <c r="K184" t="str">
        <f>IFERROR(INDEX(MATRIZ_174!$U:$U,MATCH(A184,MATRIZ_174!$A:$A,0)),"")</f>
        <v/>
      </c>
    </row>
    <row r="185" spans="1:11" ht="18" customHeight="1" x14ac:dyDescent="0.3">
      <c r="A185" t="s">
        <v>756</v>
      </c>
      <c r="B185" s="37">
        <f>COUNTIF(C3:C176,0)</f>
        <v>174</v>
      </c>
      <c r="C185" s="37"/>
      <c r="D185" s="37"/>
      <c r="K185" t="str">
        <f>IFERROR(INDEX(MATRIZ_174!$U:$U,MATCH(A185,MATRIZ_174!$A:$A,0)),"")</f>
        <v/>
      </c>
    </row>
    <row r="186" spans="1:11" ht="18" customHeight="1" x14ac:dyDescent="0.3">
      <c r="A186" t="s">
        <v>757</v>
      </c>
      <c r="B186" s="37" t="str">
        <f>IFERROR(AVERAGEIF(C3:C176,"&gt;0"),"N/A")</f>
        <v>N/A</v>
      </c>
      <c r="C186" s="37"/>
      <c r="D186" s="37"/>
      <c r="K186" t="str">
        <f>IFERROR(INDEX(MATRIZ_174!$U:$U,MATCH(A186,MATRIZ_174!$A:$A,0)),"")</f>
        <v/>
      </c>
    </row>
    <row r="187" spans="1:11" ht="18" customHeight="1" x14ac:dyDescent="0.3">
      <c r="A187" t="s">
        <v>758</v>
      </c>
      <c r="B187" s="37">
        <f>SUMIF(F3:F176,"&gt;0",F3:F176)</f>
        <v>120511187.67999998</v>
      </c>
      <c r="C187" s="37"/>
      <c r="D187" s="37"/>
      <c r="K187" t="str">
        <f>IFERROR(INDEX(MATRIZ_174!$U:$U,MATCH(A187,MATRIZ_174!$A:$A,0)),"")</f>
        <v/>
      </c>
    </row>
  </sheetData>
  <mergeCells count="10">
    <mergeCell ref="A1:O1"/>
    <mergeCell ref="B187:D187"/>
    <mergeCell ref="B183:D183"/>
    <mergeCell ref="A179:G179"/>
    <mergeCell ref="B182:D182"/>
    <mergeCell ref="B185:D185"/>
    <mergeCell ref="B186:D186"/>
    <mergeCell ref="B184:D184"/>
    <mergeCell ref="B180:D180"/>
    <mergeCell ref="B181:D1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workbookViewId="0"/>
  </sheetViews>
  <sheetFormatPr baseColWidth="10" defaultColWidth="8.88671875" defaultRowHeight="14.4" x14ac:dyDescent="0.3"/>
  <cols>
    <col min="1" max="1" width="28" customWidth="1"/>
    <col min="2" max="12" width="10" customWidth="1"/>
    <col min="13" max="13" width="12" customWidth="1"/>
  </cols>
  <sheetData>
    <row r="1" spans="1:13" ht="28.05" customHeight="1" x14ac:dyDescent="0.3">
      <c r="A1" s="37" t="s">
        <v>759</v>
      </c>
      <c r="B1" s="37"/>
      <c r="C1" s="37"/>
      <c r="D1" s="37"/>
      <c r="E1" s="37"/>
      <c r="F1" s="37"/>
      <c r="G1" s="37"/>
      <c r="H1" s="37"/>
      <c r="I1" s="37"/>
      <c r="J1" s="37"/>
    </row>
    <row r="2" spans="1:13" x14ac:dyDescent="0.3">
      <c r="A2" t="s">
        <v>760</v>
      </c>
      <c r="B2" t="s">
        <v>600</v>
      </c>
      <c r="C2" t="s">
        <v>613</v>
      </c>
      <c r="D2" t="s">
        <v>635</v>
      </c>
      <c r="E2" t="s">
        <v>649</v>
      </c>
      <c r="F2" t="s">
        <v>657</v>
      </c>
      <c r="G2" t="s">
        <v>666</v>
      </c>
      <c r="H2" t="s">
        <v>677</v>
      </c>
      <c r="I2" t="s">
        <v>690</v>
      </c>
      <c r="J2" t="s">
        <v>697</v>
      </c>
      <c r="K2" t="s">
        <v>703</v>
      </c>
      <c r="L2" t="s">
        <v>710</v>
      </c>
      <c r="M2" t="s">
        <v>761</v>
      </c>
    </row>
    <row r="3" spans="1:13" ht="18" customHeight="1" x14ac:dyDescent="0.3">
      <c r="A3" t="s">
        <v>129</v>
      </c>
      <c r="B3">
        <f>0</f>
        <v>0</v>
      </c>
      <c r="C3">
        <f>IFERROR(AVERAGEIF(MATRIZ_174!C:C,A3,SCORECARDS!H:H),0)</f>
        <v>0</v>
      </c>
      <c r="D3">
        <f>IFERROR(AVERAGEIF(MATRIZ_174!$C:$C,A3,ISCAM_Score!$G:$G),0)</f>
        <v>0.16666666666666666</v>
      </c>
      <c r="E3">
        <f>0</f>
        <v>0</v>
      </c>
      <c r="F3">
        <f>IFERROR(AVERAGEIF(MATRIZ_174!C:C,A3,SCORECARDS!I:I),0)</f>
        <v>0</v>
      </c>
      <c r="G3">
        <f>IFERROR(AVERAGEIF(MATRIZ_174!C:C,A3,SCORECARDS!J:J),0)</f>
        <v>0</v>
      </c>
      <c r="H3">
        <f>IFERROR(AVERAGEIF(MATRIZ_174!C:C,A3,SCORECARDS!K:K),0)</f>
        <v>0.375</v>
      </c>
      <c r="I3">
        <f>0</f>
        <v>0</v>
      </c>
      <c r="J3">
        <f>0</f>
        <v>0</v>
      </c>
      <c r="K3">
        <f>0</f>
        <v>0</v>
      </c>
      <c r="L3">
        <f>0</f>
        <v>0</v>
      </c>
      <c r="M3">
        <f t="shared" ref="M3:M17" si="0">IFERROR(AVERAGE(B3:L3),0)</f>
        <v>4.924242424242424E-2</v>
      </c>
    </row>
    <row r="4" spans="1:13" ht="18" customHeight="1" x14ac:dyDescent="0.3">
      <c r="A4" t="s">
        <v>71</v>
      </c>
      <c r="B4">
        <f>0</f>
        <v>0</v>
      </c>
      <c r="C4">
        <f>IFERROR(AVERAGEIF(MATRIZ_174!C:C,A4,SCORECARDS!H:H),0)</f>
        <v>0</v>
      </c>
      <c r="D4">
        <f>IFERROR(AVERAGEIF(MATRIZ_174!$C:$C,A4,ISCAM_Score!$G:$G),0)</f>
        <v>0.21739130434782608</v>
      </c>
      <c r="E4">
        <f>0</f>
        <v>0</v>
      </c>
      <c r="F4">
        <f>IFERROR(AVERAGEIF(MATRIZ_174!C:C,A4,SCORECARDS!I:I),0)</f>
        <v>0</v>
      </c>
      <c r="G4">
        <f>IFERROR(AVERAGEIF(MATRIZ_174!C:C,A4,SCORECARDS!J:J),0)</f>
        <v>0</v>
      </c>
      <c r="H4">
        <f>IFERROR(AVERAGEIF(MATRIZ_174!C:C,A4,SCORECARDS!K:K),0)</f>
        <v>0.2608695652173913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 t="shared" si="0"/>
        <v>4.3478260869565216E-2</v>
      </c>
    </row>
    <row r="5" spans="1:13" ht="18" customHeight="1" x14ac:dyDescent="0.3">
      <c r="A5" t="s">
        <v>103</v>
      </c>
      <c r="B5">
        <f>0</f>
        <v>0</v>
      </c>
      <c r="C5">
        <f>IFERROR(AVERAGEIF(MATRIZ_174!C:C,A5,SCORECARDS!H:H),0)</f>
        <v>0</v>
      </c>
      <c r="D5">
        <f>IFERROR(AVERAGEIF(MATRIZ_174!$C:$C,A5,ISCAM_Score!$G:$G),0)</f>
        <v>0.26315789473684209</v>
      </c>
      <c r="E5">
        <f>0</f>
        <v>0</v>
      </c>
      <c r="F5">
        <f>IFERROR(AVERAGEIF(MATRIZ_174!C:C,A5,SCORECARDS!I:I),0)</f>
        <v>0</v>
      </c>
      <c r="G5">
        <f>IFERROR(AVERAGEIF(MATRIZ_174!C:C,A5,SCORECARDS!J:J),0)</f>
        <v>0</v>
      </c>
      <c r="H5">
        <f>IFERROR(AVERAGEIF(MATRIZ_174!C:C,A5,SCORECARDS!K:K),0)</f>
        <v>0.26315789473684209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 t="shared" si="0"/>
        <v>4.784688995215311E-2</v>
      </c>
    </row>
    <row r="6" spans="1:13" ht="18" customHeight="1" x14ac:dyDescent="0.3">
      <c r="A6" t="s">
        <v>140</v>
      </c>
      <c r="B6">
        <f>0</f>
        <v>0</v>
      </c>
      <c r="C6">
        <f>IFERROR(AVERAGEIF(MATRIZ_174!C:C,A6,SCORECARDS!H:H),0)</f>
        <v>0</v>
      </c>
      <c r="D6">
        <f>IFERROR(AVERAGEIF(MATRIZ_174!$C:$C,A6,ISCAM_Score!$G:$G),0)</f>
        <v>0.1111111111111111</v>
      </c>
      <c r="E6">
        <f>0</f>
        <v>0</v>
      </c>
      <c r="F6">
        <f>IFERROR(AVERAGEIF(MATRIZ_174!C:C,A6,SCORECARDS!I:I),0)</f>
        <v>0</v>
      </c>
      <c r="G6">
        <f>IFERROR(AVERAGEIF(MATRIZ_174!C:C,A6,SCORECARDS!J:J),0)</f>
        <v>0</v>
      </c>
      <c r="H6">
        <f>IFERROR(AVERAGEIF(MATRIZ_174!C:C,A6,SCORECARDS!K:K),0)</f>
        <v>0.44444444444444442</v>
      </c>
      <c r="I6">
        <f>0</f>
        <v>0</v>
      </c>
      <c r="J6">
        <f>0</f>
        <v>0</v>
      </c>
      <c r="K6">
        <f>0</f>
        <v>0</v>
      </c>
      <c r="L6">
        <f>0</f>
        <v>0</v>
      </c>
      <c r="M6">
        <f t="shared" si="0"/>
        <v>5.0505050505050504E-2</v>
      </c>
    </row>
    <row r="7" spans="1:13" ht="18" customHeight="1" x14ac:dyDescent="0.3">
      <c r="A7" t="s">
        <v>74</v>
      </c>
      <c r="B7">
        <f>0</f>
        <v>0</v>
      </c>
      <c r="C7">
        <f>IFERROR(AVERAGEIF(MATRIZ_174!C:C,A7,SCORECARDS!H:H),0)</f>
        <v>0</v>
      </c>
      <c r="D7">
        <f>IFERROR(AVERAGEIF(MATRIZ_174!$C:$C,A7,ISCAM_Score!$G:$G),0)</f>
        <v>0.23958333333333334</v>
      </c>
      <c r="E7">
        <f>0</f>
        <v>0</v>
      </c>
      <c r="F7">
        <f>IFERROR(AVERAGEIF(MATRIZ_174!C:C,A7,SCORECARDS!I:I),0)</f>
        <v>0</v>
      </c>
      <c r="G7">
        <f>IFERROR(AVERAGEIF(MATRIZ_174!C:C,A7,SCORECARDS!J:J),0)</f>
        <v>0</v>
      </c>
      <c r="H7">
        <f>IFERROR(AVERAGEIF(MATRIZ_174!C:C,A7,SCORECARDS!K:K),0)</f>
        <v>0.11458333333333333</v>
      </c>
      <c r="I7">
        <f>0</f>
        <v>0</v>
      </c>
      <c r="J7">
        <f>0</f>
        <v>0</v>
      </c>
      <c r="K7">
        <f>0</f>
        <v>0</v>
      </c>
      <c r="L7">
        <f>0</f>
        <v>0</v>
      </c>
      <c r="M7">
        <f t="shared" si="0"/>
        <v>3.2196969696969696E-2</v>
      </c>
    </row>
    <row r="8" spans="1:13" ht="18" customHeight="1" x14ac:dyDescent="0.3">
      <c r="A8" t="s">
        <v>100</v>
      </c>
      <c r="B8">
        <f>0</f>
        <v>0</v>
      </c>
      <c r="C8">
        <f>IFERROR(AVERAGEIF(MATRIZ_174!C:C,A8,SCORECARDS!H:H),0)</f>
        <v>0</v>
      </c>
      <c r="D8">
        <f>IFERROR(AVERAGEIF(MATRIZ_174!$C:$C,A8,ISCAM_Score!$G:$G),0)</f>
        <v>0.1111111111111111</v>
      </c>
      <c r="E8">
        <f>0</f>
        <v>0</v>
      </c>
      <c r="F8">
        <f>IFERROR(AVERAGEIF(MATRIZ_174!C:C,A8,SCORECARDS!I:I),0)</f>
        <v>0</v>
      </c>
      <c r="G8">
        <f>IFERROR(AVERAGEIF(MATRIZ_174!C:C,A8,SCORECARDS!J:J),0)</f>
        <v>0</v>
      </c>
      <c r="H8">
        <f>IFERROR(AVERAGEIF(MATRIZ_174!C:C,A8,SCORECARDS!K:K),0)</f>
        <v>0.1111111111111111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 t="shared" si="0"/>
        <v>2.02020202020202E-2</v>
      </c>
    </row>
    <row r="9" spans="1:13" ht="18" customHeight="1" x14ac:dyDescent="0.3">
      <c r="A9" t="s">
        <v>237</v>
      </c>
      <c r="B9">
        <f>0</f>
        <v>0</v>
      </c>
      <c r="C9">
        <f>IFERROR(AVERAGEIF(MATRIZ_174!C:C,A9,SCORECARDS!H:H),0)</f>
        <v>0</v>
      </c>
      <c r="D9">
        <f>IFERROR(AVERAGEIF(MATRIZ_174!$C:$C,A9,ISCAM_Score!$G:$G),0)</f>
        <v>0.25</v>
      </c>
      <c r="E9">
        <f>0</f>
        <v>0</v>
      </c>
      <c r="F9">
        <f>IFERROR(AVERAGEIF(MATRIZ_174!C:C,A9,SCORECARDS!I:I),0)</f>
        <v>0</v>
      </c>
      <c r="G9">
        <f>IFERROR(AVERAGEIF(MATRIZ_174!C:C,A9,SCORECARDS!J:J),0)</f>
        <v>0</v>
      </c>
      <c r="H9">
        <f>IFERROR(AVERAGEIF(MATRIZ_174!C:C,A9,SCORECARDS!K:K),0)</f>
        <v>0.125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 t="shared" si="0"/>
        <v>3.4090909090909088E-2</v>
      </c>
    </row>
    <row r="10" spans="1:13" ht="18" customHeight="1" x14ac:dyDescent="0.3">
      <c r="A10" t="s">
        <v>95</v>
      </c>
      <c r="B10">
        <f>0</f>
        <v>0</v>
      </c>
      <c r="C10">
        <f>IFERROR(AVERAGEIF(MATRIZ_174!C:C,A10,SCORECARDS!H:H),0)</f>
        <v>0</v>
      </c>
      <c r="D10">
        <f>IFERROR(AVERAGEIF(MATRIZ_174!$C:$C,A10,ISCAM_Score!$G:$G),0)</f>
        <v>0.1</v>
      </c>
      <c r="E10">
        <f>0</f>
        <v>0</v>
      </c>
      <c r="F10">
        <f>IFERROR(AVERAGEIF(MATRIZ_174!C:C,A10,SCORECARDS!I:I),0)</f>
        <v>0</v>
      </c>
      <c r="G10">
        <f>IFERROR(AVERAGEIF(MATRIZ_174!C:C,A10,SCORECARDS!J:J),0)</f>
        <v>0</v>
      </c>
      <c r="H10">
        <f>IFERROR(AVERAGEIF(MATRIZ_174!C:C,A10,SCORECARDS!K:K),0)</f>
        <v>0.2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 t="shared" si="0"/>
        <v>2.7272727272727278E-2</v>
      </c>
    </row>
    <row r="11" spans="1:13" ht="18" customHeight="1" x14ac:dyDescent="0.3">
      <c r="A11" t="s">
        <v>68</v>
      </c>
      <c r="B11">
        <f>0</f>
        <v>0</v>
      </c>
      <c r="C11">
        <f>IFERROR(AVERAGEIF(MATRIZ_174!C:C,A11,SCORECARDS!H:H),0)</f>
        <v>0</v>
      </c>
      <c r="D11">
        <f>IFERROR(AVERAGEIF(MATRIZ_174!$C:$C,A11,ISCAM_Score!$G:$G),0)</f>
        <v>0.66666666666666663</v>
      </c>
      <c r="E11">
        <f>0</f>
        <v>0</v>
      </c>
      <c r="F11">
        <f>IFERROR(AVERAGEIF(MATRIZ_174!C:C,A11,SCORECARDS!I:I),0)</f>
        <v>0</v>
      </c>
      <c r="G11">
        <f>IFERROR(AVERAGEIF(MATRIZ_174!C:C,A11,SCORECARDS!J:J),0)</f>
        <v>0</v>
      </c>
      <c r="H11">
        <f>IFERROR(AVERAGEIF(MATRIZ_174!C:C,A11,SCORECARDS!K:K),0)</f>
        <v>0.33333333333333331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 t="shared" si="0"/>
        <v>9.0909090909090912E-2</v>
      </c>
    </row>
    <row r="12" spans="1:13" ht="18" customHeight="1" x14ac:dyDescent="0.3">
      <c r="A12" t="s">
        <v>65</v>
      </c>
      <c r="B12">
        <f>0</f>
        <v>0</v>
      </c>
      <c r="C12">
        <f>IFERROR(AVERAGEIF(MATRIZ_174!C:C,A12,SCORECARDS!H:H),0)</f>
        <v>0</v>
      </c>
      <c r="D12">
        <f>IFERROR(AVERAGEIF(MATRIZ_174!$C:$C,A12,ISCAM_Score!$G:$G),0)</f>
        <v>0.5</v>
      </c>
      <c r="E12">
        <f>0</f>
        <v>0</v>
      </c>
      <c r="F12">
        <f>IFERROR(AVERAGEIF(MATRIZ_174!C:C,A12,SCORECARDS!I:I),0)</f>
        <v>0</v>
      </c>
      <c r="G12">
        <f>IFERROR(AVERAGEIF(MATRIZ_174!C:C,A12,SCORECARDS!J:J),0)</f>
        <v>0</v>
      </c>
      <c r="H12">
        <f>IFERROR(AVERAGEIF(MATRIZ_174!C:C,A12,SCORECARDS!K:K),0)</f>
        <v>0.33333333333333331</v>
      </c>
      <c r="I12">
        <f>0</f>
        <v>0</v>
      </c>
      <c r="J12">
        <f>0</f>
        <v>0</v>
      </c>
      <c r="K12">
        <f>0</f>
        <v>0</v>
      </c>
      <c r="L12">
        <f>0</f>
        <v>0</v>
      </c>
      <c r="M12">
        <f t="shared" si="0"/>
        <v>7.5757575757575746E-2</v>
      </c>
    </row>
    <row r="13" spans="1:13" ht="18" customHeight="1" x14ac:dyDescent="0.3">
      <c r="A13" t="s">
        <v>191</v>
      </c>
      <c r="B13">
        <f>0</f>
        <v>0</v>
      </c>
      <c r="C13">
        <f>IFERROR(AVERAGEIF(MATRIZ_174!C:C,A13,SCORECARDS!H:H),0)</f>
        <v>0</v>
      </c>
      <c r="D13">
        <f>IFERROR(AVERAGEIF(MATRIZ_174!$C:$C,A13,ISCAM_Score!$G:$G),0)</f>
        <v>0</v>
      </c>
      <c r="E13">
        <f>0</f>
        <v>0</v>
      </c>
      <c r="F13">
        <f>IFERROR(AVERAGEIF(MATRIZ_174!C:C,A13,SCORECARDS!I:I),0)</f>
        <v>0</v>
      </c>
      <c r="G13">
        <f>IFERROR(AVERAGEIF(MATRIZ_174!C:C,A13,SCORECARDS!J:J),0)</f>
        <v>0</v>
      </c>
      <c r="H13">
        <f>IFERROR(AVERAGEIF(MATRIZ_174!C:C,A13,SCORECARDS!K:K),0)</f>
        <v>1</v>
      </c>
      <c r="I13">
        <f>0</f>
        <v>0</v>
      </c>
      <c r="J13">
        <f>0</f>
        <v>0</v>
      </c>
      <c r="K13">
        <f>0</f>
        <v>0</v>
      </c>
      <c r="L13">
        <f>0</f>
        <v>0</v>
      </c>
      <c r="M13">
        <f t="shared" si="0"/>
        <v>9.0909090909090912E-2</v>
      </c>
    </row>
    <row r="14" spans="1:13" ht="18" customHeight="1" x14ac:dyDescent="0.3">
      <c r="A14" t="s">
        <v>230</v>
      </c>
      <c r="B14">
        <f>0</f>
        <v>0</v>
      </c>
      <c r="C14">
        <f>IFERROR(AVERAGEIF(MATRIZ_174!C:C,A14,SCORECARDS!H:H),0)</f>
        <v>0</v>
      </c>
      <c r="D14">
        <f>IFERROR(AVERAGEIF(MATRIZ_174!$C:$C,A14,ISCAM_Score!$G:$G),0)</f>
        <v>0.16666666666666666</v>
      </c>
      <c r="E14">
        <f>0</f>
        <v>0</v>
      </c>
      <c r="F14">
        <f>IFERROR(AVERAGEIF(MATRIZ_174!C:C,A14,SCORECARDS!I:I),0)</f>
        <v>0</v>
      </c>
      <c r="G14">
        <f>IFERROR(AVERAGEIF(MATRIZ_174!C:C,A14,SCORECARDS!J:J),0)</f>
        <v>0</v>
      </c>
      <c r="H14">
        <f>IFERROR(AVERAGEIF(MATRIZ_174!C:C,A14,SCORECARDS!K:K),0)</f>
        <v>0.16666666666666666</v>
      </c>
      <c r="I14">
        <f>0</f>
        <v>0</v>
      </c>
      <c r="J14">
        <f>0</f>
        <v>0</v>
      </c>
      <c r="K14">
        <f>0</f>
        <v>0</v>
      </c>
      <c r="L14">
        <f>0</f>
        <v>0</v>
      </c>
      <c r="M14">
        <f t="shared" si="0"/>
        <v>3.03030303030303E-2</v>
      </c>
    </row>
    <row r="15" spans="1:13" ht="18" customHeight="1" x14ac:dyDescent="0.3">
      <c r="A15" t="s">
        <v>182</v>
      </c>
      <c r="B15">
        <f>0</f>
        <v>0</v>
      </c>
      <c r="C15">
        <f>IFERROR(AVERAGEIF(MATRIZ_174!C:C,A15,SCORECARDS!H:H),0)</f>
        <v>0</v>
      </c>
      <c r="D15">
        <f>IFERROR(AVERAGEIF(MATRIZ_174!$C:$C,A15,ISCAM_Score!$G:$G),0)</f>
        <v>0.4</v>
      </c>
      <c r="E15">
        <f>0</f>
        <v>0</v>
      </c>
      <c r="F15">
        <f>IFERROR(AVERAGEIF(MATRIZ_174!C:C,A15,SCORECARDS!I:I),0)</f>
        <v>0</v>
      </c>
      <c r="G15">
        <f>IFERROR(AVERAGEIF(MATRIZ_174!C:C,A15,SCORECARDS!J:J),0)</f>
        <v>0</v>
      </c>
      <c r="H15">
        <f>IFERROR(AVERAGEIF(MATRIZ_174!C:C,A15,SCORECARDS!K:K),0)</f>
        <v>0</v>
      </c>
      <c r="I15">
        <f>0</f>
        <v>0</v>
      </c>
      <c r="J15">
        <f>0</f>
        <v>0</v>
      </c>
      <c r="K15">
        <f>0</f>
        <v>0</v>
      </c>
      <c r="L15">
        <f>0</f>
        <v>0</v>
      </c>
      <c r="M15">
        <f t="shared" si="0"/>
        <v>3.6363636363636369E-2</v>
      </c>
    </row>
    <row r="16" spans="1:13" ht="18" customHeight="1" x14ac:dyDescent="0.3">
      <c r="A16" t="s">
        <v>169</v>
      </c>
      <c r="B16">
        <f>0</f>
        <v>0</v>
      </c>
      <c r="C16">
        <f>IFERROR(AVERAGEIF(MATRIZ_174!C:C,A16,SCORECARDS!H:H),0)</f>
        <v>0</v>
      </c>
      <c r="D16">
        <f>IFERROR(AVERAGEIF(MATRIZ_174!$C:$C,A16,ISCAM_Score!$G:$G),0)</f>
        <v>0.125</v>
      </c>
      <c r="E16">
        <f>0</f>
        <v>0</v>
      </c>
      <c r="F16">
        <f>IFERROR(AVERAGEIF(MATRIZ_174!C:C,A16,SCORECARDS!I:I),0)</f>
        <v>0</v>
      </c>
      <c r="G16">
        <f>IFERROR(AVERAGEIF(MATRIZ_174!C:C,A16,SCORECARDS!J:J),0)</f>
        <v>0</v>
      </c>
      <c r="H16">
        <f>IFERROR(AVERAGEIF(MATRIZ_174!C:C,A16,SCORECARDS!K:K),0)</f>
        <v>0</v>
      </c>
      <c r="I16">
        <f>0</f>
        <v>0</v>
      </c>
      <c r="J16">
        <f>0</f>
        <v>0</v>
      </c>
      <c r="K16">
        <f>0</f>
        <v>0</v>
      </c>
      <c r="L16">
        <f>0</f>
        <v>0</v>
      </c>
      <c r="M16">
        <f t="shared" si="0"/>
        <v>1.1363636363636364E-2</v>
      </c>
    </row>
    <row r="17" spans="1:13" ht="18" customHeight="1" x14ac:dyDescent="0.3">
      <c r="A17" t="s">
        <v>762</v>
      </c>
      <c r="B17">
        <f>0</f>
        <v>0</v>
      </c>
      <c r="C17">
        <f>IFERROR(AVERAGEIF(MATRIZ_174!C:C,A17,SCORECARDS!H:H),0)</f>
        <v>0</v>
      </c>
      <c r="D17">
        <f>IFERROR(AVERAGEIF(MATRIZ_174!$C:$C,A17,ISCAM_Score!$G:$G),0)</f>
        <v>0</v>
      </c>
      <c r="E17">
        <f>0</f>
        <v>0</v>
      </c>
      <c r="F17">
        <f>IFERROR(AVERAGEIF(MATRIZ_174!C:C,A17,SCORECARDS!I:I),0)</f>
        <v>0</v>
      </c>
      <c r="G17">
        <f>IFERROR(AVERAGEIF(MATRIZ_174!C:C,A17,SCORECARDS!J:J),0)</f>
        <v>0</v>
      </c>
      <c r="H17">
        <f>IFERROR(AVERAGEIF(MATRIZ_174!C:C,A17,SCORECARDS!K:K),0)</f>
        <v>0</v>
      </c>
      <c r="I17">
        <f>0</f>
        <v>0</v>
      </c>
      <c r="J17">
        <f>0</f>
        <v>0</v>
      </c>
      <c r="K17">
        <f>0</f>
        <v>0</v>
      </c>
      <c r="L17">
        <f>0</f>
        <v>0</v>
      </c>
      <c r="M17">
        <f t="shared" si="0"/>
        <v>0</v>
      </c>
    </row>
    <row r="18" spans="1:13" x14ac:dyDescent="0.3">
      <c r="D18">
        <f>IFERROR(AVERAGEIF(MATRIZ_174!$C:$C,A18,ISCAM_Score!$G:$G),0)</f>
        <v>0</v>
      </c>
    </row>
    <row r="19" spans="1:13" x14ac:dyDescent="0.3">
      <c r="D19">
        <f>IFERROR(AVERAGEIF(MATRIZ_174!$C:$C,A19,ISCAM_Score!$G:$G),0)</f>
        <v>0</v>
      </c>
    </row>
    <row r="20" spans="1:13" ht="19.95" customHeight="1" x14ac:dyDescent="0.3">
      <c r="A20" s="37" t="s">
        <v>763</v>
      </c>
      <c r="B20" s="37"/>
      <c r="C20" s="37"/>
      <c r="D20" s="37"/>
      <c r="E20" s="37"/>
      <c r="F20" s="37"/>
      <c r="G20" s="37"/>
    </row>
    <row r="21" spans="1:13" ht="18" customHeight="1" x14ac:dyDescent="0.3">
      <c r="A21" s="37" t="s">
        <v>764</v>
      </c>
      <c r="B21" s="37"/>
      <c r="C21" s="37"/>
      <c r="D21" s="37"/>
      <c r="E21" s="37"/>
      <c r="F21" s="37"/>
      <c r="G21" s="37"/>
    </row>
    <row r="22" spans="1:13" ht="18" customHeight="1" x14ac:dyDescent="0.3">
      <c r="A22" s="37" t="s">
        <v>765</v>
      </c>
      <c r="B22" s="37"/>
      <c r="C22" s="37"/>
      <c r="D22" s="37"/>
      <c r="E22" s="37"/>
      <c r="F22" s="37"/>
      <c r="G22" s="37"/>
    </row>
    <row r="23" spans="1:13" ht="18" customHeight="1" x14ac:dyDescent="0.3">
      <c r="A23" s="37" t="s">
        <v>766</v>
      </c>
      <c r="B23" s="37"/>
      <c r="C23" s="37"/>
      <c r="D23" s="37"/>
      <c r="E23" s="37"/>
      <c r="F23" s="37"/>
      <c r="G23" s="37"/>
    </row>
    <row r="24" spans="1:13" ht="18" customHeight="1" x14ac:dyDescent="0.3">
      <c r="A24" s="37" t="s">
        <v>767</v>
      </c>
      <c r="B24" s="37"/>
      <c r="C24" s="37"/>
      <c r="D24" s="37"/>
      <c r="E24" s="37"/>
      <c r="F24" s="37"/>
      <c r="G24" s="37"/>
    </row>
    <row r="25" spans="1:13" x14ac:dyDescent="0.3">
      <c r="D25">
        <f>IFERROR(AVERAGEIF(MATRIZ_174!$C:$C,A25,ISCAM_Score!$G:$G),0)</f>
        <v>0</v>
      </c>
    </row>
    <row r="26" spans="1:13" x14ac:dyDescent="0.3">
      <c r="A26" s="37" t="s">
        <v>768</v>
      </c>
      <c r="B26" s="37"/>
      <c r="C26" s="37"/>
      <c r="D26" s="37"/>
      <c r="E26" s="37"/>
      <c r="F26" s="37"/>
      <c r="G26" s="37"/>
    </row>
  </sheetData>
  <mergeCells count="7">
    <mergeCell ref="A26:G26"/>
    <mergeCell ref="A23:G23"/>
    <mergeCell ref="A1:J1"/>
    <mergeCell ref="A21:G21"/>
    <mergeCell ref="A22:G22"/>
    <mergeCell ref="A20:G20"/>
    <mergeCell ref="A24:G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ISCAM_Score</vt:lpstr>
      <vt:lpstr>PONDERADORES</vt:lpstr>
      <vt:lpstr>MATRIZ_174</vt:lpstr>
      <vt:lpstr>PREGUNTAS_PROXY</vt:lpstr>
      <vt:lpstr>SCORECARDS</vt:lpstr>
      <vt:lpstr>RADAR_BRECHAS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Antonio Cuba Alvan</cp:lastModifiedBy>
  <dcterms:created xsi:type="dcterms:W3CDTF">2026-10-13T02:21:49Z</dcterms:created>
  <dcterms:modified xsi:type="dcterms:W3CDTF">2026-10-14T19:52:43Z</dcterms:modified>
</cp:coreProperties>
</file>