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79E02312-F304-49E7-AD26-DF1FA8E56F08}"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3" i="16" l="1"/>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3" i="5"/>
  <c r="M4" i="5"/>
  <c r="U5" i="3" s="1"/>
  <c r="M5" i="5"/>
  <c r="U6" i="3" s="1"/>
  <c r="M6" i="5"/>
  <c r="U7" i="3" s="1"/>
  <c r="M7" i="5"/>
  <c r="U8" i="3" s="1"/>
  <c r="M8" i="5"/>
  <c r="U9" i="3" s="1"/>
  <c r="M9" i="5"/>
  <c r="U10" i="3" s="1"/>
  <c r="M10" i="5"/>
  <c r="U11" i="3" s="1"/>
  <c r="M11" i="5"/>
  <c r="U12" i="3" s="1"/>
  <c r="M12" i="5"/>
  <c r="U13" i="3" s="1"/>
  <c r="M13" i="5"/>
  <c r="U14" i="3" s="1"/>
  <c r="M14" i="5"/>
  <c r="U15" i="3" s="1"/>
  <c r="M15" i="5"/>
  <c r="U16" i="3" s="1"/>
  <c r="M16" i="5"/>
  <c r="U17" i="3" s="1"/>
  <c r="M17" i="5"/>
  <c r="U18" i="3" s="1"/>
  <c r="M18" i="5"/>
  <c r="U19" i="3" s="1"/>
  <c r="M19" i="5"/>
  <c r="U20" i="3" s="1"/>
  <c r="M20" i="5"/>
  <c r="U21" i="3" s="1"/>
  <c r="M21" i="5"/>
  <c r="U22" i="3" s="1"/>
  <c r="M22" i="5"/>
  <c r="U23" i="3" s="1"/>
  <c r="M23" i="5"/>
  <c r="U24" i="3" s="1"/>
  <c r="M24" i="5"/>
  <c r="U25" i="3" s="1"/>
  <c r="M25" i="5"/>
  <c r="U26" i="3" s="1"/>
  <c r="M26" i="5"/>
  <c r="U27" i="3" s="1"/>
  <c r="M27" i="5"/>
  <c r="U28" i="3" s="1"/>
  <c r="M28" i="5"/>
  <c r="U29" i="3" s="1"/>
  <c r="M29" i="5"/>
  <c r="U30" i="3" s="1"/>
  <c r="M30" i="5"/>
  <c r="U31" i="3" s="1"/>
  <c r="M31" i="5"/>
  <c r="U32" i="3" s="1"/>
  <c r="M32" i="5"/>
  <c r="U33" i="3" s="1"/>
  <c r="M33" i="5"/>
  <c r="U34" i="3" s="1"/>
  <c r="M34" i="5"/>
  <c r="U35" i="3" s="1"/>
  <c r="M35" i="5"/>
  <c r="U36" i="3" s="1"/>
  <c r="M36" i="5"/>
  <c r="U37" i="3" s="1"/>
  <c r="M37" i="5"/>
  <c r="U38" i="3" s="1"/>
  <c r="M38" i="5"/>
  <c r="U39" i="3" s="1"/>
  <c r="M39" i="5"/>
  <c r="U40" i="3" s="1"/>
  <c r="M40" i="5"/>
  <c r="U41" i="3" s="1"/>
  <c r="M41" i="5"/>
  <c r="U42" i="3" s="1"/>
  <c r="M42" i="5"/>
  <c r="U43" i="3" s="1"/>
  <c r="M43" i="5"/>
  <c r="U44" i="3" s="1"/>
  <c r="M44" i="5"/>
  <c r="U45" i="3" s="1"/>
  <c r="M45" i="5"/>
  <c r="U46" i="3" s="1"/>
  <c r="M46" i="5"/>
  <c r="U47" i="3" s="1"/>
  <c r="M47" i="5"/>
  <c r="U48" i="3" s="1"/>
  <c r="M48" i="5"/>
  <c r="U49" i="3" s="1"/>
  <c r="M49" i="5"/>
  <c r="U50" i="3" s="1"/>
  <c r="M50" i="5"/>
  <c r="U51" i="3" s="1"/>
  <c r="M51" i="5"/>
  <c r="U52" i="3" s="1"/>
  <c r="M52" i="5"/>
  <c r="U53" i="3" s="1"/>
  <c r="M53" i="5"/>
  <c r="U54" i="3" s="1"/>
  <c r="M54" i="5"/>
  <c r="U55" i="3" s="1"/>
  <c r="M55" i="5"/>
  <c r="U56" i="3" s="1"/>
  <c r="M56" i="5"/>
  <c r="U57" i="3" s="1"/>
  <c r="M57" i="5"/>
  <c r="U58" i="3" s="1"/>
  <c r="M58" i="5"/>
  <c r="U59" i="3" s="1"/>
  <c r="M59" i="5"/>
  <c r="U60" i="3" s="1"/>
  <c r="M60" i="5"/>
  <c r="U61" i="3" s="1"/>
  <c r="M61" i="5"/>
  <c r="U62" i="3" s="1"/>
  <c r="M62" i="5"/>
  <c r="U63" i="3" s="1"/>
  <c r="M63" i="5"/>
  <c r="U64" i="3" s="1"/>
  <c r="M64" i="5"/>
  <c r="U65" i="3" s="1"/>
  <c r="M65" i="5"/>
  <c r="U66" i="3" s="1"/>
  <c r="M66" i="5"/>
  <c r="U67" i="3" s="1"/>
  <c r="M67" i="5"/>
  <c r="U68" i="3" s="1"/>
  <c r="M68" i="5"/>
  <c r="U69" i="3" s="1"/>
  <c r="M69" i="5"/>
  <c r="U70" i="3" s="1"/>
  <c r="M70" i="5"/>
  <c r="U71" i="3" s="1"/>
  <c r="M71" i="5"/>
  <c r="U72" i="3" s="1"/>
  <c r="M72" i="5"/>
  <c r="U73" i="3" s="1"/>
  <c r="M73" i="5"/>
  <c r="U74" i="3" s="1"/>
  <c r="M74" i="5"/>
  <c r="U75" i="3" s="1"/>
  <c r="M75" i="5"/>
  <c r="U76" i="3" s="1"/>
  <c r="M76" i="5"/>
  <c r="U77" i="3" s="1"/>
  <c r="M77" i="5"/>
  <c r="U78" i="3" s="1"/>
  <c r="M78" i="5"/>
  <c r="U79" i="3" s="1"/>
  <c r="M79" i="5"/>
  <c r="U80" i="3" s="1"/>
  <c r="M80" i="5"/>
  <c r="U81" i="3" s="1"/>
  <c r="M81" i="5"/>
  <c r="U82" i="3" s="1"/>
  <c r="M82" i="5"/>
  <c r="U83" i="3" s="1"/>
  <c r="M83" i="5"/>
  <c r="U84" i="3" s="1"/>
  <c r="M84" i="5"/>
  <c r="U85" i="3" s="1"/>
  <c r="M85" i="5"/>
  <c r="U86" i="3" s="1"/>
  <c r="M86" i="5"/>
  <c r="U87" i="3" s="1"/>
  <c r="M87" i="5"/>
  <c r="U88" i="3" s="1"/>
  <c r="M88" i="5"/>
  <c r="U89" i="3" s="1"/>
  <c r="M89" i="5"/>
  <c r="U90" i="3" s="1"/>
  <c r="M90" i="5"/>
  <c r="U91" i="3" s="1"/>
  <c r="M91" i="5"/>
  <c r="U92" i="3" s="1"/>
  <c r="M92" i="5"/>
  <c r="U93" i="3" s="1"/>
  <c r="M93" i="5"/>
  <c r="U94" i="3" s="1"/>
  <c r="M94" i="5"/>
  <c r="U95" i="3" s="1"/>
  <c r="M95" i="5"/>
  <c r="U96" i="3" s="1"/>
  <c r="M96" i="5"/>
  <c r="U97" i="3" s="1"/>
  <c r="M97" i="5"/>
  <c r="U98" i="3" s="1"/>
  <c r="M98" i="5"/>
  <c r="U99" i="3" s="1"/>
  <c r="M99" i="5"/>
  <c r="U100" i="3" s="1"/>
  <c r="M100" i="5"/>
  <c r="U101" i="3" s="1"/>
  <c r="M101" i="5"/>
  <c r="U102" i="3" s="1"/>
  <c r="M102" i="5"/>
  <c r="U103" i="3" s="1"/>
  <c r="M103" i="5"/>
  <c r="U104" i="3" s="1"/>
  <c r="M104" i="5"/>
  <c r="U105" i="3" s="1"/>
  <c r="M105" i="5"/>
  <c r="U106" i="3" s="1"/>
  <c r="M106" i="5"/>
  <c r="U107" i="3" s="1"/>
  <c r="M107" i="5"/>
  <c r="U108" i="3" s="1"/>
  <c r="M108" i="5"/>
  <c r="U109" i="3" s="1"/>
  <c r="M109" i="5"/>
  <c r="U110" i="3" s="1"/>
  <c r="M110" i="5"/>
  <c r="U111" i="3" s="1"/>
  <c r="M111" i="5"/>
  <c r="U112" i="3" s="1"/>
  <c r="M112" i="5"/>
  <c r="U113" i="3" s="1"/>
  <c r="M113" i="5"/>
  <c r="U114" i="3" s="1"/>
  <c r="M114" i="5"/>
  <c r="U115" i="3" s="1"/>
  <c r="M115" i="5"/>
  <c r="U116" i="3" s="1"/>
  <c r="M116" i="5"/>
  <c r="U117" i="3" s="1"/>
  <c r="M117" i="5"/>
  <c r="U118" i="3" s="1"/>
  <c r="M118" i="5"/>
  <c r="U119" i="3" s="1"/>
  <c r="M119" i="5"/>
  <c r="U120" i="3" s="1"/>
  <c r="M120" i="5"/>
  <c r="U121" i="3" s="1"/>
  <c r="M121" i="5"/>
  <c r="U122" i="3" s="1"/>
  <c r="M122" i="5"/>
  <c r="U123" i="3" s="1"/>
  <c r="M123" i="5"/>
  <c r="U124" i="3" s="1"/>
  <c r="M124" i="5"/>
  <c r="U125" i="3" s="1"/>
  <c r="M125" i="5"/>
  <c r="U126" i="3" s="1"/>
  <c r="M126" i="5"/>
  <c r="U127" i="3" s="1"/>
  <c r="M127" i="5"/>
  <c r="U128" i="3" s="1"/>
  <c r="M128" i="5"/>
  <c r="U129" i="3" s="1"/>
  <c r="M129" i="5"/>
  <c r="U130" i="3" s="1"/>
  <c r="M130" i="5"/>
  <c r="U131" i="3" s="1"/>
  <c r="M131" i="5"/>
  <c r="U132" i="3" s="1"/>
  <c r="M132" i="5"/>
  <c r="U133" i="3" s="1"/>
  <c r="M133" i="5"/>
  <c r="U134" i="3" s="1"/>
  <c r="M134" i="5"/>
  <c r="U135" i="3" s="1"/>
  <c r="M135" i="5"/>
  <c r="U136" i="3" s="1"/>
  <c r="M136" i="5"/>
  <c r="U137" i="3" s="1"/>
  <c r="M137" i="5"/>
  <c r="U138" i="3" s="1"/>
  <c r="M138" i="5"/>
  <c r="U139" i="3" s="1"/>
  <c r="M139" i="5"/>
  <c r="U140" i="3" s="1"/>
  <c r="M140" i="5"/>
  <c r="U141" i="3" s="1"/>
  <c r="M141" i="5"/>
  <c r="U142" i="3" s="1"/>
  <c r="M142" i="5"/>
  <c r="U143" i="3" s="1"/>
  <c r="M143" i="5"/>
  <c r="U144" i="3" s="1"/>
  <c r="M144" i="5"/>
  <c r="U145" i="3" s="1"/>
  <c r="M145" i="5"/>
  <c r="U146" i="3" s="1"/>
  <c r="M146" i="5"/>
  <c r="U147" i="3" s="1"/>
  <c r="M147" i="5"/>
  <c r="U148" i="3" s="1"/>
  <c r="M148" i="5"/>
  <c r="U149" i="3" s="1"/>
  <c r="M149" i="5"/>
  <c r="U150" i="3" s="1"/>
  <c r="M150" i="5"/>
  <c r="U151" i="3" s="1"/>
  <c r="M151" i="5"/>
  <c r="U152" i="3" s="1"/>
  <c r="M152" i="5"/>
  <c r="U153" i="3" s="1"/>
  <c r="M153" i="5"/>
  <c r="U154" i="3" s="1"/>
  <c r="M154" i="5"/>
  <c r="U155" i="3" s="1"/>
  <c r="M155" i="5"/>
  <c r="U156" i="3" s="1"/>
  <c r="M156" i="5"/>
  <c r="U157" i="3" s="1"/>
  <c r="M157" i="5"/>
  <c r="U158" i="3" s="1"/>
  <c r="M158" i="5"/>
  <c r="U159" i="3" s="1"/>
  <c r="M159" i="5"/>
  <c r="U160" i="3" s="1"/>
  <c r="M160" i="5"/>
  <c r="U161" i="3" s="1"/>
  <c r="M161" i="5"/>
  <c r="U162" i="3" s="1"/>
  <c r="M162" i="5"/>
  <c r="U163" i="3" s="1"/>
  <c r="M163" i="5"/>
  <c r="U164" i="3" s="1"/>
  <c r="M164" i="5"/>
  <c r="U165" i="3" s="1"/>
  <c r="M165" i="5"/>
  <c r="U166" i="3" s="1"/>
  <c r="M166" i="5"/>
  <c r="U167" i="3" s="1"/>
  <c r="M167" i="5"/>
  <c r="U168" i="3" s="1"/>
  <c r="M168" i="5"/>
  <c r="U169" i="3" s="1"/>
  <c r="M169" i="5"/>
  <c r="U170" i="3" s="1"/>
  <c r="M170" i="5"/>
  <c r="U171" i="3" s="1"/>
  <c r="M171" i="5"/>
  <c r="U172" i="3" s="1"/>
  <c r="M172" i="5"/>
  <c r="U173" i="3" s="1"/>
  <c r="M173" i="5"/>
  <c r="U174" i="3" s="1"/>
  <c r="M174" i="5"/>
  <c r="U175" i="3" s="1"/>
  <c r="M175" i="5"/>
  <c r="U176" i="3" s="1"/>
  <c r="M176" i="5"/>
  <c r="U177" i="3" s="1"/>
  <c r="M3" i="5"/>
  <c r="U4" i="3" s="1"/>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BY4" i="16"/>
  <c r="Z4" i="5" s="1"/>
  <c r="AH5" i="3" s="1"/>
  <c r="BY5" i="16"/>
  <c r="Z5" i="5" s="1"/>
  <c r="AH6" i="3" s="1"/>
  <c r="BY6" i="16"/>
  <c r="Z6" i="5" s="1"/>
  <c r="AH7" i="3" s="1"/>
  <c r="BY7" i="16"/>
  <c r="Z7" i="5" s="1"/>
  <c r="AH8" i="3" s="1"/>
  <c r="BY8" i="16"/>
  <c r="Z8" i="5" s="1"/>
  <c r="AH9" i="3" s="1"/>
  <c r="BY9" i="16"/>
  <c r="Z9" i="5" s="1"/>
  <c r="AH10" i="3" s="1"/>
  <c r="BY10" i="16"/>
  <c r="Z10" i="5" s="1"/>
  <c r="AH11" i="3" s="1"/>
  <c r="BY11" i="16"/>
  <c r="Z11" i="5" s="1"/>
  <c r="AH12" i="3" s="1"/>
  <c r="BY12" i="16"/>
  <c r="Z12" i="5" s="1"/>
  <c r="AH13" i="3" s="1"/>
  <c r="BY13" i="16"/>
  <c r="Z13" i="5" s="1"/>
  <c r="AH14" i="3" s="1"/>
  <c r="BY14" i="16"/>
  <c r="Z14" i="5" s="1"/>
  <c r="AH15" i="3" s="1"/>
  <c r="BY15" i="16"/>
  <c r="Z15" i="5" s="1"/>
  <c r="AH16" i="3" s="1"/>
  <c r="BY16" i="16"/>
  <c r="Z16" i="5" s="1"/>
  <c r="AH17" i="3" s="1"/>
  <c r="BY17" i="16"/>
  <c r="Z17" i="5" s="1"/>
  <c r="AH18" i="3" s="1"/>
  <c r="BY18" i="16"/>
  <c r="Z18" i="5" s="1"/>
  <c r="AH19" i="3" s="1"/>
  <c r="BY19" i="16"/>
  <c r="Z19" i="5" s="1"/>
  <c r="AH20" i="3" s="1"/>
  <c r="BY20" i="16"/>
  <c r="Z20" i="5" s="1"/>
  <c r="AH21" i="3" s="1"/>
  <c r="BY21" i="16"/>
  <c r="Z21" i="5" s="1"/>
  <c r="AH22" i="3" s="1"/>
  <c r="BY22" i="16"/>
  <c r="Z22" i="5" s="1"/>
  <c r="AH23" i="3" s="1"/>
  <c r="BY23" i="16"/>
  <c r="Z23" i="5" s="1"/>
  <c r="AH24" i="3" s="1"/>
  <c r="BY24" i="16"/>
  <c r="Z24" i="5" s="1"/>
  <c r="AH25" i="3" s="1"/>
  <c r="BY25" i="16"/>
  <c r="Z25" i="5" s="1"/>
  <c r="AH26" i="3" s="1"/>
  <c r="BY26" i="16"/>
  <c r="Z26" i="5" s="1"/>
  <c r="AH27" i="3" s="1"/>
  <c r="BY27" i="16"/>
  <c r="Z27" i="5" s="1"/>
  <c r="AH28" i="3" s="1"/>
  <c r="BY28" i="16"/>
  <c r="Z28" i="5" s="1"/>
  <c r="AH29" i="3" s="1"/>
  <c r="BY29" i="16"/>
  <c r="Z29" i="5" s="1"/>
  <c r="AH30" i="3" s="1"/>
  <c r="BY30" i="16"/>
  <c r="Z30" i="5" s="1"/>
  <c r="AH31" i="3" s="1"/>
  <c r="BY31" i="16"/>
  <c r="Z31" i="5" s="1"/>
  <c r="AH32" i="3" s="1"/>
  <c r="BY32" i="16"/>
  <c r="Z32" i="5" s="1"/>
  <c r="AH33" i="3" s="1"/>
  <c r="BY33" i="16"/>
  <c r="Z33" i="5" s="1"/>
  <c r="AH34" i="3" s="1"/>
  <c r="BY34" i="16"/>
  <c r="Z34" i="5" s="1"/>
  <c r="AH35" i="3" s="1"/>
  <c r="BY35" i="16"/>
  <c r="Z35" i="5" s="1"/>
  <c r="AH36" i="3" s="1"/>
  <c r="BY36" i="16"/>
  <c r="Z36" i="5" s="1"/>
  <c r="AH37" i="3" s="1"/>
  <c r="BY37" i="16"/>
  <c r="Z37" i="5" s="1"/>
  <c r="AH38" i="3" s="1"/>
  <c r="BY38" i="16"/>
  <c r="Z38" i="5" s="1"/>
  <c r="AH39" i="3" s="1"/>
  <c r="BY39" i="16"/>
  <c r="Z39" i="5" s="1"/>
  <c r="AH40" i="3" s="1"/>
  <c r="BY40" i="16"/>
  <c r="Z40" i="5" s="1"/>
  <c r="AH41" i="3" s="1"/>
  <c r="BY41" i="16"/>
  <c r="Z41" i="5" s="1"/>
  <c r="AH42" i="3" s="1"/>
  <c r="BY42" i="16"/>
  <c r="Z42" i="5" s="1"/>
  <c r="AH43" i="3" s="1"/>
  <c r="BY43" i="16"/>
  <c r="Z43" i="5" s="1"/>
  <c r="AH44" i="3" s="1"/>
  <c r="BY44" i="16"/>
  <c r="Z44" i="5" s="1"/>
  <c r="AH45" i="3" s="1"/>
  <c r="BY45" i="16"/>
  <c r="Z45" i="5" s="1"/>
  <c r="AH46" i="3" s="1"/>
  <c r="BY46" i="16"/>
  <c r="Z46" i="5" s="1"/>
  <c r="AH47" i="3" s="1"/>
  <c r="BY47" i="16"/>
  <c r="Z47" i="5" s="1"/>
  <c r="AH48" i="3" s="1"/>
  <c r="BY48" i="16"/>
  <c r="Z48" i="5" s="1"/>
  <c r="AH49" i="3" s="1"/>
  <c r="BY49" i="16"/>
  <c r="Z49" i="5" s="1"/>
  <c r="AH50" i="3" s="1"/>
  <c r="BY50" i="16"/>
  <c r="Z50" i="5" s="1"/>
  <c r="AH51" i="3" s="1"/>
  <c r="BY51" i="16"/>
  <c r="Z51" i="5" s="1"/>
  <c r="AH52" i="3" s="1"/>
  <c r="BY52" i="16"/>
  <c r="Z52" i="5" s="1"/>
  <c r="AH53" i="3" s="1"/>
  <c r="BY53" i="16"/>
  <c r="Z53" i="5" s="1"/>
  <c r="AH54" i="3" s="1"/>
  <c r="BY54" i="16"/>
  <c r="Z54" i="5" s="1"/>
  <c r="AH55" i="3" s="1"/>
  <c r="BY55" i="16"/>
  <c r="Z55" i="5" s="1"/>
  <c r="AH56" i="3" s="1"/>
  <c r="BY56" i="16"/>
  <c r="Z56" i="5" s="1"/>
  <c r="AH57" i="3" s="1"/>
  <c r="BY57" i="16"/>
  <c r="Z57" i="5" s="1"/>
  <c r="AH58" i="3" s="1"/>
  <c r="BY58" i="16"/>
  <c r="Z58" i="5" s="1"/>
  <c r="AH59" i="3" s="1"/>
  <c r="BY59" i="16"/>
  <c r="Z59" i="5" s="1"/>
  <c r="AH60" i="3" s="1"/>
  <c r="BY60" i="16"/>
  <c r="Z60" i="5" s="1"/>
  <c r="AH61" i="3" s="1"/>
  <c r="BY61" i="16"/>
  <c r="Z61" i="5" s="1"/>
  <c r="AH62" i="3" s="1"/>
  <c r="BY62" i="16"/>
  <c r="Z62" i="5" s="1"/>
  <c r="AH63" i="3" s="1"/>
  <c r="BY63" i="16"/>
  <c r="Z63" i="5" s="1"/>
  <c r="AH64" i="3" s="1"/>
  <c r="BY64" i="16"/>
  <c r="Z64" i="5" s="1"/>
  <c r="AH65" i="3" s="1"/>
  <c r="BY65" i="16"/>
  <c r="Z65" i="5" s="1"/>
  <c r="AH66" i="3" s="1"/>
  <c r="BY66" i="16"/>
  <c r="Z66" i="5" s="1"/>
  <c r="AH67" i="3" s="1"/>
  <c r="BY67" i="16"/>
  <c r="Z67" i="5" s="1"/>
  <c r="AH68" i="3" s="1"/>
  <c r="BY68" i="16"/>
  <c r="Z68" i="5" s="1"/>
  <c r="AH69" i="3" s="1"/>
  <c r="BY69" i="16"/>
  <c r="Z69" i="5" s="1"/>
  <c r="AH70" i="3" s="1"/>
  <c r="BY70" i="16"/>
  <c r="Z70" i="5" s="1"/>
  <c r="AH71" i="3" s="1"/>
  <c r="BY71" i="16"/>
  <c r="Z71" i="5" s="1"/>
  <c r="AH72" i="3" s="1"/>
  <c r="BY72" i="16"/>
  <c r="Z72" i="5" s="1"/>
  <c r="AH73" i="3" s="1"/>
  <c r="BY73" i="16"/>
  <c r="Z73" i="5" s="1"/>
  <c r="AH74" i="3" s="1"/>
  <c r="BY74" i="16"/>
  <c r="Z74" i="5" s="1"/>
  <c r="AH75" i="3" s="1"/>
  <c r="BY75" i="16"/>
  <c r="Z75" i="5" s="1"/>
  <c r="AH76" i="3" s="1"/>
  <c r="BY76" i="16"/>
  <c r="Z76" i="5" s="1"/>
  <c r="AH77" i="3" s="1"/>
  <c r="BY77" i="16"/>
  <c r="Z77" i="5" s="1"/>
  <c r="AH78" i="3" s="1"/>
  <c r="BY78" i="16"/>
  <c r="Z78" i="5" s="1"/>
  <c r="AH79" i="3" s="1"/>
  <c r="BY79" i="16"/>
  <c r="Z79" i="5" s="1"/>
  <c r="AH80" i="3" s="1"/>
  <c r="BY80" i="16"/>
  <c r="Z80" i="5" s="1"/>
  <c r="AH81" i="3" s="1"/>
  <c r="BY81" i="16"/>
  <c r="Z81" i="5" s="1"/>
  <c r="AH82" i="3" s="1"/>
  <c r="BY82" i="16"/>
  <c r="Z82" i="5" s="1"/>
  <c r="AH83" i="3" s="1"/>
  <c r="BY83" i="16"/>
  <c r="Z83" i="5" s="1"/>
  <c r="AH84" i="3" s="1"/>
  <c r="BY84" i="16"/>
  <c r="Z84" i="5" s="1"/>
  <c r="AH85" i="3" s="1"/>
  <c r="BY85" i="16"/>
  <c r="Z85" i="5" s="1"/>
  <c r="AH86" i="3" s="1"/>
  <c r="BY86" i="16"/>
  <c r="Z86" i="5" s="1"/>
  <c r="AH87" i="3" s="1"/>
  <c r="BY87" i="16"/>
  <c r="Z87" i="5" s="1"/>
  <c r="AH88" i="3" s="1"/>
  <c r="BY88" i="16"/>
  <c r="Z88" i="5" s="1"/>
  <c r="AH89" i="3" s="1"/>
  <c r="BY89" i="16"/>
  <c r="Z89" i="5" s="1"/>
  <c r="AH90" i="3" s="1"/>
  <c r="BY90" i="16"/>
  <c r="Z90" i="5" s="1"/>
  <c r="AH91" i="3" s="1"/>
  <c r="BY91" i="16"/>
  <c r="Z91" i="5" s="1"/>
  <c r="AH92" i="3" s="1"/>
  <c r="BY92" i="16"/>
  <c r="Z92" i="5" s="1"/>
  <c r="AH93" i="3" s="1"/>
  <c r="BY93" i="16"/>
  <c r="Z93" i="5" s="1"/>
  <c r="AH94" i="3" s="1"/>
  <c r="BY94" i="16"/>
  <c r="Z94" i="5" s="1"/>
  <c r="AH95" i="3" s="1"/>
  <c r="BY95" i="16"/>
  <c r="Z95" i="5" s="1"/>
  <c r="AH96" i="3" s="1"/>
  <c r="BY96" i="16"/>
  <c r="Z96" i="5" s="1"/>
  <c r="AH97" i="3" s="1"/>
  <c r="BY97" i="16"/>
  <c r="Z97" i="5" s="1"/>
  <c r="AH98" i="3" s="1"/>
  <c r="BY98" i="16"/>
  <c r="Z98" i="5" s="1"/>
  <c r="AH99" i="3" s="1"/>
  <c r="BY99" i="16"/>
  <c r="Z99" i="5" s="1"/>
  <c r="AH100" i="3" s="1"/>
  <c r="BY100" i="16"/>
  <c r="Z100" i="5" s="1"/>
  <c r="AH101" i="3" s="1"/>
  <c r="BY101" i="16"/>
  <c r="Z101" i="5" s="1"/>
  <c r="AH102" i="3" s="1"/>
  <c r="BY102" i="16"/>
  <c r="Z102" i="5" s="1"/>
  <c r="AH103" i="3" s="1"/>
  <c r="BY103" i="16"/>
  <c r="Z103" i="5" s="1"/>
  <c r="AH104" i="3" s="1"/>
  <c r="BY104" i="16"/>
  <c r="Z104" i="5" s="1"/>
  <c r="AH105" i="3" s="1"/>
  <c r="BY105" i="16"/>
  <c r="Z105" i="5" s="1"/>
  <c r="AH106" i="3" s="1"/>
  <c r="BY106" i="16"/>
  <c r="Z106" i="5" s="1"/>
  <c r="AH107" i="3" s="1"/>
  <c r="BY107" i="16"/>
  <c r="Z107" i="5" s="1"/>
  <c r="AH108" i="3" s="1"/>
  <c r="BY108" i="16"/>
  <c r="Z108" i="5" s="1"/>
  <c r="AH109" i="3" s="1"/>
  <c r="BY109" i="16"/>
  <c r="Z109" i="5" s="1"/>
  <c r="AH110" i="3" s="1"/>
  <c r="BY110" i="16"/>
  <c r="Z110" i="5" s="1"/>
  <c r="AH111" i="3" s="1"/>
  <c r="BY111" i="16"/>
  <c r="Z111" i="5" s="1"/>
  <c r="AH112" i="3" s="1"/>
  <c r="BY112" i="16"/>
  <c r="Z112" i="5" s="1"/>
  <c r="AH113" i="3" s="1"/>
  <c r="BY113" i="16"/>
  <c r="Z113" i="5" s="1"/>
  <c r="AH114" i="3" s="1"/>
  <c r="BY114" i="16"/>
  <c r="Z114" i="5" s="1"/>
  <c r="AH115" i="3" s="1"/>
  <c r="BY115" i="16"/>
  <c r="Z115" i="5" s="1"/>
  <c r="AH116" i="3" s="1"/>
  <c r="BY116" i="16"/>
  <c r="Z116" i="5" s="1"/>
  <c r="AH117" i="3" s="1"/>
  <c r="BY117" i="16"/>
  <c r="Z117" i="5" s="1"/>
  <c r="AH118" i="3" s="1"/>
  <c r="BY118" i="16"/>
  <c r="Z118" i="5" s="1"/>
  <c r="AH119" i="3" s="1"/>
  <c r="BY119" i="16"/>
  <c r="Z119" i="5" s="1"/>
  <c r="AH120" i="3" s="1"/>
  <c r="BY120" i="16"/>
  <c r="Z120" i="5" s="1"/>
  <c r="AH121" i="3" s="1"/>
  <c r="BY121" i="16"/>
  <c r="Z121" i="5" s="1"/>
  <c r="AH122" i="3" s="1"/>
  <c r="BY122" i="16"/>
  <c r="Z122" i="5" s="1"/>
  <c r="AH123" i="3" s="1"/>
  <c r="BY123" i="16"/>
  <c r="Z123" i="5" s="1"/>
  <c r="AH124" i="3" s="1"/>
  <c r="BY124" i="16"/>
  <c r="Z124" i="5" s="1"/>
  <c r="AH125" i="3" s="1"/>
  <c r="BY125" i="16"/>
  <c r="Z125" i="5" s="1"/>
  <c r="AH126" i="3" s="1"/>
  <c r="BY126" i="16"/>
  <c r="Z126" i="5" s="1"/>
  <c r="AH127" i="3" s="1"/>
  <c r="BY127" i="16"/>
  <c r="Z127" i="5" s="1"/>
  <c r="AH128" i="3" s="1"/>
  <c r="BY128" i="16"/>
  <c r="Z128" i="5" s="1"/>
  <c r="AH129" i="3" s="1"/>
  <c r="BY129" i="16"/>
  <c r="Z129" i="5" s="1"/>
  <c r="AH130" i="3" s="1"/>
  <c r="BY130" i="16"/>
  <c r="Z130" i="5" s="1"/>
  <c r="AH131" i="3" s="1"/>
  <c r="BY131" i="16"/>
  <c r="Z131" i="5" s="1"/>
  <c r="AH132" i="3" s="1"/>
  <c r="BY132" i="16"/>
  <c r="Z132" i="5" s="1"/>
  <c r="AH133" i="3" s="1"/>
  <c r="BY133" i="16"/>
  <c r="Z133" i="5" s="1"/>
  <c r="AH134" i="3" s="1"/>
  <c r="BY134" i="16"/>
  <c r="Z134" i="5" s="1"/>
  <c r="AH135" i="3" s="1"/>
  <c r="BY135" i="16"/>
  <c r="Z135" i="5" s="1"/>
  <c r="AH136" i="3" s="1"/>
  <c r="BY136" i="16"/>
  <c r="Z136" i="5" s="1"/>
  <c r="AH137" i="3" s="1"/>
  <c r="BY137" i="16"/>
  <c r="Z137" i="5" s="1"/>
  <c r="AH138" i="3" s="1"/>
  <c r="BY138" i="16"/>
  <c r="Z138" i="5" s="1"/>
  <c r="AH139" i="3" s="1"/>
  <c r="BY139" i="16"/>
  <c r="Z139" i="5" s="1"/>
  <c r="AH140" i="3" s="1"/>
  <c r="BY140" i="16"/>
  <c r="Z140" i="5" s="1"/>
  <c r="AH141" i="3" s="1"/>
  <c r="BY141" i="16"/>
  <c r="Z141" i="5" s="1"/>
  <c r="AH142" i="3" s="1"/>
  <c r="BY142" i="16"/>
  <c r="Z142" i="5" s="1"/>
  <c r="AH143" i="3" s="1"/>
  <c r="BY143" i="16"/>
  <c r="Z143" i="5" s="1"/>
  <c r="AH144" i="3" s="1"/>
  <c r="BY144" i="16"/>
  <c r="Z144" i="5" s="1"/>
  <c r="AH145" i="3" s="1"/>
  <c r="BY145" i="16"/>
  <c r="Z145" i="5" s="1"/>
  <c r="AH146" i="3" s="1"/>
  <c r="BY146" i="16"/>
  <c r="Z146" i="5" s="1"/>
  <c r="AH147" i="3" s="1"/>
  <c r="BY147" i="16"/>
  <c r="Z147" i="5" s="1"/>
  <c r="AH148" i="3" s="1"/>
  <c r="BY148" i="16"/>
  <c r="Z148" i="5" s="1"/>
  <c r="AH149" i="3" s="1"/>
  <c r="BY149" i="16"/>
  <c r="Z149" i="5" s="1"/>
  <c r="AH150" i="3" s="1"/>
  <c r="BY150" i="16"/>
  <c r="Z150" i="5" s="1"/>
  <c r="AH151" i="3" s="1"/>
  <c r="BY151" i="16"/>
  <c r="Z151" i="5" s="1"/>
  <c r="AH152" i="3" s="1"/>
  <c r="BY152" i="16"/>
  <c r="Z152" i="5" s="1"/>
  <c r="AH153" i="3" s="1"/>
  <c r="BY153" i="16"/>
  <c r="Z153" i="5" s="1"/>
  <c r="AH154" i="3" s="1"/>
  <c r="BY154" i="16"/>
  <c r="Z154" i="5" s="1"/>
  <c r="AH155" i="3" s="1"/>
  <c r="BY155" i="16"/>
  <c r="Z155" i="5" s="1"/>
  <c r="AH156" i="3" s="1"/>
  <c r="BY156" i="16"/>
  <c r="Z156" i="5" s="1"/>
  <c r="AH157" i="3" s="1"/>
  <c r="BY157" i="16"/>
  <c r="Z157" i="5" s="1"/>
  <c r="AH158" i="3" s="1"/>
  <c r="BY158" i="16"/>
  <c r="Z158" i="5" s="1"/>
  <c r="AH159" i="3" s="1"/>
  <c r="BY159" i="16"/>
  <c r="Z159" i="5" s="1"/>
  <c r="AH160" i="3" s="1"/>
  <c r="BY160" i="16"/>
  <c r="Z160" i="5" s="1"/>
  <c r="AH161" i="3" s="1"/>
  <c r="BY161" i="16"/>
  <c r="Z161" i="5" s="1"/>
  <c r="AH162" i="3" s="1"/>
  <c r="BY162" i="16"/>
  <c r="Z162" i="5" s="1"/>
  <c r="AH163" i="3" s="1"/>
  <c r="BY163" i="16"/>
  <c r="Z163" i="5" s="1"/>
  <c r="AH164" i="3" s="1"/>
  <c r="BY164" i="16"/>
  <c r="Z164" i="5" s="1"/>
  <c r="AH165" i="3" s="1"/>
  <c r="BY165" i="16"/>
  <c r="Z165" i="5" s="1"/>
  <c r="AH166" i="3" s="1"/>
  <c r="BY166" i="16"/>
  <c r="Z166" i="5" s="1"/>
  <c r="AH167" i="3" s="1"/>
  <c r="BY167" i="16"/>
  <c r="Z167" i="5" s="1"/>
  <c r="AH168" i="3" s="1"/>
  <c r="BY168" i="16"/>
  <c r="Z168" i="5" s="1"/>
  <c r="AH169" i="3" s="1"/>
  <c r="BY169" i="16"/>
  <c r="Z169" i="5" s="1"/>
  <c r="AH170" i="3" s="1"/>
  <c r="BY170" i="16"/>
  <c r="Z170" i="5" s="1"/>
  <c r="AH171" i="3" s="1"/>
  <c r="BY171" i="16"/>
  <c r="Z171" i="5" s="1"/>
  <c r="AH172" i="3" s="1"/>
  <c r="BY172" i="16"/>
  <c r="Z172" i="5" s="1"/>
  <c r="AH173" i="3" s="1"/>
  <c r="BY173" i="16"/>
  <c r="Z173" i="5" s="1"/>
  <c r="AH174" i="3" s="1"/>
  <c r="BY174" i="16"/>
  <c r="Z174" i="5" s="1"/>
  <c r="AH175" i="3" s="1"/>
  <c r="BY175" i="16"/>
  <c r="Z175" i="5" s="1"/>
  <c r="AH176" i="3" s="1"/>
  <c r="BY176" i="16"/>
  <c r="Z176" i="5" s="1"/>
  <c r="AH177" i="3" s="1"/>
  <c r="BX3" i="16"/>
  <c r="BX4" i="16"/>
  <c r="Y4" i="5" s="1"/>
  <c r="AG5" i="3" s="1"/>
  <c r="BX5" i="16"/>
  <c r="Y5" i="5" s="1"/>
  <c r="AG6" i="3" s="1"/>
  <c r="BX6" i="16"/>
  <c r="Y6" i="5" s="1"/>
  <c r="AG7" i="3" s="1"/>
  <c r="BX7" i="16"/>
  <c r="Y7" i="5" s="1"/>
  <c r="AG8" i="3" s="1"/>
  <c r="BX8" i="16"/>
  <c r="Y8" i="5" s="1"/>
  <c r="AG9" i="3" s="1"/>
  <c r="BX9" i="16"/>
  <c r="Y9" i="5" s="1"/>
  <c r="AG10" i="3" s="1"/>
  <c r="BX10" i="16"/>
  <c r="Y10" i="5" s="1"/>
  <c r="AG11" i="3" s="1"/>
  <c r="BX11" i="16"/>
  <c r="Y11" i="5" s="1"/>
  <c r="AG12" i="3" s="1"/>
  <c r="BX12" i="16"/>
  <c r="Y12" i="5" s="1"/>
  <c r="AG13" i="3" s="1"/>
  <c r="BX13" i="16"/>
  <c r="Y13" i="5" s="1"/>
  <c r="AG14" i="3" s="1"/>
  <c r="BX14" i="16"/>
  <c r="Y14" i="5" s="1"/>
  <c r="AG15" i="3" s="1"/>
  <c r="BX15" i="16"/>
  <c r="Y15" i="5" s="1"/>
  <c r="AG16" i="3" s="1"/>
  <c r="BX16" i="16"/>
  <c r="Y16" i="5" s="1"/>
  <c r="AG17" i="3" s="1"/>
  <c r="BX17" i="16"/>
  <c r="Y17" i="5" s="1"/>
  <c r="AG18" i="3" s="1"/>
  <c r="BX18" i="16"/>
  <c r="Y18" i="5" s="1"/>
  <c r="AG19" i="3" s="1"/>
  <c r="BX19" i="16"/>
  <c r="Y19" i="5" s="1"/>
  <c r="AG20" i="3" s="1"/>
  <c r="BX20" i="16"/>
  <c r="Y20" i="5" s="1"/>
  <c r="AG21" i="3" s="1"/>
  <c r="BX21" i="16"/>
  <c r="Y21" i="5" s="1"/>
  <c r="AG22" i="3" s="1"/>
  <c r="BX22" i="16"/>
  <c r="Y22" i="5" s="1"/>
  <c r="AG23" i="3" s="1"/>
  <c r="BX23" i="16"/>
  <c r="Y23" i="5" s="1"/>
  <c r="AG24" i="3" s="1"/>
  <c r="BX24" i="16"/>
  <c r="Y24" i="5" s="1"/>
  <c r="AG25" i="3" s="1"/>
  <c r="BX25" i="16"/>
  <c r="Y25" i="5" s="1"/>
  <c r="AG26" i="3" s="1"/>
  <c r="BX26" i="16"/>
  <c r="Y26" i="5" s="1"/>
  <c r="AG27" i="3" s="1"/>
  <c r="BX27" i="16"/>
  <c r="Y27" i="5" s="1"/>
  <c r="AG28" i="3" s="1"/>
  <c r="BX28" i="16"/>
  <c r="Y28" i="5" s="1"/>
  <c r="AG29" i="3" s="1"/>
  <c r="BX29" i="16"/>
  <c r="Y29" i="5" s="1"/>
  <c r="AG30" i="3" s="1"/>
  <c r="BX30" i="16"/>
  <c r="Y30" i="5" s="1"/>
  <c r="AG31" i="3" s="1"/>
  <c r="BX31" i="16"/>
  <c r="Y31" i="5" s="1"/>
  <c r="AG32" i="3" s="1"/>
  <c r="BX32" i="16"/>
  <c r="Y32" i="5" s="1"/>
  <c r="AG33" i="3" s="1"/>
  <c r="BX33" i="16"/>
  <c r="Y33" i="5" s="1"/>
  <c r="AG34" i="3" s="1"/>
  <c r="BX34" i="16"/>
  <c r="Y34" i="5" s="1"/>
  <c r="AG35" i="3" s="1"/>
  <c r="BX35" i="16"/>
  <c r="Y35" i="5" s="1"/>
  <c r="AG36" i="3" s="1"/>
  <c r="BX36" i="16"/>
  <c r="Y36" i="5" s="1"/>
  <c r="AG37" i="3" s="1"/>
  <c r="BX37" i="16"/>
  <c r="Y37" i="5" s="1"/>
  <c r="AG38" i="3" s="1"/>
  <c r="BX38" i="16"/>
  <c r="Y38" i="5" s="1"/>
  <c r="AG39" i="3" s="1"/>
  <c r="BX39" i="16"/>
  <c r="Y39" i="5" s="1"/>
  <c r="AG40" i="3" s="1"/>
  <c r="BX40" i="16"/>
  <c r="Y40" i="5" s="1"/>
  <c r="AG41" i="3" s="1"/>
  <c r="BX41" i="16"/>
  <c r="Y41" i="5" s="1"/>
  <c r="AG42" i="3" s="1"/>
  <c r="BX42" i="16"/>
  <c r="Y42" i="5" s="1"/>
  <c r="AG43" i="3" s="1"/>
  <c r="BX43" i="16"/>
  <c r="Y43" i="5" s="1"/>
  <c r="AG44" i="3" s="1"/>
  <c r="BX44" i="16"/>
  <c r="Y44" i="5" s="1"/>
  <c r="AG45" i="3" s="1"/>
  <c r="BX45" i="16"/>
  <c r="Y45" i="5" s="1"/>
  <c r="AG46" i="3" s="1"/>
  <c r="BX46" i="16"/>
  <c r="Y46" i="5" s="1"/>
  <c r="AG47" i="3" s="1"/>
  <c r="BX47" i="16"/>
  <c r="Y47" i="5" s="1"/>
  <c r="AG48" i="3" s="1"/>
  <c r="BX48" i="16"/>
  <c r="Y48" i="5" s="1"/>
  <c r="AG49" i="3" s="1"/>
  <c r="BX49" i="16"/>
  <c r="Y49" i="5" s="1"/>
  <c r="AG50" i="3" s="1"/>
  <c r="BX50" i="16"/>
  <c r="Y50" i="5" s="1"/>
  <c r="AG51" i="3" s="1"/>
  <c r="BX51" i="16"/>
  <c r="Y51" i="5" s="1"/>
  <c r="AG52" i="3" s="1"/>
  <c r="BX52" i="16"/>
  <c r="Y52" i="5" s="1"/>
  <c r="AG53" i="3" s="1"/>
  <c r="BX53" i="16"/>
  <c r="Y53" i="5" s="1"/>
  <c r="AG54" i="3" s="1"/>
  <c r="BX54" i="16"/>
  <c r="Y54" i="5" s="1"/>
  <c r="AG55" i="3" s="1"/>
  <c r="BX55" i="16"/>
  <c r="Y55" i="5" s="1"/>
  <c r="AG56" i="3" s="1"/>
  <c r="BX56" i="16"/>
  <c r="Y56" i="5" s="1"/>
  <c r="AG57" i="3" s="1"/>
  <c r="BX57" i="16"/>
  <c r="Y57" i="5" s="1"/>
  <c r="AG58" i="3" s="1"/>
  <c r="BX58" i="16"/>
  <c r="Y58" i="5" s="1"/>
  <c r="AG59" i="3" s="1"/>
  <c r="BX59" i="16"/>
  <c r="Y59" i="5" s="1"/>
  <c r="AG60" i="3" s="1"/>
  <c r="BX60" i="16"/>
  <c r="Y60" i="5" s="1"/>
  <c r="AG61" i="3" s="1"/>
  <c r="BX61" i="16"/>
  <c r="Y61" i="5" s="1"/>
  <c r="AG62" i="3" s="1"/>
  <c r="BX62" i="16"/>
  <c r="Y62" i="5" s="1"/>
  <c r="AG63" i="3" s="1"/>
  <c r="BX63" i="16"/>
  <c r="Y63" i="5" s="1"/>
  <c r="AG64" i="3" s="1"/>
  <c r="BX64" i="16"/>
  <c r="Y64" i="5" s="1"/>
  <c r="AG65" i="3" s="1"/>
  <c r="BX65" i="16"/>
  <c r="Y65" i="5" s="1"/>
  <c r="AG66" i="3" s="1"/>
  <c r="BX66" i="16"/>
  <c r="Y66" i="5" s="1"/>
  <c r="AG67" i="3" s="1"/>
  <c r="BX67" i="16"/>
  <c r="Y67" i="5" s="1"/>
  <c r="AG68" i="3" s="1"/>
  <c r="BX68" i="16"/>
  <c r="Y68" i="5" s="1"/>
  <c r="AG69" i="3" s="1"/>
  <c r="BX69" i="16"/>
  <c r="Y69" i="5" s="1"/>
  <c r="AG70" i="3" s="1"/>
  <c r="BX70" i="16"/>
  <c r="Y70" i="5" s="1"/>
  <c r="AG71" i="3" s="1"/>
  <c r="BX71" i="16"/>
  <c r="Y71" i="5" s="1"/>
  <c r="AG72" i="3" s="1"/>
  <c r="BX72" i="16"/>
  <c r="Y72" i="5" s="1"/>
  <c r="AG73" i="3" s="1"/>
  <c r="BX73" i="16"/>
  <c r="Y73" i="5" s="1"/>
  <c r="AG74" i="3" s="1"/>
  <c r="BX74" i="16"/>
  <c r="Y74" i="5" s="1"/>
  <c r="AG75" i="3" s="1"/>
  <c r="BX75" i="16"/>
  <c r="Y75" i="5" s="1"/>
  <c r="AG76" i="3" s="1"/>
  <c r="BX76" i="16"/>
  <c r="Y76" i="5" s="1"/>
  <c r="AG77" i="3" s="1"/>
  <c r="BX77" i="16"/>
  <c r="Y77" i="5" s="1"/>
  <c r="AG78" i="3" s="1"/>
  <c r="BX78" i="16"/>
  <c r="Y78" i="5" s="1"/>
  <c r="AG79" i="3" s="1"/>
  <c r="BX79" i="16"/>
  <c r="Y79" i="5" s="1"/>
  <c r="AG80" i="3" s="1"/>
  <c r="BX80" i="16"/>
  <c r="Y80" i="5" s="1"/>
  <c r="AG81" i="3" s="1"/>
  <c r="BX81" i="16"/>
  <c r="Y81" i="5" s="1"/>
  <c r="AG82" i="3" s="1"/>
  <c r="BX82" i="16"/>
  <c r="Y82" i="5" s="1"/>
  <c r="AG83" i="3" s="1"/>
  <c r="BX83" i="16"/>
  <c r="Y83" i="5" s="1"/>
  <c r="AG84" i="3" s="1"/>
  <c r="BX84" i="16"/>
  <c r="Y84" i="5" s="1"/>
  <c r="AG85" i="3" s="1"/>
  <c r="BX85" i="16"/>
  <c r="Y85" i="5" s="1"/>
  <c r="AG86" i="3" s="1"/>
  <c r="BX86" i="16"/>
  <c r="Y86" i="5" s="1"/>
  <c r="AG87" i="3" s="1"/>
  <c r="BX87" i="16"/>
  <c r="Y87" i="5" s="1"/>
  <c r="AG88" i="3" s="1"/>
  <c r="BX88" i="16"/>
  <c r="Y88" i="5" s="1"/>
  <c r="AG89" i="3" s="1"/>
  <c r="BX89" i="16"/>
  <c r="Y89" i="5" s="1"/>
  <c r="AG90" i="3" s="1"/>
  <c r="BX90" i="16"/>
  <c r="Y90" i="5" s="1"/>
  <c r="AG91" i="3" s="1"/>
  <c r="BX91" i="16"/>
  <c r="Y91" i="5" s="1"/>
  <c r="AG92" i="3" s="1"/>
  <c r="BX92" i="16"/>
  <c r="Y92" i="5" s="1"/>
  <c r="AG93" i="3" s="1"/>
  <c r="BX93" i="16"/>
  <c r="Y93" i="5" s="1"/>
  <c r="AG94" i="3" s="1"/>
  <c r="BX94" i="16"/>
  <c r="Y94" i="5" s="1"/>
  <c r="AG95" i="3" s="1"/>
  <c r="BX95" i="16"/>
  <c r="Y95" i="5" s="1"/>
  <c r="AG96" i="3" s="1"/>
  <c r="BX96" i="16"/>
  <c r="Y96" i="5" s="1"/>
  <c r="AG97" i="3" s="1"/>
  <c r="BX97" i="16"/>
  <c r="Y97" i="5" s="1"/>
  <c r="AG98" i="3" s="1"/>
  <c r="BX98" i="16"/>
  <c r="Y98" i="5" s="1"/>
  <c r="AG99" i="3" s="1"/>
  <c r="BX99" i="16"/>
  <c r="Y99" i="5" s="1"/>
  <c r="AG100" i="3" s="1"/>
  <c r="BX100" i="16"/>
  <c r="Y100" i="5" s="1"/>
  <c r="AG101" i="3" s="1"/>
  <c r="BX101" i="16"/>
  <c r="Y101" i="5" s="1"/>
  <c r="AG102" i="3" s="1"/>
  <c r="BX102" i="16"/>
  <c r="Y102" i="5" s="1"/>
  <c r="AG103" i="3" s="1"/>
  <c r="BX103" i="16"/>
  <c r="Y103" i="5" s="1"/>
  <c r="AG104" i="3" s="1"/>
  <c r="BX104" i="16"/>
  <c r="Y104" i="5" s="1"/>
  <c r="AG105" i="3" s="1"/>
  <c r="BX105" i="16"/>
  <c r="Y105" i="5" s="1"/>
  <c r="AG106" i="3" s="1"/>
  <c r="BX106" i="16"/>
  <c r="Y106" i="5" s="1"/>
  <c r="AG107" i="3" s="1"/>
  <c r="BX107" i="16"/>
  <c r="Y107" i="5" s="1"/>
  <c r="AG108" i="3" s="1"/>
  <c r="BX108" i="16"/>
  <c r="Y108" i="5" s="1"/>
  <c r="AG109" i="3" s="1"/>
  <c r="BX109" i="16"/>
  <c r="Y109" i="5" s="1"/>
  <c r="AG110" i="3" s="1"/>
  <c r="BX110" i="16"/>
  <c r="Y110" i="5" s="1"/>
  <c r="AG111" i="3" s="1"/>
  <c r="BX111" i="16"/>
  <c r="Y111" i="5" s="1"/>
  <c r="AG112" i="3" s="1"/>
  <c r="BX112" i="16"/>
  <c r="Y112" i="5" s="1"/>
  <c r="AG113" i="3" s="1"/>
  <c r="BX113" i="16"/>
  <c r="Y113" i="5" s="1"/>
  <c r="AG114" i="3" s="1"/>
  <c r="BX114" i="16"/>
  <c r="Y114" i="5" s="1"/>
  <c r="AG115" i="3" s="1"/>
  <c r="BX115" i="16"/>
  <c r="Y115" i="5" s="1"/>
  <c r="AG116" i="3" s="1"/>
  <c r="BX116" i="16"/>
  <c r="Y116" i="5" s="1"/>
  <c r="AG117" i="3" s="1"/>
  <c r="BX117" i="16"/>
  <c r="Y117" i="5" s="1"/>
  <c r="AG118" i="3" s="1"/>
  <c r="BX118" i="16"/>
  <c r="Y118" i="5" s="1"/>
  <c r="AG119" i="3" s="1"/>
  <c r="BX119" i="16"/>
  <c r="Y119" i="5" s="1"/>
  <c r="AG120" i="3" s="1"/>
  <c r="BX120" i="16"/>
  <c r="Y120" i="5" s="1"/>
  <c r="AG121" i="3" s="1"/>
  <c r="BX121" i="16"/>
  <c r="Y121" i="5" s="1"/>
  <c r="AG122" i="3" s="1"/>
  <c r="BX122" i="16"/>
  <c r="Y122" i="5" s="1"/>
  <c r="AG123" i="3" s="1"/>
  <c r="BX123" i="16"/>
  <c r="Y123" i="5" s="1"/>
  <c r="AG124" i="3" s="1"/>
  <c r="BX124" i="16"/>
  <c r="Y124" i="5" s="1"/>
  <c r="AG125" i="3" s="1"/>
  <c r="BX125" i="16"/>
  <c r="Y125" i="5" s="1"/>
  <c r="AG126" i="3" s="1"/>
  <c r="BX126" i="16"/>
  <c r="Y126" i="5" s="1"/>
  <c r="AG127" i="3" s="1"/>
  <c r="BX127" i="16"/>
  <c r="Y127" i="5" s="1"/>
  <c r="AG128" i="3" s="1"/>
  <c r="BX128" i="16"/>
  <c r="Y128" i="5" s="1"/>
  <c r="AG129" i="3" s="1"/>
  <c r="BX129" i="16"/>
  <c r="Y129" i="5" s="1"/>
  <c r="AG130" i="3" s="1"/>
  <c r="BX130" i="16"/>
  <c r="Y130" i="5" s="1"/>
  <c r="AG131" i="3" s="1"/>
  <c r="BX131" i="16"/>
  <c r="Y131" i="5" s="1"/>
  <c r="AG132" i="3" s="1"/>
  <c r="BX132" i="16"/>
  <c r="Y132" i="5" s="1"/>
  <c r="AG133" i="3" s="1"/>
  <c r="BX133" i="16"/>
  <c r="Y133" i="5" s="1"/>
  <c r="AG134" i="3" s="1"/>
  <c r="BX134" i="16"/>
  <c r="Y134" i="5" s="1"/>
  <c r="AG135" i="3" s="1"/>
  <c r="BX135" i="16"/>
  <c r="Y135" i="5" s="1"/>
  <c r="AG136" i="3" s="1"/>
  <c r="BX136" i="16"/>
  <c r="Y136" i="5" s="1"/>
  <c r="AG137" i="3" s="1"/>
  <c r="BX137" i="16"/>
  <c r="Y137" i="5" s="1"/>
  <c r="AG138" i="3" s="1"/>
  <c r="BX138" i="16"/>
  <c r="Y138" i="5" s="1"/>
  <c r="AG139" i="3" s="1"/>
  <c r="BX139" i="16"/>
  <c r="Y139" i="5" s="1"/>
  <c r="AG140" i="3" s="1"/>
  <c r="BX140" i="16"/>
  <c r="Y140" i="5" s="1"/>
  <c r="AG141" i="3" s="1"/>
  <c r="BX141" i="16"/>
  <c r="Y141" i="5" s="1"/>
  <c r="AG142" i="3" s="1"/>
  <c r="BX142" i="16"/>
  <c r="Y142" i="5" s="1"/>
  <c r="AG143" i="3" s="1"/>
  <c r="BX143" i="16"/>
  <c r="Y143" i="5" s="1"/>
  <c r="AG144" i="3" s="1"/>
  <c r="BX144" i="16"/>
  <c r="Y144" i="5" s="1"/>
  <c r="AG145" i="3" s="1"/>
  <c r="BX145" i="16"/>
  <c r="Y145" i="5" s="1"/>
  <c r="AG146" i="3" s="1"/>
  <c r="BX146" i="16"/>
  <c r="Y146" i="5" s="1"/>
  <c r="AG147" i="3" s="1"/>
  <c r="BX147" i="16"/>
  <c r="Y147" i="5" s="1"/>
  <c r="AG148" i="3" s="1"/>
  <c r="BX148" i="16"/>
  <c r="Y148" i="5" s="1"/>
  <c r="AG149" i="3" s="1"/>
  <c r="BX149" i="16"/>
  <c r="Y149" i="5" s="1"/>
  <c r="AG150" i="3" s="1"/>
  <c r="BX150" i="16"/>
  <c r="Y150" i="5" s="1"/>
  <c r="AG151" i="3" s="1"/>
  <c r="BX151" i="16"/>
  <c r="Y151" i="5" s="1"/>
  <c r="AG152" i="3" s="1"/>
  <c r="BX152" i="16"/>
  <c r="Y152" i="5" s="1"/>
  <c r="AG153" i="3" s="1"/>
  <c r="BX153" i="16"/>
  <c r="Y153" i="5" s="1"/>
  <c r="AG154" i="3" s="1"/>
  <c r="BX154" i="16"/>
  <c r="Y154" i="5" s="1"/>
  <c r="AG155" i="3" s="1"/>
  <c r="BX155" i="16"/>
  <c r="Y155" i="5" s="1"/>
  <c r="AG156" i="3" s="1"/>
  <c r="BX156" i="16"/>
  <c r="Y156" i="5" s="1"/>
  <c r="AG157" i="3" s="1"/>
  <c r="BX157" i="16"/>
  <c r="Y157" i="5" s="1"/>
  <c r="AG158" i="3" s="1"/>
  <c r="BX158" i="16"/>
  <c r="Y158" i="5" s="1"/>
  <c r="AG159" i="3" s="1"/>
  <c r="BX159" i="16"/>
  <c r="Y159" i="5" s="1"/>
  <c r="AG160" i="3" s="1"/>
  <c r="BX160" i="16"/>
  <c r="Y160" i="5" s="1"/>
  <c r="AG161" i="3" s="1"/>
  <c r="BX161" i="16"/>
  <c r="Y161" i="5" s="1"/>
  <c r="AG162" i="3" s="1"/>
  <c r="BX162" i="16"/>
  <c r="Y162" i="5" s="1"/>
  <c r="AG163" i="3" s="1"/>
  <c r="BX163" i="16"/>
  <c r="Y163" i="5" s="1"/>
  <c r="AG164" i="3" s="1"/>
  <c r="BX164" i="16"/>
  <c r="Y164" i="5" s="1"/>
  <c r="AG165" i="3" s="1"/>
  <c r="BX165" i="16"/>
  <c r="Y165" i="5" s="1"/>
  <c r="AG166" i="3" s="1"/>
  <c r="BX166" i="16"/>
  <c r="Y166" i="5" s="1"/>
  <c r="AG167" i="3" s="1"/>
  <c r="BX167" i="16"/>
  <c r="Y167" i="5" s="1"/>
  <c r="AG168" i="3" s="1"/>
  <c r="BX168" i="16"/>
  <c r="Y168" i="5" s="1"/>
  <c r="AG169" i="3" s="1"/>
  <c r="BX169" i="16"/>
  <c r="Y169" i="5" s="1"/>
  <c r="AG170" i="3" s="1"/>
  <c r="BX170" i="16"/>
  <c r="Y170" i="5" s="1"/>
  <c r="AG171" i="3" s="1"/>
  <c r="BX171" i="16"/>
  <c r="Y171" i="5" s="1"/>
  <c r="AG172" i="3" s="1"/>
  <c r="BX172" i="16"/>
  <c r="Y172" i="5" s="1"/>
  <c r="AG173" i="3" s="1"/>
  <c r="BX173" i="16"/>
  <c r="Y173" i="5" s="1"/>
  <c r="AG174" i="3" s="1"/>
  <c r="BX174" i="16"/>
  <c r="Y174" i="5" s="1"/>
  <c r="AG175" i="3" s="1"/>
  <c r="BX175" i="16"/>
  <c r="Y175" i="5" s="1"/>
  <c r="AG176" i="3" s="1"/>
  <c r="BX176" i="16"/>
  <c r="Y176" i="5" s="1"/>
  <c r="AG177" i="3" s="1"/>
  <c r="BW3" i="16"/>
  <c r="BW4" i="16"/>
  <c r="X4" i="5" s="1"/>
  <c r="AF5" i="3" s="1"/>
  <c r="BW5" i="16"/>
  <c r="X5" i="5" s="1"/>
  <c r="AF6" i="3" s="1"/>
  <c r="BW6" i="16"/>
  <c r="X6" i="5" s="1"/>
  <c r="AF7" i="3" s="1"/>
  <c r="BW7" i="16"/>
  <c r="X7" i="5" s="1"/>
  <c r="AF8" i="3" s="1"/>
  <c r="BW8" i="16"/>
  <c r="X8" i="5" s="1"/>
  <c r="AF9" i="3" s="1"/>
  <c r="BW9" i="16"/>
  <c r="X9" i="5" s="1"/>
  <c r="AF10" i="3" s="1"/>
  <c r="BW10" i="16"/>
  <c r="X10" i="5" s="1"/>
  <c r="AF11" i="3" s="1"/>
  <c r="BW11" i="16"/>
  <c r="X11" i="5" s="1"/>
  <c r="AF12" i="3" s="1"/>
  <c r="BW12" i="16"/>
  <c r="X12" i="5" s="1"/>
  <c r="AF13" i="3" s="1"/>
  <c r="BW13" i="16"/>
  <c r="X13" i="5" s="1"/>
  <c r="AF14" i="3" s="1"/>
  <c r="BW14" i="16"/>
  <c r="X14" i="5" s="1"/>
  <c r="AF15" i="3" s="1"/>
  <c r="BW15" i="16"/>
  <c r="X15" i="5" s="1"/>
  <c r="AF16" i="3" s="1"/>
  <c r="BW16" i="16"/>
  <c r="X16" i="5" s="1"/>
  <c r="AF17" i="3" s="1"/>
  <c r="BW17" i="16"/>
  <c r="X17" i="5" s="1"/>
  <c r="AF18" i="3" s="1"/>
  <c r="BW18" i="16"/>
  <c r="X18" i="5" s="1"/>
  <c r="AF19" i="3" s="1"/>
  <c r="BW19" i="16"/>
  <c r="X19" i="5" s="1"/>
  <c r="AF20" i="3" s="1"/>
  <c r="BW20" i="16"/>
  <c r="X20" i="5" s="1"/>
  <c r="AF21" i="3" s="1"/>
  <c r="BW21" i="16"/>
  <c r="X21" i="5" s="1"/>
  <c r="AF22" i="3" s="1"/>
  <c r="BW22" i="16"/>
  <c r="X22" i="5" s="1"/>
  <c r="AF23" i="3" s="1"/>
  <c r="BW23" i="16"/>
  <c r="X23" i="5" s="1"/>
  <c r="AF24" i="3" s="1"/>
  <c r="BW24" i="16"/>
  <c r="X24" i="5" s="1"/>
  <c r="AF25" i="3" s="1"/>
  <c r="BW25" i="16"/>
  <c r="X25" i="5" s="1"/>
  <c r="AF26" i="3" s="1"/>
  <c r="BW26" i="16"/>
  <c r="X26" i="5" s="1"/>
  <c r="AF27" i="3" s="1"/>
  <c r="BW27" i="16"/>
  <c r="X27" i="5" s="1"/>
  <c r="AF28" i="3" s="1"/>
  <c r="BW28" i="16"/>
  <c r="X28" i="5" s="1"/>
  <c r="AF29" i="3" s="1"/>
  <c r="BW29" i="16"/>
  <c r="X29" i="5" s="1"/>
  <c r="AF30" i="3" s="1"/>
  <c r="BW30" i="16"/>
  <c r="X30" i="5" s="1"/>
  <c r="AF31" i="3" s="1"/>
  <c r="BW31" i="16"/>
  <c r="X31" i="5" s="1"/>
  <c r="AF32" i="3" s="1"/>
  <c r="BW32" i="16"/>
  <c r="X32" i="5" s="1"/>
  <c r="AF33" i="3" s="1"/>
  <c r="BW33" i="16"/>
  <c r="X33" i="5" s="1"/>
  <c r="AF34" i="3" s="1"/>
  <c r="BW34" i="16"/>
  <c r="X34" i="5" s="1"/>
  <c r="AF35" i="3" s="1"/>
  <c r="BW35" i="16"/>
  <c r="X35" i="5" s="1"/>
  <c r="AF36" i="3" s="1"/>
  <c r="BW36" i="16"/>
  <c r="X36" i="5" s="1"/>
  <c r="AF37" i="3" s="1"/>
  <c r="BW37" i="16"/>
  <c r="X37" i="5" s="1"/>
  <c r="AF38" i="3" s="1"/>
  <c r="BW38" i="16"/>
  <c r="X38" i="5" s="1"/>
  <c r="AF39" i="3" s="1"/>
  <c r="BW39" i="16"/>
  <c r="X39" i="5" s="1"/>
  <c r="AF40" i="3" s="1"/>
  <c r="BW40" i="16"/>
  <c r="X40" i="5" s="1"/>
  <c r="AF41" i="3" s="1"/>
  <c r="BW41" i="16"/>
  <c r="X41" i="5" s="1"/>
  <c r="AF42" i="3" s="1"/>
  <c r="BW42" i="16"/>
  <c r="X42" i="5" s="1"/>
  <c r="AF43" i="3" s="1"/>
  <c r="BW43" i="16"/>
  <c r="X43" i="5" s="1"/>
  <c r="AF44" i="3" s="1"/>
  <c r="BW44" i="16"/>
  <c r="X44" i="5" s="1"/>
  <c r="AF45" i="3" s="1"/>
  <c r="BW45" i="16"/>
  <c r="X45" i="5" s="1"/>
  <c r="AF46" i="3" s="1"/>
  <c r="BW46" i="16"/>
  <c r="X46" i="5" s="1"/>
  <c r="AF47" i="3" s="1"/>
  <c r="BW47" i="16"/>
  <c r="X47" i="5" s="1"/>
  <c r="AF48" i="3" s="1"/>
  <c r="BW48" i="16"/>
  <c r="X48" i="5" s="1"/>
  <c r="AF49" i="3" s="1"/>
  <c r="BW49" i="16"/>
  <c r="X49" i="5" s="1"/>
  <c r="AF50" i="3" s="1"/>
  <c r="BW50" i="16"/>
  <c r="X50" i="5" s="1"/>
  <c r="AF51" i="3" s="1"/>
  <c r="BW51" i="16"/>
  <c r="X51" i="5" s="1"/>
  <c r="AF52" i="3" s="1"/>
  <c r="BW52" i="16"/>
  <c r="X52" i="5" s="1"/>
  <c r="AF53" i="3" s="1"/>
  <c r="BW53" i="16"/>
  <c r="X53" i="5" s="1"/>
  <c r="AF54" i="3" s="1"/>
  <c r="BW54" i="16"/>
  <c r="X54" i="5" s="1"/>
  <c r="AF55" i="3" s="1"/>
  <c r="BW55" i="16"/>
  <c r="X55" i="5" s="1"/>
  <c r="AF56" i="3" s="1"/>
  <c r="BW56" i="16"/>
  <c r="X56" i="5" s="1"/>
  <c r="AF57" i="3" s="1"/>
  <c r="BW57" i="16"/>
  <c r="X57" i="5" s="1"/>
  <c r="AF58" i="3" s="1"/>
  <c r="BW58" i="16"/>
  <c r="X58" i="5" s="1"/>
  <c r="AF59" i="3" s="1"/>
  <c r="BW59" i="16"/>
  <c r="X59" i="5" s="1"/>
  <c r="AF60" i="3" s="1"/>
  <c r="BW60" i="16"/>
  <c r="X60" i="5" s="1"/>
  <c r="AF61" i="3" s="1"/>
  <c r="BW61" i="16"/>
  <c r="X61" i="5" s="1"/>
  <c r="AF62" i="3" s="1"/>
  <c r="BW62" i="16"/>
  <c r="X62" i="5" s="1"/>
  <c r="AF63" i="3" s="1"/>
  <c r="BW63" i="16"/>
  <c r="X63" i="5" s="1"/>
  <c r="AF64" i="3" s="1"/>
  <c r="BW64" i="16"/>
  <c r="X64" i="5" s="1"/>
  <c r="AF65" i="3" s="1"/>
  <c r="BW65" i="16"/>
  <c r="X65" i="5" s="1"/>
  <c r="AF66" i="3" s="1"/>
  <c r="BW66" i="16"/>
  <c r="X66" i="5" s="1"/>
  <c r="AF67" i="3" s="1"/>
  <c r="BW67" i="16"/>
  <c r="X67" i="5" s="1"/>
  <c r="AF68" i="3" s="1"/>
  <c r="BW68" i="16"/>
  <c r="X68" i="5" s="1"/>
  <c r="AF69" i="3" s="1"/>
  <c r="BW69" i="16"/>
  <c r="X69" i="5" s="1"/>
  <c r="AF70" i="3" s="1"/>
  <c r="BW70" i="16"/>
  <c r="X70" i="5" s="1"/>
  <c r="AF71" i="3" s="1"/>
  <c r="BW71" i="16"/>
  <c r="X71" i="5" s="1"/>
  <c r="AF72" i="3" s="1"/>
  <c r="BW72" i="16"/>
  <c r="X72" i="5" s="1"/>
  <c r="AF73" i="3" s="1"/>
  <c r="BW73" i="16"/>
  <c r="X73" i="5" s="1"/>
  <c r="AF74" i="3" s="1"/>
  <c r="BW74" i="16"/>
  <c r="X74" i="5" s="1"/>
  <c r="AF75" i="3" s="1"/>
  <c r="BW75" i="16"/>
  <c r="X75" i="5" s="1"/>
  <c r="AF76" i="3" s="1"/>
  <c r="BW76" i="16"/>
  <c r="X76" i="5" s="1"/>
  <c r="AF77" i="3" s="1"/>
  <c r="BW77" i="16"/>
  <c r="X77" i="5" s="1"/>
  <c r="AF78" i="3" s="1"/>
  <c r="BW78" i="16"/>
  <c r="X78" i="5" s="1"/>
  <c r="AF79" i="3" s="1"/>
  <c r="BW79" i="16"/>
  <c r="X79" i="5" s="1"/>
  <c r="AF80" i="3" s="1"/>
  <c r="BW80" i="16"/>
  <c r="X80" i="5" s="1"/>
  <c r="AF81" i="3" s="1"/>
  <c r="BW81" i="16"/>
  <c r="X81" i="5" s="1"/>
  <c r="AF82" i="3" s="1"/>
  <c r="BW82" i="16"/>
  <c r="X82" i="5" s="1"/>
  <c r="AF83" i="3" s="1"/>
  <c r="BW83" i="16"/>
  <c r="X83" i="5" s="1"/>
  <c r="AF84" i="3" s="1"/>
  <c r="BW84" i="16"/>
  <c r="X84" i="5" s="1"/>
  <c r="AF85" i="3" s="1"/>
  <c r="BW85" i="16"/>
  <c r="X85" i="5" s="1"/>
  <c r="AF86" i="3" s="1"/>
  <c r="BW86" i="16"/>
  <c r="X86" i="5" s="1"/>
  <c r="AF87" i="3" s="1"/>
  <c r="BW87" i="16"/>
  <c r="X87" i="5" s="1"/>
  <c r="AF88" i="3" s="1"/>
  <c r="BW88" i="16"/>
  <c r="X88" i="5" s="1"/>
  <c r="AF89" i="3" s="1"/>
  <c r="BW89" i="16"/>
  <c r="X89" i="5" s="1"/>
  <c r="AF90" i="3" s="1"/>
  <c r="BW90" i="16"/>
  <c r="X90" i="5" s="1"/>
  <c r="AF91" i="3" s="1"/>
  <c r="BW91" i="16"/>
  <c r="X91" i="5" s="1"/>
  <c r="AF92" i="3" s="1"/>
  <c r="BW92" i="16"/>
  <c r="X92" i="5" s="1"/>
  <c r="AF93" i="3" s="1"/>
  <c r="BW93" i="16"/>
  <c r="X93" i="5" s="1"/>
  <c r="AF94" i="3" s="1"/>
  <c r="BW94" i="16"/>
  <c r="X94" i="5" s="1"/>
  <c r="AF95" i="3" s="1"/>
  <c r="BW95" i="16"/>
  <c r="X95" i="5" s="1"/>
  <c r="AF96" i="3" s="1"/>
  <c r="BW96" i="16"/>
  <c r="X96" i="5" s="1"/>
  <c r="AF97" i="3" s="1"/>
  <c r="BW97" i="16"/>
  <c r="X97" i="5" s="1"/>
  <c r="AF98" i="3" s="1"/>
  <c r="BW98" i="16"/>
  <c r="X98" i="5" s="1"/>
  <c r="AF99" i="3" s="1"/>
  <c r="BW99" i="16"/>
  <c r="X99" i="5" s="1"/>
  <c r="AF100" i="3" s="1"/>
  <c r="BW100" i="16"/>
  <c r="X100" i="5" s="1"/>
  <c r="AF101" i="3" s="1"/>
  <c r="BW101" i="16"/>
  <c r="X101" i="5" s="1"/>
  <c r="AF102" i="3" s="1"/>
  <c r="BW102" i="16"/>
  <c r="X102" i="5" s="1"/>
  <c r="AF103" i="3" s="1"/>
  <c r="BW103" i="16"/>
  <c r="X103" i="5" s="1"/>
  <c r="AF104" i="3" s="1"/>
  <c r="BW104" i="16"/>
  <c r="X104" i="5" s="1"/>
  <c r="AF105" i="3" s="1"/>
  <c r="BW105" i="16"/>
  <c r="X105" i="5" s="1"/>
  <c r="AF106" i="3" s="1"/>
  <c r="BW106" i="16"/>
  <c r="X106" i="5" s="1"/>
  <c r="AF107" i="3" s="1"/>
  <c r="BW107" i="16"/>
  <c r="X107" i="5" s="1"/>
  <c r="AF108" i="3" s="1"/>
  <c r="BW108" i="16"/>
  <c r="X108" i="5" s="1"/>
  <c r="AF109" i="3" s="1"/>
  <c r="BW109" i="16"/>
  <c r="X109" i="5" s="1"/>
  <c r="AF110" i="3" s="1"/>
  <c r="BW110" i="16"/>
  <c r="X110" i="5" s="1"/>
  <c r="AF111" i="3" s="1"/>
  <c r="BW111" i="16"/>
  <c r="X111" i="5" s="1"/>
  <c r="AF112" i="3" s="1"/>
  <c r="BW112" i="16"/>
  <c r="X112" i="5" s="1"/>
  <c r="AF113" i="3" s="1"/>
  <c r="BW113" i="16"/>
  <c r="X113" i="5" s="1"/>
  <c r="AF114" i="3" s="1"/>
  <c r="BW114" i="16"/>
  <c r="X114" i="5" s="1"/>
  <c r="AF115" i="3" s="1"/>
  <c r="BW115" i="16"/>
  <c r="X115" i="5" s="1"/>
  <c r="AF116" i="3" s="1"/>
  <c r="BW116" i="16"/>
  <c r="X116" i="5" s="1"/>
  <c r="AF117" i="3" s="1"/>
  <c r="BW117" i="16"/>
  <c r="X117" i="5" s="1"/>
  <c r="AF118" i="3" s="1"/>
  <c r="BW118" i="16"/>
  <c r="X118" i="5" s="1"/>
  <c r="AF119" i="3" s="1"/>
  <c r="BW119" i="16"/>
  <c r="X119" i="5" s="1"/>
  <c r="AF120" i="3" s="1"/>
  <c r="BW120" i="16"/>
  <c r="X120" i="5" s="1"/>
  <c r="AF121" i="3" s="1"/>
  <c r="BW121" i="16"/>
  <c r="X121" i="5" s="1"/>
  <c r="AF122" i="3" s="1"/>
  <c r="BW122" i="16"/>
  <c r="X122" i="5" s="1"/>
  <c r="AF123" i="3" s="1"/>
  <c r="BW123" i="16"/>
  <c r="X123" i="5" s="1"/>
  <c r="AF124" i="3" s="1"/>
  <c r="BW124" i="16"/>
  <c r="X124" i="5" s="1"/>
  <c r="AF125" i="3" s="1"/>
  <c r="BW125" i="16"/>
  <c r="X125" i="5" s="1"/>
  <c r="AF126" i="3" s="1"/>
  <c r="BW126" i="16"/>
  <c r="X126" i="5" s="1"/>
  <c r="AF127" i="3" s="1"/>
  <c r="BW127" i="16"/>
  <c r="X127" i="5" s="1"/>
  <c r="AF128" i="3" s="1"/>
  <c r="BW128" i="16"/>
  <c r="X128" i="5" s="1"/>
  <c r="AF129" i="3" s="1"/>
  <c r="BW129" i="16"/>
  <c r="X129" i="5" s="1"/>
  <c r="AF130" i="3" s="1"/>
  <c r="BW130" i="16"/>
  <c r="X130" i="5" s="1"/>
  <c r="AF131" i="3" s="1"/>
  <c r="BW131" i="16"/>
  <c r="X131" i="5" s="1"/>
  <c r="AF132" i="3" s="1"/>
  <c r="BW132" i="16"/>
  <c r="X132" i="5" s="1"/>
  <c r="AF133" i="3" s="1"/>
  <c r="BW133" i="16"/>
  <c r="X133" i="5" s="1"/>
  <c r="AF134" i="3" s="1"/>
  <c r="BW134" i="16"/>
  <c r="X134" i="5" s="1"/>
  <c r="AF135" i="3" s="1"/>
  <c r="BW135" i="16"/>
  <c r="X135" i="5" s="1"/>
  <c r="AF136" i="3" s="1"/>
  <c r="BW136" i="16"/>
  <c r="X136" i="5" s="1"/>
  <c r="AF137" i="3" s="1"/>
  <c r="BW137" i="16"/>
  <c r="X137" i="5" s="1"/>
  <c r="AF138" i="3" s="1"/>
  <c r="BW138" i="16"/>
  <c r="X138" i="5" s="1"/>
  <c r="AF139" i="3" s="1"/>
  <c r="BW139" i="16"/>
  <c r="X139" i="5" s="1"/>
  <c r="AF140" i="3" s="1"/>
  <c r="BW140" i="16"/>
  <c r="X140" i="5" s="1"/>
  <c r="AF141" i="3" s="1"/>
  <c r="BW141" i="16"/>
  <c r="X141" i="5" s="1"/>
  <c r="AF142" i="3" s="1"/>
  <c r="BW142" i="16"/>
  <c r="X142" i="5" s="1"/>
  <c r="AF143" i="3" s="1"/>
  <c r="BW143" i="16"/>
  <c r="X143" i="5" s="1"/>
  <c r="AF144" i="3" s="1"/>
  <c r="BW144" i="16"/>
  <c r="X144" i="5" s="1"/>
  <c r="AF145" i="3" s="1"/>
  <c r="BW145" i="16"/>
  <c r="X145" i="5" s="1"/>
  <c r="AF146" i="3" s="1"/>
  <c r="BW146" i="16"/>
  <c r="X146" i="5" s="1"/>
  <c r="AF147" i="3" s="1"/>
  <c r="BW147" i="16"/>
  <c r="X147" i="5" s="1"/>
  <c r="AF148" i="3" s="1"/>
  <c r="BW148" i="16"/>
  <c r="X148" i="5" s="1"/>
  <c r="AF149" i="3" s="1"/>
  <c r="BW149" i="16"/>
  <c r="X149" i="5" s="1"/>
  <c r="AF150" i="3" s="1"/>
  <c r="BW150" i="16"/>
  <c r="X150" i="5" s="1"/>
  <c r="AF151" i="3" s="1"/>
  <c r="BW151" i="16"/>
  <c r="BW152" i="16"/>
  <c r="BW153" i="16"/>
  <c r="BW154" i="16"/>
  <c r="BW155" i="16"/>
  <c r="BW156" i="16"/>
  <c r="BW157" i="16"/>
  <c r="BW158" i="16"/>
  <c r="BW159" i="16"/>
  <c r="BW160" i="16"/>
  <c r="BW161" i="16"/>
  <c r="BW162" i="16"/>
  <c r="BW163" i="16"/>
  <c r="BW164" i="16"/>
  <c r="BW165" i="16"/>
  <c r="BW166" i="16"/>
  <c r="BW167" i="16"/>
  <c r="BW168" i="16"/>
  <c r="BW169" i="16"/>
  <c r="BW170" i="16"/>
  <c r="BW171" i="16"/>
  <c r="BW172" i="16"/>
  <c r="BW173" i="16"/>
  <c r="BW174" i="16"/>
  <c r="BW175" i="16"/>
  <c r="BW176" i="16"/>
  <c r="BV3" i="16"/>
  <c r="BV4" i="16"/>
  <c r="BV5" i="16"/>
  <c r="BV6" i="16"/>
  <c r="BV7" i="16"/>
  <c r="BV8" i="16"/>
  <c r="BV9" i="16"/>
  <c r="BV10" i="16"/>
  <c r="BV11" i="16"/>
  <c r="BV12" i="16"/>
  <c r="BV13" i="16"/>
  <c r="BV14" i="16"/>
  <c r="BV15" i="16"/>
  <c r="BV16" i="16"/>
  <c r="BV17" i="16"/>
  <c r="BV18" i="16"/>
  <c r="BV19" i="16"/>
  <c r="BV20" i="16"/>
  <c r="BV21" i="16"/>
  <c r="BV22" i="16"/>
  <c r="BV23" i="16"/>
  <c r="BV24" i="16"/>
  <c r="BV25" i="16"/>
  <c r="BV26" i="16"/>
  <c r="BV27" i="16"/>
  <c r="BV28" i="16"/>
  <c r="BV29" i="16"/>
  <c r="BV30" i="16"/>
  <c r="BV31" i="16"/>
  <c r="BV32" i="16"/>
  <c r="BV33" i="16"/>
  <c r="BV34" i="16"/>
  <c r="BV35" i="16"/>
  <c r="BV36" i="16"/>
  <c r="BV37" i="16"/>
  <c r="BV38" i="16"/>
  <c r="BV39" i="16"/>
  <c r="BV40" i="16"/>
  <c r="BV41" i="16"/>
  <c r="BV42" i="16"/>
  <c r="BV43" i="16"/>
  <c r="BV44" i="16"/>
  <c r="BV45" i="16"/>
  <c r="BV46" i="16"/>
  <c r="BV47" i="16"/>
  <c r="BV48" i="16"/>
  <c r="BV49" i="16"/>
  <c r="BV50" i="16"/>
  <c r="BV51" i="16"/>
  <c r="BV52" i="16"/>
  <c r="BV53" i="16"/>
  <c r="BV54" i="16"/>
  <c r="BV55" i="16"/>
  <c r="BV56" i="16"/>
  <c r="BV57" i="16"/>
  <c r="BV58" i="16"/>
  <c r="BV59" i="16"/>
  <c r="BV60" i="16"/>
  <c r="BV61" i="16"/>
  <c r="BV62" i="16"/>
  <c r="BV63" i="16"/>
  <c r="BV64" i="16"/>
  <c r="BV65" i="16"/>
  <c r="BV66" i="16"/>
  <c r="BV67" i="16"/>
  <c r="BV68" i="16"/>
  <c r="BV69" i="16"/>
  <c r="BV70" i="16"/>
  <c r="BV71" i="16"/>
  <c r="BV72" i="16"/>
  <c r="BV73" i="16"/>
  <c r="BV74" i="16"/>
  <c r="BV75" i="16"/>
  <c r="BV76" i="16"/>
  <c r="BV77" i="16"/>
  <c r="BV78" i="16"/>
  <c r="BV79" i="16"/>
  <c r="BV80" i="16"/>
  <c r="BV81" i="16"/>
  <c r="BV82" i="16"/>
  <c r="BV83" i="16"/>
  <c r="BV84" i="16"/>
  <c r="BV85" i="16"/>
  <c r="BV86" i="16"/>
  <c r="BV87" i="16"/>
  <c r="BV88" i="16"/>
  <c r="BV89" i="16"/>
  <c r="BV90" i="16"/>
  <c r="BV91" i="16"/>
  <c r="BV92" i="16"/>
  <c r="BV93" i="16"/>
  <c r="BV94" i="16"/>
  <c r="BV95" i="16"/>
  <c r="BV96" i="16"/>
  <c r="BV97" i="16"/>
  <c r="BV98" i="16"/>
  <c r="BV99" i="16"/>
  <c r="BV100" i="16"/>
  <c r="BV101" i="16"/>
  <c r="BV102" i="16"/>
  <c r="BV103" i="16"/>
  <c r="BV104" i="16"/>
  <c r="BV105" i="16"/>
  <c r="BV106" i="16"/>
  <c r="BV107" i="16"/>
  <c r="BV108" i="16"/>
  <c r="BV109" i="16"/>
  <c r="BV110" i="16"/>
  <c r="BV111" i="16"/>
  <c r="BV112" i="16"/>
  <c r="BV113" i="16"/>
  <c r="BV114" i="16"/>
  <c r="BV115" i="16"/>
  <c r="BV116" i="16"/>
  <c r="BV117" i="16"/>
  <c r="BV118" i="16"/>
  <c r="BV119" i="16"/>
  <c r="BV120" i="16"/>
  <c r="BV121" i="16"/>
  <c r="BV122" i="16"/>
  <c r="BV123" i="16"/>
  <c r="BV124" i="16"/>
  <c r="BV125" i="16"/>
  <c r="BV126" i="16"/>
  <c r="BV127" i="16"/>
  <c r="BV128" i="16"/>
  <c r="BV129" i="16"/>
  <c r="BV130" i="16"/>
  <c r="BV131" i="16"/>
  <c r="BV132" i="16"/>
  <c r="BV133" i="16"/>
  <c r="BV134" i="16"/>
  <c r="BV135" i="16"/>
  <c r="BV136" i="16"/>
  <c r="BV137" i="16"/>
  <c r="BV138" i="16"/>
  <c r="BV139" i="16"/>
  <c r="BV140" i="16"/>
  <c r="BV141" i="16"/>
  <c r="BV142" i="16"/>
  <c r="BV143" i="16"/>
  <c r="BV144" i="16"/>
  <c r="BV145" i="16"/>
  <c r="BV146" i="16"/>
  <c r="BV147" i="16"/>
  <c r="BV148" i="16"/>
  <c r="BV149" i="16"/>
  <c r="BV150" i="16"/>
  <c r="BV151" i="16"/>
  <c r="W151" i="5" s="1"/>
  <c r="AE152" i="3" s="1"/>
  <c r="BV152" i="16"/>
  <c r="W152" i="5" s="1"/>
  <c r="AE153" i="3" s="1"/>
  <c r="BV153" i="16"/>
  <c r="W153" i="5" s="1"/>
  <c r="AE154" i="3" s="1"/>
  <c r="BV154" i="16"/>
  <c r="W154" i="5" s="1"/>
  <c r="AE155" i="3" s="1"/>
  <c r="BV155" i="16"/>
  <c r="W155" i="5" s="1"/>
  <c r="AE156" i="3" s="1"/>
  <c r="BV156" i="16"/>
  <c r="W156" i="5" s="1"/>
  <c r="AE157" i="3" s="1"/>
  <c r="BV157" i="16"/>
  <c r="W157" i="5" s="1"/>
  <c r="AE158" i="3" s="1"/>
  <c r="BV158" i="16"/>
  <c r="W158" i="5" s="1"/>
  <c r="AE159" i="3" s="1"/>
  <c r="BV159" i="16"/>
  <c r="W159" i="5" s="1"/>
  <c r="AE160" i="3" s="1"/>
  <c r="BV160" i="16"/>
  <c r="W160" i="5" s="1"/>
  <c r="AE161" i="3" s="1"/>
  <c r="BV161" i="16"/>
  <c r="W161" i="5" s="1"/>
  <c r="AE162" i="3" s="1"/>
  <c r="BV162" i="16"/>
  <c r="W162" i="5" s="1"/>
  <c r="AE163" i="3" s="1"/>
  <c r="BV163" i="16"/>
  <c r="W163" i="5" s="1"/>
  <c r="AE164" i="3" s="1"/>
  <c r="BV164" i="16"/>
  <c r="W164" i="5" s="1"/>
  <c r="AE165" i="3" s="1"/>
  <c r="BV165" i="16"/>
  <c r="W165" i="5" s="1"/>
  <c r="AE166" i="3" s="1"/>
  <c r="BV166" i="16"/>
  <c r="W166" i="5" s="1"/>
  <c r="AE167" i="3" s="1"/>
  <c r="BV167" i="16"/>
  <c r="W167" i="5" s="1"/>
  <c r="AE168" i="3" s="1"/>
  <c r="BV168" i="16"/>
  <c r="W168" i="5" s="1"/>
  <c r="AE169" i="3" s="1"/>
  <c r="BV169" i="16"/>
  <c r="W169" i="5" s="1"/>
  <c r="AE170" i="3" s="1"/>
  <c r="BV170" i="16"/>
  <c r="W170" i="5" s="1"/>
  <c r="AE171" i="3" s="1"/>
  <c r="BV171" i="16"/>
  <c r="W171" i="5" s="1"/>
  <c r="AE172" i="3" s="1"/>
  <c r="BV172" i="16"/>
  <c r="W172" i="5" s="1"/>
  <c r="AE173" i="3" s="1"/>
  <c r="BV173" i="16"/>
  <c r="W173" i="5" s="1"/>
  <c r="AE174" i="3" s="1"/>
  <c r="BV174" i="16"/>
  <c r="W174" i="5" s="1"/>
  <c r="AE175" i="3" s="1"/>
  <c r="BV175" i="16"/>
  <c r="W175" i="5" s="1"/>
  <c r="AE176" i="3"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O136" i="3" s="1"/>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CK3" i="16" s="1"/>
  <c r="BS4" i="16"/>
  <c r="CK4" i="16" s="1"/>
  <c r="BS5" i="16"/>
  <c r="CK5" i="16" s="1"/>
  <c r="BS6" i="16"/>
  <c r="CK6" i="16" s="1"/>
  <c r="BS7" i="16"/>
  <c r="CK7" i="16" s="1"/>
  <c r="BS8" i="16"/>
  <c r="CK8" i="16" s="1"/>
  <c r="BS9" i="16"/>
  <c r="CK9" i="16" s="1"/>
  <c r="BS10" i="16"/>
  <c r="CK10" i="16" s="1"/>
  <c r="BS11" i="16"/>
  <c r="CK11" i="16" s="1"/>
  <c r="BS12" i="16"/>
  <c r="CK12" i="16" s="1"/>
  <c r="BS13" i="16"/>
  <c r="CK13" i="16" s="1"/>
  <c r="BS14" i="16"/>
  <c r="CK14" i="16" s="1"/>
  <c r="BS15" i="16"/>
  <c r="CK15" i="16" s="1"/>
  <c r="BS16" i="16"/>
  <c r="CK16" i="16" s="1"/>
  <c r="BS17" i="16"/>
  <c r="CK17" i="16" s="1"/>
  <c r="BS18" i="16"/>
  <c r="CK18" i="16" s="1"/>
  <c r="BS19" i="16"/>
  <c r="CK19" i="16" s="1"/>
  <c r="BS20" i="16"/>
  <c r="CK20" i="16" s="1"/>
  <c r="BS21" i="16"/>
  <c r="CK21" i="16" s="1"/>
  <c r="BS22" i="16"/>
  <c r="CK22" i="16" s="1"/>
  <c r="BS23" i="16"/>
  <c r="CK23" i="16" s="1"/>
  <c r="BS24" i="16"/>
  <c r="CK24" i="16" s="1"/>
  <c r="BS25" i="16"/>
  <c r="CK25" i="16" s="1"/>
  <c r="BS26" i="16"/>
  <c r="CK26" i="16" s="1"/>
  <c r="BS27" i="16"/>
  <c r="CK27" i="16" s="1"/>
  <c r="BS28" i="16"/>
  <c r="CK28" i="16" s="1"/>
  <c r="BS29" i="16"/>
  <c r="CK29" i="16" s="1"/>
  <c r="BS30" i="16"/>
  <c r="CK30" i="16" s="1"/>
  <c r="BS31" i="16"/>
  <c r="CK31" i="16" s="1"/>
  <c r="BS32" i="16"/>
  <c r="CK32" i="16" s="1"/>
  <c r="BS33" i="16"/>
  <c r="CK33" i="16" s="1"/>
  <c r="BS34" i="16"/>
  <c r="CK34" i="16" s="1"/>
  <c r="BS35" i="16"/>
  <c r="CK35" i="16" s="1"/>
  <c r="BS36" i="16"/>
  <c r="CK36" i="16" s="1"/>
  <c r="BS37" i="16"/>
  <c r="CK37" i="16" s="1"/>
  <c r="BS38" i="16"/>
  <c r="CK38" i="16" s="1"/>
  <c r="BS39" i="16"/>
  <c r="CK39" i="16" s="1"/>
  <c r="BS40" i="16"/>
  <c r="CK40" i="16" s="1"/>
  <c r="BS41" i="16"/>
  <c r="CK41" i="16" s="1"/>
  <c r="BS42" i="16"/>
  <c r="CK42" i="16" s="1"/>
  <c r="BS43" i="16"/>
  <c r="CK43" i="16" s="1"/>
  <c r="BS44" i="16"/>
  <c r="CK44" i="16" s="1"/>
  <c r="BS45" i="16"/>
  <c r="CK45" i="16" s="1"/>
  <c r="BS46" i="16"/>
  <c r="CK46" i="16" s="1"/>
  <c r="BS47" i="16"/>
  <c r="CK47" i="16" s="1"/>
  <c r="BS48" i="16"/>
  <c r="CK48" i="16" s="1"/>
  <c r="BS49" i="16"/>
  <c r="CK49" i="16" s="1"/>
  <c r="BS50" i="16"/>
  <c r="CK50" i="16" s="1"/>
  <c r="BS51" i="16"/>
  <c r="CK51" i="16" s="1"/>
  <c r="BS52" i="16"/>
  <c r="CK52" i="16" s="1"/>
  <c r="BS53" i="16"/>
  <c r="CK53" i="16" s="1"/>
  <c r="BS54" i="16"/>
  <c r="CK54" i="16" s="1"/>
  <c r="BS55" i="16"/>
  <c r="CK55" i="16" s="1"/>
  <c r="BS56" i="16"/>
  <c r="CK56" i="16" s="1"/>
  <c r="BS57" i="16"/>
  <c r="CK57" i="16" s="1"/>
  <c r="BS58" i="16"/>
  <c r="CK58" i="16" s="1"/>
  <c r="BS59" i="16"/>
  <c r="CK59" i="16" s="1"/>
  <c r="BS60" i="16"/>
  <c r="CK60" i="16" s="1"/>
  <c r="BS61" i="16"/>
  <c r="CK61" i="16" s="1"/>
  <c r="BS62" i="16"/>
  <c r="CK62" i="16" s="1"/>
  <c r="BS63" i="16"/>
  <c r="CK63" i="16" s="1"/>
  <c r="BS64" i="16"/>
  <c r="CK64" i="16" s="1"/>
  <c r="BS65" i="16"/>
  <c r="CK65" i="16" s="1"/>
  <c r="BS66" i="16"/>
  <c r="CK66" i="16" s="1"/>
  <c r="BS67" i="16"/>
  <c r="CK67" i="16" s="1"/>
  <c r="BS68" i="16"/>
  <c r="CK68" i="16" s="1"/>
  <c r="BS69" i="16"/>
  <c r="CK69" i="16" s="1"/>
  <c r="BS70" i="16"/>
  <c r="CK70" i="16" s="1"/>
  <c r="BS71" i="16"/>
  <c r="CK71" i="16" s="1"/>
  <c r="BS72" i="16"/>
  <c r="CK72" i="16" s="1"/>
  <c r="BS73" i="16"/>
  <c r="CK73" i="16" s="1"/>
  <c r="BS74" i="16"/>
  <c r="CK74" i="16" s="1"/>
  <c r="BS75" i="16"/>
  <c r="CK75" i="16" s="1"/>
  <c r="BS76" i="16"/>
  <c r="CK76" i="16" s="1"/>
  <c r="BS77" i="16"/>
  <c r="CK77" i="16" s="1"/>
  <c r="BS78" i="16"/>
  <c r="CK78" i="16" s="1"/>
  <c r="BS79" i="16"/>
  <c r="CK79" i="16" s="1"/>
  <c r="BS80" i="16"/>
  <c r="CK80" i="16" s="1"/>
  <c r="BS81" i="16"/>
  <c r="CK81" i="16" s="1"/>
  <c r="BS82" i="16"/>
  <c r="CK82" i="16" s="1"/>
  <c r="BS83" i="16"/>
  <c r="CK83" i="16" s="1"/>
  <c r="BS84" i="16"/>
  <c r="CK84" i="16" s="1"/>
  <c r="BS85" i="16"/>
  <c r="CK85" i="16" s="1"/>
  <c r="BS86" i="16"/>
  <c r="CK86" i="16" s="1"/>
  <c r="BS87" i="16"/>
  <c r="CK87" i="16" s="1"/>
  <c r="BS88" i="16"/>
  <c r="CK88" i="16" s="1"/>
  <c r="BS89" i="16"/>
  <c r="CK89" i="16" s="1"/>
  <c r="BS90" i="16"/>
  <c r="CK90" i="16" s="1"/>
  <c r="BS91" i="16"/>
  <c r="CK91" i="16" s="1"/>
  <c r="BS92" i="16"/>
  <c r="CK92" i="16" s="1"/>
  <c r="BS93" i="16"/>
  <c r="CK93" i="16" s="1"/>
  <c r="BS94" i="16"/>
  <c r="CK94" i="16" s="1"/>
  <c r="BS95" i="16"/>
  <c r="CK95" i="16" s="1"/>
  <c r="BS96" i="16"/>
  <c r="CK96" i="16" s="1"/>
  <c r="BS97" i="16"/>
  <c r="CK97" i="16" s="1"/>
  <c r="BS98" i="16"/>
  <c r="CK98" i="16" s="1"/>
  <c r="BS99" i="16"/>
  <c r="CK99" i="16" s="1"/>
  <c r="BS100" i="16"/>
  <c r="CK100" i="16" s="1"/>
  <c r="BS101" i="16"/>
  <c r="CK101" i="16" s="1"/>
  <c r="BS102" i="16"/>
  <c r="CK102" i="16" s="1"/>
  <c r="BS103" i="16"/>
  <c r="CK103" i="16" s="1"/>
  <c r="BS104" i="16"/>
  <c r="CK104" i="16" s="1"/>
  <c r="BS105" i="16"/>
  <c r="CK105" i="16" s="1"/>
  <c r="BS106" i="16"/>
  <c r="CK106" i="16" s="1"/>
  <c r="BS107" i="16"/>
  <c r="CK107" i="16" s="1"/>
  <c r="BS108" i="16"/>
  <c r="CK108" i="16" s="1"/>
  <c r="BS109" i="16"/>
  <c r="CK109" i="16" s="1"/>
  <c r="BS110" i="16"/>
  <c r="CK110" i="16" s="1"/>
  <c r="BS111" i="16"/>
  <c r="CK111" i="16" s="1"/>
  <c r="BS112" i="16"/>
  <c r="CK112" i="16" s="1"/>
  <c r="BS113" i="16"/>
  <c r="CK113" i="16" s="1"/>
  <c r="BS114" i="16"/>
  <c r="CK114" i="16" s="1"/>
  <c r="BS115" i="16"/>
  <c r="CK115" i="16" s="1"/>
  <c r="BS116" i="16"/>
  <c r="CK116" i="16" s="1"/>
  <c r="BS117" i="16"/>
  <c r="CK117" i="16" s="1"/>
  <c r="BS118" i="16"/>
  <c r="CK118" i="16" s="1"/>
  <c r="BS119" i="16"/>
  <c r="CK119" i="16" s="1"/>
  <c r="BS120" i="16"/>
  <c r="CK120" i="16" s="1"/>
  <c r="BS121" i="16"/>
  <c r="CK121" i="16" s="1"/>
  <c r="BS122" i="16"/>
  <c r="CK122" i="16" s="1"/>
  <c r="BS123" i="16"/>
  <c r="CK123" i="16" s="1"/>
  <c r="BS124" i="16"/>
  <c r="CK124" i="16" s="1"/>
  <c r="BS125" i="16"/>
  <c r="CK125" i="16" s="1"/>
  <c r="BS126" i="16"/>
  <c r="CK126" i="16" s="1"/>
  <c r="BS127" i="16"/>
  <c r="CK127" i="16" s="1"/>
  <c r="BS128" i="16"/>
  <c r="CK128" i="16" s="1"/>
  <c r="BS129" i="16"/>
  <c r="CK129" i="16" s="1"/>
  <c r="BS130" i="16"/>
  <c r="CK130" i="16" s="1"/>
  <c r="BS131" i="16"/>
  <c r="CK131" i="16" s="1"/>
  <c r="BS132" i="16"/>
  <c r="CK132" i="16" s="1"/>
  <c r="BS133" i="16"/>
  <c r="CK133" i="16" s="1"/>
  <c r="BS134" i="16"/>
  <c r="CK134" i="16" s="1"/>
  <c r="BS135" i="16"/>
  <c r="CK135" i="16" s="1"/>
  <c r="BS136" i="16"/>
  <c r="CK136" i="16" s="1"/>
  <c r="BS137" i="16"/>
  <c r="CK137" i="16" s="1"/>
  <c r="BS138" i="16"/>
  <c r="CK138" i="16" s="1"/>
  <c r="BS139" i="16"/>
  <c r="CK139" i="16" s="1"/>
  <c r="BS140" i="16"/>
  <c r="CK140" i="16" s="1"/>
  <c r="BS141" i="16"/>
  <c r="CK141" i="16" s="1"/>
  <c r="BS142" i="16"/>
  <c r="CK142" i="16" s="1"/>
  <c r="BS143" i="16"/>
  <c r="CK143" i="16" s="1"/>
  <c r="BS144" i="16"/>
  <c r="CK144" i="16" s="1"/>
  <c r="BS145" i="16"/>
  <c r="CK145" i="16" s="1"/>
  <c r="BS146" i="16"/>
  <c r="CK146" i="16" s="1"/>
  <c r="BS147" i="16"/>
  <c r="CK147" i="16" s="1"/>
  <c r="BS148" i="16"/>
  <c r="CK148" i="16" s="1"/>
  <c r="BS149" i="16"/>
  <c r="CK149" i="16" s="1"/>
  <c r="BS150" i="16"/>
  <c r="CK150" i="16" s="1"/>
  <c r="BS151" i="16"/>
  <c r="CK151" i="16" s="1"/>
  <c r="BS152" i="16"/>
  <c r="CK152" i="16" s="1"/>
  <c r="BS153" i="16"/>
  <c r="CK153" i="16" s="1"/>
  <c r="BS154" i="16"/>
  <c r="CK154" i="16" s="1"/>
  <c r="BS155" i="16"/>
  <c r="CK155" i="16" s="1"/>
  <c r="BS156" i="16"/>
  <c r="CK156" i="16" s="1"/>
  <c r="BS157" i="16"/>
  <c r="CK157" i="16" s="1"/>
  <c r="BS158" i="16"/>
  <c r="CK158" i="16" s="1"/>
  <c r="BS159" i="16"/>
  <c r="CK159" i="16" s="1"/>
  <c r="BS160" i="16"/>
  <c r="CK160" i="16" s="1"/>
  <c r="BS161" i="16"/>
  <c r="CK161" i="16" s="1"/>
  <c r="BS162" i="16"/>
  <c r="CK162" i="16" s="1"/>
  <c r="BS163" i="16"/>
  <c r="CK163" i="16" s="1"/>
  <c r="BS164" i="16"/>
  <c r="CK164" i="16" s="1"/>
  <c r="BS165" i="16"/>
  <c r="CK165" i="16" s="1"/>
  <c r="BS166" i="16"/>
  <c r="CK166" i="16" s="1"/>
  <c r="BS167" i="16"/>
  <c r="CK167" i="16" s="1"/>
  <c r="BS168" i="16"/>
  <c r="CK168" i="16" s="1"/>
  <c r="BS169" i="16"/>
  <c r="CK169" i="16" s="1"/>
  <c r="BS170" i="16"/>
  <c r="CK170" i="16" s="1"/>
  <c r="BS171" i="16"/>
  <c r="CK171" i="16" s="1"/>
  <c r="BS172" i="16"/>
  <c r="CK172" i="16" s="1"/>
  <c r="BS173" i="16"/>
  <c r="CK173" i="16" s="1"/>
  <c r="BS174" i="16"/>
  <c r="CK174" i="16" s="1"/>
  <c r="BS175" i="16"/>
  <c r="CK175" i="16" s="1"/>
  <c r="BS176" i="16"/>
  <c r="CK176" i="16" s="1"/>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CJ3" i="16" s="1"/>
  <c r="BN4" i="16"/>
  <c r="CJ4" i="16" s="1"/>
  <c r="BN5" i="16"/>
  <c r="CJ5" i="16" s="1"/>
  <c r="BN6" i="16"/>
  <c r="CJ6" i="16" s="1"/>
  <c r="BN7" i="16"/>
  <c r="CJ7" i="16" s="1"/>
  <c r="BN8" i="16"/>
  <c r="CJ8" i="16" s="1"/>
  <c r="BN9" i="16"/>
  <c r="CJ9" i="16" s="1"/>
  <c r="BN10" i="16"/>
  <c r="CJ10" i="16" s="1"/>
  <c r="BN11" i="16"/>
  <c r="CJ11" i="16" s="1"/>
  <c r="BN12" i="16"/>
  <c r="CJ12" i="16" s="1"/>
  <c r="BN13" i="16"/>
  <c r="CJ13" i="16" s="1"/>
  <c r="BN14" i="16"/>
  <c r="CJ14" i="16" s="1"/>
  <c r="BN15" i="16"/>
  <c r="CJ15" i="16" s="1"/>
  <c r="BN16" i="16"/>
  <c r="CJ16" i="16" s="1"/>
  <c r="BN17" i="16"/>
  <c r="CJ17" i="16" s="1"/>
  <c r="BN18" i="16"/>
  <c r="CJ18" i="16" s="1"/>
  <c r="BN19" i="16"/>
  <c r="CJ19" i="16" s="1"/>
  <c r="BN20" i="16"/>
  <c r="CJ20" i="16" s="1"/>
  <c r="BN21" i="16"/>
  <c r="CJ21" i="16" s="1"/>
  <c r="BN22" i="16"/>
  <c r="CJ22" i="16" s="1"/>
  <c r="BN23" i="16"/>
  <c r="CJ23" i="16" s="1"/>
  <c r="BN24" i="16"/>
  <c r="CJ24" i="16" s="1"/>
  <c r="BN25" i="16"/>
  <c r="CJ25" i="16" s="1"/>
  <c r="BN26" i="16"/>
  <c r="CJ26" i="16" s="1"/>
  <c r="BN27" i="16"/>
  <c r="CJ27" i="16" s="1"/>
  <c r="BN28" i="16"/>
  <c r="CJ28" i="16" s="1"/>
  <c r="BN29" i="16"/>
  <c r="CJ29" i="16" s="1"/>
  <c r="BN30" i="16"/>
  <c r="CJ30" i="16" s="1"/>
  <c r="BN31" i="16"/>
  <c r="CJ31" i="16" s="1"/>
  <c r="BN32" i="16"/>
  <c r="CJ32" i="16" s="1"/>
  <c r="BN33" i="16"/>
  <c r="CJ33" i="16" s="1"/>
  <c r="BN34" i="16"/>
  <c r="CJ34" i="16" s="1"/>
  <c r="BN35" i="16"/>
  <c r="CJ35" i="16" s="1"/>
  <c r="BN36" i="16"/>
  <c r="CJ36" i="16" s="1"/>
  <c r="BN37" i="16"/>
  <c r="CJ37" i="16" s="1"/>
  <c r="BN38" i="16"/>
  <c r="CJ38" i="16" s="1"/>
  <c r="BN39" i="16"/>
  <c r="CJ39" i="16" s="1"/>
  <c r="BN40" i="16"/>
  <c r="CJ40" i="16" s="1"/>
  <c r="BN41" i="16"/>
  <c r="CJ41" i="16" s="1"/>
  <c r="BN42" i="16"/>
  <c r="CJ42" i="16" s="1"/>
  <c r="BN43" i="16"/>
  <c r="CJ43" i="16" s="1"/>
  <c r="BN44" i="16"/>
  <c r="CJ44" i="16" s="1"/>
  <c r="BN45" i="16"/>
  <c r="CJ45" i="16" s="1"/>
  <c r="BN46" i="16"/>
  <c r="CJ46" i="16" s="1"/>
  <c r="BN47" i="16"/>
  <c r="CJ47" i="16" s="1"/>
  <c r="BN48" i="16"/>
  <c r="CJ48" i="16" s="1"/>
  <c r="BN49" i="16"/>
  <c r="CJ49" i="16" s="1"/>
  <c r="BN50" i="16"/>
  <c r="CJ50" i="16" s="1"/>
  <c r="BN51" i="16"/>
  <c r="CJ51" i="16" s="1"/>
  <c r="BN52" i="16"/>
  <c r="CJ52" i="16" s="1"/>
  <c r="BN53" i="16"/>
  <c r="CJ53" i="16" s="1"/>
  <c r="BN54" i="16"/>
  <c r="CJ54" i="16" s="1"/>
  <c r="BN55" i="16"/>
  <c r="CJ55" i="16" s="1"/>
  <c r="BN56" i="16"/>
  <c r="CJ56" i="16" s="1"/>
  <c r="BN57" i="16"/>
  <c r="CJ57" i="16" s="1"/>
  <c r="BN58" i="16"/>
  <c r="CJ58" i="16" s="1"/>
  <c r="BN59" i="16"/>
  <c r="CJ59" i="16" s="1"/>
  <c r="BN60" i="16"/>
  <c r="CJ60" i="16" s="1"/>
  <c r="BN61" i="16"/>
  <c r="CJ61" i="16" s="1"/>
  <c r="BN62" i="16"/>
  <c r="CJ62" i="16" s="1"/>
  <c r="BN63" i="16"/>
  <c r="CJ63" i="16" s="1"/>
  <c r="BN64" i="16"/>
  <c r="CJ64" i="16" s="1"/>
  <c r="BN65" i="16"/>
  <c r="CJ65" i="16" s="1"/>
  <c r="BN66" i="16"/>
  <c r="CJ66" i="16" s="1"/>
  <c r="BN67" i="16"/>
  <c r="CJ67" i="16" s="1"/>
  <c r="BN68" i="16"/>
  <c r="CJ68" i="16" s="1"/>
  <c r="BN69" i="16"/>
  <c r="CJ69" i="16" s="1"/>
  <c r="BN70" i="16"/>
  <c r="CJ70" i="16" s="1"/>
  <c r="BN71" i="16"/>
  <c r="CJ71" i="16" s="1"/>
  <c r="BN72" i="16"/>
  <c r="CJ72" i="16" s="1"/>
  <c r="BN73" i="16"/>
  <c r="CJ73" i="16" s="1"/>
  <c r="BN74" i="16"/>
  <c r="CJ74" i="16" s="1"/>
  <c r="BN75" i="16"/>
  <c r="CJ75" i="16" s="1"/>
  <c r="BN76" i="16"/>
  <c r="CJ76" i="16" s="1"/>
  <c r="BN77" i="16"/>
  <c r="CJ77" i="16" s="1"/>
  <c r="BN78" i="16"/>
  <c r="CJ78" i="16" s="1"/>
  <c r="BN79" i="16"/>
  <c r="CJ79" i="16" s="1"/>
  <c r="BN80" i="16"/>
  <c r="CJ80" i="16" s="1"/>
  <c r="BN81" i="16"/>
  <c r="CJ81" i="16" s="1"/>
  <c r="BN82" i="16"/>
  <c r="CJ82" i="16" s="1"/>
  <c r="BN83" i="16"/>
  <c r="CJ83" i="16" s="1"/>
  <c r="BN84" i="16"/>
  <c r="CJ84" i="16" s="1"/>
  <c r="BN85" i="16"/>
  <c r="CJ85" i="16" s="1"/>
  <c r="BN86" i="16"/>
  <c r="CJ86" i="16" s="1"/>
  <c r="BN87" i="16"/>
  <c r="CJ87" i="16" s="1"/>
  <c r="BN88" i="16"/>
  <c r="CJ88" i="16" s="1"/>
  <c r="BN89" i="16"/>
  <c r="CJ89" i="16" s="1"/>
  <c r="BN90" i="16"/>
  <c r="CJ90" i="16" s="1"/>
  <c r="BN91" i="16"/>
  <c r="CJ91" i="16" s="1"/>
  <c r="BN92" i="16"/>
  <c r="CJ92" i="16" s="1"/>
  <c r="BN93" i="16"/>
  <c r="CJ93" i="16" s="1"/>
  <c r="BN94" i="16"/>
  <c r="CJ94" i="16" s="1"/>
  <c r="BN95" i="16"/>
  <c r="CJ95" i="16" s="1"/>
  <c r="BN96" i="16"/>
  <c r="CJ96" i="16" s="1"/>
  <c r="BN97" i="16"/>
  <c r="CJ97" i="16" s="1"/>
  <c r="BN98" i="16"/>
  <c r="CJ98" i="16" s="1"/>
  <c r="BN99" i="16"/>
  <c r="CJ99" i="16" s="1"/>
  <c r="BN100" i="16"/>
  <c r="CJ100" i="16" s="1"/>
  <c r="BN101" i="16"/>
  <c r="CJ101" i="16" s="1"/>
  <c r="BN102" i="16"/>
  <c r="CJ102" i="16" s="1"/>
  <c r="BN103" i="16"/>
  <c r="CJ103" i="16" s="1"/>
  <c r="BN104" i="16"/>
  <c r="CJ104" i="16" s="1"/>
  <c r="BN105" i="16"/>
  <c r="CJ105" i="16" s="1"/>
  <c r="BN106" i="16"/>
  <c r="CJ106" i="16" s="1"/>
  <c r="BN107" i="16"/>
  <c r="CJ107" i="16" s="1"/>
  <c r="BN108" i="16"/>
  <c r="CJ108" i="16" s="1"/>
  <c r="BN109" i="16"/>
  <c r="CJ109" i="16" s="1"/>
  <c r="BN110" i="16"/>
  <c r="CJ110" i="16" s="1"/>
  <c r="BN111" i="16"/>
  <c r="CJ111" i="16" s="1"/>
  <c r="BN112" i="16"/>
  <c r="CJ112" i="16" s="1"/>
  <c r="BN113" i="16"/>
  <c r="CJ113" i="16" s="1"/>
  <c r="BN114" i="16"/>
  <c r="CJ114" i="16" s="1"/>
  <c r="BN115" i="16"/>
  <c r="CJ115" i="16" s="1"/>
  <c r="BN116" i="16"/>
  <c r="CJ116" i="16" s="1"/>
  <c r="BN117" i="16"/>
  <c r="CJ117" i="16" s="1"/>
  <c r="BN118" i="16"/>
  <c r="CJ118" i="16" s="1"/>
  <c r="BN119" i="16"/>
  <c r="CJ119" i="16" s="1"/>
  <c r="BN120" i="16"/>
  <c r="CJ120" i="16" s="1"/>
  <c r="BN121" i="16"/>
  <c r="CJ121" i="16" s="1"/>
  <c r="BN122" i="16"/>
  <c r="CJ122" i="16" s="1"/>
  <c r="BN123" i="16"/>
  <c r="CJ123" i="16" s="1"/>
  <c r="BN124" i="16"/>
  <c r="CJ124" i="16" s="1"/>
  <c r="BN125" i="16"/>
  <c r="CJ125" i="16" s="1"/>
  <c r="BN126" i="16"/>
  <c r="CJ126" i="16" s="1"/>
  <c r="BN127" i="16"/>
  <c r="CJ127" i="16" s="1"/>
  <c r="BN128" i="16"/>
  <c r="CJ128" i="16" s="1"/>
  <c r="BN129" i="16"/>
  <c r="CJ129" i="16" s="1"/>
  <c r="BN130" i="16"/>
  <c r="CJ130" i="16" s="1"/>
  <c r="BN131" i="16"/>
  <c r="CJ131" i="16" s="1"/>
  <c r="BN132" i="16"/>
  <c r="CJ132" i="16" s="1"/>
  <c r="BN133" i="16"/>
  <c r="CJ133" i="16" s="1"/>
  <c r="BN134" i="16"/>
  <c r="CJ134" i="16" s="1"/>
  <c r="BN135" i="16"/>
  <c r="CJ135" i="16" s="1"/>
  <c r="BN136" i="16"/>
  <c r="CJ136" i="16" s="1"/>
  <c r="BN137" i="16"/>
  <c r="CJ137" i="16" s="1"/>
  <c r="BN138" i="16"/>
  <c r="CJ138" i="16" s="1"/>
  <c r="BN139" i="16"/>
  <c r="CJ139" i="16" s="1"/>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CI3" i="16" s="1"/>
  <c r="BJ4" i="16"/>
  <c r="CI4" i="16" s="1"/>
  <c r="BJ5" i="16"/>
  <c r="CI5" i="16" s="1"/>
  <c r="BJ6" i="16"/>
  <c r="CI6" i="16" s="1"/>
  <c r="BJ7" i="16"/>
  <c r="CI7" i="16" s="1"/>
  <c r="BJ8" i="16"/>
  <c r="CI8" i="16" s="1"/>
  <c r="BJ9" i="16"/>
  <c r="CI9" i="16" s="1"/>
  <c r="BJ10" i="16"/>
  <c r="CI10" i="16" s="1"/>
  <c r="BJ11" i="16"/>
  <c r="CI11" i="16" s="1"/>
  <c r="BJ12" i="16"/>
  <c r="CI12" i="16" s="1"/>
  <c r="BJ13" i="16"/>
  <c r="CI13" i="16" s="1"/>
  <c r="BJ14" i="16"/>
  <c r="CI14" i="16" s="1"/>
  <c r="BJ15" i="16"/>
  <c r="CI15" i="16" s="1"/>
  <c r="BJ16" i="16"/>
  <c r="CI16" i="16" s="1"/>
  <c r="BJ17" i="16"/>
  <c r="CI17" i="16" s="1"/>
  <c r="BJ18" i="16"/>
  <c r="CI18" i="16" s="1"/>
  <c r="BJ19" i="16"/>
  <c r="CI19" i="16" s="1"/>
  <c r="BJ20" i="16"/>
  <c r="CI20" i="16" s="1"/>
  <c r="BJ21" i="16"/>
  <c r="CI21" i="16" s="1"/>
  <c r="BJ22" i="16"/>
  <c r="CI22" i="16" s="1"/>
  <c r="BJ23" i="16"/>
  <c r="CI23" i="16" s="1"/>
  <c r="BJ24" i="16"/>
  <c r="CI24" i="16" s="1"/>
  <c r="BJ25" i="16"/>
  <c r="CI25" i="16" s="1"/>
  <c r="BJ26" i="16"/>
  <c r="CI26" i="16" s="1"/>
  <c r="BJ27" i="16"/>
  <c r="CI27" i="16" s="1"/>
  <c r="BJ28" i="16"/>
  <c r="CI28" i="16" s="1"/>
  <c r="BJ29" i="16"/>
  <c r="CI29" i="16" s="1"/>
  <c r="BJ30" i="16"/>
  <c r="CI30" i="16" s="1"/>
  <c r="BJ31" i="16"/>
  <c r="CI31" i="16" s="1"/>
  <c r="BJ32" i="16"/>
  <c r="CI32" i="16" s="1"/>
  <c r="BJ33" i="16"/>
  <c r="CI33" i="16" s="1"/>
  <c r="BJ34" i="16"/>
  <c r="CI34" i="16" s="1"/>
  <c r="BJ35" i="16"/>
  <c r="CI35" i="16" s="1"/>
  <c r="BJ36" i="16"/>
  <c r="CI36" i="16" s="1"/>
  <c r="BJ37" i="16"/>
  <c r="CI37" i="16" s="1"/>
  <c r="BJ38" i="16"/>
  <c r="CI38" i="16" s="1"/>
  <c r="BJ39" i="16"/>
  <c r="CI39" i="16" s="1"/>
  <c r="BJ40" i="16"/>
  <c r="CI40" i="16" s="1"/>
  <c r="BJ41" i="16"/>
  <c r="CI41" i="16" s="1"/>
  <c r="BJ42" i="16"/>
  <c r="CI42" i="16" s="1"/>
  <c r="BJ43" i="16"/>
  <c r="CI43" i="16" s="1"/>
  <c r="BJ44" i="16"/>
  <c r="CI44" i="16" s="1"/>
  <c r="BJ45" i="16"/>
  <c r="CI45" i="16" s="1"/>
  <c r="BJ46" i="16"/>
  <c r="CI46" i="16" s="1"/>
  <c r="BJ47" i="16"/>
  <c r="CI47" i="16" s="1"/>
  <c r="BJ48" i="16"/>
  <c r="CI48" i="16" s="1"/>
  <c r="BJ49" i="16"/>
  <c r="CI49" i="16" s="1"/>
  <c r="BJ50" i="16"/>
  <c r="CI50" i="16" s="1"/>
  <c r="BJ51" i="16"/>
  <c r="CI51" i="16" s="1"/>
  <c r="BJ52" i="16"/>
  <c r="CI52" i="16" s="1"/>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CI119" i="16" s="1"/>
  <c r="BJ120" i="16"/>
  <c r="CI120" i="16" s="1"/>
  <c r="BJ121" i="16"/>
  <c r="BJ122" i="16"/>
  <c r="CI122" i="16" s="1"/>
  <c r="BJ123" i="16"/>
  <c r="CI123" i="16" s="1"/>
  <c r="BJ124" i="16"/>
  <c r="CI124" i="16" s="1"/>
  <c r="BJ125" i="16"/>
  <c r="CI125" i="16" s="1"/>
  <c r="BJ126" i="16"/>
  <c r="CI126" i="16" s="1"/>
  <c r="BJ127" i="16"/>
  <c r="CI127" i="16" s="1"/>
  <c r="BJ128" i="16"/>
  <c r="CI128" i="16" s="1"/>
  <c r="BJ129" i="16"/>
  <c r="CI129" i="16" s="1"/>
  <c r="BJ130" i="16"/>
  <c r="CI130" i="16" s="1"/>
  <c r="BJ131" i="16"/>
  <c r="CI131" i="16" s="1"/>
  <c r="BJ132" i="16"/>
  <c r="CI132" i="16" s="1"/>
  <c r="BJ133" i="16"/>
  <c r="CI133" i="16" s="1"/>
  <c r="BJ134" i="16"/>
  <c r="CI134" i="16" s="1"/>
  <c r="BJ135" i="16"/>
  <c r="CI135" i="16" s="1"/>
  <c r="BJ136" i="16"/>
  <c r="CI136" i="16" s="1"/>
  <c r="BJ137" i="16"/>
  <c r="CI137" i="16" s="1"/>
  <c r="BJ138" i="16"/>
  <c r="CI138" i="16" s="1"/>
  <c r="BJ139" i="16"/>
  <c r="CI139" i="16" s="1"/>
  <c r="BJ140" i="16"/>
  <c r="CI140" i="16" s="1"/>
  <c r="BJ141" i="16"/>
  <c r="CI141" i="16" s="1"/>
  <c r="BJ142" i="16"/>
  <c r="CI142" i="16" s="1"/>
  <c r="BJ143" i="16"/>
  <c r="CI143" i="16" s="1"/>
  <c r="BJ144" i="16"/>
  <c r="CI144" i="16" s="1"/>
  <c r="BJ145" i="16"/>
  <c r="CI145" i="16" s="1"/>
  <c r="BJ146" i="16"/>
  <c r="CI146" i="16" s="1"/>
  <c r="BJ147" i="16"/>
  <c r="CI147" i="16" s="1"/>
  <c r="BJ148" i="16"/>
  <c r="CI148" i="16" s="1"/>
  <c r="BJ149" i="16"/>
  <c r="CI149" i="16" s="1"/>
  <c r="BJ150" i="16"/>
  <c r="CI150" i="16" s="1"/>
  <c r="BJ151" i="16"/>
  <c r="CI151" i="16" s="1"/>
  <c r="BJ152" i="16"/>
  <c r="CI152" i="16" s="1"/>
  <c r="BJ153" i="16"/>
  <c r="CI153" i="16" s="1"/>
  <c r="BJ154" i="16"/>
  <c r="CI154" i="16" s="1"/>
  <c r="BJ155" i="16"/>
  <c r="CI155" i="16" s="1"/>
  <c r="BJ156" i="16"/>
  <c r="CI156" i="16" s="1"/>
  <c r="BJ157" i="16"/>
  <c r="CI157" i="16" s="1"/>
  <c r="BJ158" i="16"/>
  <c r="CI158" i="16" s="1"/>
  <c r="BJ159" i="16"/>
  <c r="CI159" i="16" s="1"/>
  <c r="BJ160" i="16"/>
  <c r="CI160" i="16" s="1"/>
  <c r="BJ161" i="16"/>
  <c r="CI161" i="16" s="1"/>
  <c r="BJ162" i="16"/>
  <c r="CI162" i="16" s="1"/>
  <c r="BJ163" i="16"/>
  <c r="CI163" i="16" s="1"/>
  <c r="BJ164" i="16"/>
  <c r="CI164" i="16" s="1"/>
  <c r="BJ165" i="16"/>
  <c r="CI165" i="16" s="1"/>
  <c r="BJ166" i="16"/>
  <c r="CI166" i="16" s="1"/>
  <c r="BJ167" i="16"/>
  <c r="CI167" i="16" s="1"/>
  <c r="BJ168" i="16"/>
  <c r="CI168" i="16" s="1"/>
  <c r="BJ169" i="16"/>
  <c r="CI169" i="16" s="1"/>
  <c r="BJ170" i="16"/>
  <c r="CI170" i="16" s="1"/>
  <c r="BJ171" i="16"/>
  <c r="CI171" i="16" s="1"/>
  <c r="BJ172" i="16"/>
  <c r="CI172" i="16" s="1"/>
  <c r="BJ173" i="16"/>
  <c r="CI173" i="16" s="1"/>
  <c r="BJ174" i="16"/>
  <c r="CI174" i="16" s="1"/>
  <c r="BJ175" i="16"/>
  <c r="CI175" i="16" s="1"/>
  <c r="BJ176" i="16"/>
  <c r="CI176" i="16" s="1"/>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CH50" i="16" s="1"/>
  <c r="BC51" i="16"/>
  <c r="CH51" i="16" s="1"/>
  <c r="BC52" i="16"/>
  <c r="CH52" i="16" s="1"/>
  <c r="BC53" i="16"/>
  <c r="CH53" i="16" s="1"/>
  <c r="BC54" i="16"/>
  <c r="CH54" i="16" s="1"/>
  <c r="BC55" i="16"/>
  <c r="CH55" i="16" s="1"/>
  <c r="BC56" i="16"/>
  <c r="CH56" i="16" s="1"/>
  <c r="BC57" i="16"/>
  <c r="CH57" i="16" s="1"/>
  <c r="BC58" i="16"/>
  <c r="CH58" i="16" s="1"/>
  <c r="BC59" i="16"/>
  <c r="CH59" i="16" s="1"/>
  <c r="BC60" i="16"/>
  <c r="CH60" i="16" s="1"/>
  <c r="BC61" i="16"/>
  <c r="CH61" i="16" s="1"/>
  <c r="BC62" i="16"/>
  <c r="CH62" i="16" s="1"/>
  <c r="BC63" i="16"/>
  <c r="CH63" i="16" s="1"/>
  <c r="BC64" i="16"/>
  <c r="CH64" i="16" s="1"/>
  <c r="BC65" i="16"/>
  <c r="CH65" i="16" s="1"/>
  <c r="BC66" i="16"/>
  <c r="CH66" i="16" s="1"/>
  <c r="BC67" i="16"/>
  <c r="CH67" i="16" s="1"/>
  <c r="BC68" i="16"/>
  <c r="CH68" i="16" s="1"/>
  <c r="BC69" i="16"/>
  <c r="CH69" i="16" s="1"/>
  <c r="BC70" i="16"/>
  <c r="CH70" i="16" s="1"/>
  <c r="BC71" i="16"/>
  <c r="CH71" i="16" s="1"/>
  <c r="BC72" i="16"/>
  <c r="CH72" i="16" s="1"/>
  <c r="BC73" i="16"/>
  <c r="CH73" i="16" s="1"/>
  <c r="BC74" i="16"/>
  <c r="CH74" i="16" s="1"/>
  <c r="BC75" i="16"/>
  <c r="CH75" i="16" s="1"/>
  <c r="BC76" i="16"/>
  <c r="CH76" i="16" s="1"/>
  <c r="BC77" i="16"/>
  <c r="CH77" i="16" s="1"/>
  <c r="BC78" i="16"/>
  <c r="CH78" i="16" s="1"/>
  <c r="BC79" i="16"/>
  <c r="CH79" i="16" s="1"/>
  <c r="BC80" i="16"/>
  <c r="CH80" i="16" s="1"/>
  <c r="BC81" i="16"/>
  <c r="CH81" i="16" s="1"/>
  <c r="BC82" i="16"/>
  <c r="CH82" i="16" s="1"/>
  <c r="BC83" i="16"/>
  <c r="CH83" i="16" s="1"/>
  <c r="BC84" i="16"/>
  <c r="CH84" i="16" s="1"/>
  <c r="BC85" i="16"/>
  <c r="CH85" i="16" s="1"/>
  <c r="BC86" i="16"/>
  <c r="CH86" i="16" s="1"/>
  <c r="BC87" i="16"/>
  <c r="CH87" i="16" s="1"/>
  <c r="BC88" i="16"/>
  <c r="CH88" i="16" s="1"/>
  <c r="BC89" i="16"/>
  <c r="CH89" i="16" s="1"/>
  <c r="BC90" i="16"/>
  <c r="CH90" i="16" s="1"/>
  <c r="BC91" i="16"/>
  <c r="CH91" i="16" s="1"/>
  <c r="BC92" i="16"/>
  <c r="CH92" i="16" s="1"/>
  <c r="BC93" i="16"/>
  <c r="CH93" i="16" s="1"/>
  <c r="BC94" i="16"/>
  <c r="CH94" i="16" s="1"/>
  <c r="BC95" i="16"/>
  <c r="CH95" i="16" s="1"/>
  <c r="BC96" i="16"/>
  <c r="CH96" i="16" s="1"/>
  <c r="BC97" i="16"/>
  <c r="CH97" i="16" s="1"/>
  <c r="BC98" i="16"/>
  <c r="CH98" i="16" s="1"/>
  <c r="BC99" i="16"/>
  <c r="CH99" i="16" s="1"/>
  <c r="BC100" i="16"/>
  <c r="CH100" i="16" s="1"/>
  <c r="BC101" i="16"/>
  <c r="CH101" i="16" s="1"/>
  <c r="BC102" i="16"/>
  <c r="CH102" i="16" s="1"/>
  <c r="BC103" i="16"/>
  <c r="CH103" i="16" s="1"/>
  <c r="BC104" i="16"/>
  <c r="CH104" i="16" s="1"/>
  <c r="BC105" i="16"/>
  <c r="CH105" i="16" s="1"/>
  <c r="BC106" i="16"/>
  <c r="CH106" i="16" s="1"/>
  <c r="BC107" i="16"/>
  <c r="CH107" i="16" s="1"/>
  <c r="BC108" i="16"/>
  <c r="CH108" i="16" s="1"/>
  <c r="BC109" i="16"/>
  <c r="CH109" i="16" s="1"/>
  <c r="BC110" i="16"/>
  <c r="CH110" i="16" s="1"/>
  <c r="BC111" i="16"/>
  <c r="CH111" i="16" s="1"/>
  <c r="BC112" i="16"/>
  <c r="CH112" i="16" s="1"/>
  <c r="BC113" i="16"/>
  <c r="CH113" i="16" s="1"/>
  <c r="BC114" i="16"/>
  <c r="CH114" i="16" s="1"/>
  <c r="BC115" i="16"/>
  <c r="CH115" i="16" s="1"/>
  <c r="BC116" i="16"/>
  <c r="CH116" i="16" s="1"/>
  <c r="BC117" i="16"/>
  <c r="CH117" i="16" s="1"/>
  <c r="BC118" i="16"/>
  <c r="CH118" i="16" s="1"/>
  <c r="BC119" i="16"/>
  <c r="CH119" i="16" s="1"/>
  <c r="BC120" i="16"/>
  <c r="CH120" i="16" s="1"/>
  <c r="BC121" i="16"/>
  <c r="CH121" i="16" s="1"/>
  <c r="BC122" i="16"/>
  <c r="CH122" i="16" s="1"/>
  <c r="BC123" i="16"/>
  <c r="CH123" i="16" s="1"/>
  <c r="BC124" i="16"/>
  <c r="CH124" i="16" s="1"/>
  <c r="BC125" i="16"/>
  <c r="CH125" i="16" s="1"/>
  <c r="BC126" i="16"/>
  <c r="CH126" i="16" s="1"/>
  <c r="BC127" i="16"/>
  <c r="CH127" i="16" s="1"/>
  <c r="BC128" i="16"/>
  <c r="CH128" i="16" s="1"/>
  <c r="BC129" i="16"/>
  <c r="CH129" i="16" s="1"/>
  <c r="BC130" i="16"/>
  <c r="CH130" i="16" s="1"/>
  <c r="BC131" i="16"/>
  <c r="CH131" i="16" s="1"/>
  <c r="BC132" i="16"/>
  <c r="CH132" i="16" s="1"/>
  <c r="BC133" i="16"/>
  <c r="CH133" i="16" s="1"/>
  <c r="BC134" i="16"/>
  <c r="CH134" i="16" s="1"/>
  <c r="BC135" i="16"/>
  <c r="CH135" i="16" s="1"/>
  <c r="BC136" i="16"/>
  <c r="CH136" i="16" s="1"/>
  <c r="BC137" i="16"/>
  <c r="CH137" i="16" s="1"/>
  <c r="BC138" i="16"/>
  <c r="CH138" i="16" s="1"/>
  <c r="BC139" i="16"/>
  <c r="CH139" i="16" s="1"/>
  <c r="BC140" i="16"/>
  <c r="CH140" i="16" s="1"/>
  <c r="BC141" i="16"/>
  <c r="CH141" i="16" s="1"/>
  <c r="BC142" i="16"/>
  <c r="CH142" i="16" s="1"/>
  <c r="BC143" i="16"/>
  <c r="CH143" i="16" s="1"/>
  <c r="BC144" i="16"/>
  <c r="CH144" i="16" s="1"/>
  <c r="BC145" i="16"/>
  <c r="CH145" i="16" s="1"/>
  <c r="BC146" i="16"/>
  <c r="CH146" i="16" s="1"/>
  <c r="BC147" i="16"/>
  <c r="CH147" i="16" s="1"/>
  <c r="BC148" i="16"/>
  <c r="CH148" i="16" s="1"/>
  <c r="BC149" i="16"/>
  <c r="CH149" i="16" s="1"/>
  <c r="BC150" i="16"/>
  <c r="CH150" i="16" s="1"/>
  <c r="BC151" i="16"/>
  <c r="CH151" i="16" s="1"/>
  <c r="BC152" i="16"/>
  <c r="CH152" i="16" s="1"/>
  <c r="BC153" i="16"/>
  <c r="CH153" i="16" s="1"/>
  <c r="BC154" i="16"/>
  <c r="CH154" i="16" s="1"/>
  <c r="BC155" i="16"/>
  <c r="CH155" i="16" s="1"/>
  <c r="BC156" i="16"/>
  <c r="CH156" i="16" s="1"/>
  <c r="BC157" i="16"/>
  <c r="CH157" i="16" s="1"/>
  <c r="BC158" i="16"/>
  <c r="CH158" i="16" s="1"/>
  <c r="BC159" i="16"/>
  <c r="CH159" i="16" s="1"/>
  <c r="BC160" i="16"/>
  <c r="CH160" i="16" s="1"/>
  <c r="BC161" i="16"/>
  <c r="CH161" i="16" s="1"/>
  <c r="BC162" i="16"/>
  <c r="CH162" i="16" s="1"/>
  <c r="BC163" i="16"/>
  <c r="CH163" i="16" s="1"/>
  <c r="BC164" i="16"/>
  <c r="CH164" i="16" s="1"/>
  <c r="BC165" i="16"/>
  <c r="CH165" i="16" s="1"/>
  <c r="BC166" i="16"/>
  <c r="CH166" i="16" s="1"/>
  <c r="BC167" i="16"/>
  <c r="CH167" i="16" s="1"/>
  <c r="BC168" i="16"/>
  <c r="CH168" i="16" s="1"/>
  <c r="BC169" i="16"/>
  <c r="CH169" i="16" s="1"/>
  <c r="BC170" i="16"/>
  <c r="CH170" i="16" s="1"/>
  <c r="BC171" i="16"/>
  <c r="CH171" i="16" s="1"/>
  <c r="BC172" i="16"/>
  <c r="CH172" i="16" s="1"/>
  <c r="BC173" i="16"/>
  <c r="CH173" i="16" s="1"/>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CF3" i="16" s="1"/>
  <c r="AK4" i="16"/>
  <c r="CF4" i="16" s="1"/>
  <c r="AK5" i="16"/>
  <c r="CF5" i="16" s="1"/>
  <c r="AK6" i="16"/>
  <c r="CF6" i="16" s="1"/>
  <c r="AK7" i="16"/>
  <c r="CF7" i="16" s="1"/>
  <c r="AK8" i="16"/>
  <c r="CF8" i="16" s="1"/>
  <c r="AK9" i="16"/>
  <c r="CF9" i="16" s="1"/>
  <c r="AK10" i="16"/>
  <c r="CF10" i="16" s="1"/>
  <c r="AK11" i="16"/>
  <c r="CF11" i="16" s="1"/>
  <c r="AK12" i="16"/>
  <c r="CF12" i="16" s="1"/>
  <c r="AK13" i="16"/>
  <c r="CF13" i="16" s="1"/>
  <c r="AK14" i="16"/>
  <c r="CF14" i="16" s="1"/>
  <c r="AK15" i="16"/>
  <c r="CF15" i="16" s="1"/>
  <c r="AK16" i="16"/>
  <c r="CF16" i="16" s="1"/>
  <c r="AK17" i="16"/>
  <c r="CF17" i="16" s="1"/>
  <c r="AK18" i="16"/>
  <c r="CF18" i="16" s="1"/>
  <c r="AK19" i="16"/>
  <c r="CF19" i="16" s="1"/>
  <c r="AK20" i="16"/>
  <c r="CF20" i="16" s="1"/>
  <c r="AK21" i="16"/>
  <c r="CF21" i="16" s="1"/>
  <c r="AK22" i="16"/>
  <c r="CF22" i="16" s="1"/>
  <c r="AK23" i="16"/>
  <c r="CF23" i="16" s="1"/>
  <c r="AK24" i="16"/>
  <c r="CF24" i="16" s="1"/>
  <c r="AK25" i="16"/>
  <c r="CF25" i="16" s="1"/>
  <c r="AK26" i="16"/>
  <c r="CF26" i="16" s="1"/>
  <c r="AK27" i="16"/>
  <c r="CF27" i="16" s="1"/>
  <c r="AK28" i="16"/>
  <c r="CF28" i="16" s="1"/>
  <c r="AK29" i="16"/>
  <c r="CF29" i="16" s="1"/>
  <c r="AK30" i="16"/>
  <c r="CF30" i="16" s="1"/>
  <c r="AK31" i="16"/>
  <c r="CF31" i="16" s="1"/>
  <c r="AK32" i="16"/>
  <c r="AK33" i="16"/>
  <c r="CF33" i="16" s="1"/>
  <c r="AK34" i="16"/>
  <c r="CF34" i="16" s="1"/>
  <c r="AK35" i="16"/>
  <c r="CF35" i="16" s="1"/>
  <c r="AK36" i="16"/>
  <c r="CF36" i="16" s="1"/>
  <c r="AK37" i="16"/>
  <c r="CF37" i="16" s="1"/>
  <c r="AK38" i="16"/>
  <c r="CF38" i="16" s="1"/>
  <c r="AK39" i="16"/>
  <c r="CF39" i="16" s="1"/>
  <c r="AK40" i="16"/>
  <c r="CF40" i="16" s="1"/>
  <c r="AK41" i="16"/>
  <c r="CF41" i="16" s="1"/>
  <c r="AK42" i="16"/>
  <c r="CF42" i="16" s="1"/>
  <c r="AK43" i="16"/>
  <c r="CF43" i="16" s="1"/>
  <c r="AK44" i="16"/>
  <c r="CF44" i="16" s="1"/>
  <c r="AK45" i="16"/>
  <c r="CF45" i="16" s="1"/>
  <c r="AK46" i="16"/>
  <c r="CF46" i="16" s="1"/>
  <c r="AK47" i="16"/>
  <c r="CF47" i="16" s="1"/>
  <c r="AK48" i="16"/>
  <c r="CF48" i="16" s="1"/>
  <c r="AK49" i="16"/>
  <c r="CF49" i="16" s="1"/>
  <c r="AK50" i="16"/>
  <c r="CF50" i="16" s="1"/>
  <c r="AK51" i="16"/>
  <c r="CF51" i="16" s="1"/>
  <c r="AK52" i="16"/>
  <c r="CF52" i="16" s="1"/>
  <c r="AK53" i="16"/>
  <c r="CF53" i="16" s="1"/>
  <c r="AK54" i="16"/>
  <c r="CF54" i="16" s="1"/>
  <c r="AK55" i="16"/>
  <c r="CF55" i="16" s="1"/>
  <c r="AK56" i="16"/>
  <c r="CF56" i="16" s="1"/>
  <c r="AK57" i="16"/>
  <c r="CF57" i="16" s="1"/>
  <c r="AK58" i="16"/>
  <c r="CF58" i="16" s="1"/>
  <c r="AK59" i="16"/>
  <c r="CF59" i="16" s="1"/>
  <c r="AK60" i="16"/>
  <c r="CF60" i="16" s="1"/>
  <c r="AK61" i="16"/>
  <c r="CF61" i="16" s="1"/>
  <c r="AK62" i="16"/>
  <c r="CF62" i="16" s="1"/>
  <c r="AK63" i="16"/>
  <c r="CF63" i="16" s="1"/>
  <c r="AK64" i="16"/>
  <c r="CF64" i="16" s="1"/>
  <c r="AK65" i="16"/>
  <c r="CF65" i="16" s="1"/>
  <c r="AK66" i="16"/>
  <c r="CF66" i="16" s="1"/>
  <c r="AK67" i="16"/>
  <c r="CF67" i="16" s="1"/>
  <c r="AK68" i="16"/>
  <c r="CF68" i="16" s="1"/>
  <c r="AK69" i="16"/>
  <c r="CF69" i="16" s="1"/>
  <c r="AK70" i="16"/>
  <c r="CF70" i="16" s="1"/>
  <c r="AK71" i="16"/>
  <c r="CF71" i="16" s="1"/>
  <c r="AK72" i="16"/>
  <c r="CF72" i="16" s="1"/>
  <c r="AK73" i="16"/>
  <c r="CF73" i="16" s="1"/>
  <c r="AK74" i="16"/>
  <c r="CF74" i="16" s="1"/>
  <c r="AK75" i="16"/>
  <c r="CF75" i="16" s="1"/>
  <c r="AK76" i="16"/>
  <c r="CF76" i="16" s="1"/>
  <c r="AK77" i="16"/>
  <c r="CF77" i="16" s="1"/>
  <c r="AK78" i="16"/>
  <c r="CF78" i="16" s="1"/>
  <c r="AK79" i="16"/>
  <c r="CF79" i="16" s="1"/>
  <c r="AK80" i="16"/>
  <c r="CF80" i="16" s="1"/>
  <c r="AK81" i="16"/>
  <c r="CF81" i="16" s="1"/>
  <c r="AK82" i="16"/>
  <c r="CF82" i="16" s="1"/>
  <c r="AK83" i="16"/>
  <c r="CF83" i="16" s="1"/>
  <c r="AK84" i="16"/>
  <c r="CF84" i="16" s="1"/>
  <c r="AK85" i="16"/>
  <c r="CF85" i="16" s="1"/>
  <c r="AK86" i="16"/>
  <c r="CF86" i="16" s="1"/>
  <c r="AK87" i="16"/>
  <c r="CF87" i="16" s="1"/>
  <c r="AK88" i="16"/>
  <c r="CF88" i="16" s="1"/>
  <c r="AK89" i="16"/>
  <c r="CF89" i="16" s="1"/>
  <c r="AK90" i="16"/>
  <c r="CF90" i="16" s="1"/>
  <c r="AK91" i="16"/>
  <c r="CF91" i="16" s="1"/>
  <c r="AK92" i="16"/>
  <c r="CF92" i="16" s="1"/>
  <c r="AK93" i="16"/>
  <c r="CF93" i="16" s="1"/>
  <c r="AK94" i="16"/>
  <c r="CF94" i="16" s="1"/>
  <c r="AK95" i="16"/>
  <c r="CF95" i="16" s="1"/>
  <c r="AK96" i="16"/>
  <c r="CF96" i="16" s="1"/>
  <c r="AK97" i="16"/>
  <c r="CF97" i="16" s="1"/>
  <c r="AK98" i="16"/>
  <c r="CF98" i="16" s="1"/>
  <c r="AK99" i="16"/>
  <c r="CF99" i="16" s="1"/>
  <c r="AK100" i="16"/>
  <c r="CF100" i="16" s="1"/>
  <c r="AK101" i="16"/>
  <c r="CF101" i="16" s="1"/>
  <c r="AK102" i="16"/>
  <c r="CF102" i="16" s="1"/>
  <c r="AK103" i="16"/>
  <c r="CF103" i="16" s="1"/>
  <c r="AK104" i="16"/>
  <c r="CF104" i="16" s="1"/>
  <c r="AK105" i="16"/>
  <c r="CF105" i="16" s="1"/>
  <c r="AK106" i="16"/>
  <c r="CF106" i="16" s="1"/>
  <c r="AK107" i="16"/>
  <c r="CF107" i="16" s="1"/>
  <c r="AK108" i="16"/>
  <c r="CF108" i="16" s="1"/>
  <c r="AK109" i="16"/>
  <c r="CF109" i="16" s="1"/>
  <c r="AK110" i="16"/>
  <c r="CF110" i="16" s="1"/>
  <c r="AK111" i="16"/>
  <c r="CF111" i="16" s="1"/>
  <c r="AK112" i="16"/>
  <c r="CF112" i="16" s="1"/>
  <c r="AK113" i="16"/>
  <c r="CF113" i="16" s="1"/>
  <c r="AK114" i="16"/>
  <c r="CF114" i="16" s="1"/>
  <c r="AK115" i="16"/>
  <c r="CF115" i="16" s="1"/>
  <c r="AK116" i="16"/>
  <c r="CF116" i="16" s="1"/>
  <c r="AK117" i="16"/>
  <c r="CF117" i="16" s="1"/>
  <c r="AK118" i="16"/>
  <c r="CF118" i="16" s="1"/>
  <c r="AK119" i="16"/>
  <c r="CF119" i="16" s="1"/>
  <c r="AK120" i="16"/>
  <c r="CF120" i="16" s="1"/>
  <c r="AK121" i="16"/>
  <c r="CF121" i="16" s="1"/>
  <c r="AK122" i="16"/>
  <c r="CF122" i="16" s="1"/>
  <c r="AK123" i="16"/>
  <c r="CF123" i="16" s="1"/>
  <c r="AK124" i="16"/>
  <c r="CF124" i="16" s="1"/>
  <c r="AK125" i="16"/>
  <c r="CF125" i="16" s="1"/>
  <c r="AK126" i="16"/>
  <c r="CF126" i="16" s="1"/>
  <c r="AK127" i="16"/>
  <c r="CF127" i="16" s="1"/>
  <c r="AK128" i="16"/>
  <c r="CF128" i="16" s="1"/>
  <c r="AK129" i="16"/>
  <c r="CF129" i="16" s="1"/>
  <c r="AK130" i="16"/>
  <c r="CF130" i="16" s="1"/>
  <c r="AK131" i="16"/>
  <c r="CF131" i="16" s="1"/>
  <c r="AK132" i="16"/>
  <c r="CF132" i="16" s="1"/>
  <c r="AK133" i="16"/>
  <c r="CF133" i="16" s="1"/>
  <c r="AK134" i="16"/>
  <c r="CF134" i="16" s="1"/>
  <c r="AK135" i="16"/>
  <c r="CF135" i="16" s="1"/>
  <c r="AK136" i="16"/>
  <c r="CF136" i="16" s="1"/>
  <c r="AK137" i="16"/>
  <c r="CF137" i="16" s="1"/>
  <c r="AK138" i="16"/>
  <c r="CF138" i="16" s="1"/>
  <c r="AK139" i="16"/>
  <c r="CF139" i="16" s="1"/>
  <c r="AK140" i="16"/>
  <c r="CF140" i="16" s="1"/>
  <c r="AK141" i="16"/>
  <c r="CF141" i="16" s="1"/>
  <c r="AK142" i="16"/>
  <c r="CF142" i="16" s="1"/>
  <c r="AK143" i="16"/>
  <c r="CF143" i="16" s="1"/>
  <c r="AK144" i="16"/>
  <c r="CF144" i="16" s="1"/>
  <c r="AK145" i="16"/>
  <c r="CF145" i="16" s="1"/>
  <c r="AK146" i="16"/>
  <c r="CF146" i="16" s="1"/>
  <c r="AK147" i="16"/>
  <c r="CF147" i="16" s="1"/>
  <c r="AK148" i="16"/>
  <c r="CF148" i="16" s="1"/>
  <c r="AK149" i="16"/>
  <c r="CF149" i="16" s="1"/>
  <c r="AK150" i="16"/>
  <c r="CF150" i="16" s="1"/>
  <c r="AK151" i="16"/>
  <c r="CF151" i="16" s="1"/>
  <c r="AK152" i="16"/>
  <c r="CF152" i="16" s="1"/>
  <c r="AK153" i="16"/>
  <c r="CF153" i="16" s="1"/>
  <c r="AK154" i="16"/>
  <c r="CF154" i="16" s="1"/>
  <c r="AK155" i="16"/>
  <c r="CF155" i="16" s="1"/>
  <c r="AK156" i="16"/>
  <c r="CF156" i="16" s="1"/>
  <c r="AK157" i="16"/>
  <c r="CF157" i="16" s="1"/>
  <c r="AK158" i="16"/>
  <c r="CF158" i="16" s="1"/>
  <c r="AK159" i="16"/>
  <c r="CF159" i="16" s="1"/>
  <c r="AK160" i="16"/>
  <c r="CF160" i="16" s="1"/>
  <c r="AK161" i="16"/>
  <c r="CF161" i="16" s="1"/>
  <c r="AK162" i="16"/>
  <c r="CF162" i="16" s="1"/>
  <c r="AK163" i="16"/>
  <c r="CF163" i="16" s="1"/>
  <c r="AK164" i="16"/>
  <c r="CF164" i="16" s="1"/>
  <c r="AK165" i="16"/>
  <c r="CF165" i="16" s="1"/>
  <c r="AK166" i="16"/>
  <c r="CF166" i="16" s="1"/>
  <c r="AK167" i="16"/>
  <c r="CF167" i="16" s="1"/>
  <c r="AK168" i="16"/>
  <c r="CF168" i="16" s="1"/>
  <c r="AK169" i="16"/>
  <c r="CF169" i="16" s="1"/>
  <c r="AK170" i="16"/>
  <c r="CF170" i="16" s="1"/>
  <c r="AK171" i="16"/>
  <c r="CF171" i="16" s="1"/>
  <c r="AK172" i="16"/>
  <c r="CF172" i="16" s="1"/>
  <c r="AK173" i="16"/>
  <c r="CF173" i="16" s="1"/>
  <c r="AK174" i="16"/>
  <c r="CF174" i="16" s="1"/>
  <c r="AK175" i="16"/>
  <c r="CF175" i="16" s="1"/>
  <c r="AK176" i="16"/>
  <c r="CF176" i="16" s="1"/>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CE28" i="16" s="1"/>
  <c r="AG29" i="16"/>
  <c r="CE29" i="16" s="1"/>
  <c r="AG30" i="16"/>
  <c r="CE30" i="16" s="1"/>
  <c r="AG31" i="16"/>
  <c r="CE31" i="16" s="1"/>
  <c r="AG32" i="16"/>
  <c r="CE32" i="16" s="1"/>
  <c r="AG33" i="16"/>
  <c r="CE33" i="16" s="1"/>
  <c r="AG34" i="16"/>
  <c r="CE34" i="16" s="1"/>
  <c r="AG35" i="16"/>
  <c r="CE35" i="16" s="1"/>
  <c r="AG36" i="16"/>
  <c r="CE36" i="16" s="1"/>
  <c r="AG37" i="16"/>
  <c r="CE37" i="16" s="1"/>
  <c r="AG38" i="16"/>
  <c r="CE38" i="16" s="1"/>
  <c r="AG39" i="16"/>
  <c r="CE39" i="16" s="1"/>
  <c r="AG40" i="16"/>
  <c r="CE40" i="16" s="1"/>
  <c r="AG41" i="16"/>
  <c r="CE41" i="16" s="1"/>
  <c r="AG42" i="16"/>
  <c r="CE42" i="16" s="1"/>
  <c r="AG43" i="16"/>
  <c r="CE43" i="16" s="1"/>
  <c r="AG44" i="16"/>
  <c r="CE44" i="16" s="1"/>
  <c r="AG45" i="16"/>
  <c r="CE45" i="16" s="1"/>
  <c r="AG46" i="16"/>
  <c r="CE46" i="16" s="1"/>
  <c r="AG47" i="16"/>
  <c r="CE47" i="16" s="1"/>
  <c r="AG48" i="16"/>
  <c r="CE48" i="16" s="1"/>
  <c r="AG49" i="16"/>
  <c r="CE49" i="16" s="1"/>
  <c r="AG50" i="16"/>
  <c r="CE50" i="16" s="1"/>
  <c r="AG51" i="16"/>
  <c r="CE51" i="16" s="1"/>
  <c r="AG52" i="16"/>
  <c r="CE52" i="16" s="1"/>
  <c r="AG53" i="16"/>
  <c r="CE53" i="16" s="1"/>
  <c r="AG54" i="16"/>
  <c r="CE54" i="16" s="1"/>
  <c r="AG55" i="16"/>
  <c r="CE55" i="16" s="1"/>
  <c r="AG56" i="16"/>
  <c r="CE56" i="16" s="1"/>
  <c r="AG57" i="16"/>
  <c r="CE57" i="16" s="1"/>
  <c r="AG58" i="16"/>
  <c r="CE58" i="16" s="1"/>
  <c r="AG59" i="16"/>
  <c r="CE59" i="16" s="1"/>
  <c r="AG60" i="16"/>
  <c r="CE60" i="16" s="1"/>
  <c r="AG61" i="16"/>
  <c r="CE61" i="16" s="1"/>
  <c r="AG62" i="16"/>
  <c r="CE62" i="16" s="1"/>
  <c r="AG63" i="16"/>
  <c r="CE63" i="16" s="1"/>
  <c r="AG64" i="16"/>
  <c r="CE64" i="16" s="1"/>
  <c r="AG65" i="16"/>
  <c r="CE65" i="16" s="1"/>
  <c r="AG66" i="16"/>
  <c r="CE66" i="16" s="1"/>
  <c r="AG67" i="16"/>
  <c r="CE67" i="16" s="1"/>
  <c r="AG68" i="16"/>
  <c r="CE68" i="16" s="1"/>
  <c r="AG69" i="16"/>
  <c r="CE69" i="16" s="1"/>
  <c r="AG70" i="16"/>
  <c r="CE70" i="16" s="1"/>
  <c r="AG71" i="16"/>
  <c r="CE71" i="16" s="1"/>
  <c r="AG72" i="16"/>
  <c r="CE72" i="16" s="1"/>
  <c r="AG73" i="16"/>
  <c r="CE73" i="16" s="1"/>
  <c r="AG74" i="16"/>
  <c r="CE74" i="16" s="1"/>
  <c r="AG75" i="16"/>
  <c r="CE75" i="16" s="1"/>
  <c r="AG76" i="16"/>
  <c r="CE76" i="16" s="1"/>
  <c r="AG77" i="16"/>
  <c r="CE77" i="16" s="1"/>
  <c r="AG78" i="16"/>
  <c r="CE78" i="16" s="1"/>
  <c r="AG79" i="16"/>
  <c r="CE79" i="16" s="1"/>
  <c r="AG80" i="16"/>
  <c r="CE80" i="16" s="1"/>
  <c r="AG81" i="16"/>
  <c r="CE81" i="16" s="1"/>
  <c r="AG82" i="16"/>
  <c r="CE82" i="16" s="1"/>
  <c r="AG83" i="16"/>
  <c r="CE83" i="16" s="1"/>
  <c r="AG84" i="16"/>
  <c r="CE84" i="16" s="1"/>
  <c r="AG85" i="16"/>
  <c r="CE85" i="16" s="1"/>
  <c r="AG86" i="16"/>
  <c r="CE86" i="16" s="1"/>
  <c r="AG87" i="16"/>
  <c r="CE87" i="16" s="1"/>
  <c r="AG88" i="16"/>
  <c r="CE88" i="16" s="1"/>
  <c r="AG89" i="16"/>
  <c r="CE89" i="16" s="1"/>
  <c r="AG90" i="16"/>
  <c r="CE90" i="16" s="1"/>
  <c r="AG91" i="16"/>
  <c r="CE91" i="16" s="1"/>
  <c r="AG92" i="16"/>
  <c r="CE92" i="16" s="1"/>
  <c r="AG93" i="16"/>
  <c r="CE93" i="16" s="1"/>
  <c r="AG94" i="16"/>
  <c r="CE94" i="16" s="1"/>
  <c r="AG95" i="16"/>
  <c r="CE95" i="16" s="1"/>
  <c r="AG96" i="16"/>
  <c r="CE96" i="16" s="1"/>
  <c r="AG97" i="16"/>
  <c r="CE97" i="16" s="1"/>
  <c r="AG98" i="16"/>
  <c r="CE98" i="16" s="1"/>
  <c r="AG99" i="16"/>
  <c r="CE99" i="16" s="1"/>
  <c r="AG100" i="16"/>
  <c r="CE100" i="16" s="1"/>
  <c r="AG101" i="16"/>
  <c r="CE101" i="16" s="1"/>
  <c r="AG102" i="16"/>
  <c r="CE102" i="16" s="1"/>
  <c r="AG103" i="16"/>
  <c r="CE103" i="16" s="1"/>
  <c r="AG104" i="16"/>
  <c r="CE104" i="16" s="1"/>
  <c r="AG105" i="16"/>
  <c r="CE105" i="16" s="1"/>
  <c r="AG106" i="16"/>
  <c r="CE106" i="16" s="1"/>
  <c r="AG107" i="16"/>
  <c r="CE107" i="16" s="1"/>
  <c r="AG108" i="16"/>
  <c r="CE108" i="16" s="1"/>
  <c r="AG109" i="16"/>
  <c r="CE109" i="16" s="1"/>
  <c r="AG110" i="16"/>
  <c r="CE110" i="16" s="1"/>
  <c r="AG111" i="16"/>
  <c r="CE111" i="16" s="1"/>
  <c r="AG112" i="16"/>
  <c r="CE112" i="16" s="1"/>
  <c r="AG113" i="16"/>
  <c r="CE113" i="16" s="1"/>
  <c r="AG114" i="16"/>
  <c r="CE114" i="16" s="1"/>
  <c r="AG115" i="16"/>
  <c r="CE115" i="16" s="1"/>
  <c r="AG116" i="16"/>
  <c r="CE116" i="16" s="1"/>
  <c r="AG117" i="16"/>
  <c r="CE117" i="16" s="1"/>
  <c r="AG118" i="16"/>
  <c r="CE118" i="16" s="1"/>
  <c r="AG119" i="16"/>
  <c r="CE119" i="16" s="1"/>
  <c r="AG120" i="16"/>
  <c r="CE120" i="16" s="1"/>
  <c r="AG121" i="16"/>
  <c r="CE121" i="16" s="1"/>
  <c r="AG122" i="16"/>
  <c r="CE122" i="16" s="1"/>
  <c r="AG123" i="16"/>
  <c r="CE123" i="16" s="1"/>
  <c r="AG124" i="16"/>
  <c r="CE124" i="16" s="1"/>
  <c r="AG125" i="16"/>
  <c r="CE125" i="16" s="1"/>
  <c r="AG126" i="16"/>
  <c r="CE126" i="16" s="1"/>
  <c r="AG127" i="16"/>
  <c r="CE127" i="16" s="1"/>
  <c r="AG128" i="16"/>
  <c r="CE128" i="16" s="1"/>
  <c r="AG129" i="16"/>
  <c r="CE129" i="16" s="1"/>
  <c r="AG130" i="16"/>
  <c r="CE130" i="16" s="1"/>
  <c r="AG131" i="16"/>
  <c r="CE131" i="16" s="1"/>
  <c r="AG132" i="16"/>
  <c r="CE132" i="16" s="1"/>
  <c r="AG133" i="16"/>
  <c r="CE133" i="16" s="1"/>
  <c r="AG134" i="16"/>
  <c r="CE134" i="16" s="1"/>
  <c r="AG135" i="16"/>
  <c r="CE135" i="16" s="1"/>
  <c r="AG136" i="16"/>
  <c r="CE136" i="16" s="1"/>
  <c r="AG137" i="16"/>
  <c r="CE137" i="16" s="1"/>
  <c r="AG138" i="16"/>
  <c r="CE138" i="16" s="1"/>
  <c r="AG139" i="16"/>
  <c r="CE139" i="16" s="1"/>
  <c r="AG140" i="16"/>
  <c r="CE140" i="16" s="1"/>
  <c r="AG141" i="16"/>
  <c r="CE141" i="16" s="1"/>
  <c r="AG142" i="16"/>
  <c r="CE142" i="16" s="1"/>
  <c r="AG143" i="16"/>
  <c r="CE143" i="16" s="1"/>
  <c r="AG144" i="16"/>
  <c r="CE144" i="16" s="1"/>
  <c r="AG145" i="16"/>
  <c r="CE145" i="16" s="1"/>
  <c r="AG146" i="16"/>
  <c r="CE146" i="16" s="1"/>
  <c r="AG147" i="16"/>
  <c r="CE147" i="16" s="1"/>
  <c r="AG148" i="16"/>
  <c r="CE148" i="16" s="1"/>
  <c r="AG149" i="16"/>
  <c r="CE149" i="16" s="1"/>
  <c r="AG150" i="16"/>
  <c r="CE150" i="16" s="1"/>
  <c r="AG151" i="16"/>
  <c r="CE151" i="16" s="1"/>
  <c r="AG152" i="16"/>
  <c r="CE152" i="16" s="1"/>
  <c r="AG153" i="16"/>
  <c r="CE153" i="16" s="1"/>
  <c r="AG154" i="16"/>
  <c r="CE154" i="16" s="1"/>
  <c r="AG155" i="16"/>
  <c r="CE155" i="16" s="1"/>
  <c r="AG156" i="16"/>
  <c r="CE156" i="16" s="1"/>
  <c r="AG157" i="16"/>
  <c r="CE157" i="16" s="1"/>
  <c r="AG158" i="16"/>
  <c r="CE158" i="16" s="1"/>
  <c r="AG159" i="16"/>
  <c r="CE159" i="16" s="1"/>
  <c r="AG160" i="16"/>
  <c r="CE160" i="16" s="1"/>
  <c r="AG161" i="16"/>
  <c r="CE161" i="16" s="1"/>
  <c r="AG162" i="16"/>
  <c r="CE162" i="16" s="1"/>
  <c r="AG163" i="16"/>
  <c r="CE163" i="16" s="1"/>
  <c r="AG164" i="16"/>
  <c r="CE164" i="16" s="1"/>
  <c r="AG165" i="16"/>
  <c r="CE165" i="16" s="1"/>
  <c r="AG166" i="16"/>
  <c r="CE166" i="16" s="1"/>
  <c r="AG167" i="16"/>
  <c r="CE167" i="16" s="1"/>
  <c r="AG168" i="16"/>
  <c r="CE168" i="16" s="1"/>
  <c r="AG169" i="16"/>
  <c r="CE169" i="16" s="1"/>
  <c r="AG170" i="16"/>
  <c r="CE170" i="16" s="1"/>
  <c r="AG171" i="16"/>
  <c r="CE171" i="16" s="1"/>
  <c r="AG172" i="16"/>
  <c r="CE172" i="16" s="1"/>
  <c r="AG173" i="16"/>
  <c r="CE173" i="16" s="1"/>
  <c r="AG174" i="16"/>
  <c r="CE174" i="16" s="1"/>
  <c r="AG175" i="16"/>
  <c r="CE175" i="16" s="1"/>
  <c r="AG176" i="16"/>
  <c r="CE176" i="16" s="1"/>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CC3" i="16" s="1"/>
  <c r="L4" i="16"/>
  <c r="CC4" i="16" s="1"/>
  <c r="L5" i="16"/>
  <c r="CC5" i="16" s="1"/>
  <c r="L6" i="16"/>
  <c r="CC6" i="16" s="1"/>
  <c r="L7" i="16"/>
  <c r="CC7" i="16" s="1"/>
  <c r="L8" i="16"/>
  <c r="CC8" i="16" s="1"/>
  <c r="L9" i="16"/>
  <c r="CC9" i="16" s="1"/>
  <c r="L10" i="16"/>
  <c r="CC10" i="16" s="1"/>
  <c r="L11" i="16"/>
  <c r="CC11" i="16" s="1"/>
  <c r="L12" i="16"/>
  <c r="CC12" i="16" s="1"/>
  <c r="L13" i="16"/>
  <c r="CC13" i="16" s="1"/>
  <c r="L14" i="16"/>
  <c r="CC14" i="16" s="1"/>
  <c r="L15" i="16"/>
  <c r="CC15" i="16" s="1"/>
  <c r="L16" i="16"/>
  <c r="CC16" i="16" s="1"/>
  <c r="L17" i="16"/>
  <c r="CC17" i="16" s="1"/>
  <c r="L18" i="16"/>
  <c r="CC18" i="16" s="1"/>
  <c r="L19" i="16"/>
  <c r="CC19" i="16" s="1"/>
  <c r="L20" i="16"/>
  <c r="CC20" i="16" s="1"/>
  <c r="L21" i="16"/>
  <c r="CC21" i="16" s="1"/>
  <c r="L22" i="16"/>
  <c r="CC22" i="16" s="1"/>
  <c r="L23" i="16"/>
  <c r="CC23" i="16" s="1"/>
  <c r="L24" i="16"/>
  <c r="CC24" i="16" s="1"/>
  <c r="L25" i="16"/>
  <c r="CC25" i="16" s="1"/>
  <c r="L26" i="16"/>
  <c r="CC26" i="16" s="1"/>
  <c r="L27" i="16"/>
  <c r="CC27" i="16" s="1"/>
  <c r="L28" i="16"/>
  <c r="CC28" i="16" s="1"/>
  <c r="L29" i="16"/>
  <c r="CC29" i="16" s="1"/>
  <c r="L30" i="16"/>
  <c r="CC30" i="16" s="1"/>
  <c r="L31" i="16"/>
  <c r="CC31" i="16" s="1"/>
  <c r="L32" i="16"/>
  <c r="CC32" i="16" s="1"/>
  <c r="L33" i="16"/>
  <c r="CC33" i="16" s="1"/>
  <c r="L34" i="16"/>
  <c r="CC34" i="16" s="1"/>
  <c r="L35" i="16"/>
  <c r="CC35" i="16" s="1"/>
  <c r="L36" i="16"/>
  <c r="CC36" i="16" s="1"/>
  <c r="L37" i="16"/>
  <c r="CC37" i="16" s="1"/>
  <c r="L38" i="16"/>
  <c r="CC38" i="16" s="1"/>
  <c r="L39" i="16"/>
  <c r="CC39" i="16" s="1"/>
  <c r="L40" i="16"/>
  <c r="CC40" i="16" s="1"/>
  <c r="L41" i="16"/>
  <c r="CC41" i="16" s="1"/>
  <c r="L42" i="16"/>
  <c r="L43" i="16"/>
  <c r="CC43" i="16" s="1"/>
  <c r="L44" i="16"/>
  <c r="CC44" i="16" s="1"/>
  <c r="L45" i="16"/>
  <c r="CC45" i="16" s="1"/>
  <c r="L46" i="16"/>
  <c r="CC46" i="16" s="1"/>
  <c r="L47" i="16"/>
  <c r="CC47" i="16" s="1"/>
  <c r="L48" i="16"/>
  <c r="CC48" i="16" s="1"/>
  <c r="L49" i="16"/>
  <c r="CC49" i="16" s="1"/>
  <c r="L50" i="16"/>
  <c r="CC50" i="16" s="1"/>
  <c r="L51" i="16"/>
  <c r="CC51" i="16" s="1"/>
  <c r="L52" i="16"/>
  <c r="CC52" i="16" s="1"/>
  <c r="L53" i="16"/>
  <c r="CC53" i="16" s="1"/>
  <c r="L54" i="16"/>
  <c r="CC54" i="16" s="1"/>
  <c r="L55" i="16"/>
  <c r="CC55" i="16" s="1"/>
  <c r="L56" i="16"/>
  <c r="CC56" i="16" s="1"/>
  <c r="L57" i="16"/>
  <c r="CC57" i="16" s="1"/>
  <c r="L58" i="16"/>
  <c r="CC58" i="16" s="1"/>
  <c r="L59" i="16"/>
  <c r="CC59" i="16" s="1"/>
  <c r="L60" i="16"/>
  <c r="CC60" i="16" s="1"/>
  <c r="L61" i="16"/>
  <c r="CC61" i="16" s="1"/>
  <c r="L62" i="16"/>
  <c r="CC62" i="16" s="1"/>
  <c r="L63" i="16"/>
  <c r="CC63" i="16" s="1"/>
  <c r="L64" i="16"/>
  <c r="CC64" i="16" s="1"/>
  <c r="L65" i="16"/>
  <c r="CC65" i="16" s="1"/>
  <c r="L66" i="16"/>
  <c r="CC66" i="16" s="1"/>
  <c r="L67" i="16"/>
  <c r="CC67" i="16" s="1"/>
  <c r="L68" i="16"/>
  <c r="CC68" i="16" s="1"/>
  <c r="L69" i="16"/>
  <c r="CC69" i="16" s="1"/>
  <c r="L70" i="16"/>
  <c r="CC70" i="16" s="1"/>
  <c r="L71" i="16"/>
  <c r="CC71" i="16" s="1"/>
  <c r="L72" i="16"/>
  <c r="CC72" i="16" s="1"/>
  <c r="L73" i="16"/>
  <c r="CC73" i="16" s="1"/>
  <c r="L74" i="16"/>
  <c r="CC74" i="16" s="1"/>
  <c r="L75" i="16"/>
  <c r="CC75" i="16" s="1"/>
  <c r="L76" i="16"/>
  <c r="CC76" i="16" s="1"/>
  <c r="L77" i="16"/>
  <c r="CC77" i="16" s="1"/>
  <c r="L78" i="16"/>
  <c r="CC78" i="16" s="1"/>
  <c r="L79" i="16"/>
  <c r="CC79" i="16" s="1"/>
  <c r="L80" i="16"/>
  <c r="CC80" i="16" s="1"/>
  <c r="L81" i="16"/>
  <c r="CC81" i="16" s="1"/>
  <c r="L82" i="16"/>
  <c r="CC82" i="16" s="1"/>
  <c r="L83" i="16"/>
  <c r="CC83" i="16" s="1"/>
  <c r="L84" i="16"/>
  <c r="CC84" i="16" s="1"/>
  <c r="L85" i="16"/>
  <c r="CC85" i="16" s="1"/>
  <c r="L86" i="16"/>
  <c r="CC86" i="16" s="1"/>
  <c r="L87" i="16"/>
  <c r="CC87" i="16" s="1"/>
  <c r="L88" i="16"/>
  <c r="CC88" i="16" s="1"/>
  <c r="L89" i="16"/>
  <c r="CC89" i="16" s="1"/>
  <c r="L90" i="16"/>
  <c r="CC90" i="16" s="1"/>
  <c r="L91" i="16"/>
  <c r="CC91" i="16" s="1"/>
  <c r="L92" i="16"/>
  <c r="CC92" i="16" s="1"/>
  <c r="L93" i="16"/>
  <c r="CC93" i="16" s="1"/>
  <c r="L94" i="16"/>
  <c r="CC94" i="16" s="1"/>
  <c r="L95" i="16"/>
  <c r="CC95" i="16" s="1"/>
  <c r="L96" i="16"/>
  <c r="CC96" i="16" s="1"/>
  <c r="L97" i="16"/>
  <c r="CC97" i="16" s="1"/>
  <c r="L98" i="16"/>
  <c r="CC98" i="16" s="1"/>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CB3" i="16" s="1"/>
  <c r="H4" i="16"/>
  <c r="CB4" i="16" s="1"/>
  <c r="H5" i="16"/>
  <c r="CB5" i="16" s="1"/>
  <c r="H6" i="16"/>
  <c r="CB6" i="16" s="1"/>
  <c r="H7" i="16"/>
  <c r="CB7" i="16" s="1"/>
  <c r="H8" i="16"/>
  <c r="CB8" i="16" s="1"/>
  <c r="H9" i="16"/>
  <c r="CB9" i="16" s="1"/>
  <c r="H10" i="16"/>
  <c r="CB10" i="16" s="1"/>
  <c r="H11" i="16"/>
  <c r="CB11" i="16" s="1"/>
  <c r="H12" i="16"/>
  <c r="CB12" i="16" s="1"/>
  <c r="H13" i="16"/>
  <c r="CB13" i="16" s="1"/>
  <c r="H14" i="16"/>
  <c r="CB14" i="16" s="1"/>
  <c r="H15" i="16"/>
  <c r="CB15" i="16" s="1"/>
  <c r="H16" i="16"/>
  <c r="CB16" i="16" s="1"/>
  <c r="H17" i="16"/>
  <c r="CB17" i="16" s="1"/>
  <c r="H18" i="16"/>
  <c r="CB18" i="16" s="1"/>
  <c r="H19" i="16"/>
  <c r="CB19" i="16" s="1"/>
  <c r="H20" i="16"/>
  <c r="CB20" i="16" s="1"/>
  <c r="H21" i="16"/>
  <c r="CB21" i="16" s="1"/>
  <c r="H22" i="16"/>
  <c r="CB22" i="16" s="1"/>
  <c r="H23" i="16"/>
  <c r="CB23" i="16" s="1"/>
  <c r="H24" i="16"/>
  <c r="CB24" i="16" s="1"/>
  <c r="H25" i="16"/>
  <c r="CB25" i="16" s="1"/>
  <c r="H26" i="16"/>
  <c r="CB26" i="16" s="1"/>
  <c r="H27" i="16"/>
  <c r="CB27" i="16" s="1"/>
  <c r="H28" i="16"/>
  <c r="CB28" i="16" s="1"/>
  <c r="H29" i="16"/>
  <c r="CB29" i="16" s="1"/>
  <c r="H30" i="16"/>
  <c r="CB30" i="16" s="1"/>
  <c r="H31" i="16"/>
  <c r="CB31" i="16" s="1"/>
  <c r="H32" i="16"/>
  <c r="CB32" i="16" s="1"/>
  <c r="H33" i="16"/>
  <c r="CB33" i="16" s="1"/>
  <c r="H34" i="16"/>
  <c r="CB34" i="16" s="1"/>
  <c r="H35" i="16"/>
  <c r="CB35" i="16" s="1"/>
  <c r="H36" i="16"/>
  <c r="CB36" i="16" s="1"/>
  <c r="H37" i="16"/>
  <c r="CB37" i="16" s="1"/>
  <c r="H38" i="16"/>
  <c r="CB38" i="16" s="1"/>
  <c r="H39" i="16"/>
  <c r="CB39" i="16" s="1"/>
  <c r="H40" i="16"/>
  <c r="CB40" i="16" s="1"/>
  <c r="H41" i="16"/>
  <c r="CB41" i="16" s="1"/>
  <c r="H42" i="16"/>
  <c r="CB42" i="16" s="1"/>
  <c r="H43" i="16"/>
  <c r="CB43" i="16" s="1"/>
  <c r="H44" i="16"/>
  <c r="CB44" i="16" s="1"/>
  <c r="H45" i="16"/>
  <c r="CB45" i="16" s="1"/>
  <c r="H46" i="16"/>
  <c r="CB46" i="16" s="1"/>
  <c r="H47" i="16"/>
  <c r="CB47" i="16" s="1"/>
  <c r="H48" i="16"/>
  <c r="CB48" i="16" s="1"/>
  <c r="H49" i="16"/>
  <c r="CB49" i="16" s="1"/>
  <c r="H50" i="16"/>
  <c r="CB50" i="16" s="1"/>
  <c r="H51" i="16"/>
  <c r="CB51" i="16" s="1"/>
  <c r="H52" i="16"/>
  <c r="CB52" i="16" s="1"/>
  <c r="H53" i="16"/>
  <c r="CB53" i="16" s="1"/>
  <c r="H54" i="16"/>
  <c r="CB54" i="16" s="1"/>
  <c r="H55" i="16"/>
  <c r="CB55" i="16" s="1"/>
  <c r="H56" i="16"/>
  <c r="CB56" i="16" s="1"/>
  <c r="H57" i="16"/>
  <c r="CB57" i="16" s="1"/>
  <c r="H58" i="16"/>
  <c r="CB58" i="16" s="1"/>
  <c r="H59" i="16"/>
  <c r="CB59" i="16" s="1"/>
  <c r="H60" i="16"/>
  <c r="CB60" i="16" s="1"/>
  <c r="H61" i="16"/>
  <c r="CB61" i="16" s="1"/>
  <c r="H62" i="16"/>
  <c r="CB62" i="16" s="1"/>
  <c r="H63" i="16"/>
  <c r="CB63" i="16" s="1"/>
  <c r="H64" i="16"/>
  <c r="CB64" i="16" s="1"/>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G165" i="6"/>
  <c r="P164" i="6"/>
  <c r="L164" i="6"/>
  <c r="G164" i="6"/>
  <c r="P163" i="6"/>
  <c r="L163" i="6"/>
  <c r="G163" i="6"/>
  <c r="P162" i="6"/>
  <c r="L162" i="6"/>
  <c r="G162" i="6"/>
  <c r="P161" i="6"/>
  <c r="L161" i="6"/>
  <c r="G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I121" i="16" l="1"/>
  <c r="CJ140" i="16"/>
  <c r="CJ141" i="16"/>
  <c r="CJ142" i="16"/>
  <c r="CJ143" i="16"/>
  <c r="CJ144" i="16"/>
  <c r="CJ145" i="16"/>
  <c r="CJ146" i="16"/>
  <c r="CJ147" i="16"/>
  <c r="CJ148" i="16"/>
  <c r="CJ149" i="16"/>
  <c r="CJ150" i="16"/>
  <c r="CJ151" i="16"/>
  <c r="CJ152" i="16"/>
  <c r="CJ153" i="16"/>
  <c r="CJ154" i="16"/>
  <c r="CJ155" i="16"/>
  <c r="CJ156" i="16"/>
  <c r="CJ157" i="16"/>
  <c r="CJ158" i="16"/>
  <c r="CJ159" i="16"/>
  <c r="CJ160" i="16"/>
  <c r="CJ161" i="16"/>
  <c r="CJ162" i="16"/>
  <c r="CJ163" i="16"/>
  <c r="CJ164" i="16"/>
  <c r="CJ165" i="16"/>
  <c r="CJ166" i="16"/>
  <c r="CJ167" i="16"/>
  <c r="CJ168" i="16"/>
  <c r="CJ169" i="16"/>
  <c r="CJ170" i="16"/>
  <c r="CJ171" i="16"/>
  <c r="CJ172" i="16"/>
  <c r="CJ173" i="16"/>
  <c r="CJ174" i="16"/>
  <c r="CJ175" i="16"/>
  <c r="CJ176" i="16"/>
  <c r="CH3" i="16"/>
  <c r="CH4" i="16"/>
  <c r="CH5" i="16"/>
  <c r="CH6" i="16"/>
  <c r="CH7" i="16"/>
  <c r="CH8" i="16"/>
  <c r="CH9" i="16"/>
  <c r="CH10" i="16"/>
  <c r="CH11" i="16"/>
  <c r="CH12" i="16"/>
  <c r="CH13" i="16"/>
  <c r="CH14" i="16"/>
  <c r="CH15" i="16"/>
  <c r="CH16" i="16"/>
  <c r="CH17" i="16"/>
  <c r="CH18" i="16"/>
  <c r="CH19" i="16"/>
  <c r="CH20" i="16"/>
  <c r="CH21" i="16"/>
  <c r="CH22" i="16"/>
  <c r="CH23" i="16"/>
  <c r="CH24" i="16"/>
  <c r="CH25" i="16"/>
  <c r="CH26" i="16"/>
  <c r="CH27" i="16"/>
  <c r="CH28" i="16"/>
  <c r="CH29" i="16"/>
  <c r="CH30" i="16"/>
  <c r="CH31" i="16"/>
  <c r="CH32" i="16"/>
  <c r="CH33" i="16"/>
  <c r="CH34" i="16"/>
  <c r="CH35" i="16"/>
  <c r="CH36" i="16"/>
  <c r="CH37" i="16"/>
  <c r="CH38" i="16"/>
  <c r="CH39" i="16"/>
  <c r="CH40" i="16"/>
  <c r="CH41" i="16"/>
  <c r="CH42" i="16"/>
  <c r="CH43" i="16"/>
  <c r="CH44" i="16"/>
  <c r="CH45" i="16"/>
  <c r="CH46" i="16"/>
  <c r="K47" i="3" s="1"/>
  <c r="CH47" i="16"/>
  <c r="K48" i="3" s="1"/>
  <c r="CH48" i="16"/>
  <c r="K49" i="3" s="1"/>
  <c r="CH49" i="16"/>
  <c r="K50" i="3" s="1"/>
  <c r="CH174" i="16"/>
  <c r="K175" i="3" s="1"/>
  <c r="CH175" i="16"/>
  <c r="K176" i="3" s="1"/>
  <c r="CH176" i="16"/>
  <c r="K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CD8" i="16"/>
  <c r="CD10" i="16"/>
  <c r="CD12" i="16"/>
  <c r="CD14" i="16"/>
  <c r="CD16" i="16"/>
  <c r="CD18" i="16"/>
  <c r="CD20" i="16"/>
  <c r="CD22" i="16"/>
  <c r="CD24" i="16"/>
  <c r="CD26" i="16"/>
  <c r="CD28" i="16"/>
  <c r="G29" i="3" s="1"/>
  <c r="CD30" i="16"/>
  <c r="G31" i="3" s="1"/>
  <c r="CD32" i="16"/>
  <c r="G33" i="3" s="1"/>
  <c r="CD34" i="16"/>
  <c r="G35" i="3" s="1"/>
  <c r="CD36" i="16"/>
  <c r="G37" i="3" s="1"/>
  <c r="CD38" i="16"/>
  <c r="G39" i="3" s="1"/>
  <c r="CD40" i="16"/>
  <c r="G41" i="3" s="1"/>
  <c r="CD42" i="16"/>
  <c r="G43" i="3" s="1"/>
  <c r="CD44" i="16"/>
  <c r="G45" i="3" s="1"/>
  <c r="CD46" i="16"/>
  <c r="G47" i="3" s="1"/>
  <c r="CD48" i="16"/>
  <c r="G49" i="3" s="1"/>
  <c r="CD50" i="16"/>
  <c r="G51" i="3" s="1"/>
  <c r="CD52" i="16"/>
  <c r="G53" i="3" s="1"/>
  <c r="CD54" i="16"/>
  <c r="G55" i="3" s="1"/>
  <c r="CD56" i="16"/>
  <c r="G57" i="3" s="1"/>
  <c r="CD58" i="16"/>
  <c r="G59" i="3" s="1"/>
  <c r="CD60" i="16"/>
  <c r="G61" i="3" s="1"/>
  <c r="CD62" i="16"/>
  <c r="G63" i="3" s="1"/>
  <c r="CD64" i="16"/>
  <c r="G65" i="3" s="1"/>
  <c r="CD66" i="16"/>
  <c r="G67" i="3" s="1"/>
  <c r="CD68" i="16"/>
  <c r="G69" i="3" s="1"/>
  <c r="CD70" i="16"/>
  <c r="G71" i="3" s="1"/>
  <c r="CD72" i="16"/>
  <c r="G73" i="3" s="1"/>
  <c r="CD74" i="16"/>
  <c r="G75" i="3" s="1"/>
  <c r="CD76" i="16"/>
  <c r="G77" i="3" s="1"/>
  <c r="CD78" i="16"/>
  <c r="G79" i="3" s="1"/>
  <c r="CD80" i="16"/>
  <c r="G81" i="3" s="1"/>
  <c r="CD82" i="16"/>
  <c r="G83" i="3" s="1"/>
  <c r="CD84" i="16"/>
  <c r="G85" i="3" s="1"/>
  <c r="CD86" i="16"/>
  <c r="G87" i="3" s="1"/>
  <c r="CD88" i="16"/>
  <c r="G89" i="3" s="1"/>
  <c r="CD90" i="16"/>
  <c r="G91" i="3" s="1"/>
  <c r="CD92" i="16"/>
  <c r="G93" i="3" s="1"/>
  <c r="CD94" i="16"/>
  <c r="G95" i="3" s="1"/>
  <c r="CD96" i="16"/>
  <c r="G97" i="3" s="1"/>
  <c r="CD99" i="16"/>
  <c r="G100" i="3" s="1"/>
  <c r="CD101" i="16"/>
  <c r="G102" i="3" s="1"/>
  <c r="CD103" i="16"/>
  <c r="G104" i="3" s="1"/>
  <c r="CD105" i="16"/>
  <c r="G106" i="3" s="1"/>
  <c r="CD107" i="16"/>
  <c r="G108" i="3" s="1"/>
  <c r="CD109" i="16"/>
  <c r="G110" i="3" s="1"/>
  <c r="CD111" i="16"/>
  <c r="G112" i="3" s="1"/>
  <c r="CD113" i="16"/>
  <c r="G114" i="3" s="1"/>
  <c r="CD115" i="16"/>
  <c r="G116" i="3" s="1"/>
  <c r="CD117" i="16"/>
  <c r="G118" i="3" s="1"/>
  <c r="CD119" i="16"/>
  <c r="G120" i="3" s="1"/>
  <c r="CD121" i="16"/>
  <c r="G122" i="3" s="1"/>
  <c r="CD124" i="16"/>
  <c r="G125" i="3" s="1"/>
  <c r="CD126" i="16"/>
  <c r="G127" i="3" s="1"/>
  <c r="CD128" i="16"/>
  <c r="G129" i="3" s="1"/>
  <c r="CD130" i="16"/>
  <c r="G131" i="3" s="1"/>
  <c r="CD132" i="16"/>
  <c r="G133" i="3" s="1"/>
  <c r="CD134" i="16"/>
  <c r="G135" i="3" s="1"/>
  <c r="CD136" i="16"/>
  <c r="G137" i="3" s="1"/>
  <c r="CD138" i="16"/>
  <c r="G139" i="3" s="1"/>
  <c r="CD140" i="16"/>
  <c r="G141" i="3" s="1"/>
  <c r="CD143" i="16"/>
  <c r="G144" i="3" s="1"/>
  <c r="CD145" i="16"/>
  <c r="G146" i="3" s="1"/>
  <c r="CD147" i="16"/>
  <c r="G148" i="3" s="1"/>
  <c r="CD149" i="16"/>
  <c r="G150" i="3" s="1"/>
  <c r="CD151" i="16"/>
  <c r="G152" i="3" s="1"/>
  <c r="CD153" i="16"/>
  <c r="G154" i="3" s="1"/>
  <c r="CD155" i="16"/>
  <c r="G156" i="3" s="1"/>
  <c r="CD157" i="16"/>
  <c r="G158" i="3" s="1"/>
  <c r="CD159" i="16"/>
  <c r="G160" i="3" s="1"/>
  <c r="CD161" i="16"/>
  <c r="G162" i="3" s="1"/>
  <c r="CD164" i="16"/>
  <c r="G165" i="3" s="1"/>
  <c r="CD166" i="16"/>
  <c r="G167" i="3" s="1"/>
  <c r="CD168" i="16"/>
  <c r="G169" i="3" s="1"/>
  <c r="CD169" i="16"/>
  <c r="G170" i="3" s="1"/>
  <c r="CD171" i="16"/>
  <c r="G172" i="3" s="1"/>
  <c r="CD173" i="16"/>
  <c r="G174" i="3" s="1"/>
  <c r="CD175" i="16"/>
  <c r="G176" i="3" s="1"/>
  <c r="CD3" i="16"/>
  <c r="G4" i="3" s="1"/>
  <c r="CD4" i="16"/>
  <c r="G5" i="3" s="1"/>
  <c r="CD6" i="16"/>
  <c r="G7" i="3" s="1"/>
  <c r="CD7" i="16"/>
  <c r="G8" i="3" s="1"/>
  <c r="CD9" i="16"/>
  <c r="G10" i="3" s="1"/>
  <c r="CD11" i="16"/>
  <c r="G12" i="3" s="1"/>
  <c r="CD13" i="16"/>
  <c r="G14" i="3" s="1"/>
  <c r="CD15" i="16"/>
  <c r="G16" i="3" s="1"/>
  <c r="CD17" i="16"/>
  <c r="G18" i="3" s="1"/>
  <c r="CD19" i="16"/>
  <c r="G20" i="3" s="1"/>
  <c r="CD21" i="16"/>
  <c r="G22" i="3" s="1"/>
  <c r="CD23" i="16"/>
  <c r="G24" i="3" s="1"/>
  <c r="CD25" i="16"/>
  <c r="G26" i="3" s="1"/>
  <c r="CD27" i="16"/>
  <c r="G28" i="3" s="1"/>
  <c r="CD29" i="16"/>
  <c r="G30" i="3" s="1"/>
  <c r="CD31" i="16"/>
  <c r="G32" i="3" s="1"/>
  <c r="CD33" i="16"/>
  <c r="G34" i="3" s="1"/>
  <c r="CD35" i="16"/>
  <c r="G36" i="3" s="1"/>
  <c r="CD37" i="16"/>
  <c r="G38" i="3" s="1"/>
  <c r="CD39" i="16"/>
  <c r="G40" i="3" s="1"/>
  <c r="CD41" i="16"/>
  <c r="G42" i="3" s="1"/>
  <c r="CD43" i="16"/>
  <c r="G44" i="3" s="1"/>
  <c r="CD45" i="16"/>
  <c r="G46" i="3" s="1"/>
  <c r="CD47" i="16"/>
  <c r="G48" i="3" s="1"/>
  <c r="CD49" i="16"/>
  <c r="G50" i="3" s="1"/>
  <c r="CD51" i="16"/>
  <c r="G52" i="3" s="1"/>
  <c r="CD53" i="16"/>
  <c r="G54" i="3" s="1"/>
  <c r="CD55" i="16"/>
  <c r="G56" i="3" s="1"/>
  <c r="CD57" i="16"/>
  <c r="G58" i="3" s="1"/>
  <c r="CD59" i="16"/>
  <c r="G60" i="3" s="1"/>
  <c r="CD61" i="16"/>
  <c r="G62" i="3" s="1"/>
  <c r="CD63" i="16"/>
  <c r="G64" i="3" s="1"/>
  <c r="CD65" i="16"/>
  <c r="G66" i="3" s="1"/>
  <c r="CD67" i="16"/>
  <c r="G68" i="3" s="1"/>
  <c r="CD69" i="16"/>
  <c r="G70" i="3" s="1"/>
  <c r="CD71" i="16"/>
  <c r="G72" i="3" s="1"/>
  <c r="CD73" i="16"/>
  <c r="G74" i="3" s="1"/>
  <c r="CD75" i="16"/>
  <c r="G76" i="3" s="1"/>
  <c r="CD77" i="16"/>
  <c r="G78" i="3" s="1"/>
  <c r="CD79" i="16"/>
  <c r="G80" i="3" s="1"/>
  <c r="CD81" i="16"/>
  <c r="G82" i="3" s="1"/>
  <c r="CD83" i="16"/>
  <c r="G84" i="3" s="1"/>
  <c r="CD85" i="16"/>
  <c r="G86" i="3" s="1"/>
  <c r="CD87" i="16"/>
  <c r="G88" i="3" s="1"/>
  <c r="CD89" i="16"/>
  <c r="G90" i="3" s="1"/>
  <c r="CD91" i="16"/>
  <c r="G92" i="3" s="1"/>
  <c r="CD93" i="16"/>
  <c r="G94" i="3" s="1"/>
  <c r="CD95" i="16"/>
  <c r="G96" i="3" s="1"/>
  <c r="CD97" i="16"/>
  <c r="G98" i="3" s="1"/>
  <c r="CD98" i="16"/>
  <c r="G99" i="3" s="1"/>
  <c r="CD100" i="16"/>
  <c r="G101" i="3" s="1"/>
  <c r="CD102" i="16"/>
  <c r="G103" i="3" s="1"/>
  <c r="CD104" i="16"/>
  <c r="G105" i="3" s="1"/>
  <c r="CD106" i="16"/>
  <c r="G107" i="3" s="1"/>
  <c r="CD108" i="16"/>
  <c r="G109" i="3" s="1"/>
  <c r="CD110" i="16"/>
  <c r="G111" i="3" s="1"/>
  <c r="CD112" i="16"/>
  <c r="G113" i="3" s="1"/>
  <c r="CD114" i="16"/>
  <c r="G115" i="3" s="1"/>
  <c r="CD116" i="16"/>
  <c r="G117" i="3" s="1"/>
  <c r="CD118" i="16"/>
  <c r="G119" i="3" s="1"/>
  <c r="CD120" i="16"/>
  <c r="G121" i="3" s="1"/>
  <c r="CD122" i="16"/>
  <c r="G123" i="3" s="1"/>
  <c r="CD123" i="16"/>
  <c r="G124" i="3" s="1"/>
  <c r="CD125" i="16"/>
  <c r="G126" i="3" s="1"/>
  <c r="CD127" i="16"/>
  <c r="G128" i="3" s="1"/>
  <c r="CD129" i="16"/>
  <c r="G130" i="3" s="1"/>
  <c r="CD131" i="16"/>
  <c r="G132" i="3" s="1"/>
  <c r="CD133" i="16"/>
  <c r="G134" i="3" s="1"/>
  <c r="CD135" i="16"/>
  <c r="G136" i="3" s="1"/>
  <c r="CD137" i="16"/>
  <c r="G138" i="3" s="1"/>
  <c r="CD139" i="16"/>
  <c r="G140" i="3" s="1"/>
  <c r="CD141" i="16"/>
  <c r="G142" i="3" s="1"/>
  <c r="CD142" i="16"/>
  <c r="G143" i="3" s="1"/>
  <c r="CD144" i="16"/>
  <c r="G145" i="3" s="1"/>
  <c r="CD146" i="16"/>
  <c r="G147" i="3" s="1"/>
  <c r="CD148" i="16"/>
  <c r="G149" i="3" s="1"/>
  <c r="CD150" i="16"/>
  <c r="G151" i="3" s="1"/>
  <c r="CD152" i="16"/>
  <c r="G153" i="3" s="1"/>
  <c r="CD154" i="16"/>
  <c r="G155" i="3" s="1"/>
  <c r="CD156" i="16"/>
  <c r="G157" i="3" s="1"/>
  <c r="CD158" i="16"/>
  <c r="G159" i="3" s="1"/>
  <c r="CD160" i="16"/>
  <c r="G161" i="3" s="1"/>
  <c r="CD162" i="16"/>
  <c r="G163" i="3" s="1"/>
  <c r="CD163" i="16"/>
  <c r="G164" i="3" s="1"/>
  <c r="CD165" i="16"/>
  <c r="G166" i="3" s="1"/>
  <c r="CD167" i="16"/>
  <c r="G168" i="3" s="1"/>
  <c r="CD170" i="16"/>
  <c r="G171" i="3" s="1"/>
  <c r="CD172" i="16"/>
  <c r="G173" i="3" s="1"/>
  <c r="CD174" i="16"/>
  <c r="G175" i="3" s="1"/>
  <c r="CD176" i="16"/>
  <c r="G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AP3" i="5"/>
  <c r="O169" i="3"/>
  <c r="O170" i="3"/>
  <c r="O171" i="3"/>
  <c r="O172" i="3"/>
  <c r="O173" i="3"/>
  <c r="O174" i="3"/>
  <c r="O175" i="3"/>
  <c r="O176" i="3"/>
  <c r="O177"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M150" i="3"/>
  <c r="M152" i="3"/>
  <c r="M153" i="3"/>
  <c r="M154" i="3"/>
  <c r="M155" i="3"/>
  <c r="M156" i="3"/>
  <c r="M157" i="3"/>
  <c r="M158" i="3"/>
  <c r="M159" i="3"/>
  <c r="M161" i="3"/>
  <c r="M162" i="3"/>
  <c r="M163" i="3"/>
  <c r="M164" i="3"/>
  <c r="M165" i="3"/>
  <c r="M166" i="3"/>
  <c r="M167" i="3"/>
  <c r="M168" i="3"/>
  <c r="M169" i="3"/>
  <c r="M170" i="3"/>
  <c r="M171" i="3"/>
  <c r="M172" i="3"/>
  <c r="M173" i="3"/>
  <c r="M174" i="3"/>
  <c r="M175" i="3"/>
  <c r="M176" i="3"/>
  <c r="M177" i="3"/>
  <c r="X151" i="5"/>
  <c r="AF152" i="3" s="1"/>
  <c r="AP151" i="5"/>
  <c r="X152" i="5"/>
  <c r="AF153" i="3" s="1"/>
  <c r="AP152" i="5"/>
  <c r="X153" i="5"/>
  <c r="AF154" i="3" s="1"/>
  <c r="AP153" i="5"/>
  <c r="X154" i="5"/>
  <c r="AF155" i="3" s="1"/>
  <c r="AP154" i="5"/>
  <c r="X155" i="5"/>
  <c r="AF156" i="3" s="1"/>
  <c r="AP155" i="5"/>
  <c r="X156" i="5"/>
  <c r="AF157" i="3" s="1"/>
  <c r="AP156" i="5"/>
  <c r="X157" i="5"/>
  <c r="AF158" i="3" s="1"/>
  <c r="AP157" i="5"/>
  <c r="X158" i="5"/>
  <c r="AF159" i="3" s="1"/>
  <c r="AP158" i="5"/>
  <c r="X159" i="5"/>
  <c r="AF160" i="3" s="1"/>
  <c r="AP159" i="5"/>
  <c r="X160" i="5"/>
  <c r="AF161" i="3" s="1"/>
  <c r="AP160" i="5"/>
  <c r="X161" i="5"/>
  <c r="AF162" i="3" s="1"/>
  <c r="AP161" i="5"/>
  <c r="X162" i="5"/>
  <c r="AF163" i="3" s="1"/>
  <c r="AP162" i="5"/>
  <c r="X163" i="5"/>
  <c r="AF164" i="3" s="1"/>
  <c r="AP163" i="5"/>
  <c r="X164" i="5"/>
  <c r="AF165" i="3" s="1"/>
  <c r="AP164" i="5"/>
  <c r="X165" i="5"/>
  <c r="AF166" i="3" s="1"/>
  <c r="AP165" i="5"/>
  <c r="X166" i="5"/>
  <c r="AF167" i="3" s="1"/>
  <c r="AP166" i="5"/>
  <c r="X167" i="5"/>
  <c r="AF168" i="3" s="1"/>
  <c r="AP167" i="5"/>
  <c r="X168" i="5"/>
  <c r="AF169" i="3" s="1"/>
  <c r="AP168" i="5"/>
  <c r="X169" i="5"/>
  <c r="AF170" i="3" s="1"/>
  <c r="AP169" i="5"/>
  <c r="X170" i="5"/>
  <c r="AF171" i="3" s="1"/>
  <c r="AP170" i="5"/>
  <c r="X171" i="5"/>
  <c r="AF172" i="3" s="1"/>
  <c r="AP171" i="5"/>
  <c r="X172" i="5"/>
  <c r="AF173" i="3" s="1"/>
  <c r="AP172" i="5"/>
  <c r="X173" i="5"/>
  <c r="AF174" i="3" s="1"/>
  <c r="AP173" i="5"/>
  <c r="X174" i="5"/>
  <c r="AF175" i="3" s="1"/>
  <c r="AP174" i="5"/>
  <c r="X175" i="5"/>
  <c r="AF176" i="3" s="1"/>
  <c r="AP175" i="5"/>
  <c r="X176" i="5"/>
  <c r="AF177" i="3" s="1"/>
  <c r="AP176" i="5"/>
  <c r="W4" i="5"/>
  <c r="AE5" i="3" s="1"/>
  <c r="AP4" i="5"/>
  <c r="W5" i="5"/>
  <c r="AE6" i="3" s="1"/>
  <c r="AP5" i="5"/>
  <c r="W6" i="5"/>
  <c r="AE7" i="3" s="1"/>
  <c r="AP6" i="5"/>
  <c r="W7" i="5"/>
  <c r="AE8" i="3" s="1"/>
  <c r="AP7" i="5"/>
  <c r="W8" i="5"/>
  <c r="AE9" i="3" s="1"/>
  <c r="AP8" i="5"/>
  <c r="W9" i="5"/>
  <c r="AE10" i="3" s="1"/>
  <c r="AP9" i="5"/>
  <c r="W10" i="5"/>
  <c r="AE11" i="3" s="1"/>
  <c r="AP10" i="5"/>
  <c r="W11" i="5"/>
  <c r="AE12" i="3" s="1"/>
  <c r="AP11" i="5"/>
  <c r="W12" i="5"/>
  <c r="AE13" i="3" s="1"/>
  <c r="AP12" i="5"/>
  <c r="W13" i="5"/>
  <c r="AE14" i="3" s="1"/>
  <c r="AP13" i="5"/>
  <c r="W14" i="5"/>
  <c r="AE15" i="3" s="1"/>
  <c r="AP14" i="5"/>
  <c r="W15" i="5"/>
  <c r="AE16" i="3" s="1"/>
  <c r="AP15" i="5"/>
  <c r="W16" i="5"/>
  <c r="AE17" i="3" s="1"/>
  <c r="AP16" i="5"/>
  <c r="W17" i="5"/>
  <c r="AE18" i="3" s="1"/>
  <c r="AP17" i="5"/>
  <c r="W18" i="5"/>
  <c r="AE19" i="3" s="1"/>
  <c r="AP18" i="5"/>
  <c r="W19" i="5"/>
  <c r="AE20" i="3" s="1"/>
  <c r="AP19" i="5"/>
  <c r="W20" i="5"/>
  <c r="AE21" i="3" s="1"/>
  <c r="AP20" i="5"/>
  <c r="W21" i="5"/>
  <c r="AE22" i="3" s="1"/>
  <c r="AP21" i="5"/>
  <c r="W22" i="5"/>
  <c r="AE23" i="3" s="1"/>
  <c r="AP22" i="5"/>
  <c r="W23" i="5"/>
  <c r="AE24" i="3" s="1"/>
  <c r="AP23" i="5"/>
  <c r="W24" i="5"/>
  <c r="AE25" i="3" s="1"/>
  <c r="AP24" i="5"/>
  <c r="W25" i="5"/>
  <c r="AE26" i="3" s="1"/>
  <c r="AP25" i="5"/>
  <c r="W26" i="5"/>
  <c r="AE27" i="3" s="1"/>
  <c r="AP26" i="5"/>
  <c r="W27" i="5"/>
  <c r="AE28" i="3" s="1"/>
  <c r="AP27" i="5"/>
  <c r="W28" i="5"/>
  <c r="AE29" i="3" s="1"/>
  <c r="AP28" i="5"/>
  <c r="W29" i="5"/>
  <c r="AE30" i="3" s="1"/>
  <c r="AP29" i="5"/>
  <c r="W30" i="5"/>
  <c r="AE31" i="3" s="1"/>
  <c r="AP30" i="5"/>
  <c r="W31" i="5"/>
  <c r="AE32" i="3" s="1"/>
  <c r="AP31" i="5"/>
  <c r="W32" i="5"/>
  <c r="AE33" i="3" s="1"/>
  <c r="AP32" i="5"/>
  <c r="W33" i="5"/>
  <c r="AE34" i="3" s="1"/>
  <c r="AP33" i="5"/>
  <c r="W34" i="5"/>
  <c r="AE35" i="3" s="1"/>
  <c r="AP34" i="5"/>
  <c r="W35" i="5"/>
  <c r="AE36" i="3" s="1"/>
  <c r="AP35" i="5"/>
  <c r="W36" i="5"/>
  <c r="AE37" i="3" s="1"/>
  <c r="AP36" i="5"/>
  <c r="W37" i="5"/>
  <c r="AE38" i="3" s="1"/>
  <c r="AP37" i="5"/>
  <c r="W38" i="5"/>
  <c r="AE39" i="3" s="1"/>
  <c r="AP38" i="5"/>
  <c r="W39" i="5"/>
  <c r="AE40" i="3" s="1"/>
  <c r="AP39" i="5"/>
  <c r="W40" i="5"/>
  <c r="AE41" i="3" s="1"/>
  <c r="AP40" i="5"/>
  <c r="W41" i="5"/>
  <c r="AE42" i="3" s="1"/>
  <c r="AP41" i="5"/>
  <c r="W42" i="5"/>
  <c r="AE43" i="3" s="1"/>
  <c r="AP42" i="5"/>
  <c r="W43" i="5"/>
  <c r="AE44" i="3" s="1"/>
  <c r="AP43" i="5"/>
  <c r="W44" i="5"/>
  <c r="AE45" i="3" s="1"/>
  <c r="AP44" i="5"/>
  <c r="W45" i="5"/>
  <c r="AE46" i="3" s="1"/>
  <c r="AP45" i="5"/>
  <c r="W46" i="5"/>
  <c r="AE47" i="3" s="1"/>
  <c r="AP46" i="5"/>
  <c r="W47" i="5"/>
  <c r="AE48" i="3" s="1"/>
  <c r="AP47" i="5"/>
  <c r="W48" i="5"/>
  <c r="AE49" i="3" s="1"/>
  <c r="AP48" i="5"/>
  <c r="W49" i="5"/>
  <c r="AE50" i="3" s="1"/>
  <c r="AP49" i="5"/>
  <c r="W50" i="5"/>
  <c r="AE51" i="3" s="1"/>
  <c r="AP50" i="5"/>
  <c r="W51" i="5"/>
  <c r="AE52" i="3" s="1"/>
  <c r="AP51" i="5"/>
  <c r="W52" i="5"/>
  <c r="AE53" i="3" s="1"/>
  <c r="AP52" i="5"/>
  <c r="W53" i="5"/>
  <c r="AE54" i="3" s="1"/>
  <c r="AP53" i="5"/>
  <c r="W54" i="5"/>
  <c r="AE55" i="3" s="1"/>
  <c r="AP54" i="5"/>
  <c r="W55" i="5"/>
  <c r="AE56" i="3" s="1"/>
  <c r="AP55" i="5"/>
  <c r="W56" i="5"/>
  <c r="AE57" i="3" s="1"/>
  <c r="AP56" i="5"/>
  <c r="W57" i="5"/>
  <c r="AE58" i="3" s="1"/>
  <c r="AP57" i="5"/>
  <c r="W58" i="5"/>
  <c r="AE59" i="3" s="1"/>
  <c r="AP58" i="5"/>
  <c r="W59" i="5"/>
  <c r="AE60" i="3" s="1"/>
  <c r="AP59" i="5"/>
  <c r="W60" i="5"/>
  <c r="AE61" i="3" s="1"/>
  <c r="AP60" i="5"/>
  <c r="W61" i="5"/>
  <c r="AE62" i="3" s="1"/>
  <c r="AP61" i="5"/>
  <c r="W62" i="5"/>
  <c r="AE63" i="3" s="1"/>
  <c r="AP62" i="5"/>
  <c r="W63" i="5"/>
  <c r="AE64" i="3" s="1"/>
  <c r="AP63" i="5"/>
  <c r="W64" i="5"/>
  <c r="AE65" i="3" s="1"/>
  <c r="AP64" i="5"/>
  <c r="W65" i="5"/>
  <c r="AE66" i="3" s="1"/>
  <c r="AP65" i="5"/>
  <c r="W66" i="5"/>
  <c r="AE67" i="3" s="1"/>
  <c r="AP66" i="5"/>
  <c r="W67" i="5"/>
  <c r="AE68" i="3" s="1"/>
  <c r="AP67" i="5"/>
  <c r="W68" i="5"/>
  <c r="AE69" i="3" s="1"/>
  <c r="AP68" i="5"/>
  <c r="W69" i="5"/>
  <c r="AE70" i="3" s="1"/>
  <c r="AP69" i="5"/>
  <c r="W70" i="5"/>
  <c r="AE71" i="3" s="1"/>
  <c r="AP70" i="5"/>
  <c r="W71" i="5"/>
  <c r="AE72" i="3" s="1"/>
  <c r="AP71" i="5"/>
  <c r="W72" i="5"/>
  <c r="AE73" i="3" s="1"/>
  <c r="AP72" i="5"/>
  <c r="W73" i="5"/>
  <c r="AE74" i="3" s="1"/>
  <c r="AP73" i="5"/>
  <c r="W74" i="5"/>
  <c r="AE75" i="3" s="1"/>
  <c r="AP74" i="5"/>
  <c r="W75" i="5"/>
  <c r="AE76" i="3" s="1"/>
  <c r="AP75" i="5"/>
  <c r="W76" i="5"/>
  <c r="AE77" i="3" s="1"/>
  <c r="AP76" i="5"/>
  <c r="W77" i="5"/>
  <c r="AE78" i="3" s="1"/>
  <c r="AP77" i="5"/>
  <c r="W78" i="5"/>
  <c r="AE79" i="3" s="1"/>
  <c r="AP78" i="5"/>
  <c r="W79" i="5"/>
  <c r="AE80" i="3" s="1"/>
  <c r="AP79" i="5"/>
  <c r="W80" i="5"/>
  <c r="AE81" i="3" s="1"/>
  <c r="AP80" i="5"/>
  <c r="W81" i="5"/>
  <c r="AE82" i="3" s="1"/>
  <c r="AP81" i="5"/>
  <c r="W82" i="5"/>
  <c r="AE83" i="3" s="1"/>
  <c r="AP82" i="5"/>
  <c r="W83" i="5"/>
  <c r="AE84" i="3" s="1"/>
  <c r="AP83" i="5"/>
  <c r="W84" i="5"/>
  <c r="AE85" i="3" s="1"/>
  <c r="AP84" i="5"/>
  <c r="W85" i="5"/>
  <c r="AE86" i="3" s="1"/>
  <c r="AP85" i="5"/>
  <c r="W86" i="5"/>
  <c r="AE87" i="3" s="1"/>
  <c r="AP86" i="5"/>
  <c r="W87" i="5"/>
  <c r="AE88" i="3" s="1"/>
  <c r="AP87" i="5"/>
  <c r="W88" i="5"/>
  <c r="AE89" i="3" s="1"/>
  <c r="AP88" i="5"/>
  <c r="W89" i="5"/>
  <c r="AE90" i="3" s="1"/>
  <c r="AP89" i="5"/>
  <c r="W90" i="5"/>
  <c r="AE91" i="3" s="1"/>
  <c r="AP90" i="5"/>
  <c r="W91" i="5"/>
  <c r="AE92" i="3" s="1"/>
  <c r="AP91" i="5"/>
  <c r="W92" i="5"/>
  <c r="AE93" i="3" s="1"/>
  <c r="AP92" i="5"/>
  <c r="W93" i="5"/>
  <c r="AE94" i="3" s="1"/>
  <c r="AP93" i="5"/>
  <c r="W94" i="5"/>
  <c r="AE95" i="3" s="1"/>
  <c r="AP94" i="5"/>
  <c r="W95" i="5"/>
  <c r="AE96" i="3" s="1"/>
  <c r="AP95" i="5"/>
  <c r="W96" i="5"/>
  <c r="AE97" i="3" s="1"/>
  <c r="AP96" i="5"/>
  <c r="W97" i="5"/>
  <c r="AE98" i="3" s="1"/>
  <c r="AP97" i="5"/>
  <c r="W98" i="5"/>
  <c r="AE99" i="3" s="1"/>
  <c r="AP98" i="5"/>
  <c r="W99" i="5"/>
  <c r="AE100" i="3" s="1"/>
  <c r="AP99" i="5"/>
  <c r="W100" i="5"/>
  <c r="AE101" i="3" s="1"/>
  <c r="AP100" i="5"/>
  <c r="W101" i="5"/>
  <c r="AE102" i="3" s="1"/>
  <c r="AP101" i="5"/>
  <c r="W102" i="5"/>
  <c r="AE103" i="3" s="1"/>
  <c r="AP102" i="5"/>
  <c r="W103" i="5"/>
  <c r="AE104" i="3" s="1"/>
  <c r="AP103" i="5"/>
  <c r="W104" i="5"/>
  <c r="AE105" i="3" s="1"/>
  <c r="AP104" i="5"/>
  <c r="W105" i="5"/>
  <c r="AE106" i="3" s="1"/>
  <c r="AP105" i="5"/>
  <c r="W106" i="5"/>
  <c r="AE107" i="3" s="1"/>
  <c r="AP106" i="5"/>
  <c r="W107" i="5"/>
  <c r="AE108" i="3" s="1"/>
  <c r="AP107" i="5"/>
  <c r="W108" i="5"/>
  <c r="AE109" i="3" s="1"/>
  <c r="AP108" i="5"/>
  <c r="W109" i="5"/>
  <c r="AE110" i="3" s="1"/>
  <c r="AP109" i="5"/>
  <c r="W110" i="5"/>
  <c r="AE111" i="3" s="1"/>
  <c r="AP110" i="5"/>
  <c r="W111" i="5"/>
  <c r="AE112" i="3" s="1"/>
  <c r="AP111" i="5"/>
  <c r="W112" i="5"/>
  <c r="AE113" i="3" s="1"/>
  <c r="AP112" i="5"/>
  <c r="W113" i="5"/>
  <c r="AE114" i="3" s="1"/>
  <c r="AP113" i="5"/>
  <c r="W114" i="5"/>
  <c r="AE115" i="3" s="1"/>
  <c r="AP114" i="5"/>
  <c r="W115" i="5"/>
  <c r="AE116" i="3" s="1"/>
  <c r="AP115" i="5"/>
  <c r="W116" i="5"/>
  <c r="AE117" i="3" s="1"/>
  <c r="AP116" i="5"/>
  <c r="W117" i="5"/>
  <c r="AE118" i="3" s="1"/>
  <c r="AP117" i="5"/>
  <c r="W118" i="5"/>
  <c r="AE119" i="3" s="1"/>
  <c r="AP118" i="5"/>
  <c r="W119" i="5"/>
  <c r="AE120" i="3" s="1"/>
  <c r="AP119" i="5"/>
  <c r="W120" i="5"/>
  <c r="AE121" i="3" s="1"/>
  <c r="AP120" i="5"/>
  <c r="W121" i="5"/>
  <c r="AE122" i="3" s="1"/>
  <c r="AP121" i="5"/>
  <c r="W122" i="5"/>
  <c r="AE123" i="3" s="1"/>
  <c r="AP122" i="5"/>
  <c r="W123" i="5"/>
  <c r="AE124" i="3" s="1"/>
  <c r="AP123" i="5"/>
  <c r="W124" i="5"/>
  <c r="AE125" i="3" s="1"/>
  <c r="AP124" i="5"/>
  <c r="W125" i="5"/>
  <c r="AE126" i="3" s="1"/>
  <c r="AP125" i="5"/>
  <c r="W126" i="5"/>
  <c r="AE127" i="3" s="1"/>
  <c r="AP126" i="5"/>
  <c r="W127" i="5"/>
  <c r="AE128" i="3" s="1"/>
  <c r="AP127" i="5"/>
  <c r="W128" i="5"/>
  <c r="AE129" i="3" s="1"/>
  <c r="AP128" i="5"/>
  <c r="W129" i="5"/>
  <c r="AE130" i="3" s="1"/>
  <c r="AP129" i="5"/>
  <c r="W130" i="5"/>
  <c r="AE131" i="3" s="1"/>
  <c r="AP130" i="5"/>
  <c r="W131" i="5"/>
  <c r="AE132" i="3" s="1"/>
  <c r="AP131" i="5"/>
  <c r="W132" i="5"/>
  <c r="AE133" i="3" s="1"/>
  <c r="AP132" i="5"/>
  <c r="W133" i="5"/>
  <c r="AE134" i="3" s="1"/>
  <c r="AP133" i="5"/>
  <c r="W134" i="5"/>
  <c r="AE135" i="3" s="1"/>
  <c r="AP134" i="5"/>
  <c r="W135" i="5"/>
  <c r="AE136" i="3" s="1"/>
  <c r="AP135" i="5"/>
  <c r="W136" i="5"/>
  <c r="AE137" i="3" s="1"/>
  <c r="AP136" i="5"/>
  <c r="W137" i="5"/>
  <c r="AE138" i="3" s="1"/>
  <c r="AP137" i="5"/>
  <c r="W138" i="5"/>
  <c r="AE139" i="3" s="1"/>
  <c r="AP138" i="5"/>
  <c r="W139" i="5"/>
  <c r="AE140" i="3" s="1"/>
  <c r="AP139" i="5"/>
  <c r="W140" i="5"/>
  <c r="AE141" i="3" s="1"/>
  <c r="AP140" i="5"/>
  <c r="W141" i="5"/>
  <c r="AE142" i="3" s="1"/>
  <c r="AP141" i="5"/>
  <c r="W142" i="5"/>
  <c r="AE143" i="3" s="1"/>
  <c r="AP142" i="5"/>
  <c r="W143" i="5"/>
  <c r="AE144" i="3" s="1"/>
  <c r="AP143" i="5"/>
  <c r="W144" i="5"/>
  <c r="AE145" i="3" s="1"/>
  <c r="AP144" i="5"/>
  <c r="W145" i="5"/>
  <c r="AE146" i="3" s="1"/>
  <c r="AP145" i="5"/>
  <c r="W146" i="5"/>
  <c r="AE147" i="3" s="1"/>
  <c r="AP146" i="5"/>
  <c r="W147" i="5"/>
  <c r="AE148" i="3" s="1"/>
  <c r="AP147" i="5"/>
  <c r="W148" i="5"/>
  <c r="AE149" i="3" s="1"/>
  <c r="AP148" i="5"/>
  <c r="W149" i="5"/>
  <c r="AE150" i="3" s="1"/>
  <c r="AP149" i="5"/>
  <c r="W150" i="5"/>
  <c r="AE151" i="3" s="1"/>
  <c r="AP150" i="5"/>
  <c r="M109" i="3"/>
  <c r="M115" i="3"/>
  <c r="M119" i="3"/>
  <c r="M122" i="3"/>
  <c r="M126" i="3"/>
  <c r="M129" i="3"/>
  <c r="M133" i="3"/>
  <c r="M137" i="3"/>
  <c r="M141" i="3"/>
  <c r="M145" i="3"/>
  <c r="M149"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E13" i="7" s="1"/>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M110" i="3"/>
  <c r="M113" i="3"/>
  <c r="M118" i="3"/>
  <c r="M123" i="3"/>
  <c r="M127" i="3"/>
  <c r="M131" i="3"/>
  <c r="M135" i="3"/>
  <c r="M138" i="3"/>
  <c r="M142" i="3"/>
  <c r="M146" i="3"/>
  <c r="M7" i="3"/>
  <c r="M112" i="3"/>
  <c r="M114" i="3"/>
  <c r="M117" i="3"/>
  <c r="M121" i="3"/>
  <c r="M124" i="3"/>
  <c r="M128" i="3"/>
  <c r="M132" i="3"/>
  <c r="M136" i="3"/>
  <c r="M140" i="3"/>
  <c r="M144" i="3"/>
  <c r="M148" i="3"/>
  <c r="M151" i="3"/>
  <c r="M160" i="3"/>
  <c r="M111" i="3"/>
  <c r="M116" i="3"/>
  <c r="M120" i="3"/>
  <c r="M125" i="3"/>
  <c r="M130" i="3"/>
  <c r="M134" i="3"/>
  <c r="M139" i="3"/>
  <c r="M143" i="3"/>
  <c r="M147" i="3"/>
  <c r="K4" i="3"/>
  <c r="K6" i="3"/>
  <c r="K10" i="3"/>
  <c r="K11" i="3"/>
  <c r="K13" i="3"/>
  <c r="K15" i="3"/>
  <c r="K17" i="3"/>
  <c r="K19" i="3"/>
  <c r="K21" i="3"/>
  <c r="K23" i="3"/>
  <c r="K25" i="3"/>
  <c r="K27" i="3"/>
  <c r="K29" i="3"/>
  <c r="K31" i="3"/>
  <c r="K33" i="3"/>
  <c r="K35" i="3"/>
  <c r="K37" i="3"/>
  <c r="K39" i="3"/>
  <c r="K41" i="3"/>
  <c r="K43" i="3"/>
  <c r="K45" i="3"/>
  <c r="K5" i="3"/>
  <c r="K7" i="3"/>
  <c r="T7" i="3" s="1"/>
  <c r="K9" i="3"/>
  <c r="K12" i="3"/>
  <c r="K14" i="3"/>
  <c r="K16" i="3"/>
  <c r="K18" i="3"/>
  <c r="K20" i="3"/>
  <c r="K22" i="3"/>
  <c r="K24" i="3"/>
  <c r="K26" i="3"/>
  <c r="K28" i="3"/>
  <c r="K30" i="3"/>
  <c r="K32" i="3"/>
  <c r="K34" i="3"/>
  <c r="K36" i="3"/>
  <c r="K38" i="3"/>
  <c r="K40" i="3"/>
  <c r="K42" i="3"/>
  <c r="K44" i="3"/>
  <c r="K46" i="3"/>
  <c r="T5" i="3"/>
  <c r="X5" i="3"/>
  <c r="T6" i="3"/>
  <c r="X6" i="3"/>
  <c r="X7" i="3"/>
  <c r="X8" i="3"/>
  <c r="T9" i="3"/>
  <c r="X9" i="3"/>
  <c r="T10" i="3"/>
  <c r="X10" i="3"/>
  <c r="X11" i="3"/>
  <c r="T12" i="3"/>
  <c r="X12" i="3"/>
  <c r="X13" i="3"/>
  <c r="X14" i="3"/>
  <c r="T15" i="3"/>
  <c r="X15" i="3"/>
  <c r="T16" i="3"/>
  <c r="X16" i="3"/>
  <c r="X17" i="3"/>
  <c r="T17" i="3"/>
  <c r="X18" i="3"/>
  <c r="T19" i="3"/>
  <c r="X19" i="3"/>
  <c r="X20" i="3"/>
  <c r="T20" i="3"/>
  <c r="X21" i="3"/>
  <c r="X22" i="3"/>
  <c r="T22" i="3"/>
  <c r="T23" i="3"/>
  <c r="X23" i="3"/>
  <c r="T24" i="3"/>
  <c r="X24" i="3"/>
  <c r="T25" i="3"/>
  <c r="X25" i="3"/>
  <c r="T26" i="3"/>
  <c r="X26" i="3"/>
  <c r="T27" i="3"/>
  <c r="X27" i="3"/>
  <c r="T28" i="3"/>
  <c r="X28" i="3"/>
  <c r="T29" i="3"/>
  <c r="X29" i="3"/>
  <c r="T30" i="3"/>
  <c r="X30" i="3"/>
  <c r="T31" i="3"/>
  <c r="X31" i="3"/>
  <c r="T32" i="3"/>
  <c r="X32" i="3"/>
  <c r="T33" i="3"/>
  <c r="X33" i="3"/>
  <c r="T34" i="3"/>
  <c r="X34" i="3"/>
  <c r="T35" i="3"/>
  <c r="X35" i="3"/>
  <c r="T36" i="3"/>
  <c r="X36" i="3"/>
  <c r="X37" i="3"/>
  <c r="T38" i="3"/>
  <c r="X38" i="3"/>
  <c r="T39" i="3"/>
  <c r="X39" i="3"/>
  <c r="T40" i="3"/>
  <c r="X40" i="3"/>
  <c r="T41" i="3"/>
  <c r="X41" i="3"/>
  <c r="T42" i="3"/>
  <c r="X42" i="3"/>
  <c r="T43" i="3"/>
  <c r="X43" i="3"/>
  <c r="T44" i="3"/>
  <c r="X44" i="3"/>
  <c r="T45" i="3"/>
  <c r="X45" i="3"/>
  <c r="T46" i="3"/>
  <c r="X46" i="3"/>
  <c r="T47" i="3"/>
  <c r="X47" i="3"/>
  <c r="T48" i="3"/>
  <c r="X48" i="3"/>
  <c r="T49" i="3"/>
  <c r="X49" i="3"/>
  <c r="T50" i="3"/>
  <c r="X50" i="3"/>
  <c r="T51" i="3"/>
  <c r="X51" i="3"/>
  <c r="T52" i="3"/>
  <c r="X52" i="3"/>
  <c r="T53" i="3"/>
  <c r="X53" i="3"/>
  <c r="T54" i="3"/>
  <c r="X54" i="3"/>
  <c r="T55" i="3"/>
  <c r="X55" i="3"/>
  <c r="T56" i="3"/>
  <c r="X56" i="3"/>
  <c r="T57" i="3"/>
  <c r="X57" i="3"/>
  <c r="T58" i="3"/>
  <c r="X58" i="3"/>
  <c r="T59" i="3"/>
  <c r="X59" i="3"/>
  <c r="T60" i="3"/>
  <c r="X60" i="3"/>
  <c r="T61" i="3"/>
  <c r="X61" i="3"/>
  <c r="T62" i="3"/>
  <c r="X62" i="3"/>
  <c r="T63" i="3"/>
  <c r="X63" i="3"/>
  <c r="T64" i="3"/>
  <c r="X64" i="3"/>
  <c r="T65" i="3"/>
  <c r="X65" i="3"/>
  <c r="T66" i="3"/>
  <c r="X66" i="3"/>
  <c r="T67" i="3"/>
  <c r="X67" i="3"/>
  <c r="T68" i="3"/>
  <c r="X68" i="3"/>
  <c r="T69" i="3"/>
  <c r="X69" i="3"/>
  <c r="T70" i="3"/>
  <c r="X70" i="3"/>
  <c r="X71" i="3"/>
  <c r="X72" i="3"/>
  <c r="T72" i="3"/>
  <c r="T73" i="3"/>
  <c r="X73" i="3"/>
  <c r="X74" i="3"/>
  <c r="X75" i="3"/>
  <c r="T75" i="3"/>
  <c r="X76" i="3"/>
  <c r="T76" i="3"/>
  <c r="T77" i="3"/>
  <c r="X77" i="3"/>
  <c r="X78" i="3"/>
  <c r="T78" i="3"/>
  <c r="X79" i="3"/>
  <c r="T79" i="3"/>
  <c r="X80" i="3"/>
  <c r="T80" i="3"/>
  <c r="X81" i="3"/>
  <c r="X82" i="3"/>
  <c r="T82" i="3"/>
  <c r="T83" i="3"/>
  <c r="X83" i="3"/>
  <c r="T84" i="3"/>
  <c r="X84" i="3"/>
  <c r="T85" i="3"/>
  <c r="X85" i="3"/>
  <c r="T86" i="3"/>
  <c r="X86" i="3"/>
  <c r="T87" i="3"/>
  <c r="X87" i="3"/>
  <c r="T88" i="3"/>
  <c r="X88" i="3"/>
  <c r="T89" i="3"/>
  <c r="X89" i="3"/>
  <c r="T90" i="3"/>
  <c r="X90" i="3"/>
  <c r="T91" i="3"/>
  <c r="X91" i="3"/>
  <c r="T92" i="3"/>
  <c r="X92" i="3"/>
  <c r="T93" i="3"/>
  <c r="X93" i="3"/>
  <c r="T94" i="3"/>
  <c r="X94" i="3"/>
  <c r="T95" i="3"/>
  <c r="X95" i="3"/>
  <c r="T96" i="3"/>
  <c r="X96" i="3"/>
  <c r="T97" i="3"/>
  <c r="X97" i="3"/>
  <c r="T98" i="3"/>
  <c r="X98" i="3"/>
  <c r="T99" i="3"/>
  <c r="X99" i="3"/>
  <c r="T100" i="3"/>
  <c r="X100" i="3"/>
  <c r="T101" i="3"/>
  <c r="X101" i="3"/>
  <c r="T102" i="3"/>
  <c r="X102" i="3"/>
  <c r="T103" i="3"/>
  <c r="X103" i="3"/>
  <c r="T104" i="3"/>
  <c r="X104" i="3"/>
  <c r="T105" i="3"/>
  <c r="X105" i="3"/>
  <c r="T106" i="3"/>
  <c r="X106" i="3"/>
  <c r="X107" i="3"/>
  <c r="T108" i="3"/>
  <c r="X108" i="3"/>
  <c r="T109" i="3"/>
  <c r="X109" i="3"/>
  <c r="T110" i="3"/>
  <c r="X110" i="3"/>
  <c r="T111" i="3"/>
  <c r="X111" i="3"/>
  <c r="T112" i="3"/>
  <c r="X112" i="3"/>
  <c r="T113" i="3"/>
  <c r="X113" i="3"/>
  <c r="T114" i="3"/>
  <c r="X114" i="3"/>
  <c r="T115" i="3"/>
  <c r="X115" i="3"/>
  <c r="T116" i="3"/>
  <c r="X116" i="3"/>
  <c r="T117" i="3"/>
  <c r="X117" i="3"/>
  <c r="T118" i="3"/>
  <c r="X118" i="3"/>
  <c r="T119" i="3"/>
  <c r="X119" i="3"/>
  <c r="T120" i="3"/>
  <c r="X120" i="3"/>
  <c r="T121" i="3"/>
  <c r="X121" i="3"/>
  <c r="T122" i="3"/>
  <c r="X122" i="3"/>
  <c r="T123" i="3"/>
  <c r="X123" i="3"/>
  <c r="T124" i="3"/>
  <c r="X124" i="3"/>
  <c r="X125" i="3"/>
  <c r="X126" i="3"/>
  <c r="T126" i="3"/>
  <c r="X127" i="3"/>
  <c r="T127" i="3"/>
  <c r="X128" i="3"/>
  <c r="T128" i="3"/>
  <c r="T129" i="3"/>
  <c r="X129" i="3"/>
  <c r="T130" i="3"/>
  <c r="X130" i="3"/>
  <c r="X131" i="3"/>
  <c r="X132" i="3"/>
  <c r="T132" i="3"/>
  <c r="X133" i="3"/>
  <c r="T133" i="3"/>
  <c r="T134" i="3"/>
  <c r="X134" i="3"/>
  <c r="X135" i="3"/>
  <c r="X136" i="3"/>
  <c r="T137" i="3"/>
  <c r="X137" i="3"/>
  <c r="T138" i="3"/>
  <c r="X138" i="3"/>
  <c r="X139" i="3"/>
  <c r="T139" i="3"/>
  <c r="T140" i="3"/>
  <c r="X140" i="3"/>
  <c r="T141" i="3"/>
  <c r="X141" i="3"/>
  <c r="X142" i="3"/>
  <c r="T142" i="3"/>
  <c r="X143" i="3"/>
  <c r="T143" i="3"/>
  <c r="X144" i="3"/>
  <c r="X145" i="3"/>
  <c r="T145" i="3"/>
  <c r="X146" i="3"/>
  <c r="T146" i="3"/>
  <c r="X147" i="3"/>
  <c r="X148" i="3"/>
  <c r="T148" i="3"/>
  <c r="T149" i="3"/>
  <c r="X149" i="3"/>
  <c r="X150" i="3"/>
  <c r="T151" i="3"/>
  <c r="X151" i="3"/>
  <c r="T152" i="3"/>
  <c r="X152" i="3"/>
  <c r="T153" i="3"/>
  <c r="X153" i="3"/>
  <c r="T154" i="3"/>
  <c r="X154" i="3"/>
  <c r="X155" i="3"/>
  <c r="T156" i="3"/>
  <c r="X156" i="3"/>
  <c r="T157" i="3"/>
  <c r="X157" i="3"/>
  <c r="X158" i="3"/>
  <c r="T159" i="3"/>
  <c r="X159" i="3"/>
  <c r="T160" i="3"/>
  <c r="X160" i="3"/>
  <c r="T161" i="3"/>
  <c r="X161" i="3"/>
  <c r="T162" i="3"/>
  <c r="X162" i="3"/>
  <c r="T163" i="3"/>
  <c r="X163" i="3"/>
  <c r="T164" i="3"/>
  <c r="X164" i="3"/>
  <c r="T165" i="3"/>
  <c r="X165" i="3"/>
  <c r="T166" i="3"/>
  <c r="X166" i="3"/>
  <c r="T167" i="3"/>
  <c r="X167" i="3"/>
  <c r="T168" i="3"/>
  <c r="X168" i="3"/>
  <c r="T169" i="3"/>
  <c r="X169" i="3"/>
  <c r="T170" i="3"/>
  <c r="X170" i="3"/>
  <c r="T171" i="3"/>
  <c r="X171" i="3"/>
  <c r="X172" i="3"/>
  <c r="T173" i="3"/>
  <c r="X173" i="3"/>
  <c r="T174" i="3"/>
  <c r="X174" i="3"/>
  <c r="T175" i="3"/>
  <c r="X175" i="3"/>
  <c r="T176" i="3"/>
  <c r="X176" i="3"/>
  <c r="T177" i="3"/>
  <c r="X177" i="3"/>
  <c r="T4"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K8"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G6" i="3"/>
  <c r="G9" i="3"/>
  <c r="G11" i="3"/>
  <c r="G13" i="3"/>
  <c r="G15" i="3"/>
  <c r="G17" i="3"/>
  <c r="G19" i="3"/>
  <c r="G21" i="3"/>
  <c r="G23" i="3"/>
  <c r="G25" i="3"/>
  <c r="G27" i="3"/>
  <c r="E130" i="3"/>
  <c r="M30" i="3"/>
  <c r="M31" i="3"/>
  <c r="M32" i="3"/>
  <c r="M33" i="3"/>
  <c r="M34" i="3"/>
  <c r="M35" i="3"/>
  <c r="M36" i="3"/>
  <c r="M37" i="3"/>
  <c r="M38"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L160" i="6"/>
  <c r="L159" i="6"/>
  <c r="L158" i="6"/>
  <c r="L157" i="6"/>
  <c r="L156" i="6"/>
  <c r="L153" i="6"/>
  <c r="L152" i="6"/>
  <c r="L151" i="6"/>
  <c r="L150" i="6"/>
  <c r="L149" i="6"/>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Z3" i="5"/>
  <c r="AH4" i="3" s="1"/>
  <c r="B196" i="3"/>
  <c r="C196" i="3" s="1"/>
  <c r="Y3" i="5"/>
  <c r="AG4" i="3" s="1"/>
  <c r="B195" i="3"/>
  <c r="C195" i="3" s="1"/>
  <c r="X3" i="5"/>
  <c r="AF4" i="3" s="1"/>
  <c r="B194" i="3"/>
  <c r="C194" i="3" s="1"/>
  <c r="W3" i="5"/>
  <c r="AE4" i="3" s="1"/>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T11" i="3" l="1"/>
  <c r="T8" i="3"/>
  <c r="T14" i="3"/>
  <c r="T13" i="3"/>
  <c r="T71" i="3"/>
  <c r="T74" i="3"/>
  <c r="T125" i="3"/>
  <c r="T131" i="3"/>
  <c r="T135" i="3"/>
  <c r="T136" i="3"/>
  <c r="T144" i="3"/>
  <c r="T147" i="3"/>
  <c r="T150" i="3"/>
  <c r="T155" i="3"/>
  <c r="T158" i="3"/>
  <c r="T172" i="3"/>
  <c r="T107" i="3"/>
  <c r="AI30" i="3"/>
  <c r="S29" i="5"/>
  <c r="AI31" i="3"/>
  <c r="S30" i="5"/>
  <c r="AI32" i="3"/>
  <c r="S31" i="5"/>
  <c r="AI33" i="3"/>
  <c r="S32" i="5"/>
  <c r="AI34" i="3"/>
  <c r="S33" i="5"/>
  <c r="AI35" i="3"/>
  <c r="S34" i="5"/>
  <c r="S35" i="5"/>
  <c r="AI36" i="3"/>
  <c r="AI37" i="3"/>
  <c r="S36" i="5"/>
  <c r="S37" i="5"/>
  <c r="AI38" i="3"/>
  <c r="S38" i="5"/>
  <c r="AI39" i="3"/>
  <c r="S39" i="5"/>
  <c r="AI40" i="3"/>
  <c r="S40" i="5"/>
  <c r="AI41" i="3"/>
  <c r="AI42" i="3"/>
  <c r="S41" i="5"/>
  <c r="S42" i="5"/>
  <c r="AI43" i="3"/>
  <c r="AI44" i="3"/>
  <c r="S43" i="5"/>
  <c r="S44" i="5"/>
  <c r="AI45" i="3"/>
  <c r="AI46" i="3"/>
  <c r="S45" i="5"/>
  <c r="AI47" i="3"/>
  <c r="S46" i="5"/>
  <c r="AI48" i="3"/>
  <c r="S47" i="5"/>
  <c r="AI49" i="3"/>
  <c r="S48" i="5"/>
  <c r="AI50" i="3"/>
  <c r="S49" i="5"/>
  <c r="AI51" i="3"/>
  <c r="S50" i="5"/>
  <c r="AI52" i="3"/>
  <c r="S51" i="5"/>
  <c r="AI53" i="3"/>
  <c r="S52" i="5"/>
  <c r="AI54" i="3"/>
  <c r="S53" i="5"/>
  <c r="AI55" i="3"/>
  <c r="S54" i="5"/>
  <c r="AI56" i="3"/>
  <c r="S55" i="5"/>
  <c r="AI57" i="3"/>
  <c r="S56" i="5"/>
  <c r="AI58" i="3"/>
  <c r="S57" i="5"/>
  <c r="AI59" i="3"/>
  <c r="S58" i="5"/>
  <c r="AI60" i="3"/>
  <c r="S59" i="5"/>
  <c r="AI61" i="3"/>
  <c r="S60" i="5"/>
  <c r="AI62" i="3"/>
  <c r="S61" i="5"/>
  <c r="AI63" i="3"/>
  <c r="S62" i="5"/>
  <c r="AI64" i="3"/>
  <c r="S63" i="5"/>
  <c r="AI65" i="3"/>
  <c r="S64" i="5"/>
  <c r="AI66" i="3"/>
  <c r="S65" i="5"/>
  <c r="AI67" i="3"/>
  <c r="S66" i="5"/>
  <c r="AI68" i="3"/>
  <c r="S67" i="5"/>
  <c r="S68" i="5"/>
  <c r="AI69" i="3"/>
  <c r="AI70" i="3"/>
  <c r="S69" i="5"/>
  <c r="S70" i="5"/>
  <c r="AI71" i="3"/>
  <c r="S71" i="5"/>
  <c r="AI72" i="3"/>
  <c r="S72" i="5"/>
  <c r="AI73" i="3"/>
  <c r="S73" i="5"/>
  <c r="AI74" i="3"/>
  <c r="S74" i="5"/>
  <c r="AI75" i="3"/>
  <c r="S75" i="5"/>
  <c r="AI76" i="3"/>
  <c r="AI77" i="3"/>
  <c r="S76" i="5"/>
  <c r="AI78" i="3"/>
  <c r="S77" i="5"/>
  <c r="AI79" i="3"/>
  <c r="S78" i="5"/>
  <c r="AI80" i="3"/>
  <c r="S79" i="5"/>
  <c r="AI81" i="3"/>
  <c r="S80" i="5"/>
  <c r="AI82" i="3"/>
  <c r="S81" i="5"/>
  <c r="AI83" i="3"/>
  <c r="S82" i="5"/>
  <c r="AI84" i="3"/>
  <c r="S83" i="5"/>
  <c r="AI85" i="3"/>
  <c r="S84" i="5"/>
  <c r="AI86" i="3"/>
  <c r="S85" i="5"/>
  <c r="AI87" i="3"/>
  <c r="S86" i="5"/>
  <c r="AI88" i="3"/>
  <c r="S87" i="5"/>
  <c r="AI89" i="3"/>
  <c r="S88" i="5"/>
  <c r="AI90" i="3"/>
  <c r="S89" i="5"/>
  <c r="AI91" i="3"/>
  <c r="S90" i="5"/>
  <c r="AI92" i="3"/>
  <c r="S91" i="5"/>
  <c r="AI93" i="3"/>
  <c r="S92" i="5"/>
  <c r="AI94" i="3"/>
  <c r="S93" i="5"/>
  <c r="AI95" i="3"/>
  <c r="S94" i="5"/>
  <c r="AI96" i="3"/>
  <c r="S95" i="5"/>
  <c r="S96" i="5"/>
  <c r="AI97" i="3"/>
  <c r="S97" i="5"/>
  <c r="AI98" i="3"/>
  <c r="S98" i="5"/>
  <c r="AI99" i="3"/>
  <c r="S99" i="5"/>
  <c r="AI100" i="3"/>
  <c r="S100" i="5"/>
  <c r="AI101" i="3"/>
  <c r="S101" i="5"/>
  <c r="AI102" i="3"/>
  <c r="S102" i="5"/>
  <c r="AI103" i="3"/>
  <c r="AI104" i="3"/>
  <c r="S103" i="5"/>
  <c r="AI105" i="3"/>
  <c r="S104" i="5"/>
  <c r="AI106" i="3"/>
  <c r="S105" i="5"/>
  <c r="AI107" i="3"/>
  <c r="S106" i="5"/>
  <c r="AI108" i="3"/>
  <c r="S107" i="5"/>
  <c r="AI109" i="3"/>
  <c r="S108" i="5"/>
  <c r="AI110" i="3"/>
  <c r="S109" i="5"/>
  <c r="S110" i="5"/>
  <c r="AI111" i="3"/>
  <c r="AI127" i="3"/>
  <c r="S126" i="5"/>
  <c r="AI128" i="3"/>
  <c r="S127" i="5"/>
  <c r="AI129" i="3"/>
  <c r="S128" i="5"/>
  <c r="AI130" i="3"/>
  <c r="S129" i="5"/>
  <c r="AI131" i="3"/>
  <c r="S130" i="5"/>
  <c r="AI132" i="3"/>
  <c r="S131" i="5"/>
  <c r="AI133" i="3"/>
  <c r="S132" i="5"/>
  <c r="AI134" i="3"/>
  <c r="S133" i="5"/>
  <c r="AI135" i="3"/>
  <c r="S134" i="5"/>
  <c r="AI136" i="3"/>
  <c r="S135" i="5"/>
  <c r="AI137" i="3"/>
  <c r="S136" i="5"/>
  <c r="S137" i="5"/>
  <c r="AI138" i="3"/>
  <c r="S138" i="5"/>
  <c r="AI139" i="3"/>
  <c r="S139" i="5"/>
  <c r="AI140" i="3"/>
  <c r="AI141" i="3"/>
  <c r="S140" i="5"/>
  <c r="AI142" i="3"/>
  <c r="S141" i="5"/>
  <c r="AI143" i="3"/>
  <c r="S142" i="5"/>
  <c r="S143" i="5"/>
  <c r="AI144" i="3"/>
  <c r="S144" i="5"/>
  <c r="AI145" i="3"/>
  <c r="S145" i="5"/>
  <c r="AI146" i="3"/>
  <c r="S146" i="5"/>
  <c r="AI147" i="3"/>
  <c r="S147" i="5"/>
  <c r="AI148" i="3"/>
  <c r="S148" i="5"/>
  <c r="AI149" i="3"/>
  <c r="S149" i="5"/>
  <c r="AI150" i="3"/>
  <c r="S150" i="5"/>
  <c r="AI151" i="3"/>
  <c r="T18" i="3"/>
  <c r="T37" i="3"/>
  <c r="T81" i="3"/>
  <c r="AI4" i="3"/>
  <c r="S3" i="5"/>
  <c r="B186" i="3"/>
  <c r="C186" i="3" s="1"/>
  <c r="T21" i="3"/>
  <c r="B183" i="3"/>
  <c r="C183" i="3" s="1"/>
  <c r="AI152" i="3"/>
  <c r="S151" i="5"/>
  <c r="AI153" i="3"/>
  <c r="S152" i="5"/>
  <c r="AI154" i="3"/>
  <c r="S153" i="5"/>
  <c r="AI155" i="3"/>
  <c r="S154" i="5"/>
  <c r="AI156" i="3"/>
  <c r="S155" i="5"/>
  <c r="AI157" i="3"/>
  <c r="S156" i="5"/>
  <c r="AI158" i="3"/>
  <c r="S157" i="5"/>
  <c r="S158" i="5"/>
  <c r="AI159" i="3"/>
  <c r="AI160" i="3"/>
  <c r="S159" i="5"/>
  <c r="AI161" i="3"/>
  <c r="S160" i="5"/>
  <c r="AI162" i="3"/>
  <c r="S161" i="5"/>
  <c r="S162" i="5"/>
  <c r="AI163" i="3"/>
  <c r="AI164" i="3"/>
  <c r="S163" i="5"/>
  <c r="AI165" i="3"/>
  <c r="S164" i="5"/>
  <c r="AI166" i="3"/>
  <c r="S165" i="5"/>
  <c r="S166" i="5"/>
  <c r="AI167" i="3"/>
  <c r="AI168" i="3"/>
  <c r="S167" i="5"/>
  <c r="S168" i="5"/>
  <c r="AI169" i="3"/>
  <c r="AI170" i="3"/>
  <c r="S169" i="5"/>
  <c r="AI171" i="3"/>
  <c r="S170" i="5"/>
  <c r="AI172" i="3"/>
  <c r="S171" i="5"/>
  <c r="S172" i="5"/>
  <c r="AI173" i="3"/>
  <c r="AI174" i="3"/>
  <c r="S173" i="5"/>
  <c r="S174" i="5"/>
  <c r="AI175" i="3"/>
  <c r="AI176" i="3"/>
  <c r="S175" i="5"/>
  <c r="AI177" i="3"/>
  <c r="S176" i="5"/>
  <c r="S4" i="5"/>
  <c r="AI5" i="3"/>
  <c r="AI6" i="3"/>
  <c r="S5" i="5"/>
  <c r="S6" i="5"/>
  <c r="AI7" i="3"/>
  <c r="S7" i="5"/>
  <c r="AI8" i="3"/>
  <c r="AI9" i="3"/>
  <c r="S8" i="5"/>
  <c r="S9" i="5"/>
  <c r="AI10" i="3"/>
  <c r="S10" i="5"/>
  <c r="AI11" i="3"/>
  <c r="S11" i="5"/>
  <c r="AI12" i="3"/>
  <c r="AI13" i="3"/>
  <c r="S12" i="5"/>
  <c r="AI14" i="3"/>
  <c r="S13" i="5"/>
  <c r="AI15" i="3"/>
  <c r="S14" i="5"/>
  <c r="S15" i="5"/>
  <c r="AI16" i="3"/>
  <c r="AI17" i="3"/>
  <c r="S16" i="5"/>
  <c r="AI18" i="3"/>
  <c r="S17" i="5"/>
  <c r="S18" i="5"/>
  <c r="AI19" i="3"/>
  <c r="AI20" i="3"/>
  <c r="S19" i="5"/>
  <c r="AI21" i="3"/>
  <c r="S20" i="5"/>
  <c r="AI22" i="3"/>
  <c r="S21" i="5"/>
  <c r="AI23" i="3"/>
  <c r="S22" i="5"/>
  <c r="S23" i="5"/>
  <c r="AI24" i="3"/>
  <c r="AI25" i="3"/>
  <c r="S24" i="5"/>
  <c r="AI26" i="3"/>
  <c r="S25" i="5"/>
  <c r="AI27" i="3"/>
  <c r="S26" i="5"/>
  <c r="AI28" i="3"/>
  <c r="S27" i="5"/>
  <c r="AI29" i="3"/>
  <c r="S28" i="5"/>
  <c r="AI112" i="3"/>
  <c r="S111" i="5"/>
  <c r="AI113" i="3"/>
  <c r="S112" i="5"/>
  <c r="AI114" i="3"/>
  <c r="S113" i="5"/>
  <c r="AI115" i="3"/>
  <c r="S114" i="5"/>
  <c r="AI116" i="3"/>
  <c r="S115" i="5"/>
  <c r="S116" i="5"/>
  <c r="AI117" i="3"/>
  <c r="AI118" i="3"/>
  <c r="S117" i="5"/>
  <c r="S118" i="5"/>
  <c r="AI119" i="3"/>
  <c r="AI120" i="3"/>
  <c r="S119" i="5"/>
  <c r="S120" i="5"/>
  <c r="AI121" i="3"/>
  <c r="S121" i="5"/>
  <c r="AI122" i="3"/>
  <c r="AI123" i="3"/>
  <c r="S122" i="5"/>
  <c r="S123" i="5"/>
  <c r="AI124" i="3"/>
  <c r="AI125" i="3"/>
  <c r="S124" i="5"/>
  <c r="S125" i="5"/>
  <c r="AI126" i="3"/>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J170" i="6"/>
  <c r="J171" i="6"/>
  <c r="J172" i="3"/>
  <c r="J173" i="3"/>
  <c r="J172" i="6"/>
  <c r="J174" i="3"/>
  <c r="J173" i="6"/>
  <c r="J174" i="6"/>
  <c r="J175" i="3"/>
  <c r="J176" i="3"/>
  <c r="J175" i="6"/>
  <c r="J177" i="3"/>
  <c r="J176" i="6"/>
  <c r="H65" i="6"/>
  <c r="F66" i="3"/>
  <c r="V66" i="3" s="1"/>
  <c r="F67" i="3"/>
  <c r="V67" i="3" s="1"/>
  <c r="H66" i="6"/>
  <c r="F68" i="3"/>
  <c r="V68" i="3" s="1"/>
  <c r="H67" i="6"/>
  <c r="H68" i="6"/>
  <c r="F69" i="3"/>
  <c r="V69" i="3" s="1"/>
  <c r="H69" i="6"/>
  <c r="F70" i="3"/>
  <c r="V70" i="3" s="1"/>
  <c r="F71" i="3"/>
  <c r="V71" i="3" s="1"/>
  <c r="H70" i="6"/>
  <c r="F72" i="3"/>
  <c r="V72" i="3" s="1"/>
  <c r="H71" i="6"/>
  <c r="F73" i="3"/>
  <c r="V73" i="3" s="1"/>
  <c r="H72" i="6"/>
  <c r="H73" i="6"/>
  <c r="F74" i="3"/>
  <c r="V74" i="3" s="1"/>
  <c r="F75" i="3"/>
  <c r="V75" i="3" s="1"/>
  <c r="H74" i="6"/>
  <c r="F76" i="3"/>
  <c r="V76" i="3" s="1"/>
  <c r="H75" i="6"/>
  <c r="F77" i="3"/>
  <c r="V77" i="3" s="1"/>
  <c r="H76" i="6"/>
  <c r="H77" i="6"/>
  <c r="F78" i="3"/>
  <c r="V78" i="3" s="1"/>
  <c r="F79" i="3"/>
  <c r="V79" i="3" s="1"/>
  <c r="H78" i="6"/>
  <c r="F80" i="3"/>
  <c r="V80" i="3" s="1"/>
  <c r="H79" i="6"/>
  <c r="F81" i="3"/>
  <c r="V81" i="3" s="1"/>
  <c r="H80" i="6"/>
  <c r="H81" i="6"/>
  <c r="F82" i="3"/>
  <c r="V82" i="3" s="1"/>
  <c r="F83" i="3"/>
  <c r="V83" i="3" s="1"/>
  <c r="H82" i="6"/>
  <c r="F84" i="3"/>
  <c r="V84" i="3" s="1"/>
  <c r="H83" i="6"/>
  <c r="F85" i="3"/>
  <c r="V85" i="3" s="1"/>
  <c r="H84" i="6"/>
  <c r="H85" i="6"/>
  <c r="F86" i="3"/>
  <c r="V86" i="3" s="1"/>
  <c r="F87" i="3"/>
  <c r="V87" i="3" s="1"/>
  <c r="H86" i="6"/>
  <c r="F88" i="3"/>
  <c r="V88" i="3" s="1"/>
  <c r="H87" i="6"/>
  <c r="H88" i="6"/>
  <c r="F89" i="3"/>
  <c r="V89" i="3" s="1"/>
  <c r="F90" i="3"/>
  <c r="V90" i="3" s="1"/>
  <c r="H89" i="6"/>
  <c r="F91" i="3"/>
  <c r="V91" i="3" s="1"/>
  <c r="H90" i="6"/>
  <c r="H91" i="6"/>
  <c r="F92" i="3"/>
  <c r="V92" i="3" s="1"/>
  <c r="H92" i="6"/>
  <c r="F93" i="3"/>
  <c r="V93" i="3" s="1"/>
  <c r="F94" i="3"/>
  <c r="V94" i="3" s="1"/>
  <c r="H93" i="6"/>
  <c r="F95" i="3"/>
  <c r="V95" i="3" s="1"/>
  <c r="H94" i="6"/>
  <c r="F96" i="3"/>
  <c r="V96" i="3" s="1"/>
  <c r="H95" i="6"/>
  <c r="H96" i="6"/>
  <c r="F97" i="3"/>
  <c r="V97" i="3" s="1"/>
  <c r="F98" i="3"/>
  <c r="V98" i="3" s="1"/>
  <c r="H97" i="6"/>
  <c r="F99" i="3"/>
  <c r="V99" i="3" s="1"/>
  <c r="H98" i="6"/>
  <c r="F100" i="3"/>
  <c r="V100" i="3" s="1"/>
  <c r="H99" i="6"/>
  <c r="H100" i="6"/>
  <c r="F101" i="3"/>
  <c r="V101" i="3" s="1"/>
  <c r="F102" i="3"/>
  <c r="V102" i="3" s="1"/>
  <c r="H101" i="6"/>
  <c r="I14" i="3"/>
  <c r="I13" i="6"/>
  <c r="I15" i="3"/>
  <c r="I14" i="6"/>
  <c r="I18" i="3"/>
  <c r="I17" i="6"/>
  <c r="I20" i="3"/>
  <c r="I19" i="6"/>
  <c r="I23" i="3"/>
  <c r="I22" i="6"/>
  <c r="I24" i="6"/>
  <c r="I25" i="3"/>
  <c r="I26" i="3"/>
  <c r="I25" i="6"/>
  <c r="I168" i="6"/>
  <c r="I169" i="3"/>
  <c r="I172" i="6"/>
  <c r="I173" i="3"/>
  <c r="I176" i="3"/>
  <c r="I175" i="6"/>
  <c r="J64" i="3"/>
  <c r="J63" i="6"/>
  <c r="J70" i="6"/>
  <c r="J71" i="3"/>
  <c r="B189" i="3"/>
  <c r="C189" i="3" s="1"/>
  <c r="I33" i="6"/>
  <c r="I34" i="3"/>
  <c r="I36" i="6"/>
  <c r="I37" i="3"/>
  <c r="I50" i="3"/>
  <c r="I49" i="6"/>
  <c r="I54" i="3"/>
  <c r="I53" i="6"/>
  <c r="I56" i="6"/>
  <c r="I57" i="3"/>
  <c r="I59" i="3"/>
  <c r="I58" i="6"/>
  <c r="I60" i="6"/>
  <c r="F13" i="7" s="1"/>
  <c r="I61" i="3"/>
  <c r="I63" i="3"/>
  <c r="I62" i="6"/>
  <c r="I65" i="3"/>
  <c r="I64" i="6"/>
  <c r="I66" i="6"/>
  <c r="I67" i="3"/>
  <c r="I69" i="3"/>
  <c r="I68" i="6"/>
  <c r="I70" i="6"/>
  <c r="I71" i="3"/>
  <c r="I71" i="6"/>
  <c r="I72" i="3"/>
  <c r="I73" i="6"/>
  <c r="I74" i="3"/>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H4" i="6"/>
  <c r="F5" i="3"/>
  <c r="V5" i="3" s="1"/>
  <c r="F6" i="3"/>
  <c r="V6" i="3" s="1"/>
  <c r="H5" i="6"/>
  <c r="H6" i="6"/>
  <c r="F7" i="3"/>
  <c r="V7" i="3" s="1"/>
  <c r="H7" i="6"/>
  <c r="F8" i="3"/>
  <c r="V8" i="3" s="1"/>
  <c r="H8" i="6"/>
  <c r="F9" i="3"/>
  <c r="V9" i="3" s="1"/>
  <c r="F10" i="3"/>
  <c r="V10" i="3" s="1"/>
  <c r="H9" i="6"/>
  <c r="F11" i="3"/>
  <c r="V11" i="3" s="1"/>
  <c r="H10" i="6"/>
  <c r="H11" i="6"/>
  <c r="F12" i="3"/>
  <c r="V12" i="3" s="1"/>
  <c r="H12" i="6"/>
  <c r="F13" i="3"/>
  <c r="V13" i="3" s="1"/>
  <c r="F14" i="3"/>
  <c r="V14" i="3" s="1"/>
  <c r="H13" i="6"/>
  <c r="H14" i="6"/>
  <c r="F15" i="3"/>
  <c r="V15" i="3" s="1"/>
  <c r="F16" i="3"/>
  <c r="V16" i="3" s="1"/>
  <c r="H15" i="6"/>
  <c r="H16" i="6"/>
  <c r="F17" i="3"/>
  <c r="V17" i="3" s="1"/>
  <c r="F18" i="3"/>
  <c r="V18" i="3" s="1"/>
  <c r="H17" i="6"/>
  <c r="H18" i="6"/>
  <c r="F19" i="3"/>
  <c r="V19" i="3" s="1"/>
  <c r="F20" i="3"/>
  <c r="V20" i="3" s="1"/>
  <c r="H19" i="6"/>
  <c r="H20" i="6"/>
  <c r="F21" i="3"/>
  <c r="V21" i="3" s="1"/>
  <c r="F22" i="3"/>
  <c r="V22" i="3" s="1"/>
  <c r="H21" i="6"/>
  <c r="F23" i="3"/>
  <c r="V23" i="3" s="1"/>
  <c r="H22" i="6"/>
  <c r="H23" i="6"/>
  <c r="F24" i="3"/>
  <c r="V24" i="3" s="1"/>
  <c r="F25" i="3"/>
  <c r="V25" i="3" s="1"/>
  <c r="H24" i="6"/>
  <c r="F26" i="3"/>
  <c r="V26" i="3" s="1"/>
  <c r="H25" i="6"/>
  <c r="F27" i="3"/>
  <c r="V27" i="3" s="1"/>
  <c r="H26" i="6"/>
  <c r="F28" i="3"/>
  <c r="V28" i="3" s="1"/>
  <c r="H27" i="6"/>
  <c r="H28" i="6"/>
  <c r="F29" i="3"/>
  <c r="V29" i="3" s="1"/>
  <c r="F30" i="3"/>
  <c r="V30" i="3" s="1"/>
  <c r="H29" i="6"/>
  <c r="F31" i="3"/>
  <c r="V31" i="3" s="1"/>
  <c r="H30" i="6"/>
  <c r="H31" i="6"/>
  <c r="F32" i="3"/>
  <c r="V32" i="3" s="1"/>
  <c r="F33" i="3"/>
  <c r="V33" i="3" s="1"/>
  <c r="H32" i="6"/>
  <c r="F34" i="3"/>
  <c r="V34" i="3" s="1"/>
  <c r="H33" i="6"/>
  <c r="H34" i="6"/>
  <c r="F35" i="3"/>
  <c r="V35" i="3" s="1"/>
  <c r="H35" i="6"/>
  <c r="F36" i="3"/>
  <c r="V36" i="3" s="1"/>
  <c r="F37" i="3"/>
  <c r="V37" i="3" s="1"/>
  <c r="H36" i="6"/>
  <c r="F38" i="3"/>
  <c r="H37" i="6"/>
  <c r="F39" i="3"/>
  <c r="V39" i="3" s="1"/>
  <c r="H38" i="6"/>
  <c r="H39" i="6"/>
  <c r="F40" i="3"/>
  <c r="V40" i="3" s="1"/>
  <c r="F41" i="3"/>
  <c r="V41" i="3" s="1"/>
  <c r="H40" i="6"/>
  <c r="H41" i="6"/>
  <c r="F42" i="3"/>
  <c r="V42" i="3" s="1"/>
  <c r="H42" i="6"/>
  <c r="F43" i="3"/>
  <c r="V43" i="3" s="1"/>
  <c r="H43" i="6"/>
  <c r="F44" i="3"/>
  <c r="V44" i="3" s="1"/>
  <c r="H44" i="6"/>
  <c r="F45" i="3"/>
  <c r="V45" i="3" s="1"/>
  <c r="F46" i="3"/>
  <c r="V46" i="3" s="1"/>
  <c r="H45" i="6"/>
  <c r="H46" i="6"/>
  <c r="F47" i="3"/>
  <c r="V47" i="3" s="1"/>
  <c r="H47" i="6"/>
  <c r="F48" i="3"/>
  <c r="V48" i="3" s="1"/>
  <c r="F49" i="3"/>
  <c r="V49" i="3" s="1"/>
  <c r="H48" i="6"/>
  <c r="F50" i="3"/>
  <c r="V50" i="3" s="1"/>
  <c r="H49" i="6"/>
  <c r="F51" i="3"/>
  <c r="V51" i="3" s="1"/>
  <c r="H50" i="6"/>
  <c r="F52" i="3"/>
  <c r="V52" i="3" s="1"/>
  <c r="H51" i="6"/>
  <c r="F53" i="3"/>
  <c r="V53" i="3" s="1"/>
  <c r="H52" i="6"/>
  <c r="H53" i="6"/>
  <c r="F54" i="3"/>
  <c r="V54" i="3" s="1"/>
  <c r="F55" i="3"/>
  <c r="V55" i="3" s="1"/>
  <c r="H54" i="6"/>
  <c r="F56" i="3"/>
  <c r="V56" i="3" s="1"/>
  <c r="H55" i="6"/>
  <c r="F57" i="3"/>
  <c r="V57" i="3" s="1"/>
  <c r="H56" i="6"/>
  <c r="H57" i="6"/>
  <c r="F58" i="3"/>
  <c r="V58" i="3" s="1"/>
  <c r="F59" i="3"/>
  <c r="V59" i="3" s="1"/>
  <c r="H58" i="6"/>
  <c r="F60" i="3"/>
  <c r="V60" i="3" s="1"/>
  <c r="H59" i="6"/>
  <c r="F61" i="3"/>
  <c r="V61" i="3" s="1"/>
  <c r="H60" i="6"/>
  <c r="H61" i="6"/>
  <c r="F62" i="3"/>
  <c r="V62" i="3" s="1"/>
  <c r="F63" i="3"/>
  <c r="V63" i="3" s="1"/>
  <c r="H62" i="6"/>
  <c r="F64" i="3"/>
  <c r="V64" i="3" s="1"/>
  <c r="H63" i="6"/>
  <c r="F65" i="3"/>
  <c r="V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F104" i="3"/>
  <c r="V104" i="3" s="1"/>
  <c r="H103" i="6"/>
  <c r="H104" i="6"/>
  <c r="F105" i="3"/>
  <c r="V105" i="3" s="1"/>
  <c r="F106" i="3"/>
  <c r="V106" i="3" s="1"/>
  <c r="H105" i="6"/>
  <c r="H106" i="6"/>
  <c r="F107" i="3"/>
  <c r="V107" i="3" s="1"/>
  <c r="F108" i="3"/>
  <c r="V108" i="3" s="1"/>
  <c r="H107" i="6"/>
  <c r="H108" i="6"/>
  <c r="F109" i="3"/>
  <c r="V109" i="3" s="1"/>
  <c r="F110" i="3"/>
  <c r="V110" i="3" s="1"/>
  <c r="H109" i="6"/>
  <c r="F111" i="3"/>
  <c r="V111" i="3" s="1"/>
  <c r="H110" i="6"/>
  <c r="F112" i="3"/>
  <c r="V112" i="3" s="1"/>
  <c r="H111" i="6"/>
  <c r="F113" i="3"/>
  <c r="V113" i="3" s="1"/>
  <c r="H112" i="6"/>
  <c r="H113" i="6"/>
  <c r="F114" i="3"/>
  <c r="V114" i="3" s="1"/>
  <c r="F115" i="3"/>
  <c r="V115" i="3" s="1"/>
  <c r="H114" i="6"/>
  <c r="F116" i="3"/>
  <c r="V116" i="3" s="1"/>
  <c r="H115" i="6"/>
  <c r="F117" i="3"/>
  <c r="V117" i="3" s="1"/>
  <c r="H116" i="6"/>
  <c r="H117" i="6"/>
  <c r="F118" i="3"/>
  <c r="V118" i="3" s="1"/>
  <c r="F119" i="3"/>
  <c r="V119" i="3" s="1"/>
  <c r="H118" i="6"/>
  <c r="H119" i="6"/>
  <c r="F120" i="3"/>
  <c r="V120" i="3" s="1"/>
  <c r="F121" i="3"/>
  <c r="V121" i="3" s="1"/>
  <c r="H120" i="6"/>
  <c r="F122" i="3"/>
  <c r="V122" i="3" s="1"/>
  <c r="H121" i="6"/>
  <c r="H122" i="6"/>
  <c r="F123" i="3"/>
  <c r="V123" i="3" s="1"/>
  <c r="F124" i="3"/>
  <c r="V124" i="3" s="1"/>
  <c r="H123" i="6"/>
  <c r="F125" i="3"/>
  <c r="V125" i="3" s="1"/>
  <c r="H124" i="6"/>
  <c r="F126" i="3"/>
  <c r="V126" i="3" s="1"/>
  <c r="H125" i="6"/>
  <c r="H126" i="6"/>
  <c r="F127" i="3"/>
  <c r="V127" i="3" s="1"/>
  <c r="F128" i="3"/>
  <c r="V128" i="3" s="1"/>
  <c r="H127" i="6"/>
  <c r="H128" i="6"/>
  <c r="F129" i="3"/>
  <c r="V129" i="3" s="1"/>
  <c r="F130" i="3"/>
  <c r="V130" i="3" s="1"/>
  <c r="H129" i="6"/>
  <c r="F131" i="3"/>
  <c r="V131" i="3" s="1"/>
  <c r="H130" i="6"/>
  <c r="H131" i="6"/>
  <c r="F132" i="3"/>
  <c r="V132" i="3" s="1"/>
  <c r="H132" i="6"/>
  <c r="F133" i="3"/>
  <c r="V133" i="3" s="1"/>
  <c r="F134" i="3"/>
  <c r="V134" i="3" s="1"/>
  <c r="H133" i="6"/>
  <c r="F135" i="3"/>
  <c r="V135" i="3" s="1"/>
  <c r="H134" i="6"/>
  <c r="F136" i="3"/>
  <c r="V136" i="3" s="1"/>
  <c r="H135" i="6"/>
  <c r="H136" i="6"/>
  <c r="F137" i="3"/>
  <c r="V137" i="3" s="1"/>
  <c r="F138" i="3"/>
  <c r="V138" i="3" s="1"/>
  <c r="H137" i="6"/>
  <c r="F139" i="3"/>
  <c r="V139" i="3" s="1"/>
  <c r="H138" i="6"/>
  <c r="F140" i="3"/>
  <c r="V140" i="3" s="1"/>
  <c r="H139" i="6"/>
  <c r="F141" i="3"/>
  <c r="V141" i="3" s="1"/>
  <c r="H140" i="6"/>
  <c r="H141" i="6"/>
  <c r="F142" i="3"/>
  <c r="V142" i="3" s="1"/>
  <c r="H142" i="6"/>
  <c r="F143" i="3"/>
  <c r="V143" i="3" s="1"/>
  <c r="H143" i="6"/>
  <c r="F144" i="3"/>
  <c r="V144" i="3" s="1"/>
  <c r="F145" i="3"/>
  <c r="V145" i="3" s="1"/>
  <c r="H144" i="6"/>
  <c r="F146" i="3"/>
  <c r="V146" i="3" s="1"/>
  <c r="H145" i="6"/>
  <c r="H146" i="6"/>
  <c r="F147" i="3"/>
  <c r="V147" i="3" s="1"/>
  <c r="F148" i="3"/>
  <c r="V148" i="3" s="1"/>
  <c r="H147" i="6"/>
  <c r="H148" i="6"/>
  <c r="F149" i="3"/>
  <c r="V149" i="3" s="1"/>
  <c r="H152" i="6"/>
  <c r="F153" i="3"/>
  <c r="V153" i="3" s="1"/>
  <c r="F154" i="3"/>
  <c r="V154" i="3" s="1"/>
  <c r="H153" i="6"/>
  <c r="H154" i="6"/>
  <c r="F155" i="3"/>
  <c r="V155" i="3" s="1"/>
  <c r="F156" i="3"/>
  <c r="V156" i="3" s="1"/>
  <c r="H155" i="6"/>
  <c r="F157" i="3"/>
  <c r="V157" i="3" s="1"/>
  <c r="H156" i="6"/>
  <c r="H157" i="6"/>
  <c r="F158" i="3"/>
  <c r="V158" i="3" s="1"/>
  <c r="H158" i="6"/>
  <c r="F159" i="3"/>
  <c r="V159" i="3" s="1"/>
  <c r="F160" i="3"/>
  <c r="V160" i="3" s="1"/>
  <c r="H159" i="6"/>
  <c r="F161" i="3"/>
  <c r="V161" i="3" s="1"/>
  <c r="H160" i="6"/>
  <c r="H161" i="6"/>
  <c r="F162" i="3"/>
  <c r="V162" i="3" s="1"/>
  <c r="H162" i="6"/>
  <c r="F163" i="3"/>
  <c r="V163" i="3" s="1"/>
  <c r="H163" i="6"/>
  <c r="F164" i="3"/>
  <c r="V164" i="3" s="1"/>
  <c r="H164" i="6"/>
  <c r="F165" i="3"/>
  <c r="V165" i="3" s="1"/>
  <c r="H165" i="6"/>
  <c r="F166" i="3"/>
  <c r="V166" i="3" s="1"/>
  <c r="H166" i="6"/>
  <c r="F167" i="3"/>
  <c r="V167" i="3" s="1"/>
  <c r="F168" i="3"/>
  <c r="V168" i="3" s="1"/>
  <c r="H167" i="6"/>
  <c r="H168" i="6"/>
  <c r="F169" i="3"/>
  <c r="V169" i="3" s="1"/>
  <c r="F170" i="3"/>
  <c r="V170" i="3" s="1"/>
  <c r="H169" i="6"/>
  <c r="F171" i="3"/>
  <c r="V171" i="3" s="1"/>
  <c r="H170" i="6"/>
  <c r="H171" i="6"/>
  <c r="F172" i="3"/>
  <c r="V172" i="3" s="1"/>
  <c r="H172" i="6"/>
  <c r="F173" i="3"/>
  <c r="V173" i="3" s="1"/>
  <c r="H173" i="6"/>
  <c r="F174" i="3"/>
  <c r="V174" i="3" s="1"/>
  <c r="F175" i="3"/>
  <c r="V175" i="3" s="1"/>
  <c r="H174" i="6"/>
  <c r="H175" i="6"/>
  <c r="F176" i="3"/>
  <c r="V176" i="3" s="1"/>
  <c r="F177" i="3"/>
  <c r="V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H149" i="6"/>
  <c r="H151" i="6"/>
  <c r="F152" i="3"/>
  <c r="V152" i="3" s="1"/>
  <c r="F151" i="3"/>
  <c r="V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B186" i="6" l="1"/>
  <c r="B188" i="3"/>
  <c r="C188" i="3" s="1"/>
  <c r="F3" i="7"/>
  <c r="B187" i="3"/>
  <c r="C187" i="3" s="1"/>
  <c r="F6" i="7"/>
  <c r="F15" i="7"/>
  <c r="F10" i="7"/>
  <c r="F4" i="7"/>
  <c r="F7" i="7"/>
  <c r="F8" i="7"/>
  <c r="F11" i="7"/>
  <c r="V38" i="3"/>
  <c r="B184" i="3"/>
  <c r="C184" i="3" s="1"/>
  <c r="AQ65" i="5"/>
  <c r="T65" i="5" s="1"/>
  <c r="AQ67" i="5"/>
  <c r="T67" i="5" s="1"/>
  <c r="AQ69" i="5"/>
  <c r="T69" i="5" s="1"/>
  <c r="F16" i="7"/>
  <c r="AQ96" i="5"/>
  <c r="T96" i="5" s="1"/>
  <c r="AQ99" i="5"/>
  <c r="T99" i="5" s="1"/>
  <c r="AQ101" i="5"/>
  <c r="T101" i="5" s="1"/>
  <c r="AQ3" i="5"/>
  <c r="T3" i="5" s="1"/>
  <c r="AQ4" i="5"/>
  <c r="T4" i="5" s="1"/>
  <c r="AQ5" i="5"/>
  <c r="T5" i="5" s="1"/>
  <c r="AQ6" i="5"/>
  <c r="T6" i="5" s="1"/>
  <c r="AQ7" i="5"/>
  <c r="T7" i="5" s="1"/>
  <c r="AQ8" i="5"/>
  <c r="T8" i="5" s="1"/>
  <c r="AQ9" i="5"/>
  <c r="T9" i="5" s="1"/>
  <c r="AQ10" i="5"/>
  <c r="T10" i="5" s="1"/>
  <c r="AQ11" i="5"/>
  <c r="T11" i="5" s="1"/>
  <c r="AQ12" i="5"/>
  <c r="T12" i="5" s="1"/>
  <c r="AQ13" i="5"/>
  <c r="T13" i="5" s="1"/>
  <c r="AQ14" i="5"/>
  <c r="T14" i="5" s="1"/>
  <c r="AQ15" i="5"/>
  <c r="T15" i="5" s="1"/>
  <c r="AQ16" i="5"/>
  <c r="T16" i="5" s="1"/>
  <c r="AQ17" i="5"/>
  <c r="T17" i="5" s="1"/>
  <c r="AQ18" i="5"/>
  <c r="T18" i="5" s="1"/>
  <c r="AQ19" i="5"/>
  <c r="T19" i="5" s="1"/>
  <c r="AQ20" i="5"/>
  <c r="T20" i="5" s="1"/>
  <c r="AQ21" i="5"/>
  <c r="T21" i="5" s="1"/>
  <c r="AQ22" i="5"/>
  <c r="T22" i="5" s="1"/>
  <c r="AQ23" i="5"/>
  <c r="T23" i="5" s="1"/>
  <c r="AQ24" i="5"/>
  <c r="T24" i="5" s="1"/>
  <c r="AQ25" i="5"/>
  <c r="T25" i="5" s="1"/>
  <c r="AQ26" i="5"/>
  <c r="T26" i="5" s="1"/>
  <c r="AQ27" i="5"/>
  <c r="T27" i="5" s="1"/>
  <c r="AQ28" i="5"/>
  <c r="T28" i="5" s="1"/>
  <c r="AQ29" i="5"/>
  <c r="T29" i="5" s="1"/>
  <c r="AQ30" i="5"/>
  <c r="T30" i="5" s="1"/>
  <c r="AQ31" i="5"/>
  <c r="T31" i="5" s="1"/>
  <c r="AQ32" i="5"/>
  <c r="T32" i="5" s="1"/>
  <c r="AQ33" i="5"/>
  <c r="T33" i="5" s="1"/>
  <c r="AQ34" i="5"/>
  <c r="T34" i="5" s="1"/>
  <c r="AQ35" i="5"/>
  <c r="T35" i="5" s="1"/>
  <c r="AQ36" i="5"/>
  <c r="T36" i="5" s="1"/>
  <c r="AQ37" i="5"/>
  <c r="T37" i="5" s="1"/>
  <c r="AQ38" i="5"/>
  <c r="T38" i="5" s="1"/>
  <c r="AQ39" i="5"/>
  <c r="T39" i="5" s="1"/>
  <c r="AQ40" i="5"/>
  <c r="T40" i="5" s="1"/>
  <c r="AQ41" i="5"/>
  <c r="T41" i="5" s="1"/>
  <c r="AQ42" i="5"/>
  <c r="T42" i="5" s="1"/>
  <c r="AQ43" i="5"/>
  <c r="T43" i="5" s="1"/>
  <c r="AQ44" i="5"/>
  <c r="T44" i="5" s="1"/>
  <c r="AQ45" i="5"/>
  <c r="T45" i="5" s="1"/>
  <c r="AQ46" i="5"/>
  <c r="T46" i="5" s="1"/>
  <c r="AQ47" i="5"/>
  <c r="T47" i="5" s="1"/>
  <c r="AQ48" i="5"/>
  <c r="T48" i="5" s="1"/>
  <c r="AQ49" i="5"/>
  <c r="T49" i="5" s="1"/>
  <c r="AQ50" i="5"/>
  <c r="T50" i="5" s="1"/>
  <c r="AQ51" i="5"/>
  <c r="T51" i="5" s="1"/>
  <c r="AQ52" i="5"/>
  <c r="T52" i="5" s="1"/>
  <c r="AQ53" i="5"/>
  <c r="T53" i="5" s="1"/>
  <c r="AQ54" i="5"/>
  <c r="T54" i="5" s="1"/>
  <c r="AQ55" i="5"/>
  <c r="T55" i="5" s="1"/>
  <c r="AQ56" i="5"/>
  <c r="T56" i="5" s="1"/>
  <c r="AQ57" i="5"/>
  <c r="T57" i="5" s="1"/>
  <c r="AQ58" i="5"/>
  <c r="T58" i="5" s="1"/>
  <c r="AQ59" i="5"/>
  <c r="T59" i="5" s="1"/>
  <c r="AQ60" i="5"/>
  <c r="T60" i="5" s="1"/>
  <c r="AQ61" i="5"/>
  <c r="T61" i="5" s="1"/>
  <c r="AQ62" i="5"/>
  <c r="T62" i="5" s="1"/>
  <c r="AQ63" i="5"/>
  <c r="T63" i="5" s="1"/>
  <c r="AQ64" i="5"/>
  <c r="T64" i="5" s="1"/>
  <c r="AQ102" i="5"/>
  <c r="T102" i="5" s="1"/>
  <c r="AQ103" i="5"/>
  <c r="T103" i="5" s="1"/>
  <c r="AQ104" i="5"/>
  <c r="T104" i="5" s="1"/>
  <c r="AQ105" i="5"/>
  <c r="T105" i="5" s="1"/>
  <c r="AQ106" i="5"/>
  <c r="T106" i="5" s="1"/>
  <c r="AQ107" i="5"/>
  <c r="T107" i="5" s="1"/>
  <c r="AQ108" i="5"/>
  <c r="T108" i="5" s="1"/>
  <c r="AQ109" i="5"/>
  <c r="T109" i="5" s="1"/>
  <c r="AQ110" i="5"/>
  <c r="T110" i="5" s="1"/>
  <c r="AQ111" i="5"/>
  <c r="T111" i="5" s="1"/>
  <c r="AQ112" i="5"/>
  <c r="T112" i="5" s="1"/>
  <c r="AQ113" i="5"/>
  <c r="T113" i="5" s="1"/>
  <c r="AQ114" i="5"/>
  <c r="T114" i="5" s="1"/>
  <c r="AQ115" i="5"/>
  <c r="T115" i="5" s="1"/>
  <c r="AQ116" i="5"/>
  <c r="T116" i="5" s="1"/>
  <c r="AQ117" i="5"/>
  <c r="T117" i="5" s="1"/>
  <c r="AQ118" i="5"/>
  <c r="T118" i="5" s="1"/>
  <c r="AQ119" i="5"/>
  <c r="T119" i="5" s="1"/>
  <c r="AQ120" i="5"/>
  <c r="T120" i="5" s="1"/>
  <c r="AQ121" i="5"/>
  <c r="T121" i="5" s="1"/>
  <c r="AQ122" i="5"/>
  <c r="T122" i="5" s="1"/>
  <c r="AQ123" i="5"/>
  <c r="T123" i="5" s="1"/>
  <c r="AQ124" i="5"/>
  <c r="T124" i="5" s="1"/>
  <c r="AQ125" i="5"/>
  <c r="T125" i="5" s="1"/>
  <c r="AQ126" i="5"/>
  <c r="T126" i="5" s="1"/>
  <c r="AQ127" i="5"/>
  <c r="T127" i="5" s="1"/>
  <c r="AQ128" i="5"/>
  <c r="T128" i="5" s="1"/>
  <c r="AQ129" i="5"/>
  <c r="T129" i="5" s="1"/>
  <c r="AQ130" i="5"/>
  <c r="T130" i="5" s="1"/>
  <c r="AQ131" i="5"/>
  <c r="T131" i="5" s="1"/>
  <c r="AQ132" i="5"/>
  <c r="T132" i="5" s="1"/>
  <c r="AQ133" i="5"/>
  <c r="T133" i="5" s="1"/>
  <c r="AQ134" i="5"/>
  <c r="T134" i="5" s="1"/>
  <c r="AQ135" i="5"/>
  <c r="T135" i="5" s="1"/>
  <c r="AQ136" i="5"/>
  <c r="T136" i="5" s="1"/>
  <c r="AQ137" i="5"/>
  <c r="T137" i="5" s="1"/>
  <c r="AQ138" i="5"/>
  <c r="T138" i="5" s="1"/>
  <c r="AQ139" i="5"/>
  <c r="T139" i="5" s="1"/>
  <c r="AQ140" i="5"/>
  <c r="T140" i="5" s="1"/>
  <c r="AQ141" i="5"/>
  <c r="T141" i="5" s="1"/>
  <c r="AQ142" i="5"/>
  <c r="T142" i="5" s="1"/>
  <c r="AQ143" i="5"/>
  <c r="T143" i="5" s="1"/>
  <c r="AQ144" i="5"/>
  <c r="T144" i="5" s="1"/>
  <c r="AQ145" i="5"/>
  <c r="T145" i="5" s="1"/>
  <c r="AQ146" i="5"/>
  <c r="T146" i="5" s="1"/>
  <c r="AQ147" i="5"/>
  <c r="T147" i="5" s="1"/>
  <c r="AQ148" i="5"/>
  <c r="T148" i="5" s="1"/>
  <c r="AQ152" i="5"/>
  <c r="T152" i="5" s="1"/>
  <c r="AQ153" i="5"/>
  <c r="T153" i="5" s="1"/>
  <c r="AQ154" i="5"/>
  <c r="T154" i="5" s="1"/>
  <c r="AQ155" i="5"/>
  <c r="T155" i="5" s="1"/>
  <c r="AQ156" i="5"/>
  <c r="T156" i="5" s="1"/>
  <c r="AQ157" i="5"/>
  <c r="T157" i="5" s="1"/>
  <c r="AQ158" i="5"/>
  <c r="T158" i="5" s="1"/>
  <c r="AQ159" i="5"/>
  <c r="T159" i="5" s="1"/>
  <c r="AQ160" i="5"/>
  <c r="T160" i="5" s="1"/>
  <c r="AQ161" i="5"/>
  <c r="T161" i="5" s="1"/>
  <c r="AQ162" i="5"/>
  <c r="T162" i="5" s="1"/>
  <c r="AQ163" i="5"/>
  <c r="T163" i="5" s="1"/>
  <c r="AQ164" i="5"/>
  <c r="T164" i="5" s="1"/>
  <c r="AQ165" i="5"/>
  <c r="T165" i="5" s="1"/>
  <c r="AQ166" i="5"/>
  <c r="T166" i="5" s="1"/>
  <c r="AQ167" i="5"/>
  <c r="T167" i="5" s="1"/>
  <c r="AQ168" i="5"/>
  <c r="T168" i="5" s="1"/>
  <c r="AQ169" i="5"/>
  <c r="T169" i="5" s="1"/>
  <c r="AQ170" i="5"/>
  <c r="T170" i="5" s="1"/>
  <c r="AQ171" i="5"/>
  <c r="T171" i="5" s="1"/>
  <c r="AQ172" i="5"/>
  <c r="T172" i="5" s="1"/>
  <c r="AQ173" i="5"/>
  <c r="T173" i="5" s="1"/>
  <c r="AQ174" i="5"/>
  <c r="T174" i="5" s="1"/>
  <c r="AQ175" i="5"/>
  <c r="T175" i="5" s="1"/>
  <c r="AQ176" i="5"/>
  <c r="T176" i="5" s="1"/>
  <c r="AQ66" i="5"/>
  <c r="T66" i="5" s="1"/>
  <c r="AQ68" i="5"/>
  <c r="T68" i="5" s="1"/>
  <c r="F5" i="7"/>
  <c r="AQ70" i="5"/>
  <c r="T70" i="5" s="1"/>
  <c r="AQ71" i="5"/>
  <c r="T71" i="5" s="1"/>
  <c r="AQ73" i="5"/>
  <c r="T73" i="5" s="1"/>
  <c r="AQ75" i="5"/>
  <c r="T75" i="5" s="1"/>
  <c r="AQ77" i="5"/>
  <c r="T77" i="5" s="1"/>
  <c r="F14" i="7"/>
  <c r="AQ79" i="5"/>
  <c r="T79" i="5" s="1"/>
  <c r="AQ81" i="5"/>
  <c r="T81" i="5" s="1"/>
  <c r="AQ84" i="5"/>
  <c r="T84" i="5" s="1"/>
  <c r="F9" i="7"/>
  <c r="AQ86" i="5"/>
  <c r="T86" i="5" s="1"/>
  <c r="AQ87" i="5"/>
  <c r="T87" i="5" s="1"/>
  <c r="AQ90" i="5"/>
  <c r="T90" i="5" s="1"/>
  <c r="AQ92" i="5"/>
  <c r="T92" i="5" s="1"/>
  <c r="AQ94" i="5"/>
  <c r="T94" i="5" s="1"/>
  <c r="AQ97" i="5"/>
  <c r="T97" i="5" s="1"/>
  <c r="AQ100" i="5"/>
  <c r="T100" i="5" s="1"/>
  <c r="AQ72" i="5"/>
  <c r="T72" i="5" s="1"/>
  <c r="AQ74" i="5"/>
  <c r="T74" i="5" s="1"/>
  <c r="AQ76" i="5"/>
  <c r="T76" i="5" s="1"/>
  <c r="AQ78" i="5"/>
  <c r="T78" i="5" s="1"/>
  <c r="AQ80" i="5"/>
  <c r="T80" i="5" s="1"/>
  <c r="AQ82" i="5"/>
  <c r="T82" i="5" s="1"/>
  <c r="AQ83" i="5"/>
  <c r="T83" i="5" s="1"/>
  <c r="AQ85" i="5"/>
  <c r="T85" i="5" s="1"/>
  <c r="AQ88" i="5"/>
  <c r="T88" i="5" s="1"/>
  <c r="AQ89" i="5"/>
  <c r="T89" i="5" s="1"/>
  <c r="AQ91" i="5"/>
  <c r="T91" i="5" s="1"/>
  <c r="AQ93" i="5"/>
  <c r="T93" i="5" s="1"/>
  <c r="AQ95" i="5"/>
  <c r="T95" i="5" s="1"/>
  <c r="AQ98" i="5"/>
  <c r="T98" i="5" s="1"/>
  <c r="AQ149" i="5"/>
  <c r="T149" i="5" s="1"/>
  <c r="AQ151" i="5"/>
  <c r="T151" i="5" s="1"/>
  <c r="AQ150" i="5"/>
  <c r="T150" i="5" s="1"/>
  <c r="B3" i="7"/>
  <c r="D13" i="7" l="1"/>
  <c r="Q166" i="3"/>
  <c r="Z133" i="3"/>
  <c r="AB133" i="3" s="1"/>
  <c r="H3" i="7"/>
  <c r="Z130" i="3"/>
  <c r="AB130" i="3" s="1"/>
  <c r="Z61" i="3"/>
  <c r="AB61" i="3" s="1"/>
  <c r="S172" i="3"/>
  <c r="S40" i="3"/>
  <c r="S23" i="3"/>
  <c r="S7" i="3"/>
  <c r="Q130" i="3"/>
  <c r="Q99" i="3"/>
  <c r="Q26" i="3"/>
  <c r="Q8" i="3"/>
  <c r="AA163" i="3"/>
  <c r="AA160" i="3"/>
  <c r="AA158" i="3"/>
  <c r="AA146" i="3"/>
  <c r="AA135" i="3"/>
  <c r="AA40" i="3"/>
  <c r="AA32" i="3"/>
  <c r="AA24" i="3"/>
  <c r="AA17" i="3"/>
  <c r="Q61" i="3"/>
  <c r="Q37" i="3"/>
  <c r="Q25" i="3"/>
  <c r="Q5" i="3"/>
  <c r="AA147" i="3"/>
  <c r="AA138" i="3"/>
  <c r="AA120" i="3"/>
  <c r="AA108" i="3"/>
  <c r="R48" i="3"/>
  <c r="R56" i="3"/>
  <c r="R75" i="3"/>
  <c r="Z30" i="3"/>
  <c r="AB30" i="3" s="1"/>
  <c r="R139" i="3"/>
  <c r="R143" i="3"/>
  <c r="R152" i="3"/>
  <c r="R155" i="3"/>
  <c r="R159" i="3"/>
  <c r="R164" i="3"/>
  <c r="R171" i="3"/>
  <c r="R174" i="3"/>
  <c r="R170" i="3"/>
  <c r="R138" i="3"/>
  <c r="R106" i="3"/>
  <c r="R84" i="3"/>
  <c r="R69" i="3"/>
  <c r="R54" i="3"/>
  <c r="R28" i="3"/>
  <c r="R9" i="3"/>
  <c r="R146" i="3"/>
  <c r="R107" i="3"/>
  <c r="R91" i="3"/>
  <c r="R59" i="3"/>
  <c r="R42" i="3"/>
  <c r="R4" i="3"/>
  <c r="S157" i="3"/>
  <c r="S177" i="3"/>
  <c r="R173" i="3"/>
  <c r="S159" i="3"/>
  <c r="S156" i="3"/>
  <c r="S145" i="3"/>
  <c r="S142" i="3"/>
  <c r="S135" i="3"/>
  <c r="S131" i="3"/>
  <c r="S129" i="3"/>
  <c r="S113" i="3"/>
  <c r="S110" i="3"/>
  <c r="S107" i="3"/>
  <c r="S100" i="3"/>
  <c r="S97" i="3"/>
  <c r="S95" i="3"/>
  <c r="S86" i="3"/>
  <c r="S101" i="3"/>
  <c r="S85" i="3"/>
  <c r="S80" i="3"/>
  <c r="S78" i="3"/>
  <c r="S76" i="3"/>
  <c r="S74" i="3"/>
  <c r="S71" i="3"/>
  <c r="S69" i="3"/>
  <c r="S67" i="3"/>
  <c r="S63" i="3"/>
  <c r="S61" i="3"/>
  <c r="S59" i="3"/>
  <c r="S55" i="3"/>
  <c r="S53" i="3"/>
  <c r="S51" i="3"/>
  <c r="S50" i="3"/>
  <c r="S48" i="3"/>
  <c r="S43" i="3"/>
  <c r="S41" i="3"/>
  <c r="S39" i="3"/>
  <c r="S37" i="3"/>
  <c r="S31" i="3"/>
  <c r="S29" i="3"/>
  <c r="S27" i="3"/>
  <c r="S25" i="3"/>
  <c r="S22" i="3"/>
  <c r="S20" i="3"/>
  <c r="S18" i="3"/>
  <c r="S15" i="3"/>
  <c r="S13" i="3"/>
  <c r="S11" i="3"/>
  <c r="S9" i="3"/>
  <c r="S6" i="3"/>
  <c r="S5" i="3"/>
  <c r="Q174" i="3"/>
  <c r="Q172" i="3"/>
  <c r="Q167" i="3"/>
  <c r="P166" i="3"/>
  <c r="P165" i="3"/>
  <c r="P163" i="3"/>
  <c r="P159" i="3"/>
  <c r="P158" i="3"/>
  <c r="Q149" i="3"/>
  <c r="Q147" i="3"/>
  <c r="P145" i="3"/>
  <c r="Q144" i="3"/>
  <c r="Q142" i="3"/>
  <c r="Q140" i="3"/>
  <c r="Q138" i="3"/>
  <c r="Q137" i="3"/>
  <c r="Q135" i="3"/>
  <c r="P132" i="3"/>
  <c r="P131" i="3"/>
  <c r="Q129" i="3"/>
  <c r="Q127" i="3"/>
  <c r="P126" i="3"/>
  <c r="P124" i="3"/>
  <c r="P123" i="3"/>
  <c r="P121" i="3"/>
  <c r="Q117" i="3"/>
  <c r="Q115" i="3"/>
  <c r="Q87" i="3"/>
  <c r="Z4" i="3"/>
  <c r="R67" i="3"/>
  <c r="Z32" i="3"/>
  <c r="Z46" i="3"/>
  <c r="Z99" i="3"/>
  <c r="Z123" i="3"/>
  <c r="Z166" i="3"/>
  <c r="AB166" i="3" s="1"/>
  <c r="P88" i="3"/>
  <c r="Q77" i="3"/>
  <c r="P69" i="3"/>
  <c r="G11" i="7"/>
  <c r="R110" i="3"/>
  <c r="R156" i="3"/>
  <c r="AK147" i="3"/>
  <c r="Z9" i="3"/>
  <c r="AB9" i="3" s="1"/>
  <c r="AK142" i="3"/>
  <c r="AK131" i="3"/>
  <c r="Q9" i="3"/>
  <c r="AA150" i="3"/>
  <c r="AA144" i="3"/>
  <c r="AA142" i="3"/>
  <c r="AA139" i="3"/>
  <c r="AA131" i="3"/>
  <c r="AA78" i="3"/>
  <c r="AA63" i="3"/>
  <c r="Q66"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A47" i="3"/>
  <c r="AK29" i="3"/>
  <c r="P134" i="3"/>
  <c r="Q80" i="3"/>
  <c r="P37" i="3"/>
  <c r="R64" i="3"/>
  <c r="R104" i="3"/>
  <c r="Z40" i="3"/>
  <c r="AA37" i="3"/>
  <c r="AA18" i="3"/>
  <c r="AK10" i="3"/>
  <c r="AA83" i="3"/>
  <c r="Z27" i="3"/>
  <c r="AB27" i="3" s="1"/>
  <c r="Z148" i="3"/>
  <c r="AB148" i="3" s="1"/>
  <c r="Z161" i="3"/>
  <c r="AB161" i="3" s="1"/>
  <c r="AA93" i="3"/>
  <c r="AK165" i="3"/>
  <c r="AA33" i="3"/>
  <c r="AA55" i="3"/>
  <c r="H13" i="7"/>
  <c r="AA89" i="3"/>
  <c r="Z8" i="3"/>
  <c r="AK43" i="3"/>
  <c r="AK33" i="3"/>
  <c r="Z127" i="3"/>
  <c r="S111" i="3"/>
  <c r="Q49" i="3"/>
  <c r="P17" i="3"/>
  <c r="AK26" i="3"/>
  <c r="C3" i="7"/>
  <c r="Z121" i="3"/>
  <c r="Z145" i="3"/>
  <c r="R78" i="3"/>
  <c r="R86" i="3"/>
  <c r="R113" i="3"/>
  <c r="AK162" i="3"/>
  <c r="AK160" i="3"/>
  <c r="AK159" i="3"/>
  <c r="AK158" i="3"/>
  <c r="AK153" i="3"/>
  <c r="AA52" i="3"/>
  <c r="AK95" i="3"/>
  <c r="AK30" i="3"/>
  <c r="AK19" i="3"/>
  <c r="H4" i="7"/>
  <c r="H6" i="7"/>
  <c r="R45" i="3"/>
  <c r="Z51" i="3"/>
  <c r="AB51" i="3" s="1"/>
  <c r="Z71" i="3"/>
  <c r="AB71" i="3" s="1"/>
  <c r="Z108" i="3"/>
  <c r="AB108" i="3" s="1"/>
  <c r="Z131" i="3"/>
  <c r="Z157" i="3"/>
  <c r="R105" i="3"/>
  <c r="AK25" i="3"/>
  <c r="G6" i="7"/>
  <c r="G12" i="7"/>
  <c r="R76" i="3"/>
  <c r="Z15" i="3"/>
  <c r="Z52" i="3"/>
  <c r="Z70" i="3"/>
  <c r="Z88" i="3"/>
  <c r="Z118" i="3"/>
  <c r="R148" i="3"/>
  <c r="S161" i="3"/>
  <c r="AK150" i="3"/>
  <c r="AK149" i="3"/>
  <c r="Z18" i="3"/>
  <c r="Z87" i="3"/>
  <c r="AB87" i="3" s="1"/>
  <c r="AA50" i="3"/>
  <c r="AK139" i="3"/>
  <c r="Q14" i="3"/>
  <c r="Q10" i="3"/>
  <c r="AA165" i="3"/>
  <c r="AA129" i="3"/>
  <c r="AA69" i="3"/>
  <c r="P54" i="3"/>
  <c r="Q32" i="3"/>
  <c r="D11" i="7"/>
  <c r="G8" i="7"/>
  <c r="R44" i="3"/>
  <c r="R63" i="3"/>
  <c r="Z12" i="3"/>
  <c r="Z42" i="3"/>
  <c r="Z67" i="3"/>
  <c r="Z100" i="3"/>
  <c r="Z115" i="3"/>
  <c r="Z158" i="3"/>
  <c r="AB158" i="3" s="1"/>
  <c r="AK96" i="3"/>
  <c r="AK88" i="3"/>
  <c r="AK82" i="3"/>
  <c r="AK80" i="3"/>
  <c r="AK7" i="3"/>
  <c r="Z17" i="3"/>
  <c r="AB17" i="3" s="1"/>
  <c r="Z29" i="3"/>
  <c r="AB42" i="3"/>
  <c r="Z66" i="3"/>
  <c r="Z77" i="3"/>
  <c r="AB77" i="3" s="1"/>
  <c r="Z86" i="3"/>
  <c r="AB86" i="3" s="1"/>
  <c r="Z95" i="3"/>
  <c r="Z124" i="3"/>
  <c r="Z139" i="3"/>
  <c r="AA88" i="3"/>
  <c r="AA132" i="3"/>
  <c r="AK136" i="3"/>
  <c r="AK90" i="3"/>
  <c r="AK65" i="3"/>
  <c r="AK37" i="3"/>
  <c r="AK174" i="3"/>
  <c r="Z122" i="3"/>
  <c r="AB122" i="3" s="1"/>
  <c r="Z105" i="3"/>
  <c r="Z74" i="3"/>
  <c r="Z49" i="3"/>
  <c r="Z28" i="3"/>
  <c r="Z39" i="3"/>
  <c r="AB39" i="3" s="1"/>
  <c r="AA6" i="3"/>
  <c r="AK146" i="3"/>
  <c r="AK50" i="3"/>
  <c r="AK126" i="3"/>
  <c r="AK122" i="3"/>
  <c r="AK133" i="3"/>
  <c r="AK68" i="3"/>
  <c r="H7" i="7"/>
  <c r="Z50" i="3"/>
  <c r="AA110" i="3"/>
  <c r="Z101" i="3"/>
  <c r="AB101" i="3" s="1"/>
  <c r="AK79" i="3"/>
  <c r="AL79" i="3" s="1"/>
  <c r="C78" i="6" s="1"/>
  <c r="AK54" i="3"/>
  <c r="AK52" i="3"/>
  <c r="AA9" i="3"/>
  <c r="R23" i="3"/>
  <c r="R25"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AA102" i="3"/>
  <c r="AA53"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R99" i="3"/>
  <c r="R131" i="3"/>
  <c r="R163" i="3"/>
  <c r="S176" i="3"/>
  <c r="S106" i="3"/>
  <c r="S99" i="3"/>
  <c r="S103" i="3"/>
  <c r="AK8" i="3"/>
  <c r="AK12" i="3"/>
  <c r="AK34" i="3"/>
  <c r="AK42" i="3"/>
  <c r="AK56" i="3"/>
  <c r="AL56" i="3" s="1"/>
  <c r="C55" i="6" s="1"/>
  <c r="AK66" i="3"/>
  <c r="AK69" i="3"/>
  <c r="AK92" i="3"/>
  <c r="AK117" i="3"/>
  <c r="AK121" i="3"/>
  <c r="AK127" i="3"/>
  <c r="AK145" i="3"/>
  <c r="AL145" i="3" s="1"/>
  <c r="C144" i="6" s="1"/>
  <c r="AK163" i="3"/>
  <c r="AK166" i="3"/>
  <c r="AK175" i="3"/>
  <c r="R117" i="3"/>
  <c r="R172" i="3"/>
  <c r="R41" i="3"/>
  <c r="R103" i="3"/>
  <c r="S173" i="3"/>
  <c r="S170" i="3"/>
  <c r="S155" i="3"/>
  <c r="S146" i="3"/>
  <c r="S130" i="3"/>
  <c r="S121" i="3"/>
  <c r="S114" i="3"/>
  <c r="S96" i="3"/>
  <c r="S60" i="3"/>
  <c r="S54" i="3"/>
  <c r="S44" i="3"/>
  <c r="S30" i="3"/>
  <c r="S24" i="3"/>
  <c r="S10" i="3"/>
  <c r="S8" i="3"/>
  <c r="S4" i="3"/>
  <c r="Q165" i="3"/>
  <c r="Q161" i="3"/>
  <c r="P160" i="3"/>
  <c r="Q155" i="3"/>
  <c r="Q154" i="3"/>
  <c r="Q153" i="3"/>
  <c r="Q151" i="3"/>
  <c r="Q145" i="3"/>
  <c r="Q133" i="3"/>
  <c r="P130" i="3"/>
  <c r="P128" i="3"/>
  <c r="Q125" i="3"/>
  <c r="Q123" i="3"/>
  <c r="Q120" i="3"/>
  <c r="P119" i="3"/>
  <c r="P117" i="3"/>
  <c r="P115" i="3"/>
  <c r="Q113" i="3"/>
  <c r="P112" i="3"/>
  <c r="Q109" i="3"/>
  <c r="Q105" i="3"/>
  <c r="Q103" i="3"/>
  <c r="P102" i="3"/>
  <c r="P100" i="3"/>
  <c r="Q96" i="3"/>
  <c r="Q94" i="3"/>
  <c r="P92" i="3"/>
  <c r="P87" i="3"/>
  <c r="P83" i="3"/>
  <c r="Q73" i="3"/>
  <c r="P71" i="3"/>
  <c r="P64" i="3"/>
  <c r="P56" i="3"/>
  <c r="Q39" i="3"/>
  <c r="Q36" i="3"/>
  <c r="Q21" i="3"/>
  <c r="P19" i="3"/>
  <c r="P16" i="3"/>
  <c r="P12" i="3"/>
  <c r="AA66" i="3"/>
  <c r="P65" i="3"/>
  <c r="Q56" i="3"/>
  <c r="D5" i="7"/>
  <c r="R38" i="3"/>
  <c r="Z173" i="3"/>
  <c r="AB173" i="3" s="1"/>
  <c r="R83" i="3"/>
  <c r="R70" i="3"/>
  <c r="R40" i="3"/>
  <c r="S90" i="3"/>
  <c r="AK86" i="3"/>
  <c r="AK60" i="3"/>
  <c r="Z20" i="3"/>
  <c r="AB20" i="3" s="1"/>
  <c r="Z62" i="3"/>
  <c r="AB62" i="3" s="1"/>
  <c r="Z69" i="3"/>
  <c r="AB69" i="3" s="1"/>
  <c r="Z80" i="3"/>
  <c r="AB80" i="3"/>
  <c r="Z92" i="3"/>
  <c r="Z114" i="3"/>
  <c r="AB114" i="3"/>
  <c r="Z125" i="3"/>
  <c r="AB125" i="3"/>
  <c r="Z153" i="3"/>
  <c r="AB153" i="3" s="1"/>
  <c r="Z174" i="3"/>
  <c r="AA168" i="3"/>
  <c r="Z90" i="3"/>
  <c r="AB90" i="3" s="1"/>
  <c r="AK76" i="3"/>
  <c r="AK58" i="3"/>
  <c r="AK177" i="3"/>
  <c r="AL177" i="3" s="1"/>
  <c r="C176" i="6" s="1"/>
  <c r="Z14" i="3"/>
  <c r="AB14" i="3" s="1"/>
  <c r="Z25" i="3"/>
  <c r="AB25" i="3" s="1"/>
  <c r="AA4" i="3"/>
  <c r="AK151" i="3"/>
  <c r="Z73" i="3"/>
  <c r="AB73" i="3" s="1"/>
  <c r="Z89" i="3"/>
  <c r="Z129" i="3"/>
  <c r="AB129" i="3"/>
  <c r="Z59" i="3"/>
  <c r="AB59" i="3" s="1"/>
  <c r="AK53" i="3"/>
  <c r="P72" i="3"/>
  <c r="S158" i="3"/>
  <c r="Z117" i="3"/>
  <c r="AB117" i="3" s="1"/>
  <c r="AA115" i="3"/>
  <c r="AK75" i="3"/>
  <c r="AK47" i="3"/>
  <c r="AA15" i="3"/>
  <c r="AA7" i="3"/>
  <c r="D6" i="7"/>
  <c r="R6" i="3"/>
  <c r="R7" i="3"/>
  <c r="R8" i="3"/>
  <c r="R11" i="3"/>
  <c r="R12" i="3"/>
  <c r="R13" i="3"/>
  <c r="R14" i="3"/>
  <c r="R19" i="3"/>
  <c r="R20" i="3"/>
  <c r="R22" i="3"/>
  <c r="R24" i="3"/>
  <c r="R27" i="3"/>
  <c r="AK70" i="3"/>
  <c r="AK83" i="3"/>
  <c r="Z119" i="3"/>
  <c r="AB119" i="3" s="1"/>
  <c r="Z170" i="3"/>
  <c r="AB170" i="3" s="1"/>
  <c r="AA174" i="3"/>
  <c r="AK176" i="3"/>
  <c r="Z72" i="3"/>
  <c r="AB72" i="3" s="1"/>
  <c r="Z155" i="3"/>
  <c r="AB155" i="3" s="1"/>
  <c r="Z175" i="3"/>
  <c r="AB175" i="3" s="1"/>
  <c r="Z64" i="3"/>
  <c r="S148" i="3"/>
  <c r="AK167" i="3"/>
  <c r="P18" i="3"/>
  <c r="P10" i="3"/>
  <c r="Q7" i="3"/>
  <c r="AA161" i="3"/>
  <c r="AA145" i="3"/>
  <c r="AA143" i="3"/>
  <c r="AA127" i="3"/>
  <c r="AA44" i="3"/>
  <c r="AA38" i="3"/>
  <c r="AA28" i="3"/>
  <c r="AA27" i="3"/>
  <c r="AA21" i="3"/>
  <c r="AA14" i="3"/>
  <c r="AA13" i="3"/>
  <c r="AA8" i="3"/>
  <c r="D4" i="7"/>
  <c r="AK164" i="3"/>
  <c r="AK144" i="3"/>
  <c r="AK20" i="3"/>
  <c r="C9" i="7"/>
  <c r="R17" i="3"/>
  <c r="S174" i="3"/>
  <c r="S119" i="3"/>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AA176" i="3"/>
  <c r="AA105" i="3"/>
  <c r="AA96" i="3"/>
  <c r="AA114" i="3"/>
  <c r="AA100" i="3"/>
  <c r="Z97" i="3"/>
  <c r="AB97" i="3" s="1"/>
  <c r="Z93" i="3"/>
  <c r="AB93" i="3" s="1"/>
  <c r="AA90" i="3"/>
  <c r="AA48" i="3"/>
  <c r="AA45" i="3"/>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c r="Z78" i="3"/>
  <c r="AB78" i="3" s="1"/>
  <c r="AB94" i="3"/>
  <c r="Z132" i="3"/>
  <c r="AB132" i="3"/>
  <c r="AK51" i="3"/>
  <c r="AK49" i="3"/>
  <c r="AK44" i="3"/>
  <c r="S125" i="3"/>
  <c r="S82" i="3"/>
  <c r="S46" i="3"/>
  <c r="S33" i="3"/>
  <c r="P176" i="3"/>
  <c r="P173" i="3"/>
  <c r="Q139" i="3"/>
  <c r="P133" i="3"/>
  <c r="Q118" i="3"/>
  <c r="P90" i="3"/>
  <c r="P70" i="3"/>
  <c r="P52" i="3"/>
  <c r="P34" i="3"/>
  <c r="P25" i="3"/>
  <c r="R62" i="3"/>
  <c r="S163" i="3"/>
  <c r="S117" i="3"/>
  <c r="R122" i="3"/>
  <c r="AA111" i="3"/>
  <c r="AA81" i="3"/>
  <c r="Z21" i="3"/>
  <c r="AB21" i="3" s="1"/>
  <c r="Z38" i="3"/>
  <c r="AB38" i="3" s="1"/>
  <c r="Z56" i="3"/>
  <c r="AB56" i="3" s="1"/>
  <c r="Z65" i="3"/>
  <c r="AB65" i="3" s="1"/>
  <c r="AK114" i="3"/>
  <c r="AK105" i="3"/>
  <c r="AL105" i="3" s="1"/>
  <c r="C104" i="6" s="1"/>
  <c r="AA94" i="3"/>
  <c r="R36" i="3"/>
  <c r="Q63" i="3"/>
  <c r="R127" i="3"/>
  <c r="S122" i="3"/>
  <c r="AA98" i="3"/>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A5" i="3"/>
  <c r="AK5" i="3"/>
  <c r="Z146" i="3"/>
  <c r="AB146" i="3" s="1"/>
  <c r="AK172" i="3"/>
  <c r="AK143" i="3"/>
  <c r="AK141" i="3"/>
  <c r="AL141" i="3" s="1"/>
  <c r="C140" i="6" s="1"/>
  <c r="AK138" i="3"/>
  <c r="AK107" i="3"/>
  <c r="AK111" i="3"/>
  <c r="AK112" i="3"/>
  <c r="AK13" i="3"/>
  <c r="C5" i="7"/>
  <c r="AA84" i="3"/>
  <c r="AA118" i="3"/>
  <c r="Z91" i="3"/>
  <c r="AB91" i="3" s="1"/>
  <c r="AA61" i="3"/>
  <c r="AK77" i="3"/>
  <c r="AK64" i="3"/>
  <c r="AK31" i="3"/>
  <c r="R130" i="3"/>
  <c r="S57" i="3"/>
  <c r="S35" i="3"/>
  <c r="Q157" i="3"/>
  <c r="P175" i="3"/>
  <c r="Q170" i="3"/>
  <c r="P169" i="3"/>
  <c r="Q159" i="3"/>
  <c r="P155" i="3"/>
  <c r="P153" i="3"/>
  <c r="Q148" i="3"/>
  <c r="Q136" i="3"/>
  <c r="Q128" i="3"/>
  <c r="Q86" i="3"/>
  <c r="Q76" i="3"/>
  <c r="Q64" i="3"/>
  <c r="Q59" i="3"/>
  <c r="Q54" i="3"/>
  <c r="Q29" i="3"/>
  <c r="P20" i="3"/>
  <c r="R123" i="3"/>
  <c r="R160" i="3"/>
  <c r="R161" i="3"/>
  <c r="S165" i="3"/>
  <c r="S141" i="3"/>
  <c r="AA99" i="3"/>
  <c r="R34" i="3"/>
  <c r="R95" i="3"/>
  <c r="R151" i="3"/>
  <c r="R15" i="3"/>
  <c r="S98" i="3"/>
  <c r="AA87" i="3"/>
  <c r="P57" i="3"/>
  <c r="P15" i="3"/>
  <c r="AA175" i="3"/>
  <c r="G13" i="7"/>
  <c r="Z33" i="3"/>
  <c r="Z5" i="3"/>
  <c r="AB33" i="3"/>
  <c r="Q146" i="3"/>
  <c r="Q78" i="3"/>
  <c r="R141" i="3"/>
  <c r="Z19" i="3"/>
  <c r="AB19" i="3" s="1"/>
  <c r="Z168" i="3"/>
  <c r="AA86" i="3"/>
  <c r="Z171" i="3"/>
  <c r="AB171" i="3" s="1"/>
  <c r="AA170" i="3"/>
  <c r="Q143" i="3"/>
  <c r="Q67" i="3"/>
  <c r="Q31" i="3"/>
  <c r="Z57" i="3"/>
  <c r="AB57" i="3" s="1"/>
  <c r="H11" i="7"/>
  <c r="R57" i="3"/>
  <c r="P53" i="3"/>
  <c r="G9" i="7"/>
  <c r="AA57" i="3"/>
  <c r="AC57" i="3" s="1"/>
  <c r="N56" i="6" s="1"/>
  <c r="AK41" i="3"/>
  <c r="AL41" i="3" s="1"/>
  <c r="C40" i="6" s="1"/>
  <c r="Z43" i="3"/>
  <c r="AB43" i="3" s="1"/>
  <c r="R134" i="3"/>
  <c r="R149" i="3"/>
  <c r="P139" i="3"/>
  <c r="P111" i="3"/>
  <c r="P31" i="3"/>
  <c r="P6" i="3"/>
  <c r="AA151" i="3"/>
  <c r="AA68" i="3"/>
  <c r="G17" i="7"/>
  <c r="H8" i="7"/>
  <c r="AK161" i="3"/>
  <c r="AA103" i="3"/>
  <c r="Q74" i="3"/>
  <c r="Q55" i="3"/>
  <c r="P24" i="3"/>
  <c r="AA101" i="3"/>
  <c r="AK36" i="3"/>
  <c r="S149" i="3"/>
  <c r="AK63" i="3"/>
  <c r="AL63" i="3" s="1"/>
  <c r="C62" i="6" s="1"/>
  <c r="R121" i="3"/>
  <c r="R147" i="3"/>
  <c r="S167" i="3"/>
  <c r="S92" i="3"/>
  <c r="H12" i="7"/>
  <c r="Q126" i="3"/>
  <c r="P120" i="3"/>
  <c r="Q85" i="3"/>
  <c r="Q83" i="3"/>
  <c r="Q41" i="3"/>
  <c r="H16" i="7"/>
  <c r="D14" i="7"/>
  <c r="R33" i="3"/>
  <c r="R37" i="3"/>
  <c r="R74" i="3"/>
  <c r="R46" i="3"/>
  <c r="R87" i="3"/>
  <c r="Q81" i="3"/>
  <c r="P61" i="3"/>
  <c r="P58" i="3"/>
  <c r="P46" i="3"/>
  <c r="Q43" i="3"/>
  <c r="P33" i="3"/>
  <c r="P26" i="3"/>
  <c r="P21" i="3"/>
  <c r="Q18" i="3"/>
  <c r="R135" i="3"/>
  <c r="R5" i="3"/>
  <c r="R90" i="3"/>
  <c r="R111" i="3"/>
  <c r="R150" i="3"/>
  <c r="R158" i="3"/>
  <c r="R167" i="3"/>
  <c r="R81" i="3"/>
  <c r="R31" i="3"/>
  <c r="R137" i="3"/>
  <c r="R92" i="3"/>
  <c r="R29" i="3"/>
  <c r="R10" i="3"/>
  <c r="S147" i="3"/>
  <c r="S143" i="3"/>
  <c r="S102" i="3"/>
  <c r="R85" i="3"/>
  <c r="S88" i="3"/>
  <c r="S65" i="3"/>
  <c r="R100" i="3"/>
  <c r="R157" i="3"/>
  <c r="R165" i="3"/>
  <c r="R176" i="3"/>
  <c r="R102" i="3"/>
  <c r="R18" i="3"/>
  <c r="R133" i="3"/>
  <c r="R39" i="3"/>
  <c r="S175" i="3"/>
  <c r="S164" i="3"/>
  <c r="S153" i="3"/>
  <c r="S151" i="3"/>
  <c r="S144" i="3"/>
  <c r="S116" i="3"/>
  <c r="S91" i="3"/>
  <c r="S83" i="3"/>
  <c r="S104" i="3"/>
  <c r="S87" i="3"/>
  <c r="S64" i="3"/>
  <c r="S62" i="3"/>
  <c r="S58" i="3"/>
  <c r="S52" i="3"/>
  <c r="S34" i="3"/>
  <c r="S19" i="3"/>
  <c r="S14" i="3"/>
  <c r="S12" i="3"/>
  <c r="P174" i="3"/>
  <c r="Q173" i="3"/>
  <c r="P172" i="3"/>
  <c r="Q164" i="3"/>
  <c r="Q162" i="3"/>
  <c r="Q156" i="3"/>
  <c r="P147" i="3"/>
  <c r="P144" i="3"/>
  <c r="Q131" i="3"/>
  <c r="P129" i="3"/>
  <c r="Q124" i="3"/>
  <c r="Q121" i="3"/>
  <c r="P116" i="3"/>
  <c r="Q110" i="3"/>
  <c r="P109" i="3"/>
  <c r="P108" i="3"/>
  <c r="Q107" i="3"/>
  <c r="Q106" i="3"/>
  <c r="Q104" i="3"/>
  <c r="P101" i="3"/>
  <c r="P99" i="3"/>
  <c r="Q97" i="3"/>
  <c r="P95" i="3"/>
  <c r="Q93" i="3"/>
  <c r="Q92" i="3"/>
  <c r="Q91" i="3"/>
  <c r="Q89" i="3"/>
  <c r="Q88" i="3"/>
  <c r="P86" i="3"/>
  <c r="P81" i="3"/>
  <c r="Q72" i="3"/>
  <c r="Q70" i="3"/>
  <c r="Q69" i="3"/>
  <c r="Q68" i="3"/>
  <c r="P62" i="3"/>
  <c r="Q45" i="3"/>
  <c r="Q42" i="3"/>
  <c r="P41" i="3"/>
  <c r="Q33" i="3"/>
  <c r="Q28" i="3"/>
  <c r="Q23" i="3"/>
  <c r="P8" i="3"/>
  <c r="AA159" i="3"/>
  <c r="AA134" i="3"/>
  <c r="AA130" i="3"/>
  <c r="AA43" i="3"/>
  <c r="AA19" i="3"/>
  <c r="P66" i="3"/>
  <c r="Q51" i="3"/>
  <c r="Q50" i="3"/>
  <c r="Q24" i="3"/>
  <c r="P22" i="3"/>
  <c r="Q16" i="3"/>
  <c r="Q15" i="3"/>
  <c r="Q13" i="3"/>
  <c r="Q11" i="3"/>
  <c r="Q6" i="3"/>
  <c r="P4" i="3"/>
  <c r="AA157" i="3"/>
  <c r="AA152" i="3"/>
  <c r="AA141" i="3"/>
  <c r="AA128" i="3"/>
  <c r="AA124" i="3"/>
  <c r="AA121" i="3"/>
  <c r="AA107" i="3"/>
  <c r="AA74" i="3"/>
  <c r="AA73" i="3"/>
  <c r="AA65" i="3"/>
  <c r="AA62" i="3"/>
  <c r="AA36" i="3"/>
  <c r="AA29" i="3"/>
  <c r="AA12" i="3"/>
  <c r="R32" i="3"/>
  <c r="D12" i="7"/>
  <c r="D8" i="7"/>
  <c r="D7" i="7"/>
  <c r="D3" i="7"/>
  <c r="R51" i="3"/>
  <c r="R52" i="3"/>
  <c r="R129" i="3"/>
  <c r="S138" i="3"/>
  <c r="Q75" i="3"/>
  <c r="Q62" i="3"/>
  <c r="P27" i="3"/>
  <c r="AA85" i="3"/>
  <c r="AA155" i="3"/>
  <c r="R98" i="3"/>
  <c r="AA39" i="3"/>
  <c r="AA156" i="3"/>
  <c r="AA92" i="3"/>
  <c r="AA97" i="3"/>
  <c r="AA58" i="3"/>
  <c r="AA51" i="3"/>
  <c r="Z136" i="3"/>
  <c r="Z154" i="3"/>
  <c r="AK170" i="3"/>
  <c r="AA177" i="3"/>
  <c r="Q22" i="3"/>
  <c r="AA171" i="3"/>
  <c r="AA56" i="3"/>
  <c r="Z156" i="3"/>
  <c r="Z177" i="3"/>
  <c r="H5" i="7"/>
  <c r="G14" i="7"/>
  <c r="AK156" i="3"/>
  <c r="AK152" i="3"/>
  <c r="AA59" i="3"/>
  <c r="P74" i="3"/>
  <c r="Q65" i="3"/>
  <c r="P28" i="3"/>
  <c r="C10" i="7"/>
  <c r="AA117" i="3"/>
  <c r="S72" i="3"/>
  <c r="S126" i="3"/>
  <c r="S105" i="3"/>
  <c r="S68" i="3"/>
  <c r="S36" i="3"/>
  <c r="P170" i="3"/>
  <c r="Q168" i="3"/>
  <c r="Q152" i="3"/>
  <c r="P136" i="3"/>
  <c r="P110" i="3"/>
  <c r="P35" i="3"/>
  <c r="Q17" i="3"/>
  <c r="AA149" i="3"/>
  <c r="AA122" i="3"/>
  <c r="AA76" i="3"/>
  <c r="AA23" i="3"/>
  <c r="AA16" i="3"/>
  <c r="P36" i="3"/>
  <c r="AA164" i="3"/>
  <c r="G5" i="7"/>
  <c r="AA173" i="3"/>
  <c r="P47" i="3"/>
  <c r="G15" i="7"/>
  <c r="H14" i="7"/>
  <c r="Z111" i="3"/>
  <c r="R119" i="3"/>
  <c r="G10" i="7"/>
  <c r="S134" i="3"/>
  <c r="S128" i="3"/>
  <c r="R55" i="3"/>
  <c r="R125" i="3"/>
  <c r="Q82" i="3"/>
  <c r="Q79" i="3"/>
  <c r="Q71" i="3"/>
  <c r="P51" i="3"/>
  <c r="P40" i="3"/>
  <c r="Q30" i="3"/>
  <c r="P14" i="3"/>
  <c r="R71" i="3"/>
  <c r="R53" i="3"/>
  <c r="R97" i="3"/>
  <c r="AA91" i="3"/>
  <c r="R79" i="3"/>
  <c r="R96" i="3"/>
  <c r="R114" i="3"/>
  <c r="R142" i="3"/>
  <c r="R65" i="3"/>
  <c r="R58" i="3"/>
  <c r="R50" i="3"/>
  <c r="S171" i="3"/>
  <c r="S152" i="3"/>
  <c r="S139" i="3"/>
  <c r="S81" i="3"/>
  <c r="S84" i="3"/>
  <c r="S75" i="3"/>
  <c r="S70" i="3"/>
  <c r="R80" i="3"/>
  <c r="R144" i="3"/>
  <c r="R153" i="3"/>
  <c r="R168" i="3"/>
  <c r="R145" i="3"/>
  <c r="R61" i="3"/>
  <c r="R177" i="3"/>
  <c r="R43" i="3"/>
  <c r="S168" i="3"/>
  <c r="S160" i="3"/>
  <c r="S137" i="3"/>
  <c r="R101" i="3"/>
  <c r="S79" i="3"/>
  <c r="S73" i="3"/>
  <c r="S56" i="3"/>
  <c r="S49" i="3"/>
  <c r="S42" i="3"/>
  <c r="S38" i="3"/>
  <c r="S32" i="3"/>
  <c r="S28" i="3"/>
  <c r="S17" i="3"/>
  <c r="P157" i="3"/>
  <c r="Q169" i="3"/>
  <c r="Q163" i="3"/>
  <c r="Q160" i="3"/>
  <c r="Q158" i="3"/>
  <c r="P149" i="3"/>
  <c r="P146" i="3"/>
  <c r="P143" i="3"/>
  <c r="P140" i="3"/>
  <c r="P137" i="3"/>
  <c r="Q122" i="3"/>
  <c r="Q119" i="3"/>
  <c r="P118" i="3"/>
  <c r="P113" i="3"/>
  <c r="Q111" i="3"/>
  <c r="P106" i="3"/>
  <c r="P104" i="3"/>
  <c r="Q102" i="3"/>
  <c r="Q100" i="3"/>
  <c r="Q98" i="3"/>
  <c r="P97" i="3"/>
  <c r="Q95" i="3"/>
  <c r="Q90" i="3"/>
  <c r="P80" i="3"/>
  <c r="P78" i="3"/>
  <c r="P77" i="3"/>
  <c r="P67" i="3"/>
  <c r="Q60" i="3"/>
  <c r="Q53" i="3"/>
  <c r="Q52" i="3"/>
  <c r="P50" i="3"/>
  <c r="Q47" i="3"/>
  <c r="P32" i="3"/>
  <c r="P30" i="3"/>
  <c r="Q20" i="3"/>
  <c r="P7" i="3"/>
  <c r="Q4" i="3"/>
  <c r="AA148" i="3"/>
  <c r="AA137" i="3"/>
  <c r="AA133" i="3"/>
  <c r="AA126" i="3"/>
  <c r="AA109" i="3"/>
  <c r="AA72" i="3"/>
  <c r="AA70" i="3"/>
  <c r="AA67" i="3"/>
  <c r="AA42" i="3"/>
  <c r="AA26" i="3"/>
  <c r="AA20" i="3"/>
  <c r="Q58" i="3"/>
  <c r="Q46" i="3"/>
  <c r="Q44" i="3"/>
  <c r="P42" i="3"/>
  <c r="Q34" i="3"/>
  <c r="P29" i="3"/>
  <c r="Q19" i="3"/>
  <c r="Q12" i="3"/>
  <c r="P5" i="3"/>
  <c r="AA153" i="3"/>
  <c r="AA11" i="3"/>
  <c r="AA10" i="3"/>
  <c r="G16" i="7"/>
  <c r="H10" i="7"/>
  <c r="Q176" i="3"/>
  <c r="P114" i="3"/>
  <c r="P91" i="3"/>
  <c r="P82" i="3"/>
  <c r="AA162" i="3"/>
  <c r="P9" i="3"/>
  <c r="AA125" i="3"/>
  <c r="H15" i="7"/>
  <c r="R93" i="3"/>
  <c r="G3" i="7"/>
  <c r="H9" i="7"/>
  <c r="R109" i="3"/>
  <c r="S124" i="3"/>
  <c r="S112" i="3"/>
  <c r="S45" i="3"/>
  <c r="Q175" i="3"/>
  <c r="P171" i="3"/>
  <c r="Q150" i="3"/>
  <c r="Q134" i="3"/>
  <c r="P127" i="3"/>
  <c r="Q114" i="3"/>
  <c r="Q112" i="3"/>
  <c r="Q108" i="3"/>
  <c r="P105" i="3"/>
  <c r="P103" i="3"/>
  <c r="Q101" i="3"/>
  <c r="P94" i="3"/>
  <c r="P85" i="3"/>
  <c r="P75" i="3"/>
  <c r="P63" i="3"/>
  <c r="Q57" i="3"/>
  <c r="P38" i="3"/>
  <c r="P13" i="3"/>
  <c r="P11" i="3"/>
  <c r="AA123" i="3"/>
  <c r="AA75" i="3"/>
  <c r="AA35" i="3"/>
  <c r="P68" i="3"/>
  <c r="P48" i="3"/>
  <c r="P167" i="3"/>
  <c r="P164" i="3"/>
  <c r="P162" i="3"/>
  <c r="P161" i="3"/>
  <c r="P125" i="3"/>
  <c r="P122" i="3"/>
  <c r="R35" i="3"/>
  <c r="R66" i="3"/>
  <c r="R82" i="3"/>
  <c r="R89" i="3"/>
  <c r="AA167" i="3"/>
  <c r="AA77" i="3"/>
  <c r="AA41" i="3"/>
  <c r="AA34" i="3"/>
  <c r="AA31" i="3"/>
  <c r="AA25" i="3"/>
  <c r="P73" i="3"/>
  <c r="P60" i="3"/>
  <c r="Q40" i="3"/>
  <c r="D10" i="7"/>
  <c r="AA54" i="3"/>
  <c r="AA119" i="3"/>
  <c r="AA172" i="3"/>
  <c r="AA104" i="3"/>
  <c r="AA113" i="3"/>
  <c r="P156" i="3"/>
  <c r="P89" i="3"/>
  <c r="P45" i="3"/>
  <c r="R49" i="3"/>
  <c r="S127" i="3"/>
  <c r="R88" i="3"/>
  <c r="AA30" i="3"/>
  <c r="S123" i="3"/>
  <c r="AA116" i="3"/>
  <c r="C6" i="7"/>
  <c r="C4" i="7"/>
  <c r="AA82" i="3"/>
  <c r="AA80" i="3"/>
  <c r="AA106" i="3"/>
  <c r="AA112" i="3"/>
  <c r="AA46" i="3"/>
  <c r="P39" i="3"/>
  <c r="AA79" i="3"/>
  <c r="AA64" i="3"/>
  <c r="AA60" i="3"/>
  <c r="R128" i="3"/>
  <c r="R77" i="3"/>
  <c r="Q84" i="3"/>
  <c r="AA136" i="3"/>
  <c r="AA22" i="3"/>
  <c r="R60" i="3"/>
  <c r="R73" i="3"/>
  <c r="S150" i="3"/>
  <c r="S133" i="3"/>
  <c r="R30" i="3"/>
  <c r="D9" i="7"/>
  <c r="R26" i="3"/>
  <c r="R116" i="3"/>
  <c r="C14" i="7"/>
  <c r="AA154" i="3"/>
  <c r="R47" i="3"/>
  <c r="R166" i="3"/>
  <c r="D15" i="7"/>
  <c r="S132" i="3"/>
  <c r="S109" i="3"/>
  <c r="R118" i="3"/>
  <c r="R154" i="3"/>
  <c r="R169" i="3"/>
  <c r="R175" i="3"/>
  <c r="R136" i="3"/>
  <c r="S166" i="3"/>
  <c r="S154" i="3"/>
  <c r="S94" i="3"/>
  <c r="S77" i="3"/>
  <c r="R94" i="3"/>
  <c r="R112" i="3"/>
  <c r="R126" i="3"/>
  <c r="R162" i="3"/>
  <c r="R132" i="3"/>
  <c r="R68" i="3"/>
  <c r="S108" i="3"/>
  <c r="S93" i="3"/>
  <c r="S66" i="3"/>
  <c r="S47" i="3"/>
  <c r="S26" i="3"/>
  <c r="S21" i="3"/>
  <c r="S16" i="3"/>
  <c r="P168" i="3"/>
  <c r="P150" i="3"/>
  <c r="P148" i="3"/>
  <c r="P142" i="3"/>
  <c r="P138" i="3"/>
  <c r="P135" i="3"/>
  <c r="Q132" i="3"/>
  <c r="P107" i="3"/>
  <c r="P93" i="3"/>
  <c r="P79" i="3"/>
  <c r="P59" i="3"/>
  <c r="P49" i="3"/>
  <c r="P44" i="3"/>
  <c r="R16" i="3"/>
  <c r="Q141" i="3"/>
  <c r="S136" i="3"/>
  <c r="R21" i="3"/>
  <c r="AA95" i="3"/>
  <c r="R124" i="3"/>
  <c r="Q27" i="3"/>
  <c r="P23" i="3"/>
  <c r="S120" i="3"/>
  <c r="Q177" i="3"/>
  <c r="Q171" i="3"/>
  <c r="P154" i="3"/>
  <c r="P152" i="3"/>
  <c r="S169" i="3"/>
  <c r="R72" i="3"/>
  <c r="S89" i="3"/>
  <c r="P177" i="3"/>
  <c r="P151" i="3"/>
  <c r="Q116" i="3"/>
  <c r="Q38" i="3"/>
  <c r="AA49" i="3"/>
  <c r="D16" i="7"/>
  <c r="Q48" i="3"/>
  <c r="Q35" i="3"/>
  <c r="S118" i="3"/>
  <c r="P98" i="3"/>
  <c r="AA140" i="3"/>
  <c r="AA166" i="3"/>
  <c r="AA71" i="3"/>
  <c r="R140" i="3"/>
  <c r="S140" i="3"/>
  <c r="G4" i="7"/>
  <c r="R120" i="3"/>
  <c r="AA169" i="3"/>
  <c r="R108" i="3"/>
  <c r="S162" i="3"/>
  <c r="S115" i="3"/>
  <c r="P141" i="3"/>
  <c r="P96" i="3"/>
  <c r="P84" i="3"/>
  <c r="P76" i="3"/>
  <c r="P55" i="3"/>
  <c r="R115" i="3"/>
  <c r="AC7" i="3" l="1"/>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E40" i="6"/>
  <c r="D40" i="6"/>
  <c r="AL33" i="3"/>
  <c r="C32" i="6" s="1"/>
  <c r="G31" i="7"/>
  <c r="AC19" i="3"/>
  <c r="N18" i="6" s="1"/>
  <c r="D144" i="6"/>
  <c r="E144" i="6"/>
  <c r="AL8" i="3"/>
  <c r="D55" i="6"/>
  <c r="E55" i="6"/>
  <c r="E176" i="6"/>
  <c r="D176" i="6"/>
  <c r="E140" i="6"/>
  <c r="D140" i="6"/>
  <c r="D66" i="6" l="1"/>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<sst xmlns="http://schemas.openxmlformats.org/spreadsheetml/2006/main" count="5884" uniqueCount="1608">
  <si>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</si>
  <si>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</si>
  <si>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</si>
  <si>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</si>
  <si>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</si>
  <si>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</si>
  <si>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</si>
  <si>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</si>
  <si>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</si>
  <si>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</si>
  <si>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</si>
  <si>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</si>
  <si>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</si>
  <si>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</si>
  <si>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</si>
  <si>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</si>
  <si>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</si>
  <si>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</si>
  <si>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</si>
  <si>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</si>
  <si>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</si>
  <si>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</si>
  <si>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</si>
  <si>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</si>
  <si>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</si>
  <si>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</si>
  <si>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</si>
  <si>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</si>
  <si>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</si>
  <si>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</si>
  <si>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</si>
  <si>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</si>
  <si>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</si>
  <si>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</si>
  <si>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</si>
  <si>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</si>
  <si>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</si>
  <si>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</si>
  <si>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</si>
  <si>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</si>
  <si>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</si>
  <si>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</si>
  <si>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</si>
  <si>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</si>
  <si>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</si>
  <si>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</si>
  <si>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</si>
  <si>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</si>
  <si>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</si>
  <si>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</si>
  <si>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</si>
  <si>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</si>
  <si>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</si>
  <si>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</si>
  <si>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</si>
  <si>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</si>
  <si>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</si>
  <si>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</si>
  <si>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</si>
  <si>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</si>
  <si>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</si>
  <si>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</si>
  <si>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</si>
  <si>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</si>
  <si>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</si>
  <si>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</si>
  <si>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</si>
  <si>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</si>
  <si>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</si>
  <si>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</si>
  <si>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</si>
  <si>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</si>
  <si>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</si>
  <si>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</si>
  <si>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</si>
  <si>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</si>
  <si>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</si>
  <si>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</si>
  <si>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</si>
  <si>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</si>
  <si>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</si>
  <si>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</si>
  <si>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</si>
  <si>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</si>
  <si>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</si>
  <si>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</si>
  <si>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</si>
  <si>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</si>
  <si>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</si>
  <si>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</si>
  <si>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</si>
  <si>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</si>
  <si>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</si>
  <si>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</si>
  <si>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</si>
  <si>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</si>
  <si>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</si>
  <si>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</si>
  <si>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</si>
  <si>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</si>
  <si>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</si>
  <si>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</si>
  <si>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</si>
  <si>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</si>
  <si>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</si>
  <si>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</si>
  <si>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</si>
  <si>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</si>
  <si>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</si>
  <si>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</si>
  <si>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</si>
  <si>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</si>
  <si>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</si>
  <si>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</si>
  <si>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</si>
  <si>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</si>
  <si>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</si>
  <si>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</si>
  <si>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</si>
  <si>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</si>
  <si>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</si>
  <si>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</si>
  <si>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</si>
  <si>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</si>
  <si>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</si>
  <si>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</si>
  <si>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</si>
  <si>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</si>
  <si>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</si>
  <si>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</si>
  <si>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</si>
  <si>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</si>
  <si>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</si>
  <si>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</si>
  <si>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</si>
  <si>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</si>
  <si>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</si>
  <si>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</si>
  <si>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</si>
  <si>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</si>
  <si>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</si>
  <si>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</si>
  <si>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</si>
  <si>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</si>
  <si>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</si>
  <si>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</si>
  <si>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</si>
  <si>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</si>
  <si>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</si>
  <si>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</si>
  <si>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</si>
  <si>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</si>
  <si>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</si>
  <si>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</si>
  <si>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</si>
  <si>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</si>
  <si>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</si>
  <si>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</si>
  <si>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</si>
  <si>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</si>
  <si>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</si>
  <si>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</si>
  <si>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</si>
  <si>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</si>
  <si>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</si>
  <si>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</si>
  <si>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</si>
  <si>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</si>
  <si>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</si>
  <si>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</si>
  <si>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</si>
  <si>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</si>
  <si>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</si>
  <si>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</si>
  <si>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</si>
  <si>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</si>
  <si>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</si>
  <si>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</si>
  <si>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</si>
  <si>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</si>
  <si>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</si>
  <si>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</si>
  <si>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</si>
  <si>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</si>
  <si>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</si>
  <si>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</si>
  <si>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</si>
  <si>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</si>
  <si>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</si>
  <si>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</si>
  <si>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</si>
  <si>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</si>
  <si>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</si>
  <si>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</si>
  <si>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</si>
  <si>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</si>
  <si>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</si>
  <si>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</si>
  <si>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</si>
  <si>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</si>
  <si>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</si>
  <si>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</si>
  <si>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</si>
  <si>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</si>
  <si>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</si>
  <si>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</si>
  <si>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</si>
  <si>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</si>
  <si>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</si>
  <si>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</si>
  <si>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</si>
  <si>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</si>
  <si>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</si>
  <si>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</si>
  <si>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</si>
  <si>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</si>
  <si>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</si>
  <si>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</si>
  <si>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</si>
  <si>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</si>
  <si>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</si>
  <si>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</si>
  <si>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</si>
  <si>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</si>
  <si>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</si>
  <si>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</si>
  <si>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</si>
  <si>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</si>
  <si>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</si>
  <si>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</si>
  <si>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</si>
  <si>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</si>
  <si>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</si>
  <si>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</si>
  <si>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</si>
  <si>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</si>
  <si>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</si>
  <si>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</si>
  <si>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</si>
  <si>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</si>
  <si>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</si>
  <si>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</si>
  <si>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</si>
  <si>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</si>
  <si>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</si>
  <si>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</si>
  <si>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</si>
  <si>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</si>
  <si>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</si>
  <si>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</si>
  <si>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</si>
  <si>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</si>
  <si>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</si>
  <si>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</si>
  <si>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</si>
  <si>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</si>
  <si>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</si>
  <si>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</si>
  <si>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</si>
  <si>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</si>
  <si>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</si>
  <si>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</si>
  <si>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</si>
  <si>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</si>
  <si>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</si>
  <si>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</si>
  <si>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</si>
  <si>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</si>
  <si>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</si>
  <si>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</si>
  <si>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</si>
  <si>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</si>
  <si>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</si>
  <si>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</si>
  <si>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</si>
  <si>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</si>
  <si>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</si>
  <si>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</si>
  <si>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</si>
  <si>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</si>
  <si>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</si>
  <si>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</si>
  <si>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</si>
  <si>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</si>
  <si>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</si>
  <si>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</si>
  <si>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</si>
  <si>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</si>
  <si>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</si>
  <si>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</si>
  <si>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</si>
  <si>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</si>
  <si>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</si>
  <si>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</si>
  <si>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</si>
  <si>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</si>
  <si>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</si>
  <si>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</si>
  <si>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</si>
  <si>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</si>
  <si>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</si>
  <si>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</si>
  <si>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</si>
  <si>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</si>
  <si>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</si>
  <si>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</si>
  <si>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</si>
  <si>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</si>
  <si>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</si>
  <si>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</si>
  <si>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</si>
  <si>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</si>
  <si>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</si>
  <si>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</si>
  <si>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</si>
  <si>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</si>
  <si>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</si>
  <si>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</si>
  <si>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</si>
  <si>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</si>
  <si>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</si>
  <si>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</si>
  <si>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</si>
  <si>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</si>
  <si>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</si>
  <si>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</si>
  <si>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</si>
  <si>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</si>
  <si>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</si>
  <si>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</si>
  <si>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</si>
  <si>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</si>
  <si>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</si>
  <si>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</si>
  <si>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</si>
  <si>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</si>
  <si>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</si>
  <si>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</si>
  <si>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</si>
  <si>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</si>
  <si>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</si>
  <si>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</si>
  <si>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</si>
  <si>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</si>
  <si>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</si>
  <si>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</si>
  <si>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</si>
  <si>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</si>
  <si>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</si>
  <si>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</si>
  <si>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</si>
  <si>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</si>
  <si>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</si>
  <si>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</si>
  <si>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</si>
  <si>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</si>
  <si>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</si>
  <si>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</si>
  <si>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</si>
  <si>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</si>
  <si>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</si>
  <si>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</si>
  <si>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</si>
  <si>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</si>
  <si>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</si>
  <si>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</si>
  <si>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</si>
  <si>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</si>
  <si>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</si>
  <si>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</si>
  <si>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</si>
  <si>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</si>
  <si>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</si>
  <si>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</si>
  <si>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</si>
  <si>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</si>
  <si>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</si>
  <si>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</si>
  <si>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</si>
  <si>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</si>
  <si>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</si>
  <si>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</si>
  <si>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</si>
  <si>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</si>
  <si>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</si>
  <si>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</si>
  <si>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</si>
  <si>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</si>
  <si>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</si>
  <si>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</si>
  <si>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</si>
  <si>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</si>
  <si>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</si>
  <si>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</si>
  <si>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</si>
  <si>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</si>
  <si>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</si>
  <si>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</si>
  <si>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</si>
  <si>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</si>
  <si>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</si>
  <si>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</si>
  <si>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</si>
  <si>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</si>
  <si>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</si>
  <si>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</si>
  <si>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</si>
  <si>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</si>
  <si>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</si>
  <si>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</si>
  <si>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</si>
  <si>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</si>
  <si>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</si>
  <si>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</si>
  <si>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</si>
  <si>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</si>
  <si>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</si>
  <si>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</si>
  <si>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</si>
  <si>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</si>
  <si>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</si>
  <si>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</si>
  <si>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</si>
  <si>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</si>
  <si>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</si>
  <si>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</si>
  <si>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</si>
  <si>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</si>
  <si>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</si>
  <si>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</si>
  <si>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</si>
  <si>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</si>
  <si>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</si>
  <si>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</si>
  <si>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</si>
  <si>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</si>
  <si>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</si>
  <si>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</si>
  <si>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</si>
  <si>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</si>
  <si>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</si>
  <si>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</si>
  <si>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</si>
  <si>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</si>
  <si>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</si>
  <si>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</si>
  <si>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</si>
  <si>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</si>
  <si>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</si>
  <si>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</si>
  <si>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</si>
  <si>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</si>
  <si>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</si>
  <si>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</si>
  <si>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</si>
  <si>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</si>
  <si>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</si>
  <si>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</si>
  <si>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</si>
  <si>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</si>
  <si>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</si>
  <si>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</si>
  <si>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</si>
  <si>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</si>
  <si>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</si>
  <si>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</si>
  <si>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</si>
  <si>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</si>
  <si>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</si>
  <si>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</si>
  <si>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</si>
  <si>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</si>
  <si>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</si>
  <si>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</si>
  <si>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</si>
  <si>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</si>
  <si>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</si>
  <si>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</si>
  <si>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</si>
  <si>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</si>
  <si>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</si>
  <si>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</si>
  <si>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</si>
  <si>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</si>
  <si>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</si>
  <si>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</si>
  <si>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</si>
  <si>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</si>
  <si>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</si>
  <si>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</si>
  <si>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</si>
  <si>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</si>
  <si>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</si>
  <si>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</si>
  <si>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</si>
  <si>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</si>
  <si>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</si>
  <si>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</si>
  <si>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</si>
  <si>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</si>
  <si>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</si>
  <si>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</si>
  <si>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</si>
  <si>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</si>
  <si>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</si>
  <si>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</si>
  <si>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</si>
  <si>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</si>
  <si>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</si>
  <si>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</si>
  <si>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</si>
  <si>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</si>
  <si>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</si>
  <si>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</si>
  <si>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</si>
  <si>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</si>
  <si>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</si>
  <si>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</si>
  <si>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</si>
  <si>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</si>
  <si>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</si>
  <si>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</si>
  <si>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</si>
  <si>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</si>
  <si>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</si>
  <si>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</si>
  <si>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</si>
  <si>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</si>
  <si>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</si>
  <si>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</si>
  <si>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</si>
  <si>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</si>
  <si>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</si>
  <si>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</si>
  <si>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</si>
  <si>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</si>
  <si>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</si>
  <si>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</si>
  <si>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</si>
  <si>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</si>
  <si>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</si>
  <si>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</si>
  <si>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</si>
  <si>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</si>
  <si>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</si>
  <si>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</si>
  <si>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</si>
  <si>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</si>
  <si>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</si>
  <si>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</si>
  <si>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</si>
  <si>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</si>
  <si>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</si>
  <si>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</si>
  <si>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</si>
  <si>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</si>
  <si>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</si>
  <si>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</si>
  <si>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</si>
  <si>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</si>
  <si>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</si>
  <si>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</si>
  <si>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</si>
  <si>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</si>
  <si>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</si>
  <si>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</si>
  <si>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</si>
  <si>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</si>
  <si>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</si>
  <si>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</si>
  <si>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</si>
  <si>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</si>
  <si>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</si>
  <si>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</si>
  <si>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</si>
  <si>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</si>
  <si>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</si>
  <si>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</si>
  <si>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</si>
  <si>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</si>
  <si>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</si>
  <si>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</si>
  <si>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</si>
  <si>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</si>
  <si>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</si>
  <si>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</si>
  <si>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</si>
  <si>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</si>
  <si>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</si>
  <si>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</si>
  <si>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</si>
  <si>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</si>
  <si>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</si>
  <si>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</si>
  <si>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</si>
  <si>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</si>
  <si>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</si>
  <si>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</si>
  <si>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</si>
  <si>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</si>
  <si>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</si>
  <si>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</si>
  <si>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</si>
  <si>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</si>
  <si>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</si>
  <si>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</si>
  <si>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</si>
  <si>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</si>
  <si>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</si>
  <si>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</si>
  <si>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</si>
  <si>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</si>
  <si>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</si>
  <si>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</si>
  <si>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</si>
  <si>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</si>
  <si>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</si>
  <si>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</si>
  <si>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</si>
  <si>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</si>
  <si>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</si>
  <si>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</si>
  <si>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</si>
  <si>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</si>
  <si>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</si>
  <si>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</si>
  <si>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</si>
  <si>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</si>
  <si>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</si>
  <si>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</si>
  <si>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</si>
  <si>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</si>
  <si>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</si>
  <si>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</si>
  <si>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</si>
  <si>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</si>
  <si>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</si>
  <si>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</si>
  <si>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</si>
  <si>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</si>
  <si>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</si>
  <si>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</si>
  <si>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</si>
  <si>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</si>
  <si>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</si>
  <si>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</si>
  <si>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</si>
  <si>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</si>
  <si>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</si>
  <si>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</si>
  <si>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</si>
  <si>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</si>
  <si>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</si>
  <si>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</si>
  <si>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</si>
  <si>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</si>
  <si>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</si>
  <si>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</si>
  <si>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</si>
  <si>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</si>
  <si>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</si>
  <si>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</si>
  <si>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</si>
  <si>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</si>
  <si>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</si>
  <si>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</si>
  <si>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</si>
  <si>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</si>
  <si>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</si>
  <si>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</si>
  <si>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</si>
  <si>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</si>
  <si>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</si>
  <si>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</si>
  <si>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</si>
  <si>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</si>
  <si>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</si>
  <si>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</si>
  <si>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</si>
  <si>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</si>
  <si>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</si>
  <si>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</si>
  <si>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</si>
  <si>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</si>
  <si>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</si>
  <si>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</si>
  <si>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</si>
  <si>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</si>
  <si>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</si>
  <si>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</si>
  <si>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</si>
  <si>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</si>
  <si>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</si>
  <si>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</si>
  <si>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</si>
  <si>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</si>
  <si>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</si>
  <si>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</si>
  <si>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</si>
  <si>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</si>
  <si>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</si>
  <si>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</si>
  <si>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</si>
  <si>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</si>
  <si>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</si>
  <si>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</si>
  <si>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</si>
  <si>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</si>
  <si>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</si>
  <si>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</si>
  <si>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</si>
  <si>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</si>
  <si>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</si>
  <si>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</si>
  <si>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</si>
  <si>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</si>
  <si>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</si>
  <si>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</si>
  <si>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</si>
  <si>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</si>
  <si>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</si>
  <si>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</si>
  <si>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</si>
  <si>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</si>
  <si>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</si>
  <si>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</si>
  <si>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</si>
  <si>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</si>
  <si>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</si>
  <si>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</si>
  <si>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</si>
  <si>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</si>
  <si>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</si>
  <si>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</si>
  <si>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</si>
  <si>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</si>
  <si>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</si>
  <si>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</si>
  <si>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</si>
  <si>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</si>
  <si>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</si>
  <si>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</si>
  <si>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</si>
  <si>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</si>
  <si>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</si>
  <si>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</si>
  <si>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</si>
  <si>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</si>
  <si>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</si>
  <si>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</si>
  <si>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</si>
  <si>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</si>
  <si>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</si>
  <si>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</si>
  <si>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</si>
  <si>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</si>
  <si>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</si>
  <si>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</si>
  <si>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</si>
  <si>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</si>
  <si>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</si>
  <si>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</si>
  <si>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</si>
  <si>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</si>
  <si>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</si>
  <si>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</si>
  <si>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</si>
  <si>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</si>
  <si>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</si>
  <si>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</si>
  <si>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</si>
  <si>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</si>
  <si>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</si>
  <si>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</si>
  <si>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</si>
  <si>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</si>
  <si>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</si>
  <si>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</si>
  <si>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</si>
  <si>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</si>
  <si>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</si>
  <si>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</si>
  <si>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</si>
  <si>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</si>
  <si>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</si>
  <si>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</si>
  <si>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</si>
  <si>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</si>
  <si>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</si>
  <si>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</si>
  <si>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</si>
  <si>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</si>
  <si>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</si>
  <si>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</si>
  <si>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</si>
  <si>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</si>
  <si>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</si>
  <si>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</si>
  <si>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</si>
  <si>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</si>
  <si>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</si>
  <si>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</si>
  <si>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</si>
  <si>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</si>
  <si>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</si>
  <si>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</si>
  <si>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</si>
  <si>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</si>
  <si>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</si>
  <si>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</si>
  <si>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</si>
  <si>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</si>
  <si>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</si>
  <si>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</si>
  <si>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</si>
  <si>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</si>
  <si>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</si>
  <si>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</si>
  <si>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</si>
  <si>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</si>
  <si>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</si>
  <si>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</si>
  <si>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</si>
  <si>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</si>
  <si>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</si>
  <si>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</si>
  <si>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</si>
  <si>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</si>
  <si>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</si>
  <si>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</si>
  <si>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</si>
  <si>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</si>
  <si>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</si>
  <si>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</si>
  <si>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</si>
  <si>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</si>
  <si>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</si>
  <si>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</si>
  <si>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</si>
  <si>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</si>
  <si>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</si>
  <si>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</si>
  <si>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</si>
  <si>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</si>
  <si>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</si>
  <si>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</si>
  <si>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</si>
  <si>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</si>
  <si>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</si>
  <si>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</si>
  <si>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</si>
  <si>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</si>
  <si>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</si>
  <si>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</si>
  <si>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</si>
  <si>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</si>
  <si>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</si>
  <si>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</si>
  <si>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</si>
  <si>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</si>
  <si>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</si>
  <si>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</si>
  <si>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</si>
  <si>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</si>
  <si>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</si>
  <si>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</si>
  <si>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</si>
  <si>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</si>
  <si>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</si>
  <si>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</si>
  <si>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</si>
  <si>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</si>
  <si>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</si>
  <si>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</si>
  <si>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</si>
  <si>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</si>
  <si>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</si>
  <si>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</si>
  <si>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</si>
  <si>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</si>
  <si>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</si>
  <si>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</si>
  <si>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</si>
  <si>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</si>
  <si>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</si>
  <si>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</si>
  <si>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</si>
  <si>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</si>
  <si>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</si>
  <si>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</si>
  <si>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</si>
  <si>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</si>
  <si>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</si>
  <si>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</si>
  <si>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</si>
  <si>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</si>
  <si>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</si>
  <si>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</si>
  <si>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</si>
  <si>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</si>
  <si>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</si>
  <si>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</si>
  <si>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</si>
  <si>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</si>
  <si>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</si>
  <si>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</si>
  <si>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</si>
  <si>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</si>
  <si>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</si>
  <si>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</si>
  <si>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</si>
  <si>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</si>
  <si>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</si>
  <si>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</si>
  <si>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</si>
  <si>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</si>
  <si>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</si>
  <si>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</si>
  <si>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</si>
  <si>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</si>
  <si>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</si>
  <si>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</si>
  <si>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</si>
  <si>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</si>
  <si>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</si>
  <si>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</si>
  <si>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</si>
  <si>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</si>
  <si>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</si>
  <si>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</si>
  <si>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</si>
  <si>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</si>
  <si>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</si>
  <si>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</si>
  <si>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</si>
  <si>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</si>
  <si>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</si>
  <si>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</si>
  <si>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</si>
  <si>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</si>
  <si>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</si>
  <si>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</si>
  <si>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</si>
  <si>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</si>
  <si>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</si>
  <si>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</si>
  <si>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</si>
  <si>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</si>
  <si>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</si>
  <si>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</si>
  <si>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</si>
  <si>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</si>
  <si>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</si>
  <si>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</si>
  <si>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</si>
  <si>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</si>
  <si>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</si>
  <si>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</si>
  <si>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</si>
  <si>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</si>
  <si>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</si>
  <si>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</si>
  <si>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</si>
  <si>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</si>
  <si>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</si>
  <si>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</si>
  <si>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</si>
  <si>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</si>
  <si>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</si>
  <si>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</si>
  <si>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</si>
  <si>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</si>
  <si>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</si>
  <si>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</si>
  <si>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</si>
  <si>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</si>
  <si>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</si>
  <si>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</si>
  <si>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</si>
  <si>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</si>
  <si>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</si>
  <si>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</si>
  <si>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</si>
  <si>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</si>
  <si>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</si>
  <si>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</si>
  <si>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</si>
  <si>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</si>
  <si>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</si>
  <si>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</si>
  <si>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</si>
  <si>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</si>
  <si>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</si>
  <si>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</si>
  <si>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</si>
  <si>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</si>
  <si>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</si>
  <si>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</si>
  <si>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</si>
  <si>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</si>
  <si>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</si>
  <si>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</si>
  <si>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</si>
  <si>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</si>
  <si>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</si>
  <si>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</si>
  <si>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</si>
  <si>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</si>
  <si>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</si>
  <si>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</si>
  <si>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</si>
  <si>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</si>
  <si>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</si>
  <si>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</si>
  <si>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</si>
  <si>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</si>
  <si>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</si>
  <si>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</si>
  <si>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</si>
  <si>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</si>
  <si>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</si>
  <si>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</si>
  <si>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</si>
  <si>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</si>
  <si>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</si>
  <si>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</si>
  <si>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</si>
  <si>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</si>
  <si>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</si>
  <si>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</si>
  <si>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</si>
  <si>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</si>
  <si>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</si>
  <si>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</si>
  <si>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</si>
  <si>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</si>
  <si>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</si>
  <si>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</si>
  <si>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</si>
  <si>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</si>
  <si>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</si>
  <si>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</si>
  <si>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</si>
  <si>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</si>
  <si>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</si>
  <si>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</si>
  <si>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</si>
  <si>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</si>
  <si>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</si>
  <si>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</si>
  <si>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</si>
  <si>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</si>
  <si>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</si>
  <si>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</si>
  <si>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</si>
  <si>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</si>
  <si>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</si>
  <si>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</si>
  <si>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</si>
  <si>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</si>
  <si>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</si>
  <si>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</si>
  <si>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</si>
  <si>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</si>
  <si>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</si>
  <si>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</si>
  <si>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</si>
  <si>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</si>
  <si>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</si>
  <si>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</si>
  <si>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</si>
  <si>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</si>
  <si>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</si>
  <si>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</si>
  <si>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</si>
  <si>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</si>
  <si>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</si>
  <si>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</si>
  <si>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</si>
  <si>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</si>
  <si>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</si>
  <si>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</si>
  <si>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</si>
  <si>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</si>
  <si>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</si>
  <si>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</si>
  <si>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PVE promedio (ISA-PV, 0-100)</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</si>
  <si>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</si>
  <si>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</si>
  <si>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</si>
  <si>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</si>
  <si>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</si>
  <si>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</si>
  <si>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</si>
  <si>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</si>
  <si>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</si>
  <si>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</si>
  <si>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</si>
  <si>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</si>
  <si>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</si>
  <si>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</si>
  <si>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</si>
  <si>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</si>
  <si>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</si>
  <si>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</si>
  <si>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</si>
  <si>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</si>
  <si>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</si>
  <si>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</si>
  <si>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</si>
  <si>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</si>
  <si>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</si>
  <si>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</si>
  <si>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</si>
  <si>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</si>
  <si>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</si>
  <si>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</si>
  <si>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</si>
  <si>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</si>
  <si>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</si>
  <si>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</si>
  <si>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</si>
  <si>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</si>
  <si>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</si>
  <si>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</si>
  <si>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</si>
  <si>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</si>
  <si>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</si>
  <si>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</si>
  <si>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</si>
  <si>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</si>
  <si>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</si>
  <si>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</si>
  <si>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</si>
  <si>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</si>
  <si>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</si>
  <si>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</si>
  <si>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</si>
  <si>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</si>
  <si>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</si>
  <si>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</si>
  <si>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</si>
  <si>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</si>
  <si>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</si>
  <si>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</si>
  <si>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</si>
  <si>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</si>
  <si>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</si>
  <si>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</si>
  <si>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</si>
  <si>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</si>
  <si>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</si>
  <si>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</si>
  <si>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</si>
  <si>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</si>
  <si>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</si>
  <si>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</si>
  <si>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</si>
  <si>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</si>
  <si>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</si>
  <si>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</si>
  <si>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</si>
  <si>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</si>
  <si>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</si>
  <si>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</si>
  <si>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</si>
  <si>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</si>
  <si>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</si>
  <si>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</si>
  <si>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</si>
  <si>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</si>
  <si>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</si>
  <si>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</si>
  <si>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</si>
  <si>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</si>
  <si>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</si>
  <si>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</si>
  <si>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</si>
  <si>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</si>
  <si>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</si>
  <si>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</si>
  <si>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</si>
  <si>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</si>
  <si>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</si>
  <si>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</si>
  <si>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</si>
  <si>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</si>
  <si>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</si>
  <si>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</si>
  <si>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</si>
  <si>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</si>
  <si>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</si>
  <si>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</si>
  <si>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</si>
  <si>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</si>
  <si>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</si>
  <si>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</si>
  <si>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</si>
  <si>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</si>
  <si>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</si>
  <si>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</si>
  <si>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</si>
  <si>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</si>
  <si>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</si>
  <si>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</si>
  <si>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</si>
  <si>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</si>
  <si>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</si>
  <si>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</si>
  <si>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</si>
  <si>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</si>
  <si>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</si>
  <si>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</si>
  <si>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</si>
  <si>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</si>
  <si>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</si>
  <si>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</si>
  <si>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</si>
  <si>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</si>
  <si>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</si>
  <si>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</si>
  <si>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</si>
  <si>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</si>
  <si>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</si>
  <si>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</si>
  <si>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</si>
  <si>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</si>
  <si>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</si>
  <si>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</si>
  <si>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</si>
  <si>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</si>
  <si>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</si>
  <si>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</si>
  <si>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</si>
  <si>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</si>
  <si>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</si>
  <si>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</si>
  <si>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</si>
  <si>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</si>
  <si>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</si>
  <si>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</si>
  <si>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</si>
  <si>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</si>
  <si>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</si>
  <si>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</si>
  <si>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</si>
  <si>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</si>
  <si>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</si>
  <si>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</si>
  <si>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</si>
  <si>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</si>
  <si>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</si>
  <si>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</si>
  <si>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</si>
  <si>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</si>
  <si>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</si>
  <si>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</si>
  <si>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</si>
  <si>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</si>
  <si>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</si>
  <si>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</si>
  <si>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</si>
  <si>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</si>
  <si>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</si>
  <si>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</si>
  <si>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</si>
  <si>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</si>
  <si>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</si>
  <si>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</si>
  <si>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</si>
  <si>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</si>
  <si>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</si>
  <si>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</si>
  <si>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</si>
  <si>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</si>
  <si>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</si>
  <si>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</si>
  <si>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</si>
  <si>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</si>
  <si>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</si>
  <si>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</si>
  <si>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</si>
  <si>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</si>
  <si>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</si>
  <si>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</si>
  <si>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</si>
  <si>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</si>
  <si>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</si>
  <si>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</si>
  <si>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</si>
  <si>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</si>
  <si>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</si>
  <si>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</si>
  <si>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</si>
  <si>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</si>
  <si>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</si>
  <si>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</si>
  <si>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</si>
  <si>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</si>
  <si>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</si>
  <si>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</si>
  <si>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</si>
  <si>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</si>
  <si>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</si>
  <si>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</si>
  <si>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</si>
  <si>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</si>
  <si>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</si>
  <si>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</si>
  <si>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</si>
  <si>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</si>
  <si>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</si>
  <si>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</si>
  <si>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</si>
  <si>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</si>
  <si>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</si>
  <si>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</si>
  <si>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</si>
  <si>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</si>
  <si>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</si>
  <si>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</si>
  <si>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</si>
  <si>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</si>
  <si>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</si>
  <si>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</si>
  <si>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</si>
  <si>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</si>
  <si>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</si>
  <si>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</si>
  <si>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</si>
  <si>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</si>
  <si>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</si>
  <si>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</si>
  <si>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</si>
  <si>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</si>
  <si>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</si>
  <si>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</si>
  <si>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</si>
  <si>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</si>
  <si>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</si>
  <si>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</si>
  <si>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</si>
  <si>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</si>
  <si>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</si>
  <si>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</si>
  <si>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</si>
  <si>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</si>
  <si>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</si>
  <si>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</si>
  <si>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</si>
  <si>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</si>
  <si>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</si>
  <si>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</si>
  <si>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</si>
  <si>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</si>
  <si>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</si>
  <si>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</si>
  <si>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</si>
  <si>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</si>
  <si>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</si>
  <si>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</si>
  <si>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</si>
  <si>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</si>
  <si>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</si>
  <si>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</si>
  <si>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</si>
  <si>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</si>
  <si>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</si>
  <si>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</si>
  <si>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</si>
  <si>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</si>
  <si>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</si>
  <si>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</si>
  <si>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</si>
  <si>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</si>
  <si>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</si>
  <si>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</si>
  <si>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</si>
  <si>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</si>
  <si>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</si>
  <si>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</si>
  <si>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</si>
  <si>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</si>
  <si>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</si>
  <si>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</si>
  <si>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</si>
  <si>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</si>
  <si>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</si>
  <si>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</si>
  <si>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</si>
  <si>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</si>
  <si>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</si>
  <si>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</si>
  <si>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</si>
  <si>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</si>
  <si>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</si>
  <si>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</si>
  <si>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</si>
  <si>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</si>
  <si>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</si>
  <si>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</si>
  <si>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</si>
  <si>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</si>
  <si>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</si>
  <si>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</si>
  <si>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</si>
  <si>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</si>
  <si>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</si>
  <si>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</si>
  <si>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</si>
  <si>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</si>
  <si>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</si>
  <si>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</si>
  <si>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</si>
  <si>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</si>
  <si>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</si>
  <si>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</si>
  <si>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</si>
  <si>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</si>
  <si>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</si>
  <si>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</si>
  <si>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</si>
  <si>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</si>
  <si>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</si>
  <si>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</si>
  <si>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</si>
  <si>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</si>
  <si>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</si>
  <si>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</si>
  <si>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</si>
  <si>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</si>
  <si>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</si>
  <si>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</si>
  <si>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</si>
  <si>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</si>
  <si>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</si>
  <si>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</si>
  <si>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</si>
  <si>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</si>
  <si>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</si>
  <si>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</si>
  <si>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</si>
  <si>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</si>
  <si>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</si>
  <si>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</si>
  <si>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</si>
  <si>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</si>
  <si>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</si>
  <si>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</si>
  <si>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</si>
  <si>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</si>
  <si>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</si>
  <si>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</si>
  <si>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</si>
  <si>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</si>
  <si>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</si>
  <si>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</si>
  <si>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</si>
  <si>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</si>
  <si>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</si>
  <si>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</si>
  <si>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</si>
  <si>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</si>
  <si>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</si>
  <si>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</si>
  <si>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</si>
  <si>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</si>
  <si>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</si>
  <si>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</si>
  <si>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</si>
  <si>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</si>
  <si>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</si>
  <si>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</si>
  <si>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</si>
  <si>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</si>
  <si>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</si>
  <si>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</si>
  <si>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</si>
  <si>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</si>
  <si>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</si>
  <si>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</si>
  <si>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</si>
  <si>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</si>
  <si>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</si>
  <si>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</si>
  <si>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</si>
  <si>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</si>
  <si>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</si>
  <si>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</si>
  <si>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</si>
  <si>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</si>
  <si>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</si>
  <si>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</si>
  <si>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</si>
  <si>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</si>
  <si>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</si>
  <si>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</si>
  <si>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</si>
  <si>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</si>
  <si>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</si>
  <si>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</si>
  <si>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</si>
  <si>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</si>
  <si>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</si>
  <si>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</si>
  <si>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</si>
  <si>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</si>
  <si>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</si>
  <si>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</si>
  <si>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</si>
  <si>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</si>
  <si>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</si>
  <si>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</si>
  <si>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</si>
  <si>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</si>
  <si>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</si>
  <si>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</si>
  <si>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</si>
  <si>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</si>
  <si>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</si>
  <si>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</si>
  <si>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</si>
  <si>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</si>
  <si>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</si>
  <si>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</si>
  <si>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</si>
  <si>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</si>
  <si>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</si>
  <si>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</si>
  <si>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</si>
  <si>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</si>
  <si>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</si>
  <si>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</si>
  <si>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</si>
  <si>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</si>
  <si>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</si>
  <si>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</si>
  <si>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</si>
  <si>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</si>
  <si>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</si>
  <si>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</si>
  <si>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</si>
  <si>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</si>
  <si>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</si>
  <si>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</si>
  <si>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</si>
  <si>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</si>
  <si>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</si>
  <si>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</si>
  <si>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</si>
  <si>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</si>
  <si>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</si>
  <si>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</si>
  <si>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</si>
  <si>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</si>
  <si>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</si>
  <si>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</si>
  <si>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</si>
  <si>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</si>
  <si>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</si>
  <si>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</si>
  <si>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</si>
  <si>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</si>
  <si>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</si>
  <si>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</si>
  <si>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Un cero de relleno (falta de dato) se muestra como celda vacía, nunca como 0. Se vaciaron: L (FOB UE) y E (FOB total) de las organizaciones sin DUAs; P1..P14 (indicadores no levantados). M (% UE/FOB) y O (score de certificación) devuelven «» cuando falta el insumo. H/I venían truncadas a 3 caracteres y se recodificaron a SI/NO/«» desde la fuente (texto original en AR/AS). Un cero medido —por ejemplo, una organización que exporta pero no a la UE— se conserva.</t>
  </si>
  <si>
    <t>Cobertura ISA-PV (n de 7 componentes con dato; PPWR pendiente). ISA-PV se reporta como «—» mientras no se cumpla el umbral (3 de 4 dimensiones D12–D15).</t>
  </si>
  <si>
    <t>UMBRAL ISA-PACTOVERDE (2026-10-15)</t>
  </si>
  <si>
    <t>ISA-PactoVerde se reporta como «—» (sin dato) mientras la organización no alcance el umbral del documento (§2.4): 3 de las 4 dimensiones Pacto Verde D12–D15 con dato. Bajo el umbral un valor de 0 sería una medición falsa. La cobertura por organización está en AQ.</t>
  </si>
  <si>
    <t>ISA-PV se reporta como «—» (sin dato) mientras la organización no alcance 3 de las 4 dimensiones Pacto Verde D12–D15 con dato (medido sobre la captura, NORMALIZADO). Por encima del umbral se repondera sobre los componentes con dato. La cobertura por organización está en MATRIZ_174!AQ.</t>
  </si>
  <si>
    <t>SIN DATO = «—», NUNCA 0 (regla vigente desde 2026-10-15)</t>
  </si>
  <si>
    <t>La falta de dato no se convierte en 0 en ningún nivel: en la base precensal el % UE/FOB, el FOB, el score de certificación y los indicadores P1–P14 aparecen como «—». En el motor, ISA-PactoVerde, ISA-EUDR e IP se reportan «—» cuando no alcanzan su umbral de dimensiones con dato.</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</si>
  <si>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</si>
  <si>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</si>
  <si>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</si>
  <si>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</si>
  <si>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</si>
  <si>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</si>
  <si>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</si>
  <si>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</si>
  <si>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</si>
  <si>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</si>
  <si>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</si>
  <si>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</si>
  <si>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</si>
  <si>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</si>
  <si>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</si>
  <si>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</si>
  <si>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</si>
  <si>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</si>
  <si>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</si>
  <si>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</si>
  <si>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</si>
  <si>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</si>
  <si>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</si>
  <si>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</si>
  <si>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</si>
  <si>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</si>
  <si>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</si>
  <si>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</si>
  <si>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</si>
  <si>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</si>
  <si>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</si>
  <si>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</si>
  <si>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</si>
  <si>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D10 — Certificación
(bandera; solo asesoría puntúa)</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</si>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</sst>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xf numFmtId="0" fontId="1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445</v>
      </c>
      <c r="B1" s="65"/>
      <c r="C1" s="65"/>
      <c r="D1" s="65"/>
      <c r="E1" s="65"/>
      <c r="F1" s="65"/>
      <c r="G1" s="65"/>
      <c r="H1" s="65"/>
    </row>
    <row r="2" spans="1:8" ht="22.05" customHeight="1" x14ac:dyDescent="0.3">
      <c r="A2" s="65" t="s">
        <v>446</v>
      </c>
      <c r="B2" s="65"/>
      <c r="C2" s="65"/>
      <c r="D2" s="65"/>
      <c r="E2" s="65"/>
      <c r="F2" s="65"/>
      <c r="G2" s="65"/>
      <c r="H2" s="65"/>
    </row>
    <row r="4" spans="1:8" ht="18" customHeight="1" x14ac:dyDescent="0.3">
      <c r="A4" s="64" t="s">
        <v>1570</v>
      </c>
      <c r="B4" s="65"/>
      <c r="C4" s="65"/>
      <c r="D4" s="65"/>
      <c r="E4" s="65"/>
      <c r="F4" s="65"/>
      <c r="G4" s="65"/>
      <c r="H4" s="65"/>
    </row>
    <row r="5" spans="1:8" ht="48" customHeight="1" x14ac:dyDescent="0.3">
      <c r="A5" s="66" t="s">
        <v>1571</v>
      </c>
      <c r="B5" s="66"/>
      <c r="C5" s="66"/>
      <c r="D5" s="66"/>
      <c r="E5" s="66"/>
      <c r="F5" s="66"/>
      <c r="G5" s="66"/>
      <c r="H5" s="66"/>
    </row>
    <row r="7" spans="1:8" ht="18" customHeight="1" x14ac:dyDescent="0.3">
      <c r="A7" s="65" t="s">
        <v>447</v>
      </c>
      <c r="B7" s="65"/>
      <c r="C7" s="65"/>
      <c r="D7" s="65"/>
      <c r="E7" s="65"/>
      <c r="F7" s="65"/>
      <c r="G7" s="65"/>
      <c r="H7" s="65"/>
    </row>
    <row r="8" spans="1:8" x14ac:dyDescent="0.3">
      <c r="A8" s="66" t="s">
        <v>448</v>
      </c>
      <c r="B8" s="65"/>
      <c r="C8" s="65"/>
      <c r="D8" s="65"/>
      <c r="E8" s="65"/>
      <c r="F8" s="65"/>
      <c r="G8" s="65"/>
      <c r="H8" s="65"/>
    </row>
    <row r="10" spans="1:8" ht="18" customHeight="1" x14ac:dyDescent="0.3">
      <c r="A10" s="65" t="s">
        <v>449</v>
      </c>
      <c r="B10" s="65"/>
      <c r="C10" s="65"/>
      <c r="D10" s="65"/>
      <c r="E10" s="65"/>
      <c r="F10" s="65"/>
      <c r="G10" s="65"/>
      <c r="H10" s="65"/>
    </row>
    <row r="11" spans="1:8" x14ac:dyDescent="0.3">
      <c r="A11" t="s">
        <v>450</v>
      </c>
      <c r="B11" s="65" t="s">
        <v>451</v>
      </c>
      <c r="C11" s="65"/>
      <c r="D11" s="65"/>
      <c r="E11" s="65"/>
      <c r="F11" s="65"/>
      <c r="G11" s="65"/>
      <c r="H11" s="65"/>
    </row>
    <row r="12" spans="1:8" x14ac:dyDescent="0.3">
      <c r="A12" t="s">
        <v>452</v>
      </c>
      <c r="B12" s="65" t="s">
        <v>453</v>
      </c>
      <c r="C12" s="65"/>
      <c r="D12" s="65"/>
      <c r="E12" s="65"/>
      <c r="F12" s="65"/>
      <c r="G12" s="65"/>
      <c r="H12" s="65"/>
    </row>
    <row r="13" spans="1:8" x14ac:dyDescent="0.3">
      <c r="A13" t="s">
        <v>454</v>
      </c>
      <c r="B13" s="65" t="s">
        <v>1523</v>
      </c>
      <c r="C13" s="65"/>
      <c r="D13" s="65"/>
      <c r="E13" s="65"/>
      <c r="F13" s="65"/>
      <c r="G13" s="65"/>
      <c r="H13" s="65"/>
    </row>
    <row r="14" spans="1:8" x14ac:dyDescent="0.3">
      <c r="A14" t="s">
        <v>455</v>
      </c>
      <c r="B14" s="65" t="s">
        <v>456</v>
      </c>
      <c r="C14" s="65"/>
      <c r="D14" s="65"/>
      <c r="E14" s="65"/>
      <c r="F14" s="65"/>
      <c r="G14" s="65"/>
      <c r="H14" s="65"/>
    </row>
    <row r="15" spans="1:8" x14ac:dyDescent="0.3">
      <c r="A15" t="s">
        <v>457</v>
      </c>
      <c r="B15" s="65" t="s">
        <v>458</v>
      </c>
      <c r="C15" s="65"/>
      <c r="D15" s="65"/>
      <c r="E15" s="65"/>
      <c r="F15" s="65"/>
      <c r="G15" s="65"/>
      <c r="H15" s="65"/>
    </row>
    <row r="17" spans="1:8" ht="18" customHeight="1" x14ac:dyDescent="0.3">
      <c r="A17" s="65" t="s">
        <v>459</v>
      </c>
      <c r="B17" s="65"/>
      <c r="C17" s="65"/>
      <c r="D17" s="65"/>
      <c r="E17" s="65"/>
      <c r="F17" s="65"/>
      <c r="G17" s="65"/>
      <c r="H17" s="65"/>
    </row>
    <row r="18" spans="1:8" x14ac:dyDescent="0.3">
      <c r="A18" t="s">
        <v>460</v>
      </c>
      <c r="B18" s="65" t="s">
        <v>461</v>
      </c>
      <c r="C18" s="65"/>
      <c r="D18" s="65"/>
      <c r="E18" s="65"/>
      <c r="F18" s="65"/>
      <c r="G18" s="65"/>
      <c r="H18" s="65"/>
    </row>
    <row r="19" spans="1:8" x14ac:dyDescent="0.3">
      <c r="A19" t="s">
        <v>462</v>
      </c>
      <c r="B19" s="65" t="s">
        <v>463</v>
      </c>
      <c r="C19" s="65"/>
      <c r="D19" s="65"/>
      <c r="E19" s="65"/>
      <c r="F19" s="65"/>
      <c r="G19" s="65"/>
      <c r="H19" s="65"/>
    </row>
    <row r="20" spans="1:8" x14ac:dyDescent="0.3">
      <c r="A20" t="s">
        <v>464</v>
      </c>
      <c r="B20" s="65" t="s">
        <v>465</v>
      </c>
      <c r="C20" s="65"/>
      <c r="D20" s="65"/>
      <c r="E20" s="65"/>
      <c r="F20" s="65"/>
      <c r="G20" s="65"/>
      <c r="H20" s="65"/>
    </row>
    <row r="22" spans="1:8" ht="18" customHeight="1" x14ac:dyDescent="0.3">
      <c r="A22" s="65" t="s">
        <v>466</v>
      </c>
      <c r="B22" s="65"/>
      <c r="C22" s="65"/>
      <c r="D22" s="65"/>
      <c r="E22" s="65"/>
      <c r="F22" s="65"/>
      <c r="G22" s="65"/>
      <c r="H22" s="65"/>
    </row>
    <row r="23" spans="1:8" x14ac:dyDescent="0.3">
      <c r="A23" s="66" t="s">
        <v>467</v>
      </c>
      <c r="B23" s="65"/>
      <c r="C23" s="65"/>
      <c r="D23" s="65"/>
      <c r="E23" s="65"/>
      <c r="F23" s="65"/>
      <c r="G23" s="65"/>
      <c r="H23" s="65"/>
    </row>
    <row r="24" spans="1:8" x14ac:dyDescent="0.3">
      <c r="A24" s="66" t="s">
        <v>468</v>
      </c>
      <c r="B24" s="65"/>
      <c r="C24" s="65"/>
      <c r="D24" s="65"/>
      <c r="E24" s="65"/>
      <c r="F24" s="65"/>
      <c r="G24" s="65"/>
      <c r="H24" s="65"/>
    </row>
    <row r="25" spans="1:8" x14ac:dyDescent="0.3">
      <c r="A25" s="66" t="s">
        <v>469</v>
      </c>
      <c r="B25" s="65"/>
      <c r="C25" s="65"/>
      <c r="D25" s="65"/>
      <c r="E25" s="65"/>
      <c r="F25" s="65"/>
      <c r="G25" s="65"/>
      <c r="H25" s="65"/>
    </row>
    <row r="26" spans="1:8" x14ac:dyDescent="0.3">
      <c r="A26" s="66" t="s">
        <v>470</v>
      </c>
      <c r="B26" s="65"/>
      <c r="C26" s="65"/>
      <c r="D26" s="65"/>
      <c r="E26" s="65"/>
      <c r="F26" s="65"/>
      <c r="G26" s="65"/>
      <c r="H26" s="65"/>
    </row>
    <row r="27" spans="1:8" ht="78" customHeight="1" x14ac:dyDescent="0.3">
      <c r="A27" s="67" t="s">
        <v>1524</v>
      </c>
      <c r="B27" s="67"/>
      <c r="C27" s="67"/>
      <c r="D27" s="67"/>
      <c r="E27" s="67"/>
      <c r="F27" s="67"/>
      <c r="G27" s="67"/>
      <c r="H27" s="67"/>
    </row>
    <row r="29" spans="1:8" x14ac:dyDescent="0.3">
      <c r="A29" t="s">
        <v>471</v>
      </c>
    </row>
    <row r="30" spans="1:8" x14ac:dyDescent="0.3">
      <c r="A30" s="51" t="s">
        <v>472</v>
      </c>
      <c r="B30" s="66" t="s">
        <v>473</v>
      </c>
      <c r="C30" s="65"/>
      <c r="D30" s="65"/>
      <c r="E30" s="65"/>
      <c r="F30" s="65"/>
      <c r="G30" s="65"/>
      <c r="H30" s="65"/>
    </row>
    <row r="31" spans="1:8" x14ac:dyDescent="0.3">
      <c r="A31" s="51" t="s">
        <v>474</v>
      </c>
      <c r="B31" s="66" t="s">
        <v>475</v>
      </c>
      <c r="C31" s="65"/>
      <c r="D31" s="65"/>
      <c r="E31" s="65"/>
      <c r="F31" s="65"/>
      <c r="G31" s="65"/>
      <c r="H31" s="65"/>
    </row>
    <row r="32" spans="1:8" x14ac:dyDescent="0.3">
      <c r="A32" s="51" t="s">
        <v>476</v>
      </c>
      <c r="B32" s="66" t="s">
        <v>477</v>
      </c>
      <c r="C32" s="65"/>
      <c r="D32" s="65"/>
      <c r="E32" s="65"/>
      <c r="F32" s="65"/>
      <c r="G32" s="65"/>
      <c r="H32" s="65"/>
    </row>
    <row r="33" spans="1:8" x14ac:dyDescent="0.3">
      <c r="A33" s="51" t="s">
        <v>478</v>
      </c>
      <c r="B33" s="66" t="s">
        <v>479</v>
      </c>
      <c r="C33" s="65"/>
      <c r="D33" s="65"/>
      <c r="E33" s="65"/>
      <c r="F33" s="65"/>
      <c r="G33" s="65"/>
      <c r="H33" s="65"/>
    </row>
    <row r="34" spans="1:8" x14ac:dyDescent="0.3">
      <c r="A34" s="51" t="s">
        <v>480</v>
      </c>
      <c r="B34" s="66" t="s">
        <v>481</v>
      </c>
      <c r="C34" s="65"/>
      <c r="D34" s="65"/>
      <c r="E34" s="65"/>
      <c r="F34" s="65"/>
      <c r="G34" s="65"/>
      <c r="H34" s="65"/>
    </row>
    <row r="35" spans="1:8" x14ac:dyDescent="0.3">
      <c r="A35" s="51" t="s">
        <v>482</v>
      </c>
      <c r="B35" s="66" t="s">
        <v>483</v>
      </c>
      <c r="C35" s="65"/>
      <c r="D35" s="65"/>
      <c r="E35" s="65"/>
      <c r="F35" s="65"/>
      <c r="G35" s="65"/>
      <c r="H35" s="65"/>
    </row>
    <row r="36" spans="1:8" x14ac:dyDescent="0.3">
      <c r="A36" s="51" t="s">
        <v>484</v>
      </c>
      <c r="B36" s="66" t="s">
        <v>485</v>
      </c>
      <c r="C36" s="65"/>
      <c r="D36" s="65"/>
      <c r="E36" s="65"/>
      <c r="F36" s="65"/>
      <c r="G36" s="65"/>
      <c r="H36" s="6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486</v>
      </c>
      <c r="B1" s="65"/>
      <c r="C1" s="65"/>
      <c r="D1" s="65"/>
      <c r="E1" s="65"/>
      <c r="F1" s="65"/>
      <c r="G1" s="65"/>
    </row>
    <row r="2" spans="1:7" ht="28.05" customHeight="1" x14ac:dyDescent="0.3">
      <c r="A2" s="37" t="s">
        <v>487</v>
      </c>
      <c r="B2" s="37" t="s">
        <v>488</v>
      </c>
      <c r="C2" s="37" t="s">
        <v>489</v>
      </c>
      <c r="D2" s="37" t="s">
        <v>490</v>
      </c>
      <c r="E2" s="37" t="s">
        <v>491</v>
      </c>
      <c r="F2" s="37" t="s">
        <v>492</v>
      </c>
      <c r="G2" s="37" t="s">
        <v>493</v>
      </c>
    </row>
    <row r="3" spans="1:7" x14ac:dyDescent="0.3">
      <c r="A3" s="38" t="s">
        <v>494</v>
      </c>
      <c r="B3" s="39" t="s">
        <v>495</v>
      </c>
      <c r="C3" s="38" t="s">
        <v>496</v>
      </c>
      <c r="D3" s="38" t="s">
        <v>497</v>
      </c>
      <c r="E3" s="38" t="s">
        <v>498</v>
      </c>
      <c r="F3" s="38" t="s">
        <v>498</v>
      </c>
      <c r="G3" s="38" t="s">
        <v>499</v>
      </c>
    </row>
    <row r="4" spans="1:7" x14ac:dyDescent="0.3">
      <c r="A4" s="38" t="s">
        <v>494</v>
      </c>
      <c r="B4" s="39" t="s">
        <v>500</v>
      </c>
      <c r="C4" s="38" t="s">
        <v>496</v>
      </c>
      <c r="D4" s="38" t="s">
        <v>501</v>
      </c>
      <c r="E4" s="38" t="s">
        <v>498</v>
      </c>
      <c r="F4" s="38" t="s">
        <v>498</v>
      </c>
      <c r="G4" s="38" t="s">
        <v>502</v>
      </c>
    </row>
    <row r="5" spans="1:7" ht="48" customHeight="1" x14ac:dyDescent="0.3">
      <c r="A5" s="38" t="s">
        <v>494</v>
      </c>
      <c r="B5" s="39" t="s">
        <v>503</v>
      </c>
      <c r="C5" s="38" t="s">
        <v>496</v>
      </c>
      <c r="D5" s="38" t="s">
        <v>504</v>
      </c>
      <c r="E5" s="38" t="s">
        <v>505</v>
      </c>
      <c r="F5" s="38" t="s">
        <v>498</v>
      </c>
      <c r="G5" s="38" t="s">
        <v>506</v>
      </c>
    </row>
    <row r="6" spans="1:7" ht="24" customHeight="1" x14ac:dyDescent="0.3">
      <c r="A6" s="38" t="s">
        <v>507</v>
      </c>
      <c r="B6" s="39" t="s">
        <v>508</v>
      </c>
      <c r="C6" s="38" t="s">
        <v>496</v>
      </c>
      <c r="D6" s="38" t="s">
        <v>509</v>
      </c>
      <c r="E6" s="38" t="s">
        <v>501</v>
      </c>
      <c r="F6" s="38" t="s">
        <v>498</v>
      </c>
      <c r="G6" s="38" t="s">
        <v>510</v>
      </c>
    </row>
    <row r="7" spans="1:7" ht="36" customHeight="1" x14ac:dyDescent="0.3">
      <c r="A7" s="38" t="s">
        <v>507</v>
      </c>
      <c r="B7" s="39" t="s">
        <v>511</v>
      </c>
      <c r="C7" s="38" t="s">
        <v>496</v>
      </c>
      <c r="D7" s="38" t="s">
        <v>21</v>
      </c>
      <c r="E7" s="38" t="s">
        <v>512</v>
      </c>
      <c r="F7" s="38" t="s">
        <v>498</v>
      </c>
      <c r="G7" s="38" t="s">
        <v>513</v>
      </c>
    </row>
    <row r="8" spans="1:7" ht="24" customHeight="1" x14ac:dyDescent="0.3">
      <c r="A8" s="38" t="s">
        <v>507</v>
      </c>
      <c r="B8" s="39" t="s">
        <v>514</v>
      </c>
      <c r="C8" s="38" t="s">
        <v>496</v>
      </c>
      <c r="D8" s="38" t="s">
        <v>515</v>
      </c>
      <c r="E8" s="38" t="s">
        <v>516</v>
      </c>
      <c r="F8" s="38" t="s">
        <v>498</v>
      </c>
      <c r="G8" s="38" t="s">
        <v>517</v>
      </c>
    </row>
    <row r="9" spans="1:7" ht="24" customHeight="1" x14ac:dyDescent="0.3">
      <c r="A9" s="38" t="s">
        <v>507</v>
      </c>
      <c r="B9" s="39" t="s">
        <v>518</v>
      </c>
      <c r="C9" s="38" t="s">
        <v>496</v>
      </c>
      <c r="D9" s="38" t="s">
        <v>519</v>
      </c>
      <c r="E9" s="38" t="s">
        <v>516</v>
      </c>
      <c r="F9" s="38" t="s">
        <v>498</v>
      </c>
      <c r="G9" s="38" t="s">
        <v>520</v>
      </c>
    </row>
    <row r="10" spans="1:7" ht="24" customHeight="1" x14ac:dyDescent="0.3">
      <c r="A10" s="38" t="s">
        <v>507</v>
      </c>
      <c r="B10" s="39" t="s">
        <v>521</v>
      </c>
      <c r="C10" s="38" t="s">
        <v>496</v>
      </c>
      <c r="D10" s="38" t="s">
        <v>522</v>
      </c>
      <c r="E10" s="38" t="s">
        <v>523</v>
      </c>
      <c r="F10" s="38" t="s">
        <v>524</v>
      </c>
      <c r="G10" s="38" t="s">
        <v>525</v>
      </c>
    </row>
    <row r="11" spans="1:7" ht="24" customHeight="1" x14ac:dyDescent="0.3">
      <c r="A11" s="38" t="s">
        <v>507</v>
      </c>
      <c r="B11" s="39" t="s">
        <v>526</v>
      </c>
      <c r="C11" s="38" t="s">
        <v>496</v>
      </c>
      <c r="D11" s="38" t="s">
        <v>527</v>
      </c>
      <c r="E11" s="38" t="s">
        <v>528</v>
      </c>
      <c r="F11" s="38" t="s">
        <v>498</v>
      </c>
      <c r="G11" s="38" t="s">
        <v>529</v>
      </c>
    </row>
    <row r="12" spans="1:7" ht="24" customHeight="1" x14ac:dyDescent="0.3">
      <c r="A12" s="38" t="s">
        <v>507</v>
      </c>
      <c r="B12" s="39" t="s">
        <v>530</v>
      </c>
      <c r="C12" s="38" t="s">
        <v>496</v>
      </c>
      <c r="D12" s="38" t="s">
        <v>531</v>
      </c>
      <c r="E12" s="38" t="s">
        <v>532</v>
      </c>
      <c r="F12" s="38" t="s">
        <v>498</v>
      </c>
      <c r="G12" s="38" t="s">
        <v>533</v>
      </c>
    </row>
    <row r="13" spans="1:7" ht="24" customHeight="1" x14ac:dyDescent="0.3">
      <c r="A13" s="40" t="s">
        <v>507</v>
      </c>
      <c r="B13" s="41" t="s">
        <v>534</v>
      </c>
      <c r="C13" s="40" t="s">
        <v>496</v>
      </c>
      <c r="D13" s="40" t="s">
        <v>535</v>
      </c>
      <c r="E13" s="40" t="s">
        <v>536</v>
      </c>
      <c r="F13" s="40" t="s">
        <v>537</v>
      </c>
      <c r="G13" s="40" t="s">
        <v>538</v>
      </c>
    </row>
    <row r="14" spans="1:7" ht="24" customHeight="1" x14ac:dyDescent="0.3">
      <c r="A14" s="38" t="s">
        <v>507</v>
      </c>
      <c r="B14" s="39" t="s">
        <v>539</v>
      </c>
      <c r="C14" s="38" t="s">
        <v>496</v>
      </c>
      <c r="D14" s="38" t="s">
        <v>540</v>
      </c>
      <c r="E14" s="38" t="s">
        <v>536</v>
      </c>
      <c r="F14" s="38" t="s">
        <v>541</v>
      </c>
      <c r="G14" s="38" t="s">
        <v>542</v>
      </c>
    </row>
    <row r="15" spans="1:7" ht="24" customHeight="1" x14ac:dyDescent="0.3">
      <c r="A15" s="38" t="s">
        <v>507</v>
      </c>
      <c r="B15" s="39" t="s">
        <v>543</v>
      </c>
      <c r="C15" s="38" t="s">
        <v>496</v>
      </c>
      <c r="D15" s="38" t="s">
        <v>544</v>
      </c>
      <c r="E15" s="38" t="s">
        <v>523</v>
      </c>
      <c r="F15" s="38" t="s">
        <v>545</v>
      </c>
      <c r="G15" s="38" t="s">
        <v>546</v>
      </c>
    </row>
    <row r="16" spans="1:7" ht="24" customHeight="1" x14ac:dyDescent="0.3">
      <c r="A16" s="38" t="s">
        <v>507</v>
      </c>
      <c r="B16" s="39" t="s">
        <v>547</v>
      </c>
      <c r="C16" s="38" t="s">
        <v>496</v>
      </c>
      <c r="D16" s="38" t="s">
        <v>548</v>
      </c>
      <c r="E16" s="38" t="s">
        <v>523</v>
      </c>
      <c r="F16" s="38" t="s">
        <v>549</v>
      </c>
      <c r="G16" s="38" t="s">
        <v>546</v>
      </c>
    </row>
    <row r="17" spans="1:7" ht="24" customHeight="1" x14ac:dyDescent="0.3">
      <c r="A17" s="38" t="s">
        <v>507</v>
      </c>
      <c r="B17" s="39" t="s">
        <v>550</v>
      </c>
      <c r="C17" s="38" t="s">
        <v>496</v>
      </c>
      <c r="D17" s="38" t="s">
        <v>551</v>
      </c>
      <c r="E17" s="38" t="s">
        <v>532</v>
      </c>
      <c r="F17" s="38" t="s">
        <v>498</v>
      </c>
      <c r="G17" s="38" t="s">
        <v>552</v>
      </c>
    </row>
    <row r="18" spans="1:7" ht="36" customHeight="1" x14ac:dyDescent="0.3">
      <c r="A18" s="38" t="s">
        <v>507</v>
      </c>
      <c r="B18" s="39" t="s">
        <v>553</v>
      </c>
      <c r="C18" s="38" t="s">
        <v>496</v>
      </c>
      <c r="D18" s="38" t="s">
        <v>554</v>
      </c>
      <c r="E18" s="38" t="s">
        <v>523</v>
      </c>
      <c r="F18" s="38" t="s">
        <v>555</v>
      </c>
      <c r="G18" s="38" t="s">
        <v>556</v>
      </c>
    </row>
    <row r="19" spans="1:7" ht="36" customHeight="1" x14ac:dyDescent="0.3">
      <c r="A19" s="38" t="s">
        <v>507</v>
      </c>
      <c r="B19" s="39" t="s">
        <v>557</v>
      </c>
      <c r="C19" s="38" t="s">
        <v>496</v>
      </c>
      <c r="D19" s="38" t="s">
        <v>558</v>
      </c>
      <c r="E19" s="38" t="s">
        <v>523</v>
      </c>
      <c r="F19" s="38" t="s">
        <v>559</v>
      </c>
      <c r="G19" s="38" t="s">
        <v>556</v>
      </c>
    </row>
    <row r="20" spans="1:7" ht="24" customHeight="1" x14ac:dyDescent="0.3">
      <c r="A20" s="42" t="s">
        <v>507</v>
      </c>
      <c r="B20" s="43" t="s">
        <v>560</v>
      </c>
      <c r="C20" s="42" t="s">
        <v>496</v>
      </c>
      <c r="D20" s="42" t="s">
        <v>561</v>
      </c>
      <c r="E20" s="42" t="s">
        <v>523</v>
      </c>
      <c r="F20" s="42" t="s">
        <v>562</v>
      </c>
      <c r="G20" s="42" t="s">
        <v>563</v>
      </c>
    </row>
    <row r="21" spans="1:7" ht="24" customHeight="1" x14ac:dyDescent="0.3">
      <c r="A21" s="42" t="s">
        <v>507</v>
      </c>
      <c r="B21" s="43" t="s">
        <v>564</v>
      </c>
      <c r="C21" s="42" t="s">
        <v>496</v>
      </c>
      <c r="D21" s="42" t="s">
        <v>565</v>
      </c>
      <c r="E21" s="42" t="s">
        <v>501</v>
      </c>
      <c r="F21" s="42" t="s">
        <v>498</v>
      </c>
      <c r="G21" s="42" t="s">
        <v>566</v>
      </c>
    </row>
    <row r="22" spans="1:7" ht="24" customHeight="1" x14ac:dyDescent="0.3">
      <c r="A22" s="42" t="s">
        <v>507</v>
      </c>
      <c r="B22" s="43" t="s">
        <v>567</v>
      </c>
      <c r="C22" s="42" t="s">
        <v>496</v>
      </c>
      <c r="D22" s="42" t="s">
        <v>568</v>
      </c>
      <c r="E22" s="42" t="s">
        <v>523</v>
      </c>
      <c r="F22" s="42" t="s">
        <v>569</v>
      </c>
      <c r="G22" s="42" t="s">
        <v>570</v>
      </c>
    </row>
    <row r="23" spans="1:7" ht="24" customHeight="1" x14ac:dyDescent="0.3">
      <c r="A23" s="38" t="s">
        <v>571</v>
      </c>
      <c r="B23" s="39" t="s">
        <v>5</v>
      </c>
      <c r="C23" s="38" t="s">
        <v>572</v>
      </c>
      <c r="D23" s="38" t="s">
        <v>573</v>
      </c>
      <c r="E23" s="38" t="s">
        <v>516</v>
      </c>
      <c r="F23" s="38" t="s">
        <v>498</v>
      </c>
      <c r="G23" s="38" t="s">
        <v>574</v>
      </c>
    </row>
    <row r="24" spans="1:7" ht="24" customHeight="1" x14ac:dyDescent="0.3">
      <c r="A24" s="38" t="s">
        <v>571</v>
      </c>
      <c r="B24" s="39" t="s">
        <v>575</v>
      </c>
      <c r="C24" s="38" t="s">
        <v>572</v>
      </c>
      <c r="D24" s="38" t="s">
        <v>576</v>
      </c>
      <c r="E24" s="38" t="s">
        <v>516</v>
      </c>
      <c r="F24" s="38" t="s">
        <v>498</v>
      </c>
      <c r="G24" s="38" t="s">
        <v>574</v>
      </c>
    </row>
    <row r="25" spans="1:7" ht="24" customHeight="1" x14ac:dyDescent="0.3">
      <c r="A25" s="38" t="s">
        <v>571</v>
      </c>
      <c r="B25" s="39" t="s">
        <v>6</v>
      </c>
      <c r="C25" s="38" t="s">
        <v>572</v>
      </c>
      <c r="D25" s="38" t="s">
        <v>577</v>
      </c>
      <c r="E25" s="38" t="s">
        <v>516</v>
      </c>
      <c r="F25" s="38" t="s">
        <v>498</v>
      </c>
      <c r="G25" s="38" t="s">
        <v>578</v>
      </c>
    </row>
    <row r="26" spans="1:7" ht="24" customHeight="1" x14ac:dyDescent="0.3">
      <c r="A26" s="38" t="s">
        <v>571</v>
      </c>
      <c r="B26" s="39" t="s">
        <v>7</v>
      </c>
      <c r="C26" s="38" t="s">
        <v>572</v>
      </c>
      <c r="D26" s="38" t="s">
        <v>579</v>
      </c>
      <c r="E26" s="38" t="s">
        <v>516</v>
      </c>
      <c r="F26" s="38" t="s">
        <v>498</v>
      </c>
      <c r="G26" s="38" t="s">
        <v>580</v>
      </c>
    </row>
    <row r="27" spans="1:7" ht="24" customHeight="1" x14ac:dyDescent="0.3">
      <c r="A27" s="38" t="s">
        <v>571</v>
      </c>
      <c r="B27" s="39" t="s">
        <v>8</v>
      </c>
      <c r="C27" s="38" t="s">
        <v>572</v>
      </c>
      <c r="D27" s="38" t="s">
        <v>581</v>
      </c>
      <c r="E27" s="38" t="s">
        <v>582</v>
      </c>
      <c r="F27" s="38" t="s">
        <v>498</v>
      </c>
      <c r="G27" s="38" t="s">
        <v>574</v>
      </c>
    </row>
    <row r="28" spans="1:7" ht="24" customHeight="1" x14ac:dyDescent="0.3">
      <c r="A28" s="38" t="s">
        <v>571</v>
      </c>
      <c r="B28" s="39" t="s">
        <v>9</v>
      </c>
      <c r="C28" s="38" t="s">
        <v>572</v>
      </c>
      <c r="D28" s="38" t="s">
        <v>583</v>
      </c>
      <c r="E28" s="38" t="s">
        <v>582</v>
      </c>
      <c r="F28" s="38" t="s">
        <v>498</v>
      </c>
      <c r="G28" s="38" t="s">
        <v>578</v>
      </c>
    </row>
    <row r="29" spans="1:7" ht="24" customHeight="1" x14ac:dyDescent="0.3">
      <c r="A29" s="38" t="s">
        <v>571</v>
      </c>
      <c r="B29" s="39" t="s">
        <v>10</v>
      </c>
      <c r="C29" s="38" t="s">
        <v>572</v>
      </c>
      <c r="D29" s="38" t="s">
        <v>584</v>
      </c>
      <c r="E29" s="38" t="s">
        <v>501</v>
      </c>
      <c r="F29" s="38" t="s">
        <v>498</v>
      </c>
      <c r="G29" s="38" t="s">
        <v>585</v>
      </c>
    </row>
    <row r="30" spans="1:7" ht="24" customHeight="1" x14ac:dyDescent="0.3">
      <c r="A30" s="38" t="s">
        <v>571</v>
      </c>
      <c r="B30" s="39" t="s">
        <v>11</v>
      </c>
      <c r="C30" s="38" t="s">
        <v>572</v>
      </c>
      <c r="D30" s="38" t="s">
        <v>586</v>
      </c>
      <c r="E30" s="38" t="s">
        <v>501</v>
      </c>
      <c r="F30" s="38" t="s">
        <v>498</v>
      </c>
      <c r="G30" s="38" t="s">
        <v>585</v>
      </c>
    </row>
    <row r="31" spans="1:7" ht="24" customHeight="1" x14ac:dyDescent="0.3">
      <c r="A31" s="38" t="s">
        <v>571</v>
      </c>
      <c r="B31" s="39" t="s">
        <v>12</v>
      </c>
      <c r="C31" s="38" t="s">
        <v>572</v>
      </c>
      <c r="D31" s="38" t="s">
        <v>587</v>
      </c>
      <c r="E31" s="38" t="s">
        <v>523</v>
      </c>
      <c r="F31" s="38" t="s">
        <v>588</v>
      </c>
      <c r="G31" s="38" t="s">
        <v>589</v>
      </c>
    </row>
    <row r="32" spans="1:7" ht="24" customHeight="1" x14ac:dyDescent="0.3">
      <c r="A32" s="38" t="s">
        <v>571</v>
      </c>
      <c r="B32" s="39" t="s">
        <v>13</v>
      </c>
      <c r="C32" s="38" t="s">
        <v>572</v>
      </c>
      <c r="D32" s="38" t="s">
        <v>590</v>
      </c>
      <c r="E32" s="38" t="s">
        <v>528</v>
      </c>
      <c r="F32" s="38" t="s">
        <v>498</v>
      </c>
      <c r="G32" s="38" t="s">
        <v>591</v>
      </c>
    </row>
    <row r="33" spans="1:7" ht="24" customHeight="1" x14ac:dyDescent="0.3">
      <c r="A33" s="38" t="s">
        <v>571</v>
      </c>
      <c r="B33" s="39" t="s">
        <v>14</v>
      </c>
      <c r="C33" s="38" t="s">
        <v>572</v>
      </c>
      <c r="D33" s="38" t="s">
        <v>592</v>
      </c>
      <c r="E33" s="38" t="s">
        <v>523</v>
      </c>
      <c r="F33" s="38" t="s">
        <v>588</v>
      </c>
      <c r="G33" s="38" t="s">
        <v>593</v>
      </c>
    </row>
    <row r="34" spans="1:7" ht="24" customHeight="1" x14ac:dyDescent="0.3">
      <c r="A34" s="38" t="s">
        <v>571</v>
      </c>
      <c r="B34" s="39" t="s">
        <v>15</v>
      </c>
      <c r="C34" s="38" t="s">
        <v>572</v>
      </c>
      <c r="D34" s="38" t="s">
        <v>594</v>
      </c>
      <c r="E34" s="38" t="s">
        <v>532</v>
      </c>
      <c r="F34" s="38" t="s">
        <v>498</v>
      </c>
      <c r="G34" s="38" t="s">
        <v>595</v>
      </c>
    </row>
    <row r="35" spans="1:7" ht="24" customHeight="1" x14ac:dyDescent="0.3">
      <c r="A35" s="38" t="s">
        <v>571</v>
      </c>
      <c r="B35" s="39" t="s">
        <v>16</v>
      </c>
      <c r="C35" s="38" t="s">
        <v>572</v>
      </c>
      <c r="D35" s="38" t="s">
        <v>596</v>
      </c>
      <c r="E35" s="38" t="s">
        <v>582</v>
      </c>
      <c r="F35" s="38" t="s">
        <v>498</v>
      </c>
      <c r="G35" s="38" t="s">
        <v>597</v>
      </c>
    </row>
    <row r="36" spans="1:7" ht="36" customHeight="1" x14ac:dyDescent="0.3">
      <c r="A36" s="38" t="s">
        <v>571</v>
      </c>
      <c r="B36" s="39" t="s">
        <v>17</v>
      </c>
      <c r="C36" s="38" t="s">
        <v>572</v>
      </c>
      <c r="D36" s="38" t="s">
        <v>598</v>
      </c>
      <c r="E36" s="38" t="s">
        <v>523</v>
      </c>
      <c r="F36" s="38" t="s">
        <v>599</v>
      </c>
      <c r="G36" s="38" t="s">
        <v>593</v>
      </c>
    </row>
    <row r="37" spans="1:7" ht="36" customHeight="1" x14ac:dyDescent="0.3">
      <c r="A37" s="38" t="s">
        <v>571</v>
      </c>
      <c r="B37" s="39" t="s">
        <v>18</v>
      </c>
      <c r="C37" s="38" t="s">
        <v>572</v>
      </c>
      <c r="D37" s="38" t="s">
        <v>600</v>
      </c>
      <c r="E37" s="38" t="s">
        <v>523</v>
      </c>
      <c r="F37" s="38" t="s">
        <v>601</v>
      </c>
      <c r="G37" s="38" t="s">
        <v>602</v>
      </c>
    </row>
    <row r="38" spans="1:7" ht="24" customHeight="1" x14ac:dyDescent="0.3">
      <c r="A38" s="38" t="s">
        <v>603</v>
      </c>
      <c r="B38" s="39" t="s">
        <v>604</v>
      </c>
      <c r="C38" s="38" t="s">
        <v>605</v>
      </c>
      <c r="D38" s="38" t="s">
        <v>606</v>
      </c>
      <c r="E38" s="38" t="s">
        <v>523</v>
      </c>
      <c r="F38" s="38" t="s">
        <v>607</v>
      </c>
      <c r="G38" s="38" t="s">
        <v>608</v>
      </c>
    </row>
    <row r="39" spans="1:7" ht="24" customHeight="1" x14ac:dyDescent="0.3">
      <c r="A39" s="38" t="s">
        <v>603</v>
      </c>
      <c r="B39" s="39" t="s">
        <v>609</v>
      </c>
      <c r="C39" s="38" t="s">
        <v>605</v>
      </c>
      <c r="D39" s="38" t="s">
        <v>610</v>
      </c>
      <c r="E39" s="38" t="s">
        <v>523</v>
      </c>
      <c r="F39" s="38" t="s">
        <v>611</v>
      </c>
      <c r="G39" s="38" t="s">
        <v>612</v>
      </c>
    </row>
    <row r="40" spans="1:7" ht="24" customHeight="1" x14ac:dyDescent="0.3">
      <c r="A40" s="38" t="s">
        <v>603</v>
      </c>
      <c r="B40" s="39" t="s">
        <v>613</v>
      </c>
      <c r="C40" s="38" t="s">
        <v>605</v>
      </c>
      <c r="D40" s="38" t="s">
        <v>614</v>
      </c>
      <c r="E40" s="38" t="s">
        <v>523</v>
      </c>
      <c r="F40" s="38" t="s">
        <v>615</v>
      </c>
      <c r="G40" s="38" t="s">
        <v>616</v>
      </c>
    </row>
    <row r="41" spans="1:7" ht="24" customHeight="1" x14ac:dyDescent="0.3">
      <c r="A41" s="38" t="s">
        <v>603</v>
      </c>
      <c r="B41" s="39" t="s">
        <v>617</v>
      </c>
      <c r="C41" s="38" t="s">
        <v>605</v>
      </c>
      <c r="D41" s="38" t="s">
        <v>618</v>
      </c>
      <c r="E41" s="38" t="s">
        <v>523</v>
      </c>
      <c r="F41" s="38" t="s">
        <v>588</v>
      </c>
      <c r="G41" s="38" t="s">
        <v>616</v>
      </c>
    </row>
    <row r="42" spans="1:7" ht="24" customHeight="1" x14ac:dyDescent="0.3">
      <c r="A42" s="42" t="s">
        <v>603</v>
      </c>
      <c r="B42" s="43" t="s">
        <v>619</v>
      </c>
      <c r="C42" s="42" t="s">
        <v>605</v>
      </c>
      <c r="D42" s="42" t="s">
        <v>620</v>
      </c>
      <c r="E42" s="42" t="s">
        <v>523</v>
      </c>
      <c r="F42" s="42" t="s">
        <v>621</v>
      </c>
      <c r="G42" s="42" t="s">
        <v>616</v>
      </c>
    </row>
    <row r="43" spans="1:7" ht="24" customHeight="1" x14ac:dyDescent="0.3">
      <c r="A43" s="38" t="s">
        <v>622</v>
      </c>
      <c r="B43" s="39" t="s">
        <v>623</v>
      </c>
      <c r="C43" s="38" t="s">
        <v>624</v>
      </c>
      <c r="D43" s="38" t="s">
        <v>625</v>
      </c>
      <c r="E43" s="38" t="s">
        <v>626</v>
      </c>
      <c r="F43" s="38" t="s">
        <v>627</v>
      </c>
      <c r="G43" s="38" t="s">
        <v>628</v>
      </c>
    </row>
    <row r="44" spans="1:7" ht="24" customHeight="1" x14ac:dyDescent="0.3">
      <c r="A44" s="38" t="s">
        <v>622</v>
      </c>
      <c r="B44" s="39" t="s">
        <v>629</v>
      </c>
      <c r="C44" s="38" t="s">
        <v>624</v>
      </c>
      <c r="D44" s="38" t="s">
        <v>630</v>
      </c>
      <c r="E44" s="38" t="s">
        <v>532</v>
      </c>
      <c r="F44" s="38" t="s">
        <v>498</v>
      </c>
      <c r="G44" s="38" t="s">
        <v>628</v>
      </c>
    </row>
    <row r="45" spans="1:7" ht="24" customHeight="1" x14ac:dyDescent="0.3">
      <c r="A45" s="38" t="s">
        <v>622</v>
      </c>
      <c r="B45" s="39" t="s">
        <v>631</v>
      </c>
      <c r="C45" s="38" t="s">
        <v>624</v>
      </c>
      <c r="D45" s="38" t="s">
        <v>632</v>
      </c>
      <c r="E45" s="38" t="s">
        <v>626</v>
      </c>
      <c r="F45" s="38" t="s">
        <v>633</v>
      </c>
      <c r="G45" s="38" t="s">
        <v>628</v>
      </c>
    </row>
    <row r="46" spans="1:7" ht="24" customHeight="1" x14ac:dyDescent="0.3">
      <c r="A46" s="38" t="s">
        <v>622</v>
      </c>
      <c r="B46" s="39" t="s">
        <v>634</v>
      </c>
      <c r="C46" s="38" t="s">
        <v>624</v>
      </c>
      <c r="D46" s="38" t="s">
        <v>635</v>
      </c>
      <c r="E46" s="38" t="s">
        <v>523</v>
      </c>
      <c r="F46" s="38" t="s">
        <v>636</v>
      </c>
      <c r="G46" s="38" t="s">
        <v>628</v>
      </c>
    </row>
    <row r="47" spans="1:7" ht="24" customHeight="1" x14ac:dyDescent="0.3">
      <c r="A47" s="38" t="s">
        <v>622</v>
      </c>
      <c r="B47" s="39" t="s">
        <v>637</v>
      </c>
      <c r="C47" s="38" t="s">
        <v>624</v>
      </c>
      <c r="D47" s="38" t="s">
        <v>638</v>
      </c>
      <c r="E47" s="38" t="s">
        <v>523</v>
      </c>
      <c r="F47" s="38" t="s">
        <v>639</v>
      </c>
      <c r="G47" s="38" t="s">
        <v>628</v>
      </c>
    </row>
    <row r="48" spans="1:7" ht="24" customHeight="1" x14ac:dyDescent="0.3">
      <c r="A48" s="38" t="s">
        <v>622</v>
      </c>
      <c r="B48" s="39" t="s">
        <v>640</v>
      </c>
      <c r="C48" s="38" t="s">
        <v>624</v>
      </c>
      <c r="D48" s="38" t="s">
        <v>641</v>
      </c>
      <c r="E48" s="38" t="s">
        <v>523</v>
      </c>
      <c r="F48" s="38" t="s">
        <v>642</v>
      </c>
      <c r="G48" s="38" t="s">
        <v>643</v>
      </c>
    </row>
    <row r="49" spans="1:7" ht="24" customHeight="1" x14ac:dyDescent="0.3">
      <c r="A49" s="42" t="s">
        <v>622</v>
      </c>
      <c r="B49" s="43" t="s">
        <v>644</v>
      </c>
      <c r="C49" s="42" t="s">
        <v>624</v>
      </c>
      <c r="D49" s="42" t="s">
        <v>645</v>
      </c>
      <c r="E49" s="42" t="s">
        <v>523</v>
      </c>
      <c r="F49" s="42" t="s">
        <v>646</v>
      </c>
      <c r="G49" s="42" t="s">
        <v>628</v>
      </c>
    </row>
    <row r="50" spans="1:7" ht="36" customHeight="1" x14ac:dyDescent="0.3">
      <c r="A50" s="42" t="s">
        <v>622</v>
      </c>
      <c r="B50" s="43" t="s">
        <v>647</v>
      </c>
      <c r="C50" s="42" t="s">
        <v>624</v>
      </c>
      <c r="D50" s="42" t="s">
        <v>648</v>
      </c>
      <c r="E50" s="42" t="s">
        <v>523</v>
      </c>
      <c r="F50" s="42" t="s">
        <v>649</v>
      </c>
      <c r="G50" s="42" t="s">
        <v>650</v>
      </c>
    </row>
    <row r="51" spans="1:7" ht="24" customHeight="1" x14ac:dyDescent="0.3">
      <c r="A51" s="38" t="s">
        <v>651</v>
      </c>
      <c r="B51" s="39" t="s">
        <v>652</v>
      </c>
      <c r="C51" s="38" t="s">
        <v>653</v>
      </c>
      <c r="D51" s="38" t="s">
        <v>654</v>
      </c>
      <c r="E51" s="38" t="s">
        <v>532</v>
      </c>
      <c r="F51" s="38" t="s">
        <v>498</v>
      </c>
      <c r="G51" s="38" t="s">
        <v>655</v>
      </c>
    </row>
    <row r="52" spans="1:7" ht="24" customHeight="1" x14ac:dyDescent="0.3">
      <c r="A52" s="40" t="s">
        <v>651</v>
      </c>
      <c r="B52" s="41" t="s">
        <v>656</v>
      </c>
      <c r="C52" s="40" t="s">
        <v>653</v>
      </c>
      <c r="D52" s="40" t="s">
        <v>657</v>
      </c>
      <c r="E52" s="40" t="s">
        <v>523</v>
      </c>
      <c r="F52" s="40" t="s">
        <v>658</v>
      </c>
      <c r="G52" s="40" t="s">
        <v>655</v>
      </c>
    </row>
    <row r="53" spans="1:7" ht="24" customHeight="1" x14ac:dyDescent="0.3">
      <c r="A53" s="38" t="s">
        <v>651</v>
      </c>
      <c r="B53" s="39" t="s">
        <v>659</v>
      </c>
      <c r="C53" s="38" t="s">
        <v>653</v>
      </c>
      <c r="D53" s="38" t="s">
        <v>660</v>
      </c>
      <c r="E53" s="38" t="s">
        <v>626</v>
      </c>
      <c r="F53" s="38" t="s">
        <v>633</v>
      </c>
      <c r="G53" s="38" t="s">
        <v>655</v>
      </c>
    </row>
    <row r="54" spans="1:7" ht="24" customHeight="1" x14ac:dyDescent="0.3">
      <c r="A54" s="38" t="s">
        <v>651</v>
      </c>
      <c r="B54" s="39" t="s">
        <v>661</v>
      </c>
      <c r="C54" s="38" t="s">
        <v>653</v>
      </c>
      <c r="D54" s="38" t="s">
        <v>662</v>
      </c>
      <c r="E54" s="38" t="s">
        <v>523</v>
      </c>
      <c r="F54" s="38" t="s">
        <v>663</v>
      </c>
      <c r="G54" s="38" t="s">
        <v>655</v>
      </c>
    </row>
    <row r="55" spans="1:7" ht="24" customHeight="1" x14ac:dyDescent="0.3">
      <c r="A55" s="38" t="s">
        <v>651</v>
      </c>
      <c r="B55" s="39" t="s">
        <v>664</v>
      </c>
      <c r="C55" s="38" t="s">
        <v>653</v>
      </c>
      <c r="D55" s="38" t="s">
        <v>665</v>
      </c>
      <c r="E55" s="38" t="s">
        <v>523</v>
      </c>
      <c r="F55" s="38" t="s">
        <v>666</v>
      </c>
      <c r="G55" s="38" t="s">
        <v>655</v>
      </c>
    </row>
    <row r="56" spans="1:7" ht="24" customHeight="1" x14ac:dyDescent="0.3">
      <c r="A56" s="38" t="s">
        <v>651</v>
      </c>
      <c r="B56" s="39" t="s">
        <v>667</v>
      </c>
      <c r="C56" s="38" t="s">
        <v>653</v>
      </c>
      <c r="D56" s="38" t="s">
        <v>668</v>
      </c>
      <c r="E56" s="38" t="s">
        <v>523</v>
      </c>
      <c r="F56" s="38" t="s">
        <v>669</v>
      </c>
      <c r="G56" s="38" t="s">
        <v>655</v>
      </c>
    </row>
    <row r="57" spans="1:7" ht="24" customHeight="1" x14ac:dyDescent="0.3">
      <c r="A57" s="38" t="s">
        <v>651</v>
      </c>
      <c r="B57" s="39" t="s">
        <v>670</v>
      </c>
      <c r="C57" s="38" t="s">
        <v>653</v>
      </c>
      <c r="D57" s="38" t="s">
        <v>671</v>
      </c>
      <c r="E57" s="38" t="s">
        <v>523</v>
      </c>
      <c r="F57" s="38" t="s">
        <v>588</v>
      </c>
      <c r="G57" s="38" t="s">
        <v>655</v>
      </c>
    </row>
    <row r="58" spans="1:7" ht="72" customHeight="1" x14ac:dyDescent="0.3">
      <c r="A58" s="38" t="s">
        <v>651</v>
      </c>
      <c r="B58" s="39" t="s">
        <v>672</v>
      </c>
      <c r="C58" s="38" t="s">
        <v>653</v>
      </c>
      <c r="D58" s="38" t="s">
        <v>673</v>
      </c>
      <c r="E58" s="38" t="s">
        <v>523</v>
      </c>
      <c r="F58" s="38" t="s">
        <v>674</v>
      </c>
      <c r="G58" s="38" t="s">
        <v>655</v>
      </c>
    </row>
    <row r="59" spans="1:7" ht="24" customHeight="1" x14ac:dyDescent="0.3">
      <c r="A59" s="38" t="s">
        <v>651</v>
      </c>
      <c r="B59" s="39" t="s">
        <v>675</v>
      </c>
      <c r="C59" s="38" t="s">
        <v>653</v>
      </c>
      <c r="D59" s="38" t="s">
        <v>676</v>
      </c>
      <c r="E59" s="38" t="s">
        <v>523</v>
      </c>
      <c r="F59" s="38" t="s">
        <v>677</v>
      </c>
      <c r="G59" s="38" t="s">
        <v>655</v>
      </c>
    </row>
    <row r="60" spans="1:7" ht="24" customHeight="1" x14ac:dyDescent="0.3">
      <c r="A60" s="38" t="s">
        <v>651</v>
      </c>
      <c r="B60" s="39" t="s">
        <v>678</v>
      </c>
      <c r="C60" s="38" t="s">
        <v>653</v>
      </c>
      <c r="D60" s="38" t="s">
        <v>679</v>
      </c>
      <c r="E60" s="38" t="s">
        <v>523</v>
      </c>
      <c r="F60" s="38" t="s">
        <v>680</v>
      </c>
      <c r="G60" s="38" t="s">
        <v>655</v>
      </c>
    </row>
    <row r="61" spans="1:7" ht="36" customHeight="1" x14ac:dyDescent="0.3">
      <c r="A61" s="38" t="s">
        <v>651</v>
      </c>
      <c r="B61" s="39" t="s">
        <v>681</v>
      </c>
      <c r="C61" s="38" t="s">
        <v>653</v>
      </c>
      <c r="D61" s="38" t="s">
        <v>682</v>
      </c>
      <c r="E61" s="38" t="s">
        <v>523</v>
      </c>
      <c r="F61" s="38" t="s">
        <v>683</v>
      </c>
      <c r="G61" s="38" t="s">
        <v>655</v>
      </c>
    </row>
    <row r="62" spans="1:7" ht="36" customHeight="1" x14ac:dyDescent="0.3">
      <c r="A62" s="42" t="s">
        <v>651</v>
      </c>
      <c r="B62" s="43" t="s">
        <v>684</v>
      </c>
      <c r="C62" s="42" t="s">
        <v>653</v>
      </c>
      <c r="D62" s="42" t="s">
        <v>685</v>
      </c>
      <c r="E62" s="42" t="s">
        <v>523</v>
      </c>
      <c r="F62" s="42" t="s">
        <v>686</v>
      </c>
      <c r="G62" s="42" t="s">
        <v>655</v>
      </c>
    </row>
    <row r="63" spans="1:7" ht="24" customHeight="1" x14ac:dyDescent="0.3">
      <c r="A63" s="42" t="s">
        <v>651</v>
      </c>
      <c r="B63" s="43" t="s">
        <v>687</v>
      </c>
      <c r="C63" s="42" t="s">
        <v>653</v>
      </c>
      <c r="D63" s="42" t="s">
        <v>688</v>
      </c>
      <c r="E63" s="42" t="s">
        <v>523</v>
      </c>
      <c r="F63" s="42" t="s">
        <v>689</v>
      </c>
      <c r="G63" s="42" t="s">
        <v>690</v>
      </c>
    </row>
    <row r="64" spans="1:7" ht="36" customHeight="1" x14ac:dyDescent="0.3">
      <c r="A64" s="40" t="s">
        <v>691</v>
      </c>
      <c r="B64" s="41" t="s">
        <v>692</v>
      </c>
      <c r="C64" s="40" t="s">
        <v>693</v>
      </c>
      <c r="D64" s="40" t="s">
        <v>694</v>
      </c>
      <c r="E64" s="40" t="s">
        <v>523</v>
      </c>
      <c r="F64" s="40" t="s">
        <v>695</v>
      </c>
      <c r="G64" s="40" t="s">
        <v>696</v>
      </c>
    </row>
    <row r="65" spans="1:7" ht="24" customHeight="1" x14ac:dyDescent="0.3">
      <c r="A65" s="38" t="s">
        <v>691</v>
      </c>
      <c r="B65" s="39" t="s">
        <v>697</v>
      </c>
      <c r="C65" s="38" t="s">
        <v>693</v>
      </c>
      <c r="D65" s="38" t="s">
        <v>698</v>
      </c>
      <c r="E65" s="38" t="s">
        <v>626</v>
      </c>
      <c r="F65" s="38" t="s">
        <v>633</v>
      </c>
      <c r="G65" s="38" t="s">
        <v>696</v>
      </c>
    </row>
    <row r="66" spans="1:7" ht="24" customHeight="1" x14ac:dyDescent="0.3">
      <c r="A66" s="38" t="s">
        <v>691</v>
      </c>
      <c r="B66" s="39" t="s">
        <v>699</v>
      </c>
      <c r="C66" s="38" t="s">
        <v>693</v>
      </c>
      <c r="D66" s="38" t="s">
        <v>700</v>
      </c>
      <c r="E66" s="38" t="s">
        <v>523</v>
      </c>
      <c r="F66" s="38" t="s">
        <v>701</v>
      </c>
      <c r="G66" s="38" t="s">
        <v>696</v>
      </c>
    </row>
    <row r="67" spans="1:7" ht="24" customHeight="1" x14ac:dyDescent="0.3">
      <c r="A67" s="42" t="s">
        <v>691</v>
      </c>
      <c r="B67" s="43" t="s">
        <v>702</v>
      </c>
      <c r="C67" s="42" t="s">
        <v>693</v>
      </c>
      <c r="D67" s="42" t="s">
        <v>703</v>
      </c>
      <c r="E67" s="42" t="s">
        <v>523</v>
      </c>
      <c r="F67" s="42" t="s">
        <v>704</v>
      </c>
      <c r="G67" s="42" t="s">
        <v>705</v>
      </c>
    </row>
    <row r="68" spans="1:7" ht="24" customHeight="1" x14ac:dyDescent="0.3">
      <c r="A68" s="38" t="s">
        <v>706</v>
      </c>
      <c r="B68" s="39" t="s">
        <v>707</v>
      </c>
      <c r="C68" s="38" t="s">
        <v>708</v>
      </c>
      <c r="D68" s="38" t="s">
        <v>709</v>
      </c>
      <c r="E68" s="38" t="s">
        <v>626</v>
      </c>
      <c r="F68" s="38" t="s">
        <v>633</v>
      </c>
      <c r="G68" s="38" t="s">
        <v>710</v>
      </c>
    </row>
    <row r="69" spans="1:7" ht="36" customHeight="1" x14ac:dyDescent="0.3">
      <c r="A69" s="38" t="s">
        <v>706</v>
      </c>
      <c r="B69" s="39" t="s">
        <v>711</v>
      </c>
      <c r="C69" s="38" t="s">
        <v>708</v>
      </c>
      <c r="D69" s="38" t="s">
        <v>712</v>
      </c>
      <c r="E69" s="38" t="s">
        <v>626</v>
      </c>
      <c r="F69" s="38" t="s">
        <v>633</v>
      </c>
      <c r="G69" s="38" t="s">
        <v>710</v>
      </c>
    </row>
    <row r="70" spans="1:7" ht="24" customHeight="1" x14ac:dyDescent="0.3">
      <c r="A70" s="38" t="s">
        <v>706</v>
      </c>
      <c r="B70" s="39" t="s">
        <v>713</v>
      </c>
      <c r="C70" s="38" t="s">
        <v>708</v>
      </c>
      <c r="D70" s="38" t="s">
        <v>714</v>
      </c>
      <c r="E70" s="38" t="s">
        <v>523</v>
      </c>
      <c r="F70" s="38" t="s">
        <v>715</v>
      </c>
      <c r="G70" s="38" t="s">
        <v>710</v>
      </c>
    </row>
    <row r="71" spans="1:7" ht="24" customHeight="1" x14ac:dyDescent="0.3">
      <c r="A71" s="38" t="s">
        <v>706</v>
      </c>
      <c r="B71" s="39" t="s">
        <v>716</v>
      </c>
      <c r="C71" s="38" t="s">
        <v>708</v>
      </c>
      <c r="D71" s="38" t="s">
        <v>717</v>
      </c>
      <c r="E71" s="38" t="s">
        <v>523</v>
      </c>
      <c r="F71" s="38" t="s">
        <v>718</v>
      </c>
      <c r="G71" s="38" t="s">
        <v>710</v>
      </c>
    </row>
    <row r="72" spans="1:7" ht="48" customHeight="1" x14ac:dyDescent="0.3">
      <c r="A72" s="38" t="s">
        <v>706</v>
      </c>
      <c r="B72" s="39" t="s">
        <v>719</v>
      </c>
      <c r="C72" s="38" t="s">
        <v>708</v>
      </c>
      <c r="D72" s="38" t="s">
        <v>720</v>
      </c>
      <c r="E72" s="38" t="s">
        <v>536</v>
      </c>
      <c r="F72" s="38" t="s">
        <v>721</v>
      </c>
      <c r="G72" s="38" t="s">
        <v>710</v>
      </c>
    </row>
    <row r="73" spans="1:7" ht="24" customHeight="1" x14ac:dyDescent="0.3">
      <c r="A73" s="38" t="s">
        <v>706</v>
      </c>
      <c r="B73" s="39" t="s">
        <v>722</v>
      </c>
      <c r="C73" s="38" t="s">
        <v>708</v>
      </c>
      <c r="D73" s="38" t="s">
        <v>723</v>
      </c>
      <c r="E73" s="38" t="s">
        <v>523</v>
      </c>
      <c r="F73" s="38" t="s">
        <v>724</v>
      </c>
      <c r="G73" s="38" t="s">
        <v>710</v>
      </c>
    </row>
    <row r="74" spans="1:7" ht="24" customHeight="1" x14ac:dyDescent="0.3">
      <c r="A74" s="38" t="s">
        <v>706</v>
      </c>
      <c r="B74" s="39" t="s">
        <v>725</v>
      </c>
      <c r="C74" s="38" t="s">
        <v>708</v>
      </c>
      <c r="D74" s="38" t="s">
        <v>726</v>
      </c>
      <c r="E74" s="38" t="s">
        <v>523</v>
      </c>
      <c r="F74" s="38" t="s">
        <v>727</v>
      </c>
      <c r="G74" s="38" t="s">
        <v>710</v>
      </c>
    </row>
    <row r="75" spans="1:7" ht="24" customHeight="1" x14ac:dyDescent="0.3">
      <c r="A75" s="38" t="s">
        <v>706</v>
      </c>
      <c r="B75" s="39" t="s">
        <v>728</v>
      </c>
      <c r="C75" s="38" t="s">
        <v>708</v>
      </c>
      <c r="D75" s="38" t="s">
        <v>729</v>
      </c>
      <c r="E75" s="38" t="s">
        <v>523</v>
      </c>
      <c r="F75" s="38" t="s">
        <v>730</v>
      </c>
      <c r="G75" s="38" t="s">
        <v>710</v>
      </c>
    </row>
    <row r="76" spans="1:7" ht="36" customHeight="1" x14ac:dyDescent="0.3">
      <c r="A76" s="38" t="s">
        <v>706</v>
      </c>
      <c r="B76" s="39" t="s">
        <v>731</v>
      </c>
      <c r="C76" s="38" t="s">
        <v>708</v>
      </c>
      <c r="D76" s="38" t="s">
        <v>732</v>
      </c>
      <c r="E76" s="38" t="s">
        <v>523</v>
      </c>
      <c r="F76" s="38" t="s">
        <v>733</v>
      </c>
      <c r="G76" s="38" t="s">
        <v>710</v>
      </c>
    </row>
    <row r="77" spans="1:7" ht="24" customHeight="1" x14ac:dyDescent="0.3">
      <c r="A77" s="40" t="s">
        <v>734</v>
      </c>
      <c r="B77" s="41" t="s">
        <v>735</v>
      </c>
      <c r="C77" s="40" t="s">
        <v>736</v>
      </c>
      <c r="D77" s="40" t="s">
        <v>737</v>
      </c>
      <c r="E77" s="40" t="s">
        <v>523</v>
      </c>
      <c r="F77" s="40" t="s">
        <v>738</v>
      </c>
      <c r="G77" s="40" t="s">
        <v>739</v>
      </c>
    </row>
    <row r="78" spans="1:7" ht="36" customHeight="1" x14ac:dyDescent="0.3">
      <c r="A78" s="38" t="s">
        <v>734</v>
      </c>
      <c r="B78" s="39" t="s">
        <v>740</v>
      </c>
      <c r="C78" s="38" t="s">
        <v>736</v>
      </c>
      <c r="D78" s="38" t="s">
        <v>741</v>
      </c>
      <c r="E78" s="38" t="s">
        <v>523</v>
      </c>
      <c r="F78" s="38" t="s">
        <v>742</v>
      </c>
      <c r="G78" s="38" t="s">
        <v>739</v>
      </c>
    </row>
    <row r="79" spans="1:7" ht="36" customHeight="1" x14ac:dyDescent="0.3">
      <c r="A79" s="38" t="s">
        <v>734</v>
      </c>
      <c r="B79" s="39" t="s">
        <v>743</v>
      </c>
      <c r="C79" s="38" t="s">
        <v>736</v>
      </c>
      <c r="D79" s="38" t="s">
        <v>744</v>
      </c>
      <c r="E79" s="38" t="s">
        <v>523</v>
      </c>
      <c r="F79" s="38" t="s">
        <v>745</v>
      </c>
      <c r="G79" s="38" t="s">
        <v>739</v>
      </c>
    </row>
    <row r="80" spans="1:7" ht="24" customHeight="1" x14ac:dyDescent="0.3">
      <c r="A80" s="38" t="s">
        <v>734</v>
      </c>
      <c r="B80" s="39" t="s">
        <v>746</v>
      </c>
      <c r="C80" s="38" t="s">
        <v>736</v>
      </c>
      <c r="D80" s="38" t="s">
        <v>747</v>
      </c>
      <c r="E80" s="38" t="s">
        <v>523</v>
      </c>
      <c r="F80" s="38" t="s">
        <v>748</v>
      </c>
      <c r="G80" s="38" t="s">
        <v>739</v>
      </c>
    </row>
    <row r="81" spans="1:7" ht="24" customHeight="1" x14ac:dyDescent="0.3">
      <c r="A81" s="38" t="s">
        <v>734</v>
      </c>
      <c r="B81" s="39" t="s">
        <v>749</v>
      </c>
      <c r="C81" s="38" t="s">
        <v>736</v>
      </c>
      <c r="D81" s="38" t="s">
        <v>750</v>
      </c>
      <c r="E81" s="38" t="s">
        <v>523</v>
      </c>
      <c r="F81" s="38" t="s">
        <v>751</v>
      </c>
      <c r="G81" s="38" t="s">
        <v>739</v>
      </c>
    </row>
    <row r="82" spans="1:7" ht="24" customHeight="1" x14ac:dyDescent="0.3">
      <c r="A82" s="38" t="s">
        <v>734</v>
      </c>
      <c r="B82" s="39" t="s">
        <v>752</v>
      </c>
      <c r="C82" s="38" t="s">
        <v>736</v>
      </c>
      <c r="D82" s="38" t="s">
        <v>753</v>
      </c>
      <c r="E82" s="38" t="s">
        <v>523</v>
      </c>
      <c r="F82" s="38" t="s">
        <v>754</v>
      </c>
      <c r="G82" s="38" t="s">
        <v>739</v>
      </c>
    </row>
    <row r="83" spans="1:7" ht="48" customHeight="1" x14ac:dyDescent="0.3">
      <c r="A83" s="38" t="s">
        <v>734</v>
      </c>
      <c r="B83" s="39" t="s">
        <v>755</v>
      </c>
      <c r="C83" s="38" t="s">
        <v>736</v>
      </c>
      <c r="D83" s="38" t="s">
        <v>756</v>
      </c>
      <c r="E83" s="38" t="s">
        <v>523</v>
      </c>
      <c r="F83" s="38" t="s">
        <v>757</v>
      </c>
      <c r="G83" s="38" t="s">
        <v>739</v>
      </c>
    </row>
    <row r="84" spans="1:7" ht="36" customHeight="1" x14ac:dyDescent="0.3">
      <c r="A84" s="38" t="s">
        <v>734</v>
      </c>
      <c r="B84" s="39" t="s">
        <v>758</v>
      </c>
      <c r="C84" s="38" t="s">
        <v>736</v>
      </c>
      <c r="D84" s="38" t="s">
        <v>759</v>
      </c>
      <c r="E84" s="38" t="s">
        <v>523</v>
      </c>
      <c r="F84" s="38" t="s">
        <v>760</v>
      </c>
      <c r="G84" s="38" t="s">
        <v>739</v>
      </c>
    </row>
    <row r="85" spans="1:7" ht="24" customHeight="1" x14ac:dyDescent="0.3">
      <c r="A85" s="42" t="s">
        <v>734</v>
      </c>
      <c r="B85" s="43" t="s">
        <v>761</v>
      </c>
      <c r="C85" s="42" t="s">
        <v>736</v>
      </c>
      <c r="D85" s="42" t="s">
        <v>762</v>
      </c>
      <c r="E85" s="42" t="s">
        <v>523</v>
      </c>
      <c r="F85" s="42" t="s">
        <v>763</v>
      </c>
      <c r="G85" s="42" t="s">
        <v>739</v>
      </c>
    </row>
    <row r="86" spans="1:7" ht="24" customHeight="1" x14ac:dyDescent="0.3">
      <c r="A86" s="38" t="s">
        <v>764</v>
      </c>
      <c r="B86" s="39" t="s">
        <v>765</v>
      </c>
      <c r="C86" s="38" t="s">
        <v>766</v>
      </c>
      <c r="D86" s="38" t="s">
        <v>767</v>
      </c>
      <c r="E86" s="38" t="s">
        <v>523</v>
      </c>
      <c r="F86" s="38" t="s">
        <v>768</v>
      </c>
      <c r="G86" s="38" t="s">
        <v>769</v>
      </c>
    </row>
    <row r="87" spans="1:7" ht="24" customHeight="1" x14ac:dyDescent="0.3">
      <c r="A87" s="38" t="s">
        <v>764</v>
      </c>
      <c r="B87" s="39" t="s">
        <v>770</v>
      </c>
      <c r="C87" s="38" t="s">
        <v>766</v>
      </c>
      <c r="D87" s="38" t="s">
        <v>771</v>
      </c>
      <c r="E87" s="38" t="s">
        <v>523</v>
      </c>
      <c r="F87" s="38" t="s">
        <v>607</v>
      </c>
      <c r="G87" s="38" t="s">
        <v>769</v>
      </c>
    </row>
    <row r="88" spans="1:7" ht="24" customHeight="1" x14ac:dyDescent="0.3">
      <c r="A88" s="38" t="s">
        <v>764</v>
      </c>
      <c r="B88" s="39" t="s">
        <v>772</v>
      </c>
      <c r="C88" s="38" t="s">
        <v>766</v>
      </c>
      <c r="D88" s="38" t="s">
        <v>773</v>
      </c>
      <c r="E88" s="38" t="s">
        <v>523</v>
      </c>
      <c r="F88" s="38" t="s">
        <v>774</v>
      </c>
      <c r="G88" s="38" t="s">
        <v>769</v>
      </c>
    </row>
    <row r="89" spans="1:7" ht="36" customHeight="1" x14ac:dyDescent="0.3">
      <c r="A89" s="38" t="s">
        <v>764</v>
      </c>
      <c r="B89" s="39" t="s">
        <v>775</v>
      </c>
      <c r="C89" s="38" t="s">
        <v>766</v>
      </c>
      <c r="D89" s="38" t="s">
        <v>776</v>
      </c>
      <c r="E89" s="38" t="s">
        <v>523</v>
      </c>
      <c r="F89" s="38" t="s">
        <v>777</v>
      </c>
      <c r="G89" s="38" t="s">
        <v>769</v>
      </c>
    </row>
    <row r="90" spans="1:7" ht="60" customHeight="1" x14ac:dyDescent="0.3">
      <c r="A90" s="38" t="s">
        <v>764</v>
      </c>
      <c r="B90" s="39" t="s">
        <v>778</v>
      </c>
      <c r="C90" s="38" t="s">
        <v>766</v>
      </c>
      <c r="D90" s="38" t="s">
        <v>779</v>
      </c>
      <c r="E90" s="38" t="s">
        <v>523</v>
      </c>
      <c r="F90" s="38" t="s">
        <v>780</v>
      </c>
      <c r="G90" s="38" t="s">
        <v>769</v>
      </c>
    </row>
    <row r="91" spans="1:7" ht="24" customHeight="1" x14ac:dyDescent="0.3">
      <c r="A91" s="42" t="s">
        <v>764</v>
      </c>
      <c r="B91" s="43" t="s">
        <v>781</v>
      </c>
      <c r="C91" s="42" t="s">
        <v>766</v>
      </c>
      <c r="D91" s="42" t="s">
        <v>782</v>
      </c>
      <c r="E91" s="42" t="s">
        <v>523</v>
      </c>
      <c r="F91" s="42" t="s">
        <v>783</v>
      </c>
      <c r="G91" s="42" t="s">
        <v>784</v>
      </c>
    </row>
    <row r="92" spans="1:7" ht="24" customHeight="1" x14ac:dyDescent="0.3">
      <c r="A92" s="42" t="s">
        <v>764</v>
      </c>
      <c r="B92" s="43" t="s">
        <v>785</v>
      </c>
      <c r="C92" s="42" t="s">
        <v>766</v>
      </c>
      <c r="D92" s="42" t="s">
        <v>786</v>
      </c>
      <c r="E92" s="42" t="s">
        <v>523</v>
      </c>
      <c r="F92" s="42" t="s">
        <v>787</v>
      </c>
      <c r="G92" s="42" t="s">
        <v>788</v>
      </c>
    </row>
    <row r="93" spans="1:7" ht="24" customHeight="1" x14ac:dyDescent="0.3">
      <c r="A93" s="38" t="s">
        <v>789</v>
      </c>
      <c r="B93" s="39" t="s">
        <v>790</v>
      </c>
      <c r="C93" s="38" t="s">
        <v>791</v>
      </c>
      <c r="D93" s="38" t="s">
        <v>792</v>
      </c>
      <c r="E93" s="38" t="s">
        <v>626</v>
      </c>
      <c r="F93" s="38" t="s">
        <v>633</v>
      </c>
      <c r="G93" s="38" t="s">
        <v>793</v>
      </c>
    </row>
    <row r="94" spans="1:7" ht="24" customHeight="1" x14ac:dyDescent="0.3">
      <c r="A94" s="38" t="s">
        <v>789</v>
      </c>
      <c r="B94" s="39" t="s">
        <v>794</v>
      </c>
      <c r="C94" s="38" t="s">
        <v>791</v>
      </c>
      <c r="D94" s="38" t="s">
        <v>795</v>
      </c>
      <c r="E94" s="38" t="s">
        <v>532</v>
      </c>
      <c r="F94" s="38" t="s">
        <v>498</v>
      </c>
      <c r="G94" s="38" t="s">
        <v>793</v>
      </c>
    </row>
    <row r="95" spans="1:7" ht="24" customHeight="1" x14ac:dyDescent="0.3">
      <c r="A95" s="38" t="s">
        <v>789</v>
      </c>
      <c r="B95" s="39" t="s">
        <v>796</v>
      </c>
      <c r="C95" s="38" t="s">
        <v>791</v>
      </c>
      <c r="D95" s="38" t="s">
        <v>797</v>
      </c>
      <c r="E95" s="38" t="s">
        <v>523</v>
      </c>
      <c r="F95" s="38" t="s">
        <v>798</v>
      </c>
      <c r="G95" s="38" t="s">
        <v>793</v>
      </c>
    </row>
    <row r="96" spans="1:7" ht="24" customHeight="1" x14ac:dyDescent="0.3">
      <c r="A96" s="38" t="s">
        <v>789</v>
      </c>
      <c r="B96" s="39" t="s">
        <v>799</v>
      </c>
      <c r="C96" s="38" t="s">
        <v>791</v>
      </c>
      <c r="D96" s="38" t="s">
        <v>800</v>
      </c>
      <c r="E96" s="38" t="s">
        <v>523</v>
      </c>
      <c r="F96" s="38" t="s">
        <v>801</v>
      </c>
      <c r="G96" s="38" t="s">
        <v>793</v>
      </c>
    </row>
    <row r="97" spans="1:7" ht="24" customHeight="1" x14ac:dyDescent="0.3">
      <c r="A97" s="38" t="s">
        <v>802</v>
      </c>
      <c r="B97" s="39" t="s">
        <v>803</v>
      </c>
      <c r="C97" s="38" t="s">
        <v>804</v>
      </c>
      <c r="D97" s="38" t="s">
        <v>805</v>
      </c>
      <c r="E97" s="38" t="s">
        <v>523</v>
      </c>
      <c r="F97" s="38" t="s">
        <v>806</v>
      </c>
      <c r="G97" s="38" t="s">
        <v>807</v>
      </c>
    </row>
    <row r="98" spans="1:7" ht="36" customHeight="1" x14ac:dyDescent="0.3">
      <c r="A98" s="40" t="s">
        <v>802</v>
      </c>
      <c r="B98" s="41" t="s">
        <v>808</v>
      </c>
      <c r="C98" s="40" t="s">
        <v>804</v>
      </c>
      <c r="D98" s="40" t="s">
        <v>809</v>
      </c>
      <c r="E98" s="40" t="s">
        <v>523</v>
      </c>
      <c r="F98" s="40" t="s">
        <v>810</v>
      </c>
      <c r="G98" s="40" t="s">
        <v>807</v>
      </c>
    </row>
    <row r="99" spans="1:7" ht="24" customHeight="1" x14ac:dyDescent="0.3">
      <c r="A99" s="38" t="s">
        <v>802</v>
      </c>
      <c r="B99" s="39" t="s">
        <v>811</v>
      </c>
      <c r="C99" s="38" t="s">
        <v>804</v>
      </c>
      <c r="D99" s="38" t="s">
        <v>812</v>
      </c>
      <c r="E99" s="38" t="s">
        <v>523</v>
      </c>
      <c r="F99" s="38" t="s">
        <v>813</v>
      </c>
      <c r="G99" s="38" t="s">
        <v>807</v>
      </c>
    </row>
    <row r="100" spans="1:7" ht="36" customHeight="1" x14ac:dyDescent="0.3">
      <c r="A100" s="38" t="s">
        <v>814</v>
      </c>
      <c r="B100" s="39" t="s">
        <v>815</v>
      </c>
      <c r="C100" s="38" t="s">
        <v>816</v>
      </c>
      <c r="D100" s="38" t="s">
        <v>817</v>
      </c>
      <c r="E100" s="38" t="s">
        <v>523</v>
      </c>
      <c r="F100" s="38" t="s">
        <v>818</v>
      </c>
      <c r="G100" s="38" t="s">
        <v>819</v>
      </c>
    </row>
    <row r="101" spans="1:7" ht="36" customHeight="1" x14ac:dyDescent="0.3">
      <c r="A101" s="38" t="s">
        <v>814</v>
      </c>
      <c r="B101" s="39" t="s">
        <v>820</v>
      </c>
      <c r="C101" s="38" t="s">
        <v>816</v>
      </c>
      <c r="D101" s="38" t="s">
        <v>821</v>
      </c>
      <c r="E101" s="38" t="s">
        <v>523</v>
      </c>
      <c r="F101" s="38" t="s">
        <v>607</v>
      </c>
      <c r="G101" s="38" t="s">
        <v>819</v>
      </c>
    </row>
    <row r="102" spans="1:7" ht="36" customHeight="1" x14ac:dyDescent="0.3">
      <c r="A102" s="42" t="s">
        <v>814</v>
      </c>
      <c r="B102" s="43" t="s">
        <v>822</v>
      </c>
      <c r="C102" s="42" t="s">
        <v>816</v>
      </c>
      <c r="D102" s="42" t="s">
        <v>823</v>
      </c>
      <c r="E102" s="42" t="s">
        <v>523</v>
      </c>
      <c r="F102" s="42" t="s">
        <v>824</v>
      </c>
      <c r="G102" s="42" t="s">
        <v>819</v>
      </c>
    </row>
    <row r="103" spans="1:7" ht="48" customHeight="1" x14ac:dyDescent="0.3">
      <c r="A103" s="38" t="s">
        <v>825</v>
      </c>
      <c r="B103" s="39" t="s">
        <v>826</v>
      </c>
      <c r="C103" s="38" t="s">
        <v>827</v>
      </c>
      <c r="D103" s="38" t="s">
        <v>828</v>
      </c>
      <c r="E103" s="38" t="s">
        <v>536</v>
      </c>
      <c r="F103" s="38" t="s">
        <v>829</v>
      </c>
      <c r="G103" s="38" t="s">
        <v>830</v>
      </c>
    </row>
    <row r="104" spans="1:7" ht="24" customHeight="1" x14ac:dyDescent="0.3">
      <c r="A104" s="38" t="s">
        <v>825</v>
      </c>
      <c r="B104" s="39" t="s">
        <v>831</v>
      </c>
      <c r="C104" s="38" t="s">
        <v>827</v>
      </c>
      <c r="D104" s="38" t="s">
        <v>832</v>
      </c>
      <c r="E104" s="38" t="s">
        <v>516</v>
      </c>
      <c r="F104" s="38" t="s">
        <v>498</v>
      </c>
      <c r="G104" s="38" t="s">
        <v>830</v>
      </c>
    </row>
    <row r="105" spans="1:7" ht="24" customHeight="1" x14ac:dyDescent="0.3">
      <c r="A105" s="42" t="s">
        <v>825</v>
      </c>
      <c r="B105" s="43" t="s">
        <v>833</v>
      </c>
      <c r="C105" s="42" t="s">
        <v>827</v>
      </c>
      <c r="D105" s="42" t="s">
        <v>834</v>
      </c>
      <c r="E105" s="42" t="s">
        <v>523</v>
      </c>
      <c r="F105" s="42" t="s">
        <v>835</v>
      </c>
      <c r="G105" s="42" t="s">
        <v>830</v>
      </c>
    </row>
    <row r="106" spans="1:7" ht="36" customHeight="1" x14ac:dyDescent="0.3">
      <c r="A106" s="42" t="s">
        <v>836</v>
      </c>
      <c r="B106" s="43" t="s">
        <v>837</v>
      </c>
      <c r="C106" s="42" t="s">
        <v>838</v>
      </c>
      <c r="D106" s="42" t="s">
        <v>839</v>
      </c>
      <c r="E106" s="42" t="s">
        <v>523</v>
      </c>
      <c r="F106" s="42" t="s">
        <v>840</v>
      </c>
      <c r="G106" s="42" t="s">
        <v>841</v>
      </c>
    </row>
    <row r="107" spans="1:7" ht="36" customHeight="1" x14ac:dyDescent="0.3">
      <c r="A107" s="42" t="s">
        <v>836</v>
      </c>
      <c r="B107" s="43" t="s">
        <v>842</v>
      </c>
      <c r="C107" s="42" t="s">
        <v>843</v>
      </c>
      <c r="D107" s="42" t="s">
        <v>844</v>
      </c>
      <c r="E107" s="42" t="s">
        <v>523</v>
      </c>
      <c r="F107" s="42" t="s">
        <v>845</v>
      </c>
      <c r="G107" s="42" t="s">
        <v>846</v>
      </c>
    </row>
    <row r="108" spans="1:7" ht="36" customHeight="1" x14ac:dyDescent="0.3">
      <c r="A108" s="42" t="s">
        <v>836</v>
      </c>
      <c r="B108" s="43" t="s">
        <v>847</v>
      </c>
      <c r="C108" s="42" t="s">
        <v>848</v>
      </c>
      <c r="D108" s="42" t="s">
        <v>849</v>
      </c>
      <c r="E108" s="42" t="s">
        <v>523</v>
      </c>
      <c r="F108" s="42" t="s">
        <v>850</v>
      </c>
      <c r="G108" s="42" t="s">
        <v>851</v>
      </c>
    </row>
    <row r="109" spans="1:7" ht="36" customHeight="1" x14ac:dyDescent="0.3">
      <c r="A109" s="42" t="s">
        <v>836</v>
      </c>
      <c r="B109" s="43" t="s">
        <v>852</v>
      </c>
      <c r="C109" s="42" t="s">
        <v>853</v>
      </c>
      <c r="D109" s="42" t="s">
        <v>854</v>
      </c>
      <c r="E109" s="42" t="s">
        <v>523</v>
      </c>
      <c r="F109" s="42" t="s">
        <v>855</v>
      </c>
      <c r="G109" s="42" t="s">
        <v>856</v>
      </c>
    </row>
    <row r="110" spans="1:7" ht="36" customHeight="1" x14ac:dyDescent="0.3">
      <c r="A110" s="42" t="s">
        <v>857</v>
      </c>
      <c r="B110" s="43" t="s">
        <v>858</v>
      </c>
      <c r="C110" s="42" t="s">
        <v>859</v>
      </c>
      <c r="D110" s="42" t="s">
        <v>860</v>
      </c>
      <c r="E110" s="42" t="s">
        <v>523</v>
      </c>
      <c r="F110" s="42" t="s">
        <v>861</v>
      </c>
      <c r="G110" s="42" t="s">
        <v>862</v>
      </c>
    </row>
    <row r="111" spans="1:7" ht="36" customHeight="1" x14ac:dyDescent="0.3">
      <c r="A111" s="42" t="s">
        <v>857</v>
      </c>
      <c r="B111" s="43" t="s">
        <v>863</v>
      </c>
      <c r="C111" s="42" t="s">
        <v>859</v>
      </c>
      <c r="D111" s="42" t="s">
        <v>864</v>
      </c>
      <c r="E111" s="42" t="s">
        <v>523</v>
      </c>
      <c r="F111" s="42" t="s">
        <v>588</v>
      </c>
      <c r="G111" s="42" t="s">
        <v>865</v>
      </c>
    </row>
    <row r="112" spans="1:7" ht="36" customHeight="1" x14ac:dyDescent="0.3">
      <c r="A112" s="42" t="s">
        <v>866</v>
      </c>
      <c r="B112" s="43" t="s">
        <v>867</v>
      </c>
      <c r="C112" s="42" t="s">
        <v>868</v>
      </c>
      <c r="D112" s="42" t="s">
        <v>869</v>
      </c>
      <c r="E112" s="42" t="s">
        <v>532</v>
      </c>
      <c r="F112" s="42" t="s">
        <v>498</v>
      </c>
      <c r="G112" s="42" t="s">
        <v>870</v>
      </c>
    </row>
    <row r="113" spans="1:7" ht="36" customHeight="1" x14ac:dyDescent="0.3">
      <c r="A113" s="42" t="s">
        <v>866</v>
      </c>
      <c r="B113" s="43" t="s">
        <v>871</v>
      </c>
      <c r="C113" s="42" t="s">
        <v>868</v>
      </c>
      <c r="D113" s="42" t="s">
        <v>872</v>
      </c>
      <c r="E113" s="42" t="s">
        <v>532</v>
      </c>
      <c r="F113" s="42" t="s">
        <v>498</v>
      </c>
      <c r="G113" s="42" t="s">
        <v>873</v>
      </c>
    </row>
    <row r="114" spans="1:7" ht="36" customHeight="1" x14ac:dyDescent="0.3">
      <c r="A114" s="42" t="s">
        <v>866</v>
      </c>
      <c r="B114" s="43" t="s">
        <v>874</v>
      </c>
      <c r="C114" s="42" t="s">
        <v>868</v>
      </c>
      <c r="D114" s="42" t="s">
        <v>875</v>
      </c>
      <c r="E114" s="42" t="s">
        <v>582</v>
      </c>
      <c r="F114" s="42" t="s">
        <v>498</v>
      </c>
      <c r="G114" s="42" t="s">
        <v>876</v>
      </c>
    </row>
    <row r="115" spans="1:7" ht="36" customHeight="1" x14ac:dyDescent="0.3">
      <c r="A115" s="42" t="s">
        <v>866</v>
      </c>
      <c r="B115" s="43" t="s">
        <v>877</v>
      </c>
      <c r="C115" s="42" t="s">
        <v>868</v>
      </c>
      <c r="D115" s="42" t="s">
        <v>878</v>
      </c>
      <c r="E115" s="42" t="s">
        <v>532</v>
      </c>
      <c r="F115" s="42" t="s">
        <v>498</v>
      </c>
      <c r="G115" s="42" t="s">
        <v>879</v>
      </c>
    </row>
    <row r="116" spans="1:7" ht="36" customHeight="1" x14ac:dyDescent="0.3">
      <c r="A116" s="42" t="s">
        <v>866</v>
      </c>
      <c r="B116" s="43" t="s">
        <v>880</v>
      </c>
      <c r="C116" s="42" t="s">
        <v>868</v>
      </c>
      <c r="D116" s="42" t="s">
        <v>881</v>
      </c>
      <c r="E116" s="42" t="s">
        <v>532</v>
      </c>
      <c r="F116" s="42" t="s">
        <v>498</v>
      </c>
      <c r="G116" s="42" t="s">
        <v>882</v>
      </c>
    </row>
    <row r="117" spans="1:7" ht="36" customHeight="1" x14ac:dyDescent="0.3">
      <c r="A117" s="42" t="s">
        <v>866</v>
      </c>
      <c r="B117" s="43" t="s">
        <v>883</v>
      </c>
      <c r="C117" s="42" t="s">
        <v>868</v>
      </c>
      <c r="D117" s="42" t="s">
        <v>884</v>
      </c>
      <c r="E117" s="42" t="s">
        <v>532</v>
      </c>
      <c r="F117" s="42" t="s">
        <v>498</v>
      </c>
      <c r="G117" s="42" t="s">
        <v>885</v>
      </c>
    </row>
    <row r="118" spans="1:7" ht="36" customHeight="1" x14ac:dyDescent="0.3">
      <c r="A118" s="42" t="s">
        <v>866</v>
      </c>
      <c r="B118" s="43" t="s">
        <v>886</v>
      </c>
      <c r="C118" s="42" t="s">
        <v>868</v>
      </c>
      <c r="D118" s="42" t="s">
        <v>887</v>
      </c>
      <c r="E118" s="42" t="s">
        <v>501</v>
      </c>
      <c r="F118" s="42" t="s">
        <v>498</v>
      </c>
      <c r="G118" s="42" t="s">
        <v>888</v>
      </c>
    </row>
    <row r="119" spans="1:7" ht="36" customHeight="1" x14ac:dyDescent="0.3">
      <c r="A119" s="42" t="s">
        <v>866</v>
      </c>
      <c r="B119" s="43" t="s">
        <v>889</v>
      </c>
      <c r="C119" s="42" t="s">
        <v>868</v>
      </c>
      <c r="D119" s="42" t="s">
        <v>890</v>
      </c>
      <c r="E119" s="42" t="s">
        <v>532</v>
      </c>
      <c r="F119" s="42" t="s">
        <v>498</v>
      </c>
      <c r="G119" s="42" t="s">
        <v>891</v>
      </c>
    </row>
    <row r="120" spans="1:7" ht="36" customHeight="1" x14ac:dyDescent="0.3">
      <c r="A120" s="42" t="s">
        <v>866</v>
      </c>
      <c r="B120" s="43" t="s">
        <v>892</v>
      </c>
      <c r="C120" s="42" t="s">
        <v>868</v>
      </c>
      <c r="D120" s="42" t="s">
        <v>893</v>
      </c>
      <c r="E120" s="42" t="s">
        <v>532</v>
      </c>
      <c r="F120" s="42" t="s">
        <v>498</v>
      </c>
      <c r="G120" s="42" t="s">
        <v>894</v>
      </c>
    </row>
    <row r="121" spans="1:7" ht="36" customHeight="1" x14ac:dyDescent="0.3">
      <c r="A121" s="42" t="s">
        <v>866</v>
      </c>
      <c r="B121" s="43" t="s">
        <v>895</v>
      </c>
      <c r="C121" s="42" t="s">
        <v>868</v>
      </c>
      <c r="D121" s="42" t="s">
        <v>896</v>
      </c>
      <c r="E121" s="42" t="s">
        <v>532</v>
      </c>
      <c r="F121" s="42" t="s">
        <v>498</v>
      </c>
      <c r="G121" s="42" t="s">
        <v>897</v>
      </c>
    </row>
    <row r="123" spans="1:7" ht="42" customHeight="1" x14ac:dyDescent="0.3">
      <c r="A123" s="68" t="s">
        <v>1070</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1572</v>
      </c>
      <c r="B1" s="70"/>
      <c r="C1" s="70"/>
      <c r="D1" s="70"/>
      <c r="E1" s="70"/>
      <c r="F1" s="70"/>
      <c r="G1" s="70"/>
    </row>
    <row r="2" spans="1:7" x14ac:dyDescent="0.3">
      <c r="A2" s="57" t="s">
        <v>488</v>
      </c>
      <c r="B2" s="57" t="s">
        <v>1092</v>
      </c>
      <c r="C2" s="57" t="s">
        <v>491</v>
      </c>
      <c r="D2" s="58" t="s">
        <v>1093</v>
      </c>
      <c r="E2" s="57" t="s">
        <v>1094</v>
      </c>
      <c r="F2" s="57" t="s">
        <v>1095</v>
      </c>
      <c r="G2" s="58" t="s">
        <v>1096</v>
      </c>
    </row>
    <row r="3" spans="1:7" ht="28.8" x14ac:dyDescent="0.3">
      <c r="A3" t="s">
        <v>495</v>
      </c>
      <c r="B3" t="s">
        <v>496</v>
      </c>
      <c r="C3" t="s">
        <v>498</v>
      </c>
      <c r="D3" s="56" t="s">
        <v>498</v>
      </c>
      <c r="E3" s="59"/>
      <c r="G3" s="56" t="s">
        <v>1097</v>
      </c>
    </row>
    <row r="4" spans="1:7" ht="28.8" x14ac:dyDescent="0.3">
      <c r="A4" t="s">
        <v>500</v>
      </c>
      <c r="B4" t="s">
        <v>496</v>
      </c>
      <c r="C4" t="s">
        <v>498</v>
      </c>
      <c r="D4" s="56" t="s">
        <v>498</v>
      </c>
      <c r="E4" s="59"/>
      <c r="G4" s="56" t="s">
        <v>1097</v>
      </c>
    </row>
    <row r="5" spans="1:7" ht="28.8" x14ac:dyDescent="0.3">
      <c r="A5" t="s">
        <v>503</v>
      </c>
      <c r="B5" t="s">
        <v>496</v>
      </c>
      <c r="C5" t="s">
        <v>505</v>
      </c>
      <c r="D5" s="56" t="s">
        <v>498</v>
      </c>
      <c r="E5" s="59"/>
      <c r="G5" s="56" t="s">
        <v>1097</v>
      </c>
    </row>
    <row r="6" spans="1:7" ht="28.8" x14ac:dyDescent="0.3">
      <c r="A6" t="s">
        <v>508</v>
      </c>
      <c r="B6" t="s">
        <v>496</v>
      </c>
      <c r="C6" t="s">
        <v>501</v>
      </c>
      <c r="D6" s="56" t="s">
        <v>498</v>
      </c>
      <c r="E6" s="59"/>
      <c r="G6" s="56" t="s">
        <v>1097</v>
      </c>
    </row>
    <row r="7" spans="1:7" ht="28.8" x14ac:dyDescent="0.3">
      <c r="A7" t="s">
        <v>511</v>
      </c>
      <c r="B7" t="s">
        <v>496</v>
      </c>
      <c r="C7" t="s">
        <v>512</v>
      </c>
      <c r="D7" s="56" t="s">
        <v>498</v>
      </c>
      <c r="E7" s="59"/>
      <c r="G7" s="56" t="s">
        <v>1097</v>
      </c>
    </row>
    <row r="8" spans="1:7" ht="28.8" x14ac:dyDescent="0.3">
      <c r="A8" t="s">
        <v>514</v>
      </c>
      <c r="B8" t="s">
        <v>496</v>
      </c>
      <c r="C8" t="s">
        <v>516</v>
      </c>
      <c r="D8" s="56" t="s">
        <v>498</v>
      </c>
      <c r="E8" s="59"/>
      <c r="G8" s="56" t="s">
        <v>1097</v>
      </c>
    </row>
    <row r="9" spans="1:7" ht="28.8" x14ac:dyDescent="0.3">
      <c r="A9" t="s">
        <v>518</v>
      </c>
      <c r="B9" t="s">
        <v>496</v>
      </c>
      <c r="C9" t="s">
        <v>516</v>
      </c>
      <c r="D9" s="56" t="s">
        <v>498</v>
      </c>
      <c r="E9" s="59"/>
      <c r="G9" s="56" t="s">
        <v>1097</v>
      </c>
    </row>
    <row r="10" spans="1:7" ht="28.8" x14ac:dyDescent="0.3">
      <c r="A10" t="s">
        <v>521</v>
      </c>
      <c r="B10" t="s">
        <v>496</v>
      </c>
      <c r="C10" t="s">
        <v>523</v>
      </c>
      <c r="D10" s="56" t="s">
        <v>524</v>
      </c>
      <c r="E10" s="59"/>
      <c r="G10" s="56" t="s">
        <v>1097</v>
      </c>
    </row>
    <row r="11" spans="1:7" ht="28.8" x14ac:dyDescent="0.3">
      <c r="A11" t="s">
        <v>526</v>
      </c>
      <c r="B11" t="s">
        <v>496</v>
      </c>
      <c r="C11" t="s">
        <v>528</v>
      </c>
      <c r="D11" s="56" t="s">
        <v>498</v>
      </c>
      <c r="E11" s="59"/>
      <c r="G11" s="56" t="s">
        <v>1097</v>
      </c>
    </row>
    <row r="12" spans="1:7" ht="28.8" x14ac:dyDescent="0.3">
      <c r="A12" t="s">
        <v>530</v>
      </c>
      <c r="B12" t="s">
        <v>496</v>
      </c>
      <c r="C12" t="s">
        <v>532</v>
      </c>
      <c r="D12" s="56" t="s">
        <v>498</v>
      </c>
      <c r="E12" s="59"/>
      <c r="G12" s="56" t="s">
        <v>1097</v>
      </c>
    </row>
    <row r="13" spans="1:7" ht="43.2" x14ac:dyDescent="0.3">
      <c r="A13" t="s">
        <v>534</v>
      </c>
      <c r="B13" t="s">
        <v>496</v>
      </c>
      <c r="C13" t="s">
        <v>536</v>
      </c>
      <c r="D13" s="56" t="s">
        <v>1098</v>
      </c>
      <c r="E13" s="59"/>
      <c r="G13" s="56" t="s">
        <v>1573</v>
      </c>
    </row>
    <row r="14" spans="1:7" ht="28.8" x14ac:dyDescent="0.3">
      <c r="A14" t="s">
        <v>539</v>
      </c>
      <c r="B14" t="s">
        <v>496</v>
      </c>
      <c r="C14" t="s">
        <v>536</v>
      </c>
      <c r="D14" s="56" t="s">
        <v>541</v>
      </c>
      <c r="E14" s="59"/>
      <c r="G14" s="56" t="s">
        <v>1097</v>
      </c>
    </row>
    <row r="15" spans="1:7" ht="28.8" x14ac:dyDescent="0.3">
      <c r="A15" t="s">
        <v>543</v>
      </c>
      <c r="B15" t="s">
        <v>496</v>
      </c>
      <c r="C15" t="s">
        <v>523</v>
      </c>
      <c r="D15" s="56" t="s">
        <v>545</v>
      </c>
      <c r="E15" s="59"/>
      <c r="G15" s="56" t="s">
        <v>1097</v>
      </c>
    </row>
    <row r="16" spans="1:7" ht="28.8" x14ac:dyDescent="0.3">
      <c r="A16" t="s">
        <v>547</v>
      </c>
      <c r="B16" t="s">
        <v>496</v>
      </c>
      <c r="C16" t="s">
        <v>523</v>
      </c>
      <c r="D16" s="56" t="s">
        <v>549</v>
      </c>
      <c r="E16" s="59"/>
      <c r="G16" s="56" t="s">
        <v>1097</v>
      </c>
    </row>
    <row r="17" spans="1:7" ht="28.8" x14ac:dyDescent="0.3">
      <c r="A17" t="s">
        <v>550</v>
      </c>
      <c r="B17" t="s">
        <v>496</v>
      </c>
      <c r="C17" t="s">
        <v>532</v>
      </c>
      <c r="D17" s="56" t="s">
        <v>498</v>
      </c>
      <c r="E17" s="59"/>
      <c r="G17" s="56" t="s">
        <v>1097</v>
      </c>
    </row>
    <row r="18" spans="1:7" ht="28.8" x14ac:dyDescent="0.3">
      <c r="A18" t="s">
        <v>553</v>
      </c>
      <c r="B18" t="s">
        <v>496</v>
      </c>
      <c r="C18" t="s">
        <v>523</v>
      </c>
      <c r="D18" s="56" t="s">
        <v>555</v>
      </c>
      <c r="E18" s="59"/>
      <c r="G18" s="56" t="s">
        <v>1097</v>
      </c>
    </row>
    <row r="19" spans="1:7" ht="43.2" x14ac:dyDescent="0.3">
      <c r="A19" t="s">
        <v>557</v>
      </c>
      <c r="B19" t="s">
        <v>496</v>
      </c>
      <c r="C19" t="s">
        <v>523</v>
      </c>
      <c r="D19" s="56" t="s">
        <v>559</v>
      </c>
      <c r="E19" s="59"/>
      <c r="G19" s="56" t="s">
        <v>1097</v>
      </c>
    </row>
    <row r="20" spans="1:7" ht="28.8" x14ac:dyDescent="0.3">
      <c r="A20" t="s">
        <v>560</v>
      </c>
      <c r="B20" t="s">
        <v>496</v>
      </c>
      <c r="C20" t="s">
        <v>523</v>
      </c>
      <c r="D20" s="56" t="s">
        <v>562</v>
      </c>
      <c r="E20" s="59"/>
      <c r="G20" s="56" t="s">
        <v>1097</v>
      </c>
    </row>
    <row r="21" spans="1:7" ht="28.8" x14ac:dyDescent="0.3">
      <c r="A21" t="s">
        <v>564</v>
      </c>
      <c r="B21" t="s">
        <v>496</v>
      </c>
      <c r="C21" t="s">
        <v>501</v>
      </c>
      <c r="D21" s="56" t="s">
        <v>498</v>
      </c>
      <c r="E21" s="59"/>
      <c r="G21" s="56" t="s">
        <v>1097</v>
      </c>
    </row>
    <row r="22" spans="1:7" ht="28.8" x14ac:dyDescent="0.3">
      <c r="A22" t="s">
        <v>567</v>
      </c>
      <c r="B22" t="s">
        <v>496</v>
      </c>
      <c r="C22" t="s">
        <v>523</v>
      </c>
      <c r="D22" s="56" t="s">
        <v>569</v>
      </c>
      <c r="E22" s="59"/>
      <c r="G22" s="56" t="s">
        <v>1097</v>
      </c>
    </row>
    <row r="23" spans="1:7" ht="28.8" x14ac:dyDescent="0.3">
      <c r="A23" t="s">
        <v>5</v>
      </c>
      <c r="B23" t="s">
        <v>572</v>
      </c>
      <c r="C23" t="s">
        <v>516</v>
      </c>
      <c r="D23" s="56" t="s">
        <v>498</v>
      </c>
      <c r="E23" s="59"/>
      <c r="G23" s="56" t="s">
        <v>1097</v>
      </c>
    </row>
    <row r="24" spans="1:7" ht="28.8" x14ac:dyDescent="0.3">
      <c r="A24" t="s">
        <v>575</v>
      </c>
      <c r="B24" t="s">
        <v>572</v>
      </c>
      <c r="C24" t="s">
        <v>516</v>
      </c>
      <c r="D24" s="56" t="s">
        <v>498</v>
      </c>
      <c r="E24" s="59"/>
      <c r="G24" s="56" t="s">
        <v>1097</v>
      </c>
    </row>
    <row r="25" spans="1:7" ht="28.8" x14ac:dyDescent="0.3">
      <c r="A25" t="s">
        <v>6</v>
      </c>
      <c r="B25" t="s">
        <v>572</v>
      </c>
      <c r="C25" t="s">
        <v>516</v>
      </c>
      <c r="D25" s="56" t="s">
        <v>498</v>
      </c>
      <c r="E25" s="59"/>
      <c r="G25" s="56" t="s">
        <v>1097</v>
      </c>
    </row>
    <row r="26" spans="1:7" ht="28.8" x14ac:dyDescent="0.3">
      <c r="A26" t="s">
        <v>7</v>
      </c>
      <c r="B26" t="s">
        <v>572</v>
      </c>
      <c r="C26" t="s">
        <v>516</v>
      </c>
      <c r="D26" s="56" t="s">
        <v>498</v>
      </c>
      <c r="E26" s="59"/>
      <c r="G26" s="56" t="s">
        <v>1097</v>
      </c>
    </row>
    <row r="27" spans="1:7" ht="28.8" x14ac:dyDescent="0.3">
      <c r="A27" t="s">
        <v>8</v>
      </c>
      <c r="B27" t="s">
        <v>572</v>
      </c>
      <c r="C27" t="s">
        <v>582</v>
      </c>
      <c r="D27" s="56" t="s">
        <v>498</v>
      </c>
      <c r="E27" s="59"/>
      <c r="G27" s="56" t="s">
        <v>1097</v>
      </c>
    </row>
    <row r="28" spans="1:7" ht="28.8" x14ac:dyDescent="0.3">
      <c r="A28" t="s">
        <v>9</v>
      </c>
      <c r="B28" t="s">
        <v>572</v>
      </c>
      <c r="C28" t="s">
        <v>582</v>
      </c>
      <c r="D28" s="56" t="s">
        <v>498</v>
      </c>
      <c r="E28" s="59"/>
      <c r="G28" s="56" t="s">
        <v>1097</v>
      </c>
    </row>
    <row r="29" spans="1:7" ht="28.8" x14ac:dyDescent="0.3">
      <c r="A29" t="s">
        <v>10</v>
      </c>
      <c r="B29" t="s">
        <v>572</v>
      </c>
      <c r="C29" t="s">
        <v>501</v>
      </c>
      <c r="D29" s="56" t="s">
        <v>498</v>
      </c>
      <c r="E29" s="59"/>
      <c r="G29" s="56" t="s">
        <v>1097</v>
      </c>
    </row>
    <row r="30" spans="1:7" ht="28.8" x14ac:dyDescent="0.3">
      <c r="A30" t="s">
        <v>11</v>
      </c>
      <c r="B30" t="s">
        <v>572</v>
      </c>
      <c r="C30" t="s">
        <v>501</v>
      </c>
      <c r="D30" s="56" t="s">
        <v>498</v>
      </c>
      <c r="E30" s="59"/>
      <c r="G30" s="56" t="s">
        <v>1097</v>
      </c>
    </row>
    <row r="31" spans="1:7" ht="28.8" x14ac:dyDescent="0.3">
      <c r="A31" t="s">
        <v>12</v>
      </c>
      <c r="B31" t="s">
        <v>572</v>
      </c>
      <c r="C31" t="s">
        <v>523</v>
      </c>
      <c r="D31" s="56" t="s">
        <v>1099</v>
      </c>
      <c r="E31" s="59">
        <v>0</v>
      </c>
      <c r="F31" t="s">
        <v>1100</v>
      </c>
      <c r="G31" s="56" t="s">
        <v>1574</v>
      </c>
    </row>
    <row r="32" spans="1:7" ht="28.8" x14ac:dyDescent="0.3">
      <c r="A32" t="s">
        <v>12</v>
      </c>
      <c r="B32" t="s">
        <v>572</v>
      </c>
      <c r="C32" t="s">
        <v>523</v>
      </c>
      <c r="D32" s="56" t="s">
        <v>1101</v>
      </c>
      <c r="E32" s="59">
        <v>100</v>
      </c>
      <c r="F32" t="s">
        <v>1102</v>
      </c>
      <c r="G32" s="56" t="s">
        <v>1574</v>
      </c>
    </row>
    <row r="33" spans="1:7" ht="43.2" x14ac:dyDescent="0.3">
      <c r="A33" t="s">
        <v>12</v>
      </c>
      <c r="B33" t="s">
        <v>572</v>
      </c>
      <c r="C33" t="s">
        <v>523</v>
      </c>
      <c r="D33" s="56" t="s">
        <v>1103</v>
      </c>
      <c r="E33" s="59" t="s">
        <v>1104</v>
      </c>
      <c r="F33" t="s">
        <v>1105</v>
      </c>
      <c r="G33" s="56" t="s">
        <v>1575</v>
      </c>
    </row>
    <row r="34" spans="1:7" ht="28.8" x14ac:dyDescent="0.3">
      <c r="A34" t="s">
        <v>13</v>
      </c>
      <c r="B34" t="s">
        <v>572</v>
      </c>
      <c r="C34" t="s">
        <v>528</v>
      </c>
      <c r="D34" s="56" t="s">
        <v>498</v>
      </c>
      <c r="E34" s="59"/>
      <c r="G34" s="56" t="s">
        <v>1097</v>
      </c>
    </row>
    <row r="35" spans="1:7" ht="28.8" x14ac:dyDescent="0.3">
      <c r="A35" t="s">
        <v>14</v>
      </c>
      <c r="B35" t="s">
        <v>572</v>
      </c>
      <c r="C35" t="s">
        <v>523</v>
      </c>
      <c r="D35" s="56" t="s">
        <v>1099</v>
      </c>
      <c r="E35" s="59">
        <v>0</v>
      </c>
      <c r="F35" t="s">
        <v>1107</v>
      </c>
      <c r="G35" s="56" t="s">
        <v>1574</v>
      </c>
    </row>
    <row r="36" spans="1:7" ht="28.8" x14ac:dyDescent="0.3">
      <c r="A36" t="s">
        <v>14</v>
      </c>
      <c r="B36" t="s">
        <v>572</v>
      </c>
      <c r="C36" t="s">
        <v>523</v>
      </c>
      <c r="D36" s="56" t="s">
        <v>1101</v>
      </c>
      <c r="E36" s="59">
        <v>100</v>
      </c>
      <c r="F36" t="s">
        <v>1108</v>
      </c>
      <c r="G36" s="56" t="s">
        <v>1574</v>
      </c>
    </row>
    <row r="37" spans="1:7" ht="43.2" x14ac:dyDescent="0.3">
      <c r="A37" t="s">
        <v>14</v>
      </c>
      <c r="B37" t="s">
        <v>572</v>
      </c>
      <c r="C37" t="s">
        <v>523</v>
      </c>
      <c r="D37" s="56" t="s">
        <v>1103</v>
      </c>
      <c r="E37" s="59" t="s">
        <v>1104</v>
      </c>
      <c r="F37" t="s">
        <v>1109</v>
      </c>
      <c r="G37" s="56" t="s">
        <v>1575</v>
      </c>
    </row>
    <row r="38" spans="1:7" ht="28.8" x14ac:dyDescent="0.3">
      <c r="A38" t="s">
        <v>15</v>
      </c>
      <c r="B38" t="s">
        <v>572</v>
      </c>
      <c r="C38" t="s">
        <v>532</v>
      </c>
      <c r="D38" s="56" t="s">
        <v>498</v>
      </c>
      <c r="E38" s="59"/>
      <c r="G38" s="56" t="s">
        <v>1097</v>
      </c>
    </row>
    <row r="39" spans="1:7" ht="28.8" x14ac:dyDescent="0.3">
      <c r="A39" t="s">
        <v>16</v>
      </c>
      <c r="B39" t="s">
        <v>572</v>
      </c>
      <c r="C39" t="s">
        <v>582</v>
      </c>
      <c r="D39" s="56" t="s">
        <v>498</v>
      </c>
      <c r="E39" s="59"/>
      <c r="G39" s="56" t="s">
        <v>1097</v>
      </c>
    </row>
    <row r="40" spans="1:7" ht="28.8" x14ac:dyDescent="0.3">
      <c r="A40" t="s">
        <v>17</v>
      </c>
      <c r="B40" t="s">
        <v>572</v>
      </c>
      <c r="C40" t="s">
        <v>523</v>
      </c>
      <c r="D40" s="56" t="s">
        <v>1101</v>
      </c>
      <c r="E40" s="59">
        <v>0</v>
      </c>
      <c r="F40" t="s">
        <v>1110</v>
      </c>
      <c r="G40" s="56" t="s">
        <v>1574</v>
      </c>
    </row>
    <row r="41" spans="1:7" ht="28.8" x14ac:dyDescent="0.3">
      <c r="A41" t="s">
        <v>17</v>
      </c>
      <c r="B41" t="s">
        <v>572</v>
      </c>
      <c r="C41" t="s">
        <v>523</v>
      </c>
      <c r="D41" s="56" t="s">
        <v>1111</v>
      </c>
      <c r="E41" s="59">
        <v>33</v>
      </c>
      <c r="F41" t="s">
        <v>1112</v>
      </c>
      <c r="G41" s="56" t="s">
        <v>1574</v>
      </c>
    </row>
    <row r="42" spans="1:7" ht="28.8" x14ac:dyDescent="0.3">
      <c r="A42" t="s">
        <v>17</v>
      </c>
      <c r="B42" t="s">
        <v>572</v>
      </c>
      <c r="C42" t="s">
        <v>523</v>
      </c>
      <c r="D42" s="56" t="s">
        <v>1113</v>
      </c>
      <c r="E42" s="59">
        <v>67</v>
      </c>
      <c r="F42" t="s">
        <v>1114</v>
      </c>
      <c r="G42" s="56" t="s">
        <v>1574</v>
      </c>
    </row>
    <row r="43" spans="1:7" ht="28.8" x14ac:dyDescent="0.3">
      <c r="A43" t="s">
        <v>17</v>
      </c>
      <c r="B43" t="s">
        <v>572</v>
      </c>
      <c r="C43" t="s">
        <v>523</v>
      </c>
      <c r="D43" s="56" t="s">
        <v>1115</v>
      </c>
      <c r="E43" s="59">
        <v>100</v>
      </c>
      <c r="F43" t="s">
        <v>1116</v>
      </c>
      <c r="G43" s="56" t="s">
        <v>1574</v>
      </c>
    </row>
    <row r="44" spans="1:7" ht="28.8" x14ac:dyDescent="0.3">
      <c r="A44" t="s">
        <v>18</v>
      </c>
      <c r="B44" t="s">
        <v>572</v>
      </c>
      <c r="C44" t="s">
        <v>523</v>
      </c>
      <c r="D44" s="56" t="s">
        <v>1117</v>
      </c>
      <c r="E44" s="59">
        <v>0</v>
      </c>
      <c r="F44" t="s">
        <v>1118</v>
      </c>
      <c r="G44" s="56" t="s">
        <v>1574</v>
      </c>
    </row>
    <row r="45" spans="1:7" ht="28.8" x14ac:dyDescent="0.3">
      <c r="A45" t="s">
        <v>18</v>
      </c>
      <c r="B45" t="s">
        <v>572</v>
      </c>
      <c r="C45" t="s">
        <v>523</v>
      </c>
      <c r="D45" s="56" t="s">
        <v>1119</v>
      </c>
      <c r="E45" s="59">
        <v>25</v>
      </c>
      <c r="F45" t="s">
        <v>1120</v>
      </c>
      <c r="G45" s="56" t="s">
        <v>1574</v>
      </c>
    </row>
    <row r="46" spans="1:7" ht="28.8" x14ac:dyDescent="0.3">
      <c r="A46" t="s">
        <v>18</v>
      </c>
      <c r="B46" t="s">
        <v>572</v>
      </c>
      <c r="C46" t="s">
        <v>523</v>
      </c>
      <c r="D46" s="56" t="s">
        <v>1121</v>
      </c>
      <c r="E46" s="59">
        <v>100</v>
      </c>
      <c r="F46" t="s">
        <v>1122</v>
      </c>
      <c r="G46" s="56" t="s">
        <v>1574</v>
      </c>
    </row>
    <row r="47" spans="1:7" ht="43.2" x14ac:dyDescent="0.3">
      <c r="A47" t="s">
        <v>18</v>
      </c>
      <c r="B47" t="s">
        <v>572</v>
      </c>
      <c r="C47" t="s">
        <v>523</v>
      </c>
      <c r="D47" s="56" t="s">
        <v>1123</v>
      </c>
      <c r="E47" s="59" t="s">
        <v>1104</v>
      </c>
      <c r="F47" t="s">
        <v>1124</v>
      </c>
      <c r="G47" s="56" t="s">
        <v>1575</v>
      </c>
    </row>
    <row r="48" spans="1:7" ht="43.2" x14ac:dyDescent="0.3">
      <c r="A48" t="s">
        <v>604</v>
      </c>
      <c r="B48" t="s">
        <v>605</v>
      </c>
      <c r="C48" t="s">
        <v>523</v>
      </c>
      <c r="D48" s="56" t="s">
        <v>1099</v>
      </c>
      <c r="E48" s="59">
        <v>100</v>
      </c>
      <c r="F48" t="s">
        <v>1125</v>
      </c>
      <c r="G48" s="56" t="s">
        <v>1576</v>
      </c>
    </row>
    <row r="49" spans="1:7" ht="43.2" x14ac:dyDescent="0.3">
      <c r="A49" t="s">
        <v>604</v>
      </c>
      <c r="B49" t="s">
        <v>605</v>
      </c>
      <c r="C49" t="s">
        <v>523</v>
      </c>
      <c r="D49" s="56" t="s">
        <v>1101</v>
      </c>
      <c r="E49" s="59">
        <v>50</v>
      </c>
      <c r="F49" t="s">
        <v>1126</v>
      </c>
      <c r="G49" s="56" t="s">
        <v>1576</v>
      </c>
    </row>
    <row r="50" spans="1:7" ht="28.8" x14ac:dyDescent="0.3">
      <c r="A50" t="s">
        <v>609</v>
      </c>
      <c r="B50" t="s">
        <v>605</v>
      </c>
      <c r="C50" t="s">
        <v>523</v>
      </c>
      <c r="D50" s="56" t="s">
        <v>611</v>
      </c>
      <c r="E50" s="59"/>
      <c r="G50" s="56" t="s">
        <v>1097</v>
      </c>
    </row>
    <row r="51" spans="1:7" x14ac:dyDescent="0.3">
      <c r="A51" t="s">
        <v>613</v>
      </c>
      <c r="B51" t="s">
        <v>605</v>
      </c>
      <c r="C51" t="s">
        <v>523</v>
      </c>
      <c r="D51" s="56" t="s">
        <v>1127</v>
      </c>
      <c r="E51" s="59">
        <v>100</v>
      </c>
      <c r="F51" t="s">
        <v>1128</v>
      </c>
    </row>
    <row r="52" spans="1:7" x14ac:dyDescent="0.3">
      <c r="A52" t="s">
        <v>613</v>
      </c>
      <c r="B52" t="s">
        <v>605</v>
      </c>
      <c r="C52" t="s">
        <v>523</v>
      </c>
      <c r="D52" s="56" t="s">
        <v>1129</v>
      </c>
      <c r="E52" s="59">
        <v>50</v>
      </c>
      <c r="F52" t="s">
        <v>1130</v>
      </c>
    </row>
    <row r="53" spans="1:7" x14ac:dyDescent="0.3">
      <c r="A53" t="s">
        <v>613</v>
      </c>
      <c r="B53" t="s">
        <v>605</v>
      </c>
      <c r="C53" t="s">
        <v>523</v>
      </c>
      <c r="D53" s="56" t="s">
        <v>1103</v>
      </c>
      <c r="E53" s="59" t="s">
        <v>1104</v>
      </c>
      <c r="F53" t="s">
        <v>1131</v>
      </c>
      <c r="G53" s="56" t="s">
        <v>1106</v>
      </c>
    </row>
    <row r="54" spans="1:7" ht="43.2" x14ac:dyDescent="0.3">
      <c r="A54" t="s">
        <v>617</v>
      </c>
      <c r="B54" t="s">
        <v>605</v>
      </c>
      <c r="C54" t="s">
        <v>523</v>
      </c>
      <c r="D54" s="56" t="s">
        <v>1099</v>
      </c>
      <c r="E54" s="59">
        <v>100</v>
      </c>
      <c r="F54" t="s">
        <v>1132</v>
      </c>
      <c r="G54" s="56" t="s">
        <v>1577</v>
      </c>
    </row>
    <row r="55" spans="1:7" ht="43.2" x14ac:dyDescent="0.3">
      <c r="A55" t="s">
        <v>617</v>
      </c>
      <c r="B55" t="s">
        <v>605</v>
      </c>
      <c r="C55" t="s">
        <v>523</v>
      </c>
      <c r="D55" s="56" t="s">
        <v>1101</v>
      </c>
      <c r="E55" s="59">
        <v>50</v>
      </c>
      <c r="F55" t="s">
        <v>1133</v>
      </c>
      <c r="G55" s="56" t="s">
        <v>1577</v>
      </c>
    </row>
    <row r="56" spans="1:7" ht="57.6" x14ac:dyDescent="0.3">
      <c r="A56" t="s">
        <v>617</v>
      </c>
      <c r="B56" t="s">
        <v>605</v>
      </c>
      <c r="C56" t="s">
        <v>523</v>
      </c>
      <c r="D56" s="56" t="s">
        <v>1103</v>
      </c>
      <c r="E56" s="59" t="s">
        <v>1104</v>
      </c>
      <c r="F56" t="s">
        <v>1134</v>
      </c>
      <c r="G56" s="56" t="s">
        <v>1578</v>
      </c>
    </row>
    <row r="57" spans="1:7" x14ac:dyDescent="0.3">
      <c r="A57" t="s">
        <v>619</v>
      </c>
      <c r="B57" t="s">
        <v>605</v>
      </c>
      <c r="C57" t="s">
        <v>523</v>
      </c>
      <c r="D57" s="56" t="s">
        <v>1135</v>
      </c>
      <c r="E57" s="59">
        <v>100</v>
      </c>
      <c r="F57" t="s">
        <v>1136</v>
      </c>
    </row>
    <row r="58" spans="1:7" x14ac:dyDescent="0.3">
      <c r="A58" t="s">
        <v>619</v>
      </c>
      <c r="B58" t="s">
        <v>605</v>
      </c>
      <c r="C58" t="s">
        <v>523</v>
      </c>
      <c r="D58" s="56" t="s">
        <v>1137</v>
      </c>
      <c r="E58" s="59">
        <v>100</v>
      </c>
      <c r="F58" t="s">
        <v>1138</v>
      </c>
    </row>
    <row r="59" spans="1:7" x14ac:dyDescent="0.3">
      <c r="A59" t="s">
        <v>619</v>
      </c>
      <c r="B59" t="s">
        <v>605</v>
      </c>
      <c r="C59" t="s">
        <v>523</v>
      </c>
      <c r="D59" s="56" t="s">
        <v>1139</v>
      </c>
      <c r="E59" s="59">
        <v>100</v>
      </c>
      <c r="F59" t="s">
        <v>1140</v>
      </c>
    </row>
    <row r="60" spans="1:7" x14ac:dyDescent="0.3">
      <c r="A60" t="s">
        <v>619</v>
      </c>
      <c r="B60" t="s">
        <v>605</v>
      </c>
      <c r="C60" t="s">
        <v>523</v>
      </c>
      <c r="D60" s="56" t="s">
        <v>1141</v>
      </c>
      <c r="E60" s="59">
        <v>100</v>
      </c>
      <c r="F60" t="s">
        <v>1142</v>
      </c>
    </row>
    <row r="61" spans="1:7" x14ac:dyDescent="0.3">
      <c r="A61" t="s">
        <v>619</v>
      </c>
      <c r="B61" t="s">
        <v>605</v>
      </c>
      <c r="C61" t="s">
        <v>523</v>
      </c>
      <c r="D61" s="56" t="s">
        <v>1103</v>
      </c>
      <c r="E61" s="59" t="s">
        <v>1104</v>
      </c>
      <c r="F61" t="s">
        <v>1143</v>
      </c>
      <c r="G61" s="56" t="s">
        <v>1106</v>
      </c>
    </row>
    <row r="62" spans="1:7" x14ac:dyDescent="0.3">
      <c r="A62" t="s">
        <v>623</v>
      </c>
      <c r="B62" t="s">
        <v>624</v>
      </c>
      <c r="C62" t="s">
        <v>626</v>
      </c>
      <c r="D62" s="56" t="s">
        <v>1144</v>
      </c>
      <c r="E62" s="59"/>
      <c r="G62" s="56" t="s">
        <v>1145</v>
      </c>
    </row>
    <row r="63" spans="1:7" x14ac:dyDescent="0.3">
      <c r="A63" t="s">
        <v>629</v>
      </c>
      <c r="B63" t="s">
        <v>624</v>
      </c>
      <c r="C63" t="s">
        <v>532</v>
      </c>
      <c r="D63" s="56" t="s">
        <v>1146</v>
      </c>
      <c r="E63" s="59"/>
      <c r="G63" s="56" t="s">
        <v>1147</v>
      </c>
    </row>
    <row r="64" spans="1:7" x14ac:dyDescent="0.3">
      <c r="A64" t="s">
        <v>631</v>
      </c>
      <c r="B64" t="s">
        <v>624</v>
      </c>
      <c r="C64" t="s">
        <v>626</v>
      </c>
      <c r="D64" s="56" t="s">
        <v>1144</v>
      </c>
      <c r="E64" s="59"/>
      <c r="G64" s="56" t="s">
        <v>1145</v>
      </c>
    </row>
    <row r="65" spans="1:7" x14ac:dyDescent="0.3">
      <c r="A65" t="s">
        <v>634</v>
      </c>
      <c r="B65" t="s">
        <v>624</v>
      </c>
      <c r="C65" t="s">
        <v>523</v>
      </c>
      <c r="D65" s="56" t="s">
        <v>1148</v>
      </c>
      <c r="E65" s="59">
        <v>100</v>
      </c>
      <c r="F65" t="s">
        <v>1149</v>
      </c>
    </row>
    <row r="66" spans="1:7" x14ac:dyDescent="0.3">
      <c r="A66" t="s">
        <v>634</v>
      </c>
      <c r="B66" t="s">
        <v>624</v>
      </c>
      <c r="C66" t="s">
        <v>523</v>
      </c>
      <c r="D66" s="56" t="s">
        <v>1150</v>
      </c>
      <c r="E66" s="59">
        <v>75</v>
      </c>
      <c r="F66" t="s">
        <v>1151</v>
      </c>
    </row>
    <row r="67" spans="1:7" x14ac:dyDescent="0.3">
      <c r="A67" t="s">
        <v>634</v>
      </c>
      <c r="B67" t="s">
        <v>624</v>
      </c>
      <c r="C67" t="s">
        <v>523</v>
      </c>
      <c r="D67" s="56" t="s">
        <v>1152</v>
      </c>
      <c r="E67" s="59">
        <v>50</v>
      </c>
      <c r="F67" t="s">
        <v>1153</v>
      </c>
    </row>
    <row r="68" spans="1:7" x14ac:dyDescent="0.3">
      <c r="A68" t="s">
        <v>634</v>
      </c>
      <c r="B68" t="s">
        <v>624</v>
      </c>
      <c r="C68" t="s">
        <v>523</v>
      </c>
      <c r="D68" s="56" t="s">
        <v>1154</v>
      </c>
      <c r="E68" s="59">
        <v>25</v>
      </c>
      <c r="F68" t="s">
        <v>1155</v>
      </c>
    </row>
    <row r="69" spans="1:7" x14ac:dyDescent="0.3">
      <c r="A69" t="s">
        <v>634</v>
      </c>
      <c r="B69" t="s">
        <v>624</v>
      </c>
      <c r="C69" t="s">
        <v>523</v>
      </c>
      <c r="D69" s="56" t="s">
        <v>1156</v>
      </c>
      <c r="E69" s="59" t="s">
        <v>1104</v>
      </c>
      <c r="F69" t="s">
        <v>1157</v>
      </c>
      <c r="G69" s="56" t="s">
        <v>1106</v>
      </c>
    </row>
    <row r="70" spans="1:7" x14ac:dyDescent="0.3">
      <c r="A70" t="s">
        <v>637</v>
      </c>
      <c r="B70" t="s">
        <v>624</v>
      </c>
      <c r="C70" t="s">
        <v>523</v>
      </c>
      <c r="D70" s="56" t="s">
        <v>1158</v>
      </c>
      <c r="E70" s="59">
        <v>0</v>
      </c>
      <c r="F70" t="s">
        <v>1159</v>
      </c>
    </row>
    <row r="71" spans="1:7" x14ac:dyDescent="0.3">
      <c r="A71" t="s">
        <v>637</v>
      </c>
      <c r="B71" t="s">
        <v>624</v>
      </c>
      <c r="C71" t="s">
        <v>523</v>
      </c>
      <c r="D71" s="56" t="s">
        <v>1160</v>
      </c>
      <c r="E71" s="59">
        <v>33</v>
      </c>
      <c r="F71" t="s">
        <v>1161</v>
      </c>
    </row>
    <row r="72" spans="1:7" x14ac:dyDescent="0.3">
      <c r="A72" t="s">
        <v>637</v>
      </c>
      <c r="B72" t="s">
        <v>624</v>
      </c>
      <c r="C72" t="s">
        <v>523</v>
      </c>
      <c r="D72" s="56" t="s">
        <v>1162</v>
      </c>
      <c r="E72" s="59">
        <v>67</v>
      </c>
      <c r="F72" t="s">
        <v>1163</v>
      </c>
    </row>
    <row r="73" spans="1:7" x14ac:dyDescent="0.3">
      <c r="A73" t="s">
        <v>637</v>
      </c>
      <c r="B73" t="s">
        <v>624</v>
      </c>
      <c r="C73" t="s">
        <v>523</v>
      </c>
      <c r="D73" s="56" t="s">
        <v>1164</v>
      </c>
      <c r="E73" s="59">
        <v>100</v>
      </c>
      <c r="F73" t="s">
        <v>1165</v>
      </c>
    </row>
    <row r="74" spans="1:7" ht="28.8" x14ac:dyDescent="0.3">
      <c r="A74" t="s">
        <v>640</v>
      </c>
      <c r="B74" t="s">
        <v>624</v>
      </c>
      <c r="C74" t="s">
        <v>523</v>
      </c>
      <c r="D74" s="56" t="s">
        <v>1166</v>
      </c>
      <c r="E74" s="59">
        <v>0</v>
      </c>
      <c r="F74" t="s">
        <v>1167</v>
      </c>
      <c r="G74" s="56" t="s">
        <v>1579</v>
      </c>
    </row>
    <row r="75" spans="1:7" ht="28.8" x14ac:dyDescent="0.3">
      <c r="A75" t="s">
        <v>640</v>
      </c>
      <c r="B75" t="s">
        <v>624</v>
      </c>
      <c r="C75" t="s">
        <v>523</v>
      </c>
      <c r="D75" s="56" t="s">
        <v>1168</v>
      </c>
      <c r="E75" s="59">
        <v>50</v>
      </c>
      <c r="F75" t="s">
        <v>1169</v>
      </c>
      <c r="G75" s="56" t="s">
        <v>1579</v>
      </c>
    </row>
    <row r="76" spans="1:7" ht="28.8" x14ac:dyDescent="0.3">
      <c r="A76" t="s">
        <v>640</v>
      </c>
      <c r="B76" t="s">
        <v>624</v>
      </c>
      <c r="C76" t="s">
        <v>523</v>
      </c>
      <c r="D76" s="56" t="s">
        <v>1170</v>
      </c>
      <c r="E76" s="59">
        <v>100</v>
      </c>
      <c r="F76" t="s">
        <v>1171</v>
      </c>
      <c r="G76" s="56" t="s">
        <v>1579</v>
      </c>
    </row>
    <row r="77" spans="1:7" x14ac:dyDescent="0.3">
      <c r="A77" t="s">
        <v>644</v>
      </c>
      <c r="B77" t="s">
        <v>624</v>
      </c>
      <c r="C77" t="s">
        <v>523</v>
      </c>
      <c r="D77" s="56" t="s">
        <v>1172</v>
      </c>
      <c r="E77" s="59">
        <v>100</v>
      </c>
      <c r="F77" t="s">
        <v>1173</v>
      </c>
    </row>
    <row r="78" spans="1:7" x14ac:dyDescent="0.3">
      <c r="A78" t="s">
        <v>644</v>
      </c>
      <c r="B78" t="s">
        <v>624</v>
      </c>
      <c r="C78" t="s">
        <v>523</v>
      </c>
      <c r="D78" s="56" t="s">
        <v>1174</v>
      </c>
      <c r="E78" s="59">
        <v>75</v>
      </c>
      <c r="F78" t="s">
        <v>1175</v>
      </c>
    </row>
    <row r="79" spans="1:7" x14ac:dyDescent="0.3">
      <c r="A79" t="s">
        <v>644</v>
      </c>
      <c r="B79" t="s">
        <v>624</v>
      </c>
      <c r="C79" t="s">
        <v>523</v>
      </c>
      <c r="D79" s="56" t="s">
        <v>1176</v>
      </c>
      <c r="E79" s="59">
        <v>50</v>
      </c>
      <c r="F79" t="s">
        <v>1177</v>
      </c>
    </row>
    <row r="80" spans="1:7" x14ac:dyDescent="0.3">
      <c r="A80" t="s">
        <v>644</v>
      </c>
      <c r="B80" t="s">
        <v>624</v>
      </c>
      <c r="C80" t="s">
        <v>523</v>
      </c>
      <c r="D80" s="56" t="s">
        <v>1178</v>
      </c>
      <c r="E80" s="59">
        <v>25</v>
      </c>
      <c r="F80" t="s">
        <v>1179</v>
      </c>
    </row>
    <row r="81" spans="1:7" x14ac:dyDescent="0.3">
      <c r="A81" t="s">
        <v>644</v>
      </c>
      <c r="B81" t="s">
        <v>624</v>
      </c>
      <c r="C81" t="s">
        <v>523</v>
      </c>
      <c r="D81" s="56" t="s">
        <v>1180</v>
      </c>
      <c r="E81" s="59" t="s">
        <v>1104</v>
      </c>
      <c r="F81" t="s">
        <v>1181</v>
      </c>
      <c r="G81" s="56" t="s">
        <v>1106</v>
      </c>
    </row>
    <row r="82" spans="1:7" ht="28.8" x14ac:dyDescent="0.3">
      <c r="A82" t="s">
        <v>647</v>
      </c>
      <c r="B82" t="s">
        <v>624</v>
      </c>
      <c r="C82" t="s">
        <v>523</v>
      </c>
      <c r="D82" s="56" t="s">
        <v>1182</v>
      </c>
      <c r="E82" s="59">
        <v>100</v>
      </c>
      <c r="F82" t="s">
        <v>1183</v>
      </c>
      <c r="G82" s="56" t="s">
        <v>1580</v>
      </c>
    </row>
    <row r="83" spans="1:7" ht="28.8" x14ac:dyDescent="0.3">
      <c r="A83" t="s">
        <v>647</v>
      </c>
      <c r="B83" t="s">
        <v>624</v>
      </c>
      <c r="C83" t="s">
        <v>523</v>
      </c>
      <c r="D83" s="56" t="s">
        <v>1184</v>
      </c>
      <c r="E83" s="59">
        <v>67</v>
      </c>
      <c r="F83" t="s">
        <v>1185</v>
      </c>
      <c r="G83" s="56" t="s">
        <v>1580</v>
      </c>
    </row>
    <row r="84" spans="1:7" ht="28.8" x14ac:dyDescent="0.3">
      <c r="A84" t="s">
        <v>647</v>
      </c>
      <c r="B84" t="s">
        <v>624</v>
      </c>
      <c r="C84" t="s">
        <v>523</v>
      </c>
      <c r="D84" s="56" t="s">
        <v>1186</v>
      </c>
      <c r="E84" s="59">
        <v>33</v>
      </c>
      <c r="F84" t="s">
        <v>1187</v>
      </c>
      <c r="G84" s="56" t="s">
        <v>1580</v>
      </c>
    </row>
    <row r="85" spans="1:7" ht="28.8" x14ac:dyDescent="0.3">
      <c r="A85" t="s">
        <v>647</v>
      </c>
      <c r="B85" t="s">
        <v>624</v>
      </c>
      <c r="C85" t="s">
        <v>523</v>
      </c>
      <c r="D85" s="56" t="s">
        <v>1188</v>
      </c>
      <c r="E85" s="59">
        <v>0</v>
      </c>
      <c r="F85" t="s">
        <v>1189</v>
      </c>
      <c r="G85" s="56" t="s">
        <v>1580</v>
      </c>
    </row>
    <row r="86" spans="1:7" ht="43.2" x14ac:dyDescent="0.3">
      <c r="A86" t="s">
        <v>647</v>
      </c>
      <c r="B86" t="s">
        <v>624</v>
      </c>
      <c r="C86" t="s">
        <v>523</v>
      </c>
      <c r="D86" s="56" t="s">
        <v>1190</v>
      </c>
      <c r="E86" s="59" t="s">
        <v>1104</v>
      </c>
      <c r="F86" t="s">
        <v>1191</v>
      </c>
      <c r="G86" s="56" t="s">
        <v>1581</v>
      </c>
    </row>
    <row r="87" spans="1:7" x14ac:dyDescent="0.3">
      <c r="A87" t="s">
        <v>652</v>
      </c>
      <c r="B87" t="s">
        <v>653</v>
      </c>
      <c r="C87" t="s">
        <v>532</v>
      </c>
      <c r="D87" s="56" t="s">
        <v>1146</v>
      </c>
      <c r="E87" s="59"/>
      <c r="G87" s="56" t="s">
        <v>1147</v>
      </c>
    </row>
    <row r="88" spans="1:7" ht="43.2" x14ac:dyDescent="0.3">
      <c r="A88" t="s">
        <v>656</v>
      </c>
      <c r="B88" t="s">
        <v>653</v>
      </c>
      <c r="C88" t="s">
        <v>523</v>
      </c>
      <c r="D88" s="56" t="s">
        <v>1192</v>
      </c>
      <c r="E88" s="59">
        <v>0</v>
      </c>
      <c r="F88" t="s">
        <v>1193</v>
      </c>
      <c r="G88" s="56" t="s">
        <v>1582</v>
      </c>
    </row>
    <row r="89" spans="1:7" ht="43.2" x14ac:dyDescent="0.3">
      <c r="A89" t="s">
        <v>656</v>
      </c>
      <c r="B89" t="s">
        <v>653</v>
      </c>
      <c r="C89" t="s">
        <v>523</v>
      </c>
      <c r="D89" s="56" t="s">
        <v>1194</v>
      </c>
      <c r="E89" s="59">
        <v>50</v>
      </c>
      <c r="F89" t="s">
        <v>1195</v>
      </c>
      <c r="G89" s="56" t="s">
        <v>1582</v>
      </c>
    </row>
    <row r="90" spans="1:7" ht="43.2" x14ac:dyDescent="0.3">
      <c r="A90" t="s">
        <v>656</v>
      </c>
      <c r="B90" t="s">
        <v>653</v>
      </c>
      <c r="C90" t="s">
        <v>523</v>
      </c>
      <c r="D90" s="56" t="s">
        <v>1196</v>
      </c>
      <c r="E90" s="59">
        <v>0</v>
      </c>
      <c r="F90" t="s">
        <v>1197</v>
      </c>
      <c r="G90" s="56" t="s">
        <v>1582</v>
      </c>
    </row>
    <row r="91" spans="1:7" ht="43.2" x14ac:dyDescent="0.3">
      <c r="A91" t="s">
        <v>656</v>
      </c>
      <c r="B91" t="s">
        <v>653</v>
      </c>
      <c r="C91" t="s">
        <v>523</v>
      </c>
      <c r="D91" s="56" t="s">
        <v>1198</v>
      </c>
      <c r="E91" s="59" t="s">
        <v>1104</v>
      </c>
      <c r="F91" t="s">
        <v>1199</v>
      </c>
      <c r="G91" s="56" t="s">
        <v>1583</v>
      </c>
    </row>
    <row r="92" spans="1:7" ht="43.2" x14ac:dyDescent="0.3">
      <c r="A92" t="s">
        <v>656</v>
      </c>
      <c r="B92" t="s">
        <v>653</v>
      </c>
      <c r="C92" t="s">
        <v>523</v>
      </c>
      <c r="D92" s="56" t="s">
        <v>1200</v>
      </c>
      <c r="E92" s="59">
        <v>100</v>
      </c>
      <c r="F92" t="s">
        <v>1201</v>
      </c>
      <c r="G92" s="56" t="s">
        <v>1582</v>
      </c>
    </row>
    <row r="93" spans="1:7" x14ac:dyDescent="0.3">
      <c r="A93" t="s">
        <v>659</v>
      </c>
      <c r="B93" t="s">
        <v>653</v>
      </c>
      <c r="C93" t="s">
        <v>626</v>
      </c>
      <c r="D93" s="56" t="s">
        <v>1144</v>
      </c>
      <c r="E93" s="59"/>
      <c r="G93" s="56" t="s">
        <v>1145</v>
      </c>
    </row>
    <row r="94" spans="1:7" x14ac:dyDescent="0.3">
      <c r="A94" t="s">
        <v>661</v>
      </c>
      <c r="B94" t="s">
        <v>653</v>
      </c>
      <c r="C94" t="s">
        <v>523</v>
      </c>
      <c r="D94" s="56" t="s">
        <v>1099</v>
      </c>
      <c r="E94" s="59">
        <v>0</v>
      </c>
      <c r="F94" t="s">
        <v>1202</v>
      </c>
    </row>
    <row r="95" spans="1:7" x14ac:dyDescent="0.3">
      <c r="A95" t="s">
        <v>661</v>
      </c>
      <c r="B95" t="s">
        <v>653</v>
      </c>
      <c r="C95" t="s">
        <v>523</v>
      </c>
      <c r="D95" s="56" t="s">
        <v>1101</v>
      </c>
      <c r="E95" s="59">
        <v>100</v>
      </c>
      <c r="F95" t="s">
        <v>1203</v>
      </c>
    </row>
    <row r="96" spans="1:7" x14ac:dyDescent="0.3">
      <c r="A96" t="s">
        <v>661</v>
      </c>
      <c r="B96" t="s">
        <v>653</v>
      </c>
      <c r="C96" t="s">
        <v>523</v>
      </c>
      <c r="D96" s="56" t="s">
        <v>1198</v>
      </c>
      <c r="E96" s="59" t="s">
        <v>1104</v>
      </c>
      <c r="F96" t="s">
        <v>1204</v>
      </c>
      <c r="G96" s="56" t="s">
        <v>1106</v>
      </c>
    </row>
    <row r="97" spans="1:7" x14ac:dyDescent="0.3">
      <c r="A97" t="s">
        <v>664</v>
      </c>
      <c r="B97" t="s">
        <v>653</v>
      </c>
      <c r="C97" t="s">
        <v>523</v>
      </c>
      <c r="D97" s="56" t="s">
        <v>1205</v>
      </c>
      <c r="E97" s="59">
        <v>100</v>
      </c>
      <c r="F97" t="s">
        <v>1206</v>
      </c>
    </row>
    <row r="98" spans="1:7" x14ac:dyDescent="0.3">
      <c r="A98" t="s">
        <v>664</v>
      </c>
      <c r="B98" t="s">
        <v>653</v>
      </c>
      <c r="C98" t="s">
        <v>523</v>
      </c>
      <c r="D98" s="56" t="s">
        <v>1207</v>
      </c>
      <c r="E98" s="59">
        <v>50</v>
      </c>
      <c r="F98" t="s">
        <v>1208</v>
      </c>
    </row>
    <row r="99" spans="1:7" x14ac:dyDescent="0.3">
      <c r="A99" t="s">
        <v>664</v>
      </c>
      <c r="B99" t="s">
        <v>653</v>
      </c>
      <c r="C99" t="s">
        <v>523</v>
      </c>
      <c r="D99" s="56" t="s">
        <v>1101</v>
      </c>
      <c r="E99" s="59">
        <v>0</v>
      </c>
      <c r="F99" t="s">
        <v>1209</v>
      </c>
    </row>
    <row r="100" spans="1:7" x14ac:dyDescent="0.3">
      <c r="A100" t="s">
        <v>664</v>
      </c>
      <c r="B100" t="s">
        <v>653</v>
      </c>
      <c r="C100" t="s">
        <v>523</v>
      </c>
      <c r="D100" s="56" t="s">
        <v>1190</v>
      </c>
      <c r="E100" s="59" t="s">
        <v>1104</v>
      </c>
      <c r="F100" t="s">
        <v>1210</v>
      </c>
      <c r="G100" s="56" t="s">
        <v>1106</v>
      </c>
    </row>
    <row r="101" spans="1:7" x14ac:dyDescent="0.3">
      <c r="A101" t="s">
        <v>667</v>
      </c>
      <c r="B101" t="s">
        <v>653</v>
      </c>
      <c r="C101" t="s">
        <v>523</v>
      </c>
      <c r="D101" s="56" t="s">
        <v>1211</v>
      </c>
      <c r="E101" s="59">
        <v>100</v>
      </c>
      <c r="F101" t="s">
        <v>1212</v>
      </c>
    </row>
    <row r="102" spans="1:7" x14ac:dyDescent="0.3">
      <c r="A102" t="s">
        <v>667</v>
      </c>
      <c r="B102" t="s">
        <v>653</v>
      </c>
      <c r="C102" t="s">
        <v>523</v>
      </c>
      <c r="D102" s="56" t="s">
        <v>1213</v>
      </c>
      <c r="E102" s="59">
        <v>50</v>
      </c>
      <c r="F102" t="s">
        <v>1214</v>
      </c>
    </row>
    <row r="103" spans="1:7" x14ac:dyDescent="0.3">
      <c r="A103" t="s">
        <v>667</v>
      </c>
      <c r="B103" t="s">
        <v>653</v>
      </c>
      <c r="C103" t="s">
        <v>523</v>
      </c>
      <c r="D103" s="56" t="s">
        <v>1101</v>
      </c>
      <c r="E103" s="59">
        <v>0</v>
      </c>
      <c r="F103" t="s">
        <v>1215</v>
      </c>
    </row>
    <row r="104" spans="1:7" x14ac:dyDescent="0.3">
      <c r="A104" t="s">
        <v>667</v>
      </c>
      <c r="B104" t="s">
        <v>653</v>
      </c>
      <c r="C104" t="s">
        <v>523</v>
      </c>
      <c r="D104" s="56" t="s">
        <v>1190</v>
      </c>
      <c r="E104" s="59" t="s">
        <v>1104</v>
      </c>
      <c r="F104" t="s">
        <v>1216</v>
      </c>
      <c r="G104" s="56" t="s">
        <v>1106</v>
      </c>
    </row>
    <row r="105" spans="1:7" x14ac:dyDescent="0.3">
      <c r="A105" t="s">
        <v>670</v>
      </c>
      <c r="B105" t="s">
        <v>653</v>
      </c>
      <c r="C105" t="s">
        <v>523</v>
      </c>
      <c r="D105" s="56" t="s">
        <v>1099</v>
      </c>
      <c r="E105" s="59">
        <v>0</v>
      </c>
      <c r="F105" t="s">
        <v>1217</v>
      </c>
    </row>
    <row r="106" spans="1:7" x14ac:dyDescent="0.3">
      <c r="A106" t="s">
        <v>670</v>
      </c>
      <c r="B106" t="s">
        <v>653</v>
      </c>
      <c r="C106" t="s">
        <v>523</v>
      </c>
      <c r="D106" s="56" t="s">
        <v>1101</v>
      </c>
      <c r="E106" s="59">
        <v>100</v>
      </c>
      <c r="F106" t="s">
        <v>1218</v>
      </c>
    </row>
    <row r="107" spans="1:7" x14ac:dyDescent="0.3">
      <c r="A107" t="s">
        <v>670</v>
      </c>
      <c r="B107" t="s">
        <v>653</v>
      </c>
      <c r="C107" t="s">
        <v>523</v>
      </c>
      <c r="D107" s="56" t="s">
        <v>1103</v>
      </c>
      <c r="E107" s="59" t="s">
        <v>1104</v>
      </c>
      <c r="F107" t="s">
        <v>1219</v>
      </c>
      <c r="G107" s="56" t="s">
        <v>1106</v>
      </c>
    </row>
    <row r="108" spans="1:7" x14ac:dyDescent="0.3">
      <c r="A108" t="s">
        <v>672</v>
      </c>
      <c r="B108" t="s">
        <v>653</v>
      </c>
      <c r="C108" t="s">
        <v>523</v>
      </c>
      <c r="D108" s="56" t="s">
        <v>1220</v>
      </c>
      <c r="E108" s="59">
        <v>100</v>
      </c>
      <c r="F108" t="s">
        <v>1221</v>
      </c>
    </row>
    <row r="109" spans="1:7" x14ac:dyDescent="0.3">
      <c r="A109" t="s">
        <v>672</v>
      </c>
      <c r="B109" t="s">
        <v>653</v>
      </c>
      <c r="C109" t="s">
        <v>523</v>
      </c>
      <c r="D109" s="56" t="s">
        <v>1222</v>
      </c>
      <c r="E109" s="59">
        <v>80</v>
      </c>
      <c r="F109" t="s">
        <v>1223</v>
      </c>
    </row>
    <row r="110" spans="1:7" ht="28.8" x14ac:dyDescent="0.3">
      <c r="A110" t="s">
        <v>672</v>
      </c>
      <c r="B110" t="s">
        <v>653</v>
      </c>
      <c r="C110" t="s">
        <v>523</v>
      </c>
      <c r="D110" s="56" t="s">
        <v>1224</v>
      </c>
      <c r="E110" s="59">
        <v>60</v>
      </c>
      <c r="F110" t="s">
        <v>1225</v>
      </c>
    </row>
    <row r="111" spans="1:7" x14ac:dyDescent="0.3">
      <c r="A111" t="s">
        <v>672</v>
      </c>
      <c r="B111" t="s">
        <v>653</v>
      </c>
      <c r="C111" t="s">
        <v>523</v>
      </c>
      <c r="D111" s="56" t="s">
        <v>1226</v>
      </c>
      <c r="E111" s="59">
        <v>20</v>
      </c>
      <c r="F111" t="s">
        <v>1227</v>
      </c>
    </row>
    <row r="112" spans="1:7" ht="28.8" x14ac:dyDescent="0.3">
      <c r="A112" t="s">
        <v>672</v>
      </c>
      <c r="B112" t="s">
        <v>653</v>
      </c>
      <c r="C112" t="s">
        <v>523</v>
      </c>
      <c r="D112" s="56" t="s">
        <v>1228</v>
      </c>
      <c r="E112" s="59">
        <v>0</v>
      </c>
      <c r="F112" t="s">
        <v>1229</v>
      </c>
    </row>
    <row r="113" spans="1:7" x14ac:dyDescent="0.3">
      <c r="A113" t="s">
        <v>672</v>
      </c>
      <c r="B113" t="s">
        <v>653</v>
      </c>
      <c r="C113" t="s">
        <v>523</v>
      </c>
      <c r="D113" s="56" t="s">
        <v>1198</v>
      </c>
      <c r="E113" s="59" t="s">
        <v>1104</v>
      </c>
      <c r="F113" t="s">
        <v>1230</v>
      </c>
      <c r="G113" s="56" t="s">
        <v>1106</v>
      </c>
    </row>
    <row r="114" spans="1:7" x14ac:dyDescent="0.3">
      <c r="A114" t="s">
        <v>675</v>
      </c>
      <c r="B114" t="s">
        <v>653</v>
      </c>
      <c r="C114" t="s">
        <v>523</v>
      </c>
      <c r="D114" s="56" t="s">
        <v>1231</v>
      </c>
      <c r="E114" s="59">
        <v>100</v>
      </c>
      <c r="F114" t="s">
        <v>1232</v>
      </c>
    </row>
    <row r="115" spans="1:7" x14ac:dyDescent="0.3">
      <c r="A115" t="s">
        <v>675</v>
      </c>
      <c r="B115" t="s">
        <v>653</v>
      </c>
      <c r="C115" t="s">
        <v>523</v>
      </c>
      <c r="D115" s="56" t="s">
        <v>1207</v>
      </c>
      <c r="E115" s="59">
        <v>50</v>
      </c>
      <c r="F115" t="s">
        <v>1233</v>
      </c>
    </row>
    <row r="116" spans="1:7" x14ac:dyDescent="0.3">
      <c r="A116" t="s">
        <v>675</v>
      </c>
      <c r="B116" t="s">
        <v>653</v>
      </c>
      <c r="C116" t="s">
        <v>523</v>
      </c>
      <c r="D116" s="56" t="s">
        <v>1198</v>
      </c>
      <c r="E116" s="59" t="s">
        <v>1104</v>
      </c>
      <c r="F116" t="s">
        <v>1234</v>
      </c>
      <c r="G116" s="56" t="s">
        <v>1106</v>
      </c>
    </row>
    <row r="117" spans="1:7" x14ac:dyDescent="0.3">
      <c r="A117" t="s">
        <v>675</v>
      </c>
      <c r="B117" t="s">
        <v>653</v>
      </c>
      <c r="C117" t="s">
        <v>523</v>
      </c>
      <c r="D117" s="56" t="s">
        <v>1103</v>
      </c>
      <c r="E117" s="59" t="s">
        <v>1104</v>
      </c>
      <c r="F117" t="s">
        <v>1235</v>
      </c>
      <c r="G117" s="56" t="s">
        <v>1106</v>
      </c>
    </row>
    <row r="118" spans="1:7" x14ac:dyDescent="0.3">
      <c r="A118" t="s">
        <v>678</v>
      </c>
      <c r="B118" t="s">
        <v>653</v>
      </c>
      <c r="C118" t="s">
        <v>523</v>
      </c>
      <c r="D118" s="56" t="s">
        <v>1236</v>
      </c>
      <c r="E118" s="59">
        <v>100</v>
      </c>
      <c r="F118" t="s">
        <v>1237</v>
      </c>
    </row>
    <row r="119" spans="1:7" x14ac:dyDescent="0.3">
      <c r="A119" t="s">
        <v>678</v>
      </c>
      <c r="B119" t="s">
        <v>653</v>
      </c>
      <c r="C119" t="s">
        <v>523</v>
      </c>
      <c r="D119" s="56" t="s">
        <v>1238</v>
      </c>
      <c r="E119" s="59">
        <v>50</v>
      </c>
      <c r="F119" t="s">
        <v>1239</v>
      </c>
    </row>
    <row r="120" spans="1:7" x14ac:dyDescent="0.3">
      <c r="A120" t="s">
        <v>678</v>
      </c>
      <c r="B120" t="s">
        <v>653</v>
      </c>
      <c r="C120" t="s">
        <v>523</v>
      </c>
      <c r="D120" s="56" t="s">
        <v>1240</v>
      </c>
      <c r="E120" s="59">
        <v>0</v>
      </c>
      <c r="F120" t="s">
        <v>1241</v>
      </c>
    </row>
    <row r="121" spans="1:7" x14ac:dyDescent="0.3">
      <c r="A121" t="s">
        <v>681</v>
      </c>
      <c r="B121" t="s">
        <v>653</v>
      </c>
      <c r="C121" t="s">
        <v>523</v>
      </c>
      <c r="D121" s="56" t="s">
        <v>1242</v>
      </c>
      <c r="E121" s="59">
        <v>100</v>
      </c>
      <c r="F121" t="s">
        <v>1243</v>
      </c>
      <c r="G121" s="56" t="s">
        <v>1584</v>
      </c>
    </row>
    <row r="122" spans="1:7" x14ac:dyDescent="0.3">
      <c r="A122" t="s">
        <v>681</v>
      </c>
      <c r="B122" t="s">
        <v>653</v>
      </c>
      <c r="C122" t="s">
        <v>523</v>
      </c>
      <c r="D122" s="56" t="s">
        <v>1244</v>
      </c>
      <c r="E122" s="59">
        <v>0</v>
      </c>
      <c r="F122" t="s">
        <v>1245</v>
      </c>
      <c r="G122" s="56" t="s">
        <v>1584</v>
      </c>
    </row>
    <row r="123" spans="1:7" ht="28.8" x14ac:dyDescent="0.3">
      <c r="A123" t="s">
        <v>681</v>
      </c>
      <c r="B123" t="s">
        <v>653</v>
      </c>
      <c r="C123" t="s">
        <v>523</v>
      </c>
      <c r="D123" s="56" t="s">
        <v>1246</v>
      </c>
      <c r="E123" s="59" t="s">
        <v>1104</v>
      </c>
      <c r="F123" t="s">
        <v>1247</v>
      </c>
      <c r="G123" s="56" t="s">
        <v>1585</v>
      </c>
    </row>
    <row r="124" spans="1:7" ht="28.8" x14ac:dyDescent="0.3">
      <c r="A124" t="s">
        <v>681</v>
      </c>
      <c r="B124" t="s">
        <v>653</v>
      </c>
      <c r="C124" t="s">
        <v>523</v>
      </c>
      <c r="D124" s="56" t="s">
        <v>1103</v>
      </c>
      <c r="E124" s="59" t="s">
        <v>1104</v>
      </c>
      <c r="F124" t="s">
        <v>1248</v>
      </c>
      <c r="G124" s="56" t="s">
        <v>1585</v>
      </c>
    </row>
    <row r="125" spans="1:7" x14ac:dyDescent="0.3">
      <c r="A125" t="s">
        <v>684</v>
      </c>
      <c r="B125" t="s">
        <v>653</v>
      </c>
      <c r="C125" t="s">
        <v>523</v>
      </c>
      <c r="D125" s="56" t="s">
        <v>1249</v>
      </c>
      <c r="E125" s="59">
        <v>100</v>
      </c>
      <c r="F125" t="s">
        <v>1250</v>
      </c>
    </row>
    <row r="126" spans="1:7" x14ac:dyDescent="0.3">
      <c r="A126" t="s">
        <v>684</v>
      </c>
      <c r="B126" t="s">
        <v>653</v>
      </c>
      <c r="C126" t="s">
        <v>523</v>
      </c>
      <c r="D126" s="56" t="s">
        <v>1251</v>
      </c>
      <c r="E126" s="59">
        <v>50</v>
      </c>
      <c r="F126" t="s">
        <v>1252</v>
      </c>
    </row>
    <row r="127" spans="1:7" x14ac:dyDescent="0.3">
      <c r="A127" t="s">
        <v>684</v>
      </c>
      <c r="B127" t="s">
        <v>653</v>
      </c>
      <c r="C127" t="s">
        <v>523</v>
      </c>
      <c r="D127" s="56" t="s">
        <v>1101</v>
      </c>
      <c r="E127" s="59">
        <v>0</v>
      </c>
      <c r="F127" t="s">
        <v>1253</v>
      </c>
    </row>
    <row r="128" spans="1:7" x14ac:dyDescent="0.3">
      <c r="A128" t="s">
        <v>684</v>
      </c>
      <c r="B128" t="s">
        <v>653</v>
      </c>
      <c r="C128" t="s">
        <v>523</v>
      </c>
      <c r="D128" s="56" t="s">
        <v>1254</v>
      </c>
      <c r="E128" s="59" t="s">
        <v>1104</v>
      </c>
      <c r="F128" t="s">
        <v>1255</v>
      </c>
      <c r="G128" s="56" t="s">
        <v>1106</v>
      </c>
    </row>
    <row r="129" spans="1:7" ht="28.8" x14ac:dyDescent="0.3">
      <c r="A129" t="s">
        <v>687</v>
      </c>
      <c r="B129" t="s">
        <v>653</v>
      </c>
      <c r="C129" t="s">
        <v>523</v>
      </c>
      <c r="D129" s="56" t="s">
        <v>1256</v>
      </c>
      <c r="E129" s="59">
        <v>0</v>
      </c>
      <c r="F129" t="s">
        <v>1257</v>
      </c>
      <c r="G129" s="56" t="s">
        <v>1586</v>
      </c>
    </row>
    <row r="130" spans="1:7" ht="28.8" x14ac:dyDescent="0.3">
      <c r="A130" t="s">
        <v>687</v>
      </c>
      <c r="B130" t="s">
        <v>653</v>
      </c>
      <c r="C130" t="s">
        <v>523</v>
      </c>
      <c r="D130" s="56" t="s">
        <v>1258</v>
      </c>
      <c r="E130" s="59">
        <v>50</v>
      </c>
      <c r="F130" t="s">
        <v>1259</v>
      </c>
      <c r="G130" s="56" t="s">
        <v>1586</v>
      </c>
    </row>
    <row r="131" spans="1:7" ht="28.8" x14ac:dyDescent="0.3">
      <c r="A131" t="s">
        <v>687</v>
      </c>
      <c r="B131" t="s">
        <v>653</v>
      </c>
      <c r="C131" t="s">
        <v>523</v>
      </c>
      <c r="D131" s="56" t="s">
        <v>1101</v>
      </c>
      <c r="E131" s="59">
        <v>100</v>
      </c>
      <c r="F131" t="s">
        <v>1260</v>
      </c>
      <c r="G131" s="56" t="s">
        <v>1586</v>
      </c>
    </row>
    <row r="132" spans="1:7" ht="28.8" x14ac:dyDescent="0.3">
      <c r="A132" t="s">
        <v>687</v>
      </c>
      <c r="B132" t="s">
        <v>653</v>
      </c>
      <c r="C132" t="s">
        <v>523</v>
      </c>
      <c r="D132" s="56" t="s">
        <v>1103</v>
      </c>
      <c r="E132" s="59" t="s">
        <v>1104</v>
      </c>
      <c r="F132" t="s">
        <v>1261</v>
      </c>
      <c r="G132" s="56" t="s">
        <v>1587</v>
      </c>
    </row>
    <row r="133" spans="1:7" ht="43.2" x14ac:dyDescent="0.3">
      <c r="A133" t="s">
        <v>692</v>
      </c>
      <c r="B133" t="s">
        <v>693</v>
      </c>
      <c r="C133" t="s">
        <v>523</v>
      </c>
      <c r="D133" s="56" t="s">
        <v>1198</v>
      </c>
      <c r="E133" s="59" t="s">
        <v>1104</v>
      </c>
      <c r="F133" t="s">
        <v>1262</v>
      </c>
      <c r="G133" s="56" t="s">
        <v>1588</v>
      </c>
    </row>
    <row r="134" spans="1:7" ht="43.2" x14ac:dyDescent="0.3">
      <c r="A134" t="s">
        <v>692</v>
      </c>
      <c r="B134" t="s">
        <v>693</v>
      </c>
      <c r="C134" t="s">
        <v>523</v>
      </c>
      <c r="D134" s="56" t="s">
        <v>1263</v>
      </c>
      <c r="E134" s="59">
        <v>50</v>
      </c>
      <c r="F134" t="s">
        <v>1264</v>
      </c>
      <c r="G134" s="56" t="s">
        <v>1589</v>
      </c>
    </row>
    <row r="135" spans="1:7" ht="43.2" x14ac:dyDescent="0.3">
      <c r="A135" t="s">
        <v>692</v>
      </c>
      <c r="B135" t="s">
        <v>693</v>
      </c>
      <c r="C135" t="s">
        <v>523</v>
      </c>
      <c r="D135" s="56" t="s">
        <v>1265</v>
      </c>
      <c r="E135" s="59">
        <v>75</v>
      </c>
      <c r="F135" t="s">
        <v>1266</v>
      </c>
      <c r="G135" s="56" t="s">
        <v>1589</v>
      </c>
    </row>
    <row r="136" spans="1:7" ht="43.2" x14ac:dyDescent="0.3">
      <c r="A136" t="s">
        <v>692</v>
      </c>
      <c r="B136" t="s">
        <v>693</v>
      </c>
      <c r="C136" t="s">
        <v>523</v>
      </c>
      <c r="D136" s="56" t="s">
        <v>1267</v>
      </c>
      <c r="E136" s="59">
        <v>0</v>
      </c>
      <c r="F136" t="s">
        <v>1268</v>
      </c>
      <c r="G136" s="56" t="s">
        <v>1589</v>
      </c>
    </row>
    <row r="137" spans="1:7" ht="43.2" x14ac:dyDescent="0.3">
      <c r="A137" t="s">
        <v>692</v>
      </c>
      <c r="B137" t="s">
        <v>693</v>
      </c>
      <c r="C137" t="s">
        <v>523</v>
      </c>
      <c r="D137" s="56" t="s">
        <v>1269</v>
      </c>
      <c r="E137" s="59">
        <v>100</v>
      </c>
      <c r="F137" t="s">
        <v>1270</v>
      </c>
      <c r="G137" s="56" t="s">
        <v>1589</v>
      </c>
    </row>
    <row r="138" spans="1:7" x14ac:dyDescent="0.3">
      <c r="A138" t="s">
        <v>697</v>
      </c>
      <c r="B138" t="s">
        <v>693</v>
      </c>
      <c r="C138" t="s">
        <v>626</v>
      </c>
      <c r="D138" s="56" t="s">
        <v>1144</v>
      </c>
      <c r="E138" s="59"/>
      <c r="G138" s="56" t="s">
        <v>1145</v>
      </c>
    </row>
    <row r="139" spans="1:7" x14ac:dyDescent="0.3">
      <c r="A139" t="s">
        <v>699</v>
      </c>
      <c r="B139" t="s">
        <v>693</v>
      </c>
      <c r="C139" t="s">
        <v>523</v>
      </c>
      <c r="D139" s="56" t="s">
        <v>1271</v>
      </c>
      <c r="E139" s="59">
        <v>100</v>
      </c>
      <c r="F139" t="s">
        <v>1272</v>
      </c>
    </row>
    <row r="140" spans="1:7" x14ac:dyDescent="0.3">
      <c r="A140" t="s">
        <v>699</v>
      </c>
      <c r="B140" t="s">
        <v>693</v>
      </c>
      <c r="C140" t="s">
        <v>523</v>
      </c>
      <c r="D140" s="56" t="s">
        <v>1129</v>
      </c>
      <c r="E140" s="59">
        <v>50</v>
      </c>
      <c r="F140" t="s">
        <v>1273</v>
      </c>
    </row>
    <row r="141" spans="1:7" x14ac:dyDescent="0.3">
      <c r="A141" t="s">
        <v>699</v>
      </c>
      <c r="B141" t="s">
        <v>693</v>
      </c>
      <c r="C141" t="s">
        <v>523</v>
      </c>
      <c r="D141" s="56" t="s">
        <v>1103</v>
      </c>
      <c r="E141" s="59" t="s">
        <v>1104</v>
      </c>
      <c r="F141" t="s">
        <v>1274</v>
      </c>
      <c r="G141" s="56" t="s">
        <v>1106</v>
      </c>
    </row>
    <row r="142" spans="1:7" ht="28.8" x14ac:dyDescent="0.3">
      <c r="A142" t="s">
        <v>702</v>
      </c>
      <c r="B142" t="s">
        <v>693</v>
      </c>
      <c r="C142" t="s">
        <v>523</v>
      </c>
      <c r="D142" s="56" t="s">
        <v>1275</v>
      </c>
      <c r="E142" s="59">
        <v>0</v>
      </c>
      <c r="F142" t="s">
        <v>1276</v>
      </c>
      <c r="G142" s="56" t="s">
        <v>1590</v>
      </c>
    </row>
    <row r="143" spans="1:7" ht="28.8" x14ac:dyDescent="0.3">
      <c r="A143" t="s">
        <v>702</v>
      </c>
      <c r="B143" t="s">
        <v>693</v>
      </c>
      <c r="C143" t="s">
        <v>523</v>
      </c>
      <c r="D143" s="56" t="s">
        <v>1277</v>
      </c>
      <c r="E143" s="59">
        <v>75</v>
      </c>
      <c r="F143" t="s">
        <v>1278</v>
      </c>
      <c r="G143" s="56" t="s">
        <v>1590</v>
      </c>
    </row>
    <row r="144" spans="1:7" ht="28.8" x14ac:dyDescent="0.3">
      <c r="A144" t="s">
        <v>702</v>
      </c>
      <c r="B144" t="s">
        <v>693</v>
      </c>
      <c r="C144" t="s">
        <v>523</v>
      </c>
      <c r="D144" s="56" t="s">
        <v>1279</v>
      </c>
      <c r="E144" s="59">
        <v>100</v>
      </c>
      <c r="F144" t="s">
        <v>1280</v>
      </c>
      <c r="G144" s="56" t="s">
        <v>1590</v>
      </c>
    </row>
    <row r="145" spans="1:7" ht="28.8" x14ac:dyDescent="0.3">
      <c r="A145" t="s">
        <v>702</v>
      </c>
      <c r="B145" t="s">
        <v>693</v>
      </c>
      <c r="C145" t="s">
        <v>523</v>
      </c>
      <c r="D145" s="56" t="s">
        <v>1281</v>
      </c>
      <c r="E145" s="59">
        <v>0</v>
      </c>
      <c r="F145" t="s">
        <v>1282</v>
      </c>
      <c r="G145" s="56" t="s">
        <v>1590</v>
      </c>
    </row>
    <row r="146" spans="1:7" x14ac:dyDescent="0.3">
      <c r="A146" t="s">
        <v>707</v>
      </c>
      <c r="B146" t="s">
        <v>708</v>
      </c>
      <c r="C146" t="s">
        <v>626</v>
      </c>
      <c r="D146" s="56" t="s">
        <v>1144</v>
      </c>
      <c r="E146" s="59"/>
      <c r="G146" s="56" t="s">
        <v>1145</v>
      </c>
    </row>
    <row r="147" spans="1:7" x14ac:dyDescent="0.3">
      <c r="A147" t="s">
        <v>711</v>
      </c>
      <c r="B147" t="s">
        <v>708</v>
      </c>
      <c r="C147" t="s">
        <v>626</v>
      </c>
      <c r="D147" s="56" t="s">
        <v>1144</v>
      </c>
      <c r="E147" s="59"/>
      <c r="G147" s="56" t="s">
        <v>1145</v>
      </c>
    </row>
    <row r="148" spans="1:7" x14ac:dyDescent="0.3">
      <c r="A148" t="s">
        <v>713</v>
      </c>
      <c r="B148" t="s">
        <v>708</v>
      </c>
      <c r="C148" t="s">
        <v>523</v>
      </c>
      <c r="D148" s="56" t="s">
        <v>1283</v>
      </c>
      <c r="E148" s="59">
        <v>0</v>
      </c>
      <c r="F148" t="s">
        <v>1284</v>
      </c>
    </row>
    <row r="149" spans="1:7" x14ac:dyDescent="0.3">
      <c r="A149" t="s">
        <v>713</v>
      </c>
      <c r="B149" t="s">
        <v>708</v>
      </c>
      <c r="C149" t="s">
        <v>523</v>
      </c>
      <c r="D149" s="56" t="s">
        <v>1285</v>
      </c>
      <c r="E149" s="59">
        <v>50</v>
      </c>
      <c r="F149" t="s">
        <v>1286</v>
      </c>
    </row>
    <row r="150" spans="1:7" x14ac:dyDescent="0.3">
      <c r="A150" t="s">
        <v>713</v>
      </c>
      <c r="B150" t="s">
        <v>708</v>
      </c>
      <c r="C150" t="s">
        <v>523</v>
      </c>
      <c r="D150" s="56" t="s">
        <v>1287</v>
      </c>
      <c r="E150" s="59">
        <v>100</v>
      </c>
      <c r="F150" t="s">
        <v>1288</v>
      </c>
    </row>
    <row r="151" spans="1:7" x14ac:dyDescent="0.3">
      <c r="A151" t="s">
        <v>716</v>
      </c>
      <c r="B151" t="s">
        <v>708</v>
      </c>
      <c r="C151" t="s">
        <v>523</v>
      </c>
      <c r="D151" s="56" t="s">
        <v>1289</v>
      </c>
      <c r="E151" s="59" t="s">
        <v>1104</v>
      </c>
      <c r="F151" t="s">
        <v>1290</v>
      </c>
      <c r="G151" s="56" t="s">
        <v>1106</v>
      </c>
    </row>
    <row r="152" spans="1:7" x14ac:dyDescent="0.3">
      <c r="A152" t="s">
        <v>716</v>
      </c>
      <c r="B152" t="s">
        <v>708</v>
      </c>
      <c r="C152" t="s">
        <v>523</v>
      </c>
      <c r="D152" s="56" t="s">
        <v>1291</v>
      </c>
      <c r="E152" s="59">
        <v>0</v>
      </c>
      <c r="F152" t="s">
        <v>1292</v>
      </c>
    </row>
    <row r="153" spans="1:7" x14ac:dyDescent="0.3">
      <c r="A153" t="s">
        <v>716</v>
      </c>
      <c r="B153" t="s">
        <v>708</v>
      </c>
      <c r="C153" t="s">
        <v>523</v>
      </c>
      <c r="D153" s="56" t="s">
        <v>1293</v>
      </c>
      <c r="E153" s="59">
        <v>50</v>
      </c>
      <c r="F153" t="s">
        <v>1294</v>
      </c>
    </row>
    <row r="154" spans="1:7" x14ac:dyDescent="0.3">
      <c r="A154" t="s">
        <v>716</v>
      </c>
      <c r="B154" t="s">
        <v>708</v>
      </c>
      <c r="C154" t="s">
        <v>523</v>
      </c>
      <c r="D154" s="56" t="s">
        <v>1295</v>
      </c>
      <c r="E154" s="59">
        <v>100</v>
      </c>
      <c r="F154" t="s">
        <v>1296</v>
      </c>
    </row>
    <row r="155" spans="1:7" ht="28.8" x14ac:dyDescent="0.3">
      <c r="A155" t="s">
        <v>719</v>
      </c>
      <c r="B155" t="s">
        <v>708</v>
      </c>
      <c r="C155" t="s">
        <v>536</v>
      </c>
      <c r="D155" s="56" t="s">
        <v>1098</v>
      </c>
      <c r="E155" s="59"/>
      <c r="G155" s="56" t="s">
        <v>1591</v>
      </c>
    </row>
    <row r="156" spans="1:7" x14ac:dyDescent="0.3">
      <c r="A156" t="s">
        <v>722</v>
      </c>
      <c r="B156" t="s">
        <v>708</v>
      </c>
      <c r="C156" t="s">
        <v>523</v>
      </c>
      <c r="D156" s="56" t="s">
        <v>1101</v>
      </c>
      <c r="E156" s="59">
        <v>0</v>
      </c>
      <c r="F156" t="s">
        <v>1297</v>
      </c>
    </row>
    <row r="157" spans="1:7" x14ac:dyDescent="0.3">
      <c r="A157" t="s">
        <v>722</v>
      </c>
      <c r="B157" t="s">
        <v>708</v>
      </c>
      <c r="C157" t="s">
        <v>523</v>
      </c>
      <c r="D157" s="56" t="s">
        <v>1298</v>
      </c>
      <c r="E157" s="59">
        <v>50</v>
      </c>
      <c r="F157" t="s">
        <v>1299</v>
      </c>
    </row>
    <row r="158" spans="1:7" x14ac:dyDescent="0.3">
      <c r="A158" t="s">
        <v>722</v>
      </c>
      <c r="B158" t="s">
        <v>708</v>
      </c>
      <c r="C158" t="s">
        <v>523</v>
      </c>
      <c r="D158" s="56" t="s">
        <v>1300</v>
      </c>
      <c r="E158" s="59">
        <v>100</v>
      </c>
      <c r="F158" t="s">
        <v>1301</v>
      </c>
    </row>
    <row r="159" spans="1:7" x14ac:dyDescent="0.3">
      <c r="A159" t="s">
        <v>725</v>
      </c>
      <c r="B159" t="s">
        <v>708</v>
      </c>
      <c r="C159" t="s">
        <v>523</v>
      </c>
      <c r="D159" s="56" t="s">
        <v>1101</v>
      </c>
      <c r="E159" s="59">
        <v>0</v>
      </c>
      <c r="F159" t="s">
        <v>1302</v>
      </c>
    </row>
    <row r="160" spans="1:7" x14ac:dyDescent="0.3">
      <c r="A160" t="s">
        <v>725</v>
      </c>
      <c r="B160" t="s">
        <v>708</v>
      </c>
      <c r="C160" t="s">
        <v>523</v>
      </c>
      <c r="D160" s="56" t="s">
        <v>1303</v>
      </c>
      <c r="E160" s="59">
        <v>50</v>
      </c>
      <c r="F160" t="s">
        <v>1304</v>
      </c>
    </row>
    <row r="161" spans="1:6" x14ac:dyDescent="0.3">
      <c r="A161" t="s">
        <v>725</v>
      </c>
      <c r="B161" t="s">
        <v>708</v>
      </c>
      <c r="C161" t="s">
        <v>523</v>
      </c>
      <c r="D161" s="56" t="s">
        <v>1305</v>
      </c>
      <c r="E161" s="59">
        <v>100</v>
      </c>
      <c r="F161" t="s">
        <v>1306</v>
      </c>
    </row>
    <row r="162" spans="1:6" x14ac:dyDescent="0.3">
      <c r="A162" t="s">
        <v>728</v>
      </c>
      <c r="B162" t="s">
        <v>708</v>
      </c>
      <c r="C162" t="s">
        <v>523</v>
      </c>
      <c r="D162" s="56" t="s">
        <v>1307</v>
      </c>
      <c r="E162" s="59">
        <v>0</v>
      </c>
      <c r="F162" t="s">
        <v>1308</v>
      </c>
    </row>
    <row r="163" spans="1:6" x14ac:dyDescent="0.3">
      <c r="A163" t="s">
        <v>728</v>
      </c>
      <c r="B163" t="s">
        <v>708</v>
      </c>
      <c r="C163" t="s">
        <v>523</v>
      </c>
      <c r="D163" s="56" t="s">
        <v>1309</v>
      </c>
      <c r="E163" s="59">
        <v>50</v>
      </c>
      <c r="F163" t="s">
        <v>1310</v>
      </c>
    </row>
    <row r="164" spans="1:6" x14ac:dyDescent="0.3">
      <c r="A164" t="s">
        <v>728</v>
      </c>
      <c r="B164" t="s">
        <v>708</v>
      </c>
      <c r="C164" t="s">
        <v>523</v>
      </c>
      <c r="D164" s="56" t="s">
        <v>1311</v>
      </c>
      <c r="E164" s="59">
        <v>100</v>
      </c>
      <c r="F164" t="s">
        <v>1312</v>
      </c>
    </row>
    <row r="165" spans="1:6" x14ac:dyDescent="0.3">
      <c r="A165" t="s">
        <v>731</v>
      </c>
      <c r="B165" t="s">
        <v>708</v>
      </c>
      <c r="C165" t="s">
        <v>523</v>
      </c>
      <c r="D165" s="56" t="s">
        <v>1101</v>
      </c>
      <c r="E165" s="59">
        <v>0</v>
      </c>
      <c r="F165" t="s">
        <v>1313</v>
      </c>
    </row>
    <row r="166" spans="1:6" x14ac:dyDescent="0.3">
      <c r="A166" t="s">
        <v>731</v>
      </c>
      <c r="B166" t="s">
        <v>708</v>
      </c>
      <c r="C166" t="s">
        <v>523</v>
      </c>
      <c r="D166" s="56" t="s">
        <v>1314</v>
      </c>
      <c r="E166" s="59">
        <v>50</v>
      </c>
      <c r="F166" t="s">
        <v>1315</v>
      </c>
    </row>
    <row r="167" spans="1:6" x14ac:dyDescent="0.3">
      <c r="A167" t="s">
        <v>731</v>
      </c>
      <c r="B167" t="s">
        <v>708</v>
      </c>
      <c r="C167" t="s">
        <v>523</v>
      </c>
      <c r="D167" s="56" t="s">
        <v>1316</v>
      </c>
      <c r="E167" s="59">
        <v>100</v>
      </c>
      <c r="F167" t="s">
        <v>1317</v>
      </c>
    </row>
    <row r="168" spans="1:6" x14ac:dyDescent="0.3">
      <c r="A168" t="s">
        <v>735</v>
      </c>
      <c r="B168" t="s">
        <v>736</v>
      </c>
      <c r="C168" t="s">
        <v>523</v>
      </c>
      <c r="D168" s="56" t="s">
        <v>1101</v>
      </c>
      <c r="E168" s="59">
        <v>0</v>
      </c>
      <c r="F168" t="s">
        <v>1318</v>
      </c>
    </row>
    <row r="169" spans="1:6" x14ac:dyDescent="0.3">
      <c r="A169" t="s">
        <v>735</v>
      </c>
      <c r="B169" t="s">
        <v>736</v>
      </c>
      <c r="C169" t="s">
        <v>523</v>
      </c>
      <c r="D169" s="56" t="s">
        <v>1319</v>
      </c>
      <c r="E169" s="59">
        <v>33</v>
      </c>
      <c r="F169" t="s">
        <v>1320</v>
      </c>
    </row>
    <row r="170" spans="1:6" x14ac:dyDescent="0.3">
      <c r="A170" t="s">
        <v>735</v>
      </c>
      <c r="B170" t="s">
        <v>736</v>
      </c>
      <c r="C170" t="s">
        <v>523</v>
      </c>
      <c r="D170" s="56" t="s">
        <v>1321</v>
      </c>
      <c r="E170" s="59">
        <v>67</v>
      </c>
      <c r="F170" t="s">
        <v>1322</v>
      </c>
    </row>
    <row r="171" spans="1:6" x14ac:dyDescent="0.3">
      <c r="A171" t="s">
        <v>735</v>
      </c>
      <c r="B171" t="s">
        <v>736</v>
      </c>
      <c r="C171" t="s">
        <v>523</v>
      </c>
      <c r="D171" s="56" t="s">
        <v>1323</v>
      </c>
      <c r="E171" s="59">
        <v>100</v>
      </c>
      <c r="F171" t="s">
        <v>1324</v>
      </c>
    </row>
    <row r="172" spans="1:6" x14ac:dyDescent="0.3">
      <c r="A172" t="s">
        <v>740</v>
      </c>
      <c r="B172" t="s">
        <v>736</v>
      </c>
      <c r="C172" t="s">
        <v>523</v>
      </c>
      <c r="D172" s="56" t="s">
        <v>1240</v>
      </c>
      <c r="E172" s="59">
        <v>0</v>
      </c>
      <c r="F172" t="s">
        <v>1325</v>
      </c>
    </row>
    <row r="173" spans="1:6" x14ac:dyDescent="0.3">
      <c r="A173" t="s">
        <v>740</v>
      </c>
      <c r="B173" t="s">
        <v>736</v>
      </c>
      <c r="C173" t="s">
        <v>523</v>
      </c>
      <c r="D173" s="56" t="s">
        <v>1326</v>
      </c>
      <c r="E173" s="59">
        <v>33</v>
      </c>
      <c r="F173" t="s">
        <v>1327</v>
      </c>
    </row>
    <row r="174" spans="1:6" x14ac:dyDescent="0.3">
      <c r="A174" t="s">
        <v>740</v>
      </c>
      <c r="B174" t="s">
        <v>736</v>
      </c>
      <c r="C174" t="s">
        <v>523</v>
      </c>
      <c r="D174" s="56" t="s">
        <v>1328</v>
      </c>
      <c r="E174" s="59">
        <v>67</v>
      </c>
      <c r="F174" t="s">
        <v>1329</v>
      </c>
    </row>
    <row r="175" spans="1:6" x14ac:dyDescent="0.3">
      <c r="A175" t="s">
        <v>740</v>
      </c>
      <c r="B175" t="s">
        <v>736</v>
      </c>
      <c r="C175" t="s">
        <v>523</v>
      </c>
      <c r="D175" s="56" t="s">
        <v>1330</v>
      </c>
      <c r="E175" s="59">
        <v>100</v>
      </c>
      <c r="F175" t="s">
        <v>1331</v>
      </c>
    </row>
    <row r="176" spans="1:6" x14ac:dyDescent="0.3">
      <c r="A176" t="s">
        <v>743</v>
      </c>
      <c r="B176" t="s">
        <v>736</v>
      </c>
      <c r="C176" t="s">
        <v>523</v>
      </c>
      <c r="D176" s="56" t="s">
        <v>1332</v>
      </c>
      <c r="E176" s="59">
        <v>25</v>
      </c>
      <c r="F176" t="s">
        <v>1333</v>
      </c>
    </row>
    <row r="177" spans="1:6" x14ac:dyDescent="0.3">
      <c r="A177" t="s">
        <v>743</v>
      </c>
      <c r="B177" t="s">
        <v>736</v>
      </c>
      <c r="C177" t="s">
        <v>523</v>
      </c>
      <c r="D177" s="56" t="s">
        <v>1334</v>
      </c>
      <c r="E177" s="59">
        <v>50</v>
      </c>
      <c r="F177" t="s">
        <v>1335</v>
      </c>
    </row>
    <row r="178" spans="1:6" x14ac:dyDescent="0.3">
      <c r="A178" t="s">
        <v>743</v>
      </c>
      <c r="B178" t="s">
        <v>736</v>
      </c>
      <c r="C178" t="s">
        <v>523</v>
      </c>
      <c r="D178" s="56" t="s">
        <v>1336</v>
      </c>
      <c r="E178" s="59">
        <v>75</v>
      </c>
      <c r="F178" t="s">
        <v>1337</v>
      </c>
    </row>
    <row r="179" spans="1:6" x14ac:dyDescent="0.3">
      <c r="A179" t="s">
        <v>743</v>
      </c>
      <c r="B179" t="s">
        <v>736</v>
      </c>
      <c r="C179" t="s">
        <v>523</v>
      </c>
      <c r="D179" s="56" t="s">
        <v>1338</v>
      </c>
      <c r="E179" s="59">
        <v>100</v>
      </c>
      <c r="F179" t="s">
        <v>1339</v>
      </c>
    </row>
    <row r="180" spans="1:6" x14ac:dyDescent="0.3">
      <c r="A180" t="s">
        <v>746</v>
      </c>
      <c r="B180" t="s">
        <v>736</v>
      </c>
      <c r="C180" t="s">
        <v>523</v>
      </c>
      <c r="D180" s="56" t="s">
        <v>1340</v>
      </c>
      <c r="E180" s="59">
        <v>0</v>
      </c>
      <c r="F180" t="s">
        <v>1341</v>
      </c>
    </row>
    <row r="181" spans="1:6" x14ac:dyDescent="0.3">
      <c r="A181" t="s">
        <v>746</v>
      </c>
      <c r="B181" t="s">
        <v>736</v>
      </c>
      <c r="C181" t="s">
        <v>523</v>
      </c>
      <c r="D181" s="56" t="s">
        <v>1342</v>
      </c>
      <c r="E181" s="59">
        <v>50</v>
      </c>
      <c r="F181" t="s">
        <v>1343</v>
      </c>
    </row>
    <row r="182" spans="1:6" x14ac:dyDescent="0.3">
      <c r="A182" t="s">
        <v>746</v>
      </c>
      <c r="B182" t="s">
        <v>736</v>
      </c>
      <c r="C182" t="s">
        <v>523</v>
      </c>
      <c r="D182" s="56" t="s">
        <v>1344</v>
      </c>
      <c r="E182" s="59">
        <v>100</v>
      </c>
      <c r="F182" t="s">
        <v>1345</v>
      </c>
    </row>
    <row r="183" spans="1:6" x14ac:dyDescent="0.3">
      <c r="A183" t="s">
        <v>749</v>
      </c>
      <c r="B183" t="s">
        <v>736</v>
      </c>
      <c r="C183" t="s">
        <v>523</v>
      </c>
      <c r="D183" s="56" t="s">
        <v>1346</v>
      </c>
      <c r="E183" s="59">
        <v>0</v>
      </c>
      <c r="F183" t="s">
        <v>1347</v>
      </c>
    </row>
    <row r="184" spans="1:6" x14ac:dyDescent="0.3">
      <c r="A184" t="s">
        <v>749</v>
      </c>
      <c r="B184" t="s">
        <v>736</v>
      </c>
      <c r="C184" t="s">
        <v>523</v>
      </c>
      <c r="D184" s="56" t="s">
        <v>1348</v>
      </c>
      <c r="E184" s="59">
        <v>50</v>
      </c>
      <c r="F184" t="s">
        <v>1349</v>
      </c>
    </row>
    <row r="185" spans="1:6" x14ac:dyDescent="0.3">
      <c r="A185" t="s">
        <v>749</v>
      </c>
      <c r="B185" t="s">
        <v>736</v>
      </c>
      <c r="C185" t="s">
        <v>523</v>
      </c>
      <c r="D185" s="56" t="s">
        <v>1350</v>
      </c>
      <c r="E185" s="59">
        <v>100</v>
      </c>
      <c r="F185" t="s">
        <v>1351</v>
      </c>
    </row>
    <row r="186" spans="1:6" x14ac:dyDescent="0.3">
      <c r="A186" t="s">
        <v>752</v>
      </c>
      <c r="B186" t="s">
        <v>736</v>
      </c>
      <c r="C186" t="s">
        <v>523</v>
      </c>
      <c r="D186" s="56" t="s">
        <v>1352</v>
      </c>
      <c r="E186" s="59">
        <v>0</v>
      </c>
      <c r="F186" t="s">
        <v>1353</v>
      </c>
    </row>
    <row r="187" spans="1:6" x14ac:dyDescent="0.3">
      <c r="A187" t="s">
        <v>752</v>
      </c>
      <c r="B187" t="s">
        <v>736</v>
      </c>
      <c r="C187" t="s">
        <v>523</v>
      </c>
      <c r="D187" s="56" t="s">
        <v>1354</v>
      </c>
      <c r="E187" s="59">
        <v>25</v>
      </c>
      <c r="F187" t="s">
        <v>1355</v>
      </c>
    </row>
    <row r="188" spans="1:6" x14ac:dyDescent="0.3">
      <c r="A188" t="s">
        <v>752</v>
      </c>
      <c r="B188" t="s">
        <v>736</v>
      </c>
      <c r="C188" t="s">
        <v>523</v>
      </c>
      <c r="D188" s="56" t="s">
        <v>1356</v>
      </c>
      <c r="E188" s="59">
        <v>50</v>
      </c>
      <c r="F188" t="s">
        <v>1357</v>
      </c>
    </row>
    <row r="189" spans="1:6" x14ac:dyDescent="0.3">
      <c r="A189" t="s">
        <v>752</v>
      </c>
      <c r="B189" t="s">
        <v>736</v>
      </c>
      <c r="C189" t="s">
        <v>523</v>
      </c>
      <c r="D189" s="56" t="s">
        <v>1358</v>
      </c>
      <c r="E189" s="59">
        <v>100</v>
      </c>
      <c r="F189" t="s">
        <v>1359</v>
      </c>
    </row>
    <row r="190" spans="1:6" x14ac:dyDescent="0.3">
      <c r="A190" t="s">
        <v>755</v>
      </c>
      <c r="B190" t="s">
        <v>736</v>
      </c>
      <c r="C190" t="s">
        <v>523</v>
      </c>
      <c r="D190" s="56" t="s">
        <v>1360</v>
      </c>
      <c r="E190" s="59">
        <v>0</v>
      </c>
      <c r="F190" t="s">
        <v>1361</v>
      </c>
    </row>
    <row r="191" spans="1:6" x14ac:dyDescent="0.3">
      <c r="A191" t="s">
        <v>755</v>
      </c>
      <c r="B191" t="s">
        <v>736</v>
      </c>
      <c r="C191" t="s">
        <v>523</v>
      </c>
      <c r="D191" s="56" t="s">
        <v>1362</v>
      </c>
      <c r="E191" s="59">
        <v>33</v>
      </c>
      <c r="F191" t="s">
        <v>1363</v>
      </c>
    </row>
    <row r="192" spans="1:6" x14ac:dyDescent="0.3">
      <c r="A192" t="s">
        <v>755</v>
      </c>
      <c r="B192" t="s">
        <v>736</v>
      </c>
      <c r="C192" t="s">
        <v>523</v>
      </c>
      <c r="D192" s="56" t="s">
        <v>1364</v>
      </c>
      <c r="E192" s="59">
        <v>67</v>
      </c>
      <c r="F192" t="s">
        <v>1365</v>
      </c>
    </row>
    <row r="193" spans="1:7" x14ac:dyDescent="0.3">
      <c r="A193" t="s">
        <v>755</v>
      </c>
      <c r="B193" t="s">
        <v>736</v>
      </c>
      <c r="C193" t="s">
        <v>523</v>
      </c>
      <c r="D193" s="56" t="s">
        <v>1366</v>
      </c>
      <c r="E193" s="59">
        <v>100</v>
      </c>
      <c r="F193" t="s">
        <v>1367</v>
      </c>
    </row>
    <row r="194" spans="1:7" ht="43.2" x14ac:dyDescent="0.3">
      <c r="A194" t="s">
        <v>758</v>
      </c>
      <c r="B194" t="s">
        <v>736</v>
      </c>
      <c r="C194" t="s">
        <v>523</v>
      </c>
      <c r="D194" s="56" t="s">
        <v>1368</v>
      </c>
      <c r="E194" s="59">
        <v>50</v>
      </c>
      <c r="F194" t="s">
        <v>1369</v>
      </c>
      <c r="G194" s="56" t="s">
        <v>1592</v>
      </c>
    </row>
    <row r="195" spans="1:7" ht="43.2" x14ac:dyDescent="0.3">
      <c r="A195" t="s">
        <v>758</v>
      </c>
      <c r="B195" t="s">
        <v>736</v>
      </c>
      <c r="C195" t="s">
        <v>523</v>
      </c>
      <c r="D195" s="56" t="s">
        <v>1370</v>
      </c>
      <c r="E195" s="59">
        <v>50</v>
      </c>
      <c r="F195" t="s">
        <v>1371</v>
      </c>
      <c r="G195" s="56" t="s">
        <v>1592</v>
      </c>
    </row>
    <row r="196" spans="1:7" ht="43.2" x14ac:dyDescent="0.3">
      <c r="A196" t="s">
        <v>758</v>
      </c>
      <c r="B196" t="s">
        <v>736</v>
      </c>
      <c r="C196" t="s">
        <v>523</v>
      </c>
      <c r="D196" s="56" t="s">
        <v>1372</v>
      </c>
      <c r="E196" s="59">
        <v>50</v>
      </c>
      <c r="F196" t="s">
        <v>1373</v>
      </c>
      <c r="G196" s="56" t="s">
        <v>1592</v>
      </c>
    </row>
    <row r="197" spans="1:7" ht="43.2" x14ac:dyDescent="0.3">
      <c r="A197" t="s">
        <v>758</v>
      </c>
      <c r="B197" t="s">
        <v>736</v>
      </c>
      <c r="C197" t="s">
        <v>523</v>
      </c>
      <c r="D197" s="56" t="s">
        <v>1374</v>
      </c>
      <c r="E197" s="59">
        <v>0</v>
      </c>
      <c r="F197" t="s">
        <v>1375</v>
      </c>
      <c r="G197" s="56" t="s">
        <v>1592</v>
      </c>
    </row>
    <row r="198" spans="1:7" ht="43.2" x14ac:dyDescent="0.3">
      <c r="A198" t="s">
        <v>758</v>
      </c>
      <c r="B198" t="s">
        <v>736</v>
      </c>
      <c r="C198" t="s">
        <v>523</v>
      </c>
      <c r="D198" s="56" t="s">
        <v>1376</v>
      </c>
      <c r="E198" s="59">
        <v>50</v>
      </c>
      <c r="F198" t="s">
        <v>1377</v>
      </c>
      <c r="G198" s="56" t="s">
        <v>1592</v>
      </c>
    </row>
    <row r="199" spans="1:7" ht="43.2" x14ac:dyDescent="0.3">
      <c r="A199" t="s">
        <v>758</v>
      </c>
      <c r="B199" t="s">
        <v>736</v>
      </c>
      <c r="C199" t="s">
        <v>523</v>
      </c>
      <c r="D199" s="56" t="s">
        <v>1378</v>
      </c>
      <c r="E199" s="59">
        <v>100</v>
      </c>
      <c r="F199" t="s">
        <v>1379</v>
      </c>
      <c r="G199" s="56" t="s">
        <v>1592</v>
      </c>
    </row>
    <row r="200" spans="1:7" x14ac:dyDescent="0.3">
      <c r="A200" t="s">
        <v>761</v>
      </c>
      <c r="B200" t="s">
        <v>736</v>
      </c>
      <c r="C200" t="s">
        <v>523</v>
      </c>
      <c r="D200" s="56" t="s">
        <v>1380</v>
      </c>
      <c r="E200" s="59">
        <v>100</v>
      </c>
      <c r="F200" t="s">
        <v>1381</v>
      </c>
    </row>
    <row r="201" spans="1:7" x14ac:dyDescent="0.3">
      <c r="A201" t="s">
        <v>761</v>
      </c>
      <c r="B201" t="s">
        <v>736</v>
      </c>
      <c r="C201" t="s">
        <v>523</v>
      </c>
      <c r="D201" s="56" t="s">
        <v>1382</v>
      </c>
      <c r="E201" s="59">
        <v>50</v>
      </c>
      <c r="F201" t="s">
        <v>1383</v>
      </c>
    </row>
    <row r="202" spans="1:7" x14ac:dyDescent="0.3">
      <c r="A202" t="s">
        <v>761</v>
      </c>
      <c r="B202" t="s">
        <v>736</v>
      </c>
      <c r="C202" t="s">
        <v>523</v>
      </c>
      <c r="D202" s="56" t="s">
        <v>1101</v>
      </c>
      <c r="E202" s="59">
        <v>0</v>
      </c>
      <c r="F202" t="s">
        <v>1384</v>
      </c>
    </row>
    <row r="203" spans="1:7" x14ac:dyDescent="0.3">
      <c r="A203" t="s">
        <v>761</v>
      </c>
      <c r="B203" t="s">
        <v>736</v>
      </c>
      <c r="C203" t="s">
        <v>523</v>
      </c>
      <c r="D203" s="56" t="s">
        <v>1103</v>
      </c>
      <c r="E203" s="59" t="s">
        <v>1104</v>
      </c>
      <c r="F203" t="s">
        <v>1385</v>
      </c>
      <c r="G203" s="56" t="s">
        <v>1106</v>
      </c>
    </row>
    <row r="204" spans="1:7" x14ac:dyDescent="0.3">
      <c r="A204" t="s">
        <v>765</v>
      </c>
      <c r="B204" t="s">
        <v>766</v>
      </c>
      <c r="C204" t="s">
        <v>523</v>
      </c>
      <c r="D204" s="56" t="s">
        <v>1386</v>
      </c>
      <c r="E204" s="59">
        <v>0</v>
      </c>
      <c r="F204" t="s">
        <v>1387</v>
      </c>
    </row>
    <row r="205" spans="1:7" x14ac:dyDescent="0.3">
      <c r="A205" t="s">
        <v>765</v>
      </c>
      <c r="B205" t="s">
        <v>766</v>
      </c>
      <c r="C205" t="s">
        <v>523</v>
      </c>
      <c r="D205" s="56" t="s">
        <v>1388</v>
      </c>
      <c r="E205" s="59">
        <v>50</v>
      </c>
      <c r="F205" t="s">
        <v>1389</v>
      </c>
    </row>
    <row r="206" spans="1:7" x14ac:dyDescent="0.3">
      <c r="A206" t="s">
        <v>765</v>
      </c>
      <c r="B206" t="s">
        <v>766</v>
      </c>
      <c r="C206" t="s">
        <v>523</v>
      </c>
      <c r="D206" s="56" t="s">
        <v>1390</v>
      </c>
      <c r="E206" s="59">
        <v>100</v>
      </c>
      <c r="F206" t="s">
        <v>1391</v>
      </c>
    </row>
    <row r="207" spans="1:7" x14ac:dyDescent="0.3">
      <c r="A207" t="s">
        <v>770</v>
      </c>
      <c r="B207" t="s">
        <v>766</v>
      </c>
      <c r="C207" t="s">
        <v>523</v>
      </c>
      <c r="D207" s="56" t="s">
        <v>1099</v>
      </c>
      <c r="E207" s="59">
        <v>100</v>
      </c>
      <c r="F207" t="s">
        <v>1392</v>
      </c>
    </row>
    <row r="208" spans="1:7" x14ac:dyDescent="0.3">
      <c r="A208" t="s">
        <v>770</v>
      </c>
      <c r="B208" t="s">
        <v>766</v>
      </c>
      <c r="C208" t="s">
        <v>523</v>
      </c>
      <c r="D208" s="56" t="s">
        <v>1101</v>
      </c>
      <c r="E208" s="59">
        <v>0</v>
      </c>
      <c r="F208" t="s">
        <v>1393</v>
      </c>
    </row>
    <row r="209" spans="1:7" ht="28.8" x14ac:dyDescent="0.3">
      <c r="A209" t="s">
        <v>772</v>
      </c>
      <c r="B209" t="s">
        <v>766</v>
      </c>
      <c r="C209" t="s">
        <v>523</v>
      </c>
      <c r="D209" s="56" t="s">
        <v>1103</v>
      </c>
      <c r="E209" s="59" t="s">
        <v>1104</v>
      </c>
      <c r="F209" t="s">
        <v>1394</v>
      </c>
      <c r="G209" s="56" t="s">
        <v>1593</v>
      </c>
    </row>
    <row r="210" spans="1:7" ht="28.8" x14ac:dyDescent="0.3">
      <c r="A210" t="s">
        <v>772</v>
      </c>
      <c r="B210" t="s">
        <v>766</v>
      </c>
      <c r="C210" t="s">
        <v>523</v>
      </c>
      <c r="D210" s="56" t="s">
        <v>1395</v>
      </c>
      <c r="E210" s="59">
        <v>33</v>
      </c>
      <c r="F210" t="s">
        <v>1396</v>
      </c>
      <c r="G210" s="56" t="s">
        <v>1594</v>
      </c>
    </row>
    <row r="211" spans="1:7" ht="28.8" x14ac:dyDescent="0.3">
      <c r="A211" t="s">
        <v>772</v>
      </c>
      <c r="B211" t="s">
        <v>766</v>
      </c>
      <c r="C211" t="s">
        <v>523</v>
      </c>
      <c r="D211" s="56" t="s">
        <v>1397</v>
      </c>
      <c r="E211" s="59">
        <v>67</v>
      </c>
      <c r="F211" t="s">
        <v>1398</v>
      </c>
      <c r="G211" s="56" t="s">
        <v>1594</v>
      </c>
    </row>
    <row r="212" spans="1:7" ht="28.8" x14ac:dyDescent="0.3">
      <c r="A212" t="s">
        <v>772</v>
      </c>
      <c r="B212" t="s">
        <v>766</v>
      </c>
      <c r="C212" t="s">
        <v>523</v>
      </c>
      <c r="D212" s="56" t="s">
        <v>1399</v>
      </c>
      <c r="E212" s="59">
        <v>100</v>
      </c>
      <c r="F212" t="s">
        <v>1400</v>
      </c>
      <c r="G212" s="56" t="s">
        <v>1594</v>
      </c>
    </row>
    <row r="213" spans="1:7" x14ac:dyDescent="0.3">
      <c r="A213" t="s">
        <v>775</v>
      </c>
      <c r="B213" t="s">
        <v>766</v>
      </c>
      <c r="C213" t="s">
        <v>523</v>
      </c>
      <c r="D213" s="56" t="s">
        <v>1401</v>
      </c>
      <c r="E213" s="59">
        <v>0</v>
      </c>
      <c r="F213" t="s">
        <v>1402</v>
      </c>
    </row>
    <row r="214" spans="1:7" x14ac:dyDescent="0.3">
      <c r="A214" t="s">
        <v>775</v>
      </c>
      <c r="B214" t="s">
        <v>766</v>
      </c>
      <c r="C214" t="s">
        <v>523</v>
      </c>
      <c r="D214" s="56" t="s">
        <v>1403</v>
      </c>
      <c r="E214" s="59">
        <v>33</v>
      </c>
      <c r="F214" t="s">
        <v>1404</v>
      </c>
    </row>
    <row r="215" spans="1:7" x14ac:dyDescent="0.3">
      <c r="A215" t="s">
        <v>775</v>
      </c>
      <c r="B215" t="s">
        <v>766</v>
      </c>
      <c r="C215" t="s">
        <v>523</v>
      </c>
      <c r="D215" s="56" t="s">
        <v>1405</v>
      </c>
      <c r="E215" s="59">
        <v>67</v>
      </c>
      <c r="F215" t="s">
        <v>1406</v>
      </c>
    </row>
    <row r="216" spans="1:7" x14ac:dyDescent="0.3">
      <c r="A216" t="s">
        <v>775</v>
      </c>
      <c r="B216" t="s">
        <v>766</v>
      </c>
      <c r="C216" t="s">
        <v>523</v>
      </c>
      <c r="D216" s="56" t="s">
        <v>1407</v>
      </c>
      <c r="E216" s="59">
        <v>100</v>
      </c>
      <c r="F216" t="s">
        <v>1408</v>
      </c>
    </row>
    <row r="217" spans="1:7" ht="43.2" x14ac:dyDescent="0.3">
      <c r="A217" t="s">
        <v>778</v>
      </c>
      <c r="B217" t="s">
        <v>766</v>
      </c>
      <c r="C217" t="s">
        <v>523</v>
      </c>
      <c r="D217" s="56" t="s">
        <v>1098</v>
      </c>
      <c r="E217" s="59"/>
      <c r="G217" s="56" t="s">
        <v>1595</v>
      </c>
    </row>
    <row r="218" spans="1:7" x14ac:dyDescent="0.3">
      <c r="A218" t="s">
        <v>781</v>
      </c>
      <c r="B218" t="s">
        <v>766</v>
      </c>
      <c r="C218" t="s">
        <v>523</v>
      </c>
      <c r="D218" s="56" t="s">
        <v>1409</v>
      </c>
      <c r="E218" s="59">
        <v>100</v>
      </c>
      <c r="F218" t="s">
        <v>1410</v>
      </c>
    </row>
    <row r="219" spans="1:7" x14ac:dyDescent="0.3">
      <c r="A219" t="s">
        <v>781</v>
      </c>
      <c r="B219" t="s">
        <v>766</v>
      </c>
      <c r="C219" t="s">
        <v>523</v>
      </c>
      <c r="D219" s="56" t="s">
        <v>1411</v>
      </c>
      <c r="E219" s="59">
        <v>50</v>
      </c>
      <c r="F219" t="s">
        <v>1412</v>
      </c>
    </row>
    <row r="220" spans="1:7" x14ac:dyDescent="0.3">
      <c r="A220" t="s">
        <v>781</v>
      </c>
      <c r="B220" t="s">
        <v>766</v>
      </c>
      <c r="C220" t="s">
        <v>523</v>
      </c>
      <c r="D220" s="56" t="s">
        <v>1101</v>
      </c>
      <c r="E220" s="59">
        <v>0</v>
      </c>
      <c r="F220" t="s">
        <v>1413</v>
      </c>
    </row>
    <row r="221" spans="1:7" x14ac:dyDescent="0.3">
      <c r="A221" t="s">
        <v>781</v>
      </c>
      <c r="B221" t="s">
        <v>766</v>
      </c>
      <c r="C221" t="s">
        <v>523</v>
      </c>
      <c r="D221" s="56" t="s">
        <v>1103</v>
      </c>
      <c r="E221" s="59" t="s">
        <v>1104</v>
      </c>
      <c r="F221" t="s">
        <v>1414</v>
      </c>
      <c r="G221" s="56" t="s">
        <v>1106</v>
      </c>
    </row>
    <row r="222" spans="1:7" x14ac:dyDescent="0.3">
      <c r="A222" t="s">
        <v>785</v>
      </c>
      <c r="B222" t="s">
        <v>766</v>
      </c>
      <c r="C222" t="s">
        <v>523</v>
      </c>
      <c r="D222" s="56" t="s">
        <v>1415</v>
      </c>
      <c r="E222" s="59">
        <v>100</v>
      </c>
      <c r="F222" t="s">
        <v>1416</v>
      </c>
    </row>
    <row r="223" spans="1:7" x14ac:dyDescent="0.3">
      <c r="A223" t="s">
        <v>785</v>
      </c>
      <c r="B223" t="s">
        <v>766</v>
      </c>
      <c r="C223" t="s">
        <v>523</v>
      </c>
      <c r="D223" s="56" t="s">
        <v>1417</v>
      </c>
      <c r="E223" s="59">
        <v>50</v>
      </c>
      <c r="F223" t="s">
        <v>1418</v>
      </c>
    </row>
    <row r="224" spans="1:7" x14ac:dyDescent="0.3">
      <c r="A224" t="s">
        <v>785</v>
      </c>
      <c r="B224" t="s">
        <v>766</v>
      </c>
      <c r="C224" t="s">
        <v>523</v>
      </c>
      <c r="D224" s="56" t="s">
        <v>1419</v>
      </c>
      <c r="E224" s="59">
        <v>0</v>
      </c>
      <c r="F224" t="s">
        <v>1420</v>
      </c>
    </row>
    <row r="225" spans="1:7" x14ac:dyDescent="0.3">
      <c r="A225" t="s">
        <v>785</v>
      </c>
      <c r="B225" t="s">
        <v>766</v>
      </c>
      <c r="C225" t="s">
        <v>523</v>
      </c>
      <c r="D225" s="56" t="s">
        <v>1103</v>
      </c>
      <c r="E225" s="59" t="s">
        <v>1104</v>
      </c>
      <c r="F225" t="s">
        <v>1421</v>
      </c>
      <c r="G225" s="56" t="s">
        <v>1106</v>
      </c>
    </row>
    <row r="226" spans="1:7" x14ac:dyDescent="0.3">
      <c r="A226" t="s">
        <v>790</v>
      </c>
      <c r="B226" t="s">
        <v>791</v>
      </c>
      <c r="C226" t="s">
        <v>626</v>
      </c>
      <c r="D226" s="56" t="s">
        <v>1144</v>
      </c>
      <c r="E226" s="59"/>
      <c r="G226" s="56" t="s">
        <v>1145</v>
      </c>
    </row>
    <row r="227" spans="1:7" x14ac:dyDescent="0.3">
      <c r="A227" t="s">
        <v>794</v>
      </c>
      <c r="B227" t="s">
        <v>791</v>
      </c>
      <c r="C227" t="s">
        <v>532</v>
      </c>
      <c r="D227" s="56" t="s">
        <v>1146</v>
      </c>
      <c r="E227" s="59"/>
      <c r="G227" s="56" t="s">
        <v>1147</v>
      </c>
    </row>
    <row r="228" spans="1:7" x14ac:dyDescent="0.3">
      <c r="A228" t="s">
        <v>796</v>
      </c>
      <c r="B228" t="s">
        <v>791</v>
      </c>
      <c r="C228" t="s">
        <v>523</v>
      </c>
      <c r="D228" s="56" t="s">
        <v>1240</v>
      </c>
      <c r="E228" s="59">
        <v>0</v>
      </c>
      <c r="F228" t="s">
        <v>1422</v>
      </c>
    </row>
    <row r="229" spans="1:7" x14ac:dyDescent="0.3">
      <c r="A229" t="s">
        <v>796</v>
      </c>
      <c r="B229" t="s">
        <v>791</v>
      </c>
      <c r="C229" t="s">
        <v>523</v>
      </c>
      <c r="D229" s="56" t="s">
        <v>1423</v>
      </c>
      <c r="E229" s="59">
        <v>50</v>
      </c>
      <c r="F229" t="s">
        <v>1424</v>
      </c>
    </row>
    <row r="230" spans="1:7" x14ac:dyDescent="0.3">
      <c r="A230" t="s">
        <v>796</v>
      </c>
      <c r="B230" t="s">
        <v>791</v>
      </c>
      <c r="C230" t="s">
        <v>523</v>
      </c>
      <c r="D230" s="56" t="s">
        <v>1425</v>
      </c>
      <c r="E230" s="59">
        <v>100</v>
      </c>
      <c r="F230" t="s">
        <v>1426</v>
      </c>
    </row>
    <row r="231" spans="1:7" x14ac:dyDescent="0.3">
      <c r="A231" t="s">
        <v>799</v>
      </c>
      <c r="B231" t="s">
        <v>791</v>
      </c>
      <c r="C231" t="s">
        <v>523</v>
      </c>
      <c r="D231" s="56" t="s">
        <v>1427</v>
      </c>
      <c r="E231" s="59">
        <v>0</v>
      </c>
      <c r="F231" t="s">
        <v>1428</v>
      </c>
    </row>
    <row r="232" spans="1:7" x14ac:dyDescent="0.3">
      <c r="A232" t="s">
        <v>799</v>
      </c>
      <c r="B232" t="s">
        <v>791</v>
      </c>
      <c r="C232" t="s">
        <v>523</v>
      </c>
      <c r="D232" s="56" t="s">
        <v>1429</v>
      </c>
      <c r="E232" s="59">
        <v>50</v>
      </c>
      <c r="F232" t="s">
        <v>1430</v>
      </c>
    </row>
    <row r="233" spans="1:7" x14ac:dyDescent="0.3">
      <c r="A233" t="s">
        <v>799</v>
      </c>
      <c r="B233" t="s">
        <v>791</v>
      </c>
      <c r="C233" t="s">
        <v>523</v>
      </c>
      <c r="D233" s="56" t="s">
        <v>1431</v>
      </c>
      <c r="E233" s="59">
        <v>100</v>
      </c>
      <c r="F233" t="s">
        <v>1432</v>
      </c>
    </row>
    <row r="234" spans="1:7" x14ac:dyDescent="0.3">
      <c r="A234" t="s">
        <v>803</v>
      </c>
      <c r="B234" t="s">
        <v>804</v>
      </c>
      <c r="C234" t="s">
        <v>523</v>
      </c>
      <c r="D234" s="56" t="s">
        <v>1433</v>
      </c>
      <c r="E234" s="59">
        <v>0</v>
      </c>
      <c r="F234" t="s">
        <v>1434</v>
      </c>
    </row>
    <row r="235" spans="1:7" x14ac:dyDescent="0.3">
      <c r="A235" t="s">
        <v>803</v>
      </c>
      <c r="B235" t="s">
        <v>804</v>
      </c>
      <c r="C235" t="s">
        <v>523</v>
      </c>
      <c r="D235" s="56" t="s">
        <v>1435</v>
      </c>
      <c r="E235" s="59">
        <v>50</v>
      </c>
      <c r="F235" t="s">
        <v>1436</v>
      </c>
    </row>
    <row r="236" spans="1:7" x14ac:dyDescent="0.3">
      <c r="A236" t="s">
        <v>803</v>
      </c>
      <c r="B236" t="s">
        <v>804</v>
      </c>
      <c r="C236" t="s">
        <v>523</v>
      </c>
      <c r="D236" s="56" t="s">
        <v>1437</v>
      </c>
      <c r="E236" s="59">
        <v>100</v>
      </c>
      <c r="F236" t="s">
        <v>1438</v>
      </c>
    </row>
    <row r="237" spans="1:7" x14ac:dyDescent="0.3">
      <c r="A237" t="s">
        <v>803</v>
      </c>
      <c r="B237" t="s">
        <v>804</v>
      </c>
      <c r="C237" t="s">
        <v>523</v>
      </c>
      <c r="D237" s="56" t="s">
        <v>1439</v>
      </c>
      <c r="E237" s="59" t="s">
        <v>1104</v>
      </c>
      <c r="F237" t="s">
        <v>1440</v>
      </c>
      <c r="G237" s="56" t="s">
        <v>1106</v>
      </c>
    </row>
    <row r="238" spans="1:7" ht="43.2" x14ac:dyDescent="0.3">
      <c r="A238" t="s">
        <v>808</v>
      </c>
      <c r="B238" t="s">
        <v>804</v>
      </c>
      <c r="C238" t="s">
        <v>523</v>
      </c>
      <c r="D238" s="56" t="s">
        <v>1441</v>
      </c>
      <c r="E238" s="59">
        <v>33</v>
      </c>
      <c r="F238" t="s">
        <v>1442</v>
      </c>
      <c r="G238" s="56" t="s">
        <v>1596</v>
      </c>
    </row>
    <row r="239" spans="1:7" ht="43.2" x14ac:dyDescent="0.3">
      <c r="A239" t="s">
        <v>808</v>
      </c>
      <c r="B239" t="s">
        <v>804</v>
      </c>
      <c r="C239" t="s">
        <v>523</v>
      </c>
      <c r="D239" s="56" t="s">
        <v>1443</v>
      </c>
      <c r="E239" s="59">
        <v>100</v>
      </c>
      <c r="F239" t="s">
        <v>1444</v>
      </c>
      <c r="G239" s="56" t="s">
        <v>1596</v>
      </c>
    </row>
    <row r="240" spans="1:7" ht="43.2" x14ac:dyDescent="0.3">
      <c r="A240" t="s">
        <v>808</v>
      </c>
      <c r="B240" t="s">
        <v>804</v>
      </c>
      <c r="C240" t="s">
        <v>523</v>
      </c>
      <c r="D240" s="56" t="s">
        <v>1445</v>
      </c>
      <c r="E240" s="59">
        <v>67</v>
      </c>
      <c r="F240" t="s">
        <v>1446</v>
      </c>
      <c r="G240" s="56" t="s">
        <v>1596</v>
      </c>
    </row>
    <row r="241" spans="1:7" ht="43.2" x14ac:dyDescent="0.3">
      <c r="A241" t="s">
        <v>808</v>
      </c>
      <c r="B241" t="s">
        <v>804</v>
      </c>
      <c r="C241" t="s">
        <v>523</v>
      </c>
      <c r="D241" s="56" t="s">
        <v>1447</v>
      </c>
      <c r="E241" s="59">
        <v>100</v>
      </c>
      <c r="F241" t="s">
        <v>1448</v>
      </c>
      <c r="G241" s="56" t="s">
        <v>1596</v>
      </c>
    </row>
    <row r="242" spans="1:7" ht="43.2" x14ac:dyDescent="0.3">
      <c r="A242" t="s">
        <v>808</v>
      </c>
      <c r="B242" t="s">
        <v>804</v>
      </c>
      <c r="C242" t="s">
        <v>523</v>
      </c>
      <c r="D242" s="56" t="s">
        <v>1103</v>
      </c>
      <c r="E242" s="59" t="s">
        <v>1104</v>
      </c>
      <c r="F242" t="s">
        <v>1449</v>
      </c>
      <c r="G242" s="56" t="s">
        <v>1597</v>
      </c>
    </row>
    <row r="243" spans="1:7" x14ac:dyDescent="0.3">
      <c r="A243" t="s">
        <v>811</v>
      </c>
      <c r="B243" t="s">
        <v>804</v>
      </c>
      <c r="C243" t="s">
        <v>523</v>
      </c>
      <c r="D243" s="56" t="s">
        <v>1450</v>
      </c>
      <c r="E243" s="59">
        <v>0</v>
      </c>
      <c r="F243" t="s">
        <v>1451</v>
      </c>
    </row>
    <row r="244" spans="1:7" x14ac:dyDescent="0.3">
      <c r="A244" t="s">
        <v>811</v>
      </c>
      <c r="B244" t="s">
        <v>804</v>
      </c>
      <c r="C244" t="s">
        <v>523</v>
      </c>
      <c r="D244" s="56" t="s">
        <v>1452</v>
      </c>
      <c r="E244" s="59">
        <v>50</v>
      </c>
      <c r="F244" t="s">
        <v>1453</v>
      </c>
    </row>
    <row r="245" spans="1:7" x14ac:dyDescent="0.3">
      <c r="A245" t="s">
        <v>811</v>
      </c>
      <c r="B245" t="s">
        <v>804</v>
      </c>
      <c r="C245" t="s">
        <v>523</v>
      </c>
      <c r="D245" s="56" t="s">
        <v>1190</v>
      </c>
      <c r="E245" s="59" t="s">
        <v>1104</v>
      </c>
      <c r="F245" t="s">
        <v>1454</v>
      </c>
      <c r="G245" s="56" t="s">
        <v>1106</v>
      </c>
    </row>
    <row r="246" spans="1:7" x14ac:dyDescent="0.3">
      <c r="A246" t="s">
        <v>811</v>
      </c>
      <c r="B246" t="s">
        <v>804</v>
      </c>
      <c r="C246" t="s">
        <v>523</v>
      </c>
      <c r="D246" s="56" t="s">
        <v>1455</v>
      </c>
      <c r="E246" s="59" t="s">
        <v>1104</v>
      </c>
      <c r="F246" t="s">
        <v>1456</v>
      </c>
      <c r="G246" s="56" t="s">
        <v>1106</v>
      </c>
    </row>
    <row r="247" spans="1:7" ht="28.8" x14ac:dyDescent="0.3">
      <c r="A247" t="s">
        <v>815</v>
      </c>
      <c r="B247" t="s">
        <v>816</v>
      </c>
      <c r="C247" t="s">
        <v>523</v>
      </c>
      <c r="D247" s="56" t="s">
        <v>1457</v>
      </c>
      <c r="E247" s="59">
        <v>0</v>
      </c>
      <c r="F247" t="s">
        <v>1458</v>
      </c>
      <c r="G247" s="56" t="s">
        <v>1598</v>
      </c>
    </row>
    <row r="248" spans="1:7" ht="28.8" x14ac:dyDescent="0.3">
      <c r="A248" t="s">
        <v>815</v>
      </c>
      <c r="B248" t="s">
        <v>816</v>
      </c>
      <c r="C248" t="s">
        <v>523</v>
      </c>
      <c r="D248" s="56" t="s">
        <v>1459</v>
      </c>
      <c r="E248" s="59">
        <v>33</v>
      </c>
      <c r="F248" t="s">
        <v>1460</v>
      </c>
      <c r="G248" s="56" t="s">
        <v>1598</v>
      </c>
    </row>
    <row r="249" spans="1:7" ht="28.8" x14ac:dyDescent="0.3">
      <c r="A249" t="s">
        <v>815</v>
      </c>
      <c r="B249" t="s">
        <v>816</v>
      </c>
      <c r="C249" t="s">
        <v>523</v>
      </c>
      <c r="D249" s="56" t="s">
        <v>1461</v>
      </c>
      <c r="E249" s="59">
        <v>100</v>
      </c>
      <c r="F249" t="s">
        <v>1462</v>
      </c>
      <c r="G249" s="56" t="s">
        <v>1598</v>
      </c>
    </row>
    <row r="250" spans="1:7" ht="43.2" x14ac:dyDescent="0.3">
      <c r="A250" t="s">
        <v>815</v>
      </c>
      <c r="B250" t="s">
        <v>816</v>
      </c>
      <c r="C250" t="s">
        <v>523</v>
      </c>
      <c r="D250" s="56" t="s">
        <v>1463</v>
      </c>
      <c r="E250" s="59" t="s">
        <v>1104</v>
      </c>
      <c r="F250" t="s">
        <v>1464</v>
      </c>
      <c r="G250" s="56" t="s">
        <v>1599</v>
      </c>
    </row>
    <row r="251" spans="1:7" ht="28.8" x14ac:dyDescent="0.3">
      <c r="A251" t="s">
        <v>820</v>
      </c>
      <c r="B251" t="s">
        <v>816</v>
      </c>
      <c r="C251" t="s">
        <v>523</v>
      </c>
      <c r="D251" s="56" t="s">
        <v>1099</v>
      </c>
      <c r="E251" s="59">
        <v>0</v>
      </c>
      <c r="F251" t="s">
        <v>1465</v>
      </c>
      <c r="G251" s="56" t="s">
        <v>1600</v>
      </c>
    </row>
    <row r="252" spans="1:7" ht="28.8" x14ac:dyDescent="0.3">
      <c r="A252" t="s">
        <v>820</v>
      </c>
      <c r="B252" t="s">
        <v>816</v>
      </c>
      <c r="C252" t="s">
        <v>523</v>
      </c>
      <c r="D252" s="56" t="s">
        <v>1101</v>
      </c>
      <c r="E252" s="59">
        <v>100</v>
      </c>
      <c r="F252" t="s">
        <v>1466</v>
      </c>
      <c r="G252" s="56" t="s">
        <v>1600</v>
      </c>
    </row>
    <row r="253" spans="1:7" x14ac:dyDescent="0.3">
      <c r="A253" t="s">
        <v>822</v>
      </c>
      <c r="B253" t="s">
        <v>816</v>
      </c>
      <c r="C253" t="s">
        <v>523</v>
      </c>
      <c r="D253" s="56" t="s">
        <v>1467</v>
      </c>
      <c r="E253" s="59">
        <v>100</v>
      </c>
      <c r="F253" t="s">
        <v>1468</v>
      </c>
    </row>
    <row r="254" spans="1:7" x14ac:dyDescent="0.3">
      <c r="A254" t="s">
        <v>822</v>
      </c>
      <c r="B254" t="s">
        <v>816</v>
      </c>
      <c r="C254" t="s">
        <v>523</v>
      </c>
      <c r="D254" s="56" t="s">
        <v>1469</v>
      </c>
      <c r="E254" s="59">
        <v>50</v>
      </c>
      <c r="F254" t="s">
        <v>1470</v>
      </c>
    </row>
    <row r="255" spans="1:7" x14ac:dyDescent="0.3">
      <c r="A255" t="s">
        <v>822</v>
      </c>
      <c r="B255" t="s">
        <v>816</v>
      </c>
      <c r="C255" t="s">
        <v>523</v>
      </c>
      <c r="D255" s="56" t="s">
        <v>1471</v>
      </c>
      <c r="E255" s="59">
        <v>0</v>
      </c>
      <c r="F255" t="s">
        <v>1472</v>
      </c>
    </row>
    <row r="256" spans="1:7" x14ac:dyDescent="0.3">
      <c r="A256" t="s">
        <v>822</v>
      </c>
      <c r="B256" t="s">
        <v>816</v>
      </c>
      <c r="C256" t="s">
        <v>523</v>
      </c>
      <c r="D256" s="56" t="s">
        <v>1103</v>
      </c>
      <c r="E256" s="59" t="s">
        <v>1104</v>
      </c>
      <c r="F256" t="s">
        <v>1473</v>
      </c>
      <c r="G256" s="56" t="s">
        <v>1106</v>
      </c>
    </row>
    <row r="257" spans="1:7" ht="28.8" x14ac:dyDescent="0.3">
      <c r="A257" t="s">
        <v>826</v>
      </c>
      <c r="B257" t="s">
        <v>827</v>
      </c>
      <c r="C257" t="s">
        <v>536</v>
      </c>
      <c r="D257" s="56" t="s">
        <v>1098</v>
      </c>
      <c r="E257" s="59"/>
      <c r="G257" s="56" t="s">
        <v>1601</v>
      </c>
    </row>
    <row r="258" spans="1:7" ht="28.8" x14ac:dyDescent="0.3">
      <c r="A258" t="s">
        <v>831</v>
      </c>
      <c r="B258" t="s">
        <v>827</v>
      </c>
      <c r="C258" t="s">
        <v>516</v>
      </c>
      <c r="D258" s="56" t="s">
        <v>498</v>
      </c>
      <c r="E258" s="59"/>
      <c r="G258" s="56" t="s">
        <v>1097</v>
      </c>
    </row>
    <row r="259" spans="1:7" ht="28.8" x14ac:dyDescent="0.3">
      <c r="A259" t="s">
        <v>833</v>
      </c>
      <c r="B259" t="s">
        <v>827</v>
      </c>
      <c r="C259" t="s">
        <v>523</v>
      </c>
      <c r="D259" s="56" t="s">
        <v>1099</v>
      </c>
      <c r="E259" s="59">
        <v>100</v>
      </c>
      <c r="F259" t="s">
        <v>1474</v>
      </c>
      <c r="G259" s="56" t="s">
        <v>1602</v>
      </c>
    </row>
    <row r="260" spans="1:7" ht="28.8" x14ac:dyDescent="0.3">
      <c r="A260" t="s">
        <v>833</v>
      </c>
      <c r="B260" t="s">
        <v>827</v>
      </c>
      <c r="C260" t="s">
        <v>523</v>
      </c>
      <c r="D260" s="56" t="s">
        <v>1475</v>
      </c>
      <c r="E260" s="59">
        <v>50</v>
      </c>
      <c r="F260" t="s">
        <v>1476</v>
      </c>
      <c r="G260" s="56" t="s">
        <v>1602</v>
      </c>
    </row>
    <row r="261" spans="1:7" ht="28.8" x14ac:dyDescent="0.3">
      <c r="A261" t="s">
        <v>833</v>
      </c>
      <c r="B261" t="s">
        <v>827</v>
      </c>
      <c r="C261" t="s">
        <v>523</v>
      </c>
      <c r="D261" s="56" t="s">
        <v>1101</v>
      </c>
      <c r="E261" s="59">
        <v>0</v>
      </c>
      <c r="F261" t="s">
        <v>1477</v>
      </c>
      <c r="G261" s="56" t="s">
        <v>1602</v>
      </c>
    </row>
    <row r="262" spans="1:7" ht="28.8" x14ac:dyDescent="0.3">
      <c r="A262" t="s">
        <v>833</v>
      </c>
      <c r="B262" t="s">
        <v>827</v>
      </c>
      <c r="C262" t="s">
        <v>523</v>
      </c>
      <c r="D262" s="56" t="s">
        <v>1478</v>
      </c>
      <c r="E262" s="59" t="s">
        <v>1104</v>
      </c>
      <c r="F262" t="s">
        <v>1479</v>
      </c>
      <c r="G262" s="56" t="s">
        <v>1603</v>
      </c>
    </row>
    <row r="263" spans="1:7" x14ac:dyDescent="0.3">
      <c r="A263" t="s">
        <v>837</v>
      </c>
      <c r="B263" t="s">
        <v>838</v>
      </c>
      <c r="C263" t="s">
        <v>523</v>
      </c>
      <c r="D263" s="56" t="s">
        <v>1480</v>
      </c>
      <c r="E263" s="59">
        <v>0</v>
      </c>
      <c r="F263" t="s">
        <v>1481</v>
      </c>
    </row>
    <row r="264" spans="1:7" x14ac:dyDescent="0.3">
      <c r="A264" t="s">
        <v>837</v>
      </c>
      <c r="B264" t="s">
        <v>838</v>
      </c>
      <c r="C264" t="s">
        <v>523</v>
      </c>
      <c r="D264" s="56" t="s">
        <v>1482</v>
      </c>
      <c r="E264" s="59">
        <v>1</v>
      </c>
      <c r="F264" t="s">
        <v>1483</v>
      </c>
    </row>
    <row r="265" spans="1:7" x14ac:dyDescent="0.3">
      <c r="A265" t="s">
        <v>837</v>
      </c>
      <c r="B265" t="s">
        <v>838</v>
      </c>
      <c r="C265" t="s">
        <v>523</v>
      </c>
      <c r="D265" s="56" t="s">
        <v>1484</v>
      </c>
      <c r="E265" s="59">
        <v>2</v>
      </c>
      <c r="F265" t="s">
        <v>1485</v>
      </c>
    </row>
    <row r="266" spans="1:7" x14ac:dyDescent="0.3">
      <c r="A266" t="s">
        <v>842</v>
      </c>
      <c r="B266" t="s">
        <v>843</v>
      </c>
      <c r="C266" t="s">
        <v>523</v>
      </c>
      <c r="D266" s="56" t="s">
        <v>1486</v>
      </c>
      <c r="E266" s="59">
        <v>0</v>
      </c>
      <c r="F266" t="s">
        <v>1487</v>
      </c>
    </row>
    <row r="267" spans="1:7" x14ac:dyDescent="0.3">
      <c r="A267" t="s">
        <v>842</v>
      </c>
      <c r="B267" t="s">
        <v>843</v>
      </c>
      <c r="C267" t="s">
        <v>523</v>
      </c>
      <c r="D267" s="56" t="s">
        <v>1488</v>
      </c>
      <c r="E267" s="59">
        <v>1</v>
      </c>
      <c r="F267" t="s">
        <v>1489</v>
      </c>
    </row>
    <row r="268" spans="1:7" x14ac:dyDescent="0.3">
      <c r="A268" t="s">
        <v>842</v>
      </c>
      <c r="B268" t="s">
        <v>843</v>
      </c>
      <c r="C268" t="s">
        <v>523</v>
      </c>
      <c r="D268" s="56" t="s">
        <v>1490</v>
      </c>
      <c r="E268" s="59">
        <v>2</v>
      </c>
      <c r="F268" t="s">
        <v>1491</v>
      </c>
    </row>
    <row r="269" spans="1:7" x14ac:dyDescent="0.3">
      <c r="A269" t="s">
        <v>847</v>
      </c>
      <c r="B269" t="s">
        <v>848</v>
      </c>
      <c r="C269" t="s">
        <v>523</v>
      </c>
      <c r="D269" s="56" t="s">
        <v>1486</v>
      </c>
      <c r="E269" s="59">
        <v>0</v>
      </c>
      <c r="F269" t="s">
        <v>1492</v>
      </c>
    </row>
    <row r="270" spans="1:7" x14ac:dyDescent="0.3">
      <c r="A270" t="s">
        <v>847</v>
      </c>
      <c r="B270" t="s">
        <v>848</v>
      </c>
      <c r="C270" t="s">
        <v>523</v>
      </c>
      <c r="D270" s="56" t="s">
        <v>1493</v>
      </c>
      <c r="E270" s="59">
        <v>1</v>
      </c>
      <c r="F270" t="s">
        <v>1494</v>
      </c>
    </row>
    <row r="271" spans="1:7" x14ac:dyDescent="0.3">
      <c r="A271" t="s">
        <v>847</v>
      </c>
      <c r="B271" t="s">
        <v>848</v>
      </c>
      <c r="C271" t="s">
        <v>523</v>
      </c>
      <c r="D271" s="56" t="s">
        <v>1495</v>
      </c>
      <c r="E271" s="59">
        <v>2</v>
      </c>
      <c r="F271" t="s">
        <v>1496</v>
      </c>
    </row>
    <row r="272" spans="1:7" x14ac:dyDescent="0.3">
      <c r="A272" t="s">
        <v>852</v>
      </c>
      <c r="B272" t="s">
        <v>853</v>
      </c>
      <c r="C272" t="s">
        <v>523</v>
      </c>
      <c r="D272" s="56" t="s">
        <v>1497</v>
      </c>
      <c r="E272" s="59">
        <v>0</v>
      </c>
      <c r="F272" t="s">
        <v>1498</v>
      </c>
    </row>
    <row r="273" spans="1:7" x14ac:dyDescent="0.3">
      <c r="A273" t="s">
        <v>852</v>
      </c>
      <c r="B273" t="s">
        <v>853</v>
      </c>
      <c r="C273" t="s">
        <v>523</v>
      </c>
      <c r="D273" s="56" t="s">
        <v>1499</v>
      </c>
      <c r="E273" s="59">
        <v>1</v>
      </c>
      <c r="F273" t="s">
        <v>1500</v>
      </c>
    </row>
    <row r="274" spans="1:7" x14ac:dyDescent="0.3">
      <c r="A274" t="s">
        <v>852</v>
      </c>
      <c r="B274" t="s">
        <v>853</v>
      </c>
      <c r="C274" t="s">
        <v>523</v>
      </c>
      <c r="D274" s="56" t="s">
        <v>1501</v>
      </c>
      <c r="E274" s="59">
        <v>2</v>
      </c>
      <c r="F274" t="s">
        <v>1502</v>
      </c>
    </row>
    <row r="275" spans="1:7" ht="43.2" x14ac:dyDescent="0.3">
      <c r="A275" t="s">
        <v>858</v>
      </c>
      <c r="B275" t="s">
        <v>859</v>
      </c>
      <c r="C275" t="s">
        <v>523</v>
      </c>
      <c r="D275" s="56" t="s">
        <v>1503</v>
      </c>
      <c r="E275" s="59">
        <v>100</v>
      </c>
      <c r="F275" t="s">
        <v>1504</v>
      </c>
      <c r="G275" s="56" t="s">
        <v>1604</v>
      </c>
    </row>
    <row r="276" spans="1:7" ht="43.2" x14ac:dyDescent="0.3">
      <c r="A276" t="s">
        <v>858</v>
      </c>
      <c r="B276" t="s">
        <v>859</v>
      </c>
      <c r="C276" t="s">
        <v>523</v>
      </c>
      <c r="D276" s="56" t="s">
        <v>1505</v>
      </c>
      <c r="E276" s="59">
        <v>75</v>
      </c>
      <c r="F276" t="s">
        <v>1506</v>
      </c>
      <c r="G276" s="56" t="s">
        <v>1604</v>
      </c>
    </row>
    <row r="277" spans="1:7" ht="43.2" x14ac:dyDescent="0.3">
      <c r="A277" t="s">
        <v>858</v>
      </c>
      <c r="B277" t="s">
        <v>859</v>
      </c>
      <c r="C277" t="s">
        <v>523</v>
      </c>
      <c r="D277" s="56" t="s">
        <v>1507</v>
      </c>
      <c r="E277" s="59">
        <v>25</v>
      </c>
      <c r="F277" t="s">
        <v>1508</v>
      </c>
      <c r="G277" s="56" t="s">
        <v>1604</v>
      </c>
    </row>
    <row r="278" spans="1:7" ht="43.2" x14ac:dyDescent="0.3">
      <c r="A278" t="s">
        <v>858</v>
      </c>
      <c r="B278" t="s">
        <v>859</v>
      </c>
      <c r="C278" t="s">
        <v>523</v>
      </c>
      <c r="D278" s="56" t="s">
        <v>1509</v>
      </c>
      <c r="E278" s="59">
        <v>50</v>
      </c>
      <c r="F278" t="s">
        <v>1510</v>
      </c>
      <c r="G278" s="56" t="s">
        <v>1604</v>
      </c>
    </row>
    <row r="279" spans="1:7" ht="43.2" x14ac:dyDescent="0.3">
      <c r="A279" t="s">
        <v>858</v>
      </c>
      <c r="B279" t="s">
        <v>859</v>
      </c>
      <c r="C279" t="s">
        <v>523</v>
      </c>
      <c r="D279" s="56" t="s">
        <v>1511</v>
      </c>
      <c r="E279" s="59">
        <v>50</v>
      </c>
      <c r="F279" t="s">
        <v>1512</v>
      </c>
      <c r="G279" s="56" t="s">
        <v>1604</v>
      </c>
    </row>
    <row r="280" spans="1:7" x14ac:dyDescent="0.3">
      <c r="A280" t="s">
        <v>863</v>
      </c>
      <c r="B280" t="s">
        <v>859</v>
      </c>
      <c r="C280" t="s">
        <v>523</v>
      </c>
      <c r="D280" s="56" t="s">
        <v>1099</v>
      </c>
      <c r="E280" s="59">
        <v>100</v>
      </c>
      <c r="F280" t="s">
        <v>1513</v>
      </c>
    </row>
    <row r="281" spans="1:7" x14ac:dyDescent="0.3">
      <c r="A281" t="s">
        <v>863</v>
      </c>
      <c r="B281" t="s">
        <v>859</v>
      </c>
      <c r="C281" t="s">
        <v>523</v>
      </c>
      <c r="D281" s="56" t="s">
        <v>1101</v>
      </c>
      <c r="E281" s="59">
        <v>0</v>
      </c>
      <c r="F281" t="s">
        <v>1514</v>
      </c>
    </row>
    <row r="282" spans="1:7" x14ac:dyDescent="0.3">
      <c r="A282" t="s">
        <v>863</v>
      </c>
      <c r="B282" t="s">
        <v>859</v>
      </c>
      <c r="C282" t="s">
        <v>523</v>
      </c>
      <c r="D282" s="56" t="s">
        <v>1103</v>
      </c>
      <c r="E282" s="59" t="s">
        <v>1104</v>
      </c>
      <c r="F282" t="s">
        <v>1515</v>
      </c>
      <c r="G282" s="56" t="s">
        <v>1106</v>
      </c>
    </row>
    <row r="283" spans="1:7" ht="28.8" x14ac:dyDescent="0.3">
      <c r="A283" t="s">
        <v>867</v>
      </c>
      <c r="B283" t="s">
        <v>868</v>
      </c>
      <c r="C283" t="s">
        <v>532</v>
      </c>
      <c r="D283" s="56" t="s">
        <v>498</v>
      </c>
      <c r="E283" s="59"/>
      <c r="G283" s="56" t="s">
        <v>1097</v>
      </c>
    </row>
    <row r="284" spans="1:7" ht="28.8" x14ac:dyDescent="0.3">
      <c r="A284" t="s">
        <v>871</v>
      </c>
      <c r="B284" t="s">
        <v>868</v>
      </c>
      <c r="C284" t="s">
        <v>532</v>
      </c>
      <c r="D284" s="56" t="s">
        <v>498</v>
      </c>
      <c r="E284" s="59"/>
      <c r="G284" s="56" t="s">
        <v>1097</v>
      </c>
    </row>
    <row r="285" spans="1:7" ht="28.8" x14ac:dyDescent="0.3">
      <c r="A285" t="s">
        <v>874</v>
      </c>
      <c r="B285" t="s">
        <v>868</v>
      </c>
      <c r="C285" t="s">
        <v>582</v>
      </c>
      <c r="D285" s="56" t="s">
        <v>498</v>
      </c>
      <c r="E285" s="59"/>
      <c r="G285" s="56" t="s">
        <v>1097</v>
      </c>
    </row>
    <row r="286" spans="1:7" ht="28.8" x14ac:dyDescent="0.3">
      <c r="A286" t="s">
        <v>877</v>
      </c>
      <c r="B286" t="s">
        <v>868</v>
      </c>
      <c r="C286" t="s">
        <v>532</v>
      </c>
      <c r="D286" s="56" t="s">
        <v>498</v>
      </c>
      <c r="E286" s="59"/>
      <c r="G286" s="56" t="s">
        <v>1097</v>
      </c>
    </row>
    <row r="287" spans="1:7" ht="28.8" x14ac:dyDescent="0.3">
      <c r="A287" t="s">
        <v>880</v>
      </c>
      <c r="B287" t="s">
        <v>868</v>
      </c>
      <c r="C287" t="s">
        <v>532</v>
      </c>
      <c r="D287" s="56" t="s">
        <v>498</v>
      </c>
      <c r="E287" s="59"/>
      <c r="G287" s="56" t="s">
        <v>1097</v>
      </c>
    </row>
    <row r="288" spans="1:7" ht="28.8" x14ac:dyDescent="0.3">
      <c r="A288" t="s">
        <v>883</v>
      </c>
      <c r="B288" t="s">
        <v>868</v>
      </c>
      <c r="C288" t="s">
        <v>532</v>
      </c>
      <c r="D288" s="56" t="s">
        <v>498</v>
      </c>
      <c r="E288" s="59"/>
      <c r="G288" s="56" t="s">
        <v>1097</v>
      </c>
    </row>
    <row r="289" spans="1:7" ht="28.8" x14ac:dyDescent="0.3">
      <c r="A289" t="s">
        <v>886</v>
      </c>
      <c r="B289" t="s">
        <v>868</v>
      </c>
      <c r="C289" t="s">
        <v>501</v>
      </c>
      <c r="D289" s="56" t="s">
        <v>498</v>
      </c>
      <c r="E289" s="59"/>
      <c r="G289" s="56" t="s">
        <v>1097</v>
      </c>
    </row>
    <row r="290" spans="1:7" ht="28.8" x14ac:dyDescent="0.3">
      <c r="A290" t="s">
        <v>889</v>
      </c>
      <c r="B290" t="s">
        <v>868</v>
      </c>
      <c r="C290" t="s">
        <v>532</v>
      </c>
      <c r="D290" s="56" t="s">
        <v>498</v>
      </c>
      <c r="E290" s="59"/>
      <c r="G290" s="56" t="s">
        <v>1097</v>
      </c>
    </row>
    <row r="291" spans="1:7" ht="28.8" x14ac:dyDescent="0.3">
      <c r="A291" t="s">
        <v>892</v>
      </c>
      <c r="B291" t="s">
        <v>868</v>
      </c>
      <c r="C291" t="s">
        <v>532</v>
      </c>
      <c r="D291" s="56" t="s">
        <v>498</v>
      </c>
      <c r="E291" s="59"/>
      <c r="G291" s="56" t="s">
        <v>1097</v>
      </c>
    </row>
    <row r="292" spans="1:7" ht="28.8" x14ac:dyDescent="0.3">
      <c r="A292" t="s">
        <v>895</v>
      </c>
      <c r="B292" t="s">
        <v>868</v>
      </c>
      <c r="C292" t="s">
        <v>532</v>
      </c>
      <c r="D292" s="56" t="s">
        <v>498</v>
      </c>
      <c r="E292" s="59"/>
      <c r="G292" s="56" t="s">
        <v>1097</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1516</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1517</v>
      </c>
      <c r="B2" s="60" t="s">
        <v>899</v>
      </c>
      <c r="C2" s="60" t="s">
        <v>495</v>
      </c>
      <c r="D2" s="60" t="s">
        <v>500</v>
      </c>
      <c r="E2" s="60" t="s">
        <v>503</v>
      </c>
      <c r="F2" s="60" t="s">
        <v>508</v>
      </c>
      <c r="G2" s="60" t="s">
        <v>511</v>
      </c>
      <c r="H2" s="60" t="s">
        <v>514</v>
      </c>
      <c r="I2" s="60" t="s">
        <v>518</v>
      </c>
      <c r="J2" s="60" t="s">
        <v>521</v>
      </c>
      <c r="K2" s="60" t="s">
        <v>526</v>
      </c>
      <c r="L2" s="60" t="s">
        <v>530</v>
      </c>
      <c r="M2" s="60" t="s">
        <v>534</v>
      </c>
      <c r="N2" s="60" t="s">
        <v>539</v>
      </c>
      <c r="O2" s="60" t="s">
        <v>543</v>
      </c>
      <c r="P2" s="60" t="s">
        <v>547</v>
      </c>
      <c r="Q2" s="60" t="s">
        <v>550</v>
      </c>
      <c r="R2" s="60" t="s">
        <v>553</v>
      </c>
      <c r="S2" s="60" t="s">
        <v>557</v>
      </c>
      <c r="T2" s="60" t="s">
        <v>560</v>
      </c>
      <c r="U2" s="60" t="s">
        <v>564</v>
      </c>
      <c r="V2" s="60" t="s">
        <v>567</v>
      </c>
      <c r="W2" s="60" t="s">
        <v>5</v>
      </c>
      <c r="X2" s="60" t="s">
        <v>575</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604</v>
      </c>
      <c r="AM2" s="60" t="s">
        <v>609</v>
      </c>
      <c r="AN2" s="60" t="s">
        <v>613</v>
      </c>
      <c r="AO2" s="60" t="s">
        <v>617</v>
      </c>
      <c r="AP2" s="60" t="s">
        <v>619</v>
      </c>
      <c r="AQ2" s="60" t="s">
        <v>623</v>
      </c>
      <c r="AR2" s="60" t="s">
        <v>629</v>
      </c>
      <c r="AS2" s="60" t="s">
        <v>631</v>
      </c>
      <c r="AT2" s="60" t="s">
        <v>634</v>
      </c>
      <c r="AU2" s="60" t="s">
        <v>637</v>
      </c>
      <c r="AV2" s="60" t="s">
        <v>640</v>
      </c>
      <c r="AW2" s="60" t="s">
        <v>644</v>
      </c>
      <c r="AX2" s="60" t="s">
        <v>647</v>
      </c>
      <c r="AY2" s="60" t="s">
        <v>652</v>
      </c>
      <c r="AZ2" s="60" t="s">
        <v>656</v>
      </c>
      <c r="BA2" s="60" t="s">
        <v>659</v>
      </c>
      <c r="BB2" s="60" t="s">
        <v>661</v>
      </c>
      <c r="BC2" s="60" t="s">
        <v>664</v>
      </c>
      <c r="BD2" s="60" t="s">
        <v>667</v>
      </c>
      <c r="BE2" s="60" t="s">
        <v>670</v>
      </c>
      <c r="BF2" s="60" t="s">
        <v>672</v>
      </c>
      <c r="BG2" s="60" t="s">
        <v>675</v>
      </c>
      <c r="BH2" s="60" t="s">
        <v>678</v>
      </c>
      <c r="BI2" s="60" t="s">
        <v>681</v>
      </c>
      <c r="BJ2" s="60" t="s">
        <v>684</v>
      </c>
      <c r="BK2" s="60" t="s">
        <v>687</v>
      </c>
      <c r="BL2" s="60" t="s">
        <v>692</v>
      </c>
      <c r="BM2" s="60" t="s">
        <v>697</v>
      </c>
      <c r="BN2" s="60" t="s">
        <v>699</v>
      </c>
      <c r="BO2" s="60" t="s">
        <v>702</v>
      </c>
      <c r="BP2" s="60" t="s">
        <v>707</v>
      </c>
      <c r="BQ2" s="60" t="s">
        <v>711</v>
      </c>
      <c r="BR2" s="60" t="s">
        <v>713</v>
      </c>
      <c r="BS2" s="60" t="s">
        <v>716</v>
      </c>
      <c r="BT2" s="60" t="s">
        <v>719</v>
      </c>
      <c r="BU2" s="60" t="s">
        <v>722</v>
      </c>
      <c r="BV2" s="60" t="s">
        <v>725</v>
      </c>
      <c r="BW2" s="60" t="s">
        <v>728</v>
      </c>
      <c r="BX2" s="60" t="s">
        <v>731</v>
      </c>
      <c r="BY2" s="60" t="s">
        <v>735</v>
      </c>
      <c r="BZ2" s="60" t="s">
        <v>740</v>
      </c>
      <c r="CA2" s="60" t="s">
        <v>743</v>
      </c>
      <c r="CB2" s="60" t="s">
        <v>746</v>
      </c>
      <c r="CC2" s="60" t="s">
        <v>749</v>
      </c>
      <c r="CD2" s="60" t="s">
        <v>752</v>
      </c>
      <c r="CE2" s="60" t="s">
        <v>755</v>
      </c>
      <c r="CF2" s="60" t="s">
        <v>758</v>
      </c>
      <c r="CG2" s="60" t="s">
        <v>761</v>
      </c>
      <c r="CH2" s="60" t="s">
        <v>765</v>
      </c>
      <c r="CI2" s="60" t="s">
        <v>770</v>
      </c>
      <c r="CJ2" s="60" t="s">
        <v>772</v>
      </c>
      <c r="CK2" s="60" t="s">
        <v>775</v>
      </c>
      <c r="CL2" s="60" t="s">
        <v>778</v>
      </c>
      <c r="CM2" s="60" t="s">
        <v>781</v>
      </c>
      <c r="CN2" s="60" t="s">
        <v>785</v>
      </c>
      <c r="CO2" s="60" t="s">
        <v>790</v>
      </c>
      <c r="CP2" s="60" t="s">
        <v>794</v>
      </c>
      <c r="CQ2" s="60" t="s">
        <v>796</v>
      </c>
      <c r="CR2" s="60" t="s">
        <v>799</v>
      </c>
      <c r="CS2" s="60" t="s">
        <v>803</v>
      </c>
      <c r="CT2" s="60" t="s">
        <v>808</v>
      </c>
      <c r="CU2" s="60" t="s">
        <v>811</v>
      </c>
      <c r="CV2" s="60" t="s">
        <v>815</v>
      </c>
      <c r="CW2" s="60" t="s">
        <v>820</v>
      </c>
      <c r="CX2" s="60" t="s">
        <v>822</v>
      </c>
      <c r="CY2" s="60" t="s">
        <v>826</v>
      </c>
      <c r="CZ2" s="60" t="s">
        <v>831</v>
      </c>
      <c r="DA2" s="60" t="s">
        <v>833</v>
      </c>
      <c r="DB2" s="60" t="s">
        <v>837</v>
      </c>
      <c r="DC2" s="60" t="s">
        <v>842</v>
      </c>
      <c r="DD2" s="60" t="s">
        <v>847</v>
      </c>
      <c r="DE2" s="60" t="s">
        <v>852</v>
      </c>
      <c r="DF2" s="60" t="s">
        <v>858</v>
      </c>
      <c r="DG2" s="60" t="s">
        <v>863</v>
      </c>
      <c r="DH2" s="60" t="s">
        <v>867</v>
      </c>
      <c r="DI2" s="60" t="s">
        <v>871</v>
      </c>
      <c r="DJ2" s="60" t="s">
        <v>874</v>
      </c>
      <c r="DK2" s="60" t="s">
        <v>877</v>
      </c>
      <c r="DL2" s="60" t="s">
        <v>880</v>
      </c>
      <c r="DM2" s="60" t="s">
        <v>883</v>
      </c>
      <c r="DN2" s="60" t="s">
        <v>886</v>
      </c>
      <c r="DO2" s="60" t="s">
        <v>889</v>
      </c>
      <c r="DP2" s="60" t="s">
        <v>892</v>
      </c>
      <c r="DQ2" s="60" t="s">
        <v>895</v>
      </c>
    </row>
    <row r="3" spans="1:121" x14ac:dyDescent="0.3">
      <c r="A3">
        <v>20118578415</v>
      </c>
      <c r="B3" t="s">
        <v>63</v>
      </c>
    </row>
    <row r="4" spans="1:121" x14ac:dyDescent="0.3">
      <c r="A4">
        <v>20129156083</v>
      </c>
      <c r="B4" t="s">
        <v>71</v>
      </c>
    </row>
    <row r="5" spans="1:121" x14ac:dyDescent="0.3">
      <c r="A5">
        <v>20129529530</v>
      </c>
      <c r="B5" t="s">
        <v>76</v>
      </c>
    </row>
    <row r="6" spans="1:121" x14ac:dyDescent="0.3">
      <c r="A6">
        <v>20132489824</v>
      </c>
      <c r="B6" t="s">
        <v>79</v>
      </c>
    </row>
    <row r="7" spans="1:121" x14ac:dyDescent="0.3">
      <c r="A7">
        <v>20132505455</v>
      </c>
      <c r="B7" t="s">
        <v>82</v>
      </c>
    </row>
    <row r="8" spans="1:121" x14ac:dyDescent="0.3">
      <c r="A8">
        <v>20132509795</v>
      </c>
      <c r="B8" t="s">
        <v>85</v>
      </c>
    </row>
    <row r="9" spans="1:121" x14ac:dyDescent="0.3">
      <c r="A9">
        <v>20132509876</v>
      </c>
      <c r="B9" t="s">
        <v>87</v>
      </c>
    </row>
    <row r="10" spans="1:121" x14ac:dyDescent="0.3">
      <c r="A10">
        <v>20132517119</v>
      </c>
      <c r="B10" t="s">
        <v>89</v>
      </c>
    </row>
    <row r="11" spans="1:121" x14ac:dyDescent="0.3">
      <c r="A11">
        <v>20136201132</v>
      </c>
      <c r="B11" t="s">
        <v>91</v>
      </c>
    </row>
    <row r="12" spans="1:121" x14ac:dyDescent="0.3">
      <c r="A12">
        <v>20136201213</v>
      </c>
      <c r="B12" t="s">
        <v>93</v>
      </c>
    </row>
    <row r="13" spans="1:121" x14ac:dyDescent="0.3">
      <c r="A13">
        <v>20140292657</v>
      </c>
      <c r="B13" t="s">
        <v>96</v>
      </c>
    </row>
    <row r="14" spans="1:121" x14ac:dyDescent="0.3">
      <c r="A14">
        <v>20143692010</v>
      </c>
      <c r="B14" t="s">
        <v>98</v>
      </c>
    </row>
    <row r="15" spans="1:121" x14ac:dyDescent="0.3">
      <c r="A15">
        <v>20145484597</v>
      </c>
      <c r="B15" t="s">
        <v>100</v>
      </c>
    </row>
    <row r="16" spans="1:121" x14ac:dyDescent="0.3">
      <c r="A16">
        <v>20146696041</v>
      </c>
      <c r="B16" t="s">
        <v>102</v>
      </c>
    </row>
    <row r="17" spans="1:2" x14ac:dyDescent="0.3">
      <c r="A17">
        <v>20147443120</v>
      </c>
      <c r="B17" t="s">
        <v>105</v>
      </c>
    </row>
    <row r="18" spans="1:2" x14ac:dyDescent="0.3">
      <c r="A18">
        <v>20166786861</v>
      </c>
      <c r="B18" t="s">
        <v>108</v>
      </c>
    </row>
    <row r="19" spans="1:2" x14ac:dyDescent="0.3">
      <c r="A19">
        <v>20170142773</v>
      </c>
      <c r="B19" t="s">
        <v>111</v>
      </c>
    </row>
    <row r="20" spans="1:2" x14ac:dyDescent="0.3">
      <c r="A20">
        <v>20200880448</v>
      </c>
      <c r="B20" t="s">
        <v>114</v>
      </c>
    </row>
    <row r="21" spans="1:2" x14ac:dyDescent="0.3">
      <c r="A21">
        <v>20352417018</v>
      </c>
      <c r="B21" t="s">
        <v>116</v>
      </c>
    </row>
    <row r="22" spans="1:2" x14ac:dyDescent="0.3">
      <c r="A22">
        <v>20352423921</v>
      </c>
      <c r="B22" t="s">
        <v>118</v>
      </c>
    </row>
    <row r="23" spans="1:2" x14ac:dyDescent="0.3">
      <c r="A23">
        <v>20393152207</v>
      </c>
      <c r="B23" t="s">
        <v>121</v>
      </c>
    </row>
    <row r="24" spans="1:2" x14ac:dyDescent="0.3">
      <c r="A24">
        <v>20393593670</v>
      </c>
      <c r="B24" t="s">
        <v>123</v>
      </c>
    </row>
    <row r="25" spans="1:2" x14ac:dyDescent="0.3">
      <c r="A25">
        <v>20393692228</v>
      </c>
      <c r="B25" t="s">
        <v>126</v>
      </c>
    </row>
    <row r="26" spans="1:2" x14ac:dyDescent="0.3">
      <c r="A26">
        <v>20393786044</v>
      </c>
      <c r="B26" t="s">
        <v>128</v>
      </c>
    </row>
    <row r="27" spans="1:2" x14ac:dyDescent="0.3">
      <c r="A27">
        <v>20393816211</v>
      </c>
      <c r="B27" t="s">
        <v>130</v>
      </c>
    </row>
    <row r="28" spans="1:2" x14ac:dyDescent="0.3">
      <c r="A28">
        <v>20393882868</v>
      </c>
      <c r="B28" t="s">
        <v>132</v>
      </c>
    </row>
    <row r="29" spans="1:2" x14ac:dyDescent="0.3">
      <c r="A29">
        <v>20393972000</v>
      </c>
      <c r="B29" t="s">
        <v>134</v>
      </c>
    </row>
    <row r="30" spans="1:2" x14ac:dyDescent="0.3">
      <c r="A30">
        <v>20447888701</v>
      </c>
      <c r="B30" t="s">
        <v>136</v>
      </c>
    </row>
    <row r="31" spans="1:2" x14ac:dyDescent="0.3">
      <c r="A31">
        <v>20450189201</v>
      </c>
      <c r="B31" t="s">
        <v>138</v>
      </c>
    </row>
    <row r="32" spans="1:2" x14ac:dyDescent="0.3">
      <c r="A32">
        <v>20450207544</v>
      </c>
      <c r="B32" t="s">
        <v>141</v>
      </c>
    </row>
    <row r="33" spans="1:2" x14ac:dyDescent="0.3">
      <c r="A33">
        <v>20450242021</v>
      </c>
      <c r="B33" t="s">
        <v>143</v>
      </c>
    </row>
    <row r="34" spans="1:2" x14ac:dyDescent="0.3">
      <c r="A34">
        <v>20450319423</v>
      </c>
      <c r="B34" t="s">
        <v>145</v>
      </c>
    </row>
    <row r="35" spans="1:2" x14ac:dyDescent="0.3">
      <c r="A35">
        <v>20452774705</v>
      </c>
      <c r="B35" t="s">
        <v>147</v>
      </c>
    </row>
    <row r="36" spans="1:2" x14ac:dyDescent="0.3">
      <c r="A36">
        <v>20479595276</v>
      </c>
      <c r="B36" t="s">
        <v>149</v>
      </c>
    </row>
    <row r="37" spans="1:2" x14ac:dyDescent="0.3">
      <c r="A37">
        <v>20479622699</v>
      </c>
      <c r="B37" t="s">
        <v>152</v>
      </c>
    </row>
    <row r="38" spans="1:2" x14ac:dyDescent="0.3">
      <c r="A38">
        <v>20479856258</v>
      </c>
      <c r="B38" t="s">
        <v>154</v>
      </c>
    </row>
    <row r="39" spans="1:2" x14ac:dyDescent="0.3">
      <c r="A39">
        <v>20479917141</v>
      </c>
      <c r="B39" t="s">
        <v>156</v>
      </c>
    </row>
    <row r="40" spans="1:2" x14ac:dyDescent="0.3">
      <c r="A40">
        <v>20480458550</v>
      </c>
      <c r="B40" t="s">
        <v>158</v>
      </c>
    </row>
    <row r="41" spans="1:2" x14ac:dyDescent="0.3">
      <c r="A41">
        <v>20480762895</v>
      </c>
      <c r="B41" t="s">
        <v>160</v>
      </c>
    </row>
    <row r="42" spans="1:2" x14ac:dyDescent="0.3">
      <c r="A42">
        <v>20484163902</v>
      </c>
      <c r="B42" t="s">
        <v>162</v>
      </c>
    </row>
    <row r="43" spans="1:2" x14ac:dyDescent="0.3">
      <c r="A43">
        <v>20485945815</v>
      </c>
      <c r="B43" t="s">
        <v>164</v>
      </c>
    </row>
    <row r="44" spans="1:2" x14ac:dyDescent="0.3">
      <c r="A44">
        <v>20486094657</v>
      </c>
      <c r="B44" t="s">
        <v>166</v>
      </c>
    </row>
    <row r="45" spans="1:2" x14ac:dyDescent="0.3">
      <c r="A45">
        <v>20486255090</v>
      </c>
      <c r="B45" t="s">
        <v>168</v>
      </c>
    </row>
    <row r="46" spans="1:2" x14ac:dyDescent="0.3">
      <c r="A46">
        <v>20486668335</v>
      </c>
      <c r="B46" t="s">
        <v>170</v>
      </c>
    </row>
    <row r="47" spans="1:2" x14ac:dyDescent="0.3">
      <c r="A47">
        <v>20486876019</v>
      </c>
      <c r="B47" t="s">
        <v>172</v>
      </c>
    </row>
    <row r="48" spans="1:2" x14ac:dyDescent="0.3">
      <c r="A48">
        <v>20486973219</v>
      </c>
      <c r="B48" t="s">
        <v>174</v>
      </c>
    </row>
    <row r="49" spans="1:2" x14ac:dyDescent="0.3">
      <c r="A49">
        <v>20487242994</v>
      </c>
      <c r="B49" t="s">
        <v>176</v>
      </c>
    </row>
    <row r="50" spans="1:2" x14ac:dyDescent="0.3">
      <c r="A50">
        <v>20487351343</v>
      </c>
      <c r="B50" t="s">
        <v>178</v>
      </c>
    </row>
    <row r="51" spans="1:2" x14ac:dyDescent="0.3">
      <c r="A51">
        <v>20487661539</v>
      </c>
      <c r="B51" t="s">
        <v>181</v>
      </c>
    </row>
    <row r="52" spans="1:2" x14ac:dyDescent="0.3">
      <c r="A52">
        <v>20490726196</v>
      </c>
      <c r="B52" t="s">
        <v>183</v>
      </c>
    </row>
    <row r="53" spans="1:2" x14ac:dyDescent="0.3">
      <c r="A53">
        <v>20493934822</v>
      </c>
      <c r="B53" t="s">
        <v>185</v>
      </c>
    </row>
    <row r="54" spans="1:2" x14ac:dyDescent="0.3">
      <c r="A54">
        <v>20493959574</v>
      </c>
      <c r="B54" t="s">
        <v>187</v>
      </c>
    </row>
    <row r="55" spans="1:2" x14ac:dyDescent="0.3">
      <c r="A55">
        <v>20494126819</v>
      </c>
      <c r="B55" t="s">
        <v>189</v>
      </c>
    </row>
    <row r="56" spans="1:2" x14ac:dyDescent="0.3">
      <c r="A56">
        <v>20494145791</v>
      </c>
      <c r="B56" t="s">
        <v>191</v>
      </c>
    </row>
    <row r="57" spans="1:2" x14ac:dyDescent="0.3">
      <c r="A57">
        <v>20494699690</v>
      </c>
      <c r="B57" t="s">
        <v>194</v>
      </c>
    </row>
    <row r="58" spans="1:2" x14ac:dyDescent="0.3">
      <c r="A58">
        <v>20525969551</v>
      </c>
      <c r="B58" t="s">
        <v>196</v>
      </c>
    </row>
    <row r="59" spans="1:2" x14ac:dyDescent="0.3">
      <c r="A59">
        <v>20526514689</v>
      </c>
      <c r="B59" t="s">
        <v>198</v>
      </c>
    </row>
    <row r="60" spans="1:2" x14ac:dyDescent="0.3">
      <c r="A60">
        <v>20527565376</v>
      </c>
      <c r="B60" t="s">
        <v>200</v>
      </c>
    </row>
    <row r="61" spans="1:2" x14ac:dyDescent="0.3">
      <c r="A61">
        <v>20528996214</v>
      </c>
      <c r="B61" t="s">
        <v>203</v>
      </c>
    </row>
    <row r="62" spans="1:2" x14ac:dyDescent="0.3">
      <c r="A62">
        <v>20529801433</v>
      </c>
      <c r="B62" t="s">
        <v>205</v>
      </c>
    </row>
    <row r="63" spans="1:2" x14ac:dyDescent="0.3">
      <c r="A63">
        <v>20529822350</v>
      </c>
      <c r="B63" t="s">
        <v>207</v>
      </c>
    </row>
    <row r="64" spans="1:2" x14ac:dyDescent="0.3">
      <c r="A64">
        <v>20531405723</v>
      </c>
      <c r="B64" t="s">
        <v>209</v>
      </c>
    </row>
    <row r="65" spans="1:2" x14ac:dyDescent="0.3">
      <c r="A65">
        <v>20531441797</v>
      </c>
      <c r="B65" t="s">
        <v>211</v>
      </c>
    </row>
    <row r="66" spans="1:2" x14ac:dyDescent="0.3">
      <c r="A66">
        <v>20534524774</v>
      </c>
      <c r="B66" t="s">
        <v>213</v>
      </c>
    </row>
    <row r="67" spans="1:2" x14ac:dyDescent="0.3">
      <c r="A67">
        <v>20539205600</v>
      </c>
      <c r="B67" t="s">
        <v>215</v>
      </c>
    </row>
    <row r="68" spans="1:2" x14ac:dyDescent="0.3">
      <c r="A68">
        <v>20539241665</v>
      </c>
      <c r="B68" t="s">
        <v>217</v>
      </c>
    </row>
    <row r="69" spans="1:2" x14ac:dyDescent="0.3">
      <c r="A69">
        <v>20539280644</v>
      </c>
      <c r="B69" t="s">
        <v>219</v>
      </c>
    </row>
    <row r="70" spans="1:2" x14ac:dyDescent="0.3">
      <c r="A70">
        <v>20542209951</v>
      </c>
      <c r="B70" t="s">
        <v>221</v>
      </c>
    </row>
    <row r="71" spans="1:2" x14ac:dyDescent="0.3">
      <c r="A71">
        <v>20542251990</v>
      </c>
      <c r="B71" t="s">
        <v>224</v>
      </c>
    </row>
    <row r="72" spans="1:2" x14ac:dyDescent="0.3">
      <c r="A72">
        <v>20542257416</v>
      </c>
      <c r="B72" t="s">
        <v>226</v>
      </c>
    </row>
    <row r="73" spans="1:2" x14ac:dyDescent="0.3">
      <c r="A73">
        <v>20542264544</v>
      </c>
      <c r="B73" t="s">
        <v>228</v>
      </c>
    </row>
    <row r="74" spans="1:2" x14ac:dyDescent="0.3">
      <c r="A74">
        <v>20542289024</v>
      </c>
      <c r="B74" t="s">
        <v>230</v>
      </c>
    </row>
    <row r="75" spans="1:2" x14ac:dyDescent="0.3">
      <c r="A75">
        <v>20542299330</v>
      </c>
      <c r="B75" t="s">
        <v>232</v>
      </c>
    </row>
    <row r="76" spans="1:2" x14ac:dyDescent="0.3">
      <c r="A76">
        <v>20542311569</v>
      </c>
      <c r="B76" t="s">
        <v>234</v>
      </c>
    </row>
    <row r="77" spans="1:2" x14ac:dyDescent="0.3">
      <c r="A77">
        <v>20542380455</v>
      </c>
      <c r="B77" t="s">
        <v>236</v>
      </c>
    </row>
    <row r="78" spans="1:2" x14ac:dyDescent="0.3">
      <c r="A78">
        <v>20542482886</v>
      </c>
      <c r="B78" t="s">
        <v>238</v>
      </c>
    </row>
    <row r="79" spans="1:2" x14ac:dyDescent="0.3">
      <c r="A79">
        <v>20542825163</v>
      </c>
      <c r="B79" t="s">
        <v>240</v>
      </c>
    </row>
    <row r="80" spans="1:2" x14ac:dyDescent="0.3">
      <c r="A80">
        <v>20561140091</v>
      </c>
      <c r="B80" t="s">
        <v>243</v>
      </c>
    </row>
    <row r="81" spans="1:2" x14ac:dyDescent="0.3">
      <c r="A81">
        <v>20564032485</v>
      </c>
      <c r="B81" t="s">
        <v>246</v>
      </c>
    </row>
    <row r="82" spans="1:2" x14ac:dyDescent="0.3">
      <c r="A82">
        <v>20568071281</v>
      </c>
      <c r="B82" t="s">
        <v>248</v>
      </c>
    </row>
    <row r="83" spans="1:2" x14ac:dyDescent="0.3">
      <c r="A83">
        <v>20568080948</v>
      </c>
      <c r="B83" t="s">
        <v>251</v>
      </c>
    </row>
    <row r="84" spans="1:2" x14ac:dyDescent="0.3">
      <c r="A84">
        <v>20568190450</v>
      </c>
      <c r="B84" t="s">
        <v>253</v>
      </c>
    </row>
    <row r="85" spans="1:2" x14ac:dyDescent="0.3">
      <c r="A85">
        <v>20568194951</v>
      </c>
      <c r="B85" t="s">
        <v>255</v>
      </c>
    </row>
    <row r="86" spans="1:2" x14ac:dyDescent="0.3">
      <c r="A86">
        <v>20568428375</v>
      </c>
      <c r="B86" t="s">
        <v>257</v>
      </c>
    </row>
    <row r="87" spans="1:2" x14ac:dyDescent="0.3">
      <c r="A87">
        <v>20568549083</v>
      </c>
      <c r="B87" t="s">
        <v>259</v>
      </c>
    </row>
    <row r="88" spans="1:2" x14ac:dyDescent="0.3">
      <c r="A88">
        <v>20568560133</v>
      </c>
      <c r="B88" t="s">
        <v>261</v>
      </c>
    </row>
    <row r="89" spans="1:2" x14ac:dyDescent="0.3">
      <c r="A89">
        <v>20568567731</v>
      </c>
      <c r="B89" t="s">
        <v>263</v>
      </c>
    </row>
    <row r="90" spans="1:2" x14ac:dyDescent="0.3">
      <c r="A90">
        <v>20568609833</v>
      </c>
      <c r="B90" t="s">
        <v>265</v>
      </c>
    </row>
    <row r="91" spans="1:2" x14ac:dyDescent="0.3">
      <c r="A91">
        <v>20568962282</v>
      </c>
      <c r="B91" t="s">
        <v>267</v>
      </c>
    </row>
    <row r="92" spans="1:2" x14ac:dyDescent="0.3">
      <c r="A92">
        <v>20570706927</v>
      </c>
      <c r="B92" t="s">
        <v>269</v>
      </c>
    </row>
    <row r="93" spans="1:2" x14ac:dyDescent="0.3">
      <c r="A93">
        <v>20572111131</v>
      </c>
      <c r="B93" t="s">
        <v>271</v>
      </c>
    </row>
    <row r="94" spans="1:2" x14ac:dyDescent="0.3">
      <c r="A94">
        <v>20572190251</v>
      </c>
      <c r="B94" t="s">
        <v>273</v>
      </c>
    </row>
    <row r="95" spans="1:2" x14ac:dyDescent="0.3">
      <c r="A95">
        <v>20573049102</v>
      </c>
      <c r="B95" t="s">
        <v>275</v>
      </c>
    </row>
    <row r="96" spans="1:2" x14ac:dyDescent="0.3">
      <c r="A96">
        <v>20573057385</v>
      </c>
      <c r="B96" t="s">
        <v>277</v>
      </c>
    </row>
    <row r="97" spans="1:2" x14ac:dyDescent="0.3">
      <c r="A97">
        <v>20573138202</v>
      </c>
      <c r="B97" t="s">
        <v>279</v>
      </c>
    </row>
    <row r="98" spans="1:2" x14ac:dyDescent="0.3">
      <c r="A98">
        <v>20573260008</v>
      </c>
      <c r="B98" t="s">
        <v>281</v>
      </c>
    </row>
    <row r="99" spans="1:2" x14ac:dyDescent="0.3">
      <c r="A99">
        <v>20573344791</v>
      </c>
      <c r="B99" t="s">
        <v>283</v>
      </c>
    </row>
    <row r="100" spans="1:2" x14ac:dyDescent="0.3">
      <c r="A100">
        <v>20574797013</v>
      </c>
      <c r="B100" t="s">
        <v>286</v>
      </c>
    </row>
    <row r="101" spans="1:2" x14ac:dyDescent="0.3">
      <c r="A101">
        <v>20600001109</v>
      </c>
      <c r="B101" t="s">
        <v>288</v>
      </c>
    </row>
    <row r="102" spans="1:2" x14ac:dyDescent="0.3">
      <c r="A102">
        <v>20600010086</v>
      </c>
      <c r="B102" t="s">
        <v>290</v>
      </c>
    </row>
    <row r="103" spans="1:2" x14ac:dyDescent="0.3">
      <c r="A103">
        <v>20600029887</v>
      </c>
      <c r="B103" t="s">
        <v>292</v>
      </c>
    </row>
    <row r="104" spans="1:2" x14ac:dyDescent="0.3">
      <c r="A104">
        <v>20600146689</v>
      </c>
      <c r="B104" t="s">
        <v>294</v>
      </c>
    </row>
    <row r="105" spans="1:2" x14ac:dyDescent="0.3">
      <c r="A105">
        <v>20600200756</v>
      </c>
      <c r="B105" t="s">
        <v>296</v>
      </c>
    </row>
    <row r="106" spans="1:2" x14ac:dyDescent="0.3">
      <c r="A106">
        <v>20600263286</v>
      </c>
      <c r="B106" t="s">
        <v>298</v>
      </c>
    </row>
    <row r="107" spans="1:2" x14ac:dyDescent="0.3">
      <c r="A107">
        <v>20600382064</v>
      </c>
      <c r="B107" t="s">
        <v>300</v>
      </c>
    </row>
    <row r="108" spans="1:2" x14ac:dyDescent="0.3">
      <c r="A108">
        <v>20600390911</v>
      </c>
      <c r="B108" t="s">
        <v>302</v>
      </c>
    </row>
    <row r="109" spans="1:2" x14ac:dyDescent="0.3">
      <c r="A109">
        <v>20600529693</v>
      </c>
      <c r="B109" t="s">
        <v>304</v>
      </c>
    </row>
    <row r="110" spans="1:2" x14ac:dyDescent="0.3">
      <c r="A110">
        <v>20600668430</v>
      </c>
      <c r="B110" t="s">
        <v>306</v>
      </c>
    </row>
    <row r="111" spans="1:2" x14ac:dyDescent="0.3">
      <c r="A111">
        <v>20600682386</v>
      </c>
      <c r="B111" t="s">
        <v>308</v>
      </c>
    </row>
    <row r="112" spans="1:2" x14ac:dyDescent="0.3">
      <c r="A112">
        <v>20600720733</v>
      </c>
      <c r="B112" t="s">
        <v>310</v>
      </c>
    </row>
    <row r="113" spans="1:2" x14ac:dyDescent="0.3">
      <c r="A113">
        <v>20600785541</v>
      </c>
      <c r="B113" t="s">
        <v>312</v>
      </c>
    </row>
    <row r="114" spans="1:2" x14ac:dyDescent="0.3">
      <c r="A114">
        <v>20600796683</v>
      </c>
      <c r="B114" t="s">
        <v>314</v>
      </c>
    </row>
    <row r="115" spans="1:2" x14ac:dyDescent="0.3">
      <c r="A115">
        <v>20600796721</v>
      </c>
      <c r="B115" t="s">
        <v>316</v>
      </c>
    </row>
    <row r="116" spans="1:2" x14ac:dyDescent="0.3">
      <c r="A116">
        <v>20600874919</v>
      </c>
      <c r="B116" t="s">
        <v>318</v>
      </c>
    </row>
    <row r="117" spans="1:2" x14ac:dyDescent="0.3">
      <c r="A117">
        <v>20600964080</v>
      </c>
      <c r="B117" t="s">
        <v>320</v>
      </c>
    </row>
    <row r="118" spans="1:2" x14ac:dyDescent="0.3">
      <c r="A118">
        <v>20601067146</v>
      </c>
      <c r="B118" t="s">
        <v>322</v>
      </c>
    </row>
    <row r="119" spans="1:2" x14ac:dyDescent="0.3">
      <c r="A119">
        <v>20601119316</v>
      </c>
      <c r="B119" t="s">
        <v>324</v>
      </c>
    </row>
    <row r="120" spans="1:2" x14ac:dyDescent="0.3">
      <c r="A120">
        <v>20601186986</v>
      </c>
      <c r="B120" t="s">
        <v>326</v>
      </c>
    </row>
    <row r="121" spans="1:2" x14ac:dyDescent="0.3">
      <c r="A121">
        <v>20601329159</v>
      </c>
      <c r="B121" t="s">
        <v>328</v>
      </c>
    </row>
    <row r="122" spans="1:2" x14ac:dyDescent="0.3">
      <c r="A122">
        <v>20601339090</v>
      </c>
      <c r="B122" t="s">
        <v>330</v>
      </c>
    </row>
    <row r="123" spans="1:2" x14ac:dyDescent="0.3">
      <c r="A123">
        <v>20601537771</v>
      </c>
      <c r="B123" t="s">
        <v>332</v>
      </c>
    </row>
    <row r="124" spans="1:2" x14ac:dyDescent="0.3">
      <c r="A124">
        <v>20601558204</v>
      </c>
      <c r="B124" t="s">
        <v>334</v>
      </c>
    </row>
    <row r="125" spans="1:2" x14ac:dyDescent="0.3">
      <c r="A125">
        <v>20601667526</v>
      </c>
      <c r="B125" t="s">
        <v>337</v>
      </c>
    </row>
    <row r="126" spans="1:2" x14ac:dyDescent="0.3">
      <c r="A126">
        <v>20601919657</v>
      </c>
      <c r="B126" t="s">
        <v>339</v>
      </c>
    </row>
    <row r="127" spans="1:2" x14ac:dyDescent="0.3">
      <c r="A127">
        <v>20601939402</v>
      </c>
      <c r="B127" t="s">
        <v>341</v>
      </c>
    </row>
    <row r="128" spans="1:2" x14ac:dyDescent="0.3">
      <c r="A128">
        <v>20601958911</v>
      </c>
      <c r="B128" t="s">
        <v>343</v>
      </c>
    </row>
    <row r="129" spans="1:2" x14ac:dyDescent="0.3">
      <c r="A129">
        <v>20602047025</v>
      </c>
      <c r="B129" t="s">
        <v>345</v>
      </c>
    </row>
    <row r="130" spans="1:2" x14ac:dyDescent="0.3">
      <c r="A130">
        <v>20602054480</v>
      </c>
      <c r="B130" t="s">
        <v>347</v>
      </c>
    </row>
    <row r="131" spans="1:2" x14ac:dyDescent="0.3">
      <c r="A131">
        <v>20602161081</v>
      </c>
      <c r="B131" t="s">
        <v>350</v>
      </c>
    </row>
    <row r="132" spans="1:2" x14ac:dyDescent="0.3">
      <c r="A132">
        <v>20602194265</v>
      </c>
      <c r="B132" t="s">
        <v>352</v>
      </c>
    </row>
    <row r="133" spans="1:2" x14ac:dyDescent="0.3">
      <c r="A133">
        <v>20602242464</v>
      </c>
      <c r="B133" t="s">
        <v>354</v>
      </c>
    </row>
    <row r="134" spans="1:2" x14ac:dyDescent="0.3">
      <c r="A134">
        <v>20602488927</v>
      </c>
      <c r="B134" t="s">
        <v>356</v>
      </c>
    </row>
    <row r="135" spans="1:2" x14ac:dyDescent="0.3">
      <c r="A135">
        <v>20602650643</v>
      </c>
      <c r="B135" t="s">
        <v>359</v>
      </c>
    </row>
    <row r="136" spans="1:2" x14ac:dyDescent="0.3">
      <c r="A136">
        <v>20602712657</v>
      </c>
      <c r="B136" t="s">
        <v>362</v>
      </c>
    </row>
    <row r="137" spans="1:2" x14ac:dyDescent="0.3">
      <c r="A137">
        <v>20602881971</v>
      </c>
      <c r="B137" t="s">
        <v>364</v>
      </c>
    </row>
    <row r="138" spans="1:2" x14ac:dyDescent="0.3">
      <c r="A138">
        <v>20603320621</v>
      </c>
      <c r="B138" t="s">
        <v>366</v>
      </c>
    </row>
    <row r="139" spans="1:2" x14ac:dyDescent="0.3">
      <c r="A139">
        <v>20603526423</v>
      </c>
      <c r="B139" t="s">
        <v>368</v>
      </c>
    </row>
    <row r="140" spans="1:2" x14ac:dyDescent="0.3">
      <c r="A140">
        <v>20603557825</v>
      </c>
      <c r="B140" t="s">
        <v>370</v>
      </c>
    </row>
    <row r="141" spans="1:2" x14ac:dyDescent="0.3">
      <c r="A141">
        <v>20603675551</v>
      </c>
      <c r="B141" t="s">
        <v>372</v>
      </c>
    </row>
    <row r="142" spans="1:2" x14ac:dyDescent="0.3">
      <c r="A142">
        <v>20603676476</v>
      </c>
      <c r="B142" t="s">
        <v>374</v>
      </c>
    </row>
    <row r="143" spans="1:2" x14ac:dyDescent="0.3">
      <c r="A143">
        <v>20603820691</v>
      </c>
      <c r="B143" t="s">
        <v>376</v>
      </c>
    </row>
    <row r="144" spans="1:2" x14ac:dyDescent="0.3">
      <c r="A144">
        <v>20603829515</v>
      </c>
      <c r="B144" t="s">
        <v>378</v>
      </c>
    </row>
    <row r="145" spans="1:2" x14ac:dyDescent="0.3">
      <c r="A145">
        <v>20603842511</v>
      </c>
      <c r="B145" t="s">
        <v>380</v>
      </c>
    </row>
    <row r="146" spans="1:2" x14ac:dyDescent="0.3">
      <c r="A146">
        <v>20603862369</v>
      </c>
      <c r="B146" t="s">
        <v>382</v>
      </c>
    </row>
    <row r="147" spans="1:2" x14ac:dyDescent="0.3">
      <c r="A147">
        <v>20604151954</v>
      </c>
      <c r="B147" t="s">
        <v>384</v>
      </c>
    </row>
    <row r="148" spans="1:2" x14ac:dyDescent="0.3">
      <c r="A148">
        <v>20604215600</v>
      </c>
      <c r="B148" t="s">
        <v>386</v>
      </c>
    </row>
    <row r="149" spans="1:2" x14ac:dyDescent="0.3">
      <c r="A149">
        <v>20604309728</v>
      </c>
      <c r="B149" t="s">
        <v>388</v>
      </c>
    </row>
    <row r="150" spans="1:2" x14ac:dyDescent="0.3">
      <c r="A150">
        <v>20604401187</v>
      </c>
      <c r="B150" t="s">
        <v>390</v>
      </c>
    </row>
    <row r="151" spans="1:2" x14ac:dyDescent="0.3">
      <c r="A151">
        <v>20604705411</v>
      </c>
      <c r="B151" t="s">
        <v>392</v>
      </c>
    </row>
    <row r="152" spans="1:2" x14ac:dyDescent="0.3">
      <c r="A152">
        <v>20604988200</v>
      </c>
      <c r="B152" t="s">
        <v>394</v>
      </c>
    </row>
    <row r="153" spans="1:2" x14ac:dyDescent="0.3">
      <c r="A153">
        <v>20605228489</v>
      </c>
      <c r="B153" t="s">
        <v>396</v>
      </c>
    </row>
    <row r="154" spans="1:2" x14ac:dyDescent="0.3">
      <c r="A154">
        <v>20605500430</v>
      </c>
      <c r="B154" t="s">
        <v>398</v>
      </c>
    </row>
    <row r="155" spans="1:2" x14ac:dyDescent="0.3">
      <c r="A155">
        <v>20605688170</v>
      </c>
      <c r="B155" t="s">
        <v>400</v>
      </c>
    </row>
    <row r="156" spans="1:2" x14ac:dyDescent="0.3">
      <c r="A156">
        <v>20606041382</v>
      </c>
      <c r="B156" t="s">
        <v>402</v>
      </c>
    </row>
    <row r="157" spans="1:2" x14ac:dyDescent="0.3">
      <c r="A157">
        <v>20606451122</v>
      </c>
      <c r="B157" t="s">
        <v>404</v>
      </c>
    </row>
    <row r="158" spans="1:2" x14ac:dyDescent="0.3">
      <c r="A158">
        <v>20606485281</v>
      </c>
      <c r="B158" t="s">
        <v>407</v>
      </c>
    </row>
    <row r="159" spans="1:2" x14ac:dyDescent="0.3">
      <c r="A159">
        <v>20606556331</v>
      </c>
      <c r="B159" t="s">
        <v>409</v>
      </c>
    </row>
    <row r="160" spans="1:2" x14ac:dyDescent="0.3">
      <c r="A160">
        <v>20606717475</v>
      </c>
      <c r="B160" t="s">
        <v>411</v>
      </c>
    </row>
    <row r="161" spans="1:2" x14ac:dyDescent="0.3">
      <c r="A161">
        <v>20607265624</v>
      </c>
      <c r="B161" t="s">
        <v>414</v>
      </c>
    </row>
    <row r="162" spans="1:2" x14ac:dyDescent="0.3">
      <c r="A162">
        <v>20607382604</v>
      </c>
      <c r="B162" t="s">
        <v>416</v>
      </c>
    </row>
    <row r="163" spans="1:2" x14ac:dyDescent="0.3">
      <c r="A163">
        <v>20607536016</v>
      </c>
      <c r="B163" t="s">
        <v>418</v>
      </c>
    </row>
    <row r="164" spans="1:2" x14ac:dyDescent="0.3">
      <c r="A164">
        <v>20607558559</v>
      </c>
      <c r="B164" t="s">
        <v>420</v>
      </c>
    </row>
    <row r="165" spans="1:2" x14ac:dyDescent="0.3">
      <c r="A165">
        <v>20607775185</v>
      </c>
      <c r="B165" t="s">
        <v>422</v>
      </c>
    </row>
    <row r="166" spans="1:2" x14ac:dyDescent="0.3">
      <c r="A166">
        <v>20608235648</v>
      </c>
      <c r="B166" t="s">
        <v>424</v>
      </c>
    </row>
    <row r="167" spans="1:2" x14ac:dyDescent="0.3">
      <c r="A167">
        <v>20608294512</v>
      </c>
      <c r="B167" t="s">
        <v>426</v>
      </c>
    </row>
    <row r="168" spans="1:2" x14ac:dyDescent="0.3">
      <c r="A168">
        <v>20608478311</v>
      </c>
      <c r="B168" t="s">
        <v>428</v>
      </c>
    </row>
    <row r="169" spans="1:2" x14ac:dyDescent="0.3">
      <c r="A169">
        <v>20609025353</v>
      </c>
      <c r="B169" t="s">
        <v>430</v>
      </c>
    </row>
    <row r="170" spans="1:2" x14ac:dyDescent="0.3">
      <c r="A170">
        <v>20609555395</v>
      </c>
      <c r="B170" t="s">
        <v>432</v>
      </c>
    </row>
    <row r="171" spans="1:2" x14ac:dyDescent="0.3">
      <c r="A171">
        <v>20609846314</v>
      </c>
      <c r="B171" t="s">
        <v>434</v>
      </c>
    </row>
    <row r="172" spans="1:2" x14ac:dyDescent="0.3">
      <c r="A172">
        <v>20610739491</v>
      </c>
      <c r="B172" t="s">
        <v>436</v>
      </c>
    </row>
    <row r="173" spans="1:2" x14ac:dyDescent="0.3">
      <c r="A173">
        <v>20610772553</v>
      </c>
      <c r="B173" t="s">
        <v>438</v>
      </c>
    </row>
    <row r="174" spans="1:2" x14ac:dyDescent="0.3">
      <c r="A174">
        <v>20611316616</v>
      </c>
    </row>
    <row r="175" spans="1:2" x14ac:dyDescent="0.3">
      <c r="A175">
        <v>20611935243</v>
      </c>
      <c r="B175" t="s">
        <v>442</v>
      </c>
    </row>
    <row r="176" spans="1:2" x14ac:dyDescent="0.3">
      <c r="A176">
        <v>20612331821</v>
      </c>
      <c r="B176" t="s">
        <v>444</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1518</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899</v>
      </c>
      <c r="C2" s="63" t="s">
        <v>534</v>
      </c>
      <c r="D2" s="63" t="s">
        <v>12</v>
      </c>
      <c r="E2" s="63" t="s">
        <v>14</v>
      </c>
      <c r="F2" s="63" t="s">
        <v>17</v>
      </c>
      <c r="G2" s="63" t="s">
        <v>18</v>
      </c>
      <c r="H2" s="63" t="s">
        <v>604</v>
      </c>
      <c r="I2" s="63" t="s">
        <v>613</v>
      </c>
      <c r="J2" s="63" t="s">
        <v>617</v>
      </c>
      <c r="K2" s="63" t="s">
        <v>619</v>
      </c>
      <c r="L2" s="63" t="s">
        <v>623</v>
      </c>
      <c r="M2" s="63" t="s">
        <v>629</v>
      </c>
      <c r="N2" s="63" t="s">
        <v>631</v>
      </c>
      <c r="O2" s="63" t="s">
        <v>634</v>
      </c>
      <c r="P2" s="63" t="s">
        <v>637</v>
      </c>
      <c r="Q2" s="63" t="s">
        <v>640</v>
      </c>
      <c r="R2" s="63" t="s">
        <v>644</v>
      </c>
      <c r="S2" s="63" t="s">
        <v>647</v>
      </c>
      <c r="T2" s="63" t="s">
        <v>652</v>
      </c>
      <c r="U2" s="63" t="s">
        <v>656</v>
      </c>
      <c r="V2" s="63" t="s">
        <v>659</v>
      </c>
      <c r="W2" s="63" t="s">
        <v>661</v>
      </c>
      <c r="X2" s="63" t="s">
        <v>664</v>
      </c>
      <c r="Y2" s="63" t="s">
        <v>667</v>
      </c>
      <c r="Z2" s="63" t="s">
        <v>670</v>
      </c>
      <c r="AA2" s="63" t="s">
        <v>672</v>
      </c>
      <c r="AB2" s="63" t="s">
        <v>675</v>
      </c>
      <c r="AC2" s="63" t="s">
        <v>678</v>
      </c>
      <c r="AD2" s="63" t="s">
        <v>681</v>
      </c>
      <c r="AE2" s="63" t="s">
        <v>684</v>
      </c>
      <c r="AF2" s="63" t="s">
        <v>687</v>
      </c>
      <c r="AG2" s="63" t="s">
        <v>692</v>
      </c>
      <c r="AH2" s="63" t="s">
        <v>697</v>
      </c>
      <c r="AI2" s="63" t="s">
        <v>699</v>
      </c>
      <c r="AJ2" s="63" t="s">
        <v>702</v>
      </c>
      <c r="AK2" s="63" t="s">
        <v>707</v>
      </c>
      <c r="AL2" s="63" t="s">
        <v>711</v>
      </c>
      <c r="AM2" s="63" t="s">
        <v>713</v>
      </c>
      <c r="AN2" s="63" t="s">
        <v>716</v>
      </c>
      <c r="AO2" s="63" t="s">
        <v>719</v>
      </c>
      <c r="AP2" s="63" t="s">
        <v>722</v>
      </c>
      <c r="AQ2" s="63" t="s">
        <v>725</v>
      </c>
      <c r="AR2" s="63" t="s">
        <v>728</v>
      </c>
      <c r="AS2" s="63" t="s">
        <v>731</v>
      </c>
      <c r="AT2" s="63" t="s">
        <v>735</v>
      </c>
      <c r="AU2" s="63" t="s">
        <v>740</v>
      </c>
      <c r="AV2" s="63" t="s">
        <v>743</v>
      </c>
      <c r="AW2" s="63" t="s">
        <v>746</v>
      </c>
      <c r="AX2" s="63" t="s">
        <v>749</v>
      </c>
      <c r="AY2" s="63" t="s">
        <v>752</v>
      </c>
      <c r="AZ2" s="63" t="s">
        <v>755</v>
      </c>
      <c r="BA2" s="63" t="s">
        <v>758</v>
      </c>
      <c r="BB2" s="63" t="s">
        <v>761</v>
      </c>
      <c r="BC2" s="63" t="s">
        <v>765</v>
      </c>
      <c r="BD2" s="63" t="s">
        <v>770</v>
      </c>
      <c r="BE2" s="63" t="s">
        <v>772</v>
      </c>
      <c r="BF2" s="63" t="s">
        <v>775</v>
      </c>
      <c r="BG2" s="63" t="s">
        <v>778</v>
      </c>
      <c r="BH2" s="63" t="s">
        <v>781</v>
      </c>
      <c r="BI2" s="63" t="s">
        <v>785</v>
      </c>
      <c r="BJ2" s="63" t="s">
        <v>790</v>
      </c>
      <c r="BK2" s="63" t="s">
        <v>794</v>
      </c>
      <c r="BL2" s="63" t="s">
        <v>796</v>
      </c>
      <c r="BM2" s="63" t="s">
        <v>799</v>
      </c>
      <c r="BN2" s="63" t="s">
        <v>803</v>
      </c>
      <c r="BO2" s="63" t="s">
        <v>808</v>
      </c>
      <c r="BP2" s="63" t="s">
        <v>811</v>
      </c>
      <c r="BQ2" s="63" t="s">
        <v>815</v>
      </c>
      <c r="BR2" s="63" t="s">
        <v>820</v>
      </c>
      <c r="BS2" s="63" t="s">
        <v>822</v>
      </c>
      <c r="BT2" s="63" t="s">
        <v>826</v>
      </c>
      <c r="BU2" s="63" t="s">
        <v>833</v>
      </c>
      <c r="BV2" s="63" t="s">
        <v>837</v>
      </c>
      <c r="BW2" s="63" t="s">
        <v>842</v>
      </c>
      <c r="BX2" s="63" t="s">
        <v>847</v>
      </c>
      <c r="BY2" s="63" t="s">
        <v>852</v>
      </c>
      <c r="BZ2" s="63" t="s">
        <v>858</v>
      </c>
      <c r="CA2" s="63" t="s">
        <v>863</v>
      </c>
      <c r="CB2" s="63" t="s">
        <v>1043</v>
      </c>
      <c r="CC2" s="63" t="s">
        <v>1044</v>
      </c>
      <c r="CD2" s="63" t="s">
        <v>1045</v>
      </c>
      <c r="CE2" s="63" t="s">
        <v>1046</v>
      </c>
      <c r="CF2" s="63" t="s">
        <v>1047</v>
      </c>
      <c r="CG2" s="63" t="s">
        <v>1048</v>
      </c>
      <c r="CH2" s="63" t="s">
        <v>1049</v>
      </c>
      <c r="CI2" s="63" t="s">
        <v>1050</v>
      </c>
      <c r="CJ2" s="63" t="s">
        <v>1051</v>
      </c>
      <c r="CK2" s="63" t="s">
        <v>1052</v>
      </c>
      <c r="CL2" s="63" t="s">
        <v>1053</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 t="shared" ref="CK3:CK34" si="9">IFERROR(AVERAGE(BS3),"")</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0">IFERROR(AVERAGE(H35,I35,J35,K35),"")</f>
        <v/>
      </c>
      <c r="CC35" t="str">
        <f t="shared" ref="CC35:CC66" si="11">IFERROR(AVERAGE(L35,M35,N35,O35,P35,R35),"")</f>
        <v/>
      </c>
      <c r="CD35" t="str">
        <f t="shared" ref="CD35:CD66" si="12">IFERROR(AVERAGE(T35,U35,V35,W35,X35,Y35,Z35,AA35,AB35,AC35,AE35),"")</f>
        <v/>
      </c>
      <c r="CE35" t="str">
        <f t="shared" ref="CE35:CE66" si="13">IFERROR(AVERAGE(AG35,AH35,AI35),"")</f>
        <v/>
      </c>
      <c r="CF35" t="str">
        <f t="shared" ref="CF35:CF66" si="14">IFERROR(AVERAGE(AK35,AL35,AM35,AN35,AP35,AQ35,AR35,AS35),"")</f>
        <v/>
      </c>
      <c r="CG35" t="str">
        <f t="shared" ref="CG35:CG66" si="15">IFERROR(AVERAGE(AT35,AU35,AV35,BB35,AW35,AX35,AY35,AZ35,BA35),"")</f>
        <v/>
      </c>
      <c r="CH35" t="str">
        <f t="shared" ref="CH35:CH66" si="16">IFERROR(AVERAGE(BC35,BH35,BI35,BD35,BF35),"")</f>
        <v/>
      </c>
      <c r="CI35" t="str">
        <f t="shared" ref="CI35:CI66" si="17">IFERROR(AVERAGE(BJ35,BK35,BL35,BM35),"")</f>
        <v/>
      </c>
      <c r="CJ35" t="str">
        <f t="shared" ref="CJ35:CJ66" si="18">IFERROR(AVERAGE(BN35,BO35,BP35),"")</f>
        <v/>
      </c>
      <c r="CK35" t="str">
        <f t="shared" ref="CK35:CK66" si="19">IFERROR(AVERAGE(BS35),"")</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0"/>
        <v/>
      </c>
      <c r="CC36" t="str">
        <f t="shared" si="11"/>
        <v/>
      </c>
      <c r="CD36" t="str">
        <f t="shared" si="12"/>
        <v/>
      </c>
      <c r="CE36" t="str">
        <f t="shared" si="13"/>
        <v/>
      </c>
      <c r="CF36" t="str">
        <f t="shared" si="14"/>
        <v/>
      </c>
      <c r="CG36" t="str">
        <f t="shared" si="15"/>
        <v/>
      </c>
      <c r="CH36" t="str">
        <f t="shared" si="16"/>
        <v/>
      </c>
      <c r="CI36" t="str">
        <f t="shared" si="17"/>
        <v/>
      </c>
      <c r="CJ36" t="str">
        <f t="shared" si="18"/>
        <v/>
      </c>
      <c r="CK36" t="str">
        <f t="shared" si="19"/>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0"/>
        <v/>
      </c>
      <c r="CC37" t="str">
        <f t="shared" si="11"/>
        <v/>
      </c>
      <c r="CD37" t="str">
        <f t="shared" si="12"/>
        <v/>
      </c>
      <c r="CE37" t="str">
        <f t="shared" si="13"/>
        <v/>
      </c>
      <c r="CF37" t="str">
        <f t="shared" si="14"/>
        <v/>
      </c>
      <c r="CG37" t="str">
        <f t="shared" si="15"/>
        <v/>
      </c>
      <c r="CH37" t="str">
        <f t="shared" si="16"/>
        <v/>
      </c>
      <c r="CI37" t="str">
        <f t="shared" si="17"/>
        <v/>
      </c>
      <c r="CJ37" t="str">
        <f t="shared" si="18"/>
        <v/>
      </c>
      <c r="CK37" t="str">
        <f t="shared" si="19"/>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0"/>
        <v/>
      </c>
      <c r="CC38" t="str">
        <f t="shared" si="11"/>
        <v/>
      </c>
      <c r="CD38" t="str">
        <f t="shared" si="12"/>
        <v/>
      </c>
      <c r="CE38" t="str">
        <f t="shared" si="13"/>
        <v/>
      </c>
      <c r="CF38" t="str">
        <f t="shared" si="14"/>
        <v/>
      </c>
      <c r="CG38" t="str">
        <f t="shared" si="15"/>
        <v/>
      </c>
      <c r="CH38" t="str">
        <f t="shared" si="16"/>
        <v/>
      </c>
      <c r="CI38" t="str">
        <f t="shared" si="17"/>
        <v/>
      </c>
      <c r="CJ38" t="str">
        <f t="shared" si="18"/>
        <v/>
      </c>
      <c r="CK38" t="str">
        <f t="shared" si="19"/>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0"/>
        <v/>
      </c>
      <c r="CC39" t="str">
        <f t="shared" si="11"/>
        <v/>
      </c>
      <c r="CD39" t="str">
        <f t="shared" si="12"/>
        <v/>
      </c>
      <c r="CE39" t="str">
        <f t="shared" si="13"/>
        <v/>
      </c>
      <c r="CF39" t="str">
        <f t="shared" si="14"/>
        <v/>
      </c>
      <c r="CG39" t="str">
        <f t="shared" si="15"/>
        <v/>
      </c>
      <c r="CH39" t="str">
        <f t="shared" si="16"/>
        <v/>
      </c>
      <c r="CI39" t="str">
        <f t="shared" si="17"/>
        <v/>
      </c>
      <c r="CJ39" t="str">
        <f t="shared" si="18"/>
        <v/>
      </c>
      <c r="CK39" t="str">
        <f t="shared" si="19"/>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0"/>
        <v/>
      </c>
      <c r="CC40" t="str">
        <f t="shared" si="11"/>
        <v/>
      </c>
      <c r="CD40" t="str">
        <f t="shared" si="12"/>
        <v/>
      </c>
      <c r="CE40" t="str">
        <f t="shared" si="13"/>
        <v/>
      </c>
      <c r="CF40" t="str">
        <f t="shared" si="14"/>
        <v/>
      </c>
      <c r="CG40" t="str">
        <f t="shared" si="15"/>
        <v/>
      </c>
      <c r="CH40" t="str">
        <f t="shared" si="16"/>
        <v/>
      </c>
      <c r="CI40" t="str">
        <f t="shared" si="17"/>
        <v/>
      </c>
      <c r="CJ40" t="str">
        <f t="shared" si="18"/>
        <v/>
      </c>
      <c r="CK40" t="str">
        <f t="shared" si="19"/>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0"/>
        <v/>
      </c>
      <c r="CC41" t="str">
        <f t="shared" si="11"/>
        <v/>
      </c>
      <c r="CD41" t="str">
        <f t="shared" si="12"/>
        <v/>
      </c>
      <c r="CE41" t="str">
        <f t="shared" si="13"/>
        <v/>
      </c>
      <c r="CF41" t="str">
        <f t="shared" si="14"/>
        <v/>
      </c>
      <c r="CG41" t="str">
        <f t="shared" si="15"/>
        <v/>
      </c>
      <c r="CH41" t="str">
        <f t="shared" si="16"/>
        <v/>
      </c>
      <c r="CI41" t="str">
        <f t="shared" si="17"/>
        <v/>
      </c>
      <c r="CJ41" t="str">
        <f t="shared" si="18"/>
        <v/>
      </c>
      <c r="CK41" t="str">
        <f t="shared" si="19"/>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0"/>
        <v/>
      </c>
      <c r="CC42" t="str">
        <f t="shared" si="11"/>
        <v/>
      </c>
      <c r="CD42" t="str">
        <f t="shared" si="12"/>
        <v/>
      </c>
      <c r="CE42" t="str">
        <f t="shared" si="13"/>
        <v/>
      </c>
      <c r="CF42" t="str">
        <f t="shared" si="14"/>
        <v/>
      </c>
      <c r="CG42" t="str">
        <f t="shared" si="15"/>
        <v/>
      </c>
      <c r="CH42" t="str">
        <f t="shared" si="16"/>
        <v/>
      </c>
      <c r="CI42" t="str">
        <f t="shared" si="17"/>
        <v/>
      </c>
      <c r="CJ42" t="str">
        <f t="shared" si="18"/>
        <v/>
      </c>
      <c r="CK42" t="str">
        <f t="shared" si="19"/>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0"/>
        <v/>
      </c>
      <c r="CC43" t="str">
        <f t="shared" si="11"/>
        <v/>
      </c>
      <c r="CD43" t="str">
        <f t="shared" si="12"/>
        <v/>
      </c>
      <c r="CE43" t="str">
        <f t="shared" si="13"/>
        <v/>
      </c>
      <c r="CF43" t="str">
        <f t="shared" si="14"/>
        <v/>
      </c>
      <c r="CG43" t="str">
        <f t="shared" si="15"/>
        <v/>
      </c>
      <c r="CH43" t="str">
        <f t="shared" si="16"/>
        <v/>
      </c>
      <c r="CI43" t="str">
        <f t="shared" si="17"/>
        <v/>
      </c>
      <c r="CJ43" t="str">
        <f t="shared" si="18"/>
        <v/>
      </c>
      <c r="CK43" t="str">
        <f t="shared" si="19"/>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0"/>
        <v/>
      </c>
      <c r="CC44" t="str">
        <f t="shared" si="11"/>
        <v/>
      </c>
      <c r="CD44" t="str">
        <f t="shared" si="12"/>
        <v/>
      </c>
      <c r="CE44" t="str">
        <f t="shared" si="13"/>
        <v/>
      </c>
      <c r="CF44" t="str">
        <f t="shared" si="14"/>
        <v/>
      </c>
      <c r="CG44" t="str">
        <f t="shared" si="15"/>
        <v/>
      </c>
      <c r="CH44" t="str">
        <f t="shared" si="16"/>
        <v/>
      </c>
      <c r="CI44" t="str">
        <f t="shared" si="17"/>
        <v/>
      </c>
      <c r="CJ44" t="str">
        <f t="shared" si="18"/>
        <v/>
      </c>
      <c r="CK44" t="str">
        <f t="shared" si="19"/>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0"/>
        <v/>
      </c>
      <c r="CC45" t="str">
        <f t="shared" si="11"/>
        <v/>
      </c>
      <c r="CD45" t="str">
        <f t="shared" si="12"/>
        <v/>
      </c>
      <c r="CE45" t="str">
        <f t="shared" si="13"/>
        <v/>
      </c>
      <c r="CF45" t="str">
        <f t="shared" si="14"/>
        <v/>
      </c>
      <c r="CG45" t="str">
        <f t="shared" si="15"/>
        <v/>
      </c>
      <c r="CH45" t="str">
        <f t="shared" si="16"/>
        <v/>
      </c>
      <c r="CI45" t="str">
        <f t="shared" si="17"/>
        <v/>
      </c>
      <c r="CJ45" t="str">
        <f t="shared" si="18"/>
        <v/>
      </c>
      <c r="CK45" t="str">
        <f t="shared" si="19"/>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0"/>
        <v/>
      </c>
      <c r="CC46" t="str">
        <f t="shared" si="11"/>
        <v/>
      </c>
      <c r="CD46" t="str">
        <f t="shared" si="12"/>
        <v/>
      </c>
      <c r="CE46" t="str">
        <f t="shared" si="13"/>
        <v/>
      </c>
      <c r="CF46" t="str">
        <f t="shared" si="14"/>
        <v/>
      </c>
      <c r="CG46" t="str">
        <f t="shared" si="15"/>
        <v/>
      </c>
      <c r="CH46" t="str">
        <f t="shared" si="16"/>
        <v/>
      </c>
      <c r="CI46" t="str">
        <f t="shared" si="17"/>
        <v/>
      </c>
      <c r="CJ46" t="str">
        <f t="shared" si="18"/>
        <v/>
      </c>
      <c r="CK46" t="str">
        <f t="shared" si="19"/>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0"/>
        <v/>
      </c>
      <c r="CC47" t="str">
        <f t="shared" si="11"/>
        <v/>
      </c>
      <c r="CD47" t="str">
        <f t="shared" si="12"/>
        <v/>
      </c>
      <c r="CE47" t="str">
        <f t="shared" si="13"/>
        <v/>
      </c>
      <c r="CF47" t="str">
        <f t="shared" si="14"/>
        <v/>
      </c>
      <c r="CG47" t="str">
        <f t="shared" si="15"/>
        <v/>
      </c>
      <c r="CH47" t="str">
        <f t="shared" si="16"/>
        <v/>
      </c>
      <c r="CI47" t="str">
        <f t="shared" si="17"/>
        <v/>
      </c>
      <c r="CJ47" t="str">
        <f t="shared" si="18"/>
        <v/>
      </c>
      <c r="CK47" t="str">
        <f t="shared" si="19"/>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0"/>
        <v/>
      </c>
      <c r="CC48" t="str">
        <f t="shared" si="11"/>
        <v/>
      </c>
      <c r="CD48" t="str">
        <f t="shared" si="12"/>
        <v/>
      </c>
      <c r="CE48" t="str">
        <f t="shared" si="13"/>
        <v/>
      </c>
      <c r="CF48" t="str">
        <f t="shared" si="14"/>
        <v/>
      </c>
      <c r="CG48" t="str">
        <f t="shared" si="15"/>
        <v/>
      </c>
      <c r="CH48" t="str">
        <f t="shared" si="16"/>
        <v/>
      </c>
      <c r="CI48" t="str">
        <f t="shared" si="17"/>
        <v/>
      </c>
      <c r="CJ48" t="str">
        <f t="shared" si="18"/>
        <v/>
      </c>
      <c r="CK48" t="str">
        <f t="shared" si="19"/>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0"/>
        <v/>
      </c>
      <c r="CC49" t="str">
        <f t="shared" si="11"/>
        <v/>
      </c>
      <c r="CD49" t="str">
        <f t="shared" si="12"/>
        <v/>
      </c>
      <c r="CE49" t="str">
        <f t="shared" si="13"/>
        <v/>
      </c>
      <c r="CF49" t="str">
        <f t="shared" si="14"/>
        <v/>
      </c>
      <c r="CG49" t="str">
        <f t="shared" si="15"/>
        <v/>
      </c>
      <c r="CH49" t="str">
        <f t="shared" si="16"/>
        <v/>
      </c>
      <c r="CI49" t="str">
        <f t="shared" si="17"/>
        <v/>
      </c>
      <c r="CJ49" t="str">
        <f t="shared" si="18"/>
        <v/>
      </c>
      <c r="CK49" t="str">
        <f t="shared" si="19"/>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0"/>
        <v/>
      </c>
      <c r="CC50" t="str">
        <f t="shared" si="11"/>
        <v/>
      </c>
      <c r="CD50" t="str">
        <f t="shared" si="12"/>
        <v/>
      </c>
      <c r="CE50" t="str">
        <f t="shared" si="13"/>
        <v/>
      </c>
      <c r="CF50" t="str">
        <f t="shared" si="14"/>
        <v/>
      </c>
      <c r="CG50" t="str">
        <f t="shared" si="15"/>
        <v/>
      </c>
      <c r="CH50" t="str">
        <f t="shared" si="16"/>
        <v/>
      </c>
      <c r="CI50" t="str">
        <f t="shared" si="17"/>
        <v/>
      </c>
      <c r="CJ50" t="str">
        <f t="shared" si="18"/>
        <v/>
      </c>
      <c r="CK50" t="str">
        <f t="shared" si="19"/>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0"/>
        <v/>
      </c>
      <c r="CC51" t="str">
        <f t="shared" si="11"/>
        <v/>
      </c>
      <c r="CD51" t="str">
        <f t="shared" si="12"/>
        <v/>
      </c>
      <c r="CE51" t="str">
        <f t="shared" si="13"/>
        <v/>
      </c>
      <c r="CF51" t="str">
        <f t="shared" si="14"/>
        <v/>
      </c>
      <c r="CG51" t="str">
        <f t="shared" si="15"/>
        <v/>
      </c>
      <c r="CH51" t="str">
        <f t="shared" si="16"/>
        <v/>
      </c>
      <c r="CI51" t="str">
        <f t="shared" si="17"/>
        <v/>
      </c>
      <c r="CJ51" t="str">
        <f t="shared" si="18"/>
        <v/>
      </c>
      <c r="CK51" t="str">
        <f t="shared" si="19"/>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0"/>
        <v/>
      </c>
      <c r="CC52" t="str">
        <f t="shared" si="11"/>
        <v/>
      </c>
      <c r="CD52" t="str">
        <f t="shared" si="12"/>
        <v/>
      </c>
      <c r="CE52" t="str">
        <f t="shared" si="13"/>
        <v/>
      </c>
      <c r="CF52" t="str">
        <f t="shared" si="14"/>
        <v/>
      </c>
      <c r="CG52" t="str">
        <f t="shared" si="15"/>
        <v/>
      </c>
      <c r="CH52" t="str">
        <f t="shared" si="16"/>
        <v/>
      </c>
      <c r="CI52" t="str">
        <f t="shared" si="17"/>
        <v/>
      </c>
      <c r="CJ52" t="str">
        <f t="shared" si="18"/>
        <v/>
      </c>
      <c r="CK52" t="str">
        <f t="shared" si="19"/>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0"/>
        <v/>
      </c>
      <c r="CC53" t="str">
        <f t="shared" si="11"/>
        <v/>
      </c>
      <c r="CD53" t="str">
        <f t="shared" si="12"/>
        <v/>
      </c>
      <c r="CE53" t="str">
        <f t="shared" si="13"/>
        <v/>
      </c>
      <c r="CF53" t="str">
        <f t="shared" si="14"/>
        <v/>
      </c>
      <c r="CG53" t="str">
        <f t="shared" si="15"/>
        <v/>
      </c>
      <c r="CH53" t="str">
        <f t="shared" si="16"/>
        <v/>
      </c>
      <c r="CI53" t="str">
        <f t="shared" si="17"/>
        <v/>
      </c>
      <c r="CJ53" t="str">
        <f t="shared" si="18"/>
        <v/>
      </c>
      <c r="CK53" t="str">
        <f t="shared" si="19"/>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0"/>
        <v/>
      </c>
      <c r="CC54" t="str">
        <f t="shared" si="11"/>
        <v/>
      </c>
      <c r="CD54" t="str">
        <f t="shared" si="12"/>
        <v/>
      </c>
      <c r="CE54" t="str">
        <f t="shared" si="13"/>
        <v/>
      </c>
      <c r="CF54" t="str">
        <f t="shared" si="14"/>
        <v/>
      </c>
      <c r="CG54" t="str">
        <f t="shared" si="15"/>
        <v/>
      </c>
      <c r="CH54" t="str">
        <f t="shared" si="16"/>
        <v/>
      </c>
      <c r="CI54" t="str">
        <f t="shared" si="17"/>
        <v/>
      </c>
      <c r="CJ54" t="str">
        <f t="shared" si="18"/>
        <v/>
      </c>
      <c r="CK54" t="str">
        <f t="shared" si="19"/>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0"/>
        <v/>
      </c>
      <c r="CC55" t="str">
        <f t="shared" si="11"/>
        <v/>
      </c>
      <c r="CD55" t="str">
        <f t="shared" si="12"/>
        <v/>
      </c>
      <c r="CE55" t="str">
        <f t="shared" si="13"/>
        <v/>
      </c>
      <c r="CF55" t="str">
        <f t="shared" si="14"/>
        <v/>
      </c>
      <c r="CG55" t="str">
        <f t="shared" si="15"/>
        <v/>
      </c>
      <c r="CH55" t="str">
        <f t="shared" si="16"/>
        <v/>
      </c>
      <c r="CI55" t="str">
        <f t="shared" si="17"/>
        <v/>
      </c>
      <c r="CJ55" t="str">
        <f t="shared" si="18"/>
        <v/>
      </c>
      <c r="CK55" t="str">
        <f t="shared" si="19"/>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0"/>
        <v/>
      </c>
      <c r="CC56" t="str">
        <f t="shared" si="11"/>
        <v/>
      </c>
      <c r="CD56" t="str">
        <f t="shared" si="12"/>
        <v/>
      </c>
      <c r="CE56" t="str">
        <f t="shared" si="13"/>
        <v/>
      </c>
      <c r="CF56" t="str">
        <f t="shared" si="14"/>
        <v/>
      </c>
      <c r="CG56" t="str">
        <f t="shared" si="15"/>
        <v/>
      </c>
      <c r="CH56" t="str">
        <f t="shared" si="16"/>
        <v/>
      </c>
      <c r="CI56" t="str">
        <f t="shared" si="17"/>
        <v/>
      </c>
      <c r="CJ56" t="str">
        <f t="shared" si="18"/>
        <v/>
      </c>
      <c r="CK56" t="str">
        <f t="shared" si="19"/>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0"/>
        <v/>
      </c>
      <c r="CC57" t="str">
        <f t="shared" si="11"/>
        <v/>
      </c>
      <c r="CD57" t="str">
        <f t="shared" si="12"/>
        <v/>
      </c>
      <c r="CE57" t="str">
        <f t="shared" si="13"/>
        <v/>
      </c>
      <c r="CF57" t="str">
        <f t="shared" si="14"/>
        <v/>
      </c>
      <c r="CG57" t="str">
        <f t="shared" si="15"/>
        <v/>
      </c>
      <c r="CH57" t="str">
        <f t="shared" si="16"/>
        <v/>
      </c>
      <c r="CI57" t="str">
        <f t="shared" si="17"/>
        <v/>
      </c>
      <c r="CJ57" t="str">
        <f t="shared" si="18"/>
        <v/>
      </c>
      <c r="CK57" t="str">
        <f t="shared" si="19"/>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0"/>
        <v/>
      </c>
      <c r="CC58" t="str">
        <f t="shared" si="11"/>
        <v/>
      </c>
      <c r="CD58" t="str">
        <f t="shared" si="12"/>
        <v/>
      </c>
      <c r="CE58" t="str">
        <f t="shared" si="13"/>
        <v/>
      </c>
      <c r="CF58" t="str">
        <f t="shared" si="14"/>
        <v/>
      </c>
      <c r="CG58" t="str">
        <f t="shared" si="15"/>
        <v/>
      </c>
      <c r="CH58" t="str">
        <f t="shared" si="16"/>
        <v/>
      </c>
      <c r="CI58" t="str">
        <f t="shared" si="17"/>
        <v/>
      </c>
      <c r="CJ58" t="str">
        <f t="shared" si="18"/>
        <v/>
      </c>
      <c r="CK58" t="str">
        <f t="shared" si="19"/>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0"/>
        <v/>
      </c>
      <c r="CC59" t="str">
        <f t="shared" si="11"/>
        <v/>
      </c>
      <c r="CD59" t="str">
        <f t="shared" si="12"/>
        <v/>
      </c>
      <c r="CE59" t="str">
        <f t="shared" si="13"/>
        <v/>
      </c>
      <c r="CF59" t="str">
        <f t="shared" si="14"/>
        <v/>
      </c>
      <c r="CG59" t="str">
        <f t="shared" si="15"/>
        <v/>
      </c>
      <c r="CH59" t="str">
        <f t="shared" si="16"/>
        <v/>
      </c>
      <c r="CI59" t="str">
        <f t="shared" si="17"/>
        <v/>
      </c>
      <c r="CJ59" t="str">
        <f t="shared" si="18"/>
        <v/>
      </c>
      <c r="CK59" t="str">
        <f t="shared" si="19"/>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0"/>
        <v/>
      </c>
      <c r="CC60" t="str">
        <f t="shared" si="11"/>
        <v/>
      </c>
      <c r="CD60" t="str">
        <f t="shared" si="12"/>
        <v/>
      </c>
      <c r="CE60" t="str">
        <f t="shared" si="13"/>
        <v/>
      </c>
      <c r="CF60" t="str">
        <f t="shared" si="14"/>
        <v/>
      </c>
      <c r="CG60" t="str">
        <f t="shared" si="15"/>
        <v/>
      </c>
      <c r="CH60" t="str">
        <f t="shared" si="16"/>
        <v/>
      </c>
      <c r="CI60" t="str">
        <f t="shared" si="17"/>
        <v/>
      </c>
      <c r="CJ60" t="str">
        <f t="shared" si="18"/>
        <v/>
      </c>
      <c r="CK60" t="str">
        <f t="shared" si="19"/>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0"/>
        <v/>
      </c>
      <c r="CC61" t="str">
        <f t="shared" si="11"/>
        <v/>
      </c>
      <c r="CD61" t="str">
        <f t="shared" si="12"/>
        <v/>
      </c>
      <c r="CE61" t="str">
        <f t="shared" si="13"/>
        <v/>
      </c>
      <c r="CF61" t="str">
        <f t="shared" si="14"/>
        <v/>
      </c>
      <c r="CG61" t="str">
        <f t="shared" si="15"/>
        <v/>
      </c>
      <c r="CH61" t="str">
        <f t="shared" si="16"/>
        <v/>
      </c>
      <c r="CI61" t="str">
        <f t="shared" si="17"/>
        <v/>
      </c>
      <c r="CJ61" t="str">
        <f t="shared" si="18"/>
        <v/>
      </c>
      <c r="CK61" t="str">
        <f t="shared" si="19"/>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0"/>
        <v/>
      </c>
      <c r="CC62" t="str">
        <f t="shared" si="11"/>
        <v/>
      </c>
      <c r="CD62" t="str">
        <f t="shared" si="12"/>
        <v/>
      </c>
      <c r="CE62" t="str">
        <f t="shared" si="13"/>
        <v/>
      </c>
      <c r="CF62" t="str">
        <f t="shared" si="14"/>
        <v/>
      </c>
      <c r="CG62" t="str">
        <f t="shared" si="15"/>
        <v/>
      </c>
      <c r="CH62" t="str">
        <f t="shared" si="16"/>
        <v/>
      </c>
      <c r="CI62" t="str">
        <f t="shared" si="17"/>
        <v/>
      </c>
      <c r="CJ62" t="str">
        <f t="shared" si="18"/>
        <v/>
      </c>
      <c r="CK62" t="str">
        <f t="shared" si="19"/>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0"/>
        <v/>
      </c>
      <c r="CC63" t="str">
        <f t="shared" si="11"/>
        <v/>
      </c>
      <c r="CD63" t="str">
        <f t="shared" si="12"/>
        <v/>
      </c>
      <c r="CE63" t="str">
        <f t="shared" si="13"/>
        <v/>
      </c>
      <c r="CF63" t="str">
        <f t="shared" si="14"/>
        <v/>
      </c>
      <c r="CG63" t="str">
        <f t="shared" si="15"/>
        <v/>
      </c>
      <c r="CH63" t="str">
        <f t="shared" si="16"/>
        <v/>
      </c>
      <c r="CI63" t="str">
        <f t="shared" si="17"/>
        <v/>
      </c>
      <c r="CJ63" t="str">
        <f t="shared" si="18"/>
        <v/>
      </c>
      <c r="CK63" t="str">
        <f t="shared" si="19"/>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0"/>
        <v/>
      </c>
      <c r="CC64" t="str">
        <f t="shared" si="11"/>
        <v/>
      </c>
      <c r="CD64" t="str">
        <f t="shared" si="12"/>
        <v/>
      </c>
      <c r="CE64" t="str">
        <f t="shared" si="13"/>
        <v/>
      </c>
      <c r="CF64" t="str">
        <f t="shared" si="14"/>
        <v/>
      </c>
      <c r="CG64" t="str">
        <f t="shared" si="15"/>
        <v/>
      </c>
      <c r="CH64" t="str">
        <f t="shared" si="16"/>
        <v/>
      </c>
      <c r="CI64" t="str">
        <f t="shared" si="17"/>
        <v/>
      </c>
      <c r="CJ64" t="str">
        <f t="shared" si="18"/>
        <v/>
      </c>
      <c r="CK64" t="str">
        <f t="shared" si="19"/>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0"/>
        <v/>
      </c>
      <c r="CC65" t="str">
        <f t="shared" si="11"/>
        <v/>
      </c>
      <c r="CD65" t="str">
        <f t="shared" si="12"/>
        <v/>
      </c>
      <c r="CE65" t="str">
        <f t="shared" si="13"/>
        <v/>
      </c>
      <c r="CF65" t="str">
        <f t="shared" si="14"/>
        <v/>
      </c>
      <c r="CG65" t="str">
        <f t="shared" si="15"/>
        <v/>
      </c>
      <c r="CH65" t="str">
        <f t="shared" si="16"/>
        <v/>
      </c>
      <c r="CI65" t="str">
        <f t="shared" si="17"/>
        <v/>
      </c>
      <c r="CJ65" t="str">
        <f t="shared" si="18"/>
        <v/>
      </c>
      <c r="CK65" t="str">
        <f t="shared" si="19"/>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0"/>
        <v/>
      </c>
      <c r="CC66" t="str">
        <f t="shared" si="11"/>
        <v/>
      </c>
      <c r="CD66" t="str">
        <f t="shared" si="12"/>
        <v/>
      </c>
      <c r="CE66" t="str">
        <f t="shared" si="13"/>
        <v/>
      </c>
      <c r="CF66" t="str">
        <f t="shared" si="14"/>
        <v/>
      </c>
      <c r="CG66" t="str">
        <f t="shared" si="15"/>
        <v/>
      </c>
      <c r="CH66" t="str">
        <f t="shared" si="16"/>
        <v/>
      </c>
      <c r="CI66" t="str">
        <f t="shared" si="17"/>
        <v/>
      </c>
      <c r="CJ66" t="str">
        <f t="shared" si="18"/>
        <v/>
      </c>
      <c r="CK66" t="str">
        <f t="shared" si="19"/>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0">IFERROR(AVERAGE(H67,I67,J67,K67),"")</f>
        <v/>
      </c>
      <c r="CC67" t="str">
        <f t="shared" ref="CC67:CC98" si="21">IFERROR(AVERAGE(L67,M67,N67,O67,P67,R67),"")</f>
        <v/>
      </c>
      <c r="CD67" t="str">
        <f t="shared" ref="CD67:CD98" si="22">IFERROR(AVERAGE(T67,U67,V67,W67,X67,Y67,Z67,AA67,AB67,AC67,AE67),"")</f>
        <v/>
      </c>
      <c r="CE67" t="str">
        <f t="shared" ref="CE67:CE98" si="23">IFERROR(AVERAGE(AG67,AH67,AI67),"")</f>
        <v/>
      </c>
      <c r="CF67" t="str">
        <f t="shared" ref="CF67:CF98" si="24">IFERROR(AVERAGE(AK67,AL67,AM67,AN67,AP67,AQ67,AR67,AS67),"")</f>
        <v/>
      </c>
      <c r="CG67" t="str">
        <f t="shared" ref="CG67:CG98" si="25">IFERROR(AVERAGE(AT67,AU67,AV67,BB67,AW67,AX67,AY67,AZ67,BA67),"")</f>
        <v/>
      </c>
      <c r="CH67" t="str">
        <f t="shared" ref="CH67:CH98" si="26">IFERROR(AVERAGE(BC67,BH67,BI67,BD67,BF67),"")</f>
        <v/>
      </c>
      <c r="CI67" t="str">
        <f t="shared" ref="CI67:CI98" si="27">IFERROR(AVERAGE(BJ67,BK67,BL67,BM67),"")</f>
        <v/>
      </c>
      <c r="CJ67" t="str">
        <f t="shared" ref="CJ67:CJ98" si="28">IFERROR(AVERAGE(BN67,BO67,BP67),"")</f>
        <v/>
      </c>
      <c r="CK67" t="str">
        <f t="shared" ref="CK67:CK98" si="29">IFERROR(AVERAGE(BS67),"")</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0"/>
        <v/>
      </c>
      <c r="CC68" t="str">
        <f t="shared" si="21"/>
        <v/>
      </c>
      <c r="CD68" t="str">
        <f t="shared" si="22"/>
        <v/>
      </c>
      <c r="CE68" t="str">
        <f t="shared" si="23"/>
        <v/>
      </c>
      <c r="CF68" t="str">
        <f t="shared" si="24"/>
        <v/>
      </c>
      <c r="CG68" t="str">
        <f t="shared" si="25"/>
        <v/>
      </c>
      <c r="CH68" t="str">
        <f t="shared" si="26"/>
        <v/>
      </c>
      <c r="CI68" t="str">
        <f t="shared" si="27"/>
        <v/>
      </c>
      <c r="CJ68" t="str">
        <f t="shared" si="28"/>
        <v/>
      </c>
      <c r="CK68" t="str">
        <f t="shared" si="29"/>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0"/>
        <v/>
      </c>
      <c r="CC69" t="str">
        <f t="shared" si="21"/>
        <v/>
      </c>
      <c r="CD69" t="str">
        <f t="shared" si="22"/>
        <v/>
      </c>
      <c r="CE69" t="str">
        <f t="shared" si="23"/>
        <v/>
      </c>
      <c r="CF69" t="str">
        <f t="shared" si="24"/>
        <v/>
      </c>
      <c r="CG69" t="str">
        <f t="shared" si="25"/>
        <v/>
      </c>
      <c r="CH69" t="str">
        <f t="shared" si="26"/>
        <v/>
      </c>
      <c r="CI69" t="str">
        <f t="shared" si="27"/>
        <v/>
      </c>
      <c r="CJ69" t="str">
        <f t="shared" si="28"/>
        <v/>
      </c>
      <c r="CK69" t="str">
        <f t="shared" si="29"/>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0"/>
        <v/>
      </c>
      <c r="CC70" t="str">
        <f t="shared" si="21"/>
        <v/>
      </c>
      <c r="CD70" t="str">
        <f t="shared" si="22"/>
        <v/>
      </c>
      <c r="CE70" t="str">
        <f t="shared" si="23"/>
        <v/>
      </c>
      <c r="CF70" t="str">
        <f t="shared" si="24"/>
        <v/>
      </c>
      <c r="CG70" t="str">
        <f t="shared" si="25"/>
        <v/>
      </c>
      <c r="CH70" t="str">
        <f t="shared" si="26"/>
        <v/>
      </c>
      <c r="CI70" t="str">
        <f t="shared" si="27"/>
        <v/>
      </c>
      <c r="CJ70" t="str">
        <f t="shared" si="28"/>
        <v/>
      </c>
      <c r="CK70" t="str">
        <f t="shared" si="29"/>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0"/>
        <v/>
      </c>
      <c r="CC71" t="str">
        <f t="shared" si="21"/>
        <v/>
      </c>
      <c r="CD71" t="str">
        <f t="shared" si="22"/>
        <v/>
      </c>
      <c r="CE71" t="str">
        <f t="shared" si="23"/>
        <v/>
      </c>
      <c r="CF71" t="str">
        <f t="shared" si="24"/>
        <v/>
      </c>
      <c r="CG71" t="str">
        <f t="shared" si="25"/>
        <v/>
      </c>
      <c r="CH71" t="str">
        <f t="shared" si="26"/>
        <v/>
      </c>
      <c r="CI71" t="str">
        <f t="shared" si="27"/>
        <v/>
      </c>
      <c r="CJ71" t="str">
        <f t="shared" si="28"/>
        <v/>
      </c>
      <c r="CK71" t="str">
        <f t="shared" si="29"/>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0"/>
        <v/>
      </c>
      <c r="CC72" t="str">
        <f t="shared" si="21"/>
        <v/>
      </c>
      <c r="CD72" t="str">
        <f t="shared" si="22"/>
        <v/>
      </c>
      <c r="CE72" t="str">
        <f t="shared" si="23"/>
        <v/>
      </c>
      <c r="CF72" t="str">
        <f t="shared" si="24"/>
        <v/>
      </c>
      <c r="CG72" t="str">
        <f t="shared" si="25"/>
        <v/>
      </c>
      <c r="CH72" t="str">
        <f t="shared" si="26"/>
        <v/>
      </c>
      <c r="CI72" t="str">
        <f t="shared" si="27"/>
        <v/>
      </c>
      <c r="CJ72" t="str">
        <f t="shared" si="28"/>
        <v/>
      </c>
      <c r="CK72" t="str">
        <f t="shared" si="29"/>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0"/>
        <v/>
      </c>
      <c r="CC73" t="str">
        <f t="shared" si="21"/>
        <v/>
      </c>
      <c r="CD73" t="str">
        <f t="shared" si="22"/>
        <v/>
      </c>
      <c r="CE73" t="str">
        <f t="shared" si="23"/>
        <v/>
      </c>
      <c r="CF73" t="str">
        <f t="shared" si="24"/>
        <v/>
      </c>
      <c r="CG73" t="str">
        <f t="shared" si="25"/>
        <v/>
      </c>
      <c r="CH73" t="str">
        <f t="shared" si="26"/>
        <v/>
      </c>
      <c r="CI73" t="str">
        <f t="shared" si="27"/>
        <v/>
      </c>
      <c r="CJ73" t="str">
        <f t="shared" si="28"/>
        <v/>
      </c>
      <c r="CK73" t="str">
        <f t="shared" si="29"/>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0"/>
        <v/>
      </c>
      <c r="CC74" t="str">
        <f t="shared" si="21"/>
        <v/>
      </c>
      <c r="CD74" t="str">
        <f t="shared" si="22"/>
        <v/>
      </c>
      <c r="CE74" t="str">
        <f t="shared" si="23"/>
        <v/>
      </c>
      <c r="CF74" t="str">
        <f t="shared" si="24"/>
        <v/>
      </c>
      <c r="CG74" t="str">
        <f t="shared" si="25"/>
        <v/>
      </c>
      <c r="CH74" t="str">
        <f t="shared" si="26"/>
        <v/>
      </c>
      <c r="CI74" t="str">
        <f t="shared" si="27"/>
        <v/>
      </c>
      <c r="CJ74" t="str">
        <f t="shared" si="28"/>
        <v/>
      </c>
      <c r="CK74" t="str">
        <f t="shared" si="29"/>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0"/>
        <v/>
      </c>
      <c r="CC75" t="str">
        <f t="shared" si="21"/>
        <v/>
      </c>
      <c r="CD75" t="str">
        <f t="shared" si="22"/>
        <v/>
      </c>
      <c r="CE75" t="str">
        <f t="shared" si="23"/>
        <v/>
      </c>
      <c r="CF75" t="str">
        <f t="shared" si="24"/>
        <v/>
      </c>
      <c r="CG75" t="str">
        <f t="shared" si="25"/>
        <v/>
      </c>
      <c r="CH75" t="str">
        <f t="shared" si="26"/>
        <v/>
      </c>
      <c r="CI75" t="str">
        <f t="shared" si="27"/>
        <v/>
      </c>
      <c r="CJ75" t="str">
        <f t="shared" si="28"/>
        <v/>
      </c>
      <c r="CK75" t="str">
        <f t="shared" si="29"/>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0"/>
        <v/>
      </c>
      <c r="CC76" t="str">
        <f t="shared" si="21"/>
        <v/>
      </c>
      <c r="CD76" t="str">
        <f t="shared" si="22"/>
        <v/>
      </c>
      <c r="CE76" t="str">
        <f t="shared" si="23"/>
        <v/>
      </c>
      <c r="CF76" t="str">
        <f t="shared" si="24"/>
        <v/>
      </c>
      <c r="CG76" t="str">
        <f t="shared" si="25"/>
        <v/>
      </c>
      <c r="CH76" t="str">
        <f t="shared" si="26"/>
        <v/>
      </c>
      <c r="CI76" t="str">
        <f t="shared" si="27"/>
        <v/>
      </c>
      <c r="CJ76" t="str">
        <f t="shared" si="28"/>
        <v/>
      </c>
      <c r="CK76" t="str">
        <f t="shared" si="29"/>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0"/>
        <v/>
      </c>
      <c r="CC77" t="str">
        <f t="shared" si="21"/>
        <v/>
      </c>
      <c r="CD77" t="str">
        <f t="shared" si="22"/>
        <v/>
      </c>
      <c r="CE77" t="str">
        <f t="shared" si="23"/>
        <v/>
      </c>
      <c r="CF77" t="str">
        <f t="shared" si="24"/>
        <v/>
      </c>
      <c r="CG77" t="str">
        <f t="shared" si="25"/>
        <v/>
      </c>
      <c r="CH77" t="str">
        <f t="shared" si="26"/>
        <v/>
      </c>
      <c r="CI77" t="str">
        <f t="shared" si="27"/>
        <v/>
      </c>
      <c r="CJ77" t="str">
        <f t="shared" si="28"/>
        <v/>
      </c>
      <c r="CK77" t="str">
        <f t="shared" si="29"/>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0"/>
        <v/>
      </c>
      <c r="CC78" t="str">
        <f t="shared" si="21"/>
        <v/>
      </c>
      <c r="CD78" t="str">
        <f t="shared" si="22"/>
        <v/>
      </c>
      <c r="CE78" t="str">
        <f t="shared" si="23"/>
        <v/>
      </c>
      <c r="CF78" t="str">
        <f t="shared" si="24"/>
        <v/>
      </c>
      <c r="CG78" t="str">
        <f t="shared" si="25"/>
        <v/>
      </c>
      <c r="CH78" t="str">
        <f t="shared" si="26"/>
        <v/>
      </c>
      <c r="CI78" t="str">
        <f t="shared" si="27"/>
        <v/>
      </c>
      <c r="CJ78" t="str">
        <f t="shared" si="28"/>
        <v/>
      </c>
      <c r="CK78" t="str">
        <f t="shared" si="29"/>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0"/>
        <v/>
      </c>
      <c r="CC79" t="str">
        <f t="shared" si="21"/>
        <v/>
      </c>
      <c r="CD79" t="str">
        <f t="shared" si="22"/>
        <v/>
      </c>
      <c r="CE79" t="str">
        <f t="shared" si="23"/>
        <v/>
      </c>
      <c r="CF79" t="str">
        <f t="shared" si="24"/>
        <v/>
      </c>
      <c r="CG79" t="str">
        <f t="shared" si="25"/>
        <v/>
      </c>
      <c r="CH79" t="str">
        <f t="shared" si="26"/>
        <v/>
      </c>
      <c r="CI79" t="str">
        <f t="shared" si="27"/>
        <v/>
      </c>
      <c r="CJ79" t="str">
        <f t="shared" si="28"/>
        <v/>
      </c>
      <c r="CK79" t="str">
        <f t="shared" si="29"/>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0"/>
        <v/>
      </c>
      <c r="CC80" t="str">
        <f t="shared" si="21"/>
        <v/>
      </c>
      <c r="CD80" t="str">
        <f t="shared" si="22"/>
        <v/>
      </c>
      <c r="CE80" t="str">
        <f t="shared" si="23"/>
        <v/>
      </c>
      <c r="CF80" t="str">
        <f t="shared" si="24"/>
        <v/>
      </c>
      <c r="CG80" t="str">
        <f t="shared" si="25"/>
        <v/>
      </c>
      <c r="CH80" t="str">
        <f t="shared" si="26"/>
        <v/>
      </c>
      <c r="CI80" t="str">
        <f t="shared" si="27"/>
        <v/>
      </c>
      <c r="CJ80" t="str">
        <f t="shared" si="28"/>
        <v/>
      </c>
      <c r="CK80" t="str">
        <f t="shared" si="29"/>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0"/>
        <v/>
      </c>
      <c r="CC81" t="str">
        <f t="shared" si="21"/>
        <v/>
      </c>
      <c r="CD81" t="str">
        <f t="shared" si="22"/>
        <v/>
      </c>
      <c r="CE81" t="str">
        <f t="shared" si="23"/>
        <v/>
      </c>
      <c r="CF81" t="str">
        <f t="shared" si="24"/>
        <v/>
      </c>
      <c r="CG81" t="str">
        <f t="shared" si="25"/>
        <v/>
      </c>
      <c r="CH81" t="str">
        <f t="shared" si="26"/>
        <v/>
      </c>
      <c r="CI81" t="str">
        <f t="shared" si="27"/>
        <v/>
      </c>
      <c r="CJ81" t="str">
        <f t="shared" si="28"/>
        <v/>
      </c>
      <c r="CK81" t="str">
        <f t="shared" si="29"/>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0"/>
        <v/>
      </c>
      <c r="CC82" t="str">
        <f t="shared" si="21"/>
        <v/>
      </c>
      <c r="CD82" t="str">
        <f t="shared" si="22"/>
        <v/>
      </c>
      <c r="CE82" t="str">
        <f t="shared" si="23"/>
        <v/>
      </c>
      <c r="CF82" t="str">
        <f t="shared" si="24"/>
        <v/>
      </c>
      <c r="CG82" t="str">
        <f t="shared" si="25"/>
        <v/>
      </c>
      <c r="CH82" t="str">
        <f t="shared" si="26"/>
        <v/>
      </c>
      <c r="CI82" t="str">
        <f t="shared" si="27"/>
        <v/>
      </c>
      <c r="CJ82" t="str">
        <f t="shared" si="28"/>
        <v/>
      </c>
      <c r="CK82" t="str">
        <f t="shared" si="29"/>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0"/>
        <v/>
      </c>
      <c r="CC83" t="str">
        <f t="shared" si="21"/>
        <v/>
      </c>
      <c r="CD83" t="str">
        <f t="shared" si="22"/>
        <v/>
      </c>
      <c r="CE83" t="str">
        <f t="shared" si="23"/>
        <v/>
      </c>
      <c r="CF83" t="str">
        <f t="shared" si="24"/>
        <v/>
      </c>
      <c r="CG83" t="str">
        <f t="shared" si="25"/>
        <v/>
      </c>
      <c r="CH83" t="str">
        <f t="shared" si="26"/>
        <v/>
      </c>
      <c r="CI83" t="str">
        <f t="shared" si="27"/>
        <v/>
      </c>
      <c r="CJ83" t="str">
        <f t="shared" si="28"/>
        <v/>
      </c>
      <c r="CK83" t="str">
        <f t="shared" si="29"/>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0"/>
        <v/>
      </c>
      <c r="CC84" t="str">
        <f t="shared" si="21"/>
        <v/>
      </c>
      <c r="CD84" t="str">
        <f t="shared" si="22"/>
        <v/>
      </c>
      <c r="CE84" t="str">
        <f t="shared" si="23"/>
        <v/>
      </c>
      <c r="CF84" t="str">
        <f t="shared" si="24"/>
        <v/>
      </c>
      <c r="CG84" t="str">
        <f t="shared" si="25"/>
        <v/>
      </c>
      <c r="CH84" t="str">
        <f t="shared" si="26"/>
        <v/>
      </c>
      <c r="CI84" t="str">
        <f t="shared" si="27"/>
        <v/>
      </c>
      <c r="CJ84" t="str">
        <f t="shared" si="28"/>
        <v/>
      </c>
      <c r="CK84" t="str">
        <f t="shared" si="29"/>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0"/>
        <v/>
      </c>
      <c r="CC85" t="str">
        <f t="shared" si="21"/>
        <v/>
      </c>
      <c r="CD85" t="str">
        <f t="shared" si="22"/>
        <v/>
      </c>
      <c r="CE85" t="str">
        <f t="shared" si="23"/>
        <v/>
      </c>
      <c r="CF85" t="str">
        <f t="shared" si="24"/>
        <v/>
      </c>
      <c r="CG85" t="str">
        <f t="shared" si="25"/>
        <v/>
      </c>
      <c r="CH85" t="str">
        <f t="shared" si="26"/>
        <v/>
      </c>
      <c r="CI85" t="str">
        <f t="shared" si="27"/>
        <v/>
      </c>
      <c r="CJ85" t="str">
        <f t="shared" si="28"/>
        <v/>
      </c>
      <c r="CK85" t="str">
        <f t="shared" si="29"/>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0"/>
        <v/>
      </c>
      <c r="CC86" t="str">
        <f t="shared" si="21"/>
        <v/>
      </c>
      <c r="CD86" t="str">
        <f t="shared" si="22"/>
        <v/>
      </c>
      <c r="CE86" t="str">
        <f t="shared" si="23"/>
        <v/>
      </c>
      <c r="CF86" t="str">
        <f t="shared" si="24"/>
        <v/>
      </c>
      <c r="CG86" t="str">
        <f t="shared" si="25"/>
        <v/>
      </c>
      <c r="CH86" t="str">
        <f t="shared" si="26"/>
        <v/>
      </c>
      <c r="CI86" t="str">
        <f t="shared" si="27"/>
        <v/>
      </c>
      <c r="CJ86" t="str">
        <f t="shared" si="28"/>
        <v/>
      </c>
      <c r="CK86" t="str">
        <f t="shared" si="29"/>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0"/>
        <v/>
      </c>
      <c r="CC87" t="str">
        <f t="shared" si="21"/>
        <v/>
      </c>
      <c r="CD87" t="str">
        <f t="shared" si="22"/>
        <v/>
      </c>
      <c r="CE87" t="str">
        <f t="shared" si="23"/>
        <v/>
      </c>
      <c r="CF87" t="str">
        <f t="shared" si="24"/>
        <v/>
      </c>
      <c r="CG87" t="str">
        <f t="shared" si="25"/>
        <v/>
      </c>
      <c r="CH87" t="str">
        <f t="shared" si="26"/>
        <v/>
      </c>
      <c r="CI87" t="str">
        <f t="shared" si="27"/>
        <v/>
      </c>
      <c r="CJ87" t="str">
        <f t="shared" si="28"/>
        <v/>
      </c>
      <c r="CK87" t="str">
        <f t="shared" si="29"/>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0"/>
        <v/>
      </c>
      <c r="CC88" t="str">
        <f t="shared" si="21"/>
        <v/>
      </c>
      <c r="CD88" t="str">
        <f t="shared" si="22"/>
        <v/>
      </c>
      <c r="CE88" t="str">
        <f t="shared" si="23"/>
        <v/>
      </c>
      <c r="CF88" t="str">
        <f t="shared" si="24"/>
        <v/>
      </c>
      <c r="CG88" t="str">
        <f t="shared" si="25"/>
        <v/>
      </c>
      <c r="CH88" t="str">
        <f t="shared" si="26"/>
        <v/>
      </c>
      <c r="CI88" t="str">
        <f t="shared" si="27"/>
        <v/>
      </c>
      <c r="CJ88" t="str">
        <f t="shared" si="28"/>
        <v/>
      </c>
      <c r="CK88" t="str">
        <f t="shared" si="29"/>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0"/>
        <v/>
      </c>
      <c r="CC89" t="str">
        <f t="shared" si="21"/>
        <v/>
      </c>
      <c r="CD89" t="str">
        <f t="shared" si="22"/>
        <v/>
      </c>
      <c r="CE89" t="str">
        <f t="shared" si="23"/>
        <v/>
      </c>
      <c r="CF89" t="str">
        <f t="shared" si="24"/>
        <v/>
      </c>
      <c r="CG89" t="str">
        <f t="shared" si="25"/>
        <v/>
      </c>
      <c r="CH89" t="str">
        <f t="shared" si="26"/>
        <v/>
      </c>
      <c r="CI89" t="str">
        <f t="shared" si="27"/>
        <v/>
      </c>
      <c r="CJ89" t="str">
        <f t="shared" si="28"/>
        <v/>
      </c>
      <c r="CK89" t="str">
        <f t="shared" si="29"/>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0"/>
        <v/>
      </c>
      <c r="CC90" t="str">
        <f t="shared" si="21"/>
        <v/>
      </c>
      <c r="CD90" t="str">
        <f t="shared" si="22"/>
        <v/>
      </c>
      <c r="CE90" t="str">
        <f t="shared" si="23"/>
        <v/>
      </c>
      <c r="CF90" t="str">
        <f t="shared" si="24"/>
        <v/>
      </c>
      <c r="CG90" t="str">
        <f t="shared" si="25"/>
        <v/>
      </c>
      <c r="CH90" t="str">
        <f t="shared" si="26"/>
        <v/>
      </c>
      <c r="CI90" t="str">
        <f t="shared" si="27"/>
        <v/>
      </c>
      <c r="CJ90" t="str">
        <f t="shared" si="28"/>
        <v/>
      </c>
      <c r="CK90" t="str">
        <f t="shared" si="29"/>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0"/>
        <v/>
      </c>
      <c r="CC91" t="str">
        <f t="shared" si="21"/>
        <v/>
      </c>
      <c r="CD91" t="str">
        <f t="shared" si="22"/>
        <v/>
      </c>
      <c r="CE91" t="str">
        <f t="shared" si="23"/>
        <v/>
      </c>
      <c r="CF91" t="str">
        <f t="shared" si="24"/>
        <v/>
      </c>
      <c r="CG91" t="str">
        <f t="shared" si="25"/>
        <v/>
      </c>
      <c r="CH91" t="str">
        <f t="shared" si="26"/>
        <v/>
      </c>
      <c r="CI91" t="str">
        <f t="shared" si="27"/>
        <v/>
      </c>
      <c r="CJ91" t="str">
        <f t="shared" si="28"/>
        <v/>
      </c>
      <c r="CK91" t="str">
        <f t="shared" si="29"/>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0"/>
        <v/>
      </c>
      <c r="CC92" t="str">
        <f t="shared" si="21"/>
        <v/>
      </c>
      <c r="CD92" t="str">
        <f t="shared" si="22"/>
        <v/>
      </c>
      <c r="CE92" t="str">
        <f t="shared" si="23"/>
        <v/>
      </c>
      <c r="CF92" t="str">
        <f t="shared" si="24"/>
        <v/>
      </c>
      <c r="CG92" t="str">
        <f t="shared" si="25"/>
        <v/>
      </c>
      <c r="CH92" t="str">
        <f t="shared" si="26"/>
        <v/>
      </c>
      <c r="CI92" t="str">
        <f t="shared" si="27"/>
        <v/>
      </c>
      <c r="CJ92" t="str">
        <f t="shared" si="28"/>
        <v/>
      </c>
      <c r="CK92" t="str">
        <f t="shared" si="29"/>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0"/>
        <v/>
      </c>
      <c r="CC93" t="str">
        <f t="shared" si="21"/>
        <v/>
      </c>
      <c r="CD93" t="str">
        <f t="shared" si="22"/>
        <v/>
      </c>
      <c r="CE93" t="str">
        <f t="shared" si="23"/>
        <v/>
      </c>
      <c r="CF93" t="str">
        <f t="shared" si="24"/>
        <v/>
      </c>
      <c r="CG93" t="str">
        <f t="shared" si="25"/>
        <v/>
      </c>
      <c r="CH93" t="str">
        <f t="shared" si="26"/>
        <v/>
      </c>
      <c r="CI93" t="str">
        <f t="shared" si="27"/>
        <v/>
      </c>
      <c r="CJ93" t="str">
        <f t="shared" si="28"/>
        <v/>
      </c>
      <c r="CK93" t="str">
        <f t="shared" si="29"/>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0"/>
        <v/>
      </c>
      <c r="CC94" t="str">
        <f t="shared" si="21"/>
        <v/>
      </c>
      <c r="CD94" t="str">
        <f t="shared" si="22"/>
        <v/>
      </c>
      <c r="CE94" t="str">
        <f t="shared" si="23"/>
        <v/>
      </c>
      <c r="CF94" t="str">
        <f t="shared" si="24"/>
        <v/>
      </c>
      <c r="CG94" t="str">
        <f t="shared" si="25"/>
        <v/>
      </c>
      <c r="CH94" t="str">
        <f t="shared" si="26"/>
        <v/>
      </c>
      <c r="CI94" t="str">
        <f t="shared" si="27"/>
        <v/>
      </c>
      <c r="CJ94" t="str">
        <f t="shared" si="28"/>
        <v/>
      </c>
      <c r="CK94" t="str">
        <f t="shared" si="29"/>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0"/>
        <v/>
      </c>
      <c r="CC95" t="str">
        <f t="shared" si="21"/>
        <v/>
      </c>
      <c r="CD95" t="str">
        <f t="shared" si="22"/>
        <v/>
      </c>
      <c r="CE95" t="str">
        <f t="shared" si="23"/>
        <v/>
      </c>
      <c r="CF95" t="str">
        <f t="shared" si="24"/>
        <v/>
      </c>
      <c r="CG95" t="str">
        <f t="shared" si="25"/>
        <v/>
      </c>
      <c r="CH95" t="str">
        <f t="shared" si="26"/>
        <v/>
      </c>
      <c r="CI95" t="str">
        <f t="shared" si="27"/>
        <v/>
      </c>
      <c r="CJ95" t="str">
        <f t="shared" si="28"/>
        <v/>
      </c>
      <c r="CK95" t="str">
        <f t="shared" si="29"/>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0"/>
        <v/>
      </c>
      <c r="CC96" t="str">
        <f t="shared" si="21"/>
        <v/>
      </c>
      <c r="CD96" t="str">
        <f t="shared" si="22"/>
        <v/>
      </c>
      <c r="CE96" t="str">
        <f t="shared" si="23"/>
        <v/>
      </c>
      <c r="CF96" t="str">
        <f t="shared" si="24"/>
        <v/>
      </c>
      <c r="CG96" t="str">
        <f t="shared" si="25"/>
        <v/>
      </c>
      <c r="CH96" t="str">
        <f t="shared" si="26"/>
        <v/>
      </c>
      <c r="CI96" t="str">
        <f t="shared" si="27"/>
        <v/>
      </c>
      <c r="CJ96" t="str">
        <f t="shared" si="28"/>
        <v/>
      </c>
      <c r="CK96" t="str">
        <f t="shared" si="29"/>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0"/>
        <v/>
      </c>
      <c r="CC97" t="str">
        <f t="shared" si="21"/>
        <v/>
      </c>
      <c r="CD97" t="str">
        <f t="shared" si="22"/>
        <v/>
      </c>
      <c r="CE97" t="str">
        <f t="shared" si="23"/>
        <v/>
      </c>
      <c r="CF97" t="str">
        <f t="shared" si="24"/>
        <v/>
      </c>
      <c r="CG97" t="str">
        <f t="shared" si="25"/>
        <v/>
      </c>
      <c r="CH97" t="str">
        <f t="shared" si="26"/>
        <v/>
      </c>
      <c r="CI97" t="str">
        <f t="shared" si="27"/>
        <v/>
      </c>
      <c r="CJ97" t="str">
        <f t="shared" si="28"/>
        <v/>
      </c>
      <c r="CK97" t="str">
        <f t="shared" si="29"/>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0"/>
        <v/>
      </c>
      <c r="CC98" t="str">
        <f t="shared" si="21"/>
        <v/>
      </c>
      <c r="CD98" t="str">
        <f t="shared" si="22"/>
        <v/>
      </c>
      <c r="CE98" t="str">
        <f t="shared" si="23"/>
        <v/>
      </c>
      <c r="CF98" t="str">
        <f t="shared" si="24"/>
        <v/>
      </c>
      <c r="CG98" t="str">
        <f t="shared" si="25"/>
        <v/>
      </c>
      <c r="CH98" t="str">
        <f t="shared" si="26"/>
        <v/>
      </c>
      <c r="CI98" t="str">
        <f t="shared" si="27"/>
        <v/>
      </c>
      <c r="CJ98" t="str">
        <f t="shared" si="28"/>
        <v/>
      </c>
      <c r="CK98" t="str">
        <f t="shared" si="29"/>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0">IFERROR(AVERAGE(H99,I99,J99,K99),"")</f>
        <v/>
      </c>
      <c r="CC99" t="str">
        <f t="shared" ref="CC99:CC130" si="31">IFERROR(AVERAGE(L99,M99,N99,O99,P99,R99),"")</f>
        <v/>
      </c>
      <c r="CD99" t="str">
        <f t="shared" ref="CD99:CD130" si="32">IFERROR(AVERAGE(T99,U99,V99,W99,X99,Y99,Z99,AA99,AB99,AC99,AE99),"")</f>
        <v/>
      </c>
      <c r="CE99" t="str">
        <f t="shared" ref="CE99:CE130" si="33">IFERROR(AVERAGE(AG99,AH99,AI99),"")</f>
        <v/>
      </c>
      <c r="CF99" t="str">
        <f t="shared" ref="CF99:CF130" si="34">IFERROR(AVERAGE(AK99,AL99,AM99,AN99,AP99,AQ99,AR99,AS99),"")</f>
        <v/>
      </c>
      <c r="CG99" t="str">
        <f t="shared" ref="CG99:CG130" si="35">IFERROR(AVERAGE(AT99,AU99,AV99,BB99,AW99,AX99,AY99,AZ99,BA99),"")</f>
        <v/>
      </c>
      <c r="CH99" t="str">
        <f t="shared" ref="CH99:CH130" si="36">IFERROR(AVERAGE(BC99,BH99,BI99,BD99,BF99),"")</f>
        <v/>
      </c>
      <c r="CI99" t="str">
        <f t="shared" ref="CI99:CI130" si="37">IFERROR(AVERAGE(BJ99,BK99,BL99,BM99),"")</f>
        <v/>
      </c>
      <c r="CJ99" t="str">
        <f t="shared" ref="CJ99:CJ130" si="38">IFERROR(AVERAGE(BN99,BO99,BP99),"")</f>
        <v/>
      </c>
      <c r="CK99" t="str">
        <f t="shared" ref="CK99:CK130" si="39">IFERROR(AVERAGE(BS99),"")</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0"/>
        <v/>
      </c>
      <c r="CC100" t="str">
        <f t="shared" si="31"/>
        <v/>
      </c>
      <c r="CD100" t="str">
        <f t="shared" si="32"/>
        <v/>
      </c>
      <c r="CE100" t="str">
        <f t="shared" si="33"/>
        <v/>
      </c>
      <c r="CF100" t="str">
        <f t="shared" si="34"/>
        <v/>
      </c>
      <c r="CG100" t="str">
        <f t="shared" si="35"/>
        <v/>
      </c>
      <c r="CH100" t="str">
        <f t="shared" si="36"/>
        <v/>
      </c>
      <c r="CI100" t="str">
        <f t="shared" si="37"/>
        <v/>
      </c>
      <c r="CJ100" t="str">
        <f t="shared" si="38"/>
        <v/>
      </c>
      <c r="CK100" t="str">
        <f t="shared" si="39"/>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0"/>
        <v/>
      </c>
      <c r="CC101" t="str">
        <f t="shared" si="31"/>
        <v/>
      </c>
      <c r="CD101" t="str">
        <f t="shared" si="32"/>
        <v/>
      </c>
      <c r="CE101" t="str">
        <f t="shared" si="33"/>
        <v/>
      </c>
      <c r="CF101" t="str">
        <f t="shared" si="34"/>
        <v/>
      </c>
      <c r="CG101" t="str">
        <f t="shared" si="35"/>
        <v/>
      </c>
      <c r="CH101" t="str">
        <f t="shared" si="36"/>
        <v/>
      </c>
      <c r="CI101" t="str">
        <f t="shared" si="37"/>
        <v/>
      </c>
      <c r="CJ101" t="str">
        <f t="shared" si="38"/>
        <v/>
      </c>
      <c r="CK101" t="str">
        <f t="shared" si="39"/>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0"/>
        <v/>
      </c>
      <c r="CC102" t="str">
        <f t="shared" si="31"/>
        <v/>
      </c>
      <c r="CD102" t="str">
        <f t="shared" si="32"/>
        <v/>
      </c>
      <c r="CE102" t="str">
        <f t="shared" si="33"/>
        <v/>
      </c>
      <c r="CF102" t="str">
        <f t="shared" si="34"/>
        <v/>
      </c>
      <c r="CG102" t="str">
        <f t="shared" si="35"/>
        <v/>
      </c>
      <c r="CH102" t="str">
        <f t="shared" si="36"/>
        <v/>
      </c>
      <c r="CI102" t="str">
        <f t="shared" si="37"/>
        <v/>
      </c>
      <c r="CJ102" t="str">
        <f t="shared" si="38"/>
        <v/>
      </c>
      <c r="CK102" t="str">
        <f t="shared" si="39"/>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0"/>
        <v/>
      </c>
      <c r="CC103" t="str">
        <f t="shared" si="31"/>
        <v/>
      </c>
      <c r="CD103" t="str">
        <f t="shared" si="32"/>
        <v/>
      </c>
      <c r="CE103" t="str">
        <f t="shared" si="33"/>
        <v/>
      </c>
      <c r="CF103" t="str">
        <f t="shared" si="34"/>
        <v/>
      </c>
      <c r="CG103" t="str">
        <f t="shared" si="35"/>
        <v/>
      </c>
      <c r="CH103" t="str">
        <f t="shared" si="36"/>
        <v/>
      </c>
      <c r="CI103" t="str">
        <f t="shared" si="37"/>
        <v/>
      </c>
      <c r="CJ103" t="str">
        <f t="shared" si="38"/>
        <v/>
      </c>
      <c r="CK103" t="str">
        <f t="shared" si="39"/>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0"/>
        <v/>
      </c>
      <c r="CC104" t="str">
        <f t="shared" si="31"/>
        <v/>
      </c>
      <c r="CD104" t="str">
        <f t="shared" si="32"/>
        <v/>
      </c>
      <c r="CE104" t="str">
        <f t="shared" si="33"/>
        <v/>
      </c>
      <c r="CF104" t="str">
        <f t="shared" si="34"/>
        <v/>
      </c>
      <c r="CG104" t="str">
        <f t="shared" si="35"/>
        <v/>
      </c>
      <c r="CH104" t="str">
        <f t="shared" si="36"/>
        <v/>
      </c>
      <c r="CI104" t="str">
        <f t="shared" si="37"/>
        <v/>
      </c>
      <c r="CJ104" t="str">
        <f t="shared" si="38"/>
        <v/>
      </c>
      <c r="CK104" t="str">
        <f t="shared" si="39"/>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0"/>
        <v/>
      </c>
      <c r="CC105" t="str">
        <f t="shared" si="31"/>
        <v/>
      </c>
      <c r="CD105" t="str">
        <f t="shared" si="32"/>
        <v/>
      </c>
      <c r="CE105" t="str">
        <f t="shared" si="33"/>
        <v/>
      </c>
      <c r="CF105" t="str">
        <f t="shared" si="34"/>
        <v/>
      </c>
      <c r="CG105" t="str">
        <f t="shared" si="35"/>
        <v/>
      </c>
      <c r="CH105" t="str">
        <f t="shared" si="36"/>
        <v/>
      </c>
      <c r="CI105" t="str">
        <f t="shared" si="37"/>
        <v/>
      </c>
      <c r="CJ105" t="str">
        <f t="shared" si="38"/>
        <v/>
      </c>
      <c r="CK105" t="str">
        <f t="shared" si="39"/>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0"/>
        <v/>
      </c>
      <c r="CC106" t="str">
        <f t="shared" si="31"/>
        <v/>
      </c>
      <c r="CD106" t="str">
        <f t="shared" si="32"/>
        <v/>
      </c>
      <c r="CE106" t="str">
        <f t="shared" si="33"/>
        <v/>
      </c>
      <c r="CF106" t="str">
        <f t="shared" si="34"/>
        <v/>
      </c>
      <c r="CG106" t="str">
        <f t="shared" si="35"/>
        <v/>
      </c>
      <c r="CH106" t="str">
        <f t="shared" si="36"/>
        <v/>
      </c>
      <c r="CI106" t="str">
        <f t="shared" si="37"/>
        <v/>
      </c>
      <c r="CJ106" t="str">
        <f t="shared" si="38"/>
        <v/>
      </c>
      <c r="CK106" t="str">
        <f t="shared" si="39"/>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0"/>
        <v/>
      </c>
      <c r="CC107" t="str">
        <f t="shared" si="31"/>
        <v/>
      </c>
      <c r="CD107" t="str">
        <f t="shared" si="32"/>
        <v/>
      </c>
      <c r="CE107" t="str">
        <f t="shared" si="33"/>
        <v/>
      </c>
      <c r="CF107" t="str">
        <f t="shared" si="34"/>
        <v/>
      </c>
      <c r="CG107" t="str">
        <f t="shared" si="35"/>
        <v/>
      </c>
      <c r="CH107" t="str">
        <f t="shared" si="36"/>
        <v/>
      </c>
      <c r="CI107" t="str">
        <f t="shared" si="37"/>
        <v/>
      </c>
      <c r="CJ107" t="str">
        <f t="shared" si="38"/>
        <v/>
      </c>
      <c r="CK107" t="str">
        <f t="shared" si="39"/>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0"/>
        <v/>
      </c>
      <c r="CC108" t="str">
        <f t="shared" si="31"/>
        <v/>
      </c>
      <c r="CD108" t="str">
        <f t="shared" si="32"/>
        <v/>
      </c>
      <c r="CE108" t="str">
        <f t="shared" si="33"/>
        <v/>
      </c>
      <c r="CF108" t="str">
        <f t="shared" si="34"/>
        <v/>
      </c>
      <c r="CG108" t="str">
        <f t="shared" si="35"/>
        <v/>
      </c>
      <c r="CH108" t="str">
        <f t="shared" si="36"/>
        <v/>
      </c>
      <c r="CI108" t="str">
        <f t="shared" si="37"/>
        <v/>
      </c>
      <c r="CJ108" t="str">
        <f t="shared" si="38"/>
        <v/>
      </c>
      <c r="CK108" t="str">
        <f t="shared" si="39"/>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0"/>
        <v/>
      </c>
      <c r="CC109" t="str">
        <f t="shared" si="31"/>
        <v/>
      </c>
      <c r="CD109" t="str">
        <f t="shared" si="32"/>
        <v/>
      </c>
      <c r="CE109" t="str">
        <f t="shared" si="33"/>
        <v/>
      </c>
      <c r="CF109" t="str">
        <f t="shared" si="34"/>
        <v/>
      </c>
      <c r="CG109" t="str">
        <f t="shared" si="35"/>
        <v/>
      </c>
      <c r="CH109" t="str">
        <f t="shared" si="36"/>
        <v/>
      </c>
      <c r="CI109" t="str">
        <f t="shared" si="37"/>
        <v/>
      </c>
      <c r="CJ109" t="str">
        <f t="shared" si="38"/>
        <v/>
      </c>
      <c r="CK109" t="str">
        <f t="shared" si="39"/>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0"/>
        <v/>
      </c>
      <c r="CC110" t="str">
        <f t="shared" si="31"/>
        <v/>
      </c>
      <c r="CD110" t="str">
        <f t="shared" si="32"/>
        <v/>
      </c>
      <c r="CE110" t="str">
        <f t="shared" si="33"/>
        <v/>
      </c>
      <c r="CF110" t="str">
        <f t="shared" si="34"/>
        <v/>
      </c>
      <c r="CG110" t="str">
        <f t="shared" si="35"/>
        <v/>
      </c>
      <c r="CH110" t="str">
        <f t="shared" si="36"/>
        <v/>
      </c>
      <c r="CI110" t="str">
        <f t="shared" si="37"/>
        <v/>
      </c>
      <c r="CJ110" t="str">
        <f t="shared" si="38"/>
        <v/>
      </c>
      <c r="CK110" t="str">
        <f t="shared" si="39"/>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0"/>
        <v/>
      </c>
      <c r="CC111" t="str">
        <f t="shared" si="31"/>
        <v/>
      </c>
      <c r="CD111" t="str">
        <f t="shared" si="32"/>
        <v/>
      </c>
      <c r="CE111" t="str">
        <f t="shared" si="33"/>
        <v/>
      </c>
      <c r="CF111" t="str">
        <f t="shared" si="34"/>
        <v/>
      </c>
      <c r="CG111" t="str">
        <f t="shared" si="35"/>
        <v/>
      </c>
      <c r="CH111" t="str">
        <f t="shared" si="36"/>
        <v/>
      </c>
      <c r="CI111" t="str">
        <f t="shared" si="37"/>
        <v/>
      </c>
      <c r="CJ111" t="str">
        <f t="shared" si="38"/>
        <v/>
      </c>
      <c r="CK111" t="str">
        <f t="shared" si="39"/>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0"/>
        <v/>
      </c>
      <c r="CC112" t="str">
        <f t="shared" si="31"/>
        <v/>
      </c>
      <c r="CD112" t="str">
        <f t="shared" si="32"/>
        <v/>
      </c>
      <c r="CE112" t="str">
        <f t="shared" si="33"/>
        <v/>
      </c>
      <c r="CF112" t="str">
        <f t="shared" si="34"/>
        <v/>
      </c>
      <c r="CG112" t="str">
        <f t="shared" si="35"/>
        <v/>
      </c>
      <c r="CH112" t="str">
        <f t="shared" si="36"/>
        <v/>
      </c>
      <c r="CI112" t="str">
        <f t="shared" si="37"/>
        <v/>
      </c>
      <c r="CJ112" t="str">
        <f t="shared" si="38"/>
        <v/>
      </c>
      <c r="CK112" t="str">
        <f t="shared" si="39"/>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0"/>
        <v/>
      </c>
      <c r="CC113" t="str">
        <f t="shared" si="31"/>
        <v/>
      </c>
      <c r="CD113" t="str">
        <f t="shared" si="32"/>
        <v/>
      </c>
      <c r="CE113" t="str">
        <f t="shared" si="33"/>
        <v/>
      </c>
      <c r="CF113" t="str">
        <f t="shared" si="34"/>
        <v/>
      </c>
      <c r="CG113" t="str">
        <f t="shared" si="35"/>
        <v/>
      </c>
      <c r="CH113" t="str">
        <f t="shared" si="36"/>
        <v/>
      </c>
      <c r="CI113" t="str">
        <f t="shared" si="37"/>
        <v/>
      </c>
      <c r="CJ113" t="str">
        <f t="shared" si="38"/>
        <v/>
      </c>
      <c r="CK113" t="str">
        <f t="shared" si="39"/>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0"/>
        <v/>
      </c>
      <c r="CC114" t="str">
        <f t="shared" si="31"/>
        <v/>
      </c>
      <c r="CD114" t="str">
        <f t="shared" si="32"/>
        <v/>
      </c>
      <c r="CE114" t="str">
        <f t="shared" si="33"/>
        <v/>
      </c>
      <c r="CF114" t="str">
        <f t="shared" si="34"/>
        <v/>
      </c>
      <c r="CG114" t="str">
        <f t="shared" si="35"/>
        <v/>
      </c>
      <c r="CH114" t="str">
        <f t="shared" si="36"/>
        <v/>
      </c>
      <c r="CI114" t="str">
        <f t="shared" si="37"/>
        <v/>
      </c>
      <c r="CJ114" t="str">
        <f t="shared" si="38"/>
        <v/>
      </c>
      <c r="CK114" t="str">
        <f t="shared" si="39"/>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0"/>
        <v/>
      </c>
      <c r="CC115" t="str">
        <f t="shared" si="31"/>
        <v/>
      </c>
      <c r="CD115" t="str">
        <f t="shared" si="32"/>
        <v/>
      </c>
      <c r="CE115" t="str">
        <f t="shared" si="33"/>
        <v/>
      </c>
      <c r="CF115" t="str">
        <f t="shared" si="34"/>
        <v/>
      </c>
      <c r="CG115" t="str">
        <f t="shared" si="35"/>
        <v/>
      </c>
      <c r="CH115" t="str">
        <f t="shared" si="36"/>
        <v/>
      </c>
      <c r="CI115" t="str">
        <f t="shared" si="37"/>
        <v/>
      </c>
      <c r="CJ115" t="str">
        <f t="shared" si="38"/>
        <v/>
      </c>
      <c r="CK115" t="str">
        <f t="shared" si="39"/>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0"/>
        <v/>
      </c>
      <c r="CC116" t="str">
        <f t="shared" si="31"/>
        <v/>
      </c>
      <c r="CD116" t="str">
        <f t="shared" si="32"/>
        <v/>
      </c>
      <c r="CE116" t="str">
        <f t="shared" si="33"/>
        <v/>
      </c>
      <c r="CF116" t="str">
        <f t="shared" si="34"/>
        <v/>
      </c>
      <c r="CG116" t="str">
        <f t="shared" si="35"/>
        <v/>
      </c>
      <c r="CH116" t="str">
        <f t="shared" si="36"/>
        <v/>
      </c>
      <c r="CI116" t="str">
        <f t="shared" si="37"/>
        <v/>
      </c>
      <c r="CJ116" t="str">
        <f t="shared" si="38"/>
        <v/>
      </c>
      <c r="CK116" t="str">
        <f t="shared" si="39"/>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0"/>
        <v/>
      </c>
      <c r="CC117" t="str">
        <f t="shared" si="31"/>
        <v/>
      </c>
      <c r="CD117" t="str">
        <f t="shared" si="32"/>
        <v/>
      </c>
      <c r="CE117" t="str">
        <f t="shared" si="33"/>
        <v/>
      </c>
      <c r="CF117" t="str">
        <f t="shared" si="34"/>
        <v/>
      </c>
      <c r="CG117" t="str">
        <f t="shared" si="35"/>
        <v/>
      </c>
      <c r="CH117" t="str">
        <f t="shared" si="36"/>
        <v/>
      </c>
      <c r="CI117" t="str">
        <f t="shared" si="37"/>
        <v/>
      </c>
      <c r="CJ117" t="str">
        <f t="shared" si="38"/>
        <v/>
      </c>
      <c r="CK117" t="str">
        <f t="shared" si="39"/>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0"/>
        <v/>
      </c>
      <c r="CC118" t="str">
        <f t="shared" si="31"/>
        <v/>
      </c>
      <c r="CD118" t="str">
        <f t="shared" si="32"/>
        <v/>
      </c>
      <c r="CE118" t="str">
        <f t="shared" si="33"/>
        <v/>
      </c>
      <c r="CF118" t="str">
        <f t="shared" si="34"/>
        <v/>
      </c>
      <c r="CG118" t="str">
        <f t="shared" si="35"/>
        <v/>
      </c>
      <c r="CH118" t="str">
        <f t="shared" si="36"/>
        <v/>
      </c>
      <c r="CI118" t="str">
        <f t="shared" si="37"/>
        <v/>
      </c>
      <c r="CJ118" t="str">
        <f t="shared" si="38"/>
        <v/>
      </c>
      <c r="CK118" t="str">
        <f t="shared" si="39"/>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0"/>
        <v/>
      </c>
      <c r="CC119" t="str">
        <f t="shared" si="31"/>
        <v/>
      </c>
      <c r="CD119" t="str">
        <f t="shared" si="32"/>
        <v/>
      </c>
      <c r="CE119" t="str">
        <f t="shared" si="33"/>
        <v/>
      </c>
      <c r="CF119" t="str">
        <f t="shared" si="34"/>
        <v/>
      </c>
      <c r="CG119" t="str">
        <f t="shared" si="35"/>
        <v/>
      </c>
      <c r="CH119" t="str">
        <f t="shared" si="36"/>
        <v/>
      </c>
      <c r="CI119" t="str">
        <f t="shared" si="37"/>
        <v/>
      </c>
      <c r="CJ119" t="str">
        <f t="shared" si="38"/>
        <v/>
      </c>
      <c r="CK119" t="str">
        <f t="shared" si="39"/>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0"/>
        <v/>
      </c>
      <c r="CC120" t="str">
        <f t="shared" si="31"/>
        <v/>
      </c>
      <c r="CD120" t="str">
        <f t="shared" si="32"/>
        <v/>
      </c>
      <c r="CE120" t="str">
        <f t="shared" si="33"/>
        <v/>
      </c>
      <c r="CF120" t="str">
        <f t="shared" si="34"/>
        <v/>
      </c>
      <c r="CG120" t="str">
        <f t="shared" si="35"/>
        <v/>
      </c>
      <c r="CH120" t="str">
        <f t="shared" si="36"/>
        <v/>
      </c>
      <c r="CI120" t="str">
        <f t="shared" si="37"/>
        <v/>
      </c>
      <c r="CJ120" t="str">
        <f t="shared" si="38"/>
        <v/>
      </c>
      <c r="CK120" t="str">
        <f t="shared" si="39"/>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0"/>
        <v/>
      </c>
      <c r="CC121" t="str">
        <f t="shared" si="31"/>
        <v/>
      </c>
      <c r="CD121" t="str">
        <f t="shared" si="32"/>
        <v/>
      </c>
      <c r="CE121" t="str">
        <f t="shared" si="33"/>
        <v/>
      </c>
      <c r="CF121" t="str">
        <f t="shared" si="34"/>
        <v/>
      </c>
      <c r="CG121" t="str">
        <f t="shared" si="35"/>
        <v/>
      </c>
      <c r="CH121" t="str">
        <f t="shared" si="36"/>
        <v/>
      </c>
      <c r="CI121" t="str">
        <f t="shared" si="37"/>
        <v/>
      </c>
      <c r="CJ121" t="str">
        <f t="shared" si="38"/>
        <v/>
      </c>
      <c r="CK121" t="str">
        <f t="shared" si="39"/>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0"/>
        <v/>
      </c>
      <c r="CC122" t="str">
        <f t="shared" si="31"/>
        <v/>
      </c>
      <c r="CD122" t="str">
        <f t="shared" si="32"/>
        <v/>
      </c>
      <c r="CE122" t="str">
        <f t="shared" si="33"/>
        <v/>
      </c>
      <c r="CF122" t="str">
        <f t="shared" si="34"/>
        <v/>
      </c>
      <c r="CG122" t="str">
        <f t="shared" si="35"/>
        <v/>
      </c>
      <c r="CH122" t="str">
        <f t="shared" si="36"/>
        <v/>
      </c>
      <c r="CI122" t="str">
        <f t="shared" si="37"/>
        <v/>
      </c>
      <c r="CJ122" t="str">
        <f t="shared" si="38"/>
        <v/>
      </c>
      <c r="CK122" t="str">
        <f t="shared" si="39"/>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0"/>
        <v/>
      </c>
      <c r="CC123" t="str">
        <f t="shared" si="31"/>
        <v/>
      </c>
      <c r="CD123" t="str">
        <f t="shared" si="32"/>
        <v/>
      </c>
      <c r="CE123" t="str">
        <f t="shared" si="33"/>
        <v/>
      </c>
      <c r="CF123" t="str">
        <f t="shared" si="34"/>
        <v/>
      </c>
      <c r="CG123" t="str">
        <f t="shared" si="35"/>
        <v/>
      </c>
      <c r="CH123" t="str">
        <f t="shared" si="36"/>
        <v/>
      </c>
      <c r="CI123" t="str">
        <f t="shared" si="37"/>
        <v/>
      </c>
      <c r="CJ123" t="str">
        <f t="shared" si="38"/>
        <v/>
      </c>
      <c r="CK123" t="str">
        <f t="shared" si="39"/>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0"/>
        <v/>
      </c>
      <c r="CC124" t="str">
        <f t="shared" si="31"/>
        <v/>
      </c>
      <c r="CD124" t="str">
        <f t="shared" si="32"/>
        <v/>
      </c>
      <c r="CE124" t="str">
        <f t="shared" si="33"/>
        <v/>
      </c>
      <c r="CF124" t="str">
        <f t="shared" si="34"/>
        <v/>
      </c>
      <c r="CG124" t="str">
        <f t="shared" si="35"/>
        <v/>
      </c>
      <c r="CH124" t="str">
        <f t="shared" si="36"/>
        <v/>
      </c>
      <c r="CI124" t="str">
        <f t="shared" si="37"/>
        <v/>
      </c>
      <c r="CJ124" t="str">
        <f t="shared" si="38"/>
        <v/>
      </c>
      <c r="CK124" t="str">
        <f t="shared" si="39"/>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0"/>
        <v/>
      </c>
      <c r="CC125" t="str">
        <f t="shared" si="31"/>
        <v/>
      </c>
      <c r="CD125" t="str">
        <f t="shared" si="32"/>
        <v/>
      </c>
      <c r="CE125" t="str">
        <f t="shared" si="33"/>
        <v/>
      </c>
      <c r="CF125" t="str">
        <f t="shared" si="34"/>
        <v/>
      </c>
      <c r="CG125" t="str">
        <f t="shared" si="35"/>
        <v/>
      </c>
      <c r="CH125" t="str">
        <f t="shared" si="36"/>
        <v/>
      </c>
      <c r="CI125" t="str">
        <f t="shared" si="37"/>
        <v/>
      </c>
      <c r="CJ125" t="str">
        <f t="shared" si="38"/>
        <v/>
      </c>
      <c r="CK125" t="str">
        <f t="shared" si="39"/>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0"/>
        <v/>
      </c>
      <c r="CC126" t="str">
        <f t="shared" si="31"/>
        <v/>
      </c>
      <c r="CD126" t="str">
        <f t="shared" si="32"/>
        <v/>
      </c>
      <c r="CE126" t="str">
        <f t="shared" si="33"/>
        <v/>
      </c>
      <c r="CF126" t="str">
        <f t="shared" si="34"/>
        <v/>
      </c>
      <c r="CG126" t="str">
        <f t="shared" si="35"/>
        <v/>
      </c>
      <c r="CH126" t="str">
        <f t="shared" si="36"/>
        <v/>
      </c>
      <c r="CI126" t="str">
        <f t="shared" si="37"/>
        <v/>
      </c>
      <c r="CJ126" t="str">
        <f t="shared" si="38"/>
        <v/>
      </c>
      <c r="CK126" t="str">
        <f t="shared" si="39"/>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0"/>
        <v/>
      </c>
      <c r="CC127" t="str">
        <f t="shared" si="31"/>
        <v/>
      </c>
      <c r="CD127" t="str">
        <f t="shared" si="32"/>
        <v/>
      </c>
      <c r="CE127" t="str">
        <f t="shared" si="33"/>
        <v/>
      </c>
      <c r="CF127" t="str">
        <f t="shared" si="34"/>
        <v/>
      </c>
      <c r="CG127" t="str">
        <f t="shared" si="35"/>
        <v/>
      </c>
      <c r="CH127" t="str">
        <f t="shared" si="36"/>
        <v/>
      </c>
      <c r="CI127" t="str">
        <f t="shared" si="37"/>
        <v/>
      </c>
      <c r="CJ127" t="str">
        <f t="shared" si="38"/>
        <v/>
      </c>
      <c r="CK127" t="str">
        <f t="shared" si="39"/>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0"/>
        <v/>
      </c>
      <c r="CC128" t="str">
        <f t="shared" si="31"/>
        <v/>
      </c>
      <c r="CD128" t="str">
        <f t="shared" si="32"/>
        <v/>
      </c>
      <c r="CE128" t="str">
        <f t="shared" si="33"/>
        <v/>
      </c>
      <c r="CF128" t="str">
        <f t="shared" si="34"/>
        <v/>
      </c>
      <c r="CG128" t="str">
        <f t="shared" si="35"/>
        <v/>
      </c>
      <c r="CH128" t="str">
        <f t="shared" si="36"/>
        <v/>
      </c>
      <c r="CI128" t="str">
        <f t="shared" si="37"/>
        <v/>
      </c>
      <c r="CJ128" t="str">
        <f t="shared" si="38"/>
        <v/>
      </c>
      <c r="CK128" t="str">
        <f t="shared" si="39"/>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0"/>
        <v/>
      </c>
      <c r="CC129" t="str">
        <f t="shared" si="31"/>
        <v/>
      </c>
      <c r="CD129" t="str">
        <f t="shared" si="32"/>
        <v/>
      </c>
      <c r="CE129" t="str">
        <f t="shared" si="33"/>
        <v/>
      </c>
      <c r="CF129" t="str">
        <f t="shared" si="34"/>
        <v/>
      </c>
      <c r="CG129" t="str">
        <f t="shared" si="35"/>
        <v/>
      </c>
      <c r="CH129" t="str">
        <f t="shared" si="36"/>
        <v/>
      </c>
      <c r="CI129" t="str">
        <f t="shared" si="37"/>
        <v/>
      </c>
      <c r="CJ129" t="str">
        <f t="shared" si="38"/>
        <v/>
      </c>
      <c r="CK129" t="str">
        <f t="shared" si="39"/>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0"/>
        <v/>
      </c>
      <c r="CC130" t="str">
        <f t="shared" si="31"/>
        <v/>
      </c>
      <c r="CD130" t="str">
        <f t="shared" si="32"/>
        <v/>
      </c>
      <c r="CE130" t="str">
        <f t="shared" si="33"/>
        <v/>
      </c>
      <c r="CF130" t="str">
        <f t="shared" si="34"/>
        <v/>
      </c>
      <c r="CG130" t="str">
        <f t="shared" si="35"/>
        <v/>
      </c>
      <c r="CH130" t="str">
        <f t="shared" si="36"/>
        <v/>
      </c>
      <c r="CI130" t="str">
        <f t="shared" si="37"/>
        <v/>
      </c>
      <c r="CJ130" t="str">
        <f t="shared" si="38"/>
        <v/>
      </c>
      <c r="CK130" t="str">
        <f t="shared" si="39"/>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0">IFERROR(AVERAGE(H131,I131,J131,K131),"")</f>
        <v/>
      </c>
      <c r="CC131" t="str">
        <f t="shared" ref="CC131:CC162" si="41">IFERROR(AVERAGE(L131,M131,N131,O131,P131,R131),"")</f>
        <v/>
      </c>
      <c r="CD131" t="str">
        <f t="shared" ref="CD131:CD162" si="42">IFERROR(AVERAGE(T131,U131,V131,W131,X131,Y131,Z131,AA131,AB131,AC131,AE131),"")</f>
        <v/>
      </c>
      <c r="CE131" t="str">
        <f t="shared" ref="CE131:CE162" si="43">IFERROR(AVERAGE(AG131,AH131,AI131),"")</f>
        <v/>
      </c>
      <c r="CF131" t="str">
        <f t="shared" ref="CF131:CF162" si="44">IFERROR(AVERAGE(AK131,AL131,AM131,AN131,AP131,AQ131,AR131,AS131),"")</f>
        <v/>
      </c>
      <c r="CG131" t="str">
        <f t="shared" ref="CG131:CG162" si="45">IFERROR(AVERAGE(AT131,AU131,AV131,BB131,AW131,AX131,AY131,AZ131,BA131),"")</f>
        <v/>
      </c>
      <c r="CH131" t="str">
        <f t="shared" ref="CH131:CH162" si="46">IFERROR(AVERAGE(BC131,BH131,BI131,BD131,BF131),"")</f>
        <v/>
      </c>
      <c r="CI131" t="str">
        <f t="shared" ref="CI131:CI162" si="47">IFERROR(AVERAGE(BJ131,BK131,BL131,BM131),"")</f>
        <v/>
      </c>
      <c r="CJ131" t="str">
        <f t="shared" ref="CJ131:CJ162" si="48">IFERROR(AVERAGE(BN131,BO131,BP131),"")</f>
        <v/>
      </c>
      <c r="CK131" t="str">
        <f t="shared" ref="CK131:CK162" si="49">IFERROR(AVERAGE(BS131),"")</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0"/>
        <v/>
      </c>
      <c r="CC132" t="str">
        <f t="shared" si="41"/>
        <v/>
      </c>
      <c r="CD132" t="str">
        <f t="shared" si="42"/>
        <v/>
      </c>
      <c r="CE132" t="str">
        <f t="shared" si="43"/>
        <v/>
      </c>
      <c r="CF132" t="str">
        <f t="shared" si="44"/>
        <v/>
      </c>
      <c r="CG132" t="str">
        <f t="shared" si="45"/>
        <v/>
      </c>
      <c r="CH132" t="str">
        <f t="shared" si="46"/>
        <v/>
      </c>
      <c r="CI132" t="str">
        <f t="shared" si="47"/>
        <v/>
      </c>
      <c r="CJ132" t="str">
        <f t="shared" si="48"/>
        <v/>
      </c>
      <c r="CK132" t="str">
        <f t="shared" si="49"/>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0"/>
        <v/>
      </c>
      <c r="CC133" t="str">
        <f t="shared" si="41"/>
        <v/>
      </c>
      <c r="CD133" t="str">
        <f t="shared" si="42"/>
        <v/>
      </c>
      <c r="CE133" t="str">
        <f t="shared" si="43"/>
        <v/>
      </c>
      <c r="CF133" t="str">
        <f t="shared" si="44"/>
        <v/>
      </c>
      <c r="CG133" t="str">
        <f t="shared" si="45"/>
        <v/>
      </c>
      <c r="CH133" t="str">
        <f t="shared" si="46"/>
        <v/>
      </c>
      <c r="CI133" t="str">
        <f t="shared" si="47"/>
        <v/>
      </c>
      <c r="CJ133" t="str">
        <f t="shared" si="48"/>
        <v/>
      </c>
      <c r="CK133" t="str">
        <f t="shared" si="49"/>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0"/>
        <v/>
      </c>
      <c r="CC134" t="str">
        <f t="shared" si="41"/>
        <v/>
      </c>
      <c r="CD134" t="str">
        <f t="shared" si="42"/>
        <v/>
      </c>
      <c r="CE134" t="str">
        <f t="shared" si="43"/>
        <v/>
      </c>
      <c r="CF134" t="str">
        <f t="shared" si="44"/>
        <v/>
      </c>
      <c r="CG134" t="str">
        <f t="shared" si="45"/>
        <v/>
      </c>
      <c r="CH134" t="str">
        <f t="shared" si="46"/>
        <v/>
      </c>
      <c r="CI134" t="str">
        <f t="shared" si="47"/>
        <v/>
      </c>
      <c r="CJ134" t="str">
        <f t="shared" si="48"/>
        <v/>
      </c>
      <c r="CK134" t="str">
        <f t="shared" si="49"/>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0"/>
        <v/>
      </c>
      <c r="CC135" t="str">
        <f t="shared" si="41"/>
        <v/>
      </c>
      <c r="CD135" t="str">
        <f t="shared" si="42"/>
        <v/>
      </c>
      <c r="CE135" t="str">
        <f t="shared" si="43"/>
        <v/>
      </c>
      <c r="CF135" t="str">
        <f t="shared" si="44"/>
        <v/>
      </c>
      <c r="CG135" t="str">
        <f t="shared" si="45"/>
        <v/>
      </c>
      <c r="CH135" t="str">
        <f t="shared" si="46"/>
        <v/>
      </c>
      <c r="CI135" t="str">
        <f t="shared" si="47"/>
        <v/>
      </c>
      <c r="CJ135" t="str">
        <f t="shared" si="48"/>
        <v/>
      </c>
      <c r="CK135" t="str">
        <f t="shared" si="49"/>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0"/>
        <v/>
      </c>
      <c r="CC136" t="str">
        <f t="shared" si="41"/>
        <v/>
      </c>
      <c r="CD136" t="str">
        <f t="shared" si="42"/>
        <v/>
      </c>
      <c r="CE136" t="str">
        <f t="shared" si="43"/>
        <v/>
      </c>
      <c r="CF136" t="str">
        <f t="shared" si="44"/>
        <v/>
      </c>
      <c r="CG136" t="str">
        <f t="shared" si="45"/>
        <v/>
      </c>
      <c r="CH136" t="str">
        <f t="shared" si="46"/>
        <v/>
      </c>
      <c r="CI136" t="str">
        <f t="shared" si="47"/>
        <v/>
      </c>
      <c r="CJ136" t="str">
        <f t="shared" si="48"/>
        <v/>
      </c>
      <c r="CK136" t="str">
        <f t="shared" si="49"/>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0"/>
        <v/>
      </c>
      <c r="CC137" t="str">
        <f t="shared" si="41"/>
        <v/>
      </c>
      <c r="CD137" t="str">
        <f t="shared" si="42"/>
        <v/>
      </c>
      <c r="CE137" t="str">
        <f t="shared" si="43"/>
        <v/>
      </c>
      <c r="CF137" t="str">
        <f t="shared" si="44"/>
        <v/>
      </c>
      <c r="CG137" t="str">
        <f t="shared" si="45"/>
        <v/>
      </c>
      <c r="CH137" t="str">
        <f t="shared" si="46"/>
        <v/>
      </c>
      <c r="CI137" t="str">
        <f t="shared" si="47"/>
        <v/>
      </c>
      <c r="CJ137" t="str">
        <f t="shared" si="48"/>
        <v/>
      </c>
      <c r="CK137" t="str">
        <f t="shared" si="49"/>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0"/>
        <v/>
      </c>
      <c r="CC138" t="str">
        <f t="shared" si="41"/>
        <v/>
      </c>
      <c r="CD138" t="str">
        <f t="shared" si="42"/>
        <v/>
      </c>
      <c r="CE138" t="str">
        <f t="shared" si="43"/>
        <v/>
      </c>
      <c r="CF138" t="str">
        <f t="shared" si="44"/>
        <v/>
      </c>
      <c r="CG138" t="str">
        <f t="shared" si="45"/>
        <v/>
      </c>
      <c r="CH138" t="str">
        <f t="shared" si="46"/>
        <v/>
      </c>
      <c r="CI138" t="str">
        <f t="shared" si="47"/>
        <v/>
      </c>
      <c r="CJ138" t="str">
        <f t="shared" si="48"/>
        <v/>
      </c>
      <c r="CK138" t="str">
        <f t="shared" si="49"/>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0"/>
        <v/>
      </c>
      <c r="CC139" t="str">
        <f t="shared" si="41"/>
        <v/>
      </c>
      <c r="CD139" t="str">
        <f t="shared" si="42"/>
        <v/>
      </c>
      <c r="CE139" t="str">
        <f t="shared" si="43"/>
        <v/>
      </c>
      <c r="CF139" t="str">
        <f t="shared" si="44"/>
        <v/>
      </c>
      <c r="CG139" t="str">
        <f t="shared" si="45"/>
        <v/>
      </c>
      <c r="CH139" t="str">
        <f t="shared" si="46"/>
        <v/>
      </c>
      <c r="CI139" t="str">
        <f t="shared" si="47"/>
        <v/>
      </c>
      <c r="CJ139" t="str">
        <f t="shared" si="48"/>
        <v/>
      </c>
      <c r="CK139" t="str">
        <f t="shared" si="49"/>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0"/>
        <v/>
      </c>
      <c r="CC140" t="str">
        <f t="shared" si="41"/>
        <v/>
      </c>
      <c r="CD140" t="str">
        <f t="shared" si="42"/>
        <v/>
      </c>
      <c r="CE140" t="str">
        <f t="shared" si="43"/>
        <v/>
      </c>
      <c r="CF140" t="str">
        <f t="shared" si="44"/>
        <v/>
      </c>
      <c r="CG140" t="str">
        <f t="shared" si="45"/>
        <v/>
      </c>
      <c r="CH140" t="str">
        <f t="shared" si="46"/>
        <v/>
      </c>
      <c r="CI140" t="str">
        <f t="shared" si="47"/>
        <v/>
      </c>
      <c r="CJ140" t="str">
        <f t="shared" si="48"/>
        <v/>
      </c>
      <c r="CK140" t="str">
        <f t="shared" si="49"/>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0"/>
        <v/>
      </c>
      <c r="CC141" t="str">
        <f t="shared" si="41"/>
        <v/>
      </c>
      <c r="CD141" t="str">
        <f t="shared" si="42"/>
        <v/>
      </c>
      <c r="CE141" t="str">
        <f t="shared" si="43"/>
        <v/>
      </c>
      <c r="CF141" t="str">
        <f t="shared" si="44"/>
        <v/>
      </c>
      <c r="CG141" t="str">
        <f t="shared" si="45"/>
        <v/>
      </c>
      <c r="CH141" t="str">
        <f t="shared" si="46"/>
        <v/>
      </c>
      <c r="CI141" t="str">
        <f t="shared" si="47"/>
        <v/>
      </c>
      <c r="CJ141" t="str">
        <f t="shared" si="48"/>
        <v/>
      </c>
      <c r="CK141" t="str">
        <f t="shared" si="49"/>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0"/>
        <v/>
      </c>
      <c r="CC142" t="str">
        <f t="shared" si="41"/>
        <v/>
      </c>
      <c r="CD142" t="str">
        <f t="shared" si="42"/>
        <v/>
      </c>
      <c r="CE142" t="str">
        <f t="shared" si="43"/>
        <v/>
      </c>
      <c r="CF142" t="str">
        <f t="shared" si="44"/>
        <v/>
      </c>
      <c r="CG142" t="str">
        <f t="shared" si="45"/>
        <v/>
      </c>
      <c r="CH142" t="str">
        <f t="shared" si="46"/>
        <v/>
      </c>
      <c r="CI142" t="str">
        <f t="shared" si="47"/>
        <v/>
      </c>
      <c r="CJ142" t="str">
        <f t="shared" si="48"/>
        <v/>
      </c>
      <c r="CK142" t="str">
        <f t="shared" si="49"/>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0"/>
        <v/>
      </c>
      <c r="CC143" t="str">
        <f t="shared" si="41"/>
        <v/>
      </c>
      <c r="CD143" t="str">
        <f t="shared" si="42"/>
        <v/>
      </c>
      <c r="CE143" t="str">
        <f t="shared" si="43"/>
        <v/>
      </c>
      <c r="CF143" t="str">
        <f t="shared" si="44"/>
        <v/>
      </c>
      <c r="CG143" t="str">
        <f t="shared" si="45"/>
        <v/>
      </c>
      <c r="CH143" t="str">
        <f t="shared" si="46"/>
        <v/>
      </c>
      <c r="CI143" t="str">
        <f t="shared" si="47"/>
        <v/>
      </c>
      <c r="CJ143" t="str">
        <f t="shared" si="48"/>
        <v/>
      </c>
      <c r="CK143" t="str">
        <f t="shared" si="49"/>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0"/>
        <v/>
      </c>
      <c r="CC144" t="str">
        <f t="shared" si="41"/>
        <v/>
      </c>
      <c r="CD144" t="str">
        <f t="shared" si="42"/>
        <v/>
      </c>
      <c r="CE144" t="str">
        <f t="shared" si="43"/>
        <v/>
      </c>
      <c r="CF144" t="str">
        <f t="shared" si="44"/>
        <v/>
      </c>
      <c r="CG144" t="str">
        <f t="shared" si="45"/>
        <v/>
      </c>
      <c r="CH144" t="str">
        <f t="shared" si="46"/>
        <v/>
      </c>
      <c r="CI144" t="str">
        <f t="shared" si="47"/>
        <v/>
      </c>
      <c r="CJ144" t="str">
        <f t="shared" si="48"/>
        <v/>
      </c>
      <c r="CK144" t="str">
        <f t="shared" si="49"/>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0"/>
        <v/>
      </c>
      <c r="CC145" t="str">
        <f t="shared" si="41"/>
        <v/>
      </c>
      <c r="CD145" t="str">
        <f t="shared" si="42"/>
        <v/>
      </c>
      <c r="CE145" t="str">
        <f t="shared" si="43"/>
        <v/>
      </c>
      <c r="CF145" t="str">
        <f t="shared" si="44"/>
        <v/>
      </c>
      <c r="CG145" t="str">
        <f t="shared" si="45"/>
        <v/>
      </c>
      <c r="CH145" t="str">
        <f t="shared" si="46"/>
        <v/>
      </c>
      <c r="CI145" t="str">
        <f t="shared" si="47"/>
        <v/>
      </c>
      <c r="CJ145" t="str">
        <f t="shared" si="48"/>
        <v/>
      </c>
      <c r="CK145" t="str">
        <f t="shared" si="49"/>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0"/>
        <v/>
      </c>
      <c r="CC146" t="str">
        <f t="shared" si="41"/>
        <v/>
      </c>
      <c r="CD146" t="str">
        <f t="shared" si="42"/>
        <v/>
      </c>
      <c r="CE146" t="str">
        <f t="shared" si="43"/>
        <v/>
      </c>
      <c r="CF146" t="str">
        <f t="shared" si="44"/>
        <v/>
      </c>
      <c r="CG146" t="str">
        <f t="shared" si="45"/>
        <v/>
      </c>
      <c r="CH146" t="str">
        <f t="shared" si="46"/>
        <v/>
      </c>
      <c r="CI146" t="str">
        <f t="shared" si="47"/>
        <v/>
      </c>
      <c r="CJ146" t="str">
        <f t="shared" si="48"/>
        <v/>
      </c>
      <c r="CK146" t="str">
        <f t="shared" si="49"/>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0"/>
        <v/>
      </c>
      <c r="CC147" t="str">
        <f t="shared" si="41"/>
        <v/>
      </c>
      <c r="CD147" t="str">
        <f t="shared" si="42"/>
        <v/>
      </c>
      <c r="CE147" t="str">
        <f t="shared" si="43"/>
        <v/>
      </c>
      <c r="CF147" t="str">
        <f t="shared" si="44"/>
        <v/>
      </c>
      <c r="CG147" t="str">
        <f t="shared" si="45"/>
        <v/>
      </c>
      <c r="CH147" t="str">
        <f t="shared" si="46"/>
        <v/>
      </c>
      <c r="CI147" t="str">
        <f t="shared" si="47"/>
        <v/>
      </c>
      <c r="CJ147" t="str">
        <f t="shared" si="48"/>
        <v/>
      </c>
      <c r="CK147" t="str">
        <f t="shared" si="49"/>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0"/>
        <v/>
      </c>
      <c r="CC148" t="str">
        <f t="shared" si="41"/>
        <v/>
      </c>
      <c r="CD148" t="str">
        <f t="shared" si="42"/>
        <v/>
      </c>
      <c r="CE148" t="str">
        <f t="shared" si="43"/>
        <v/>
      </c>
      <c r="CF148" t="str">
        <f t="shared" si="44"/>
        <v/>
      </c>
      <c r="CG148" t="str">
        <f t="shared" si="45"/>
        <v/>
      </c>
      <c r="CH148" t="str">
        <f t="shared" si="46"/>
        <v/>
      </c>
      <c r="CI148" t="str">
        <f t="shared" si="47"/>
        <v/>
      </c>
      <c r="CJ148" t="str">
        <f t="shared" si="48"/>
        <v/>
      </c>
      <c r="CK148" t="str">
        <f t="shared" si="49"/>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0"/>
        <v/>
      </c>
      <c r="CC149" t="str">
        <f t="shared" si="41"/>
        <v/>
      </c>
      <c r="CD149" t="str">
        <f t="shared" si="42"/>
        <v/>
      </c>
      <c r="CE149" t="str">
        <f t="shared" si="43"/>
        <v/>
      </c>
      <c r="CF149" t="str">
        <f t="shared" si="44"/>
        <v/>
      </c>
      <c r="CG149" t="str">
        <f t="shared" si="45"/>
        <v/>
      </c>
      <c r="CH149" t="str">
        <f t="shared" si="46"/>
        <v/>
      </c>
      <c r="CI149" t="str">
        <f t="shared" si="47"/>
        <v/>
      </c>
      <c r="CJ149" t="str">
        <f t="shared" si="48"/>
        <v/>
      </c>
      <c r="CK149" t="str">
        <f t="shared" si="49"/>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0"/>
        <v/>
      </c>
      <c r="CC150" t="str">
        <f t="shared" si="41"/>
        <v/>
      </c>
      <c r="CD150" t="str">
        <f t="shared" si="42"/>
        <v/>
      </c>
      <c r="CE150" t="str">
        <f t="shared" si="43"/>
        <v/>
      </c>
      <c r="CF150" t="str">
        <f t="shared" si="44"/>
        <v/>
      </c>
      <c r="CG150" t="str">
        <f t="shared" si="45"/>
        <v/>
      </c>
      <c r="CH150" t="str">
        <f t="shared" si="46"/>
        <v/>
      </c>
      <c r="CI150" t="str">
        <f t="shared" si="47"/>
        <v/>
      </c>
      <c r="CJ150" t="str">
        <f t="shared" si="48"/>
        <v/>
      </c>
      <c r="CK150" t="str">
        <f t="shared" si="49"/>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0"/>
        <v/>
      </c>
      <c r="CC151" t="str">
        <f t="shared" si="41"/>
        <v/>
      </c>
      <c r="CD151" t="str">
        <f t="shared" si="42"/>
        <v/>
      </c>
      <c r="CE151" t="str">
        <f t="shared" si="43"/>
        <v/>
      </c>
      <c r="CF151" t="str">
        <f t="shared" si="44"/>
        <v/>
      </c>
      <c r="CG151" t="str">
        <f t="shared" si="45"/>
        <v/>
      </c>
      <c r="CH151" t="str">
        <f t="shared" si="46"/>
        <v/>
      </c>
      <c r="CI151" t="str">
        <f t="shared" si="47"/>
        <v/>
      </c>
      <c r="CJ151" t="str">
        <f t="shared" si="48"/>
        <v/>
      </c>
      <c r="CK151" t="str">
        <f t="shared" si="49"/>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0"/>
        <v/>
      </c>
      <c r="CC152" t="str">
        <f t="shared" si="41"/>
        <v/>
      </c>
      <c r="CD152" t="str">
        <f t="shared" si="42"/>
        <v/>
      </c>
      <c r="CE152" t="str">
        <f t="shared" si="43"/>
        <v/>
      </c>
      <c r="CF152" t="str">
        <f t="shared" si="44"/>
        <v/>
      </c>
      <c r="CG152" t="str">
        <f t="shared" si="45"/>
        <v/>
      </c>
      <c r="CH152" t="str">
        <f t="shared" si="46"/>
        <v/>
      </c>
      <c r="CI152" t="str">
        <f t="shared" si="47"/>
        <v/>
      </c>
      <c r="CJ152" t="str">
        <f t="shared" si="48"/>
        <v/>
      </c>
      <c r="CK152" t="str">
        <f t="shared" si="49"/>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0"/>
        <v/>
      </c>
      <c r="CC153" t="str">
        <f t="shared" si="41"/>
        <v/>
      </c>
      <c r="CD153" t="str">
        <f t="shared" si="42"/>
        <v/>
      </c>
      <c r="CE153" t="str">
        <f t="shared" si="43"/>
        <v/>
      </c>
      <c r="CF153" t="str">
        <f t="shared" si="44"/>
        <v/>
      </c>
      <c r="CG153" t="str">
        <f t="shared" si="45"/>
        <v/>
      </c>
      <c r="CH153" t="str">
        <f t="shared" si="46"/>
        <v/>
      </c>
      <c r="CI153" t="str">
        <f t="shared" si="47"/>
        <v/>
      </c>
      <c r="CJ153" t="str">
        <f t="shared" si="48"/>
        <v/>
      </c>
      <c r="CK153" t="str">
        <f t="shared" si="49"/>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0"/>
        <v/>
      </c>
      <c r="CC154" t="str">
        <f t="shared" si="41"/>
        <v/>
      </c>
      <c r="CD154" t="str">
        <f t="shared" si="42"/>
        <v/>
      </c>
      <c r="CE154" t="str">
        <f t="shared" si="43"/>
        <v/>
      </c>
      <c r="CF154" t="str">
        <f t="shared" si="44"/>
        <v/>
      </c>
      <c r="CG154" t="str">
        <f t="shared" si="45"/>
        <v/>
      </c>
      <c r="CH154" t="str">
        <f t="shared" si="46"/>
        <v/>
      </c>
      <c r="CI154" t="str">
        <f t="shared" si="47"/>
        <v/>
      </c>
      <c r="CJ154" t="str">
        <f t="shared" si="48"/>
        <v/>
      </c>
      <c r="CK154" t="str">
        <f t="shared" si="49"/>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0"/>
        <v/>
      </c>
      <c r="CC155" t="str">
        <f t="shared" si="41"/>
        <v/>
      </c>
      <c r="CD155" t="str">
        <f t="shared" si="42"/>
        <v/>
      </c>
      <c r="CE155" t="str">
        <f t="shared" si="43"/>
        <v/>
      </c>
      <c r="CF155" t="str">
        <f t="shared" si="44"/>
        <v/>
      </c>
      <c r="CG155" t="str">
        <f t="shared" si="45"/>
        <v/>
      </c>
      <c r="CH155" t="str">
        <f t="shared" si="46"/>
        <v/>
      </c>
      <c r="CI155" t="str">
        <f t="shared" si="47"/>
        <v/>
      </c>
      <c r="CJ155" t="str">
        <f t="shared" si="48"/>
        <v/>
      </c>
      <c r="CK155" t="str">
        <f t="shared" si="49"/>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0"/>
        <v/>
      </c>
      <c r="CC156" t="str">
        <f t="shared" si="41"/>
        <v/>
      </c>
      <c r="CD156" t="str">
        <f t="shared" si="42"/>
        <v/>
      </c>
      <c r="CE156" t="str">
        <f t="shared" si="43"/>
        <v/>
      </c>
      <c r="CF156" t="str">
        <f t="shared" si="44"/>
        <v/>
      </c>
      <c r="CG156" t="str">
        <f t="shared" si="45"/>
        <v/>
      </c>
      <c r="CH156" t="str">
        <f t="shared" si="46"/>
        <v/>
      </c>
      <c r="CI156" t="str">
        <f t="shared" si="47"/>
        <v/>
      </c>
      <c r="CJ156" t="str">
        <f t="shared" si="48"/>
        <v/>
      </c>
      <c r="CK156" t="str">
        <f t="shared" si="49"/>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0"/>
        <v/>
      </c>
      <c r="CC157" t="str">
        <f t="shared" si="41"/>
        <v/>
      </c>
      <c r="CD157" t="str">
        <f t="shared" si="42"/>
        <v/>
      </c>
      <c r="CE157" t="str">
        <f t="shared" si="43"/>
        <v/>
      </c>
      <c r="CF157" t="str">
        <f t="shared" si="44"/>
        <v/>
      </c>
      <c r="CG157" t="str">
        <f t="shared" si="45"/>
        <v/>
      </c>
      <c r="CH157" t="str">
        <f t="shared" si="46"/>
        <v/>
      </c>
      <c r="CI157" t="str">
        <f t="shared" si="47"/>
        <v/>
      </c>
      <c r="CJ157" t="str">
        <f t="shared" si="48"/>
        <v/>
      </c>
      <c r="CK157" t="str">
        <f t="shared" si="49"/>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0"/>
        <v/>
      </c>
      <c r="CC158" t="str">
        <f t="shared" si="41"/>
        <v/>
      </c>
      <c r="CD158" t="str">
        <f t="shared" si="42"/>
        <v/>
      </c>
      <c r="CE158" t="str">
        <f t="shared" si="43"/>
        <v/>
      </c>
      <c r="CF158" t="str">
        <f t="shared" si="44"/>
        <v/>
      </c>
      <c r="CG158" t="str">
        <f t="shared" si="45"/>
        <v/>
      </c>
      <c r="CH158" t="str">
        <f t="shared" si="46"/>
        <v/>
      </c>
      <c r="CI158" t="str">
        <f t="shared" si="47"/>
        <v/>
      </c>
      <c r="CJ158" t="str">
        <f t="shared" si="48"/>
        <v/>
      </c>
      <c r="CK158" t="str">
        <f t="shared" si="49"/>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0"/>
        <v/>
      </c>
      <c r="CC159" t="str">
        <f t="shared" si="41"/>
        <v/>
      </c>
      <c r="CD159" t="str">
        <f t="shared" si="42"/>
        <v/>
      </c>
      <c r="CE159" t="str">
        <f t="shared" si="43"/>
        <v/>
      </c>
      <c r="CF159" t="str">
        <f t="shared" si="44"/>
        <v/>
      </c>
      <c r="CG159" t="str">
        <f t="shared" si="45"/>
        <v/>
      </c>
      <c r="CH159" t="str">
        <f t="shared" si="46"/>
        <v/>
      </c>
      <c r="CI159" t="str">
        <f t="shared" si="47"/>
        <v/>
      </c>
      <c r="CJ159" t="str">
        <f t="shared" si="48"/>
        <v/>
      </c>
      <c r="CK159" t="str">
        <f t="shared" si="49"/>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0"/>
        <v/>
      </c>
      <c r="CC160" t="str">
        <f t="shared" si="41"/>
        <v/>
      </c>
      <c r="CD160" t="str">
        <f t="shared" si="42"/>
        <v/>
      </c>
      <c r="CE160" t="str">
        <f t="shared" si="43"/>
        <v/>
      </c>
      <c r="CF160" t="str">
        <f t="shared" si="44"/>
        <v/>
      </c>
      <c r="CG160" t="str">
        <f t="shared" si="45"/>
        <v/>
      </c>
      <c r="CH160" t="str">
        <f t="shared" si="46"/>
        <v/>
      </c>
      <c r="CI160" t="str">
        <f t="shared" si="47"/>
        <v/>
      </c>
      <c r="CJ160" t="str">
        <f t="shared" si="48"/>
        <v/>
      </c>
      <c r="CK160" t="str">
        <f t="shared" si="49"/>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0"/>
        <v/>
      </c>
      <c r="CC161" t="str">
        <f t="shared" si="41"/>
        <v/>
      </c>
      <c r="CD161" t="str">
        <f t="shared" si="42"/>
        <v/>
      </c>
      <c r="CE161" t="str">
        <f t="shared" si="43"/>
        <v/>
      </c>
      <c r="CF161" t="str">
        <f t="shared" si="44"/>
        <v/>
      </c>
      <c r="CG161" t="str">
        <f t="shared" si="45"/>
        <v/>
      </c>
      <c r="CH161" t="str">
        <f t="shared" si="46"/>
        <v/>
      </c>
      <c r="CI161" t="str">
        <f t="shared" si="47"/>
        <v/>
      </c>
      <c r="CJ161" t="str">
        <f t="shared" si="48"/>
        <v/>
      </c>
      <c r="CK161" t="str">
        <f t="shared" si="49"/>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0"/>
        <v/>
      </c>
      <c r="CC162" t="str">
        <f t="shared" si="41"/>
        <v/>
      </c>
      <c r="CD162" t="str">
        <f t="shared" si="42"/>
        <v/>
      </c>
      <c r="CE162" t="str">
        <f t="shared" si="43"/>
        <v/>
      </c>
      <c r="CF162" t="str">
        <f t="shared" si="44"/>
        <v/>
      </c>
      <c r="CG162" t="str">
        <f t="shared" si="45"/>
        <v/>
      </c>
      <c r="CH162" t="str">
        <f t="shared" si="46"/>
        <v/>
      </c>
      <c r="CI162" t="str">
        <f t="shared" si="47"/>
        <v/>
      </c>
      <c r="CJ162" t="str">
        <f t="shared" si="48"/>
        <v/>
      </c>
      <c r="CK162" t="str">
        <f t="shared" si="49"/>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0">IFERROR(AVERAGE(H163,I163,J163,K163),"")</f>
        <v/>
      </c>
      <c r="CC163" t="str">
        <f t="shared" ref="CC163:CC176" si="51">IFERROR(AVERAGE(L163,M163,N163,O163,P163,R163),"")</f>
        <v/>
      </c>
      <c r="CD163" t="str">
        <f t="shared" ref="CD163:CD176" si="52">IFERROR(AVERAGE(T163,U163,V163,W163,X163,Y163,Z163,AA163,AB163,AC163,AE163),"")</f>
        <v/>
      </c>
      <c r="CE163" t="str">
        <f t="shared" ref="CE163:CE176" si="53">IFERROR(AVERAGE(AG163,AH163,AI163),"")</f>
        <v/>
      </c>
      <c r="CF163" t="str">
        <f t="shared" ref="CF163:CF176" si="54">IFERROR(AVERAGE(AK163,AL163,AM163,AN163,AP163,AQ163,AR163,AS163),"")</f>
        <v/>
      </c>
      <c r="CG163" t="str">
        <f t="shared" ref="CG163:CG176" si="55">IFERROR(AVERAGE(AT163,AU163,AV163,BB163,AW163,AX163,AY163,AZ163,BA163),"")</f>
        <v/>
      </c>
      <c r="CH163" t="str">
        <f t="shared" ref="CH163:CH176" si="56">IFERROR(AVERAGE(BC163,BH163,BI163,BD163,BF163),"")</f>
        <v/>
      </c>
      <c r="CI163" t="str">
        <f t="shared" ref="CI163:CI176" si="57">IFERROR(AVERAGE(BJ163,BK163,BL163,BM163),"")</f>
        <v/>
      </c>
      <c r="CJ163" t="str">
        <f t="shared" ref="CJ163:CJ176" si="58">IFERROR(AVERAGE(BN163,BO163,BP163),"")</f>
        <v/>
      </c>
      <c r="CK163" t="str">
        <f t="shared" ref="CK163:CK176" si="59">IFERROR(AVERAGE(BS163),"")</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0"/>
        <v/>
      </c>
      <c r="CC164" t="str">
        <f t="shared" si="51"/>
        <v/>
      </c>
      <c r="CD164" t="str">
        <f t="shared" si="52"/>
        <v/>
      </c>
      <c r="CE164" t="str">
        <f t="shared" si="53"/>
        <v/>
      </c>
      <c r="CF164" t="str">
        <f t="shared" si="54"/>
        <v/>
      </c>
      <c r="CG164" t="str">
        <f t="shared" si="55"/>
        <v/>
      </c>
      <c r="CH164" t="str">
        <f t="shared" si="56"/>
        <v/>
      </c>
      <c r="CI164" t="str">
        <f t="shared" si="57"/>
        <v/>
      </c>
      <c r="CJ164" t="str">
        <f t="shared" si="58"/>
        <v/>
      </c>
      <c r="CK164" t="str">
        <f t="shared" si="59"/>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0"/>
        <v/>
      </c>
      <c r="CC165" t="str">
        <f t="shared" si="51"/>
        <v/>
      </c>
      <c r="CD165" t="str">
        <f t="shared" si="52"/>
        <v/>
      </c>
      <c r="CE165" t="str">
        <f t="shared" si="53"/>
        <v/>
      </c>
      <c r="CF165" t="str">
        <f t="shared" si="54"/>
        <v/>
      </c>
      <c r="CG165" t="str">
        <f t="shared" si="55"/>
        <v/>
      </c>
      <c r="CH165" t="str">
        <f t="shared" si="56"/>
        <v/>
      </c>
      <c r="CI165" t="str">
        <f t="shared" si="57"/>
        <v/>
      </c>
      <c r="CJ165" t="str">
        <f t="shared" si="58"/>
        <v/>
      </c>
      <c r="CK165" t="str">
        <f t="shared" si="59"/>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0"/>
        <v/>
      </c>
      <c r="CC166" t="str">
        <f t="shared" si="51"/>
        <v/>
      </c>
      <c r="CD166" t="str">
        <f t="shared" si="52"/>
        <v/>
      </c>
      <c r="CE166" t="str">
        <f t="shared" si="53"/>
        <v/>
      </c>
      <c r="CF166" t="str">
        <f t="shared" si="54"/>
        <v/>
      </c>
      <c r="CG166" t="str">
        <f t="shared" si="55"/>
        <v/>
      </c>
      <c r="CH166" t="str">
        <f t="shared" si="56"/>
        <v/>
      </c>
      <c r="CI166" t="str">
        <f t="shared" si="57"/>
        <v/>
      </c>
      <c r="CJ166" t="str">
        <f t="shared" si="58"/>
        <v/>
      </c>
      <c r="CK166" t="str">
        <f t="shared" si="59"/>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0"/>
        <v/>
      </c>
      <c r="CC167" t="str">
        <f t="shared" si="51"/>
        <v/>
      </c>
      <c r="CD167" t="str">
        <f t="shared" si="52"/>
        <v/>
      </c>
      <c r="CE167" t="str">
        <f t="shared" si="53"/>
        <v/>
      </c>
      <c r="CF167" t="str">
        <f t="shared" si="54"/>
        <v/>
      </c>
      <c r="CG167" t="str">
        <f t="shared" si="55"/>
        <v/>
      </c>
      <c r="CH167" t="str">
        <f t="shared" si="56"/>
        <v/>
      </c>
      <c r="CI167" t="str">
        <f t="shared" si="57"/>
        <v/>
      </c>
      <c r="CJ167" t="str">
        <f t="shared" si="58"/>
        <v/>
      </c>
      <c r="CK167" t="str">
        <f t="shared" si="59"/>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0"/>
        <v/>
      </c>
      <c r="CC168" t="str">
        <f t="shared" si="51"/>
        <v/>
      </c>
      <c r="CD168" t="str">
        <f t="shared" si="52"/>
        <v/>
      </c>
      <c r="CE168" t="str">
        <f t="shared" si="53"/>
        <v/>
      </c>
      <c r="CF168" t="str">
        <f t="shared" si="54"/>
        <v/>
      </c>
      <c r="CG168" t="str">
        <f t="shared" si="55"/>
        <v/>
      </c>
      <c r="CH168" t="str">
        <f t="shared" si="56"/>
        <v/>
      </c>
      <c r="CI168" t="str">
        <f t="shared" si="57"/>
        <v/>
      </c>
      <c r="CJ168" t="str">
        <f t="shared" si="58"/>
        <v/>
      </c>
      <c r="CK168" t="str">
        <f t="shared" si="59"/>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0"/>
        <v/>
      </c>
      <c r="CC169" t="str">
        <f t="shared" si="51"/>
        <v/>
      </c>
      <c r="CD169" t="str">
        <f t="shared" si="52"/>
        <v/>
      </c>
      <c r="CE169" t="str">
        <f t="shared" si="53"/>
        <v/>
      </c>
      <c r="CF169" t="str">
        <f t="shared" si="54"/>
        <v/>
      </c>
      <c r="CG169" t="str">
        <f t="shared" si="55"/>
        <v/>
      </c>
      <c r="CH169" t="str">
        <f t="shared" si="56"/>
        <v/>
      </c>
      <c r="CI169" t="str">
        <f t="shared" si="57"/>
        <v/>
      </c>
      <c r="CJ169" t="str">
        <f t="shared" si="58"/>
        <v/>
      </c>
      <c r="CK169" t="str">
        <f t="shared" si="59"/>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0"/>
        <v/>
      </c>
      <c r="CC170" t="str">
        <f t="shared" si="51"/>
        <v/>
      </c>
      <c r="CD170" t="str">
        <f t="shared" si="52"/>
        <v/>
      </c>
      <c r="CE170" t="str">
        <f t="shared" si="53"/>
        <v/>
      </c>
      <c r="CF170" t="str">
        <f t="shared" si="54"/>
        <v/>
      </c>
      <c r="CG170" t="str">
        <f t="shared" si="55"/>
        <v/>
      </c>
      <c r="CH170" t="str">
        <f t="shared" si="56"/>
        <v/>
      </c>
      <c r="CI170" t="str">
        <f t="shared" si="57"/>
        <v/>
      </c>
      <c r="CJ170" t="str">
        <f t="shared" si="58"/>
        <v/>
      </c>
      <c r="CK170" t="str">
        <f t="shared" si="59"/>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0"/>
        <v/>
      </c>
      <c r="CC171" t="str">
        <f t="shared" si="51"/>
        <v/>
      </c>
      <c r="CD171" t="str">
        <f t="shared" si="52"/>
        <v/>
      </c>
      <c r="CE171" t="str">
        <f t="shared" si="53"/>
        <v/>
      </c>
      <c r="CF171" t="str">
        <f t="shared" si="54"/>
        <v/>
      </c>
      <c r="CG171" t="str">
        <f t="shared" si="55"/>
        <v/>
      </c>
      <c r="CH171" t="str">
        <f t="shared" si="56"/>
        <v/>
      </c>
      <c r="CI171" t="str">
        <f t="shared" si="57"/>
        <v/>
      </c>
      <c r="CJ171" t="str">
        <f t="shared" si="58"/>
        <v/>
      </c>
      <c r="CK171" t="str">
        <f t="shared" si="59"/>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0"/>
        <v/>
      </c>
      <c r="CC172" t="str">
        <f t="shared" si="51"/>
        <v/>
      </c>
      <c r="CD172" t="str">
        <f t="shared" si="52"/>
        <v/>
      </c>
      <c r="CE172" t="str">
        <f t="shared" si="53"/>
        <v/>
      </c>
      <c r="CF172" t="str">
        <f t="shared" si="54"/>
        <v/>
      </c>
      <c r="CG172" t="str">
        <f t="shared" si="55"/>
        <v/>
      </c>
      <c r="CH172" t="str">
        <f t="shared" si="56"/>
        <v/>
      </c>
      <c r="CI172" t="str">
        <f t="shared" si="57"/>
        <v/>
      </c>
      <c r="CJ172" t="str">
        <f t="shared" si="58"/>
        <v/>
      </c>
      <c r="CK172" t="str">
        <f t="shared" si="59"/>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0"/>
        <v/>
      </c>
      <c r="CC173" t="str">
        <f t="shared" si="51"/>
        <v/>
      </c>
      <c r="CD173" t="str">
        <f t="shared" si="52"/>
        <v/>
      </c>
      <c r="CE173" t="str">
        <f t="shared" si="53"/>
        <v/>
      </c>
      <c r="CF173" t="str">
        <f t="shared" si="54"/>
        <v/>
      </c>
      <c r="CG173" t="str">
        <f t="shared" si="55"/>
        <v/>
      </c>
      <c r="CH173" t="str">
        <f t="shared" si="56"/>
        <v/>
      </c>
      <c r="CI173" t="str">
        <f t="shared" si="57"/>
        <v/>
      </c>
      <c r="CJ173" t="str">
        <f t="shared" si="58"/>
        <v/>
      </c>
      <c r="CK173" t="str">
        <f t="shared" si="59"/>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0"/>
        <v/>
      </c>
      <c r="CC174" t="str">
        <f t="shared" si="51"/>
        <v/>
      </c>
      <c r="CD174" t="str">
        <f t="shared" si="52"/>
        <v/>
      </c>
      <c r="CE174" t="str">
        <f t="shared" si="53"/>
        <v/>
      </c>
      <c r="CF174" t="str">
        <f t="shared" si="54"/>
        <v/>
      </c>
      <c r="CG174" t="str">
        <f t="shared" si="55"/>
        <v/>
      </c>
      <c r="CH174" t="str">
        <f t="shared" si="56"/>
        <v/>
      </c>
      <c r="CI174" t="str">
        <f t="shared" si="57"/>
        <v/>
      </c>
      <c r="CJ174" t="str">
        <f t="shared" si="58"/>
        <v/>
      </c>
      <c r="CK174" t="str">
        <f t="shared" si="59"/>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0"/>
        <v/>
      </c>
      <c r="CC175" t="str">
        <f t="shared" si="51"/>
        <v/>
      </c>
      <c r="CD175" t="str">
        <f t="shared" si="52"/>
        <v/>
      </c>
      <c r="CE175" t="str">
        <f t="shared" si="53"/>
        <v/>
      </c>
      <c r="CF175" t="str">
        <f t="shared" si="54"/>
        <v/>
      </c>
      <c r="CG175" t="str">
        <f t="shared" si="55"/>
        <v/>
      </c>
      <c r="CH175" t="str">
        <f t="shared" si="56"/>
        <v/>
      </c>
      <c r="CI175" t="str">
        <f t="shared" si="57"/>
        <v/>
      </c>
      <c r="CJ175" t="str">
        <f t="shared" si="58"/>
        <v/>
      </c>
      <c r="CK175" t="str">
        <f t="shared" si="59"/>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0"/>
        <v/>
      </c>
      <c r="CC176" t="str">
        <f t="shared" si="51"/>
        <v/>
      </c>
      <c r="CD176" t="str">
        <f t="shared" si="52"/>
        <v/>
      </c>
      <c r="CE176" t="str">
        <f t="shared" si="53"/>
        <v/>
      </c>
      <c r="CF176" t="str">
        <f t="shared" si="54"/>
        <v/>
      </c>
      <c r="CG176" t="str">
        <f t="shared" si="55"/>
        <v/>
      </c>
      <c r="CH176" t="str">
        <f t="shared" si="56"/>
        <v/>
      </c>
      <c r="CI176" t="str">
        <f t="shared" si="57"/>
        <v/>
      </c>
      <c r="CJ176" t="str">
        <f t="shared" si="58"/>
        <v/>
      </c>
      <c r="CK176" t="str">
        <f t="shared" si="59"/>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71" t="s">
        <v>898</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8" ht="22.05" customHeight="1" x14ac:dyDescent="0.3">
      <c r="A2" s="76" t="s">
        <v>1066</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8" ht="54" customHeight="1" x14ac:dyDescent="0.3">
      <c r="A3" s="1" t="s">
        <v>21</v>
      </c>
      <c r="B3" s="1" t="s">
        <v>899</v>
      </c>
      <c r="C3" s="1" t="s">
        <v>23</v>
      </c>
      <c r="D3" s="1" t="s">
        <v>32</v>
      </c>
      <c r="E3" s="2" t="s">
        <v>900</v>
      </c>
      <c r="F3" s="3" t="s">
        <v>901</v>
      </c>
      <c r="G3" s="3" t="s">
        <v>902</v>
      </c>
      <c r="H3" s="2" t="s">
        <v>903</v>
      </c>
      <c r="I3" s="3" t="s">
        <v>904</v>
      </c>
      <c r="J3" s="3" t="s">
        <v>905</v>
      </c>
      <c r="K3" s="2" t="s">
        <v>906</v>
      </c>
      <c r="L3" s="2" t="s">
        <v>907</v>
      </c>
      <c r="M3" s="2" t="s">
        <v>908</v>
      </c>
      <c r="N3" s="2" t="s">
        <v>1605</v>
      </c>
      <c r="O3" s="2" t="s">
        <v>909</v>
      </c>
      <c r="P3" s="4" t="s">
        <v>910</v>
      </c>
      <c r="Q3" s="4" t="s">
        <v>911</v>
      </c>
      <c r="R3" s="4" t="s">
        <v>912</v>
      </c>
      <c r="S3" s="4" t="s">
        <v>913</v>
      </c>
      <c r="T3" s="4" t="s">
        <v>914</v>
      </c>
      <c r="U3" s="5" t="s">
        <v>915</v>
      </c>
      <c r="V3" s="5" t="s">
        <v>916</v>
      </c>
      <c r="W3" s="5" t="s">
        <v>917</v>
      </c>
      <c r="X3" s="5" t="s">
        <v>918</v>
      </c>
      <c r="Y3" s="5" t="s">
        <v>919</v>
      </c>
      <c r="Z3" s="6" t="s">
        <v>920</v>
      </c>
      <c r="AA3" s="7" t="s">
        <v>921</v>
      </c>
      <c r="AB3" s="8" t="s">
        <v>922</v>
      </c>
      <c r="AC3" s="9" t="s">
        <v>923</v>
      </c>
      <c r="AD3" s="8" t="s">
        <v>924</v>
      </c>
      <c r="AE3" s="10" t="s">
        <v>925</v>
      </c>
      <c r="AF3" s="10" t="s">
        <v>926</v>
      </c>
      <c r="AG3" s="10" t="s">
        <v>927</v>
      </c>
      <c r="AH3" s="10" t="s">
        <v>928</v>
      </c>
      <c r="AI3" s="11" t="s">
        <v>1067</v>
      </c>
      <c r="AJ3" s="12" t="s">
        <v>929</v>
      </c>
      <c r="AK3" s="4" t="s">
        <v>930</v>
      </c>
      <c r="AL3" s="6" t="s">
        <v>931</v>
      </c>
    </row>
    <row r="4" spans="1:38" ht="16.05" customHeight="1" x14ac:dyDescent="0.3">
      <c r="A4" s="13" t="s">
        <v>62</v>
      </c>
      <c r="B4" s="14" t="s">
        <v>63</v>
      </c>
      <c r="C4" s="13" t="s">
        <v>64</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f t="shared" ref="Q4:Q35" si="1">IFERROR(SQRT(G4*H4),0)</f>
        <v>0</v>
      </c>
      <c r="R4" s="17">
        <f t="shared" ref="R4:R35" si="2">IFERROR((I4+J4+L4)/3,0)</f>
        <v>0</v>
      </c>
      <c r="S4" s="17">
        <f t="shared" ref="S4:S35" si="3">IFERROR((J4+F4)/2,0)</f>
        <v>0</v>
      </c>
      <c r="T4" s="17" t="str">
        <f>IF(ISNUMBER(MATRIZ_174!O3),IFERROR((K4+M4+MATRIZ_174!O3)/3,0),"")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IFERROR(ROUND(AVERAGE(U4,V4,W4,X4,Y4),1),0)</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t="str">
        <f>IFERROR(MATRIZ_174!AP3,"—")</f>
        <v>—</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row>
    <row r="5" spans="1:38" ht="16.05" customHeight="1" x14ac:dyDescent="0.3">
      <c r="A5" s="13" t="s">
        <v>70</v>
      </c>
      <c r="B5" s="14" t="s">
        <v>71</v>
      </c>
      <c r="C5" s="13" t="s">
        <v>72</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f t="shared" si="1"/>
        <v>0</v>
      </c>
      <c r="R5" s="17">
        <f t="shared" si="2"/>
        <v>0</v>
      </c>
      <c r="S5" s="17">
        <f t="shared" si="3"/>
        <v>0</v>
      </c>
      <c r="T5" s="17" t="str">
        <f>IF(ISNUMBER(MATRIZ_174!O4),IFERROR((K5+M5+MATRIZ_174!O4)/3,0),"")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t="str">
        <f>IFERROR(MATRIZ_174!AP4,"—")</f>
        <v>—</v>
      </c>
      <c r="AJ5" s="17" t="str">
        <f>IFERROR(MATRIZ_174!AO4,"N/A")</f>
        <v>N/A</v>
      </c>
      <c r="AK5" s="23" t="str">
        <f t="shared" si="9"/>
        <v>N/A</v>
      </c>
      <c r="AL5" s="24" t="str">
        <f t="shared" si="10"/>
        <v>—</v>
      </c>
    </row>
    <row r="6" spans="1:38" ht="16.05" customHeight="1" x14ac:dyDescent="0.3">
      <c r="A6" s="13" t="s">
        <v>75</v>
      </c>
      <c r="B6" s="14" t="s">
        <v>76</v>
      </c>
      <c r="C6" s="13" t="s">
        <v>77</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f t="shared" si="1"/>
        <v>0</v>
      </c>
      <c r="R6" s="17">
        <f t="shared" si="2"/>
        <v>0</v>
      </c>
      <c r="S6" s="17">
        <f t="shared" si="3"/>
        <v>0</v>
      </c>
      <c r="T6" s="17" t="str">
        <f>IF(ISNUMBER(MATRIZ_174!O5),IFERROR((K6+M6+MATRIZ_174!O5)/3,0),"")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t="str">
        <f>IFERROR(MATRIZ_174!AP5,"—")</f>
        <v>—</v>
      </c>
      <c r="AJ6" s="17" t="str">
        <f>IFERROR(MATRIZ_174!AO5,"N/A")</f>
        <v>N/A</v>
      </c>
      <c r="AK6" s="23" t="str">
        <f t="shared" si="9"/>
        <v>N/A</v>
      </c>
      <c r="AL6" s="24" t="str">
        <f t="shared" si="10"/>
        <v>—</v>
      </c>
    </row>
    <row r="7" spans="1:38" ht="16.05" customHeight="1" x14ac:dyDescent="0.3">
      <c r="A7" s="13" t="s">
        <v>78</v>
      </c>
      <c r="B7" s="14" t="s">
        <v>79</v>
      </c>
      <c r="C7" s="13" t="s">
        <v>80</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f t="shared" si="1"/>
        <v>0</v>
      </c>
      <c r="R7" s="17">
        <f t="shared" si="2"/>
        <v>0</v>
      </c>
      <c r="S7" s="17">
        <f t="shared" si="3"/>
        <v>0</v>
      </c>
      <c r="T7" s="17">
        <f>IF(ISNUMBER(MATRIZ_174!O6),IFERROR((K7+M7+MATRIZ_174!O6)/3,0),"")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t="str">
        <f>IFERROR(MATRIZ_174!AP6,"—")</f>
        <v>—</v>
      </c>
      <c r="AJ7" s="17" t="str">
        <f>IFERROR(MATRIZ_174!AO6,"N/A")</f>
        <v>N/A</v>
      </c>
      <c r="AK7" s="23" t="str">
        <f t="shared" si="9"/>
        <v>N/A</v>
      </c>
      <c r="AL7" s="24" t="str">
        <f t="shared" si="10"/>
        <v>—</v>
      </c>
    </row>
    <row r="8" spans="1:38" ht="16.05" customHeight="1" x14ac:dyDescent="0.3">
      <c r="A8" s="13" t="s">
        <v>81</v>
      </c>
      <c r="B8" s="14" t="s">
        <v>82</v>
      </c>
      <c r="C8" s="13" t="s">
        <v>80</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f t="shared" si="1"/>
        <v>0</v>
      </c>
      <c r="R8" s="17">
        <f t="shared" si="2"/>
        <v>0</v>
      </c>
      <c r="S8" s="17">
        <f t="shared" si="3"/>
        <v>0</v>
      </c>
      <c r="T8" s="17">
        <f>IF(ISNUMBER(MATRIZ_174!O7),IFERROR((K8+M8+MATRIZ_174!O7)/3,0),"")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t="str">
        <f>IFERROR(MATRIZ_174!AP7,"—")</f>
        <v>—</v>
      </c>
      <c r="AJ8" s="17" t="str">
        <f>IFERROR(MATRIZ_174!AO7,"N/A")</f>
        <v>N/A</v>
      </c>
      <c r="AK8" s="23" t="str">
        <f t="shared" si="9"/>
        <v>N/A</v>
      </c>
      <c r="AL8" s="24" t="str">
        <f t="shared" si="10"/>
        <v>—</v>
      </c>
    </row>
    <row r="9" spans="1:38" ht="16.05" customHeight="1" x14ac:dyDescent="0.3">
      <c r="A9" s="13" t="s">
        <v>84</v>
      </c>
      <c r="B9" s="14" t="s">
        <v>85</v>
      </c>
      <c r="C9" s="13" t="s">
        <v>80</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f t="shared" si="1"/>
        <v>0</v>
      </c>
      <c r="R9" s="17">
        <f t="shared" si="2"/>
        <v>0</v>
      </c>
      <c r="S9" s="17">
        <f t="shared" si="3"/>
        <v>0</v>
      </c>
      <c r="T9" s="17" t="str">
        <f>IF(ISNUMBER(MATRIZ_174!O8),IFERROR((K9+M9+MATRIZ_174!O8)/3,0),"")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t="str">
        <f>IFERROR(MATRIZ_174!AP8,"—")</f>
        <v>—</v>
      </c>
      <c r="AJ9" s="17" t="str">
        <f>IFERROR(MATRIZ_174!AO8,"N/A")</f>
        <v>N/A</v>
      </c>
      <c r="AK9" s="23" t="str">
        <f t="shared" si="9"/>
        <v>N/A</v>
      </c>
      <c r="AL9" s="24" t="str">
        <f t="shared" si="10"/>
        <v>—</v>
      </c>
    </row>
    <row r="10" spans="1:38" ht="16.05" customHeight="1" x14ac:dyDescent="0.3">
      <c r="A10" s="13" t="s">
        <v>86</v>
      </c>
      <c r="B10" s="14" t="s">
        <v>87</v>
      </c>
      <c r="C10" s="13" t="s">
        <v>80</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f t="shared" si="1"/>
        <v>0</v>
      </c>
      <c r="R10" s="17">
        <f t="shared" si="2"/>
        <v>0</v>
      </c>
      <c r="S10" s="17">
        <f t="shared" si="3"/>
        <v>0</v>
      </c>
      <c r="T10" s="17" t="str">
        <f>IF(ISNUMBER(MATRIZ_174!O9),IFERROR((K10+M10+MATRIZ_174!O9)/3,0),"")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t="str">
        <f>IFERROR(MATRIZ_174!AP9,"—")</f>
        <v>—</v>
      </c>
      <c r="AJ10" s="17" t="str">
        <f>IFERROR(MATRIZ_174!AO9,"N/A")</f>
        <v>N/A</v>
      </c>
      <c r="AK10" s="23" t="str">
        <f t="shared" si="9"/>
        <v>N/A</v>
      </c>
      <c r="AL10" s="24" t="str">
        <f t="shared" si="10"/>
        <v>—</v>
      </c>
    </row>
    <row r="11" spans="1:38" ht="16.05" customHeight="1" x14ac:dyDescent="0.3">
      <c r="A11" s="13" t="s">
        <v>88</v>
      </c>
      <c r="B11" s="14" t="s">
        <v>89</v>
      </c>
      <c r="C11" s="13" t="s">
        <v>80</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f t="shared" si="1"/>
        <v>0</v>
      </c>
      <c r="R11" s="17">
        <f t="shared" si="2"/>
        <v>0</v>
      </c>
      <c r="S11" s="17">
        <f t="shared" si="3"/>
        <v>0</v>
      </c>
      <c r="T11" s="17">
        <f>IF(ISNUMBER(MATRIZ_174!O10),IFERROR((K11+M11+MATRIZ_174!O10)/3,0),"")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t="str">
        <f>IFERROR(MATRIZ_174!AP10,"—")</f>
        <v>—</v>
      </c>
      <c r="AJ11" s="17" t="str">
        <f>IFERROR(MATRIZ_174!AO10,"N/A")</f>
        <v>N/A</v>
      </c>
      <c r="AK11" s="23" t="str">
        <f t="shared" si="9"/>
        <v>N/A</v>
      </c>
      <c r="AL11" s="24" t="str">
        <f t="shared" si="10"/>
        <v>—</v>
      </c>
    </row>
    <row r="12" spans="1:38" ht="16.05" customHeight="1" x14ac:dyDescent="0.3">
      <c r="A12" s="13" t="s">
        <v>90</v>
      </c>
      <c r="B12" s="14" t="s">
        <v>91</v>
      </c>
      <c r="C12" s="13" t="s">
        <v>80</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f t="shared" si="1"/>
        <v>0</v>
      </c>
      <c r="R12" s="17">
        <f t="shared" si="2"/>
        <v>0</v>
      </c>
      <c r="S12" s="17">
        <f t="shared" si="3"/>
        <v>0</v>
      </c>
      <c r="T12" s="17" t="str">
        <f>IF(ISNUMBER(MATRIZ_174!O11),IFERROR((K12+M12+MATRIZ_174!O11)/3,0),"")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t="str">
        <f>IFERROR(MATRIZ_174!AP11,"—")</f>
        <v>—</v>
      </c>
      <c r="AJ12" s="17" t="str">
        <f>IFERROR(MATRIZ_174!AO11,"N/A")</f>
        <v>N/A</v>
      </c>
      <c r="AK12" s="23" t="str">
        <f t="shared" si="9"/>
        <v>N/A</v>
      </c>
      <c r="AL12" s="24" t="str">
        <f t="shared" si="10"/>
        <v>—</v>
      </c>
    </row>
    <row r="13" spans="1:38" ht="16.05" customHeight="1" x14ac:dyDescent="0.3">
      <c r="A13" s="13" t="s">
        <v>92</v>
      </c>
      <c r="B13" s="14" t="s">
        <v>93</v>
      </c>
      <c r="C13" s="13" t="s">
        <v>80</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f t="shared" si="1"/>
        <v>0</v>
      </c>
      <c r="R13" s="17">
        <f t="shared" si="2"/>
        <v>0</v>
      </c>
      <c r="S13" s="17">
        <f t="shared" si="3"/>
        <v>0</v>
      </c>
      <c r="T13" s="17">
        <f>IF(ISNUMBER(MATRIZ_174!O12),IFERROR((K13+M13+MATRIZ_174!O12)/3,0),"")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t="str">
        <f>IFERROR(MATRIZ_174!AP12,"—")</f>
        <v>—</v>
      </c>
      <c r="AJ13" s="17" t="str">
        <f>IFERROR(MATRIZ_174!AO12,"N/A")</f>
        <v>N/A</v>
      </c>
      <c r="AK13" s="23" t="str">
        <f t="shared" si="9"/>
        <v>N/A</v>
      </c>
      <c r="AL13" s="24" t="str">
        <f t="shared" si="10"/>
        <v>—</v>
      </c>
    </row>
    <row r="14" spans="1:38" ht="16.05" customHeight="1" x14ac:dyDescent="0.3">
      <c r="A14" s="13" t="s">
        <v>95</v>
      </c>
      <c r="B14" s="14" t="s">
        <v>96</v>
      </c>
      <c r="C14" s="13" t="s">
        <v>80</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f t="shared" si="1"/>
        <v>0</v>
      </c>
      <c r="R14" s="17">
        <f t="shared" si="2"/>
        <v>0</v>
      </c>
      <c r="S14" s="17">
        <f t="shared" si="3"/>
        <v>0</v>
      </c>
      <c r="T14" s="17">
        <f>IF(ISNUMBER(MATRIZ_174!O13),IFERROR((K14+M14+MATRIZ_174!O13)/3,0),"")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t="str">
        <f>IFERROR(MATRIZ_174!AP13,"—")</f>
        <v>—</v>
      </c>
      <c r="AJ14" s="17" t="str">
        <f>IFERROR(MATRIZ_174!AO13,"N/A")</f>
        <v>N/A</v>
      </c>
      <c r="AK14" s="23" t="str">
        <f t="shared" si="9"/>
        <v>N/A</v>
      </c>
      <c r="AL14" s="24" t="str">
        <f t="shared" si="10"/>
        <v>—</v>
      </c>
    </row>
    <row r="15" spans="1:38" ht="16.05" customHeight="1" x14ac:dyDescent="0.3">
      <c r="A15" s="13" t="s">
        <v>97</v>
      </c>
      <c r="B15" s="14" t="s">
        <v>98</v>
      </c>
      <c r="C15" s="13" t="s">
        <v>72</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f t="shared" si="1"/>
        <v>0</v>
      </c>
      <c r="R15" s="17">
        <f t="shared" si="2"/>
        <v>0</v>
      </c>
      <c r="S15" s="17">
        <f t="shared" si="3"/>
        <v>0</v>
      </c>
      <c r="T15" s="17" t="str">
        <f>IF(ISNUMBER(MATRIZ_174!O14),IFERROR((K15+M15+MATRIZ_174!O14)/3,0),"")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t="str">
        <f>IFERROR(MATRIZ_174!AP14,"—")</f>
        <v>—</v>
      </c>
      <c r="AJ15" s="17" t="str">
        <f>IFERROR(MATRIZ_174!AO14,"N/A")</f>
        <v>N/A</v>
      </c>
      <c r="AK15" s="23" t="str">
        <f t="shared" si="9"/>
        <v>N/A</v>
      </c>
      <c r="AL15" s="24" t="str">
        <f t="shared" si="10"/>
        <v>—</v>
      </c>
    </row>
    <row r="16" spans="1:38" ht="16.05" customHeight="1" x14ac:dyDescent="0.3">
      <c r="A16" s="13" t="s">
        <v>99</v>
      </c>
      <c r="B16" s="14" t="s">
        <v>100</v>
      </c>
      <c r="C16" s="13" t="s">
        <v>64</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f t="shared" si="1"/>
        <v>0</v>
      </c>
      <c r="R16" s="17">
        <f t="shared" si="2"/>
        <v>0</v>
      </c>
      <c r="S16" s="17">
        <f t="shared" si="3"/>
        <v>0</v>
      </c>
      <c r="T16" s="17" t="str">
        <f>IF(ISNUMBER(MATRIZ_174!O15),IFERROR((K16+M16+MATRIZ_174!O15)/3,0),"")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t="str">
        <f>IFERROR(MATRIZ_174!AP15,"—")</f>
        <v>—</v>
      </c>
      <c r="AJ16" s="17" t="str">
        <f>IFERROR(MATRIZ_174!AO15,"N/A")</f>
        <v>N/A</v>
      </c>
      <c r="AK16" s="23" t="str">
        <f t="shared" si="9"/>
        <v>N/A</v>
      </c>
      <c r="AL16" s="24" t="str">
        <f t="shared" si="10"/>
        <v>—</v>
      </c>
    </row>
    <row r="17" spans="1:38" ht="16.05" customHeight="1" x14ac:dyDescent="0.3">
      <c r="A17" s="13" t="s">
        <v>101</v>
      </c>
      <c r="B17" s="14" t="s">
        <v>102</v>
      </c>
      <c r="C17" s="13" t="s">
        <v>103</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f t="shared" si="1"/>
        <v>0</v>
      </c>
      <c r="R17" s="17">
        <f t="shared" si="2"/>
        <v>0</v>
      </c>
      <c r="S17" s="17">
        <f t="shared" si="3"/>
        <v>0</v>
      </c>
      <c r="T17" s="17" t="str">
        <f>IF(ISNUMBER(MATRIZ_174!O16),IFERROR((K17+M17+MATRIZ_174!O16)/3,0),"")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t="str">
        <f>IFERROR(MATRIZ_174!AP16,"—")</f>
        <v>—</v>
      </c>
      <c r="AJ17" s="17" t="str">
        <f>IFERROR(MATRIZ_174!AO16,"N/A")</f>
        <v>N/A</v>
      </c>
      <c r="AK17" s="23" t="str">
        <f t="shared" si="9"/>
        <v>N/A</v>
      </c>
      <c r="AL17" s="24" t="str">
        <f t="shared" si="10"/>
        <v>—</v>
      </c>
    </row>
    <row r="18" spans="1:38" ht="16.05" customHeight="1" x14ac:dyDescent="0.3">
      <c r="A18" s="13" t="s">
        <v>104</v>
      </c>
      <c r="B18" s="14" t="s">
        <v>105</v>
      </c>
      <c r="C18" s="13" t="s">
        <v>80</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f t="shared" si="1"/>
        <v>0</v>
      </c>
      <c r="R18" s="17">
        <f t="shared" si="2"/>
        <v>0</v>
      </c>
      <c r="S18" s="17">
        <f t="shared" si="3"/>
        <v>0</v>
      </c>
      <c r="T18" s="17">
        <f>IF(ISNUMBER(MATRIZ_174!O17),IFERROR((K18+M18+MATRIZ_174!O17)/3,0),"")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t="str">
        <f>IFERROR(MATRIZ_174!AP17,"—")</f>
        <v>—</v>
      </c>
      <c r="AJ18" s="17" t="str">
        <f>IFERROR(MATRIZ_174!AO17,"N/A")</f>
        <v>N/A</v>
      </c>
      <c r="AK18" s="23" t="str">
        <f t="shared" si="9"/>
        <v>N/A</v>
      </c>
      <c r="AL18" s="24" t="str">
        <f t="shared" si="10"/>
        <v>—</v>
      </c>
    </row>
    <row r="19" spans="1:38" ht="16.05" customHeight="1" x14ac:dyDescent="0.3">
      <c r="A19" s="13" t="s">
        <v>107</v>
      </c>
      <c r="B19" s="14" t="s">
        <v>108</v>
      </c>
      <c r="C19" s="13" t="s">
        <v>109</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f t="shared" si="1"/>
        <v>0</v>
      </c>
      <c r="R19" s="17">
        <f t="shared" si="2"/>
        <v>0</v>
      </c>
      <c r="S19" s="17">
        <f t="shared" si="3"/>
        <v>0</v>
      </c>
      <c r="T19" s="17" t="str">
        <f>IF(ISNUMBER(MATRIZ_174!O18),IFERROR((K19+M19+MATRIZ_174!O18)/3,0),"")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t="str">
        <f>IFERROR(MATRIZ_174!AP18,"—")</f>
        <v>—</v>
      </c>
      <c r="AJ19" s="17" t="str">
        <f>IFERROR(MATRIZ_174!AO18,"N/A")</f>
        <v>N/A</v>
      </c>
      <c r="AK19" s="23" t="str">
        <f t="shared" si="9"/>
        <v>N/A</v>
      </c>
      <c r="AL19" s="24" t="str">
        <f t="shared" si="10"/>
        <v>—</v>
      </c>
    </row>
    <row r="20" spans="1:38" ht="16.05" customHeight="1" x14ac:dyDescent="0.3">
      <c r="A20" s="13" t="s">
        <v>110</v>
      </c>
      <c r="B20" s="14" t="s">
        <v>111</v>
      </c>
      <c r="C20" s="13" t="s">
        <v>112</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f t="shared" si="1"/>
        <v>0</v>
      </c>
      <c r="R20" s="17">
        <f t="shared" si="2"/>
        <v>0</v>
      </c>
      <c r="S20" s="17">
        <f t="shared" si="3"/>
        <v>0</v>
      </c>
      <c r="T20" s="17" t="str">
        <f>IF(ISNUMBER(MATRIZ_174!O19),IFERROR((K20+M20+MATRIZ_174!O19)/3,0),"")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t="str">
        <f>IFERROR(MATRIZ_174!AP19,"—")</f>
        <v>—</v>
      </c>
      <c r="AJ20" s="17" t="str">
        <f>IFERROR(MATRIZ_174!AO19,"N/A")</f>
        <v>N/A</v>
      </c>
      <c r="AK20" s="23" t="str">
        <f t="shared" si="9"/>
        <v>N/A</v>
      </c>
      <c r="AL20" s="24" t="str">
        <f t="shared" si="10"/>
        <v>—</v>
      </c>
    </row>
    <row r="21" spans="1:38" ht="16.05" customHeight="1" x14ac:dyDescent="0.3">
      <c r="A21" s="13" t="s">
        <v>113</v>
      </c>
      <c r="B21" s="14" t="s">
        <v>114</v>
      </c>
      <c r="C21" s="13" t="s">
        <v>80</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f t="shared" si="1"/>
        <v>0</v>
      </c>
      <c r="R21" s="17">
        <f t="shared" si="2"/>
        <v>0</v>
      </c>
      <c r="S21" s="17">
        <f t="shared" si="3"/>
        <v>0</v>
      </c>
      <c r="T21" s="17">
        <f>IF(ISNUMBER(MATRIZ_174!O20),IFERROR((K21+M21+MATRIZ_174!O20)/3,0),"")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t="str">
        <f>IFERROR(MATRIZ_174!AP20,"—")</f>
        <v>—</v>
      </c>
      <c r="AJ21" s="17" t="str">
        <f>IFERROR(MATRIZ_174!AO20,"N/A")</f>
        <v>N/A</v>
      </c>
      <c r="AK21" s="23" t="str">
        <f t="shared" si="9"/>
        <v>N/A</v>
      </c>
      <c r="AL21" s="24" t="str">
        <f t="shared" si="10"/>
        <v>—</v>
      </c>
    </row>
    <row r="22" spans="1:38" ht="16.05" customHeight="1" x14ac:dyDescent="0.3">
      <c r="A22" s="13" t="s">
        <v>115</v>
      </c>
      <c r="B22" s="14" t="s">
        <v>116</v>
      </c>
      <c r="C22" s="13" t="s">
        <v>109</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f t="shared" si="1"/>
        <v>0</v>
      </c>
      <c r="R22" s="17">
        <f t="shared" si="2"/>
        <v>0</v>
      </c>
      <c r="S22" s="17">
        <f t="shared" si="3"/>
        <v>0</v>
      </c>
      <c r="T22" s="17" t="str">
        <f>IF(ISNUMBER(MATRIZ_174!O21),IFERROR((K22+M22+MATRIZ_174!O21)/3,0),"")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t="str">
        <f>IFERROR(MATRIZ_174!AP21,"—")</f>
        <v>—</v>
      </c>
      <c r="AJ22" s="17" t="str">
        <f>IFERROR(MATRIZ_174!AO21,"N/A")</f>
        <v>N/A</v>
      </c>
      <c r="AK22" s="23" t="str">
        <f t="shared" si="9"/>
        <v>N/A</v>
      </c>
      <c r="AL22" s="24" t="str">
        <f t="shared" si="10"/>
        <v>—</v>
      </c>
    </row>
    <row r="23" spans="1:38" ht="16.05" customHeight="1" x14ac:dyDescent="0.3">
      <c r="A23" s="13" t="s">
        <v>117</v>
      </c>
      <c r="B23" s="14" t="s">
        <v>118</v>
      </c>
      <c r="C23" s="13" t="s">
        <v>119</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f t="shared" si="1"/>
        <v>0</v>
      </c>
      <c r="R23" s="17">
        <f t="shared" si="2"/>
        <v>0</v>
      </c>
      <c r="S23" s="17">
        <f t="shared" si="3"/>
        <v>0</v>
      </c>
      <c r="T23" s="17" t="str">
        <f>IF(ISNUMBER(MATRIZ_174!O22),IFERROR((K23+M23+MATRIZ_174!O22)/3,0),"")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t="str">
        <f>IFERROR(MATRIZ_174!AP22,"—")</f>
        <v>—</v>
      </c>
      <c r="AJ23" s="17" t="str">
        <f>IFERROR(MATRIZ_174!AO22,"N/A")</f>
        <v>N/A</v>
      </c>
      <c r="AK23" s="23" t="str">
        <f t="shared" si="9"/>
        <v>N/A</v>
      </c>
      <c r="AL23" s="24" t="str">
        <f t="shared" si="10"/>
        <v>—</v>
      </c>
    </row>
    <row r="24" spans="1:38" ht="16.05" customHeight="1" x14ac:dyDescent="0.3">
      <c r="A24" s="13" t="s">
        <v>120</v>
      </c>
      <c r="B24" s="14" t="s">
        <v>121</v>
      </c>
      <c r="C24" s="13" t="s">
        <v>109</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f t="shared" si="1"/>
        <v>0</v>
      </c>
      <c r="R24" s="17">
        <f t="shared" si="2"/>
        <v>0</v>
      </c>
      <c r="S24" s="17">
        <f t="shared" si="3"/>
        <v>0</v>
      </c>
      <c r="T24" s="17" t="str">
        <f>IF(ISNUMBER(MATRIZ_174!O23),IFERROR((K24+M24+MATRIZ_174!O23)/3,0),"")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t="str">
        <f>IFERROR(MATRIZ_174!AP23,"—")</f>
        <v>—</v>
      </c>
      <c r="AJ24" s="17" t="str">
        <f>IFERROR(MATRIZ_174!AO23,"N/A")</f>
        <v>N/A</v>
      </c>
      <c r="AK24" s="23" t="str">
        <f t="shared" si="9"/>
        <v>N/A</v>
      </c>
      <c r="AL24" s="24" t="str">
        <f t="shared" si="10"/>
        <v>—</v>
      </c>
    </row>
    <row r="25" spans="1:38" ht="16.05" customHeight="1" x14ac:dyDescent="0.3">
      <c r="A25" s="13" t="s">
        <v>122</v>
      </c>
      <c r="B25" s="14" t="s">
        <v>123</v>
      </c>
      <c r="C25" s="13" t="s">
        <v>109</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f t="shared" si="1"/>
        <v>0</v>
      </c>
      <c r="R25" s="17">
        <f t="shared" si="2"/>
        <v>0</v>
      </c>
      <c r="S25" s="17">
        <f t="shared" si="3"/>
        <v>0</v>
      </c>
      <c r="T25" s="17" t="str">
        <f>IF(ISNUMBER(MATRIZ_174!O24),IFERROR((K25+M25+MATRIZ_174!O24)/3,0),"")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t="str">
        <f>IFERROR(MATRIZ_174!AP24,"—")</f>
        <v>—</v>
      </c>
      <c r="AJ25" s="17" t="str">
        <f>IFERROR(MATRIZ_174!AO24,"N/A")</f>
        <v>N/A</v>
      </c>
      <c r="AK25" s="23" t="str">
        <f t="shared" si="9"/>
        <v>N/A</v>
      </c>
      <c r="AL25" s="24" t="str">
        <f t="shared" si="10"/>
        <v>—</v>
      </c>
    </row>
    <row r="26" spans="1:38" ht="16.05" customHeight="1" x14ac:dyDescent="0.3">
      <c r="A26" s="13" t="s">
        <v>125</v>
      </c>
      <c r="B26" s="14" t="s">
        <v>126</v>
      </c>
      <c r="C26" s="13" t="s">
        <v>109</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f t="shared" si="1"/>
        <v>0</v>
      </c>
      <c r="R26" s="17">
        <f t="shared" si="2"/>
        <v>0</v>
      </c>
      <c r="S26" s="17">
        <f t="shared" si="3"/>
        <v>0</v>
      </c>
      <c r="T26" s="17" t="str">
        <f>IF(ISNUMBER(MATRIZ_174!O25),IFERROR((K26+M26+MATRIZ_174!O25)/3,0),"")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t="str">
        <f>IFERROR(MATRIZ_174!AP25,"—")</f>
        <v>—</v>
      </c>
      <c r="AJ26" s="17" t="str">
        <f>IFERROR(MATRIZ_174!AO25,"N/A")</f>
        <v>N/A</v>
      </c>
      <c r="AK26" s="23" t="str">
        <f t="shared" si="9"/>
        <v>N/A</v>
      </c>
      <c r="AL26" s="24" t="str">
        <f t="shared" si="10"/>
        <v>—</v>
      </c>
    </row>
    <row r="27" spans="1:38" ht="16.05" customHeight="1" x14ac:dyDescent="0.3">
      <c r="A27" s="13" t="s">
        <v>127</v>
      </c>
      <c r="B27" s="14" t="s">
        <v>128</v>
      </c>
      <c r="C27" s="13" t="s">
        <v>109</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f t="shared" si="1"/>
        <v>0</v>
      </c>
      <c r="R27" s="17">
        <f t="shared" si="2"/>
        <v>0</v>
      </c>
      <c r="S27" s="17">
        <f t="shared" si="3"/>
        <v>0</v>
      </c>
      <c r="T27" s="17" t="str">
        <f>IF(ISNUMBER(MATRIZ_174!O26),IFERROR((K27+M27+MATRIZ_174!O26)/3,0),"")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t="str">
        <f>IFERROR(MATRIZ_174!AP26,"—")</f>
        <v>—</v>
      </c>
      <c r="AJ27" s="17" t="str">
        <f>IFERROR(MATRIZ_174!AO26,"N/A")</f>
        <v>N/A</v>
      </c>
      <c r="AK27" s="23" t="str">
        <f t="shared" si="9"/>
        <v>N/A</v>
      </c>
      <c r="AL27" s="24" t="str">
        <f t="shared" si="10"/>
        <v>—</v>
      </c>
    </row>
    <row r="28" spans="1:38" ht="16.05" customHeight="1" x14ac:dyDescent="0.3">
      <c r="A28" s="13" t="s">
        <v>129</v>
      </c>
      <c r="B28" s="14" t="s">
        <v>130</v>
      </c>
      <c r="C28" s="13" t="s">
        <v>109</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f t="shared" si="1"/>
        <v>0</v>
      </c>
      <c r="R28" s="17">
        <f t="shared" si="2"/>
        <v>0</v>
      </c>
      <c r="S28" s="17">
        <f t="shared" si="3"/>
        <v>0</v>
      </c>
      <c r="T28" s="17" t="str">
        <f>IF(ISNUMBER(MATRIZ_174!O27),IFERROR((K28+M28+MATRIZ_174!O27)/3,0),"")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t="str">
        <f>IFERROR(MATRIZ_174!AP27,"—")</f>
        <v>—</v>
      </c>
      <c r="AJ28" s="17" t="str">
        <f>IFERROR(MATRIZ_174!AO27,"N/A")</f>
        <v>N/A</v>
      </c>
      <c r="AK28" s="23" t="str">
        <f t="shared" si="9"/>
        <v>N/A</v>
      </c>
      <c r="AL28" s="24" t="str">
        <f t="shared" si="10"/>
        <v>—</v>
      </c>
    </row>
    <row r="29" spans="1:38" ht="16.05" customHeight="1" x14ac:dyDescent="0.3">
      <c r="A29" s="13" t="s">
        <v>131</v>
      </c>
      <c r="B29" s="14" t="s">
        <v>132</v>
      </c>
      <c r="C29" s="13" t="s">
        <v>109</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f t="shared" si="1"/>
        <v>0</v>
      </c>
      <c r="R29" s="17">
        <f t="shared" si="2"/>
        <v>0</v>
      </c>
      <c r="S29" s="17">
        <f t="shared" si="3"/>
        <v>0</v>
      </c>
      <c r="T29" s="17" t="str">
        <f>IF(ISNUMBER(MATRIZ_174!O28),IFERROR((K29+M29+MATRIZ_174!O28)/3,0),"")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t="str">
        <f>IFERROR(MATRIZ_174!AP28,"—")</f>
        <v>—</v>
      </c>
      <c r="AJ29" s="17" t="str">
        <f>IFERROR(MATRIZ_174!AO28,"N/A")</f>
        <v>N/A</v>
      </c>
      <c r="AK29" s="23" t="str">
        <f t="shared" si="9"/>
        <v>N/A</v>
      </c>
      <c r="AL29" s="24" t="str">
        <f t="shared" si="10"/>
        <v>—</v>
      </c>
    </row>
    <row r="30" spans="1:38" ht="16.05" customHeight="1" x14ac:dyDescent="0.3">
      <c r="A30" s="13" t="s">
        <v>133</v>
      </c>
      <c r="B30" s="14" t="s">
        <v>134</v>
      </c>
      <c r="C30" s="13" t="s">
        <v>109</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f t="shared" si="1"/>
        <v>0</v>
      </c>
      <c r="R30" s="17">
        <f t="shared" si="2"/>
        <v>0</v>
      </c>
      <c r="S30" s="17">
        <f t="shared" si="3"/>
        <v>0</v>
      </c>
      <c r="T30" s="17" t="str">
        <f>IF(ISNUMBER(MATRIZ_174!O29),IFERROR((K30+M30+MATRIZ_174!O29)/3,0),"")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t="str">
        <f>IFERROR(MATRIZ_174!AP29,"—")</f>
        <v>—</v>
      </c>
      <c r="AJ30" s="17" t="str">
        <f>IFERROR(MATRIZ_174!AO29,"N/A")</f>
        <v>N/A</v>
      </c>
      <c r="AK30" s="23" t="str">
        <f t="shared" si="9"/>
        <v>N/A</v>
      </c>
      <c r="AL30" s="24" t="str">
        <f t="shared" si="10"/>
        <v>—</v>
      </c>
    </row>
    <row r="31" spans="1:38" ht="16.05" customHeight="1" x14ac:dyDescent="0.3">
      <c r="A31" s="13" t="s">
        <v>135</v>
      </c>
      <c r="B31" s="14" t="s">
        <v>136</v>
      </c>
      <c r="C31" s="13" t="s">
        <v>64</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f t="shared" si="1"/>
        <v>0</v>
      </c>
      <c r="R31" s="17">
        <f t="shared" si="2"/>
        <v>0</v>
      </c>
      <c r="S31" s="17">
        <f t="shared" si="3"/>
        <v>0</v>
      </c>
      <c r="T31" s="17" t="str">
        <f>IF(ISNUMBER(MATRIZ_174!O30),IFERROR((K31+M31+MATRIZ_174!O30)/3,0),"")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t="str">
        <f>IFERROR(MATRIZ_174!AP30,"—")</f>
        <v>—</v>
      </c>
      <c r="AJ31" s="17" t="str">
        <f>IFERROR(MATRIZ_174!AO30,"N/A")</f>
        <v>N/A</v>
      </c>
      <c r="AK31" s="23" t="str">
        <f t="shared" si="9"/>
        <v>N/A</v>
      </c>
      <c r="AL31" s="24" t="str">
        <f t="shared" si="10"/>
        <v>—</v>
      </c>
    </row>
    <row r="32" spans="1:38" ht="16.05" customHeight="1" x14ac:dyDescent="0.3">
      <c r="A32" s="13" t="s">
        <v>137</v>
      </c>
      <c r="B32" s="14" t="s">
        <v>138</v>
      </c>
      <c r="C32" s="13" t="s">
        <v>139</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f t="shared" si="1"/>
        <v>0</v>
      </c>
      <c r="R32" s="17">
        <f t="shared" si="2"/>
        <v>0</v>
      </c>
      <c r="S32" s="17">
        <f t="shared" si="3"/>
        <v>0</v>
      </c>
      <c r="T32" s="17" t="str">
        <f>IF(ISNUMBER(MATRIZ_174!O31),IFERROR((K32+M32+MATRIZ_174!O31)/3,0),"")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t="str">
        <f>IFERROR(MATRIZ_174!AP31,"—")</f>
        <v>—</v>
      </c>
      <c r="AJ32" s="17" t="str">
        <f>IFERROR(MATRIZ_174!AO31,"N/A")</f>
        <v>N/A</v>
      </c>
      <c r="AK32" s="23" t="str">
        <f t="shared" si="9"/>
        <v>N/A</v>
      </c>
      <c r="AL32" s="24" t="str">
        <f t="shared" si="10"/>
        <v>—</v>
      </c>
    </row>
    <row r="33" spans="1:38" ht="16.05" customHeight="1" x14ac:dyDescent="0.3">
      <c r="A33" s="13" t="s">
        <v>140</v>
      </c>
      <c r="B33" s="14" t="s">
        <v>141</v>
      </c>
      <c r="C33" s="13" t="s">
        <v>139</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f t="shared" si="1"/>
        <v>0</v>
      </c>
      <c r="R33" s="17">
        <f t="shared" si="2"/>
        <v>0</v>
      </c>
      <c r="S33" s="17">
        <f t="shared" si="3"/>
        <v>0</v>
      </c>
      <c r="T33" s="17" t="str">
        <f>IF(ISNUMBER(MATRIZ_174!O32),IFERROR((K33+M33+MATRIZ_174!O32)/3,0),"")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t="str">
        <f>IFERROR(MATRIZ_174!AP32,"—")</f>
        <v>—</v>
      </c>
      <c r="AJ33" s="17" t="str">
        <f>IFERROR(MATRIZ_174!AO32,"N/A")</f>
        <v>N/A</v>
      </c>
      <c r="AK33" s="23" t="str">
        <f t="shared" si="9"/>
        <v>N/A</v>
      </c>
      <c r="AL33" s="24" t="str">
        <f t="shared" si="10"/>
        <v>—</v>
      </c>
    </row>
    <row r="34" spans="1:38" ht="16.05" customHeight="1" x14ac:dyDescent="0.3">
      <c r="A34" s="13" t="s">
        <v>142</v>
      </c>
      <c r="B34" s="14" t="s">
        <v>143</v>
      </c>
      <c r="C34" s="13" t="s">
        <v>139</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f t="shared" si="1"/>
        <v>0</v>
      </c>
      <c r="R34" s="17">
        <f t="shared" si="2"/>
        <v>0</v>
      </c>
      <c r="S34" s="17">
        <f t="shared" si="3"/>
        <v>0</v>
      </c>
      <c r="T34" s="17" t="str">
        <f>IF(ISNUMBER(MATRIZ_174!O33),IFERROR((K34+M34+MATRIZ_174!O33)/3,0),"")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t="str">
        <f>IFERROR(MATRIZ_174!AP33,"—")</f>
        <v>—</v>
      </c>
      <c r="AJ34" s="17" t="str">
        <f>IFERROR(MATRIZ_174!AO33,"N/A")</f>
        <v>N/A</v>
      </c>
      <c r="AK34" s="23" t="str">
        <f t="shared" si="9"/>
        <v>N/A</v>
      </c>
      <c r="AL34" s="24" t="str">
        <f t="shared" si="10"/>
        <v>—</v>
      </c>
    </row>
    <row r="35" spans="1:38" ht="16.05" customHeight="1" x14ac:dyDescent="0.3">
      <c r="A35" s="13" t="s">
        <v>144</v>
      </c>
      <c r="B35" s="14" t="s">
        <v>145</v>
      </c>
      <c r="C35" s="13" t="s">
        <v>139</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f t="shared" si="1"/>
        <v>0</v>
      </c>
      <c r="R35" s="17">
        <f t="shared" si="2"/>
        <v>0</v>
      </c>
      <c r="S35" s="17">
        <f t="shared" si="3"/>
        <v>0</v>
      </c>
      <c r="T35" s="17" t="str">
        <f>IF(ISNUMBER(MATRIZ_174!O34),IFERROR((K35+M35+MATRIZ_174!O34)/3,0),"")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t="str">
        <f>IFERROR(MATRIZ_174!AP34,"—")</f>
        <v>—</v>
      </c>
      <c r="AJ35" s="17" t="str">
        <f>IFERROR(MATRIZ_174!AO34,"N/A")</f>
        <v>N/A</v>
      </c>
      <c r="AK35" s="23" t="str">
        <f t="shared" si="9"/>
        <v>N/A</v>
      </c>
      <c r="AL35" s="24" t="str">
        <f t="shared" si="10"/>
        <v>—</v>
      </c>
    </row>
    <row r="36" spans="1:38" ht="16.05" customHeight="1" x14ac:dyDescent="0.3">
      <c r="A36" s="13" t="s">
        <v>146</v>
      </c>
      <c r="B36" s="14" t="s">
        <v>147</v>
      </c>
      <c r="C36" s="13" t="s">
        <v>80</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f t="shared" ref="Q36:Q67" si="12">IFERROR(SQRT(G36*H36),0)</f>
        <v>0</v>
      </c>
      <c r="R36" s="17">
        <f t="shared" ref="R36:R67" si="13">IFERROR((I36+J36+L36)/3,0)</f>
        <v>0</v>
      </c>
      <c r="S36" s="17">
        <f t="shared" ref="S36:S67" si="14">IFERROR((J36+F36)/2,0)</f>
        <v>0</v>
      </c>
      <c r="T36" s="17" t="str">
        <f>IF(ISNUMBER(MATRIZ_174!O35),IFERROR((K36+M36+MATRIZ_174!O35)/3,0),"")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IFERROR(ROUND(AVERAGE(U36,V36,W36,X36,Y36),1),0)</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t="str">
        <f>IFERROR(MATRIZ_174!AP35,"—")</f>
        <v>—</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row>
    <row r="37" spans="1:38" ht="16.05" customHeight="1" x14ac:dyDescent="0.3">
      <c r="A37" s="13" t="s">
        <v>148</v>
      </c>
      <c r="B37" s="14" t="s">
        <v>149</v>
      </c>
      <c r="C37" s="13" t="s">
        <v>150</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f t="shared" si="12"/>
        <v>0</v>
      </c>
      <c r="R37" s="17">
        <f t="shared" si="13"/>
        <v>0</v>
      </c>
      <c r="S37" s="17">
        <f t="shared" si="14"/>
        <v>0</v>
      </c>
      <c r="T37" s="17">
        <f>IF(ISNUMBER(MATRIZ_174!O36),IFERROR((K37+M37+MATRIZ_174!O36)/3,0),"")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t="str">
        <f>IFERROR(MATRIZ_174!AP36,"—")</f>
        <v>—</v>
      </c>
      <c r="AJ37" s="17" t="str">
        <f>IFERROR(MATRIZ_174!AO36,"N/A")</f>
        <v>N/A</v>
      </c>
      <c r="AK37" s="23" t="str">
        <f t="shared" si="20"/>
        <v>N/A</v>
      </c>
      <c r="AL37" s="24" t="str">
        <f t="shared" si="21"/>
        <v>—</v>
      </c>
    </row>
    <row r="38" spans="1:38" ht="16.05" customHeight="1" x14ac:dyDescent="0.3">
      <c r="A38" s="13" t="s">
        <v>151</v>
      </c>
      <c r="B38" s="14" t="s">
        <v>152</v>
      </c>
      <c r="C38" s="13" t="s">
        <v>112</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f t="shared" si="12"/>
        <v>0</v>
      </c>
      <c r="R38" s="17">
        <f t="shared" si="13"/>
        <v>0</v>
      </c>
      <c r="S38" s="17">
        <f t="shared" si="14"/>
        <v>0</v>
      </c>
      <c r="T38" s="17" t="str">
        <f>IF(ISNUMBER(MATRIZ_174!O37),IFERROR((K38+M38+MATRIZ_174!O37)/3,0),"")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t="str">
        <f>IFERROR(MATRIZ_174!AP37,"—")</f>
        <v>—</v>
      </c>
      <c r="AJ38" s="17" t="str">
        <f>IFERROR(MATRIZ_174!AO37,"N/A")</f>
        <v>N/A</v>
      </c>
      <c r="AK38" s="23" t="str">
        <f t="shared" si="20"/>
        <v>N/A</v>
      </c>
      <c r="AL38" s="24" t="str">
        <f t="shared" si="21"/>
        <v>—</v>
      </c>
    </row>
    <row r="39" spans="1:38" ht="16.05" customHeight="1" x14ac:dyDescent="0.3">
      <c r="A39" s="13" t="s">
        <v>153</v>
      </c>
      <c r="B39" s="14" t="s">
        <v>154</v>
      </c>
      <c r="C39" s="13" t="s">
        <v>112</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f t="shared" si="12"/>
        <v>0</v>
      </c>
      <c r="R39" s="17">
        <f t="shared" si="13"/>
        <v>0</v>
      </c>
      <c r="S39" s="17">
        <f t="shared" si="14"/>
        <v>0</v>
      </c>
      <c r="T39" s="17" t="str">
        <f>IF(ISNUMBER(MATRIZ_174!O38),IFERROR((K39+M39+MATRIZ_174!O38)/3,0),"")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t="str">
        <f>IFERROR(MATRIZ_174!AP38,"—")</f>
        <v>—</v>
      </c>
      <c r="AJ39" s="17" t="str">
        <f>IFERROR(MATRIZ_174!AO38,"N/A")</f>
        <v>N/A</v>
      </c>
      <c r="AK39" s="23" t="str">
        <f t="shared" si="20"/>
        <v>N/A</v>
      </c>
      <c r="AL39" s="24" t="str">
        <f t="shared" si="21"/>
        <v>—</v>
      </c>
    </row>
    <row r="40" spans="1:38" ht="16.05" customHeight="1" x14ac:dyDescent="0.3">
      <c r="A40" s="13" t="s">
        <v>155</v>
      </c>
      <c r="B40" s="14" t="s">
        <v>156</v>
      </c>
      <c r="C40" s="13" t="s">
        <v>112</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f t="shared" si="12"/>
        <v>0</v>
      </c>
      <c r="R40" s="17">
        <f t="shared" si="13"/>
        <v>0</v>
      </c>
      <c r="S40" s="17">
        <f t="shared" si="14"/>
        <v>0</v>
      </c>
      <c r="T40" s="17" t="str">
        <f>IF(ISNUMBER(MATRIZ_174!O39),IFERROR((K40+M40+MATRIZ_174!O39)/3,0),"")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t="str">
        <f>IFERROR(MATRIZ_174!AP39,"—")</f>
        <v>—</v>
      </c>
      <c r="AJ40" s="17" t="str">
        <f>IFERROR(MATRIZ_174!AO39,"N/A")</f>
        <v>N/A</v>
      </c>
      <c r="AK40" s="23" t="str">
        <f t="shared" si="20"/>
        <v>N/A</v>
      </c>
      <c r="AL40" s="24" t="str">
        <f t="shared" si="21"/>
        <v>—</v>
      </c>
    </row>
    <row r="41" spans="1:38" ht="16.05" customHeight="1" x14ac:dyDescent="0.3">
      <c r="A41" s="13" t="s">
        <v>157</v>
      </c>
      <c r="B41" s="14" t="s">
        <v>158</v>
      </c>
      <c r="C41" s="13" t="s">
        <v>112</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f t="shared" si="12"/>
        <v>0</v>
      </c>
      <c r="R41" s="17">
        <f t="shared" si="13"/>
        <v>0</v>
      </c>
      <c r="S41" s="17">
        <f t="shared" si="14"/>
        <v>0</v>
      </c>
      <c r="T41" s="17" t="str">
        <f>IF(ISNUMBER(MATRIZ_174!O40),IFERROR((K41+M41+MATRIZ_174!O40)/3,0),"")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t="str">
        <f>IFERROR(MATRIZ_174!AP40,"—")</f>
        <v>—</v>
      </c>
      <c r="AJ41" s="17" t="str">
        <f>IFERROR(MATRIZ_174!AO40,"N/A")</f>
        <v>N/A</v>
      </c>
      <c r="AK41" s="23" t="str">
        <f t="shared" si="20"/>
        <v>N/A</v>
      </c>
      <c r="AL41" s="24" t="str">
        <f t="shared" si="21"/>
        <v>—</v>
      </c>
    </row>
    <row r="42" spans="1:38" ht="16.05" customHeight="1" x14ac:dyDescent="0.3">
      <c r="A42" s="13" t="s">
        <v>159</v>
      </c>
      <c r="B42" s="14" t="s">
        <v>160</v>
      </c>
      <c r="C42" s="13" t="s">
        <v>112</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f t="shared" si="12"/>
        <v>0</v>
      </c>
      <c r="R42" s="17">
        <f t="shared" si="13"/>
        <v>0</v>
      </c>
      <c r="S42" s="17">
        <f t="shared" si="14"/>
        <v>0</v>
      </c>
      <c r="T42" s="17" t="str">
        <f>IF(ISNUMBER(MATRIZ_174!O41),IFERROR((K42+M42+MATRIZ_174!O41)/3,0),"")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t="str">
        <f>IFERROR(MATRIZ_174!AP41,"—")</f>
        <v>—</v>
      </c>
      <c r="AJ42" s="17" t="str">
        <f>IFERROR(MATRIZ_174!AO41,"N/A")</f>
        <v>N/A</v>
      </c>
      <c r="AK42" s="23" t="str">
        <f t="shared" si="20"/>
        <v>N/A</v>
      </c>
      <c r="AL42" s="24" t="str">
        <f t="shared" si="21"/>
        <v>—</v>
      </c>
    </row>
    <row r="43" spans="1:38" ht="16.05" customHeight="1" x14ac:dyDescent="0.3">
      <c r="A43" s="13" t="s">
        <v>161</v>
      </c>
      <c r="B43" s="14" t="s">
        <v>162</v>
      </c>
      <c r="C43" s="13" t="s">
        <v>103</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f t="shared" si="12"/>
        <v>0</v>
      </c>
      <c r="R43" s="17">
        <f t="shared" si="13"/>
        <v>0</v>
      </c>
      <c r="S43" s="17">
        <f t="shared" si="14"/>
        <v>0</v>
      </c>
      <c r="T43" s="17" t="str">
        <f>IF(ISNUMBER(MATRIZ_174!O42),IFERROR((K43+M43+MATRIZ_174!O42)/3,0),"")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t="str">
        <f>IFERROR(MATRIZ_174!AP42,"—")</f>
        <v>—</v>
      </c>
      <c r="AJ43" s="17" t="str">
        <f>IFERROR(MATRIZ_174!AO42,"N/A")</f>
        <v>N/A</v>
      </c>
      <c r="AK43" s="23" t="str">
        <f t="shared" si="20"/>
        <v>N/A</v>
      </c>
      <c r="AL43" s="24" t="str">
        <f t="shared" si="21"/>
        <v>—</v>
      </c>
    </row>
    <row r="44" spans="1:38" ht="16.05" customHeight="1" x14ac:dyDescent="0.3">
      <c r="A44" s="13" t="s">
        <v>163</v>
      </c>
      <c r="B44" s="14" t="s">
        <v>164</v>
      </c>
      <c r="C44" s="13" t="s">
        <v>77</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f t="shared" si="12"/>
        <v>0</v>
      </c>
      <c r="R44" s="17">
        <f t="shared" si="13"/>
        <v>0</v>
      </c>
      <c r="S44" s="17">
        <f t="shared" si="14"/>
        <v>0</v>
      </c>
      <c r="T44" s="17" t="str">
        <f>IF(ISNUMBER(MATRIZ_174!O43),IFERROR((K44+M44+MATRIZ_174!O43)/3,0),"")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t="str">
        <f>IFERROR(MATRIZ_174!AP43,"—")</f>
        <v>—</v>
      </c>
      <c r="AJ44" s="17" t="str">
        <f>IFERROR(MATRIZ_174!AO43,"N/A")</f>
        <v>N/A</v>
      </c>
      <c r="AK44" s="23" t="str">
        <f t="shared" si="20"/>
        <v>N/A</v>
      </c>
      <c r="AL44" s="24" t="str">
        <f t="shared" si="21"/>
        <v>—</v>
      </c>
    </row>
    <row r="45" spans="1:38" ht="16.05" customHeight="1" x14ac:dyDescent="0.3">
      <c r="A45" s="13" t="s">
        <v>165</v>
      </c>
      <c r="B45" s="14" t="s">
        <v>166</v>
      </c>
      <c r="C45" s="13" t="s">
        <v>77</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f t="shared" si="12"/>
        <v>0</v>
      </c>
      <c r="R45" s="17">
        <f t="shared" si="13"/>
        <v>0</v>
      </c>
      <c r="S45" s="17">
        <f t="shared" si="14"/>
        <v>0</v>
      </c>
      <c r="T45" s="17" t="str">
        <f>IF(ISNUMBER(MATRIZ_174!O44),IFERROR((K45+M45+MATRIZ_174!O44)/3,0),"")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t="str">
        <f>IFERROR(MATRIZ_174!AP44,"—")</f>
        <v>—</v>
      </c>
      <c r="AJ45" s="17" t="str">
        <f>IFERROR(MATRIZ_174!AO44,"N/A")</f>
        <v>N/A</v>
      </c>
      <c r="AK45" s="23" t="str">
        <f t="shared" si="20"/>
        <v>N/A</v>
      </c>
      <c r="AL45" s="24" t="str">
        <f t="shared" si="21"/>
        <v>—</v>
      </c>
    </row>
    <row r="46" spans="1:38" ht="16.05" customHeight="1" x14ac:dyDescent="0.3">
      <c r="A46" s="13" t="s">
        <v>167</v>
      </c>
      <c r="B46" s="14" t="s">
        <v>168</v>
      </c>
      <c r="C46" s="13" t="s">
        <v>77</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f t="shared" si="12"/>
        <v>0</v>
      </c>
      <c r="R46" s="17">
        <f t="shared" si="13"/>
        <v>0</v>
      </c>
      <c r="S46" s="17">
        <f t="shared" si="14"/>
        <v>0</v>
      </c>
      <c r="T46" s="17" t="str">
        <f>IF(ISNUMBER(MATRIZ_174!O45),IFERROR((K46+M46+MATRIZ_174!O45)/3,0),"")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t="str">
        <f>IFERROR(MATRIZ_174!AP45,"—")</f>
        <v>—</v>
      </c>
      <c r="AJ46" s="17" t="str">
        <f>IFERROR(MATRIZ_174!AO45,"N/A")</f>
        <v>N/A</v>
      </c>
      <c r="AK46" s="23" t="str">
        <f t="shared" si="20"/>
        <v>N/A</v>
      </c>
      <c r="AL46" s="24" t="str">
        <f t="shared" si="21"/>
        <v>—</v>
      </c>
    </row>
    <row r="47" spans="1:38" ht="16.05" customHeight="1" x14ac:dyDescent="0.3">
      <c r="A47" s="13" t="s">
        <v>169</v>
      </c>
      <c r="B47" s="14" t="s">
        <v>170</v>
      </c>
      <c r="C47" s="13" t="s">
        <v>77</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f t="shared" si="12"/>
        <v>0</v>
      </c>
      <c r="R47" s="17">
        <f t="shared" si="13"/>
        <v>0</v>
      </c>
      <c r="S47" s="17">
        <f t="shared" si="14"/>
        <v>0</v>
      </c>
      <c r="T47" s="17" t="str">
        <f>IF(ISNUMBER(MATRIZ_174!O46),IFERROR((K47+M47+MATRIZ_174!O46)/3,0),"")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t="str">
        <f>IFERROR(MATRIZ_174!AP46,"—")</f>
        <v>—</v>
      </c>
      <c r="AJ47" s="17" t="str">
        <f>IFERROR(MATRIZ_174!AO46,"N/A")</f>
        <v>N/A</v>
      </c>
      <c r="AK47" s="23" t="str">
        <f t="shared" si="20"/>
        <v>N/A</v>
      </c>
      <c r="AL47" s="24" t="str">
        <f t="shared" si="21"/>
        <v>—</v>
      </c>
    </row>
    <row r="48" spans="1:38" ht="16.05" customHeight="1" x14ac:dyDescent="0.3">
      <c r="A48" s="13" t="s">
        <v>171</v>
      </c>
      <c r="B48" s="14" t="s">
        <v>172</v>
      </c>
      <c r="C48" s="13" t="s">
        <v>77</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f t="shared" si="12"/>
        <v>0</v>
      </c>
      <c r="R48" s="17">
        <f t="shared" si="13"/>
        <v>0</v>
      </c>
      <c r="S48" s="17">
        <f t="shared" si="14"/>
        <v>0</v>
      </c>
      <c r="T48" s="17" t="str">
        <f>IF(ISNUMBER(MATRIZ_174!O47),IFERROR((K48+M48+MATRIZ_174!O47)/3,0),"")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t="str">
        <f>IFERROR(MATRIZ_174!AP47,"—")</f>
        <v>—</v>
      </c>
      <c r="AJ48" s="17" t="str">
        <f>IFERROR(MATRIZ_174!AO47,"N/A")</f>
        <v>N/A</v>
      </c>
      <c r="AK48" s="23" t="str">
        <f t="shared" si="20"/>
        <v>N/A</v>
      </c>
      <c r="AL48" s="24" t="str">
        <f t="shared" si="21"/>
        <v>—</v>
      </c>
    </row>
    <row r="49" spans="1:38" ht="16.05" customHeight="1" x14ac:dyDescent="0.3">
      <c r="A49" s="13" t="s">
        <v>173</v>
      </c>
      <c r="B49" s="14" t="s">
        <v>174</v>
      </c>
      <c r="C49" s="13" t="s">
        <v>77</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f t="shared" si="12"/>
        <v>0</v>
      </c>
      <c r="R49" s="17">
        <f t="shared" si="13"/>
        <v>0</v>
      </c>
      <c r="S49" s="17">
        <f t="shared" si="14"/>
        <v>0</v>
      </c>
      <c r="T49" s="17" t="str">
        <f>IF(ISNUMBER(MATRIZ_174!O48),IFERROR((K49+M49+MATRIZ_174!O48)/3,0),"")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t="str">
        <f>IFERROR(MATRIZ_174!AP48,"—")</f>
        <v>—</v>
      </c>
      <c r="AJ49" s="17" t="str">
        <f>IFERROR(MATRIZ_174!AO48,"N/A")</f>
        <v>N/A</v>
      </c>
      <c r="AK49" s="23" t="str">
        <f t="shared" si="20"/>
        <v>N/A</v>
      </c>
      <c r="AL49" s="24" t="str">
        <f t="shared" si="21"/>
        <v>—</v>
      </c>
    </row>
    <row r="50" spans="1:38" ht="16.05" customHeight="1" x14ac:dyDescent="0.3">
      <c r="A50" s="13" t="s">
        <v>175</v>
      </c>
      <c r="B50" s="14" t="s">
        <v>176</v>
      </c>
      <c r="C50" s="13" t="s">
        <v>77</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f t="shared" si="12"/>
        <v>0</v>
      </c>
      <c r="R50" s="17">
        <f t="shared" si="13"/>
        <v>0</v>
      </c>
      <c r="S50" s="17">
        <f t="shared" si="14"/>
        <v>0</v>
      </c>
      <c r="T50" s="17" t="str">
        <f>IF(ISNUMBER(MATRIZ_174!O49),IFERROR((K50+M50+MATRIZ_174!O49)/3,0),"")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t="str">
        <f>IFERROR(MATRIZ_174!AP49,"—")</f>
        <v>—</v>
      </c>
      <c r="AJ50" s="17" t="str">
        <f>IFERROR(MATRIZ_174!AO49,"N/A")</f>
        <v>N/A</v>
      </c>
      <c r="AK50" s="23" t="str">
        <f t="shared" si="20"/>
        <v>N/A</v>
      </c>
      <c r="AL50" s="24" t="str">
        <f t="shared" si="21"/>
        <v>—</v>
      </c>
    </row>
    <row r="51" spans="1:38" ht="16.05" customHeight="1" x14ac:dyDescent="0.3">
      <c r="A51" s="13" t="s">
        <v>177</v>
      </c>
      <c r="B51" s="14" t="s">
        <v>178</v>
      </c>
      <c r="C51" s="13" t="s">
        <v>179</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f t="shared" si="12"/>
        <v>0</v>
      </c>
      <c r="R51" s="17">
        <f t="shared" si="13"/>
        <v>0</v>
      </c>
      <c r="S51" s="17">
        <f t="shared" si="14"/>
        <v>0</v>
      </c>
      <c r="T51" s="17" t="str">
        <f>IF(ISNUMBER(MATRIZ_174!O50),IFERROR((K51+M51+MATRIZ_174!O50)/3,0),"")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t="str">
        <f>IFERROR(MATRIZ_174!AP50,"—")</f>
        <v>—</v>
      </c>
      <c r="AJ51" s="17" t="str">
        <f>IFERROR(MATRIZ_174!AO50,"N/A")</f>
        <v>N/A</v>
      </c>
      <c r="AK51" s="23" t="str">
        <f t="shared" si="20"/>
        <v>N/A</v>
      </c>
      <c r="AL51" s="24" t="str">
        <f t="shared" si="21"/>
        <v>—</v>
      </c>
    </row>
    <row r="52" spans="1:38" ht="16.05" customHeight="1" x14ac:dyDescent="0.3">
      <c r="A52" s="13" t="s">
        <v>180</v>
      </c>
      <c r="B52" s="14" t="s">
        <v>181</v>
      </c>
      <c r="C52" s="13" t="s">
        <v>150</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f t="shared" si="12"/>
        <v>0</v>
      </c>
      <c r="R52" s="17">
        <f t="shared" si="13"/>
        <v>0</v>
      </c>
      <c r="S52" s="17">
        <f t="shared" si="14"/>
        <v>0</v>
      </c>
      <c r="T52" s="17" t="str">
        <f>IF(ISNUMBER(MATRIZ_174!O51),IFERROR((K52+M52+MATRIZ_174!O51)/3,0),"")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t="str">
        <f>IFERROR(MATRIZ_174!AP51,"—")</f>
        <v>—</v>
      </c>
      <c r="AJ52" s="17" t="str">
        <f>IFERROR(MATRIZ_174!AO51,"N/A")</f>
        <v>N/A</v>
      </c>
      <c r="AK52" s="23" t="str">
        <f t="shared" si="20"/>
        <v>N/A</v>
      </c>
      <c r="AL52" s="24" t="str">
        <f t="shared" si="21"/>
        <v>—</v>
      </c>
    </row>
    <row r="53" spans="1:38" ht="16.05" customHeight="1" x14ac:dyDescent="0.3">
      <c r="A53" s="13" t="s">
        <v>182</v>
      </c>
      <c r="B53" s="14" t="s">
        <v>183</v>
      </c>
      <c r="C53" s="13" t="s">
        <v>80</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f t="shared" si="12"/>
        <v>0</v>
      </c>
      <c r="R53" s="17">
        <f t="shared" si="13"/>
        <v>0</v>
      </c>
      <c r="S53" s="17">
        <f t="shared" si="14"/>
        <v>0</v>
      </c>
      <c r="T53" s="17" t="str">
        <f>IF(ISNUMBER(MATRIZ_174!O52),IFERROR((K53+M53+MATRIZ_174!O52)/3,0),"")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t="str">
        <f>IFERROR(MATRIZ_174!AP52,"—")</f>
        <v>—</v>
      </c>
      <c r="AJ53" s="17" t="str">
        <f>IFERROR(MATRIZ_174!AO52,"N/A")</f>
        <v>N/A</v>
      </c>
      <c r="AK53" s="23" t="str">
        <f t="shared" si="20"/>
        <v>N/A</v>
      </c>
      <c r="AL53" s="24" t="str">
        <f t="shared" si="21"/>
        <v>—</v>
      </c>
    </row>
    <row r="54" spans="1:38" ht="16.05" customHeight="1" x14ac:dyDescent="0.3">
      <c r="A54" s="13" t="s">
        <v>184</v>
      </c>
      <c r="B54" s="14" t="s">
        <v>185</v>
      </c>
      <c r="C54" s="13" t="s">
        <v>139</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f t="shared" si="12"/>
        <v>0</v>
      </c>
      <c r="R54" s="17">
        <f t="shared" si="13"/>
        <v>0</v>
      </c>
      <c r="S54" s="17">
        <f t="shared" si="14"/>
        <v>0</v>
      </c>
      <c r="T54" s="17" t="str">
        <f>IF(ISNUMBER(MATRIZ_174!O53),IFERROR((K54+M54+MATRIZ_174!O53)/3,0),"")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t="str">
        <f>IFERROR(MATRIZ_174!AP53,"—")</f>
        <v>—</v>
      </c>
      <c r="AJ54" s="17" t="str">
        <f>IFERROR(MATRIZ_174!AO53,"N/A")</f>
        <v>N/A</v>
      </c>
      <c r="AK54" s="23" t="str">
        <f t="shared" si="20"/>
        <v>N/A</v>
      </c>
      <c r="AL54" s="24" t="str">
        <f t="shared" si="21"/>
        <v>—</v>
      </c>
    </row>
    <row r="55" spans="1:38" ht="16.05" customHeight="1" x14ac:dyDescent="0.3">
      <c r="A55" s="13" t="s">
        <v>186</v>
      </c>
      <c r="B55" s="14" t="s">
        <v>187</v>
      </c>
      <c r="C55" s="13" t="s">
        <v>139</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f t="shared" si="12"/>
        <v>0</v>
      </c>
      <c r="R55" s="17">
        <f t="shared" si="13"/>
        <v>0</v>
      </c>
      <c r="S55" s="17">
        <f t="shared" si="14"/>
        <v>0</v>
      </c>
      <c r="T55" s="17" t="str">
        <f>IF(ISNUMBER(MATRIZ_174!O54),IFERROR((K55+M55+MATRIZ_174!O54)/3,0),"")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t="str">
        <f>IFERROR(MATRIZ_174!AP54,"—")</f>
        <v>—</v>
      </c>
      <c r="AJ55" s="17" t="str">
        <f>IFERROR(MATRIZ_174!AO54,"N/A")</f>
        <v>N/A</v>
      </c>
      <c r="AK55" s="23" t="str">
        <f t="shared" si="20"/>
        <v>N/A</v>
      </c>
      <c r="AL55" s="24" t="str">
        <f t="shared" si="21"/>
        <v>—</v>
      </c>
    </row>
    <row r="56" spans="1:38" ht="16.05" customHeight="1" x14ac:dyDescent="0.3">
      <c r="A56" s="13" t="s">
        <v>188</v>
      </c>
      <c r="B56" s="14" t="s">
        <v>189</v>
      </c>
      <c r="C56" s="13" t="s">
        <v>139</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f t="shared" si="12"/>
        <v>0</v>
      </c>
      <c r="R56" s="17">
        <f t="shared" si="13"/>
        <v>0</v>
      </c>
      <c r="S56" s="17">
        <f t="shared" si="14"/>
        <v>0</v>
      </c>
      <c r="T56" s="17" t="str">
        <f>IF(ISNUMBER(MATRIZ_174!O55),IFERROR((K56+M56+MATRIZ_174!O55)/3,0),"")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t="str">
        <f>IFERROR(MATRIZ_174!AP55,"—")</f>
        <v>—</v>
      </c>
      <c r="AJ56" s="17" t="str">
        <f>IFERROR(MATRIZ_174!AO55,"N/A")</f>
        <v>N/A</v>
      </c>
      <c r="AK56" s="23" t="str">
        <f t="shared" si="20"/>
        <v>N/A</v>
      </c>
      <c r="AL56" s="24" t="str">
        <f t="shared" si="21"/>
        <v>—</v>
      </c>
    </row>
    <row r="57" spans="1:38" ht="16.05" customHeight="1" x14ac:dyDescent="0.3">
      <c r="A57" s="13" t="s">
        <v>190</v>
      </c>
      <c r="B57" s="14" t="s">
        <v>191</v>
      </c>
      <c r="C57" s="13" t="s">
        <v>192</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f t="shared" si="12"/>
        <v>0</v>
      </c>
      <c r="R57" s="17">
        <f t="shared" si="13"/>
        <v>0</v>
      </c>
      <c r="S57" s="17">
        <f t="shared" si="14"/>
        <v>0</v>
      </c>
      <c r="T57" s="17" t="str">
        <f>IF(ISNUMBER(MATRIZ_174!O56),IFERROR((K57+M57+MATRIZ_174!O56)/3,0),"")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t="str">
        <f>IFERROR(MATRIZ_174!AP56,"—")</f>
        <v>—</v>
      </c>
      <c r="AJ57" s="17" t="str">
        <f>IFERROR(MATRIZ_174!AO56,"N/A")</f>
        <v>N/A</v>
      </c>
      <c r="AK57" s="23" t="str">
        <f t="shared" si="20"/>
        <v>N/A</v>
      </c>
      <c r="AL57" s="24" t="str">
        <f t="shared" si="21"/>
        <v>—</v>
      </c>
    </row>
    <row r="58" spans="1:38" ht="16.05" customHeight="1" x14ac:dyDescent="0.3">
      <c r="A58" s="13" t="s">
        <v>193</v>
      </c>
      <c r="B58" s="14" t="s">
        <v>194</v>
      </c>
      <c r="C58" s="13" t="s">
        <v>80</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f t="shared" si="12"/>
        <v>0</v>
      </c>
      <c r="R58" s="17">
        <f t="shared" si="13"/>
        <v>0</v>
      </c>
      <c r="S58" s="17">
        <f t="shared" si="14"/>
        <v>0</v>
      </c>
      <c r="T58" s="17" t="str">
        <f>IF(ISNUMBER(MATRIZ_174!O57),IFERROR((K58+M58+MATRIZ_174!O57)/3,0),"")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t="str">
        <f>IFERROR(MATRIZ_174!AP57,"—")</f>
        <v>—</v>
      </c>
      <c r="AJ58" s="17" t="str">
        <f>IFERROR(MATRIZ_174!AO57,"N/A")</f>
        <v>N/A</v>
      </c>
      <c r="AK58" s="23" t="str">
        <f t="shared" si="20"/>
        <v>N/A</v>
      </c>
      <c r="AL58" s="24" t="str">
        <f t="shared" si="21"/>
        <v>—</v>
      </c>
    </row>
    <row r="59" spans="1:38" ht="16.05" customHeight="1" x14ac:dyDescent="0.3">
      <c r="A59" s="13" t="s">
        <v>195</v>
      </c>
      <c r="B59" s="14" t="s">
        <v>196</v>
      </c>
      <c r="C59" s="13" t="s">
        <v>103</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f t="shared" si="12"/>
        <v>0</v>
      </c>
      <c r="R59" s="17">
        <f t="shared" si="13"/>
        <v>0</v>
      </c>
      <c r="S59" s="17">
        <f t="shared" si="14"/>
        <v>0</v>
      </c>
      <c r="T59" s="17" t="str">
        <f>IF(ISNUMBER(MATRIZ_174!O58),IFERROR((K59+M59+MATRIZ_174!O58)/3,0),"")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t="str">
        <f>IFERROR(MATRIZ_174!AP58,"—")</f>
        <v>—</v>
      </c>
      <c r="AJ59" s="17" t="str">
        <f>IFERROR(MATRIZ_174!AO58,"N/A")</f>
        <v>N/A</v>
      </c>
      <c r="AK59" s="23" t="str">
        <f t="shared" si="20"/>
        <v>N/A</v>
      </c>
      <c r="AL59" s="24" t="str">
        <f t="shared" si="21"/>
        <v>—</v>
      </c>
    </row>
    <row r="60" spans="1:38" ht="16.05" customHeight="1" x14ac:dyDescent="0.3">
      <c r="A60" s="13" t="s">
        <v>197</v>
      </c>
      <c r="B60" s="14" t="s">
        <v>198</v>
      </c>
      <c r="C60" s="13" t="s">
        <v>103</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f t="shared" si="12"/>
        <v>0</v>
      </c>
      <c r="R60" s="17">
        <f t="shared" si="13"/>
        <v>0</v>
      </c>
      <c r="S60" s="17">
        <f t="shared" si="14"/>
        <v>0</v>
      </c>
      <c r="T60" s="17" t="str">
        <f>IF(ISNUMBER(MATRIZ_174!O59),IFERROR((K60+M60+MATRIZ_174!O59)/3,0),"")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t="str">
        <f>IFERROR(MATRIZ_174!AP59,"—")</f>
        <v>—</v>
      </c>
      <c r="AJ60" s="17" t="str">
        <f>IFERROR(MATRIZ_174!AO59,"N/A")</f>
        <v>N/A</v>
      </c>
      <c r="AK60" s="23" t="str">
        <f t="shared" si="20"/>
        <v>N/A</v>
      </c>
      <c r="AL60" s="24" t="str">
        <f t="shared" si="21"/>
        <v>—</v>
      </c>
    </row>
    <row r="61" spans="1:38" ht="16.05" customHeight="1" x14ac:dyDescent="0.3">
      <c r="A61" s="13" t="s">
        <v>199</v>
      </c>
      <c r="B61" s="14" t="s">
        <v>200</v>
      </c>
      <c r="C61" s="13" t="s">
        <v>201</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f t="shared" si="12"/>
        <v>0</v>
      </c>
      <c r="R61" s="17">
        <f t="shared" si="13"/>
        <v>0</v>
      </c>
      <c r="S61" s="17">
        <f t="shared" si="14"/>
        <v>0</v>
      </c>
      <c r="T61" s="17" t="str">
        <f>IF(ISNUMBER(MATRIZ_174!O60),IFERROR((K61+M61+MATRIZ_174!O60)/3,0),"")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t="str">
        <f>IFERROR(MATRIZ_174!AP60,"—")</f>
        <v>—</v>
      </c>
      <c r="AJ61" s="17" t="str">
        <f>IFERROR(MATRIZ_174!AO60,"N/A")</f>
        <v>N/A</v>
      </c>
      <c r="AK61" s="23" t="str">
        <f t="shared" si="20"/>
        <v>N/A</v>
      </c>
      <c r="AL61" s="24" t="str">
        <f t="shared" si="21"/>
        <v>—</v>
      </c>
    </row>
    <row r="62" spans="1:38" ht="16.05" customHeight="1" x14ac:dyDescent="0.3">
      <c r="A62" s="13" t="s">
        <v>202</v>
      </c>
      <c r="B62" s="14" t="s">
        <v>203</v>
      </c>
      <c r="C62" s="13" t="s">
        <v>119</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f t="shared" si="12"/>
        <v>0</v>
      </c>
      <c r="R62" s="17">
        <f t="shared" si="13"/>
        <v>0</v>
      </c>
      <c r="S62" s="17">
        <f t="shared" si="14"/>
        <v>0</v>
      </c>
      <c r="T62" s="17" t="str">
        <f>IF(ISNUMBER(MATRIZ_174!O61),IFERROR((K62+M62+MATRIZ_174!O61)/3,0),"")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t="str">
        <f>IFERROR(MATRIZ_174!AP61,"—")</f>
        <v>—</v>
      </c>
      <c r="AJ62" s="17" t="str">
        <f>IFERROR(MATRIZ_174!AO61,"N/A")</f>
        <v>N/A</v>
      </c>
      <c r="AK62" s="23" t="str">
        <f t="shared" si="20"/>
        <v>N/A</v>
      </c>
      <c r="AL62" s="24" t="str">
        <f t="shared" si="21"/>
        <v>—</v>
      </c>
    </row>
    <row r="63" spans="1:38" ht="16.05" customHeight="1" x14ac:dyDescent="0.3">
      <c r="A63" s="13" t="s">
        <v>204</v>
      </c>
      <c r="B63" s="14" t="s">
        <v>205</v>
      </c>
      <c r="C63" s="13" t="s">
        <v>103</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f t="shared" si="12"/>
        <v>0</v>
      </c>
      <c r="R63" s="17">
        <f t="shared" si="13"/>
        <v>0</v>
      </c>
      <c r="S63" s="17">
        <f t="shared" si="14"/>
        <v>0</v>
      </c>
      <c r="T63" s="17" t="str">
        <f>IF(ISNUMBER(MATRIZ_174!O62),IFERROR((K63+M63+MATRIZ_174!O62)/3,0),"")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t="str">
        <f>IFERROR(MATRIZ_174!AP62,"—")</f>
        <v>—</v>
      </c>
      <c r="AJ63" s="17" t="str">
        <f>IFERROR(MATRIZ_174!AO62,"N/A")</f>
        <v>N/A</v>
      </c>
      <c r="AK63" s="23" t="str">
        <f t="shared" si="20"/>
        <v>N/A</v>
      </c>
      <c r="AL63" s="24" t="str">
        <f t="shared" si="21"/>
        <v>—</v>
      </c>
    </row>
    <row r="64" spans="1:38" ht="16.05" customHeight="1" x14ac:dyDescent="0.3">
      <c r="A64" s="13" t="s">
        <v>206</v>
      </c>
      <c r="B64" s="14" t="s">
        <v>207</v>
      </c>
      <c r="C64" s="13" t="s">
        <v>103</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f t="shared" si="12"/>
        <v>0</v>
      </c>
      <c r="R64" s="17">
        <f t="shared" si="13"/>
        <v>0</v>
      </c>
      <c r="S64" s="17">
        <f t="shared" si="14"/>
        <v>0</v>
      </c>
      <c r="T64" s="17" t="str">
        <f>IF(ISNUMBER(MATRIZ_174!O63),IFERROR((K64+M64+MATRIZ_174!O63)/3,0),"")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t="str">
        <f>IFERROR(MATRIZ_174!AP63,"—")</f>
        <v>—</v>
      </c>
      <c r="AJ64" s="17" t="str">
        <f>IFERROR(MATRIZ_174!AO63,"N/A")</f>
        <v>N/A</v>
      </c>
      <c r="AK64" s="23" t="str">
        <f t="shared" si="20"/>
        <v>N/A</v>
      </c>
      <c r="AL64" s="24" t="str">
        <f t="shared" si="21"/>
        <v>—</v>
      </c>
    </row>
    <row r="65" spans="1:38" ht="16.05" customHeight="1" x14ac:dyDescent="0.3">
      <c r="A65" s="13" t="s">
        <v>208</v>
      </c>
      <c r="B65" s="14" t="s">
        <v>209</v>
      </c>
      <c r="C65" s="13" t="s">
        <v>139</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f t="shared" si="12"/>
        <v>0</v>
      </c>
      <c r="R65" s="17">
        <f t="shared" si="13"/>
        <v>0</v>
      </c>
      <c r="S65" s="17">
        <f t="shared" si="14"/>
        <v>0</v>
      </c>
      <c r="T65" s="17" t="str">
        <f>IF(ISNUMBER(MATRIZ_174!O64),IFERROR((K65+M65+MATRIZ_174!O64)/3,0),"")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t="str">
        <f>IFERROR(MATRIZ_174!AP64,"—")</f>
        <v>—</v>
      </c>
      <c r="AJ65" s="17" t="str">
        <f>IFERROR(MATRIZ_174!AO64,"N/A")</f>
        <v>N/A</v>
      </c>
      <c r="AK65" s="23" t="str">
        <f t="shared" si="20"/>
        <v>N/A</v>
      </c>
      <c r="AL65" s="24" t="str">
        <f t="shared" si="21"/>
        <v>—</v>
      </c>
    </row>
    <row r="66" spans="1:38" ht="16.05" customHeight="1" x14ac:dyDescent="0.3">
      <c r="A66" s="13" t="s">
        <v>210</v>
      </c>
      <c r="B66" s="14" t="s">
        <v>211</v>
      </c>
      <c r="C66" s="13" t="s">
        <v>139</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f t="shared" si="12"/>
        <v>0</v>
      </c>
      <c r="R66" s="17">
        <f t="shared" si="13"/>
        <v>0</v>
      </c>
      <c r="S66" s="17">
        <f t="shared" si="14"/>
        <v>0</v>
      </c>
      <c r="T66" s="17" t="str">
        <f>IF(ISNUMBER(MATRIZ_174!O65),IFERROR((K66+M66+MATRIZ_174!O65)/3,0),"")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t="str">
        <f>IFERROR(MATRIZ_174!AP65,"—")</f>
        <v>—</v>
      </c>
      <c r="AJ66" s="17" t="str">
        <f>IFERROR(MATRIZ_174!AO65,"N/A")</f>
        <v>N/A</v>
      </c>
      <c r="AK66" s="23" t="str">
        <f t="shared" si="20"/>
        <v>N/A</v>
      </c>
      <c r="AL66" s="24" t="str">
        <f t="shared" si="21"/>
        <v>—</v>
      </c>
    </row>
    <row r="67" spans="1:38" ht="16.05" customHeight="1" x14ac:dyDescent="0.3">
      <c r="A67" s="13" t="s">
        <v>212</v>
      </c>
      <c r="B67" s="14" t="s">
        <v>213</v>
      </c>
      <c r="C67" s="13" t="s">
        <v>80</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f t="shared" si="12"/>
        <v>0</v>
      </c>
      <c r="R67" s="17">
        <f t="shared" si="13"/>
        <v>0</v>
      </c>
      <c r="S67" s="17">
        <f t="shared" si="14"/>
        <v>0</v>
      </c>
      <c r="T67" s="17" t="str">
        <f>IF(ISNUMBER(MATRIZ_174!O66),IFERROR((K67+M67+MATRIZ_174!O66)/3,0),"")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t="str">
        <f>IFERROR(MATRIZ_174!AP66,"—")</f>
        <v>—</v>
      </c>
      <c r="AJ67" s="17" t="str">
        <f>IFERROR(MATRIZ_174!AO66,"N/A")</f>
        <v>N/A</v>
      </c>
      <c r="AK67" s="23" t="str">
        <f t="shared" si="20"/>
        <v>N/A</v>
      </c>
      <c r="AL67" s="24" t="str">
        <f t="shared" si="21"/>
        <v>—</v>
      </c>
    </row>
    <row r="68" spans="1:38" ht="16.05" customHeight="1" x14ac:dyDescent="0.3">
      <c r="A68" s="13" t="s">
        <v>214</v>
      </c>
      <c r="B68" s="14" t="s">
        <v>215</v>
      </c>
      <c r="C68" s="13" t="s">
        <v>112</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f t="shared" ref="Q68:Q99" si="23">IFERROR(SQRT(G68*H68),0)</f>
        <v>0</v>
      </c>
      <c r="R68" s="17">
        <f t="shared" ref="R68:R99" si="24">IFERROR((I68+J68+L68)/3,0)</f>
        <v>0</v>
      </c>
      <c r="S68" s="17">
        <f t="shared" ref="S68:S99" si="25">IFERROR((J68+F68)/2,0)</f>
        <v>0</v>
      </c>
      <c r="T68" s="17" t="str">
        <f>IF(ISNUMBER(MATRIZ_174!O67),IFERROR((K68+M68+MATRIZ_174!O67)/3,0),"")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IFERROR(ROUND(AVERAGE(U68,V68,W68,X68,Y68),1),0)</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row>
    <row r="69" spans="1:38" ht="16.05" customHeight="1" x14ac:dyDescent="0.3">
      <c r="A69" s="13" t="s">
        <v>216</v>
      </c>
      <c r="B69" s="14" t="s">
        <v>217</v>
      </c>
      <c r="C69" s="13" t="s">
        <v>112</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f t="shared" si="23"/>
        <v>0</v>
      </c>
      <c r="R69" s="17">
        <f t="shared" si="24"/>
        <v>0</v>
      </c>
      <c r="S69" s="17">
        <f t="shared" si="25"/>
        <v>0</v>
      </c>
      <c r="T69" s="17" t="str">
        <f>IF(ISNUMBER(MATRIZ_174!O68),IFERROR((K69+M69+MATRIZ_174!O68)/3,0),"")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t="str">
        <f>IFERROR(MATRIZ_174!AP68,"—")</f>
        <v>—</v>
      </c>
      <c r="AJ69" s="17" t="str">
        <f>IFERROR(MATRIZ_174!AO68,"N/A")</f>
        <v>N/A</v>
      </c>
      <c r="AK69" s="23" t="str">
        <f t="shared" si="31"/>
        <v>N/A</v>
      </c>
      <c r="AL69" s="24" t="str">
        <f t="shared" si="32"/>
        <v>—</v>
      </c>
    </row>
    <row r="70" spans="1:38" ht="16.05" customHeight="1" x14ac:dyDescent="0.3">
      <c r="A70" s="13" t="s">
        <v>218</v>
      </c>
      <c r="B70" s="14" t="s">
        <v>219</v>
      </c>
      <c r="C70" s="13" t="s">
        <v>179</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f t="shared" si="23"/>
        <v>0</v>
      </c>
      <c r="R70" s="17">
        <f t="shared" si="24"/>
        <v>0</v>
      </c>
      <c r="S70" s="17">
        <f t="shared" si="25"/>
        <v>0</v>
      </c>
      <c r="T70" s="17" t="str">
        <f>IF(ISNUMBER(MATRIZ_174!O69),IFERROR((K70+M70+MATRIZ_174!O69)/3,0),"")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t="str">
        <f>IFERROR(MATRIZ_174!AP69,"—")</f>
        <v>—</v>
      </c>
      <c r="AJ70" s="17" t="str">
        <f>IFERROR(MATRIZ_174!AO69,"N/A")</f>
        <v>N/A</v>
      </c>
      <c r="AK70" s="23" t="str">
        <f t="shared" si="31"/>
        <v>N/A</v>
      </c>
      <c r="AL70" s="24" t="str">
        <f t="shared" si="32"/>
        <v>—</v>
      </c>
    </row>
    <row r="71" spans="1:38" ht="16.05" customHeight="1" x14ac:dyDescent="0.3">
      <c r="A71" s="13" t="s">
        <v>220</v>
      </c>
      <c r="B71" s="14" t="s">
        <v>221</v>
      </c>
      <c r="C71" s="13" t="s">
        <v>139</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f t="shared" si="23"/>
        <v>0</v>
      </c>
      <c r="R71" s="17">
        <f t="shared" si="24"/>
        <v>0</v>
      </c>
      <c r="S71" s="17">
        <f t="shared" si="25"/>
        <v>0</v>
      </c>
      <c r="T71" s="17">
        <f>IF(ISNUMBER(MATRIZ_174!O70),IFERROR((K71+M71+MATRIZ_174!O70)/3,0),"")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t="str">
        <f>IFERROR(MATRIZ_174!AP70,"—")</f>
        <v>—</v>
      </c>
      <c r="AJ71" s="17" t="str">
        <f>IFERROR(MATRIZ_174!AO70,"N/A")</f>
        <v>N/A</v>
      </c>
      <c r="AK71" s="23" t="str">
        <f t="shared" si="31"/>
        <v>N/A</v>
      </c>
      <c r="AL71" s="24" t="str">
        <f t="shared" si="32"/>
        <v>—</v>
      </c>
    </row>
    <row r="72" spans="1:38" ht="16.05" customHeight="1" x14ac:dyDescent="0.3">
      <c r="A72" s="13" t="s">
        <v>223</v>
      </c>
      <c r="B72" s="14" t="s">
        <v>224</v>
      </c>
      <c r="C72" s="13" t="s">
        <v>139</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f t="shared" si="23"/>
        <v>0</v>
      </c>
      <c r="R72" s="17">
        <f t="shared" si="24"/>
        <v>0</v>
      </c>
      <c r="S72" s="17">
        <f t="shared" si="25"/>
        <v>0</v>
      </c>
      <c r="T72" s="17" t="str">
        <f>IF(ISNUMBER(MATRIZ_174!O71),IFERROR((K72+M72+MATRIZ_174!O71)/3,0),"")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t="str">
        <f>IFERROR(MATRIZ_174!AP71,"—")</f>
        <v>—</v>
      </c>
      <c r="AJ72" s="17" t="str">
        <f>IFERROR(MATRIZ_174!AO71,"N/A")</f>
        <v>N/A</v>
      </c>
      <c r="AK72" s="23" t="str">
        <f t="shared" si="31"/>
        <v>N/A</v>
      </c>
      <c r="AL72" s="24" t="str">
        <f t="shared" si="32"/>
        <v>—</v>
      </c>
    </row>
    <row r="73" spans="1:38" ht="16.05" customHeight="1" x14ac:dyDescent="0.3">
      <c r="A73" s="13" t="s">
        <v>225</v>
      </c>
      <c r="B73" s="14" t="s">
        <v>226</v>
      </c>
      <c r="C73" s="13" t="s">
        <v>139</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f t="shared" si="23"/>
        <v>0</v>
      </c>
      <c r="R73" s="17">
        <f t="shared" si="24"/>
        <v>0</v>
      </c>
      <c r="S73" s="17">
        <f t="shared" si="25"/>
        <v>0</v>
      </c>
      <c r="T73" s="17" t="str">
        <f>IF(ISNUMBER(MATRIZ_174!O72),IFERROR((K73+M73+MATRIZ_174!O72)/3,0),"")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t="str">
        <f>IFERROR(MATRIZ_174!AP72,"—")</f>
        <v>—</v>
      </c>
      <c r="AJ73" s="17" t="str">
        <f>IFERROR(MATRIZ_174!AO72,"N/A")</f>
        <v>N/A</v>
      </c>
      <c r="AK73" s="23" t="str">
        <f t="shared" si="31"/>
        <v>N/A</v>
      </c>
      <c r="AL73" s="24" t="str">
        <f t="shared" si="32"/>
        <v>—</v>
      </c>
    </row>
    <row r="74" spans="1:38" ht="16.05" customHeight="1" x14ac:dyDescent="0.3">
      <c r="A74" s="13" t="s">
        <v>227</v>
      </c>
      <c r="B74" s="14" t="s">
        <v>228</v>
      </c>
      <c r="C74" s="13" t="s">
        <v>139</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f t="shared" si="23"/>
        <v>0</v>
      </c>
      <c r="R74" s="17">
        <f t="shared" si="24"/>
        <v>0</v>
      </c>
      <c r="S74" s="17">
        <f t="shared" si="25"/>
        <v>0</v>
      </c>
      <c r="T74" s="17">
        <f>IF(ISNUMBER(MATRIZ_174!O73),IFERROR((K74+M74+MATRIZ_174!O73)/3,0),"")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t="str">
        <f>IFERROR(MATRIZ_174!AP73,"—")</f>
        <v>—</v>
      </c>
      <c r="AJ74" s="17" t="str">
        <f>IFERROR(MATRIZ_174!AO73,"N/A")</f>
        <v>N/A</v>
      </c>
      <c r="AK74" s="23" t="str">
        <f t="shared" si="31"/>
        <v>N/A</v>
      </c>
      <c r="AL74" s="24" t="str">
        <f t="shared" si="32"/>
        <v>—</v>
      </c>
    </row>
    <row r="75" spans="1:38" ht="16.05" customHeight="1" x14ac:dyDescent="0.3">
      <c r="A75" s="13" t="s">
        <v>229</v>
      </c>
      <c r="B75" s="14" t="s">
        <v>230</v>
      </c>
      <c r="C75" s="13" t="s">
        <v>139</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f t="shared" si="23"/>
        <v>0</v>
      </c>
      <c r="R75" s="17">
        <f t="shared" si="24"/>
        <v>0</v>
      </c>
      <c r="S75" s="17">
        <f t="shared" si="25"/>
        <v>0</v>
      </c>
      <c r="T75" s="17" t="str">
        <f>IF(ISNUMBER(MATRIZ_174!O74),IFERROR((K75+M75+MATRIZ_174!O74)/3,0),"")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t="str">
        <f>IFERROR(MATRIZ_174!AP74,"—")</f>
        <v>—</v>
      </c>
      <c r="AJ75" s="17" t="str">
        <f>IFERROR(MATRIZ_174!AO74,"N/A")</f>
        <v>N/A</v>
      </c>
      <c r="AK75" s="23" t="str">
        <f t="shared" si="31"/>
        <v>N/A</v>
      </c>
      <c r="AL75" s="24" t="str">
        <f t="shared" si="32"/>
        <v>—</v>
      </c>
    </row>
    <row r="76" spans="1:38" ht="16.05" customHeight="1" x14ac:dyDescent="0.3">
      <c r="A76" s="13" t="s">
        <v>231</v>
      </c>
      <c r="B76" s="14" t="s">
        <v>232</v>
      </c>
      <c r="C76" s="13" t="s">
        <v>192</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f t="shared" si="23"/>
        <v>0</v>
      </c>
      <c r="R76" s="17">
        <f t="shared" si="24"/>
        <v>0</v>
      </c>
      <c r="S76" s="17">
        <f t="shared" si="25"/>
        <v>0</v>
      </c>
      <c r="T76" s="17" t="str">
        <f>IF(ISNUMBER(MATRIZ_174!O75),IFERROR((K76+M76+MATRIZ_174!O75)/3,0),"")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t="str">
        <f>IFERROR(MATRIZ_174!AP75,"—")</f>
        <v>—</v>
      </c>
      <c r="AJ76" s="17" t="str">
        <f>IFERROR(MATRIZ_174!AO75,"N/A")</f>
        <v>N/A</v>
      </c>
      <c r="AK76" s="23" t="str">
        <f t="shared" si="31"/>
        <v>N/A</v>
      </c>
      <c r="AL76" s="24" t="str">
        <f t="shared" si="32"/>
        <v>—</v>
      </c>
    </row>
    <row r="77" spans="1:38" ht="16.05" customHeight="1" x14ac:dyDescent="0.3">
      <c r="A77" s="13" t="s">
        <v>233</v>
      </c>
      <c r="B77" s="14" t="s">
        <v>234</v>
      </c>
      <c r="C77" s="13" t="s">
        <v>192</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f t="shared" si="23"/>
        <v>0</v>
      </c>
      <c r="R77" s="17">
        <f t="shared" si="24"/>
        <v>0</v>
      </c>
      <c r="S77" s="17">
        <f t="shared" si="25"/>
        <v>0</v>
      </c>
      <c r="T77" s="17" t="str">
        <f>IF(ISNUMBER(MATRIZ_174!O76),IFERROR((K77+M77+MATRIZ_174!O76)/3,0),"")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t="str">
        <f>IFERROR(MATRIZ_174!AP76,"—")</f>
        <v>—</v>
      </c>
      <c r="AJ77" s="17" t="str">
        <f>IFERROR(MATRIZ_174!AO76,"N/A")</f>
        <v>N/A</v>
      </c>
      <c r="AK77" s="23" t="str">
        <f t="shared" si="31"/>
        <v>N/A</v>
      </c>
      <c r="AL77" s="24" t="str">
        <f t="shared" si="32"/>
        <v>—</v>
      </c>
    </row>
    <row r="78" spans="1:38" ht="16.05" customHeight="1" x14ac:dyDescent="0.3">
      <c r="A78" s="13" t="s">
        <v>235</v>
      </c>
      <c r="B78" s="14" t="s">
        <v>236</v>
      </c>
      <c r="C78" s="13" t="s">
        <v>150</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f t="shared" si="23"/>
        <v>0</v>
      </c>
      <c r="R78" s="17">
        <f t="shared" si="24"/>
        <v>0</v>
      </c>
      <c r="S78" s="17">
        <f t="shared" si="25"/>
        <v>0</v>
      </c>
      <c r="T78" s="17" t="str">
        <f>IF(ISNUMBER(MATRIZ_174!O77),IFERROR((K78+M78+MATRIZ_174!O77)/3,0),"")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t="str">
        <f>IFERROR(MATRIZ_174!AP77,"—")</f>
        <v>—</v>
      </c>
      <c r="AJ78" s="17" t="str">
        <f>IFERROR(MATRIZ_174!AO77,"N/A")</f>
        <v>N/A</v>
      </c>
      <c r="AK78" s="23" t="str">
        <f t="shared" si="31"/>
        <v>N/A</v>
      </c>
      <c r="AL78" s="24" t="str">
        <f t="shared" si="32"/>
        <v>—</v>
      </c>
    </row>
    <row r="79" spans="1:38" ht="16.05" customHeight="1" x14ac:dyDescent="0.3">
      <c r="A79" s="13" t="s">
        <v>237</v>
      </c>
      <c r="B79" s="14" t="s">
        <v>238</v>
      </c>
      <c r="C79" s="13" t="s">
        <v>119</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f t="shared" si="23"/>
        <v>0</v>
      </c>
      <c r="R79" s="17">
        <f t="shared" si="24"/>
        <v>0</v>
      </c>
      <c r="S79" s="17">
        <f t="shared" si="25"/>
        <v>0</v>
      </c>
      <c r="T79" s="17" t="str">
        <f>IF(ISNUMBER(MATRIZ_174!O78),IFERROR((K79+M79+MATRIZ_174!O78)/3,0),"")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t="str">
        <f>IFERROR(MATRIZ_174!AP78,"—")</f>
        <v>—</v>
      </c>
      <c r="AJ79" s="17" t="str">
        <f>IFERROR(MATRIZ_174!AO78,"N/A")</f>
        <v>N/A</v>
      </c>
      <c r="AK79" s="23" t="str">
        <f t="shared" si="31"/>
        <v>N/A</v>
      </c>
      <c r="AL79" s="24" t="str">
        <f t="shared" si="32"/>
        <v>—</v>
      </c>
    </row>
    <row r="80" spans="1:38" ht="16.05" customHeight="1" x14ac:dyDescent="0.3">
      <c r="A80" s="13" t="s">
        <v>239</v>
      </c>
      <c r="B80" s="14" t="s">
        <v>240</v>
      </c>
      <c r="C80" s="13" t="s">
        <v>241</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f t="shared" si="23"/>
        <v>0</v>
      </c>
      <c r="R80" s="17">
        <f t="shared" si="24"/>
        <v>0</v>
      </c>
      <c r="S80" s="17">
        <f t="shared" si="25"/>
        <v>0</v>
      </c>
      <c r="T80" s="17" t="str">
        <f>IF(ISNUMBER(MATRIZ_174!O79),IFERROR((K80+M80+MATRIZ_174!O79)/3,0),"")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t="str">
        <f>IFERROR(MATRIZ_174!AP79,"—")</f>
        <v>—</v>
      </c>
      <c r="AJ80" s="17" t="str">
        <f>IFERROR(MATRIZ_174!AO79,"N/A")</f>
        <v>N/A</v>
      </c>
      <c r="AK80" s="23" t="str">
        <f t="shared" si="31"/>
        <v>N/A</v>
      </c>
      <c r="AL80" s="24" t="str">
        <f t="shared" si="32"/>
        <v>—</v>
      </c>
    </row>
    <row r="81" spans="1:38" ht="16.05" customHeight="1" x14ac:dyDescent="0.3">
      <c r="A81" s="13" t="s">
        <v>242</v>
      </c>
      <c r="B81" s="14" t="s">
        <v>243</v>
      </c>
      <c r="C81" s="13" t="s">
        <v>112</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f t="shared" si="23"/>
        <v>0</v>
      </c>
      <c r="R81" s="17">
        <f t="shared" si="24"/>
        <v>0</v>
      </c>
      <c r="S81" s="17">
        <f t="shared" si="25"/>
        <v>0</v>
      </c>
      <c r="T81" s="17">
        <f>IF(ISNUMBER(MATRIZ_174!O80),IFERROR((K81+M81+MATRIZ_174!O80)/3,0),"")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t="str">
        <f>IFERROR(MATRIZ_174!AP80,"—")</f>
        <v>—</v>
      </c>
      <c r="AJ81" s="17" t="str">
        <f>IFERROR(MATRIZ_174!AO80,"N/A")</f>
        <v>N/A</v>
      </c>
      <c r="AK81" s="23" t="str">
        <f t="shared" si="31"/>
        <v>N/A</v>
      </c>
      <c r="AL81" s="24" t="str">
        <f t="shared" si="32"/>
        <v>—</v>
      </c>
    </row>
    <row r="82" spans="1:38" ht="16.05" customHeight="1" x14ac:dyDescent="0.3">
      <c r="A82" s="13" t="s">
        <v>245</v>
      </c>
      <c r="B82" s="14" t="s">
        <v>246</v>
      </c>
      <c r="C82" s="13" t="s">
        <v>80</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f t="shared" si="23"/>
        <v>0</v>
      </c>
      <c r="R82" s="17">
        <f t="shared" si="24"/>
        <v>0</v>
      </c>
      <c r="S82" s="17">
        <f t="shared" si="25"/>
        <v>0</v>
      </c>
      <c r="T82" s="17" t="str">
        <f>IF(ISNUMBER(MATRIZ_174!O81),IFERROR((K82+M82+MATRIZ_174!O81)/3,0),"")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t="str">
        <f>IFERROR(MATRIZ_174!AP81,"—")</f>
        <v>—</v>
      </c>
      <c r="AJ82" s="17" t="str">
        <f>IFERROR(MATRIZ_174!AO81,"N/A")</f>
        <v>N/A</v>
      </c>
      <c r="AK82" s="23" t="str">
        <f t="shared" si="31"/>
        <v>N/A</v>
      </c>
      <c r="AL82" s="24" t="str">
        <f t="shared" si="32"/>
        <v>—</v>
      </c>
    </row>
    <row r="83" spans="1:38" ht="16.05" customHeight="1" x14ac:dyDescent="0.3">
      <c r="A83" s="13" t="s">
        <v>247</v>
      </c>
      <c r="B83" s="14" t="s">
        <v>248</v>
      </c>
      <c r="C83" s="13" t="s">
        <v>249</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f t="shared" si="23"/>
        <v>0</v>
      </c>
      <c r="R83" s="17">
        <f t="shared" si="24"/>
        <v>0</v>
      </c>
      <c r="S83" s="17">
        <f t="shared" si="25"/>
        <v>0</v>
      </c>
      <c r="T83" s="17" t="str">
        <f>IF(ISNUMBER(MATRIZ_174!O82),IFERROR((K83+M83+MATRIZ_174!O82)/3,0),"")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t="str">
        <f>IFERROR(MATRIZ_174!AP82,"—")</f>
        <v>—</v>
      </c>
      <c r="AJ83" s="17" t="str">
        <f>IFERROR(MATRIZ_174!AO82,"N/A")</f>
        <v>N/A</v>
      </c>
      <c r="AK83" s="23" t="str">
        <f t="shared" si="31"/>
        <v>N/A</v>
      </c>
      <c r="AL83" s="24" t="str">
        <f t="shared" si="32"/>
        <v>—</v>
      </c>
    </row>
    <row r="84" spans="1:38" ht="16.05" customHeight="1" x14ac:dyDescent="0.3">
      <c r="A84" s="13" t="s">
        <v>250</v>
      </c>
      <c r="B84" s="14" t="s">
        <v>251</v>
      </c>
      <c r="C84" s="13" t="s">
        <v>249</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f t="shared" si="23"/>
        <v>0</v>
      </c>
      <c r="R84" s="17">
        <f t="shared" si="24"/>
        <v>0</v>
      </c>
      <c r="S84" s="17">
        <f t="shared" si="25"/>
        <v>0</v>
      </c>
      <c r="T84" s="17" t="str">
        <f>IF(ISNUMBER(MATRIZ_174!O83),IFERROR((K84+M84+MATRIZ_174!O83)/3,0),"")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t="str">
        <f>IFERROR(MATRIZ_174!AP83,"—")</f>
        <v>—</v>
      </c>
      <c r="AJ84" s="17" t="str">
        <f>IFERROR(MATRIZ_174!AO83,"N/A")</f>
        <v>N/A</v>
      </c>
      <c r="AK84" s="23" t="str">
        <f t="shared" si="31"/>
        <v>N/A</v>
      </c>
      <c r="AL84" s="24" t="str">
        <f t="shared" si="32"/>
        <v>—</v>
      </c>
    </row>
    <row r="85" spans="1:38" ht="16.05" customHeight="1" x14ac:dyDescent="0.3">
      <c r="A85" s="13" t="s">
        <v>252</v>
      </c>
      <c r="B85" s="14" t="s">
        <v>253</v>
      </c>
      <c r="C85" s="13" t="s">
        <v>77</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f t="shared" si="23"/>
        <v>0</v>
      </c>
      <c r="R85" s="17">
        <f t="shared" si="24"/>
        <v>0</v>
      </c>
      <c r="S85" s="17">
        <f t="shared" si="25"/>
        <v>0</v>
      </c>
      <c r="T85" s="17" t="str">
        <f>IF(ISNUMBER(MATRIZ_174!O84),IFERROR((K85+M85+MATRIZ_174!O84)/3,0),"")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t="str">
        <f>IFERROR(MATRIZ_174!AP84,"—")</f>
        <v>—</v>
      </c>
      <c r="AJ85" s="17" t="str">
        <f>IFERROR(MATRIZ_174!AO84,"N/A")</f>
        <v>N/A</v>
      </c>
      <c r="AK85" s="23" t="str">
        <f t="shared" si="31"/>
        <v>N/A</v>
      </c>
      <c r="AL85" s="24" t="str">
        <f t="shared" si="32"/>
        <v>—</v>
      </c>
    </row>
    <row r="86" spans="1:38" ht="16.05" customHeight="1" x14ac:dyDescent="0.3">
      <c r="A86" s="13" t="s">
        <v>254</v>
      </c>
      <c r="B86" s="14" t="s">
        <v>255</v>
      </c>
      <c r="C86" s="13" t="s">
        <v>77</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f t="shared" si="23"/>
        <v>0</v>
      </c>
      <c r="R86" s="17">
        <f t="shared" si="24"/>
        <v>0</v>
      </c>
      <c r="S86" s="17">
        <f t="shared" si="25"/>
        <v>0</v>
      </c>
      <c r="T86" s="17" t="str">
        <f>IF(ISNUMBER(MATRIZ_174!O85),IFERROR((K86+M86+MATRIZ_174!O85)/3,0),"")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t="str">
        <f>IFERROR(MATRIZ_174!AP85,"—")</f>
        <v>—</v>
      </c>
      <c r="AJ86" s="17" t="str">
        <f>IFERROR(MATRIZ_174!AO85,"N/A")</f>
        <v>N/A</v>
      </c>
      <c r="AK86" s="23" t="str">
        <f t="shared" si="31"/>
        <v>N/A</v>
      </c>
      <c r="AL86" s="24" t="str">
        <f t="shared" si="32"/>
        <v>—</v>
      </c>
    </row>
    <row r="87" spans="1:38" ht="16.05" customHeight="1" x14ac:dyDescent="0.3">
      <c r="A87" s="13" t="s">
        <v>256</v>
      </c>
      <c r="B87" s="14" t="s">
        <v>257</v>
      </c>
      <c r="C87" s="13" t="s">
        <v>249</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f t="shared" si="23"/>
        <v>0</v>
      </c>
      <c r="R87" s="17">
        <f t="shared" si="24"/>
        <v>0</v>
      </c>
      <c r="S87" s="17">
        <f t="shared" si="25"/>
        <v>0</v>
      </c>
      <c r="T87" s="17" t="str">
        <f>IF(ISNUMBER(MATRIZ_174!O86),IFERROR((K87+M87+MATRIZ_174!O86)/3,0),"")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t="str">
        <f>IFERROR(MATRIZ_174!AP86,"—")</f>
        <v>—</v>
      </c>
      <c r="AJ87" s="17" t="str">
        <f>IFERROR(MATRIZ_174!AO86,"N/A")</f>
        <v>N/A</v>
      </c>
      <c r="AK87" s="23" t="str">
        <f t="shared" si="31"/>
        <v>N/A</v>
      </c>
      <c r="AL87" s="24" t="str">
        <f t="shared" si="32"/>
        <v>—</v>
      </c>
    </row>
    <row r="88" spans="1:38" ht="16.05" customHeight="1" x14ac:dyDescent="0.3">
      <c r="A88" s="13" t="s">
        <v>258</v>
      </c>
      <c r="B88" s="14" t="s">
        <v>259</v>
      </c>
      <c r="C88" s="13" t="s">
        <v>249</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f t="shared" si="23"/>
        <v>0</v>
      </c>
      <c r="R88" s="17">
        <f t="shared" si="24"/>
        <v>0</v>
      </c>
      <c r="S88" s="17">
        <f t="shared" si="25"/>
        <v>0</v>
      </c>
      <c r="T88" s="17" t="str">
        <f>IF(ISNUMBER(MATRIZ_174!O87),IFERROR((K88+M88+MATRIZ_174!O87)/3,0),"")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t="str">
        <f>IFERROR(MATRIZ_174!AP87,"—")</f>
        <v>—</v>
      </c>
      <c r="AJ88" s="17" t="str">
        <f>IFERROR(MATRIZ_174!AO87,"N/A")</f>
        <v>N/A</v>
      </c>
      <c r="AK88" s="23" t="str">
        <f t="shared" si="31"/>
        <v>N/A</v>
      </c>
      <c r="AL88" s="24" t="str">
        <f t="shared" si="32"/>
        <v>—</v>
      </c>
    </row>
    <row r="89" spans="1:38" ht="16.05" customHeight="1" x14ac:dyDescent="0.3">
      <c r="A89" s="13" t="s">
        <v>260</v>
      </c>
      <c r="B89" s="14" t="s">
        <v>261</v>
      </c>
      <c r="C89" s="13" t="s">
        <v>249</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f t="shared" si="23"/>
        <v>0</v>
      </c>
      <c r="R89" s="17">
        <f t="shared" si="24"/>
        <v>0</v>
      </c>
      <c r="S89" s="17">
        <f t="shared" si="25"/>
        <v>0</v>
      </c>
      <c r="T89" s="17" t="str">
        <f>IF(ISNUMBER(MATRIZ_174!O88),IFERROR((K89+M89+MATRIZ_174!O88)/3,0),"")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t="str">
        <f>IFERROR(MATRIZ_174!AP88,"—")</f>
        <v>—</v>
      </c>
      <c r="AJ89" s="17" t="str">
        <f>IFERROR(MATRIZ_174!AO88,"N/A")</f>
        <v>N/A</v>
      </c>
      <c r="AK89" s="23" t="str">
        <f t="shared" si="31"/>
        <v>N/A</v>
      </c>
      <c r="AL89" s="24" t="str">
        <f t="shared" si="32"/>
        <v>—</v>
      </c>
    </row>
    <row r="90" spans="1:38" ht="16.05" customHeight="1" x14ac:dyDescent="0.3">
      <c r="A90" s="13" t="s">
        <v>262</v>
      </c>
      <c r="B90" s="14" t="s">
        <v>263</v>
      </c>
      <c r="C90" s="13" t="s">
        <v>249</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f t="shared" si="23"/>
        <v>0</v>
      </c>
      <c r="R90" s="17">
        <f t="shared" si="24"/>
        <v>0</v>
      </c>
      <c r="S90" s="17">
        <f t="shared" si="25"/>
        <v>0</v>
      </c>
      <c r="T90" s="17" t="str">
        <f>IF(ISNUMBER(MATRIZ_174!O89),IFERROR((K90+M90+MATRIZ_174!O89)/3,0),"")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t="str">
        <f>IFERROR(MATRIZ_174!AP89,"—")</f>
        <v>—</v>
      </c>
      <c r="AJ90" s="17" t="str">
        <f>IFERROR(MATRIZ_174!AO89,"N/A")</f>
        <v>N/A</v>
      </c>
      <c r="AK90" s="23" t="str">
        <f t="shared" si="31"/>
        <v>N/A</v>
      </c>
      <c r="AL90" s="24" t="str">
        <f t="shared" si="32"/>
        <v>—</v>
      </c>
    </row>
    <row r="91" spans="1:38" ht="16.05" customHeight="1" x14ac:dyDescent="0.3">
      <c r="A91" s="13" t="s">
        <v>264</v>
      </c>
      <c r="B91" s="14" t="s">
        <v>265</v>
      </c>
      <c r="C91" s="13" t="s">
        <v>77</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f t="shared" si="23"/>
        <v>0</v>
      </c>
      <c r="R91" s="17">
        <f t="shared" si="24"/>
        <v>0</v>
      </c>
      <c r="S91" s="17">
        <f t="shared" si="25"/>
        <v>0</v>
      </c>
      <c r="T91" s="17" t="str">
        <f>IF(ISNUMBER(MATRIZ_174!O90),IFERROR((K91+M91+MATRIZ_174!O90)/3,0),"")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t="str">
        <f>IFERROR(MATRIZ_174!AP90,"—")</f>
        <v>—</v>
      </c>
      <c r="AJ91" s="17" t="str">
        <f>IFERROR(MATRIZ_174!AO90,"N/A")</f>
        <v>N/A</v>
      </c>
      <c r="AK91" s="23" t="str">
        <f t="shared" si="31"/>
        <v>N/A</v>
      </c>
      <c r="AL91" s="24" t="str">
        <f t="shared" si="32"/>
        <v>—</v>
      </c>
    </row>
    <row r="92" spans="1:38" ht="16.05" customHeight="1" x14ac:dyDescent="0.3">
      <c r="A92" s="13" t="s">
        <v>266</v>
      </c>
      <c r="B92" s="14" t="s">
        <v>267</v>
      </c>
      <c r="C92" s="13" t="s">
        <v>77</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f t="shared" si="23"/>
        <v>0</v>
      </c>
      <c r="R92" s="17">
        <f t="shared" si="24"/>
        <v>0</v>
      </c>
      <c r="S92" s="17">
        <f t="shared" si="25"/>
        <v>0</v>
      </c>
      <c r="T92" s="17" t="str">
        <f>IF(ISNUMBER(MATRIZ_174!O91),IFERROR((K92+M92+MATRIZ_174!O91)/3,0),"")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t="str">
        <f>IFERROR(MATRIZ_174!AP91,"—")</f>
        <v>—</v>
      </c>
      <c r="AJ92" s="17" t="str">
        <f>IFERROR(MATRIZ_174!AO91,"N/A")</f>
        <v>N/A</v>
      </c>
      <c r="AK92" s="23" t="str">
        <f t="shared" si="31"/>
        <v>N/A</v>
      </c>
      <c r="AL92" s="24" t="str">
        <f t="shared" si="32"/>
        <v>—</v>
      </c>
    </row>
    <row r="93" spans="1:38" ht="16.05" customHeight="1" x14ac:dyDescent="0.3">
      <c r="A93" s="13" t="s">
        <v>268</v>
      </c>
      <c r="B93" s="14" t="s">
        <v>269</v>
      </c>
      <c r="C93" s="13" t="s">
        <v>150</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f t="shared" si="23"/>
        <v>0</v>
      </c>
      <c r="R93" s="17">
        <f t="shared" si="24"/>
        <v>0</v>
      </c>
      <c r="S93" s="17">
        <f t="shared" si="25"/>
        <v>0</v>
      </c>
      <c r="T93" s="17" t="str">
        <f>IF(ISNUMBER(MATRIZ_174!O92),IFERROR((K93+M93+MATRIZ_174!O92)/3,0),"")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t="str">
        <f>IFERROR(MATRIZ_174!AP92,"—")</f>
        <v>—</v>
      </c>
      <c r="AJ93" s="17" t="str">
        <f>IFERROR(MATRIZ_174!AO92,"N/A")</f>
        <v>N/A</v>
      </c>
      <c r="AK93" s="23" t="str">
        <f t="shared" si="31"/>
        <v>N/A</v>
      </c>
      <c r="AL93" s="24" t="str">
        <f t="shared" si="32"/>
        <v>—</v>
      </c>
    </row>
    <row r="94" spans="1:38" ht="16.05" customHeight="1" x14ac:dyDescent="0.3">
      <c r="A94" s="13" t="s">
        <v>270</v>
      </c>
      <c r="B94" s="14" t="s">
        <v>271</v>
      </c>
      <c r="C94" s="13" t="s">
        <v>139</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f t="shared" si="23"/>
        <v>0</v>
      </c>
      <c r="R94" s="17">
        <f t="shared" si="24"/>
        <v>0</v>
      </c>
      <c r="S94" s="17">
        <f t="shared" si="25"/>
        <v>0</v>
      </c>
      <c r="T94" s="17" t="str">
        <f>IF(ISNUMBER(MATRIZ_174!O93),IFERROR((K94+M94+MATRIZ_174!O93)/3,0),"")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t="str">
        <f>IFERROR(MATRIZ_174!AP93,"—")</f>
        <v>—</v>
      </c>
      <c r="AJ94" s="17" t="str">
        <f>IFERROR(MATRIZ_174!AO93,"N/A")</f>
        <v>N/A</v>
      </c>
      <c r="AK94" s="23" t="str">
        <f t="shared" si="31"/>
        <v>N/A</v>
      </c>
      <c r="AL94" s="24" t="str">
        <f t="shared" si="32"/>
        <v>—</v>
      </c>
    </row>
    <row r="95" spans="1:38" ht="16.05" customHeight="1" x14ac:dyDescent="0.3">
      <c r="A95" s="13" t="s">
        <v>272</v>
      </c>
      <c r="B95" s="14" t="s">
        <v>273</v>
      </c>
      <c r="C95" s="13" t="s">
        <v>139</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f t="shared" si="23"/>
        <v>0</v>
      </c>
      <c r="R95" s="17">
        <f t="shared" si="24"/>
        <v>0</v>
      </c>
      <c r="S95" s="17">
        <f t="shared" si="25"/>
        <v>0</v>
      </c>
      <c r="T95" s="17" t="str">
        <f>IF(ISNUMBER(MATRIZ_174!O94),IFERROR((K95+M95+MATRIZ_174!O94)/3,0),"")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t="str">
        <f>IFERROR(MATRIZ_174!AP94,"—")</f>
        <v>—</v>
      </c>
      <c r="AJ95" s="17" t="str">
        <f>IFERROR(MATRIZ_174!AO94,"N/A")</f>
        <v>N/A</v>
      </c>
      <c r="AK95" s="23" t="str">
        <f t="shared" si="31"/>
        <v>N/A</v>
      </c>
      <c r="AL95" s="24" t="str">
        <f t="shared" si="32"/>
        <v>—</v>
      </c>
    </row>
    <row r="96" spans="1:38" ht="16.05" customHeight="1" x14ac:dyDescent="0.3">
      <c r="A96" s="13" t="s">
        <v>274</v>
      </c>
      <c r="B96" s="14" t="s">
        <v>275</v>
      </c>
      <c r="C96" s="13" t="s">
        <v>119</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f t="shared" si="23"/>
        <v>0</v>
      </c>
      <c r="R96" s="17">
        <f t="shared" si="24"/>
        <v>0</v>
      </c>
      <c r="S96" s="17">
        <f t="shared" si="25"/>
        <v>0</v>
      </c>
      <c r="T96" s="17" t="str">
        <f>IF(ISNUMBER(MATRIZ_174!O95),IFERROR((K96+M96+MATRIZ_174!O95)/3,0),"")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t="str">
        <f>IFERROR(MATRIZ_174!AP95,"—")</f>
        <v>—</v>
      </c>
      <c r="AJ96" s="17" t="str">
        <f>IFERROR(MATRIZ_174!AO95,"N/A")</f>
        <v>N/A</v>
      </c>
      <c r="AK96" s="23" t="str">
        <f t="shared" si="31"/>
        <v>N/A</v>
      </c>
      <c r="AL96" s="24" t="str">
        <f t="shared" si="32"/>
        <v>—</v>
      </c>
    </row>
    <row r="97" spans="1:38" ht="16.05" customHeight="1" x14ac:dyDescent="0.3">
      <c r="A97" s="13" t="s">
        <v>276</v>
      </c>
      <c r="B97" s="14" t="s">
        <v>277</v>
      </c>
      <c r="C97" s="13" t="s">
        <v>119</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f t="shared" si="23"/>
        <v>0</v>
      </c>
      <c r="R97" s="17">
        <f t="shared" si="24"/>
        <v>0</v>
      </c>
      <c r="S97" s="17">
        <f t="shared" si="25"/>
        <v>0</v>
      </c>
      <c r="T97" s="17" t="str">
        <f>IF(ISNUMBER(MATRIZ_174!O96),IFERROR((K97+M97+MATRIZ_174!O96)/3,0),"")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t="str">
        <f>IFERROR(MATRIZ_174!AP96,"—")</f>
        <v>—</v>
      </c>
      <c r="AJ97" s="17" t="str">
        <f>IFERROR(MATRIZ_174!AO96,"N/A")</f>
        <v>N/A</v>
      </c>
      <c r="AK97" s="23" t="str">
        <f t="shared" si="31"/>
        <v>N/A</v>
      </c>
      <c r="AL97" s="24" t="str">
        <f t="shared" si="32"/>
        <v>—</v>
      </c>
    </row>
    <row r="98" spans="1:38" ht="16.05" customHeight="1" x14ac:dyDescent="0.3">
      <c r="A98" s="13" t="s">
        <v>278</v>
      </c>
      <c r="B98" s="14" t="s">
        <v>279</v>
      </c>
      <c r="C98" s="13" t="s">
        <v>119</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f t="shared" si="23"/>
        <v>0</v>
      </c>
      <c r="R98" s="17">
        <f t="shared" si="24"/>
        <v>0</v>
      </c>
      <c r="S98" s="17">
        <f t="shared" si="25"/>
        <v>0</v>
      </c>
      <c r="T98" s="17" t="str">
        <f>IF(ISNUMBER(MATRIZ_174!O97),IFERROR((K98+M98+MATRIZ_174!O97)/3,0),"")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t="str">
        <f>IFERROR(MATRIZ_174!AP97,"—")</f>
        <v>—</v>
      </c>
      <c r="AJ98" s="17" t="str">
        <f>IFERROR(MATRIZ_174!AO97,"N/A")</f>
        <v>N/A</v>
      </c>
      <c r="AK98" s="23" t="str">
        <f t="shared" si="31"/>
        <v>N/A</v>
      </c>
      <c r="AL98" s="24" t="str">
        <f t="shared" si="32"/>
        <v>—</v>
      </c>
    </row>
    <row r="99" spans="1:38" ht="16.05" customHeight="1" x14ac:dyDescent="0.3">
      <c r="A99" s="13" t="s">
        <v>280</v>
      </c>
      <c r="B99" s="14" t="s">
        <v>281</v>
      </c>
      <c r="C99" s="13" t="s">
        <v>119</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f t="shared" si="23"/>
        <v>0</v>
      </c>
      <c r="R99" s="17">
        <f t="shared" si="24"/>
        <v>0</v>
      </c>
      <c r="S99" s="17">
        <f t="shared" si="25"/>
        <v>0</v>
      </c>
      <c r="T99" s="17" t="str">
        <f>IF(ISNUMBER(MATRIZ_174!O98),IFERROR((K99+M99+MATRIZ_174!O98)/3,0),"")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t="str">
        <f>IFERROR(MATRIZ_174!AP98,"—")</f>
        <v>—</v>
      </c>
      <c r="AJ99" s="17" t="str">
        <f>IFERROR(MATRIZ_174!AO98,"N/A")</f>
        <v>N/A</v>
      </c>
      <c r="AK99" s="23" t="str">
        <f t="shared" si="31"/>
        <v>N/A</v>
      </c>
      <c r="AL99" s="24" t="str">
        <f t="shared" si="32"/>
        <v>—</v>
      </c>
    </row>
    <row r="100" spans="1:38" ht="16.05" customHeight="1" x14ac:dyDescent="0.3">
      <c r="A100" s="13" t="s">
        <v>282</v>
      </c>
      <c r="B100" s="14" t="s">
        <v>283</v>
      </c>
      <c r="C100" s="13" t="s">
        <v>119</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f t="shared" ref="Q100:Q131" si="34">IFERROR(SQRT(G100*H100),0)</f>
        <v>0</v>
      </c>
      <c r="R100" s="17">
        <f t="shared" ref="R100:R131" si="35">IFERROR((I100+J100+L100)/3,0)</f>
        <v>0</v>
      </c>
      <c r="S100" s="17">
        <f t="shared" ref="S100:S131" si="36">IFERROR((J100+F100)/2,0)</f>
        <v>0</v>
      </c>
      <c r="T100" s="17" t="str">
        <f>IF(ISNUMBER(MATRIZ_174!O99),IFERROR((K100+M100+MATRIZ_174!O99)/3,0),"")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IFERROR(ROUND(AVERAGE(U100,V100,W100,X100,Y100),1),0)</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row>
    <row r="101" spans="1:38" ht="16.05" customHeight="1" x14ac:dyDescent="0.3">
      <c r="A101" s="13" t="s">
        <v>285</v>
      </c>
      <c r="B101" s="14" t="s">
        <v>286</v>
      </c>
      <c r="C101" s="13" t="s">
        <v>80</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f t="shared" si="34"/>
        <v>0</v>
      </c>
      <c r="R101" s="17">
        <f t="shared" si="35"/>
        <v>0</v>
      </c>
      <c r="S101" s="17">
        <f t="shared" si="36"/>
        <v>0</v>
      </c>
      <c r="T101" s="17" t="str">
        <f>IF(ISNUMBER(MATRIZ_174!O100),IFERROR((K101+M101+MATRIZ_174!O100)/3,0),"")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t="str">
        <f>IFERROR(MATRIZ_174!AP100,"—")</f>
        <v>—</v>
      </c>
      <c r="AJ101" s="17" t="str">
        <f>IFERROR(MATRIZ_174!AO100,"N/A")</f>
        <v>N/A</v>
      </c>
      <c r="AK101" s="23" t="str">
        <f t="shared" si="42"/>
        <v>N/A</v>
      </c>
      <c r="AL101" s="24" t="str">
        <f t="shared" si="43"/>
        <v>—</v>
      </c>
    </row>
    <row r="102" spans="1:38" ht="16.05" customHeight="1" x14ac:dyDescent="0.3">
      <c r="A102" s="13" t="s">
        <v>287</v>
      </c>
      <c r="B102" s="14" t="s">
        <v>288</v>
      </c>
      <c r="C102" s="13" t="s">
        <v>112</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f t="shared" si="34"/>
        <v>0</v>
      </c>
      <c r="R102" s="17">
        <f t="shared" si="35"/>
        <v>0</v>
      </c>
      <c r="S102" s="17">
        <f t="shared" si="36"/>
        <v>0</v>
      </c>
      <c r="T102" s="17" t="str">
        <f>IF(ISNUMBER(MATRIZ_174!O101),IFERROR((K102+M102+MATRIZ_174!O101)/3,0),"")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t="str">
        <f>IFERROR(MATRIZ_174!AP101,"—")</f>
        <v>—</v>
      </c>
      <c r="AJ102" s="17" t="str">
        <f>IFERROR(MATRIZ_174!AO101,"N/A")</f>
        <v>N/A</v>
      </c>
      <c r="AK102" s="23" t="str">
        <f t="shared" si="42"/>
        <v>N/A</v>
      </c>
      <c r="AL102" s="24" t="str">
        <f t="shared" si="43"/>
        <v>—</v>
      </c>
    </row>
    <row r="103" spans="1:38" ht="16.05" customHeight="1" x14ac:dyDescent="0.3">
      <c r="A103" s="13" t="s">
        <v>289</v>
      </c>
      <c r="B103" s="14" t="s">
        <v>290</v>
      </c>
      <c r="C103" s="13" t="s">
        <v>119</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f t="shared" si="34"/>
        <v>0</v>
      </c>
      <c r="R103" s="17">
        <f t="shared" si="35"/>
        <v>0</v>
      </c>
      <c r="S103" s="17">
        <f t="shared" si="36"/>
        <v>0</v>
      </c>
      <c r="T103" s="17" t="str">
        <f>IF(ISNUMBER(MATRIZ_174!O102),IFERROR((K103+M103+MATRIZ_174!O102)/3,0),"")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t="str">
        <f>IFERROR(MATRIZ_174!AP102,"—")</f>
        <v>—</v>
      </c>
      <c r="AJ103" s="17" t="str">
        <f>IFERROR(MATRIZ_174!AO102,"N/A")</f>
        <v>N/A</v>
      </c>
      <c r="AK103" s="23" t="str">
        <f t="shared" si="42"/>
        <v>N/A</v>
      </c>
      <c r="AL103" s="24" t="str">
        <f t="shared" si="43"/>
        <v>—</v>
      </c>
    </row>
    <row r="104" spans="1:38" ht="16.05" customHeight="1" x14ac:dyDescent="0.3">
      <c r="A104" s="13" t="s">
        <v>291</v>
      </c>
      <c r="B104" s="14" t="s">
        <v>292</v>
      </c>
      <c r="C104" s="13" t="s">
        <v>192</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f t="shared" si="34"/>
        <v>0</v>
      </c>
      <c r="R104" s="17">
        <f t="shared" si="35"/>
        <v>0</v>
      </c>
      <c r="S104" s="17">
        <f t="shared" si="36"/>
        <v>0</v>
      </c>
      <c r="T104" s="17" t="str">
        <f>IF(ISNUMBER(MATRIZ_174!O103),IFERROR((K104+M104+MATRIZ_174!O103)/3,0),"")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t="str">
        <f>IFERROR(MATRIZ_174!AP103,"—")</f>
        <v>—</v>
      </c>
      <c r="AJ104" s="17" t="str">
        <f>IFERROR(MATRIZ_174!AO103,"N/A")</f>
        <v>N/A</v>
      </c>
      <c r="AK104" s="23" t="str">
        <f t="shared" si="42"/>
        <v>N/A</v>
      </c>
      <c r="AL104" s="24" t="str">
        <f t="shared" si="43"/>
        <v>—</v>
      </c>
    </row>
    <row r="105" spans="1:38" ht="16.05" customHeight="1" x14ac:dyDescent="0.3">
      <c r="A105" s="13" t="s">
        <v>293</v>
      </c>
      <c r="B105" s="14" t="s">
        <v>294</v>
      </c>
      <c r="C105" s="13" t="s">
        <v>241</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f t="shared" si="34"/>
        <v>0</v>
      </c>
      <c r="R105" s="17">
        <f t="shared" si="35"/>
        <v>0</v>
      </c>
      <c r="S105" s="17">
        <f t="shared" si="36"/>
        <v>0</v>
      </c>
      <c r="T105" s="17" t="str">
        <f>IF(ISNUMBER(MATRIZ_174!O104),IFERROR((K105+M105+MATRIZ_174!O104)/3,0),"")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t="str">
        <f>IFERROR(MATRIZ_174!AP104,"—")</f>
        <v>—</v>
      </c>
      <c r="AJ105" s="17" t="str">
        <f>IFERROR(MATRIZ_174!AO104,"N/A")</f>
        <v>N/A</v>
      </c>
      <c r="AK105" s="23" t="str">
        <f t="shared" si="42"/>
        <v>N/A</v>
      </c>
      <c r="AL105" s="24" t="str">
        <f t="shared" si="43"/>
        <v>—</v>
      </c>
    </row>
    <row r="106" spans="1:38" ht="16.05" customHeight="1" x14ac:dyDescent="0.3">
      <c r="A106" s="13" t="s">
        <v>295</v>
      </c>
      <c r="B106" s="14" t="s">
        <v>296</v>
      </c>
      <c r="C106" s="13" t="s">
        <v>112</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f t="shared" si="34"/>
        <v>0</v>
      </c>
      <c r="R106" s="17">
        <f t="shared" si="35"/>
        <v>0</v>
      </c>
      <c r="S106" s="17">
        <f t="shared" si="36"/>
        <v>0</v>
      </c>
      <c r="T106" s="17" t="str">
        <f>IF(ISNUMBER(MATRIZ_174!O105),IFERROR((K106+M106+MATRIZ_174!O105)/3,0),"")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t="str">
        <f>IFERROR(MATRIZ_174!AP105,"—")</f>
        <v>—</v>
      </c>
      <c r="AJ106" s="17" t="str">
        <f>IFERROR(MATRIZ_174!AO105,"N/A")</f>
        <v>N/A</v>
      </c>
      <c r="AK106" s="23" t="str">
        <f t="shared" si="42"/>
        <v>N/A</v>
      </c>
      <c r="AL106" s="24" t="str">
        <f t="shared" si="43"/>
        <v>—</v>
      </c>
    </row>
    <row r="107" spans="1:38" ht="16.05" customHeight="1" x14ac:dyDescent="0.3">
      <c r="A107" s="13" t="s">
        <v>297</v>
      </c>
      <c r="B107" s="14" t="s">
        <v>298</v>
      </c>
      <c r="C107" s="13" t="s">
        <v>139</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f t="shared" si="34"/>
        <v>0</v>
      </c>
      <c r="R107" s="17">
        <f t="shared" si="35"/>
        <v>0</v>
      </c>
      <c r="S107" s="17">
        <f t="shared" si="36"/>
        <v>0</v>
      </c>
      <c r="T107" s="17">
        <f>IF(ISNUMBER(MATRIZ_174!O106),IFERROR((K107+M107+MATRIZ_174!O106)/3,0),"")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t="str">
        <f>IFERROR(MATRIZ_174!AP106,"—")</f>
        <v>—</v>
      </c>
      <c r="AJ107" s="17" t="str">
        <f>IFERROR(MATRIZ_174!AO106,"N/A")</f>
        <v>N/A</v>
      </c>
      <c r="AK107" s="23" t="str">
        <f t="shared" si="42"/>
        <v>N/A</v>
      </c>
      <c r="AL107" s="24" t="str">
        <f t="shared" si="43"/>
        <v>—</v>
      </c>
    </row>
    <row r="108" spans="1:38" ht="16.05" customHeight="1" x14ac:dyDescent="0.3">
      <c r="A108" s="13" t="s">
        <v>299</v>
      </c>
      <c r="B108" s="14" t="s">
        <v>300</v>
      </c>
      <c r="C108" s="13" t="s">
        <v>109</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f t="shared" si="34"/>
        <v>0</v>
      </c>
      <c r="R108" s="17">
        <f t="shared" si="35"/>
        <v>0</v>
      </c>
      <c r="S108" s="17">
        <f t="shared" si="36"/>
        <v>0</v>
      </c>
      <c r="T108" s="17" t="str">
        <f>IF(ISNUMBER(MATRIZ_174!O107),IFERROR((K108+M108+MATRIZ_174!O107)/3,0),"")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t="str">
        <f>IFERROR(MATRIZ_174!AP107,"—")</f>
        <v>—</v>
      </c>
      <c r="AJ108" s="17" t="str">
        <f>IFERROR(MATRIZ_174!AO107,"N/A")</f>
        <v>N/A</v>
      </c>
      <c r="AK108" s="23" t="str">
        <f t="shared" si="42"/>
        <v>N/A</v>
      </c>
      <c r="AL108" s="24" t="str">
        <f t="shared" si="43"/>
        <v>—</v>
      </c>
    </row>
    <row r="109" spans="1:38" ht="16.05" customHeight="1" x14ac:dyDescent="0.3">
      <c r="A109" s="13" t="s">
        <v>301</v>
      </c>
      <c r="B109" s="14" t="s">
        <v>302</v>
      </c>
      <c r="C109" s="13" t="s">
        <v>109</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f t="shared" si="34"/>
        <v>0</v>
      </c>
      <c r="R109" s="17">
        <f t="shared" si="35"/>
        <v>0</v>
      </c>
      <c r="S109" s="17">
        <f t="shared" si="36"/>
        <v>0</v>
      </c>
      <c r="T109" s="17" t="str">
        <f>IF(ISNUMBER(MATRIZ_174!O108),IFERROR((K109+M109+MATRIZ_174!O108)/3,0),"")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t="str">
        <f>IFERROR(MATRIZ_174!AP108,"—")</f>
        <v>—</v>
      </c>
      <c r="AJ109" s="17" t="str">
        <f>IFERROR(MATRIZ_174!AO108,"N/A")</f>
        <v>N/A</v>
      </c>
      <c r="AK109" s="23" t="str">
        <f t="shared" si="42"/>
        <v>N/A</v>
      </c>
      <c r="AL109" s="24" t="str">
        <f t="shared" si="43"/>
        <v>—</v>
      </c>
    </row>
    <row r="110" spans="1:38" ht="16.05" customHeight="1" x14ac:dyDescent="0.3">
      <c r="A110" s="13" t="s">
        <v>303</v>
      </c>
      <c r="B110" s="14" t="s">
        <v>304</v>
      </c>
      <c r="C110" s="13" t="s">
        <v>72</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f t="shared" si="34"/>
        <v>0</v>
      </c>
      <c r="R110" s="17">
        <f t="shared" si="35"/>
        <v>0</v>
      </c>
      <c r="S110" s="17">
        <f t="shared" si="36"/>
        <v>0</v>
      </c>
      <c r="T110" s="17" t="str">
        <f>IF(ISNUMBER(MATRIZ_174!O109),IFERROR((K110+M110+MATRIZ_174!O109)/3,0),"")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t="str">
        <f>IFERROR(MATRIZ_174!AP109,"—")</f>
        <v>—</v>
      </c>
      <c r="AJ110" s="17" t="str">
        <f>IFERROR(MATRIZ_174!AO109,"N/A")</f>
        <v>N/A</v>
      </c>
      <c r="AK110" s="23" t="str">
        <f t="shared" si="42"/>
        <v>N/A</v>
      </c>
      <c r="AL110" s="24" t="str">
        <f t="shared" si="43"/>
        <v>—</v>
      </c>
    </row>
    <row r="111" spans="1:38" ht="16.05" customHeight="1" x14ac:dyDescent="0.3">
      <c r="A111" s="13" t="s">
        <v>305</v>
      </c>
      <c r="B111" s="14" t="s">
        <v>306</v>
      </c>
      <c r="C111" s="13" t="s">
        <v>119</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f t="shared" si="34"/>
        <v>0</v>
      </c>
      <c r="R111" s="17">
        <f t="shared" si="35"/>
        <v>0</v>
      </c>
      <c r="S111" s="17">
        <f t="shared" si="36"/>
        <v>0</v>
      </c>
      <c r="T111" s="17" t="str">
        <f>IF(ISNUMBER(MATRIZ_174!O110),IFERROR((K111+M111+MATRIZ_174!O110)/3,0),"")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t="str">
        <f>IFERROR(MATRIZ_174!AP110,"—")</f>
        <v>—</v>
      </c>
      <c r="AJ111" s="17" t="str">
        <f>IFERROR(MATRIZ_174!AO110,"N/A")</f>
        <v>N/A</v>
      </c>
      <c r="AK111" s="23" t="str">
        <f t="shared" si="42"/>
        <v>N/A</v>
      </c>
      <c r="AL111" s="24" t="str">
        <f t="shared" si="43"/>
        <v>—</v>
      </c>
    </row>
    <row r="112" spans="1:38" ht="16.05" customHeight="1" x14ac:dyDescent="0.3">
      <c r="A112" s="13" t="s">
        <v>307</v>
      </c>
      <c r="B112" s="14" t="s">
        <v>308</v>
      </c>
      <c r="C112" s="13" t="s">
        <v>112</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f t="shared" si="34"/>
        <v>0</v>
      </c>
      <c r="R112" s="17">
        <f t="shared" si="35"/>
        <v>0</v>
      </c>
      <c r="S112" s="17">
        <f t="shared" si="36"/>
        <v>0</v>
      </c>
      <c r="T112" s="17" t="str">
        <f>IF(ISNUMBER(MATRIZ_174!O111),IFERROR((K112+M112+MATRIZ_174!O111)/3,0),"")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t="str">
        <f>IFERROR(MATRIZ_174!AP111,"—")</f>
        <v>—</v>
      </c>
      <c r="AJ112" s="17" t="str">
        <f>IFERROR(MATRIZ_174!AO111,"N/A")</f>
        <v>N/A</v>
      </c>
      <c r="AK112" s="23" t="str">
        <f t="shared" si="42"/>
        <v>N/A</v>
      </c>
      <c r="AL112" s="24" t="str">
        <f t="shared" si="43"/>
        <v>—</v>
      </c>
    </row>
    <row r="113" spans="1:38" ht="16.05" customHeight="1" x14ac:dyDescent="0.3">
      <c r="A113" s="13" t="s">
        <v>309</v>
      </c>
      <c r="B113" s="14" t="s">
        <v>310</v>
      </c>
      <c r="C113" s="13" t="s">
        <v>119</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f t="shared" si="34"/>
        <v>0</v>
      </c>
      <c r="R113" s="17">
        <f t="shared" si="35"/>
        <v>0</v>
      </c>
      <c r="S113" s="17">
        <f t="shared" si="36"/>
        <v>0</v>
      </c>
      <c r="T113" s="17" t="str">
        <f>IF(ISNUMBER(MATRIZ_174!O112),IFERROR((K113+M113+MATRIZ_174!O112)/3,0),"")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t="str">
        <f>IFERROR(MATRIZ_174!AP112,"—")</f>
        <v>—</v>
      </c>
      <c r="AJ113" s="17" t="str">
        <f>IFERROR(MATRIZ_174!AO112,"N/A")</f>
        <v>N/A</v>
      </c>
      <c r="AK113" s="23" t="str">
        <f t="shared" si="42"/>
        <v>N/A</v>
      </c>
      <c r="AL113" s="24" t="str">
        <f t="shared" si="43"/>
        <v>—</v>
      </c>
    </row>
    <row r="114" spans="1:38" ht="16.05" customHeight="1" x14ac:dyDescent="0.3">
      <c r="A114" s="13" t="s">
        <v>311</v>
      </c>
      <c r="B114" s="14" t="s">
        <v>312</v>
      </c>
      <c r="C114" s="13" t="s">
        <v>150</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f t="shared" si="34"/>
        <v>0</v>
      </c>
      <c r="R114" s="17">
        <f t="shared" si="35"/>
        <v>0</v>
      </c>
      <c r="S114" s="17">
        <f t="shared" si="36"/>
        <v>0</v>
      </c>
      <c r="T114" s="17" t="str">
        <f>IF(ISNUMBER(MATRIZ_174!O113),IFERROR((K114+M114+MATRIZ_174!O113)/3,0),"")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t="str">
        <f>IFERROR(MATRIZ_174!AP113,"—")</f>
        <v>—</v>
      </c>
      <c r="AJ114" s="17" t="str">
        <f>IFERROR(MATRIZ_174!AO113,"N/A")</f>
        <v>N/A</v>
      </c>
      <c r="AK114" s="23" t="str">
        <f t="shared" si="42"/>
        <v>N/A</v>
      </c>
      <c r="AL114" s="24" t="str">
        <f t="shared" si="43"/>
        <v>—</v>
      </c>
    </row>
    <row r="115" spans="1:38" ht="16.05" customHeight="1" x14ac:dyDescent="0.3">
      <c r="A115" s="13" t="s">
        <v>313</v>
      </c>
      <c r="B115" s="14" t="s">
        <v>314</v>
      </c>
      <c r="C115" s="13" t="s">
        <v>241</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f t="shared" si="34"/>
        <v>0</v>
      </c>
      <c r="R115" s="17">
        <f t="shared" si="35"/>
        <v>0</v>
      </c>
      <c r="S115" s="17">
        <f t="shared" si="36"/>
        <v>0</v>
      </c>
      <c r="T115" s="17" t="str">
        <f>IF(ISNUMBER(MATRIZ_174!O114),IFERROR((K115+M115+MATRIZ_174!O114)/3,0),"")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t="str">
        <f>IFERROR(MATRIZ_174!AP114,"—")</f>
        <v>—</v>
      </c>
      <c r="AJ115" s="17" t="str">
        <f>IFERROR(MATRIZ_174!AO114,"N/A")</f>
        <v>N/A</v>
      </c>
      <c r="AK115" s="23" t="str">
        <f t="shared" si="42"/>
        <v>N/A</v>
      </c>
      <c r="AL115" s="24" t="str">
        <f t="shared" si="43"/>
        <v>—</v>
      </c>
    </row>
    <row r="116" spans="1:38" ht="16.05" customHeight="1" x14ac:dyDescent="0.3">
      <c r="A116" s="13" t="s">
        <v>315</v>
      </c>
      <c r="B116" s="14" t="s">
        <v>316</v>
      </c>
      <c r="C116" s="13" t="s">
        <v>139</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f t="shared" si="34"/>
        <v>0</v>
      </c>
      <c r="R116" s="17">
        <f t="shared" si="35"/>
        <v>0</v>
      </c>
      <c r="S116" s="17">
        <f t="shared" si="36"/>
        <v>0</v>
      </c>
      <c r="T116" s="17" t="str">
        <f>IF(ISNUMBER(MATRIZ_174!O115),IFERROR((K116+M116+MATRIZ_174!O115)/3,0),"")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t="str">
        <f>IFERROR(MATRIZ_174!AP115,"—")</f>
        <v>—</v>
      </c>
      <c r="AJ116" s="17" t="str">
        <f>IFERROR(MATRIZ_174!AO115,"N/A")</f>
        <v>N/A</v>
      </c>
      <c r="AK116" s="23" t="str">
        <f t="shared" si="42"/>
        <v>N/A</v>
      </c>
      <c r="AL116" s="24" t="str">
        <f t="shared" si="43"/>
        <v>—</v>
      </c>
    </row>
    <row r="117" spans="1:38" ht="16.05" customHeight="1" x14ac:dyDescent="0.3">
      <c r="A117" s="13" t="s">
        <v>317</v>
      </c>
      <c r="B117" s="14" t="s">
        <v>318</v>
      </c>
      <c r="C117" s="13" t="s">
        <v>241</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f t="shared" si="34"/>
        <v>0</v>
      </c>
      <c r="R117" s="17">
        <f t="shared" si="35"/>
        <v>0</v>
      </c>
      <c r="S117" s="17">
        <f t="shared" si="36"/>
        <v>0</v>
      </c>
      <c r="T117" s="17" t="str">
        <f>IF(ISNUMBER(MATRIZ_174!O116),IFERROR((K117+M117+MATRIZ_174!O116)/3,0),"")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t="str">
        <f>IFERROR(MATRIZ_174!AP116,"—")</f>
        <v>—</v>
      </c>
      <c r="AJ117" s="17" t="str">
        <f>IFERROR(MATRIZ_174!AO116,"N/A")</f>
        <v>N/A</v>
      </c>
      <c r="AK117" s="23" t="str">
        <f t="shared" si="42"/>
        <v>N/A</v>
      </c>
      <c r="AL117" s="24" t="str">
        <f t="shared" si="43"/>
        <v>—</v>
      </c>
    </row>
    <row r="118" spans="1:38" ht="16.05" customHeight="1" x14ac:dyDescent="0.3">
      <c r="A118" s="13" t="s">
        <v>319</v>
      </c>
      <c r="B118" s="14" t="s">
        <v>320</v>
      </c>
      <c r="C118" s="13" t="s">
        <v>179</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f t="shared" si="34"/>
        <v>0</v>
      </c>
      <c r="R118" s="17">
        <f t="shared" si="35"/>
        <v>0</v>
      </c>
      <c r="S118" s="17">
        <f t="shared" si="36"/>
        <v>0</v>
      </c>
      <c r="T118" s="17" t="str">
        <f>IF(ISNUMBER(MATRIZ_174!O117),IFERROR((K118+M118+MATRIZ_174!O117)/3,0),"")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t="str">
        <f>IFERROR(MATRIZ_174!AP117,"—")</f>
        <v>—</v>
      </c>
      <c r="AJ118" s="17" t="str">
        <f>IFERROR(MATRIZ_174!AO117,"N/A")</f>
        <v>N/A</v>
      </c>
      <c r="AK118" s="23" t="str">
        <f t="shared" si="42"/>
        <v>N/A</v>
      </c>
      <c r="AL118" s="24" t="str">
        <f t="shared" si="43"/>
        <v>—</v>
      </c>
    </row>
    <row r="119" spans="1:38" ht="16.05" customHeight="1" x14ac:dyDescent="0.3">
      <c r="A119" s="13" t="s">
        <v>321</v>
      </c>
      <c r="B119" s="14" t="s">
        <v>322</v>
      </c>
      <c r="C119" s="13" t="s">
        <v>109</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f t="shared" si="34"/>
        <v>0</v>
      </c>
      <c r="R119" s="17">
        <f t="shared" si="35"/>
        <v>0</v>
      </c>
      <c r="S119" s="17">
        <f t="shared" si="36"/>
        <v>0</v>
      </c>
      <c r="T119" s="17" t="str">
        <f>IF(ISNUMBER(MATRIZ_174!O118),IFERROR((K119+M119+MATRIZ_174!O118)/3,0),"")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t="str">
        <f>IFERROR(MATRIZ_174!AP118,"—")</f>
        <v>—</v>
      </c>
      <c r="AJ119" s="17" t="str">
        <f>IFERROR(MATRIZ_174!AO118,"N/A")</f>
        <v>N/A</v>
      </c>
      <c r="AK119" s="23" t="str">
        <f t="shared" si="42"/>
        <v>N/A</v>
      </c>
      <c r="AL119" s="24" t="str">
        <f t="shared" si="43"/>
        <v>—</v>
      </c>
    </row>
    <row r="120" spans="1:38" ht="16.05" customHeight="1" x14ac:dyDescent="0.3">
      <c r="A120" s="13" t="s">
        <v>323</v>
      </c>
      <c r="B120" s="14" t="s">
        <v>324</v>
      </c>
      <c r="C120" s="13" t="s">
        <v>109</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f t="shared" si="34"/>
        <v>0</v>
      </c>
      <c r="R120" s="17">
        <f t="shared" si="35"/>
        <v>0</v>
      </c>
      <c r="S120" s="17">
        <f t="shared" si="36"/>
        <v>0</v>
      </c>
      <c r="T120" s="17" t="str">
        <f>IF(ISNUMBER(MATRIZ_174!O119),IFERROR((K120+M120+MATRIZ_174!O119)/3,0),"")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t="str">
        <f>IFERROR(MATRIZ_174!AP119,"—")</f>
        <v>—</v>
      </c>
      <c r="AJ120" s="17" t="str">
        <f>IFERROR(MATRIZ_174!AO119,"N/A")</f>
        <v>N/A</v>
      </c>
      <c r="AK120" s="23" t="str">
        <f t="shared" si="42"/>
        <v>N/A</v>
      </c>
      <c r="AL120" s="24" t="str">
        <f t="shared" si="43"/>
        <v>—</v>
      </c>
    </row>
    <row r="121" spans="1:38" ht="16.05" customHeight="1" x14ac:dyDescent="0.3">
      <c r="A121" s="13" t="s">
        <v>325</v>
      </c>
      <c r="B121" s="14" t="s">
        <v>326</v>
      </c>
      <c r="C121" s="13" t="s">
        <v>150</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f t="shared" si="34"/>
        <v>0</v>
      </c>
      <c r="R121" s="17">
        <f t="shared" si="35"/>
        <v>0</v>
      </c>
      <c r="S121" s="17">
        <f t="shared" si="36"/>
        <v>0</v>
      </c>
      <c r="T121" s="17" t="str">
        <f>IF(ISNUMBER(MATRIZ_174!O120),IFERROR((K121+M121+MATRIZ_174!O120)/3,0),"")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t="str">
        <f>IFERROR(MATRIZ_174!AP120,"—")</f>
        <v>—</v>
      </c>
      <c r="AJ121" s="17" t="str">
        <f>IFERROR(MATRIZ_174!AO120,"N/A")</f>
        <v>N/A</v>
      </c>
      <c r="AK121" s="23" t="str">
        <f t="shared" si="42"/>
        <v>N/A</v>
      </c>
      <c r="AL121" s="24" t="str">
        <f t="shared" si="43"/>
        <v>—</v>
      </c>
    </row>
    <row r="122" spans="1:38" ht="16.05" customHeight="1" x14ac:dyDescent="0.3">
      <c r="A122" s="13" t="s">
        <v>327</v>
      </c>
      <c r="B122" s="14" t="s">
        <v>328</v>
      </c>
      <c r="C122" s="13" t="s">
        <v>249</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f t="shared" si="34"/>
        <v>0</v>
      </c>
      <c r="R122" s="17">
        <f t="shared" si="35"/>
        <v>0</v>
      </c>
      <c r="S122" s="17">
        <f t="shared" si="36"/>
        <v>0</v>
      </c>
      <c r="T122" s="17" t="str">
        <f>IF(ISNUMBER(MATRIZ_174!O121),IFERROR((K122+M122+MATRIZ_174!O121)/3,0),"")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t="str">
        <f>IFERROR(MATRIZ_174!AP121,"—")</f>
        <v>—</v>
      </c>
      <c r="AJ122" s="17" t="str">
        <f>IFERROR(MATRIZ_174!AO121,"N/A")</f>
        <v>N/A</v>
      </c>
      <c r="AK122" s="23" t="str">
        <f t="shared" si="42"/>
        <v>N/A</v>
      </c>
      <c r="AL122" s="24" t="str">
        <f t="shared" si="43"/>
        <v>—</v>
      </c>
    </row>
    <row r="123" spans="1:38" ht="16.05" customHeight="1" x14ac:dyDescent="0.3">
      <c r="A123" s="13" t="s">
        <v>329</v>
      </c>
      <c r="B123" s="14" t="s">
        <v>330</v>
      </c>
      <c r="C123" s="13" t="s">
        <v>119</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f t="shared" si="34"/>
        <v>0</v>
      </c>
      <c r="R123" s="17">
        <f t="shared" si="35"/>
        <v>0</v>
      </c>
      <c r="S123" s="17">
        <f t="shared" si="36"/>
        <v>0</v>
      </c>
      <c r="T123" s="17" t="str">
        <f>IF(ISNUMBER(MATRIZ_174!O122),IFERROR((K123+M123+MATRIZ_174!O122)/3,0),"")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t="str">
        <f>IFERROR(MATRIZ_174!AP122,"—")</f>
        <v>—</v>
      </c>
      <c r="AJ123" s="17" t="str">
        <f>IFERROR(MATRIZ_174!AO122,"N/A")</f>
        <v>N/A</v>
      </c>
      <c r="AK123" s="23" t="str">
        <f t="shared" si="42"/>
        <v>N/A</v>
      </c>
      <c r="AL123" s="24" t="str">
        <f t="shared" si="43"/>
        <v>—</v>
      </c>
    </row>
    <row r="124" spans="1:38" ht="16.05" customHeight="1" x14ac:dyDescent="0.3">
      <c r="A124" s="13" t="s">
        <v>331</v>
      </c>
      <c r="B124" s="14" t="s">
        <v>332</v>
      </c>
      <c r="C124" s="13" t="s">
        <v>77</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f t="shared" si="34"/>
        <v>0</v>
      </c>
      <c r="R124" s="17">
        <f t="shared" si="35"/>
        <v>0</v>
      </c>
      <c r="S124" s="17">
        <f t="shared" si="36"/>
        <v>0</v>
      </c>
      <c r="T124" s="17" t="str">
        <f>IF(ISNUMBER(MATRIZ_174!O123),IFERROR((K124+M124+MATRIZ_174!O123)/3,0),"")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t="str">
        <f>IFERROR(MATRIZ_174!AP123,"—")</f>
        <v>—</v>
      </c>
      <c r="AJ124" s="17" t="str">
        <f>IFERROR(MATRIZ_174!AO123,"N/A")</f>
        <v>N/A</v>
      </c>
      <c r="AK124" s="23" t="str">
        <f t="shared" si="42"/>
        <v>N/A</v>
      </c>
      <c r="AL124" s="24" t="str">
        <f t="shared" si="43"/>
        <v>—</v>
      </c>
    </row>
    <row r="125" spans="1:38" ht="16.05" customHeight="1" x14ac:dyDescent="0.3">
      <c r="A125" s="13" t="s">
        <v>333</v>
      </c>
      <c r="B125" s="14" t="s">
        <v>334</v>
      </c>
      <c r="C125" s="13" t="s">
        <v>112</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f t="shared" si="34"/>
        <v>0</v>
      </c>
      <c r="R125" s="17">
        <f t="shared" si="35"/>
        <v>0</v>
      </c>
      <c r="S125" s="17">
        <f t="shared" si="36"/>
        <v>0</v>
      </c>
      <c r="T125" s="17">
        <f>IF(ISNUMBER(MATRIZ_174!O124),IFERROR((K125+M125+MATRIZ_174!O124)/3,0),"")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t="str">
        <f>IFERROR(MATRIZ_174!AP124,"—")</f>
        <v>—</v>
      </c>
      <c r="AJ125" s="17" t="str">
        <f>IFERROR(MATRIZ_174!AO124,"N/A")</f>
        <v>N/A</v>
      </c>
      <c r="AK125" s="23" t="str">
        <f t="shared" si="42"/>
        <v>N/A</v>
      </c>
      <c r="AL125" s="24" t="str">
        <f t="shared" si="43"/>
        <v>—</v>
      </c>
    </row>
    <row r="126" spans="1:38" ht="16.05" customHeight="1" x14ac:dyDescent="0.3">
      <c r="A126" s="13" t="s">
        <v>336</v>
      </c>
      <c r="B126" s="14" t="s">
        <v>337</v>
      </c>
      <c r="C126" s="13" t="s">
        <v>77</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f t="shared" si="34"/>
        <v>0</v>
      </c>
      <c r="R126" s="17">
        <f t="shared" si="35"/>
        <v>0</v>
      </c>
      <c r="S126" s="17">
        <f t="shared" si="36"/>
        <v>0</v>
      </c>
      <c r="T126" s="17" t="str">
        <f>IF(ISNUMBER(MATRIZ_174!O125),IFERROR((K126+M126+MATRIZ_174!O125)/3,0),"")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t="str">
        <f>IFERROR(MATRIZ_174!AP125,"—")</f>
        <v>—</v>
      </c>
      <c r="AJ126" s="17" t="str">
        <f>IFERROR(MATRIZ_174!AO125,"N/A")</f>
        <v>N/A</v>
      </c>
      <c r="AK126" s="23" t="str">
        <f t="shared" si="42"/>
        <v>N/A</v>
      </c>
      <c r="AL126" s="24" t="str">
        <f t="shared" si="43"/>
        <v>—</v>
      </c>
    </row>
    <row r="127" spans="1:38" ht="16.05" customHeight="1" x14ac:dyDescent="0.3">
      <c r="A127" s="13" t="s">
        <v>338</v>
      </c>
      <c r="B127" s="14" t="s">
        <v>339</v>
      </c>
      <c r="C127" s="13" t="s">
        <v>77</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f t="shared" si="34"/>
        <v>0</v>
      </c>
      <c r="R127" s="17">
        <f t="shared" si="35"/>
        <v>0</v>
      </c>
      <c r="S127" s="17">
        <f t="shared" si="36"/>
        <v>0</v>
      </c>
      <c r="T127" s="17" t="str">
        <f>IF(ISNUMBER(MATRIZ_174!O126),IFERROR((K127+M127+MATRIZ_174!O126)/3,0),"")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t="str">
        <f>IFERROR(MATRIZ_174!AP126,"—")</f>
        <v>—</v>
      </c>
      <c r="AJ127" s="17" t="str">
        <f>IFERROR(MATRIZ_174!AO126,"N/A")</f>
        <v>N/A</v>
      </c>
      <c r="AK127" s="23" t="str">
        <f t="shared" si="42"/>
        <v>N/A</v>
      </c>
      <c r="AL127" s="24" t="str">
        <f t="shared" si="43"/>
        <v>—</v>
      </c>
    </row>
    <row r="128" spans="1:38" ht="16.05" customHeight="1" x14ac:dyDescent="0.3">
      <c r="A128" s="13" t="s">
        <v>340</v>
      </c>
      <c r="B128" s="14" t="s">
        <v>341</v>
      </c>
      <c r="C128" s="13" t="s">
        <v>77</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f t="shared" si="34"/>
        <v>0</v>
      </c>
      <c r="R128" s="17">
        <f t="shared" si="35"/>
        <v>0</v>
      </c>
      <c r="S128" s="17">
        <f t="shared" si="36"/>
        <v>0</v>
      </c>
      <c r="T128" s="17" t="str">
        <f>IF(ISNUMBER(MATRIZ_174!O127),IFERROR((K128+M128+MATRIZ_174!O127)/3,0),"")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t="str">
        <f>IFERROR(MATRIZ_174!AP127,"—")</f>
        <v>—</v>
      </c>
      <c r="AJ128" s="17" t="str">
        <f>IFERROR(MATRIZ_174!AO127,"N/A")</f>
        <v>N/A</v>
      </c>
      <c r="AK128" s="23" t="str">
        <f t="shared" si="42"/>
        <v>N/A</v>
      </c>
      <c r="AL128" s="24" t="str">
        <f t="shared" si="43"/>
        <v>—</v>
      </c>
    </row>
    <row r="129" spans="1:38" ht="16.05" customHeight="1" x14ac:dyDescent="0.3">
      <c r="A129" s="13" t="s">
        <v>342</v>
      </c>
      <c r="B129" s="14" t="s">
        <v>343</v>
      </c>
      <c r="C129" s="13" t="s">
        <v>112</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f t="shared" si="34"/>
        <v>0</v>
      </c>
      <c r="R129" s="17">
        <f t="shared" si="35"/>
        <v>0</v>
      </c>
      <c r="S129" s="17">
        <f t="shared" si="36"/>
        <v>0</v>
      </c>
      <c r="T129" s="17" t="str">
        <f>IF(ISNUMBER(MATRIZ_174!O128),IFERROR((K129+M129+MATRIZ_174!O128)/3,0),"")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t="str">
        <f>IFERROR(MATRIZ_174!AP128,"—")</f>
        <v>—</v>
      </c>
      <c r="AJ129" s="17" t="str">
        <f>IFERROR(MATRIZ_174!AO128,"N/A")</f>
        <v>N/A</v>
      </c>
      <c r="AK129" s="23" t="str">
        <f t="shared" si="42"/>
        <v>N/A</v>
      </c>
      <c r="AL129" s="24" t="str">
        <f t="shared" si="43"/>
        <v>—</v>
      </c>
    </row>
    <row r="130" spans="1:38" ht="16.05" customHeight="1" x14ac:dyDescent="0.3">
      <c r="A130" s="13" t="s">
        <v>344</v>
      </c>
      <c r="B130" s="14" t="s">
        <v>345</v>
      </c>
      <c r="C130" s="13" t="s">
        <v>109</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f t="shared" si="34"/>
        <v>0</v>
      </c>
      <c r="R130" s="17">
        <f t="shared" si="35"/>
        <v>0</v>
      </c>
      <c r="S130" s="17">
        <f t="shared" si="36"/>
        <v>0</v>
      </c>
      <c r="T130" s="17" t="str">
        <f>IF(ISNUMBER(MATRIZ_174!O129),IFERROR((K130+M130+MATRIZ_174!O129)/3,0),"")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t="str">
        <f>IFERROR(MATRIZ_174!AP129,"—")</f>
        <v>—</v>
      </c>
      <c r="AJ130" s="17" t="str">
        <f>IFERROR(MATRIZ_174!AO129,"N/A")</f>
        <v>N/A</v>
      </c>
      <c r="AK130" s="23" t="str">
        <f t="shared" si="42"/>
        <v>N/A</v>
      </c>
      <c r="AL130" s="24" t="str">
        <f t="shared" si="43"/>
        <v>—</v>
      </c>
    </row>
    <row r="131" spans="1:38" ht="16.05" customHeight="1" x14ac:dyDescent="0.3">
      <c r="A131" s="13" t="s">
        <v>346</v>
      </c>
      <c r="B131" s="14" t="s">
        <v>347</v>
      </c>
      <c r="C131" s="13" t="s">
        <v>249</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f t="shared" si="34"/>
        <v>0</v>
      </c>
      <c r="R131" s="17">
        <f t="shared" si="35"/>
        <v>0</v>
      </c>
      <c r="S131" s="17">
        <f t="shared" si="36"/>
        <v>0</v>
      </c>
      <c r="T131" s="17">
        <f>IF(ISNUMBER(MATRIZ_174!O130),IFERROR((K131+M131+MATRIZ_174!O130)/3,0),"")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t="str">
        <f>IFERROR(MATRIZ_174!AP130,"—")</f>
        <v>—</v>
      </c>
      <c r="AJ131" s="17" t="str">
        <f>IFERROR(MATRIZ_174!AO130,"N/A")</f>
        <v>N/A</v>
      </c>
      <c r="AK131" s="23" t="str">
        <f t="shared" si="42"/>
        <v>N/A</v>
      </c>
      <c r="AL131" s="24" t="str">
        <f t="shared" si="43"/>
        <v>—</v>
      </c>
    </row>
    <row r="132" spans="1:38" ht="16.05" customHeight="1" x14ac:dyDescent="0.3">
      <c r="A132" s="13" t="s">
        <v>349</v>
      </c>
      <c r="B132" s="14" t="s">
        <v>350</v>
      </c>
      <c r="C132" s="13" t="s">
        <v>77</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f t="shared" ref="Q132:Q163" si="45">IFERROR(SQRT(G132*H132),0)</f>
        <v>0</v>
      </c>
      <c r="R132" s="17">
        <f t="shared" ref="R132:R163" si="46">IFERROR((I132+J132+L132)/3,0)</f>
        <v>0</v>
      </c>
      <c r="S132" s="17">
        <f t="shared" ref="S132:S163" si="47">IFERROR((J132+F132)/2,0)</f>
        <v>0</v>
      </c>
      <c r="T132" s="17" t="str">
        <f>IF(ISNUMBER(MATRIZ_174!O131),IFERROR((K132+M132+MATRIZ_174!O131)/3,0),"")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IFERROR(ROUND(AVERAGE(U132,V132,W132,X132,Y132),1),0)</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row>
    <row r="133" spans="1:38" ht="16.05" customHeight="1" x14ac:dyDescent="0.3">
      <c r="A133" s="13" t="s">
        <v>351</v>
      </c>
      <c r="B133" s="14" t="s">
        <v>352</v>
      </c>
      <c r="C133" s="13" t="s">
        <v>109</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f t="shared" si="45"/>
        <v>0</v>
      </c>
      <c r="R133" s="17">
        <f t="shared" si="46"/>
        <v>0</v>
      </c>
      <c r="S133" s="17">
        <f t="shared" si="47"/>
        <v>0</v>
      </c>
      <c r="T133" s="17" t="str">
        <f>IF(ISNUMBER(MATRIZ_174!O132),IFERROR((K133+M133+MATRIZ_174!O132)/3,0),"")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t="str">
        <f>IFERROR(MATRIZ_174!AP132,"—")</f>
        <v>—</v>
      </c>
      <c r="AJ133" s="17" t="str">
        <f>IFERROR(MATRIZ_174!AO132,"N/A")</f>
        <v>N/A</v>
      </c>
      <c r="AK133" s="23" t="str">
        <f t="shared" si="53"/>
        <v>N/A</v>
      </c>
      <c r="AL133" s="24" t="str">
        <f t="shared" si="54"/>
        <v>—</v>
      </c>
    </row>
    <row r="134" spans="1:38" ht="16.05" customHeight="1" x14ac:dyDescent="0.3">
      <c r="A134" s="13" t="s">
        <v>353</v>
      </c>
      <c r="B134" s="14" t="s">
        <v>354</v>
      </c>
      <c r="C134" s="13" t="s">
        <v>103</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f t="shared" si="45"/>
        <v>0</v>
      </c>
      <c r="R134" s="17">
        <f t="shared" si="46"/>
        <v>0</v>
      </c>
      <c r="S134" s="17">
        <f t="shared" si="47"/>
        <v>0</v>
      </c>
      <c r="T134" s="17" t="str">
        <f>IF(ISNUMBER(MATRIZ_174!O133),IFERROR((K134+M134+MATRIZ_174!O133)/3,0),"")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t="str">
        <f>IFERROR(MATRIZ_174!AP133,"—")</f>
        <v>—</v>
      </c>
      <c r="AJ134" s="17" t="str">
        <f>IFERROR(MATRIZ_174!AO133,"N/A")</f>
        <v>N/A</v>
      </c>
      <c r="AK134" s="23" t="str">
        <f t="shared" si="53"/>
        <v>N/A</v>
      </c>
      <c r="AL134" s="24" t="str">
        <f t="shared" si="54"/>
        <v>—</v>
      </c>
    </row>
    <row r="135" spans="1:38" ht="16.05" customHeight="1" x14ac:dyDescent="0.3">
      <c r="A135" s="13" t="s">
        <v>355</v>
      </c>
      <c r="B135" s="14" t="s">
        <v>356</v>
      </c>
      <c r="C135" s="13" t="s">
        <v>77</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f t="shared" si="45"/>
        <v>0</v>
      </c>
      <c r="R135" s="17">
        <f t="shared" si="46"/>
        <v>0</v>
      </c>
      <c r="S135" s="17">
        <f t="shared" si="47"/>
        <v>0</v>
      </c>
      <c r="T135" s="17">
        <f>IF(ISNUMBER(MATRIZ_174!O134),IFERROR((K135+M135+MATRIZ_174!O134)/3,0),"")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t="str">
        <f>IFERROR(MATRIZ_174!AP134,"—")</f>
        <v>—</v>
      </c>
      <c r="AJ135" s="17" t="str">
        <f>IFERROR(MATRIZ_174!AO134,"N/A")</f>
        <v>N/A</v>
      </c>
      <c r="AK135" s="23" t="str">
        <f t="shared" si="53"/>
        <v>N/A</v>
      </c>
      <c r="AL135" s="24" t="str">
        <f t="shared" si="54"/>
        <v>—</v>
      </c>
    </row>
    <row r="136" spans="1:38" ht="16.05" customHeight="1" x14ac:dyDescent="0.3">
      <c r="A136" s="13" t="s">
        <v>358</v>
      </c>
      <c r="B136" s="14" t="s">
        <v>359</v>
      </c>
      <c r="C136" s="13" t="s">
        <v>139</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f t="shared" si="45"/>
        <v>0</v>
      </c>
      <c r="R136" s="17">
        <f t="shared" si="46"/>
        <v>0</v>
      </c>
      <c r="S136" s="17">
        <f t="shared" si="47"/>
        <v>0</v>
      </c>
      <c r="T136" s="17">
        <f>IF(ISNUMBER(MATRIZ_174!O135),IFERROR((K136+M136+MATRIZ_174!O135)/3,0),"")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t="str">
        <f>IFERROR(MATRIZ_174!AP135,"—")</f>
        <v>—</v>
      </c>
      <c r="AJ136" s="17" t="str">
        <f>IFERROR(MATRIZ_174!AO135,"N/A")</f>
        <v>N/A</v>
      </c>
      <c r="AK136" s="23" t="str">
        <f t="shared" si="53"/>
        <v>N/A</v>
      </c>
      <c r="AL136" s="24" t="str">
        <f t="shared" si="54"/>
        <v>—</v>
      </c>
    </row>
    <row r="137" spans="1:38" ht="16.05" customHeight="1" x14ac:dyDescent="0.3">
      <c r="A137" s="13" t="s">
        <v>361</v>
      </c>
      <c r="B137" s="14" t="s">
        <v>362</v>
      </c>
      <c r="C137" s="13" t="s">
        <v>77</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f t="shared" si="45"/>
        <v>0</v>
      </c>
      <c r="R137" s="17">
        <f t="shared" si="46"/>
        <v>0</v>
      </c>
      <c r="S137" s="17">
        <f t="shared" si="47"/>
        <v>0</v>
      </c>
      <c r="T137" s="17" t="str">
        <f>IF(ISNUMBER(MATRIZ_174!O136),IFERROR((K137+M137+MATRIZ_174!O136)/3,0),"")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t="str">
        <f>IFERROR(MATRIZ_174!AP136,"—")</f>
        <v>—</v>
      </c>
      <c r="AJ137" s="17" t="str">
        <f>IFERROR(MATRIZ_174!AO136,"N/A")</f>
        <v>N/A</v>
      </c>
      <c r="AK137" s="23" t="str">
        <f t="shared" si="53"/>
        <v>N/A</v>
      </c>
      <c r="AL137" s="24" t="str">
        <f t="shared" si="54"/>
        <v>—</v>
      </c>
    </row>
    <row r="138" spans="1:38" ht="16.05" customHeight="1" x14ac:dyDescent="0.3">
      <c r="A138" s="13" t="s">
        <v>363</v>
      </c>
      <c r="B138" s="14" t="s">
        <v>364</v>
      </c>
      <c r="C138" s="13" t="s">
        <v>80</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f t="shared" si="45"/>
        <v>0</v>
      </c>
      <c r="R138" s="17">
        <f t="shared" si="46"/>
        <v>0</v>
      </c>
      <c r="S138" s="17">
        <f t="shared" si="47"/>
        <v>0</v>
      </c>
      <c r="T138" s="17" t="str">
        <f>IF(ISNUMBER(MATRIZ_174!O137),IFERROR((K138+M138+MATRIZ_174!O137)/3,0),"")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t="str">
        <f>IFERROR(MATRIZ_174!AP137,"—")</f>
        <v>—</v>
      </c>
      <c r="AJ138" s="17" t="str">
        <f>IFERROR(MATRIZ_174!AO137,"N/A")</f>
        <v>N/A</v>
      </c>
      <c r="AK138" s="23" t="str">
        <f t="shared" si="53"/>
        <v>N/A</v>
      </c>
      <c r="AL138" s="24" t="str">
        <f t="shared" si="54"/>
        <v>—</v>
      </c>
    </row>
    <row r="139" spans="1:38" ht="16.05" customHeight="1" x14ac:dyDescent="0.3">
      <c r="A139" s="13" t="s">
        <v>365</v>
      </c>
      <c r="B139" s="14" t="s">
        <v>366</v>
      </c>
      <c r="C139" s="13" t="s">
        <v>112</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f t="shared" si="45"/>
        <v>0</v>
      </c>
      <c r="R139" s="17">
        <f t="shared" si="46"/>
        <v>0</v>
      </c>
      <c r="S139" s="17">
        <f t="shared" si="47"/>
        <v>0</v>
      </c>
      <c r="T139" s="17" t="str">
        <f>IF(ISNUMBER(MATRIZ_174!O138),IFERROR((K139+M139+MATRIZ_174!O138)/3,0),"")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t="str">
        <f>IFERROR(MATRIZ_174!AP138,"—")</f>
        <v>—</v>
      </c>
      <c r="AJ139" s="17" t="str">
        <f>IFERROR(MATRIZ_174!AO138,"N/A")</f>
        <v>N/A</v>
      </c>
      <c r="AK139" s="23" t="str">
        <f t="shared" si="53"/>
        <v>N/A</v>
      </c>
      <c r="AL139" s="24" t="str">
        <f t="shared" si="54"/>
        <v>—</v>
      </c>
    </row>
    <row r="140" spans="1:38" ht="16.05" customHeight="1" x14ac:dyDescent="0.3">
      <c r="A140" s="13" t="s">
        <v>367</v>
      </c>
      <c r="B140" s="14" t="s">
        <v>368</v>
      </c>
      <c r="C140" s="13" t="s">
        <v>192</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f t="shared" si="45"/>
        <v>0</v>
      </c>
      <c r="R140" s="17">
        <f t="shared" si="46"/>
        <v>0</v>
      </c>
      <c r="S140" s="17">
        <f t="shared" si="47"/>
        <v>0</v>
      </c>
      <c r="T140" s="17" t="str">
        <f>IF(ISNUMBER(MATRIZ_174!O139),IFERROR((K140+M140+MATRIZ_174!O139)/3,0),"")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t="str">
        <f>IFERROR(MATRIZ_174!AP139,"—")</f>
        <v>—</v>
      </c>
      <c r="AJ140" s="17" t="str">
        <f>IFERROR(MATRIZ_174!AO139,"N/A")</f>
        <v>N/A</v>
      </c>
      <c r="AK140" s="23" t="str">
        <f t="shared" si="53"/>
        <v>N/A</v>
      </c>
      <c r="AL140" s="24" t="str">
        <f t="shared" si="54"/>
        <v>—</v>
      </c>
    </row>
    <row r="141" spans="1:38" ht="16.05" customHeight="1" x14ac:dyDescent="0.3">
      <c r="A141" s="13" t="s">
        <v>369</v>
      </c>
      <c r="B141" s="14" t="s">
        <v>370</v>
      </c>
      <c r="C141" s="13" t="s">
        <v>77</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f t="shared" si="45"/>
        <v>0</v>
      </c>
      <c r="R141" s="17">
        <f t="shared" si="46"/>
        <v>0</v>
      </c>
      <c r="S141" s="17">
        <f t="shared" si="47"/>
        <v>0</v>
      </c>
      <c r="T141" s="17" t="str">
        <f>IF(ISNUMBER(MATRIZ_174!O140),IFERROR((K141+M141+MATRIZ_174!O140)/3,0),"")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t="str">
        <f>IFERROR(MATRIZ_174!AP140,"—")</f>
        <v>—</v>
      </c>
      <c r="AJ141" s="17" t="str">
        <f>IFERROR(MATRIZ_174!AO140,"N/A")</f>
        <v>N/A</v>
      </c>
      <c r="AK141" s="23" t="str">
        <f t="shared" si="53"/>
        <v>N/A</v>
      </c>
      <c r="AL141" s="24" t="str">
        <f t="shared" si="54"/>
        <v>—</v>
      </c>
    </row>
    <row r="142" spans="1:38" ht="16.05" customHeight="1" x14ac:dyDescent="0.3">
      <c r="A142" s="13" t="s">
        <v>371</v>
      </c>
      <c r="B142" s="14" t="s">
        <v>372</v>
      </c>
      <c r="C142" s="13" t="s">
        <v>80</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f t="shared" si="45"/>
        <v>0</v>
      </c>
      <c r="R142" s="17">
        <f t="shared" si="46"/>
        <v>0</v>
      </c>
      <c r="S142" s="17">
        <f t="shared" si="47"/>
        <v>0</v>
      </c>
      <c r="T142" s="17" t="str">
        <f>IF(ISNUMBER(MATRIZ_174!O141),IFERROR((K142+M142+MATRIZ_174!O141)/3,0),"")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t="str">
        <f>IFERROR(MATRIZ_174!AP141,"—")</f>
        <v>—</v>
      </c>
      <c r="AJ142" s="17" t="str">
        <f>IFERROR(MATRIZ_174!AO141,"N/A")</f>
        <v>N/A</v>
      </c>
      <c r="AK142" s="23" t="str">
        <f t="shared" si="53"/>
        <v>N/A</v>
      </c>
      <c r="AL142" s="24" t="str">
        <f t="shared" si="54"/>
        <v>—</v>
      </c>
    </row>
    <row r="143" spans="1:38" ht="16.05" customHeight="1" x14ac:dyDescent="0.3">
      <c r="A143" s="13" t="s">
        <v>373</v>
      </c>
      <c r="B143" s="14" t="s">
        <v>374</v>
      </c>
      <c r="C143" s="13" t="s">
        <v>80</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f t="shared" si="45"/>
        <v>0</v>
      </c>
      <c r="R143" s="17">
        <f t="shared" si="46"/>
        <v>0</v>
      </c>
      <c r="S143" s="17">
        <f t="shared" si="47"/>
        <v>0</v>
      </c>
      <c r="T143" s="17" t="str">
        <f>IF(ISNUMBER(MATRIZ_174!O142),IFERROR((K143+M143+MATRIZ_174!O142)/3,0),"")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t="str">
        <f>IFERROR(MATRIZ_174!AP142,"—")</f>
        <v>—</v>
      </c>
      <c r="AJ143" s="17" t="str">
        <f>IFERROR(MATRIZ_174!AO142,"N/A")</f>
        <v>N/A</v>
      </c>
      <c r="AK143" s="23" t="str">
        <f t="shared" si="53"/>
        <v>N/A</v>
      </c>
      <c r="AL143" s="24" t="str">
        <f t="shared" si="54"/>
        <v>—</v>
      </c>
    </row>
    <row r="144" spans="1:38" ht="16.05" customHeight="1" x14ac:dyDescent="0.3">
      <c r="A144" s="13" t="s">
        <v>375</v>
      </c>
      <c r="B144" s="14" t="s">
        <v>376</v>
      </c>
      <c r="C144" s="13" t="s">
        <v>139</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f t="shared" si="45"/>
        <v>0</v>
      </c>
      <c r="R144" s="17">
        <f t="shared" si="46"/>
        <v>0</v>
      </c>
      <c r="S144" s="17">
        <f t="shared" si="47"/>
        <v>0</v>
      </c>
      <c r="T144" s="17">
        <f>IF(ISNUMBER(MATRIZ_174!O143),IFERROR((K144+M144+MATRIZ_174!O143)/3,0),"")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t="str">
        <f>IFERROR(MATRIZ_174!AP143,"—")</f>
        <v>—</v>
      </c>
      <c r="AJ144" s="17" t="str">
        <f>IFERROR(MATRIZ_174!AO143,"N/A")</f>
        <v>N/A</v>
      </c>
      <c r="AK144" s="23" t="str">
        <f t="shared" si="53"/>
        <v>N/A</v>
      </c>
      <c r="AL144" s="24" t="str">
        <f t="shared" si="54"/>
        <v>—</v>
      </c>
    </row>
    <row r="145" spans="1:38" ht="16.05" customHeight="1" x14ac:dyDescent="0.3">
      <c r="A145" s="13" t="s">
        <v>377</v>
      </c>
      <c r="B145" s="14" t="s">
        <v>378</v>
      </c>
      <c r="C145" s="13" t="s">
        <v>80</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f t="shared" si="45"/>
        <v>0</v>
      </c>
      <c r="R145" s="17">
        <f t="shared" si="46"/>
        <v>0</v>
      </c>
      <c r="S145" s="17">
        <f t="shared" si="47"/>
        <v>0</v>
      </c>
      <c r="T145" s="17" t="str">
        <f>IF(ISNUMBER(MATRIZ_174!O144),IFERROR((K145+M145+MATRIZ_174!O144)/3,0),"")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t="str">
        <f>IFERROR(MATRIZ_174!AP144,"—")</f>
        <v>—</v>
      </c>
      <c r="AJ145" s="17" t="str">
        <f>IFERROR(MATRIZ_174!AO144,"N/A")</f>
        <v>N/A</v>
      </c>
      <c r="AK145" s="23" t="str">
        <f t="shared" si="53"/>
        <v>N/A</v>
      </c>
      <c r="AL145" s="24" t="str">
        <f t="shared" si="54"/>
        <v>—</v>
      </c>
    </row>
    <row r="146" spans="1:38" ht="16.05" customHeight="1" x14ac:dyDescent="0.3">
      <c r="A146" s="13" t="s">
        <v>379</v>
      </c>
      <c r="B146" s="14" t="s">
        <v>380</v>
      </c>
      <c r="C146" s="13" t="s">
        <v>80</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f t="shared" si="45"/>
        <v>0</v>
      </c>
      <c r="R146" s="17">
        <f t="shared" si="46"/>
        <v>0</v>
      </c>
      <c r="S146" s="17">
        <f t="shared" si="47"/>
        <v>0</v>
      </c>
      <c r="T146" s="17" t="str">
        <f>IF(ISNUMBER(MATRIZ_174!O145),IFERROR((K146+M146+MATRIZ_174!O145)/3,0),"")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t="str">
        <f>IFERROR(MATRIZ_174!AP145,"—")</f>
        <v>—</v>
      </c>
      <c r="AJ146" s="17" t="str">
        <f>IFERROR(MATRIZ_174!AO145,"N/A")</f>
        <v>N/A</v>
      </c>
      <c r="AK146" s="23" t="str">
        <f t="shared" si="53"/>
        <v>N/A</v>
      </c>
      <c r="AL146" s="24" t="str">
        <f t="shared" si="54"/>
        <v>—</v>
      </c>
    </row>
    <row r="147" spans="1:38" ht="16.05" customHeight="1" x14ac:dyDescent="0.3">
      <c r="A147" s="13" t="s">
        <v>381</v>
      </c>
      <c r="B147" s="14" t="s">
        <v>382</v>
      </c>
      <c r="C147" s="13" t="s">
        <v>77</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f t="shared" si="45"/>
        <v>0</v>
      </c>
      <c r="R147" s="17">
        <f t="shared" si="46"/>
        <v>0</v>
      </c>
      <c r="S147" s="17">
        <f t="shared" si="47"/>
        <v>0</v>
      </c>
      <c r="T147" s="17">
        <f>IF(ISNUMBER(MATRIZ_174!O146),IFERROR((K147+M147+MATRIZ_174!O146)/3,0),"")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t="str">
        <f>IFERROR(MATRIZ_174!AP146,"—")</f>
        <v>—</v>
      </c>
      <c r="AJ147" s="17" t="str">
        <f>IFERROR(MATRIZ_174!AO146,"N/A")</f>
        <v>N/A</v>
      </c>
      <c r="AK147" s="23" t="str">
        <f t="shared" si="53"/>
        <v>N/A</v>
      </c>
      <c r="AL147" s="24" t="str">
        <f t="shared" si="54"/>
        <v>—</v>
      </c>
    </row>
    <row r="148" spans="1:38" ht="16.05" customHeight="1" x14ac:dyDescent="0.3">
      <c r="A148" s="13" t="s">
        <v>383</v>
      </c>
      <c r="B148" s="14" t="s">
        <v>384</v>
      </c>
      <c r="C148" s="13" t="s">
        <v>241</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f t="shared" si="45"/>
        <v>0</v>
      </c>
      <c r="R148" s="17">
        <f t="shared" si="46"/>
        <v>0</v>
      </c>
      <c r="S148" s="17">
        <f t="shared" si="47"/>
        <v>0</v>
      </c>
      <c r="T148" s="17" t="str">
        <f>IF(ISNUMBER(MATRIZ_174!O147),IFERROR((K148+M148+MATRIZ_174!O147)/3,0),"")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t="str">
        <f>IFERROR(MATRIZ_174!AP147,"—")</f>
        <v>—</v>
      </c>
      <c r="AJ148" s="17" t="str">
        <f>IFERROR(MATRIZ_174!AO147,"N/A")</f>
        <v>N/A</v>
      </c>
      <c r="AK148" s="23" t="str">
        <f t="shared" si="53"/>
        <v>N/A</v>
      </c>
      <c r="AL148" s="24" t="str">
        <f t="shared" si="54"/>
        <v>—</v>
      </c>
    </row>
    <row r="149" spans="1:38" ht="16.05" customHeight="1" x14ac:dyDescent="0.3">
      <c r="A149" s="13" t="s">
        <v>385</v>
      </c>
      <c r="B149" s="14" t="s">
        <v>386</v>
      </c>
      <c r="C149" s="13" t="s">
        <v>80</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f t="shared" si="45"/>
        <v>0</v>
      </c>
      <c r="R149" s="17">
        <f t="shared" si="46"/>
        <v>0</v>
      </c>
      <c r="S149" s="17">
        <f t="shared" si="47"/>
        <v>0</v>
      </c>
      <c r="T149" s="17" t="str">
        <f>IF(ISNUMBER(MATRIZ_174!O148),IFERROR((K149+M149+MATRIZ_174!O148)/3,0),"")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t="str">
        <f>IFERROR(MATRIZ_174!AP148,"—")</f>
        <v>—</v>
      </c>
      <c r="AJ149" s="17" t="str">
        <f>IFERROR(MATRIZ_174!AO148,"N/A")</f>
        <v>N/A</v>
      </c>
      <c r="AK149" s="23" t="str">
        <f t="shared" si="53"/>
        <v>N/A</v>
      </c>
      <c r="AL149" s="24" t="str">
        <f t="shared" si="54"/>
        <v>—</v>
      </c>
    </row>
    <row r="150" spans="1:38" ht="16.05" customHeight="1" x14ac:dyDescent="0.3">
      <c r="A150" s="13" t="s">
        <v>387</v>
      </c>
      <c r="B150" s="14" t="s">
        <v>388</v>
      </c>
      <c r="C150" s="13" t="s">
        <v>150</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f t="shared" si="45"/>
        <v>0</v>
      </c>
      <c r="R150" s="17">
        <f t="shared" si="46"/>
        <v>0</v>
      </c>
      <c r="S150" s="17">
        <f t="shared" si="47"/>
        <v>0</v>
      </c>
      <c r="T150" s="17">
        <f>IF(ISNUMBER(MATRIZ_174!O149),IFERROR((K150+M150+MATRIZ_174!O149)/3,0),"")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t="str">
        <f>IFERROR(MATRIZ_174!AP149,"—")</f>
        <v>—</v>
      </c>
      <c r="AJ150" s="17" t="str">
        <f>IFERROR(MATRIZ_174!AO149,"N/A")</f>
        <v>N/A</v>
      </c>
      <c r="AK150" s="23" t="str">
        <f t="shared" si="53"/>
        <v>N/A</v>
      </c>
      <c r="AL150" s="24" t="str">
        <f t="shared" si="54"/>
        <v>—</v>
      </c>
    </row>
    <row r="151" spans="1:38" ht="16.05" customHeight="1" x14ac:dyDescent="0.3">
      <c r="A151" s="13" t="s">
        <v>389</v>
      </c>
      <c r="B151" s="14" t="s">
        <v>390</v>
      </c>
      <c r="C151" s="13" t="s">
        <v>103</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f t="shared" si="45"/>
        <v>0</v>
      </c>
      <c r="R151" s="17">
        <f t="shared" si="46"/>
        <v>0</v>
      </c>
      <c r="S151" s="17">
        <f t="shared" si="47"/>
        <v>0</v>
      </c>
      <c r="T151" s="17" t="str">
        <f>IF(ISNUMBER(MATRIZ_174!O150),IFERROR((K151+M151+MATRIZ_174!O150)/3,0),"")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t="str">
        <f>IFERROR(MATRIZ_174!AP150,"—")</f>
        <v>—</v>
      </c>
      <c r="AJ151" s="17" t="str">
        <f>IFERROR(MATRIZ_174!AO150,"N/A")</f>
        <v>N/A</v>
      </c>
      <c r="AK151" s="23" t="str">
        <f t="shared" si="53"/>
        <v>N/A</v>
      </c>
      <c r="AL151" s="24" t="str">
        <f t="shared" si="54"/>
        <v>—</v>
      </c>
    </row>
    <row r="152" spans="1:38" ht="16.05" customHeight="1" x14ac:dyDescent="0.3">
      <c r="A152" s="13" t="s">
        <v>391</v>
      </c>
      <c r="B152" s="14" t="s">
        <v>392</v>
      </c>
      <c r="C152" s="13" t="s">
        <v>179</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f t="shared" si="45"/>
        <v>0</v>
      </c>
      <c r="R152" s="17">
        <f t="shared" si="46"/>
        <v>0</v>
      </c>
      <c r="S152" s="17">
        <f t="shared" si="47"/>
        <v>0</v>
      </c>
      <c r="T152" s="17" t="str">
        <f>IF(ISNUMBER(MATRIZ_174!O151),IFERROR((K152+M152+MATRIZ_174!O151)/3,0),"")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t="str">
        <f>IFERROR(MATRIZ_174!AP151,"—")</f>
        <v>—</v>
      </c>
      <c r="AJ152" s="17" t="str">
        <f>IFERROR(MATRIZ_174!AO151,"N/A")</f>
        <v>N/A</v>
      </c>
      <c r="AK152" s="23" t="str">
        <f t="shared" si="53"/>
        <v>N/A</v>
      </c>
      <c r="AL152" s="24" t="str">
        <f t="shared" si="54"/>
        <v>—</v>
      </c>
    </row>
    <row r="153" spans="1:38" ht="16.05" customHeight="1" x14ac:dyDescent="0.3">
      <c r="A153" s="13" t="s">
        <v>393</v>
      </c>
      <c r="B153" s="14" t="s">
        <v>394</v>
      </c>
      <c r="C153" s="13" t="s">
        <v>80</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f t="shared" si="45"/>
        <v>0</v>
      </c>
      <c r="R153" s="17">
        <f t="shared" si="46"/>
        <v>0</v>
      </c>
      <c r="S153" s="17">
        <f t="shared" si="47"/>
        <v>0</v>
      </c>
      <c r="T153" s="17" t="str">
        <f>IF(ISNUMBER(MATRIZ_174!O152),IFERROR((K153+M153+MATRIZ_174!O152)/3,0),"")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t="str">
        <f>IFERROR(MATRIZ_174!AP152,"—")</f>
        <v>—</v>
      </c>
      <c r="AJ153" s="17" t="str">
        <f>IFERROR(MATRIZ_174!AO152,"N/A")</f>
        <v>N/A</v>
      </c>
      <c r="AK153" s="23" t="str">
        <f t="shared" si="53"/>
        <v>N/A</v>
      </c>
      <c r="AL153" s="24" t="str">
        <f t="shared" si="54"/>
        <v>—</v>
      </c>
    </row>
    <row r="154" spans="1:38" ht="16.05" customHeight="1" x14ac:dyDescent="0.3">
      <c r="A154" s="13" t="s">
        <v>395</v>
      </c>
      <c r="B154" s="14" t="s">
        <v>396</v>
      </c>
      <c r="C154" s="13" t="s">
        <v>80</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f t="shared" si="45"/>
        <v>0</v>
      </c>
      <c r="R154" s="17">
        <f t="shared" si="46"/>
        <v>0</v>
      </c>
      <c r="S154" s="17">
        <f t="shared" si="47"/>
        <v>0</v>
      </c>
      <c r="T154" s="17" t="str">
        <f>IF(ISNUMBER(MATRIZ_174!O153),IFERROR((K154+M154+MATRIZ_174!O153)/3,0),"")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t="str">
        <f>IFERROR(MATRIZ_174!AP153,"—")</f>
        <v>—</v>
      </c>
      <c r="AJ154" s="17" t="str">
        <f>IFERROR(MATRIZ_174!AO153,"N/A")</f>
        <v>N/A</v>
      </c>
      <c r="AK154" s="23" t="str">
        <f t="shared" si="53"/>
        <v>N/A</v>
      </c>
      <c r="AL154" s="24" t="str">
        <f t="shared" si="54"/>
        <v>—</v>
      </c>
    </row>
    <row r="155" spans="1:38" ht="16.05" customHeight="1" x14ac:dyDescent="0.3">
      <c r="A155" s="13" t="s">
        <v>397</v>
      </c>
      <c r="B155" s="14" t="s">
        <v>398</v>
      </c>
      <c r="C155" s="13" t="s">
        <v>77</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f t="shared" si="45"/>
        <v>0</v>
      </c>
      <c r="R155" s="17">
        <f t="shared" si="46"/>
        <v>0</v>
      </c>
      <c r="S155" s="17">
        <f t="shared" si="47"/>
        <v>0</v>
      </c>
      <c r="T155" s="17">
        <f>IF(ISNUMBER(MATRIZ_174!O154),IFERROR((K155+M155+MATRIZ_174!O154)/3,0),"")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t="str">
        <f>IFERROR(MATRIZ_174!AP154,"—")</f>
        <v>—</v>
      </c>
      <c r="AJ155" s="17" t="str">
        <f>IFERROR(MATRIZ_174!AO154,"N/A")</f>
        <v>N/A</v>
      </c>
      <c r="AK155" s="23" t="str">
        <f t="shared" si="53"/>
        <v>N/A</v>
      </c>
      <c r="AL155" s="24" t="str">
        <f t="shared" si="54"/>
        <v>—</v>
      </c>
    </row>
    <row r="156" spans="1:38" ht="16.05" customHeight="1" x14ac:dyDescent="0.3">
      <c r="A156" s="13" t="s">
        <v>399</v>
      </c>
      <c r="B156" s="14" t="s">
        <v>400</v>
      </c>
      <c r="C156" s="13" t="s">
        <v>109</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f t="shared" si="45"/>
        <v>0</v>
      </c>
      <c r="R156" s="17">
        <f t="shared" si="46"/>
        <v>0</v>
      </c>
      <c r="S156" s="17">
        <f t="shared" si="47"/>
        <v>0</v>
      </c>
      <c r="T156" s="17" t="str">
        <f>IF(ISNUMBER(MATRIZ_174!O155),IFERROR((K156+M156+MATRIZ_174!O155)/3,0),"")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t="str">
        <f>IFERROR(MATRIZ_174!AP155,"—")</f>
        <v>—</v>
      </c>
      <c r="AJ156" s="17" t="str">
        <f>IFERROR(MATRIZ_174!AO155,"N/A")</f>
        <v>N/A</v>
      </c>
      <c r="AK156" s="23" t="str">
        <f t="shared" si="53"/>
        <v>N/A</v>
      </c>
      <c r="AL156" s="24" t="str">
        <f t="shared" si="54"/>
        <v>—</v>
      </c>
    </row>
    <row r="157" spans="1:38" ht="16.05" customHeight="1" x14ac:dyDescent="0.3">
      <c r="A157" s="13" t="s">
        <v>401</v>
      </c>
      <c r="B157" s="14" t="s">
        <v>402</v>
      </c>
      <c r="C157" s="13" t="s">
        <v>179</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f t="shared" si="45"/>
        <v>0</v>
      </c>
      <c r="R157" s="17">
        <f t="shared" si="46"/>
        <v>0</v>
      </c>
      <c r="S157" s="17">
        <f t="shared" si="47"/>
        <v>0</v>
      </c>
      <c r="T157" s="17" t="str">
        <f>IF(ISNUMBER(MATRIZ_174!O156),IFERROR((K157+M157+MATRIZ_174!O156)/3,0),"")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t="str">
        <f>IFERROR(MATRIZ_174!AP156,"—")</f>
        <v>—</v>
      </c>
      <c r="AJ157" s="17" t="str">
        <f>IFERROR(MATRIZ_174!AO156,"N/A")</f>
        <v>N/A</v>
      </c>
      <c r="AK157" s="23" t="str">
        <f t="shared" si="53"/>
        <v>N/A</v>
      </c>
      <c r="AL157" s="24" t="str">
        <f t="shared" si="54"/>
        <v>—</v>
      </c>
    </row>
    <row r="158" spans="1:38" ht="16.05" customHeight="1" x14ac:dyDescent="0.3">
      <c r="A158" s="13" t="s">
        <v>403</v>
      </c>
      <c r="B158" s="14" t="s">
        <v>404</v>
      </c>
      <c r="C158" s="13" t="s">
        <v>139</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f t="shared" si="45"/>
        <v>0</v>
      </c>
      <c r="R158" s="17">
        <f t="shared" si="46"/>
        <v>0</v>
      </c>
      <c r="S158" s="17">
        <f t="shared" si="47"/>
        <v>0</v>
      </c>
      <c r="T158" s="17">
        <f>IF(ISNUMBER(MATRIZ_174!O157),IFERROR((K158+M158+MATRIZ_174!O157)/3,0),"")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t="str">
        <f>IFERROR(MATRIZ_174!AP157,"—")</f>
        <v>—</v>
      </c>
      <c r="AJ158" s="17" t="str">
        <f>IFERROR(MATRIZ_174!AO157,"N/A")</f>
        <v>N/A</v>
      </c>
      <c r="AK158" s="23" t="str">
        <f t="shared" si="53"/>
        <v>N/A</v>
      </c>
      <c r="AL158" s="24" t="str">
        <f t="shared" si="54"/>
        <v>—</v>
      </c>
    </row>
    <row r="159" spans="1:38" ht="16.05" customHeight="1" x14ac:dyDescent="0.3">
      <c r="A159" s="13" t="s">
        <v>406</v>
      </c>
      <c r="B159" s="14" t="s">
        <v>407</v>
      </c>
      <c r="C159" s="13" t="s">
        <v>77</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f t="shared" si="45"/>
        <v>0</v>
      </c>
      <c r="R159" s="17">
        <f t="shared" si="46"/>
        <v>0</v>
      </c>
      <c r="S159" s="17">
        <f t="shared" si="47"/>
        <v>0</v>
      </c>
      <c r="T159" s="17" t="str">
        <f>IF(ISNUMBER(MATRIZ_174!O158),IFERROR((K159+M159+MATRIZ_174!O158)/3,0),"")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t="str">
        <f>IFERROR(MATRIZ_174!AP158,"—")</f>
        <v>—</v>
      </c>
      <c r="AJ159" s="17" t="str">
        <f>IFERROR(MATRIZ_174!AO158,"N/A")</f>
        <v>N/A</v>
      </c>
      <c r="AK159" s="23" t="str">
        <f t="shared" si="53"/>
        <v>N/A</v>
      </c>
      <c r="AL159" s="24" t="str">
        <f t="shared" si="54"/>
        <v>—</v>
      </c>
    </row>
    <row r="160" spans="1:38" ht="16.05" customHeight="1" x14ac:dyDescent="0.3">
      <c r="A160" s="13" t="s">
        <v>408</v>
      </c>
      <c r="B160" s="14" t="s">
        <v>409</v>
      </c>
      <c r="C160" s="13" t="s">
        <v>139</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f t="shared" si="45"/>
        <v>0</v>
      </c>
      <c r="R160" s="17">
        <f t="shared" si="46"/>
        <v>0</v>
      </c>
      <c r="S160" s="17">
        <f t="shared" si="47"/>
        <v>0</v>
      </c>
      <c r="T160" s="17" t="str">
        <f>IF(ISNUMBER(MATRIZ_174!O159),IFERROR((K160+M160+MATRIZ_174!O159)/3,0),"")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t="str">
        <f>IFERROR(MATRIZ_174!AP159,"—")</f>
        <v>—</v>
      </c>
      <c r="AJ160" s="17" t="str">
        <f>IFERROR(MATRIZ_174!AO159,"N/A")</f>
        <v>N/A</v>
      </c>
      <c r="AK160" s="23" t="str">
        <f t="shared" si="53"/>
        <v>N/A</v>
      </c>
      <c r="AL160" s="24" t="str">
        <f t="shared" si="54"/>
        <v>—</v>
      </c>
    </row>
    <row r="161" spans="1:38" ht="16.05" customHeight="1" x14ac:dyDescent="0.3">
      <c r="A161" s="13" t="s">
        <v>410</v>
      </c>
      <c r="B161" s="14" t="s">
        <v>411</v>
      </c>
      <c r="C161" s="13" t="s">
        <v>103</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f t="shared" si="45"/>
        <v>0</v>
      </c>
      <c r="R161" s="17">
        <f t="shared" si="46"/>
        <v>0</v>
      </c>
      <c r="S161" s="17">
        <f t="shared" si="47"/>
        <v>0</v>
      </c>
      <c r="T161" s="17" t="str">
        <f>IF(ISNUMBER(MATRIZ_174!O160),IFERROR((K161+M161+MATRIZ_174!O160)/3,0),"")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t="str">
        <f>IFERROR(MATRIZ_174!AP160,"—")</f>
        <v>—</v>
      </c>
      <c r="AJ161" s="17" t="str">
        <f>IFERROR(MATRIZ_174!AO160,"N/A")</f>
        <v>N/A</v>
      </c>
      <c r="AK161" s="23" t="str">
        <f t="shared" si="53"/>
        <v>N/A</v>
      </c>
      <c r="AL161" s="24" t="str">
        <f t="shared" si="54"/>
        <v>—</v>
      </c>
    </row>
    <row r="162" spans="1:38" ht="16.05" customHeight="1" x14ac:dyDescent="0.3">
      <c r="A162" s="13" t="s">
        <v>413</v>
      </c>
      <c r="B162" s="14" t="s">
        <v>414</v>
      </c>
      <c r="C162" s="13" t="s">
        <v>179</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f t="shared" si="45"/>
        <v>0</v>
      </c>
      <c r="R162" s="17">
        <f t="shared" si="46"/>
        <v>0</v>
      </c>
      <c r="S162" s="17">
        <f t="shared" si="47"/>
        <v>0</v>
      </c>
      <c r="T162" s="17" t="str">
        <f>IF(ISNUMBER(MATRIZ_174!O161),IFERROR((K162+M162+MATRIZ_174!O161)/3,0),"")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t="str">
        <f>IFERROR(MATRIZ_174!AP161,"—")</f>
        <v>—</v>
      </c>
      <c r="AJ162" s="17" t="str">
        <f>IFERROR(MATRIZ_174!AO161,"N/A")</f>
        <v>N/A</v>
      </c>
      <c r="AK162" s="23" t="str">
        <f t="shared" si="53"/>
        <v>N/A</v>
      </c>
      <c r="AL162" s="24" t="str">
        <f t="shared" si="54"/>
        <v>—</v>
      </c>
    </row>
    <row r="163" spans="1:38" ht="16.05" customHeight="1" x14ac:dyDescent="0.3">
      <c r="A163" s="13" t="s">
        <v>415</v>
      </c>
      <c r="B163" s="14" t="s">
        <v>416</v>
      </c>
      <c r="C163" s="13" t="s">
        <v>103</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f t="shared" si="45"/>
        <v>0</v>
      </c>
      <c r="R163" s="17">
        <f t="shared" si="46"/>
        <v>0</v>
      </c>
      <c r="S163" s="17">
        <f t="shared" si="47"/>
        <v>0</v>
      </c>
      <c r="T163" s="17" t="str">
        <f>IF(ISNUMBER(MATRIZ_174!O162),IFERROR((K163+M163+MATRIZ_174!O162)/3,0),"")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t="str">
        <f>IFERROR(MATRIZ_174!AP162,"—")</f>
        <v>—</v>
      </c>
      <c r="AJ163" s="17" t="str">
        <f>IFERROR(MATRIZ_174!AO162,"N/A")</f>
        <v>N/A</v>
      </c>
      <c r="AK163" s="23" t="str">
        <f t="shared" si="53"/>
        <v>N/A</v>
      </c>
      <c r="AL163" s="24" t="str">
        <f t="shared" si="54"/>
        <v>—</v>
      </c>
    </row>
    <row r="164" spans="1:38" ht="16.05" customHeight="1" x14ac:dyDescent="0.3">
      <c r="A164" s="13" t="s">
        <v>417</v>
      </c>
      <c r="B164" s="14" t="s">
        <v>418</v>
      </c>
      <c r="C164" s="13" t="s">
        <v>150</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f t="shared" ref="Q164:Q177" si="56">IFERROR(SQRT(G164*H164),0)</f>
        <v>0</v>
      </c>
      <c r="R164" s="17">
        <f t="shared" ref="R164:R177" si="57">IFERROR((I164+J164+L164)/3,0)</f>
        <v>0</v>
      </c>
      <c r="S164" s="17">
        <f t="shared" ref="S164:S177" si="58">IFERROR((J164+F164)/2,0)</f>
        <v>0</v>
      </c>
      <c r="T164" s="17" t="str">
        <f>IF(ISNUMBER(MATRIZ_174!O163),IFERROR((K164+M164+MATRIZ_174!O163)/3,0),"")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IFERROR(ROUND(AVERAGE(U164,V164,W164,X164,Y164),1),0)</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t="str">
        <f>IFERROR(MATRIZ_174!AP163,"—")</f>
        <v>—</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row>
    <row r="165" spans="1:38" ht="16.05" customHeight="1" x14ac:dyDescent="0.3">
      <c r="A165" s="13" t="s">
        <v>419</v>
      </c>
      <c r="B165" s="14" t="s">
        <v>420</v>
      </c>
      <c r="C165" s="13" t="s">
        <v>112</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f t="shared" si="56"/>
        <v>0</v>
      </c>
      <c r="R165" s="17">
        <f t="shared" si="57"/>
        <v>0</v>
      </c>
      <c r="S165" s="17">
        <f t="shared" si="58"/>
        <v>0</v>
      </c>
      <c r="T165" s="17" t="str">
        <f>IF(ISNUMBER(MATRIZ_174!O164),IFERROR((K165+M165+MATRIZ_174!O164)/3,0),"")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t="str">
        <f>IFERROR(MATRIZ_174!AP164,"—")</f>
        <v>—</v>
      </c>
      <c r="AJ165" s="17" t="str">
        <f>IFERROR(MATRIZ_174!AO164,"N/A")</f>
        <v>N/A</v>
      </c>
      <c r="AK165" s="23" t="str">
        <f t="shared" si="64"/>
        <v>N/A</v>
      </c>
      <c r="AL165" s="24" t="str">
        <f t="shared" si="65"/>
        <v>—</v>
      </c>
    </row>
    <row r="166" spans="1:38" ht="16.05" customHeight="1" x14ac:dyDescent="0.3">
      <c r="A166" s="13" t="s">
        <v>421</v>
      </c>
      <c r="B166" s="14" t="s">
        <v>422</v>
      </c>
      <c r="C166" s="13" t="s">
        <v>179</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f t="shared" si="56"/>
        <v>0</v>
      </c>
      <c r="R166" s="17">
        <f t="shared" si="57"/>
        <v>0</v>
      </c>
      <c r="S166" s="17">
        <f t="shared" si="58"/>
        <v>0</v>
      </c>
      <c r="T166" s="17" t="str">
        <f>IF(ISNUMBER(MATRIZ_174!O165),IFERROR((K166+M166+MATRIZ_174!O165)/3,0),"")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t="str">
        <f>IFERROR(MATRIZ_174!AP165,"—")</f>
        <v>—</v>
      </c>
      <c r="AJ166" s="17" t="str">
        <f>IFERROR(MATRIZ_174!AO165,"N/A")</f>
        <v>N/A</v>
      </c>
      <c r="AK166" s="23" t="str">
        <f t="shared" si="64"/>
        <v>N/A</v>
      </c>
      <c r="AL166" s="24" t="str">
        <f t="shared" si="65"/>
        <v>—</v>
      </c>
    </row>
    <row r="167" spans="1:38" ht="16.05" customHeight="1" x14ac:dyDescent="0.3">
      <c r="A167" s="13" t="s">
        <v>423</v>
      </c>
      <c r="B167" s="14" t="s">
        <v>424</v>
      </c>
      <c r="C167" s="13" t="s">
        <v>241</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f t="shared" si="56"/>
        <v>0</v>
      </c>
      <c r="R167" s="17">
        <f t="shared" si="57"/>
        <v>0</v>
      </c>
      <c r="S167" s="17">
        <f t="shared" si="58"/>
        <v>0</v>
      </c>
      <c r="T167" s="17" t="str">
        <f>IF(ISNUMBER(MATRIZ_174!O166),IFERROR((K167+M167+MATRIZ_174!O166)/3,0),"")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t="str">
        <f>IFERROR(MATRIZ_174!AP166,"—")</f>
        <v>—</v>
      </c>
      <c r="AJ167" s="17" t="str">
        <f>IFERROR(MATRIZ_174!AO166,"N/A")</f>
        <v>N/A</v>
      </c>
      <c r="AK167" s="23" t="str">
        <f t="shared" si="64"/>
        <v>N/A</v>
      </c>
      <c r="AL167" s="24" t="str">
        <f t="shared" si="65"/>
        <v>—</v>
      </c>
    </row>
    <row r="168" spans="1:38" ht="16.05" customHeight="1" x14ac:dyDescent="0.3">
      <c r="A168" s="13" t="s">
        <v>425</v>
      </c>
      <c r="B168" s="14" t="s">
        <v>426</v>
      </c>
      <c r="C168" s="13" t="s">
        <v>139</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f t="shared" si="56"/>
        <v>0</v>
      </c>
      <c r="R168" s="17">
        <f t="shared" si="57"/>
        <v>0</v>
      </c>
      <c r="S168" s="17">
        <f t="shared" si="58"/>
        <v>0</v>
      </c>
      <c r="T168" s="17" t="str">
        <f>IF(ISNUMBER(MATRIZ_174!O167),IFERROR((K168+M168+MATRIZ_174!O167)/3,0),"")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t="str">
        <f>IFERROR(MATRIZ_174!AP167,"—")</f>
        <v>—</v>
      </c>
      <c r="AJ168" s="17" t="str">
        <f>IFERROR(MATRIZ_174!AO167,"N/A")</f>
        <v>N/A</v>
      </c>
      <c r="AK168" s="23" t="str">
        <f t="shared" si="64"/>
        <v>N/A</v>
      </c>
      <c r="AL168" s="24" t="str">
        <f t="shared" si="65"/>
        <v>—</v>
      </c>
    </row>
    <row r="169" spans="1:38" ht="16.05" customHeight="1" x14ac:dyDescent="0.3">
      <c r="A169" s="13" t="s">
        <v>427</v>
      </c>
      <c r="B169" s="14" t="s">
        <v>428</v>
      </c>
      <c r="C169" s="13" t="s">
        <v>112</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f t="shared" si="56"/>
        <v>0</v>
      </c>
      <c r="R169" s="17">
        <f t="shared" si="57"/>
        <v>0</v>
      </c>
      <c r="S169" s="17">
        <f t="shared" si="58"/>
        <v>0</v>
      </c>
      <c r="T169" s="17" t="str">
        <f>IF(ISNUMBER(MATRIZ_174!O168),IFERROR((K169+M169+MATRIZ_174!O168)/3,0),"")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t="str">
        <f>IFERROR(MATRIZ_174!AP168,"—")</f>
        <v>—</v>
      </c>
      <c r="AJ169" s="17" t="str">
        <f>IFERROR(MATRIZ_174!AO168,"N/A")</f>
        <v>N/A</v>
      </c>
      <c r="AK169" s="23" t="str">
        <f t="shared" si="64"/>
        <v>N/A</v>
      </c>
      <c r="AL169" s="24" t="str">
        <f t="shared" si="65"/>
        <v>—</v>
      </c>
    </row>
    <row r="170" spans="1:38" ht="16.05" customHeight="1" x14ac:dyDescent="0.3">
      <c r="A170" s="13" t="s">
        <v>429</v>
      </c>
      <c r="B170" s="14" t="s">
        <v>430</v>
      </c>
      <c r="C170" s="13" t="s">
        <v>150</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f t="shared" si="56"/>
        <v>0</v>
      </c>
      <c r="R170" s="17">
        <f t="shared" si="57"/>
        <v>0</v>
      </c>
      <c r="S170" s="17">
        <f t="shared" si="58"/>
        <v>0</v>
      </c>
      <c r="T170" s="17" t="str">
        <f>IF(ISNUMBER(MATRIZ_174!O169),IFERROR((K170+M170+MATRIZ_174!O169)/3,0),"")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t="str">
        <f>IFERROR(MATRIZ_174!AP169,"—")</f>
        <v>—</v>
      </c>
      <c r="AJ170" s="17" t="str">
        <f>IFERROR(MATRIZ_174!AO169,"N/A")</f>
        <v>N/A</v>
      </c>
      <c r="AK170" s="23" t="str">
        <f t="shared" si="64"/>
        <v>N/A</v>
      </c>
      <c r="AL170" s="24" t="str">
        <f t="shared" si="65"/>
        <v>—</v>
      </c>
    </row>
    <row r="171" spans="1:38" ht="16.05" customHeight="1" x14ac:dyDescent="0.3">
      <c r="A171" s="13" t="s">
        <v>431</v>
      </c>
      <c r="B171" s="14" t="s">
        <v>432</v>
      </c>
      <c r="C171" s="13" t="s">
        <v>109</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f t="shared" si="56"/>
        <v>0</v>
      </c>
      <c r="R171" s="17">
        <f t="shared" si="57"/>
        <v>0</v>
      </c>
      <c r="S171" s="17">
        <f t="shared" si="58"/>
        <v>0</v>
      </c>
      <c r="T171" s="17" t="str">
        <f>IF(ISNUMBER(MATRIZ_174!O170),IFERROR((K171+M171+MATRIZ_174!O170)/3,0),"")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t="str">
        <f>IFERROR(MATRIZ_174!AP170,"—")</f>
        <v>—</v>
      </c>
      <c r="AJ171" s="17" t="str">
        <f>IFERROR(MATRIZ_174!AO170,"N/A")</f>
        <v>N/A</v>
      </c>
      <c r="AK171" s="23" t="str">
        <f t="shared" si="64"/>
        <v>N/A</v>
      </c>
      <c r="AL171" s="24" t="str">
        <f t="shared" si="65"/>
        <v>—</v>
      </c>
    </row>
    <row r="172" spans="1:38" ht="16.05" customHeight="1" x14ac:dyDescent="0.3">
      <c r="A172" s="13" t="s">
        <v>433</v>
      </c>
      <c r="B172" s="14" t="s">
        <v>434</v>
      </c>
      <c r="C172" s="13" t="s">
        <v>139</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f t="shared" si="56"/>
        <v>0</v>
      </c>
      <c r="R172" s="17">
        <f t="shared" si="57"/>
        <v>0</v>
      </c>
      <c r="S172" s="17">
        <f t="shared" si="58"/>
        <v>0</v>
      </c>
      <c r="T172" s="17">
        <f>IF(ISNUMBER(MATRIZ_174!O171),IFERROR((K172+M172+MATRIZ_174!O171)/3,0),"")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t="str">
        <f>IFERROR(MATRIZ_174!AP171,"—")</f>
        <v>—</v>
      </c>
      <c r="AJ172" s="17" t="str">
        <f>IFERROR(MATRIZ_174!AO171,"N/A")</f>
        <v>N/A</v>
      </c>
      <c r="AK172" s="23" t="str">
        <f t="shared" si="64"/>
        <v>N/A</v>
      </c>
      <c r="AL172" s="24" t="str">
        <f t="shared" si="65"/>
        <v>—</v>
      </c>
    </row>
    <row r="173" spans="1:38" ht="16.05" customHeight="1" x14ac:dyDescent="0.3">
      <c r="A173" s="13" t="s">
        <v>435</v>
      </c>
      <c r="B173" s="14" t="s">
        <v>436</v>
      </c>
      <c r="C173" s="13" t="s">
        <v>112</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f t="shared" si="56"/>
        <v>0</v>
      </c>
      <c r="R173" s="17">
        <f t="shared" si="57"/>
        <v>0</v>
      </c>
      <c r="S173" s="17">
        <f t="shared" si="58"/>
        <v>0</v>
      </c>
      <c r="T173" s="17" t="str">
        <f>IF(ISNUMBER(MATRIZ_174!O172),IFERROR((K173+M173+MATRIZ_174!O172)/3,0),"")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t="str">
        <f>IFERROR(MATRIZ_174!AP172,"—")</f>
        <v>—</v>
      </c>
      <c r="AJ173" s="17" t="str">
        <f>IFERROR(MATRIZ_174!AO172,"N/A")</f>
        <v>N/A</v>
      </c>
      <c r="AK173" s="23" t="str">
        <f t="shared" si="64"/>
        <v>N/A</v>
      </c>
      <c r="AL173" s="24" t="str">
        <f t="shared" si="65"/>
        <v>—</v>
      </c>
    </row>
    <row r="174" spans="1:38" ht="16.05" customHeight="1" x14ac:dyDescent="0.3">
      <c r="A174" s="13" t="s">
        <v>437</v>
      </c>
      <c r="B174" s="14" t="s">
        <v>438</v>
      </c>
      <c r="C174" s="13" t="s">
        <v>179</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f t="shared" si="56"/>
        <v>0</v>
      </c>
      <c r="R174" s="17">
        <f t="shared" si="57"/>
        <v>0</v>
      </c>
      <c r="S174" s="17">
        <f t="shared" si="58"/>
        <v>0</v>
      </c>
      <c r="T174" s="17" t="str">
        <f>IF(ISNUMBER(MATRIZ_174!O173),IFERROR((K174+M174+MATRIZ_174!O173)/3,0),"")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t="str">
        <f>IFERROR(MATRIZ_174!AP173,"—")</f>
        <v>—</v>
      </c>
      <c r="AJ174" s="17" t="str">
        <f>IFERROR(MATRIZ_174!AO173,"N/A")</f>
        <v>N/A</v>
      </c>
      <c r="AK174" s="23" t="str">
        <f t="shared" si="64"/>
        <v>N/A</v>
      </c>
      <c r="AL174" s="24" t="str">
        <f t="shared" si="65"/>
        <v>—</v>
      </c>
    </row>
    <row r="175" spans="1:38" ht="16.05" customHeight="1" x14ac:dyDescent="0.3">
      <c r="A175" s="13" t="s">
        <v>439</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f t="shared" si="56"/>
        <v>0</v>
      </c>
      <c r="R175" s="17">
        <f t="shared" si="57"/>
        <v>0</v>
      </c>
      <c r="S175" s="17">
        <f t="shared" si="58"/>
        <v>0</v>
      </c>
      <c r="T175" s="17" t="str">
        <f>IF(ISNUMBER(MATRIZ_174!O174),IFERROR((K175+M175+MATRIZ_174!O174)/3,0),"")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t="str">
        <f>IFERROR(MATRIZ_174!AP174,"—")</f>
        <v>—</v>
      </c>
      <c r="AJ175" s="17" t="str">
        <f>IFERROR(MATRIZ_174!AO174,"N/A")</f>
        <v>N/A</v>
      </c>
      <c r="AK175" s="23" t="str">
        <f t="shared" si="64"/>
        <v>N/A</v>
      </c>
      <c r="AL175" s="24" t="str">
        <f t="shared" si="65"/>
        <v>—</v>
      </c>
    </row>
    <row r="176" spans="1:38" ht="16.05" customHeight="1" x14ac:dyDescent="0.3">
      <c r="A176" s="13" t="s">
        <v>441</v>
      </c>
      <c r="B176" s="14" t="s">
        <v>442</v>
      </c>
      <c r="C176" s="13" t="s">
        <v>109</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f t="shared" si="56"/>
        <v>0</v>
      </c>
      <c r="R176" s="17">
        <f t="shared" si="57"/>
        <v>0</v>
      </c>
      <c r="S176" s="17">
        <f t="shared" si="58"/>
        <v>0</v>
      </c>
      <c r="T176" s="17" t="str">
        <f>IF(ISNUMBER(MATRIZ_174!O175),IFERROR((K176+M176+MATRIZ_174!O175)/3,0),"")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t="str">
        <f>IFERROR(MATRIZ_174!AP175,"—")</f>
        <v>—</v>
      </c>
      <c r="AJ176" s="17" t="str">
        <f>IFERROR(MATRIZ_174!AO175,"N/A")</f>
        <v>N/A</v>
      </c>
      <c r="AK176" s="23" t="str">
        <f t="shared" si="64"/>
        <v>N/A</v>
      </c>
      <c r="AL176" s="24" t="str">
        <f t="shared" si="65"/>
        <v>—</v>
      </c>
    </row>
    <row r="177" spans="1:38" ht="16.05" customHeight="1" x14ac:dyDescent="0.3">
      <c r="A177" s="13" t="s">
        <v>443</v>
      </c>
      <c r="B177" s="14" t="s">
        <v>444</v>
      </c>
      <c r="C177" s="13" t="s">
        <v>112</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f t="shared" si="56"/>
        <v>0</v>
      </c>
      <c r="R177" s="17">
        <f t="shared" si="57"/>
        <v>0</v>
      </c>
      <c r="S177" s="17">
        <f t="shared" si="58"/>
        <v>0</v>
      </c>
      <c r="T177" s="17" t="str">
        <f>IF(ISNUMBER(MATRIZ_174!O176),IFERROR((K177+M177+MATRIZ_174!O176)/3,0),"")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t="str">
        <f>IFERROR(MATRIZ_174!AP176,"—")</f>
        <v>—</v>
      </c>
      <c r="AJ177" s="17" t="str">
        <f>IFERROR(MATRIZ_174!AO176,"N/A")</f>
        <v>N/A</v>
      </c>
      <c r="AK177" s="23" t="str">
        <f t="shared" si="64"/>
        <v>N/A</v>
      </c>
      <c r="AL177" s="24" t="str">
        <f t="shared" si="65"/>
        <v>—</v>
      </c>
    </row>
    <row r="178" spans="1:38" ht="22.05" customHeight="1" x14ac:dyDescent="0.3">
      <c r="A178" s="72" t="s">
        <v>932</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933</v>
      </c>
      <c r="AD178" s="25"/>
      <c r="AE178" s="25"/>
      <c r="AF178" s="25"/>
      <c r="AG178" s="25"/>
      <c r="AH178" s="25"/>
      <c r="AI178" s="25"/>
      <c r="AJ178" s="25"/>
      <c r="AK178" s="25"/>
      <c r="AL178" s="26" t="str">
        <f>IFERROR(AVERAGE(AL4:AL177),"—")</f>
        <v>—</v>
      </c>
    </row>
    <row r="180" spans="1:38" ht="30" customHeight="1" x14ac:dyDescent="0.3">
      <c r="A180" s="75" t="s">
        <v>1074</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8" x14ac:dyDescent="0.3">
      <c r="A182" s="55" t="s">
        <v>1519</v>
      </c>
    </row>
    <row r="183" spans="1:38" x14ac:dyDescent="0.3">
      <c r="A183" t="s">
        <v>605</v>
      </c>
      <c r="B183">
        <f>COUNT(E$4:E$177)</f>
        <v>0</v>
      </c>
      <c r="C183" t="str">
        <f t="shared" ref="C183:C197" si="66">IF(B183=174,"completo",IF(B183=0,"pendiente","parcial"))</f>
        <v>pendiente</v>
      </c>
    </row>
    <row r="184" spans="1:38" x14ac:dyDescent="0.3">
      <c r="A184" t="s">
        <v>1075</v>
      </c>
      <c r="B184">
        <f>COUNT(F$4:F$177)</f>
        <v>0</v>
      </c>
      <c r="C184" t="str">
        <f t="shared" si="66"/>
        <v>pendiente</v>
      </c>
    </row>
    <row r="185" spans="1:38" x14ac:dyDescent="0.3">
      <c r="A185" t="s">
        <v>1520</v>
      </c>
      <c r="B185">
        <f>COUNT(G$4:G$177)</f>
        <v>174</v>
      </c>
      <c r="C185" t="str">
        <f t="shared" si="66"/>
        <v>completo</v>
      </c>
    </row>
    <row r="186" spans="1:38" x14ac:dyDescent="0.3">
      <c r="A186" t="s">
        <v>1076</v>
      </c>
      <c r="B186">
        <f>COUNT(H$4:H$177)</f>
        <v>0</v>
      </c>
      <c r="C186" t="str">
        <f t="shared" si="66"/>
        <v>pendiente</v>
      </c>
    </row>
    <row r="187" spans="1:38" x14ac:dyDescent="0.3">
      <c r="A187" t="s">
        <v>708</v>
      </c>
      <c r="B187">
        <f>COUNT(I$4:I$177)</f>
        <v>0</v>
      </c>
      <c r="C187" t="str">
        <f t="shared" si="66"/>
        <v>pendiente</v>
      </c>
    </row>
    <row r="188" spans="1:38" x14ac:dyDescent="0.3">
      <c r="A188" t="s">
        <v>1077</v>
      </c>
      <c r="B188">
        <f>COUNT(J$4:J$177)</f>
        <v>0</v>
      </c>
      <c r="C188" t="str">
        <f t="shared" si="66"/>
        <v>pendiente</v>
      </c>
    </row>
    <row r="189" spans="1:38" x14ac:dyDescent="0.3">
      <c r="A189" t="s">
        <v>1078</v>
      </c>
      <c r="B189">
        <f>COUNT(K$4:K$177)</f>
        <v>0</v>
      </c>
      <c r="C189" t="str">
        <f t="shared" si="66"/>
        <v>pendiente</v>
      </c>
    </row>
    <row r="190" spans="1:38" x14ac:dyDescent="0.3">
      <c r="A190" t="s">
        <v>907</v>
      </c>
      <c r="B190">
        <f>COUNT(L$4:L$177)</f>
        <v>0</v>
      </c>
      <c r="C190" t="str">
        <f t="shared" si="66"/>
        <v>pendiente</v>
      </c>
    </row>
    <row r="191" spans="1:38" x14ac:dyDescent="0.3">
      <c r="A191" t="s">
        <v>1079</v>
      </c>
      <c r="B191">
        <f>COUNT(M$4:M$177)</f>
        <v>0</v>
      </c>
      <c r="C191" t="str">
        <f t="shared" si="66"/>
        <v>pendiente</v>
      </c>
    </row>
    <row r="192" spans="1:38" x14ac:dyDescent="0.3">
      <c r="A192" t="s">
        <v>1080</v>
      </c>
      <c r="B192">
        <f>COUNT(N$4:N$177)</f>
        <v>0</v>
      </c>
      <c r="C192" t="str">
        <f t="shared" si="66"/>
        <v>pendiente</v>
      </c>
    </row>
    <row r="193" spans="1:3" x14ac:dyDescent="0.3">
      <c r="A193" t="s">
        <v>1081</v>
      </c>
      <c r="B193">
        <f>COUNT(O$4:O$177)</f>
        <v>0</v>
      </c>
      <c r="C193" t="str">
        <f t="shared" si="66"/>
        <v>pendiente</v>
      </c>
    </row>
    <row r="194" spans="1:3" x14ac:dyDescent="0.3">
      <c r="A194" t="s">
        <v>1085</v>
      </c>
      <c r="B194">
        <f>COUNT(NORMALIZADO!BV3:BV176)</f>
        <v>0</v>
      </c>
      <c r="C194" t="str">
        <f t="shared" si="66"/>
        <v>pendiente</v>
      </c>
    </row>
    <row r="195" spans="1:3" x14ac:dyDescent="0.3">
      <c r="A195" t="s">
        <v>1082</v>
      </c>
      <c r="B195">
        <f>COUNT(NORMALIZADO!BW3:BW176)</f>
        <v>0</v>
      </c>
      <c r="C195" t="str">
        <f t="shared" si="66"/>
        <v>pendiente</v>
      </c>
    </row>
    <row r="196" spans="1:3" x14ac:dyDescent="0.3">
      <c r="A196" t="s">
        <v>1083</v>
      </c>
      <c r="B196">
        <f>COUNT(NORMALIZADO!BX3:BX176)</f>
        <v>0</v>
      </c>
      <c r="C196" t="str">
        <f t="shared" si="66"/>
        <v>pendiente</v>
      </c>
    </row>
    <row r="197" spans="1:3" x14ac:dyDescent="0.3">
      <c r="A197" t="s">
        <v>1084</v>
      </c>
      <c r="B197">
        <f>COUNT(NORMALIZADO!BY3:BY176)</f>
        <v>0</v>
      </c>
      <c r="C197" t="str">
        <f t="shared" si="66"/>
        <v>pendiente</v>
      </c>
    </row>
    <row r="198" spans="1:3" x14ac:dyDescent="0.3">
      <c r="A198" t="s">
        <v>1521</v>
      </c>
      <c r="B198">
        <f>COUNT(AK4:AK177)</f>
        <v>0</v>
      </c>
      <c r="C198" t="str">
        <f>IF(B198=0,"pendiente",IF(B198=174,"completo","parcial"))</f>
        <v>pendiente</v>
      </c>
    </row>
    <row r="199" spans="1:3" x14ac:dyDescent="0.3">
      <c r="A199" t="s">
        <v>1522</v>
      </c>
      <c r="B199">
        <f>COUNT(Z4:Z177)</f>
        <v>0</v>
      </c>
      <c r="C199" t="str">
        <f>IF(B199=0,"pendiente",IF(B199=174,"completo","parcial"))</f>
        <v>pendiente</v>
      </c>
    </row>
    <row r="201" spans="1:3" x14ac:dyDescent="0.3">
      <c r="A201" t="s">
        <v>1091</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934</v>
      </c>
      <c r="B1" s="65"/>
      <c r="C1" s="65"/>
      <c r="D1" s="65"/>
    </row>
    <row r="2" spans="1:4" x14ac:dyDescent="0.3">
      <c r="A2" s="65" t="s">
        <v>935</v>
      </c>
      <c r="B2" s="65"/>
      <c r="C2" s="65"/>
      <c r="D2" s="65"/>
    </row>
    <row r="3" spans="1:4" x14ac:dyDescent="0.3">
      <c r="A3" t="s">
        <v>936</v>
      </c>
      <c r="B3" t="s">
        <v>937</v>
      </c>
    </row>
    <row r="4" spans="1:4" x14ac:dyDescent="0.3">
      <c r="A4" t="s">
        <v>938</v>
      </c>
      <c r="B4" t="s">
        <v>939</v>
      </c>
    </row>
    <row r="5" spans="1:4" x14ac:dyDescent="0.3">
      <c r="A5" t="s">
        <v>940</v>
      </c>
      <c r="B5" t="s">
        <v>941</v>
      </c>
    </row>
    <row r="6" spans="1:4" x14ac:dyDescent="0.3">
      <c r="A6" t="s">
        <v>942</v>
      </c>
      <c r="B6" t="s">
        <v>943</v>
      </c>
    </row>
    <row r="7" spans="1:4" x14ac:dyDescent="0.3">
      <c r="A7" t="s">
        <v>944</v>
      </c>
      <c r="B7" t="s">
        <v>945</v>
      </c>
    </row>
    <row r="8" spans="1:4" x14ac:dyDescent="0.3">
      <c r="A8" t="s">
        <v>946</v>
      </c>
      <c r="B8" t="s">
        <v>947</v>
      </c>
    </row>
    <row r="10" spans="1:4" x14ac:dyDescent="0.3">
      <c r="A10" s="65" t="s">
        <v>948</v>
      </c>
      <c r="B10" s="65"/>
      <c r="C10" s="65"/>
      <c r="D10" s="65"/>
    </row>
    <row r="11" spans="1:4" x14ac:dyDescent="0.3">
      <c r="A11" t="s">
        <v>949</v>
      </c>
      <c r="B11" t="s">
        <v>950</v>
      </c>
      <c r="C11" t="s">
        <v>951</v>
      </c>
      <c r="D11" t="s">
        <v>952</v>
      </c>
    </row>
    <row r="12" spans="1:4" ht="18" customHeight="1" x14ac:dyDescent="0.3">
      <c r="A12" t="s">
        <v>953</v>
      </c>
      <c r="B12" t="s">
        <v>954</v>
      </c>
      <c r="C12" t="s">
        <v>955</v>
      </c>
      <c r="D12">
        <v>20</v>
      </c>
    </row>
    <row r="13" spans="1:4" ht="18" customHeight="1" x14ac:dyDescent="0.3">
      <c r="A13" t="s">
        <v>956</v>
      </c>
      <c r="B13" t="s">
        <v>957</v>
      </c>
      <c r="C13" t="s">
        <v>958</v>
      </c>
      <c r="D13">
        <v>16</v>
      </c>
    </row>
    <row r="14" spans="1:4" ht="18" customHeight="1" x14ac:dyDescent="0.3">
      <c r="A14" t="s">
        <v>959</v>
      </c>
      <c r="B14" t="s">
        <v>960</v>
      </c>
      <c r="C14" t="s">
        <v>961</v>
      </c>
      <c r="D14">
        <v>12</v>
      </c>
    </row>
    <row r="15" spans="1:4" ht="18" customHeight="1" x14ac:dyDescent="0.3">
      <c r="A15" t="s">
        <v>962</v>
      </c>
      <c r="B15" t="s">
        <v>963</v>
      </c>
      <c r="C15" t="s">
        <v>964</v>
      </c>
      <c r="D15">
        <v>8</v>
      </c>
    </row>
    <row r="16" spans="1:4" ht="18" customHeight="1" x14ac:dyDescent="0.3">
      <c r="A16" t="s">
        <v>965</v>
      </c>
      <c r="B16" t="s">
        <v>966</v>
      </c>
      <c r="C16" t="s">
        <v>967</v>
      </c>
      <c r="D16">
        <v>12</v>
      </c>
    </row>
    <row r="17" spans="1:4" ht="18" customHeight="1" x14ac:dyDescent="0.3">
      <c r="A17" t="s">
        <v>968</v>
      </c>
      <c r="B17" t="s">
        <v>969</v>
      </c>
      <c r="C17" t="s">
        <v>970</v>
      </c>
      <c r="D17">
        <v>8</v>
      </c>
    </row>
    <row r="18" spans="1:4" ht="18" customHeight="1" x14ac:dyDescent="0.3">
      <c r="A18" t="s">
        <v>971</v>
      </c>
      <c r="B18" t="s">
        <v>972</v>
      </c>
      <c r="C18" t="s">
        <v>973</v>
      </c>
      <c r="D18">
        <v>4</v>
      </c>
    </row>
    <row r="19" spans="1:4" ht="19.95" customHeight="1" x14ac:dyDescent="0.3">
      <c r="A19" t="s">
        <v>974</v>
      </c>
      <c r="B19" s="65" t="s">
        <v>975</v>
      </c>
      <c r="C19" s="65"/>
      <c r="D19">
        <v>20</v>
      </c>
    </row>
    <row r="20" spans="1:4" x14ac:dyDescent="0.3">
      <c r="A20" t="s">
        <v>976</v>
      </c>
      <c r="D20">
        <f>SUM(D12:D19)</f>
        <v>100</v>
      </c>
    </row>
    <row r="21" spans="1:4" x14ac:dyDescent="0.3">
      <c r="A21" s="65"/>
      <c r="B21" s="65"/>
      <c r="C21" s="65"/>
      <c r="D21" s="65"/>
    </row>
    <row r="22" spans="1:4" x14ac:dyDescent="0.3">
      <c r="A22" t="s">
        <v>977</v>
      </c>
    </row>
    <row r="23" spans="1:4" x14ac:dyDescent="0.3">
      <c r="A23" s="65"/>
      <c r="B23" s="65"/>
      <c r="C23" s="65"/>
      <c r="D23" s="65"/>
    </row>
    <row r="24" spans="1:4" x14ac:dyDescent="0.3">
      <c r="A24" s="77" t="s">
        <v>978</v>
      </c>
      <c r="B24" s="65"/>
      <c r="C24" s="65"/>
      <c r="D24" s="65"/>
    </row>
    <row r="25" spans="1:4" x14ac:dyDescent="0.3">
      <c r="A25" s="52" t="s">
        <v>979</v>
      </c>
    </row>
    <row r="26" spans="1:4" ht="43.2" customHeight="1" x14ac:dyDescent="0.3">
      <c r="A26" s="27" t="s">
        <v>980</v>
      </c>
      <c r="B26" s="27" t="s">
        <v>981</v>
      </c>
      <c r="C26" s="27" t="s">
        <v>982</v>
      </c>
    </row>
    <row r="27" spans="1:4" ht="43.2" customHeight="1" x14ac:dyDescent="0.3">
      <c r="A27" s="28" t="s">
        <v>983</v>
      </c>
      <c r="B27" s="29" t="s">
        <v>984</v>
      </c>
      <c r="C27" s="27" t="s">
        <v>985</v>
      </c>
    </row>
    <row r="28" spans="1:4" ht="28.8" customHeight="1" x14ac:dyDescent="0.3">
      <c r="A28" s="14"/>
      <c r="B28" s="14"/>
      <c r="C28" s="13"/>
    </row>
    <row r="29" spans="1:4" ht="43.2" customHeight="1" x14ac:dyDescent="0.3">
      <c r="A29" s="28" t="s">
        <v>986</v>
      </c>
      <c r="B29" s="29" t="s">
        <v>1527</v>
      </c>
      <c r="C29" s="27" t="s">
        <v>985</v>
      </c>
    </row>
    <row r="30" spans="1:4" ht="28.8" customHeight="1" x14ac:dyDescent="0.3">
      <c r="A30" s="14"/>
      <c r="B30" s="14"/>
      <c r="C30" s="13"/>
    </row>
    <row r="31" spans="1:4" ht="28.8" customHeight="1" x14ac:dyDescent="0.3">
      <c r="A31" s="28" t="s">
        <v>987</v>
      </c>
      <c r="B31" s="29" t="s">
        <v>988</v>
      </c>
      <c r="C31" s="27" t="s">
        <v>985</v>
      </c>
    </row>
    <row r="32" spans="1:4" x14ac:dyDescent="0.3">
      <c r="A32" s="14"/>
      <c r="B32" s="14"/>
      <c r="C32" s="13"/>
    </row>
    <row r="33" spans="1:3" ht="28.8" customHeight="1" x14ac:dyDescent="0.3">
      <c r="A33" s="30" t="s">
        <v>989</v>
      </c>
      <c r="B33" s="31" t="s">
        <v>990</v>
      </c>
      <c r="C33" s="32" t="s">
        <v>991</v>
      </c>
    </row>
    <row r="34" spans="1:3" ht="28.8" customHeight="1" x14ac:dyDescent="0.3">
      <c r="A34" s="33" t="s">
        <v>992</v>
      </c>
      <c r="B34" s="34" t="s">
        <v>993</v>
      </c>
      <c r="C34" s="35" t="s">
        <v>991</v>
      </c>
    </row>
    <row r="35" spans="1:3" ht="28.8" customHeight="1" x14ac:dyDescent="0.3">
      <c r="A35" s="30" t="s">
        <v>994</v>
      </c>
      <c r="B35" s="31" t="s">
        <v>995</v>
      </c>
      <c r="C35" s="32" t="s">
        <v>991</v>
      </c>
    </row>
    <row r="36" spans="1:3" ht="28.8" customHeight="1" x14ac:dyDescent="0.3">
      <c r="A36" s="33" t="s">
        <v>996</v>
      </c>
      <c r="B36" s="34" t="s">
        <v>997</v>
      </c>
      <c r="C36" s="35" t="s">
        <v>991</v>
      </c>
    </row>
    <row r="37" spans="1:3" ht="28.8" customHeight="1" x14ac:dyDescent="0.3">
      <c r="A37" s="30" t="s">
        <v>998</v>
      </c>
      <c r="B37" s="31" t="s">
        <v>999</v>
      </c>
      <c r="C37" s="32" t="s">
        <v>991</v>
      </c>
    </row>
    <row r="38" spans="1:3" ht="28.8" customHeight="1" x14ac:dyDescent="0.3">
      <c r="A38" s="33" t="s">
        <v>1000</v>
      </c>
      <c r="B38" s="34" t="s">
        <v>1001</v>
      </c>
      <c r="C38" s="35" t="s">
        <v>985</v>
      </c>
    </row>
    <row r="39" spans="1:3" ht="43.2" customHeight="1" x14ac:dyDescent="0.3">
      <c r="A39" s="14"/>
      <c r="B39" s="14"/>
      <c r="C39" s="13"/>
    </row>
    <row r="40" spans="1:3" ht="28.8" customHeight="1" x14ac:dyDescent="0.3">
      <c r="A40" s="33" t="s">
        <v>1002</v>
      </c>
      <c r="B40" s="34" t="s">
        <v>1003</v>
      </c>
      <c r="C40" s="35" t="s">
        <v>991</v>
      </c>
    </row>
    <row r="41" spans="1:3" ht="43.2" customHeight="1" x14ac:dyDescent="0.3">
      <c r="A41" s="30" t="s">
        <v>1004</v>
      </c>
      <c r="B41" s="31" t="s">
        <v>1005</v>
      </c>
      <c r="C41" s="32" t="s">
        <v>991</v>
      </c>
    </row>
    <row r="42" spans="1:3" ht="43.2" customHeight="1" x14ac:dyDescent="0.3">
      <c r="A42" s="33" t="s">
        <v>1006</v>
      </c>
      <c r="B42" s="34" t="s">
        <v>1007</v>
      </c>
      <c r="C42" s="35" t="s">
        <v>991</v>
      </c>
    </row>
    <row r="43" spans="1:3" ht="43.2" customHeight="1" x14ac:dyDescent="0.3">
      <c r="A43" s="30" t="s">
        <v>1008</v>
      </c>
      <c r="B43" s="31" t="s">
        <v>1072</v>
      </c>
      <c r="C43" s="32" t="s">
        <v>991</v>
      </c>
    </row>
    <row r="44" spans="1:3" ht="28.8" customHeight="1" x14ac:dyDescent="0.3">
      <c r="A44" s="33" t="s">
        <v>1009</v>
      </c>
      <c r="B44" s="34" t="s">
        <v>1010</v>
      </c>
      <c r="C44" s="35" t="s">
        <v>991</v>
      </c>
    </row>
    <row r="45" spans="1:3" ht="28.8" customHeight="1" x14ac:dyDescent="0.3">
      <c r="A45" s="30" t="s">
        <v>1011</v>
      </c>
      <c r="B45" s="31" t="s">
        <v>1012</v>
      </c>
      <c r="C45" s="32" t="s">
        <v>985</v>
      </c>
    </row>
    <row r="46" spans="1:3" x14ac:dyDescent="0.3">
      <c r="A46" s="14"/>
      <c r="B46" s="14"/>
      <c r="C46" s="13"/>
    </row>
    <row r="47" spans="1:3" ht="28.8" customHeight="1" x14ac:dyDescent="0.3">
      <c r="A47" s="30" t="s">
        <v>1013</v>
      </c>
      <c r="B47" s="31"/>
      <c r="C47" s="32" t="s">
        <v>498</v>
      </c>
    </row>
    <row r="48" spans="1:3" ht="28.8" customHeight="1" x14ac:dyDescent="0.3">
      <c r="A48" s="33" t="s">
        <v>1014</v>
      </c>
      <c r="B48" s="34" t="s">
        <v>1015</v>
      </c>
      <c r="C48" s="35" t="s">
        <v>1016</v>
      </c>
    </row>
    <row r="49" spans="1:4" x14ac:dyDescent="0.3">
      <c r="A49" t="s">
        <v>1017</v>
      </c>
      <c r="B49" t="s">
        <v>1071</v>
      </c>
    </row>
    <row r="50" spans="1:4" x14ac:dyDescent="0.3">
      <c r="A50" t="s">
        <v>1018</v>
      </c>
      <c r="B50" t="s">
        <v>1019</v>
      </c>
    </row>
    <row r="51" spans="1:4" x14ac:dyDescent="0.3">
      <c r="A51" t="s">
        <v>1020</v>
      </c>
      <c r="B51" t="s">
        <v>1021</v>
      </c>
    </row>
    <row r="53" spans="1:4" x14ac:dyDescent="0.3">
      <c r="A53" t="s">
        <v>1087</v>
      </c>
      <c r="B53" t="s">
        <v>1088</v>
      </c>
    </row>
    <row r="54" spans="1:4" x14ac:dyDescent="0.3">
      <c r="A54" s="55" t="s">
        <v>1525</v>
      </c>
    </row>
    <row r="55" spans="1:4" ht="374.4" x14ac:dyDescent="0.3">
      <c r="A55" s="56" t="s">
        <v>1526</v>
      </c>
    </row>
    <row r="56" spans="1:4" ht="16.05" customHeight="1" x14ac:dyDescent="0.3">
      <c r="A56" s="70" t="s">
        <v>1528</v>
      </c>
      <c r="B56" s="70"/>
      <c r="C56" s="70"/>
      <c r="D56" s="70"/>
    </row>
    <row r="57" spans="1:4" ht="46.05" customHeight="1" x14ac:dyDescent="0.3">
      <c r="A57" s="67" t="s">
        <v>1529</v>
      </c>
      <c r="B57" s="67"/>
      <c r="C57" s="67"/>
      <c r="D57" s="67"/>
    </row>
    <row r="58" spans="1:4" ht="16.05" customHeight="1" x14ac:dyDescent="0.3">
      <c r="A58" s="70" t="s">
        <v>1567</v>
      </c>
      <c r="B58" s="70"/>
      <c r="C58" s="70"/>
      <c r="D58" s="70"/>
    </row>
    <row r="59" spans="1:4" ht="46.05" customHeight="1" x14ac:dyDescent="0.3">
      <c r="A59" s="67" t="s">
        <v>1569</v>
      </c>
      <c r="B59" s="67"/>
      <c r="C59" s="67"/>
      <c r="D59" s="67"/>
    </row>
    <row r="61" spans="1:4" ht="16.05" customHeight="1" x14ac:dyDescent="0.3">
      <c r="A61" s="78" t="s">
        <v>1606</v>
      </c>
      <c r="B61" s="66"/>
      <c r="C61" s="66"/>
      <c r="D61" s="66"/>
    </row>
    <row r="62" spans="1:4" ht="78" customHeight="1" x14ac:dyDescent="0.3">
      <c r="A62" s="66" t="s">
        <v>1607</v>
      </c>
      <c r="B62" s="66"/>
      <c r="C62" s="66"/>
      <c r="D62" s="66"/>
    </row>
  </sheetData>
  <mergeCells count="13">
    <mergeCell ref="A61:D61"/>
    <mergeCell ref="A62:D62"/>
    <mergeCell ref="A56:D56"/>
    <mergeCell ref="A57:D57"/>
    <mergeCell ref="A58:D58"/>
    <mergeCell ref="A59:D59"/>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8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5"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5"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1068</v>
      </c>
      <c r="AP2" s="50" t="s">
        <v>61</v>
      </c>
      <c r="AQ2" s="50" t="s">
        <v>1566</v>
      </c>
      <c r="AR2" s="50" t="s">
        <v>1530</v>
      </c>
      <c r="AS2" s="50" t="s">
        <v>1531</v>
      </c>
    </row>
    <row r="3" spans="1:45" ht="16.05" customHeight="1" x14ac:dyDescent="0.3">
      <c r="A3" t="s">
        <v>62</v>
      </c>
      <c r="B3" t="s">
        <v>63</v>
      </c>
      <c r="C3" t="s">
        <v>64</v>
      </c>
      <c r="D3" t="s">
        <v>65</v>
      </c>
      <c r="E3">
        <v>5107246.6199999992</v>
      </c>
      <c r="F3">
        <v>38</v>
      </c>
      <c r="G3" t="s">
        <v>66</v>
      </c>
      <c r="J3" t="s">
        <v>67</v>
      </c>
      <c r="L3">
        <v>2553623.31</v>
      </c>
      <c r="M3">
        <f>IF(E3&gt;0,ROUND(L3/E3*100,1),"")</f>
        <v>50</v>
      </c>
      <c r="N3" t="s">
        <v>68</v>
      </c>
      <c r="O3" t="str">
        <f>IF(AND(H3="",I3=""),"",IF(H3="SI",1,0)*0.6+IF(I3="SI",1,0)*0.4)</f>
        <v/>
      </c>
      <c r="P3" t="s">
        <v>68</v>
      </c>
      <c r="S3" t="str">
        <f t="shared" ref="S3:S34" si="0">IFERROR(ROUND(AP3*100,1),"—")</f>
        <v>—</v>
      </c>
      <c r="T3" t="str">
        <f t="shared" ref="T3:T34" si="1">IF(AQ3&lt;6,"⬜  Parcial · Inst. 2 pendiente",IF(NOT(ISNUMBER(S3)),"—",IF(S3&lt;34,"🔴 Crítico",IF(S3&lt;67,"🟡 Vulnerable","🟢 Preparado"))))</f>
        <v>⬜  Parcial · Inst. 2 pendiente</v>
      </c>
      <c r="U3" s="53">
        <v>1</v>
      </c>
      <c r="V3" t="s">
        <v>69</v>
      </c>
      <c r="W3">
        <f>IF(NORMALIZADO!BV3="",1,NORMALIZADO!BV3)</f>
        <v>1</v>
      </c>
      <c r="X3">
        <f>IF(NORMALIZADO!BW3="",0,NORMALIZADO!BW3)</f>
        <v>0</v>
      </c>
      <c r="Y3">
        <f>IF(NORMALIZADO!BX3="",0,NORMALIZADO!BX3)</f>
        <v>0</v>
      </c>
      <c r="Z3">
        <f>IF(NORMALIZADO!BY3="",0,NORMALIZADO!BY3)</f>
        <v>0</v>
      </c>
      <c r="AO3" t="str">
        <f t="shared" ref="AO3:AO34" si="2">IFERROR(AVERAGE(AA3,AB3,AC3,AD3,AE3,AF3,AG3,AH3,AI3,AJ3,AK3,AL3,AM3,AN3),"N/A")</f>
        <v>N/A</v>
      </c>
      <c r="AP3" t="str">
        <f>IF(COUNT(NORMALIZADO!BV3:BY3)&gt;=3,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v>
      </c>
      <c r="AQ3">
        <f>IF(ISNUMBER(M3),1,0)+IF(ISNUMBER(SCORECARDS!H3),1,0)+IF(ISNUMBER(SCORECARDS!I3),1,0)+IF(ISNUMBER(SCORECARDS!J3),1,0)+IF(ISNUMBER(ISCAM_Score!K4),1,0)+IF(ISNUMBER(O3),1,0)+IF(COUNT(W3:Z3)&gt;0,1,0)</f>
        <v>2</v>
      </c>
    </row>
    <row r="4" spans="1:45" ht="16.05" customHeight="1" x14ac:dyDescent="0.3">
      <c r="A4" t="s">
        <v>70</v>
      </c>
      <c r="B4" t="s">
        <v>71</v>
      </c>
      <c r="C4" t="s">
        <v>72</v>
      </c>
      <c r="D4" t="s">
        <v>73</v>
      </c>
      <c r="G4" t="s">
        <v>74</v>
      </c>
      <c r="J4" t="s">
        <v>67</v>
      </c>
      <c r="M4" t="str">
        <f t="shared" ref="M4:M67" si="3">IF(E4&gt;0,ROUND(L4/E4*100,1),"")</f>
        <v/>
      </c>
      <c r="N4" t="s">
        <v>68</v>
      </c>
      <c r="O4" t="str">
        <f t="shared" ref="O4:O67" si="4">IF(AND(H4="",I4=""),"",IF(H4="SI",1,0)*0.6+IF(I4="SI",1,0)*0.4)</f>
        <v/>
      </c>
      <c r="P4" t="s">
        <v>68</v>
      </c>
      <c r="S4" t="str">
        <f t="shared" si="0"/>
        <v>—</v>
      </c>
      <c r="T4" t="str">
        <f t="shared" si="1"/>
        <v>⬜  Parcial · Inst. 2 pendiente</v>
      </c>
      <c r="U4" s="53">
        <v>1</v>
      </c>
      <c r="V4" t="s">
        <v>69</v>
      </c>
      <c r="W4">
        <f>IF(NORMALIZADO!BV4="",0,NORMALIZADO!BV4)</f>
        <v>0</v>
      </c>
      <c r="X4">
        <f>IF(NORMALIZADO!BW4="",0,NORMALIZADO!BW4)</f>
        <v>0</v>
      </c>
      <c r="Y4">
        <f>IF(NORMALIZADO!BX4="",0,NORMALIZADO!BX4)</f>
        <v>0</v>
      </c>
      <c r="Z4">
        <f>IF(NORMALIZADO!BY4="",0,NORMALIZADO!BY4)</f>
        <v>0</v>
      </c>
      <c r="AO4" t="str">
        <f t="shared" si="2"/>
        <v>N/A</v>
      </c>
      <c r="AP4" t="str">
        <f>IF(COUNT(NORMALIZADO!BV4:BY4)&gt;=3,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1</v>
      </c>
    </row>
    <row r="5" spans="1:45" ht="16.05" customHeight="1" x14ac:dyDescent="0.3">
      <c r="A5" t="s">
        <v>75</v>
      </c>
      <c r="B5" t="s">
        <v>76</v>
      </c>
      <c r="C5" t="s">
        <v>77</v>
      </c>
      <c r="E5">
        <v>9603968.1199999992</v>
      </c>
      <c r="F5">
        <v>41</v>
      </c>
      <c r="G5" t="s">
        <v>66</v>
      </c>
      <c r="J5" t="s">
        <v>67</v>
      </c>
      <c r="L5">
        <v>4801984.0599999996</v>
      </c>
      <c r="M5">
        <f t="shared" si="3"/>
        <v>50</v>
      </c>
      <c r="N5" t="s">
        <v>68</v>
      </c>
      <c r="O5" t="str">
        <f t="shared" si="4"/>
        <v/>
      </c>
      <c r="P5" t="s">
        <v>68</v>
      </c>
      <c r="S5" t="str">
        <f t="shared" si="0"/>
        <v>—</v>
      </c>
      <c r="T5" t="str">
        <f t="shared" si="1"/>
        <v>⬜  Parcial · Inst. 2 pendiente</v>
      </c>
      <c r="U5" s="53">
        <v>1</v>
      </c>
      <c r="V5" t="s">
        <v>69</v>
      </c>
      <c r="W5">
        <f>IF(NORMALIZADO!BV5="",1,NORMALIZADO!BV5)</f>
        <v>1</v>
      </c>
      <c r="X5">
        <f>IF(NORMALIZADO!BW5="",0,NORMALIZADO!BW5)</f>
        <v>0</v>
      </c>
      <c r="Y5">
        <f>IF(NORMALIZADO!BX5="",0,NORMALIZADO!BX5)</f>
        <v>0</v>
      </c>
      <c r="Z5">
        <f>IF(NORMALIZADO!BY5="",0,NORMALIZADO!BY5)</f>
        <v>0</v>
      </c>
      <c r="AO5" t="str">
        <f t="shared" si="2"/>
        <v>N/A</v>
      </c>
      <c r="AP5" t="str">
        <f>IF(COUNT(NORMALIZADO!BV5:BY5)&gt;=3,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v>
      </c>
      <c r="AQ5">
        <f>IF(ISNUMBER(M5),1,0)+IF(ISNUMBER(SCORECARDS!H5),1,0)+IF(ISNUMBER(SCORECARDS!I5),1,0)+IF(ISNUMBER(SCORECARDS!J5),1,0)+IF(ISNUMBER(ISCAM_Score!K6),1,0)+IF(ISNUMBER(O5),1,0)+IF(COUNT(W5:Z5)&gt;0,1,0)</f>
        <v>2</v>
      </c>
    </row>
    <row r="6" spans="1:45" ht="16.05" customHeight="1" x14ac:dyDescent="0.3">
      <c r="A6" t="s">
        <v>78</v>
      </c>
      <c r="B6" t="s">
        <v>79</v>
      </c>
      <c r="C6" t="s">
        <v>80</v>
      </c>
      <c r="G6" t="s">
        <v>74</v>
      </c>
      <c r="H6" t="s">
        <v>66</v>
      </c>
      <c r="J6" t="s">
        <v>67</v>
      </c>
      <c r="M6" t="str">
        <f t="shared" si="3"/>
        <v/>
      </c>
      <c r="N6" t="s">
        <v>68</v>
      </c>
      <c r="O6">
        <f t="shared" si="4"/>
        <v>0.6</v>
      </c>
      <c r="P6" t="s">
        <v>68</v>
      </c>
      <c r="Q6">
        <v>44</v>
      </c>
      <c r="R6">
        <v>44</v>
      </c>
      <c r="S6" t="str">
        <f t="shared" si="0"/>
        <v>—</v>
      </c>
      <c r="T6" t="str">
        <f t="shared" si="1"/>
        <v>⬜  Parcial · Inst. 2 pendiente</v>
      </c>
      <c r="U6" s="53">
        <v>1</v>
      </c>
      <c r="V6" t="s">
        <v>69</v>
      </c>
      <c r="W6">
        <f>IF(NORMALIZADO!BV6="",1,NORMALIZADO!BV6)</f>
        <v>1</v>
      </c>
      <c r="X6">
        <f>IF(NORMALIZADO!BW6="",0,NORMALIZADO!BW6)</f>
        <v>0</v>
      </c>
      <c r="Y6">
        <f>IF(NORMALIZADO!BX6="",0,NORMALIZADO!BX6)</f>
        <v>0</v>
      </c>
      <c r="Z6">
        <f>IF(NORMALIZADO!BY6="",0,NORMALIZADO!BY6)</f>
        <v>0</v>
      </c>
      <c r="AO6" t="str">
        <f t="shared" si="2"/>
        <v>N/A</v>
      </c>
      <c r="AP6" t="str">
        <f>IF(COUNT(NORMALIZADO!BV6:BY6)&gt;=3,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v>
      </c>
      <c r="AQ6">
        <f>IF(ISNUMBER(M6),1,0)+IF(ISNUMBER(SCORECARDS!H6),1,0)+IF(ISNUMBER(SCORECARDS!I6),1,0)+IF(ISNUMBER(SCORECARDS!J6),1,0)+IF(ISNUMBER(ISCAM_Score!K7),1,0)+IF(ISNUMBER(O6),1,0)+IF(COUNT(W6:Z6)&gt;0,1,0)</f>
        <v>2</v>
      </c>
      <c r="AR6" t="s">
        <v>1532</v>
      </c>
      <c r="AS6" t="s">
        <v>1533</v>
      </c>
    </row>
    <row r="7" spans="1:45" ht="16.05" customHeight="1" x14ac:dyDescent="0.3">
      <c r="A7" t="s">
        <v>81</v>
      </c>
      <c r="B7" t="s">
        <v>82</v>
      </c>
      <c r="C7" t="s">
        <v>80</v>
      </c>
      <c r="D7" t="s">
        <v>65</v>
      </c>
      <c r="G7" t="s">
        <v>74</v>
      </c>
      <c r="H7" t="s">
        <v>66</v>
      </c>
      <c r="I7" t="s">
        <v>66</v>
      </c>
      <c r="J7" t="s">
        <v>67</v>
      </c>
      <c r="K7" t="s">
        <v>83</v>
      </c>
      <c r="M7" t="str">
        <f t="shared" si="3"/>
        <v/>
      </c>
      <c r="N7" t="s">
        <v>68</v>
      </c>
      <c r="O7">
        <f t="shared" si="4"/>
        <v>1</v>
      </c>
      <c r="P7" t="s">
        <v>68</v>
      </c>
      <c r="Q7">
        <v>100</v>
      </c>
      <c r="R7">
        <v>218</v>
      </c>
      <c r="S7" t="str">
        <f t="shared" si="0"/>
        <v>—</v>
      </c>
      <c r="T7" t="str">
        <f t="shared" si="1"/>
        <v>⬜  Parcial · Inst. 2 pendiente</v>
      </c>
      <c r="U7" s="53">
        <v>1</v>
      </c>
      <c r="V7" t="s">
        <v>69</v>
      </c>
      <c r="W7">
        <f>IF(NORMALIZADO!BV7="",1,NORMALIZADO!BV7)</f>
        <v>1</v>
      </c>
      <c r="X7">
        <f>IF(NORMALIZADO!BW7="",0,NORMALIZADO!BW7)</f>
        <v>0</v>
      </c>
      <c r="Y7">
        <f>IF(NORMALIZADO!BX7="",0,NORMALIZADO!BX7)</f>
        <v>0</v>
      </c>
      <c r="Z7">
        <f>IF(NORMALIZADO!BY7="",0,NORMALIZADO!BY7)</f>
        <v>0</v>
      </c>
      <c r="AO7" t="str">
        <f t="shared" si="2"/>
        <v>N/A</v>
      </c>
      <c r="AP7" t="str">
        <f>IF(COUNT(NORMALIZADO!BV7:BY7)&gt;=3,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v>
      </c>
      <c r="AQ7">
        <f>IF(ISNUMBER(M7),1,0)+IF(ISNUMBER(SCORECARDS!H7),1,0)+IF(ISNUMBER(SCORECARDS!I7),1,0)+IF(ISNUMBER(SCORECARDS!J7),1,0)+IF(ISNUMBER(ISCAM_Score!K8),1,0)+IF(ISNUMBER(O7),1,0)+IF(COUNT(W7:Z7)&gt;0,1,0)</f>
        <v>2</v>
      </c>
      <c r="AR7" t="s">
        <v>1534</v>
      </c>
    </row>
    <row r="8" spans="1:45" ht="16.05" customHeight="1" x14ac:dyDescent="0.3">
      <c r="A8" t="s">
        <v>84</v>
      </c>
      <c r="B8" t="s">
        <v>85</v>
      </c>
      <c r="C8" t="s">
        <v>80</v>
      </c>
      <c r="D8" t="s">
        <v>65</v>
      </c>
      <c r="E8">
        <v>2477083.5</v>
      </c>
      <c r="F8">
        <v>14</v>
      </c>
      <c r="G8" t="s">
        <v>66</v>
      </c>
      <c r="J8" t="s">
        <v>67</v>
      </c>
      <c r="L8">
        <v>1238541.75</v>
      </c>
      <c r="M8">
        <f t="shared" si="3"/>
        <v>50</v>
      </c>
      <c r="N8" t="s">
        <v>68</v>
      </c>
      <c r="O8" t="str">
        <f t="shared" si="4"/>
        <v/>
      </c>
      <c r="P8" t="s">
        <v>68</v>
      </c>
      <c r="S8" t="str">
        <f t="shared" si="0"/>
        <v>—</v>
      </c>
      <c r="T8" t="str">
        <f t="shared" si="1"/>
        <v>⬜  Parcial · Inst. 2 pendiente</v>
      </c>
      <c r="U8" s="53">
        <v>1</v>
      </c>
      <c r="V8" t="s">
        <v>69</v>
      </c>
      <c r="W8">
        <f>IF(NORMALIZADO!BV8="",1,NORMALIZADO!BV8)</f>
        <v>1</v>
      </c>
      <c r="X8">
        <f>IF(NORMALIZADO!BW8="",0,NORMALIZADO!BW8)</f>
        <v>0</v>
      </c>
      <c r="Y8">
        <f>IF(NORMALIZADO!BX8="",0,NORMALIZADO!BX8)</f>
        <v>0</v>
      </c>
      <c r="Z8">
        <f>IF(NORMALIZADO!BY8="",0,NORMALIZADO!BY8)</f>
        <v>0</v>
      </c>
      <c r="AO8" t="str">
        <f t="shared" si="2"/>
        <v>N/A</v>
      </c>
      <c r="AP8" t="str">
        <f>IF(COUNT(NORMALIZADO!BV8:BY8)&gt;=3,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v>
      </c>
      <c r="AQ8">
        <f>IF(ISNUMBER(M8),1,0)+IF(ISNUMBER(SCORECARDS!H8),1,0)+IF(ISNUMBER(SCORECARDS!I8),1,0)+IF(ISNUMBER(SCORECARDS!J8),1,0)+IF(ISNUMBER(ISCAM_Score!K9),1,0)+IF(ISNUMBER(O8),1,0)+IF(COUNT(W8:Z8)&gt;0,1,0)</f>
        <v>2</v>
      </c>
    </row>
    <row r="9" spans="1:45" ht="16.05" customHeight="1" x14ac:dyDescent="0.3">
      <c r="A9" t="s">
        <v>86</v>
      </c>
      <c r="B9" t="s">
        <v>87</v>
      </c>
      <c r="C9" t="s">
        <v>80</v>
      </c>
      <c r="D9" t="s">
        <v>65</v>
      </c>
      <c r="E9">
        <v>1689820.33</v>
      </c>
      <c r="F9">
        <v>5</v>
      </c>
      <c r="G9" t="s">
        <v>66</v>
      </c>
      <c r="J9" t="s">
        <v>67</v>
      </c>
      <c r="L9">
        <v>0</v>
      </c>
      <c r="M9">
        <f t="shared" si="3"/>
        <v>0</v>
      </c>
      <c r="N9" t="s">
        <v>68</v>
      </c>
      <c r="O9" t="str">
        <f t="shared" si="4"/>
        <v/>
      </c>
      <c r="P9" t="s">
        <v>68</v>
      </c>
      <c r="S9" t="str">
        <f t="shared" si="0"/>
        <v>—</v>
      </c>
      <c r="T9" t="str">
        <f t="shared" si="1"/>
        <v>⬜  Parcial · Inst. 2 pendiente</v>
      </c>
      <c r="U9" s="53">
        <v>1</v>
      </c>
      <c r="V9" t="s">
        <v>69</v>
      </c>
      <c r="W9">
        <f>IF(NORMALIZADO!BV9="",0,NORMALIZADO!BV9)</f>
        <v>0</v>
      </c>
      <c r="X9">
        <f>IF(NORMALIZADO!BW9="",0,NORMALIZADO!BW9)</f>
        <v>0</v>
      </c>
      <c r="Y9">
        <f>IF(NORMALIZADO!BX9="",0,NORMALIZADO!BX9)</f>
        <v>0</v>
      </c>
      <c r="Z9">
        <f>IF(NORMALIZADO!BY9="",0,NORMALIZADO!BY9)</f>
        <v>0</v>
      </c>
      <c r="AO9" t="str">
        <f t="shared" si="2"/>
        <v>N/A</v>
      </c>
      <c r="AP9" t="str">
        <f>IF(COUNT(NORMALIZADO!BV9:BY9)&gt;=3,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v>
      </c>
      <c r="AQ9">
        <f>IF(ISNUMBER(M9),1,0)+IF(ISNUMBER(SCORECARDS!H9),1,0)+IF(ISNUMBER(SCORECARDS!I9),1,0)+IF(ISNUMBER(SCORECARDS!J9),1,0)+IF(ISNUMBER(ISCAM_Score!K10),1,0)+IF(ISNUMBER(O9),1,0)+IF(COUNT(W9:Z9)&gt;0,1,0)</f>
        <v>2</v>
      </c>
    </row>
    <row r="10" spans="1:45" ht="16.05" customHeight="1" x14ac:dyDescent="0.3">
      <c r="A10" t="s">
        <v>88</v>
      </c>
      <c r="B10" t="s">
        <v>89</v>
      </c>
      <c r="C10" t="s">
        <v>80</v>
      </c>
      <c r="D10" t="s">
        <v>65</v>
      </c>
      <c r="G10" t="s">
        <v>74</v>
      </c>
      <c r="H10" t="s">
        <v>66</v>
      </c>
      <c r="I10" t="s">
        <v>66</v>
      </c>
      <c r="J10" t="s">
        <v>67</v>
      </c>
      <c r="K10" t="s">
        <v>83</v>
      </c>
      <c r="M10" t="str">
        <f t="shared" si="3"/>
        <v/>
      </c>
      <c r="N10" t="s">
        <v>68</v>
      </c>
      <c r="O10">
        <f t="shared" si="4"/>
        <v>1</v>
      </c>
      <c r="P10" t="s">
        <v>68</v>
      </c>
      <c r="Q10">
        <v>177</v>
      </c>
      <c r="R10">
        <v>469</v>
      </c>
      <c r="S10" t="str">
        <f t="shared" si="0"/>
        <v>—</v>
      </c>
      <c r="T10" t="str">
        <f t="shared" si="1"/>
        <v>⬜  Parcial · Inst. 2 pendiente</v>
      </c>
      <c r="U10" s="53">
        <v>1</v>
      </c>
      <c r="V10" t="s">
        <v>69</v>
      </c>
      <c r="W10">
        <f>IF(NORMALIZADO!BV10="",1,NORMALIZADO!BV10)</f>
        <v>1</v>
      </c>
      <c r="X10">
        <f>IF(NORMALIZADO!BW10="",0,NORMALIZADO!BW10)</f>
        <v>0</v>
      </c>
      <c r="Y10">
        <f>IF(NORMALIZADO!BX10="",0,NORMALIZADO!BX10)</f>
        <v>0</v>
      </c>
      <c r="Z10">
        <f>IF(NORMALIZADO!BY10="",0,NORMALIZADO!BY10)</f>
        <v>0</v>
      </c>
      <c r="AO10" t="str">
        <f t="shared" si="2"/>
        <v>N/A</v>
      </c>
      <c r="AP10" t="str">
        <f>IF(COUNT(NORMALIZADO!BV10:BY10)&gt;=3,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v>
      </c>
      <c r="AQ10">
        <f>IF(ISNUMBER(M10),1,0)+IF(ISNUMBER(SCORECARDS!H10),1,0)+IF(ISNUMBER(SCORECARDS!I10),1,0)+IF(ISNUMBER(SCORECARDS!J10),1,0)+IF(ISNUMBER(ISCAM_Score!K11),1,0)+IF(ISNUMBER(O10),1,0)+IF(COUNT(W10:Z10)&gt;0,1,0)</f>
        <v>2</v>
      </c>
      <c r="AR10" t="s">
        <v>1535</v>
      </c>
      <c r="AS10" t="s">
        <v>1536</v>
      </c>
    </row>
    <row r="11" spans="1:45" ht="16.05" customHeight="1" x14ac:dyDescent="0.3">
      <c r="A11" t="s">
        <v>90</v>
      </c>
      <c r="B11" t="s">
        <v>91</v>
      </c>
      <c r="C11" t="s">
        <v>80</v>
      </c>
      <c r="D11" t="s">
        <v>65</v>
      </c>
      <c r="E11">
        <v>681394.36</v>
      </c>
      <c r="F11">
        <v>6</v>
      </c>
      <c r="G11" t="s">
        <v>66</v>
      </c>
      <c r="J11" t="s">
        <v>67</v>
      </c>
      <c r="L11">
        <v>0</v>
      </c>
      <c r="M11">
        <f t="shared" si="3"/>
        <v>0</v>
      </c>
      <c r="N11" t="s">
        <v>68</v>
      </c>
      <c r="O11" t="str">
        <f t="shared" si="4"/>
        <v/>
      </c>
      <c r="P11" t="s">
        <v>68</v>
      </c>
      <c r="S11" t="str">
        <f t="shared" si="0"/>
        <v>—</v>
      </c>
      <c r="T11" t="str">
        <f t="shared" si="1"/>
        <v>⬜  Parcial · Inst. 2 pendiente</v>
      </c>
      <c r="U11" s="53">
        <v>1</v>
      </c>
      <c r="V11" t="s">
        <v>69</v>
      </c>
      <c r="W11">
        <f>IF(NORMALIZADO!BV11="",0,NORMALIZADO!BV11)</f>
        <v>0</v>
      </c>
      <c r="X11">
        <f>IF(NORMALIZADO!BW11="",0,NORMALIZADO!BW11)</f>
        <v>0</v>
      </c>
      <c r="Y11">
        <f>IF(NORMALIZADO!BX11="",0,NORMALIZADO!BX11)</f>
        <v>0</v>
      </c>
      <c r="Z11">
        <f>IF(NORMALIZADO!BY11="",0,NORMALIZADO!BY11)</f>
        <v>0</v>
      </c>
      <c r="AO11" t="str">
        <f t="shared" si="2"/>
        <v>N/A</v>
      </c>
      <c r="AP11" t="str">
        <f>IF(COUNT(NORMALIZADO!BV11:BY11)&gt;=3,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v>
      </c>
      <c r="AQ11">
        <f>IF(ISNUMBER(M11),1,0)+IF(ISNUMBER(SCORECARDS!H11),1,0)+IF(ISNUMBER(SCORECARDS!I11),1,0)+IF(ISNUMBER(SCORECARDS!J11),1,0)+IF(ISNUMBER(ISCAM_Score!K12),1,0)+IF(ISNUMBER(O11),1,0)+IF(COUNT(W11:Z11)&gt;0,1,0)</f>
        <v>2</v>
      </c>
    </row>
    <row r="12" spans="1:45" ht="16.05" customHeight="1" x14ac:dyDescent="0.3">
      <c r="A12" t="s">
        <v>92</v>
      </c>
      <c r="B12" t="s">
        <v>93</v>
      </c>
      <c r="C12" t="s">
        <v>80</v>
      </c>
      <c r="D12" t="s">
        <v>65</v>
      </c>
      <c r="E12">
        <v>4445611.5999999978</v>
      </c>
      <c r="F12">
        <v>33</v>
      </c>
      <c r="G12" t="s">
        <v>66</v>
      </c>
      <c r="H12" t="s">
        <v>66</v>
      </c>
      <c r="I12" t="s">
        <v>66</v>
      </c>
      <c r="J12" t="s">
        <v>67</v>
      </c>
      <c r="K12" t="s">
        <v>83</v>
      </c>
      <c r="L12">
        <v>894391.27</v>
      </c>
      <c r="M12">
        <f t="shared" si="3"/>
        <v>20.100000000000001</v>
      </c>
      <c r="N12" t="s">
        <v>68</v>
      </c>
      <c r="O12">
        <f t="shared" si="4"/>
        <v>1</v>
      </c>
      <c r="P12" t="s">
        <v>68</v>
      </c>
      <c r="Q12">
        <v>660</v>
      </c>
      <c r="R12">
        <v>1670</v>
      </c>
      <c r="S12" t="str">
        <f t="shared" si="0"/>
        <v>—</v>
      </c>
      <c r="T12" t="str">
        <f t="shared" si="1"/>
        <v>⬜  Parcial · Inst. 2 pendiente</v>
      </c>
      <c r="U12" s="54">
        <v>0.75</v>
      </c>
      <c r="V12" t="s">
        <v>94</v>
      </c>
      <c r="W12">
        <f>IF(NORMALIZADO!BV12="",1,NORMALIZADO!BV12)</f>
        <v>1</v>
      </c>
      <c r="X12">
        <f>IF(NORMALIZADO!BW12="",0,NORMALIZADO!BW12)</f>
        <v>0</v>
      </c>
      <c r="Y12">
        <f>IF(NORMALIZADO!BX12="",0,NORMALIZADO!BX12)</f>
        <v>0</v>
      </c>
      <c r="Z12">
        <f>IF(NORMALIZADO!BY12="",0,NORMALIZADO!BY12)</f>
        <v>0</v>
      </c>
      <c r="AO12" t="str">
        <f t="shared" si="2"/>
        <v>N/A</v>
      </c>
      <c r="AP12" t="str">
        <f>IF(COUNT(NORMALIZADO!BV12:BY12)&gt;=3,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v>
      </c>
      <c r="AQ12">
        <f>IF(ISNUMBER(M12),1,0)+IF(ISNUMBER(SCORECARDS!H12),1,0)+IF(ISNUMBER(SCORECARDS!I12),1,0)+IF(ISNUMBER(SCORECARDS!J12),1,0)+IF(ISNUMBER(ISCAM_Score!K13),1,0)+IF(ISNUMBER(O12),1,0)+IF(COUNT(W12:Z12)&gt;0,1,0)</f>
        <v>3</v>
      </c>
      <c r="AR12" t="s">
        <v>1537</v>
      </c>
      <c r="AS12" t="s">
        <v>1538</v>
      </c>
    </row>
    <row r="13" spans="1:45" ht="16.05" customHeight="1" x14ac:dyDescent="0.3">
      <c r="A13" t="s">
        <v>95</v>
      </c>
      <c r="B13" t="s">
        <v>96</v>
      </c>
      <c r="C13" t="s">
        <v>80</v>
      </c>
      <c r="D13" t="s">
        <v>65</v>
      </c>
      <c r="G13" t="s">
        <v>74</v>
      </c>
      <c r="H13" t="s">
        <v>66</v>
      </c>
      <c r="I13" t="s">
        <v>74</v>
      </c>
      <c r="J13" t="s">
        <v>67</v>
      </c>
      <c r="K13" t="s">
        <v>83</v>
      </c>
      <c r="M13" t="str">
        <f t="shared" si="3"/>
        <v/>
      </c>
      <c r="N13" t="s">
        <v>68</v>
      </c>
      <c r="O13">
        <f t="shared" si="4"/>
        <v>0.6</v>
      </c>
      <c r="P13" t="s">
        <v>68</v>
      </c>
      <c r="Q13">
        <v>49</v>
      </c>
      <c r="R13">
        <v>136.9</v>
      </c>
      <c r="S13" t="str">
        <f t="shared" si="0"/>
        <v>—</v>
      </c>
      <c r="T13" t="str">
        <f t="shared" si="1"/>
        <v>⬜  Parcial · Inst. 2 pendiente</v>
      </c>
      <c r="U13" s="53">
        <v>1</v>
      </c>
      <c r="V13" t="s">
        <v>69</v>
      </c>
      <c r="W13">
        <f>IF(NORMALIZADO!BV13="",1,NORMALIZADO!BV13)</f>
        <v>1</v>
      </c>
      <c r="X13">
        <f>IF(NORMALIZADO!BW13="",0,NORMALIZADO!BW13)</f>
        <v>0</v>
      </c>
      <c r="Y13">
        <f>IF(NORMALIZADO!BX13="",0,NORMALIZADO!BX13)</f>
        <v>0</v>
      </c>
      <c r="Z13">
        <f>IF(NORMALIZADO!BY13="",0,NORMALIZADO!BY13)</f>
        <v>0</v>
      </c>
      <c r="AO13" t="str">
        <f t="shared" si="2"/>
        <v>N/A</v>
      </c>
      <c r="AP13" t="str">
        <f>IF(COUNT(NORMALIZADO!BV13:BY13)&gt;=3,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v>
      </c>
      <c r="AQ13">
        <f>IF(ISNUMBER(M13),1,0)+IF(ISNUMBER(SCORECARDS!H13),1,0)+IF(ISNUMBER(SCORECARDS!I13),1,0)+IF(ISNUMBER(SCORECARDS!J13),1,0)+IF(ISNUMBER(ISCAM_Score!K14),1,0)+IF(ISNUMBER(O13),1,0)+IF(COUNT(W13:Z13)&gt;0,1,0)</f>
        <v>2</v>
      </c>
      <c r="AR13" t="s">
        <v>1539</v>
      </c>
      <c r="AS13" t="s">
        <v>1540</v>
      </c>
    </row>
    <row r="14" spans="1:45" ht="16.05" customHeight="1" x14ac:dyDescent="0.3">
      <c r="A14" t="s">
        <v>97</v>
      </c>
      <c r="B14" t="s">
        <v>98</v>
      </c>
      <c r="C14" t="s">
        <v>72</v>
      </c>
      <c r="D14" t="s">
        <v>73</v>
      </c>
      <c r="E14">
        <v>4030694.66</v>
      </c>
      <c r="F14">
        <v>14</v>
      </c>
      <c r="G14" t="s">
        <v>66</v>
      </c>
      <c r="J14" t="s">
        <v>67</v>
      </c>
      <c r="L14">
        <v>2015347.33</v>
      </c>
      <c r="M14">
        <f t="shared" si="3"/>
        <v>50</v>
      </c>
      <c r="N14" t="s">
        <v>68</v>
      </c>
      <c r="O14" t="str">
        <f t="shared" si="4"/>
        <v/>
      </c>
      <c r="P14" t="s">
        <v>68</v>
      </c>
      <c r="S14" t="str">
        <f t="shared" si="0"/>
        <v>—</v>
      </c>
      <c r="T14" t="str">
        <f t="shared" si="1"/>
        <v>⬜  Parcial · Inst. 2 pendiente</v>
      </c>
      <c r="U14" s="53">
        <v>1</v>
      </c>
      <c r="V14" t="s">
        <v>69</v>
      </c>
      <c r="W14">
        <f>IF(NORMALIZADO!BV14="",1,NORMALIZADO!BV14)</f>
        <v>1</v>
      </c>
      <c r="X14">
        <f>IF(NORMALIZADO!BW14="",0,NORMALIZADO!BW14)</f>
        <v>0</v>
      </c>
      <c r="Y14">
        <f>IF(NORMALIZADO!BX14="",0,NORMALIZADO!BX14)</f>
        <v>0</v>
      </c>
      <c r="Z14">
        <f>IF(NORMALIZADO!BY14="",0,NORMALIZADO!BY14)</f>
        <v>0</v>
      </c>
      <c r="AO14" t="str">
        <f t="shared" si="2"/>
        <v>N/A</v>
      </c>
      <c r="AP14" t="str">
        <f>IF(COUNT(NORMALIZADO!BV14:BY14)&gt;=3,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v>
      </c>
      <c r="AQ14">
        <f>IF(ISNUMBER(M14),1,0)+IF(ISNUMBER(SCORECARDS!H14),1,0)+IF(ISNUMBER(SCORECARDS!I14),1,0)+IF(ISNUMBER(SCORECARDS!J14),1,0)+IF(ISNUMBER(ISCAM_Score!K15),1,0)+IF(ISNUMBER(O14),1,0)+IF(COUNT(W14:Z14)&gt;0,1,0)</f>
        <v>2</v>
      </c>
    </row>
    <row r="15" spans="1:45" ht="16.05" customHeight="1" x14ac:dyDescent="0.3">
      <c r="A15" t="s">
        <v>99</v>
      </c>
      <c r="B15" t="s">
        <v>100</v>
      </c>
      <c r="C15" t="s">
        <v>64</v>
      </c>
      <c r="D15" t="s">
        <v>65</v>
      </c>
      <c r="G15" t="s">
        <v>74</v>
      </c>
      <c r="J15" t="s">
        <v>67</v>
      </c>
      <c r="M15" t="str">
        <f t="shared" si="3"/>
        <v/>
      </c>
      <c r="N15" t="s">
        <v>68</v>
      </c>
      <c r="O15" t="str">
        <f t="shared" si="4"/>
        <v/>
      </c>
      <c r="P15" t="s">
        <v>68</v>
      </c>
      <c r="S15" t="str">
        <f t="shared" si="0"/>
        <v>—</v>
      </c>
      <c r="T15" t="str">
        <f t="shared" si="1"/>
        <v>⬜  Parcial · Inst. 2 pendiente</v>
      </c>
      <c r="U15" s="53">
        <v>1</v>
      </c>
      <c r="V15" t="s">
        <v>69</v>
      </c>
      <c r="W15">
        <f>IF(NORMALIZADO!BV15="",0,NORMALIZADO!BV15)</f>
        <v>0</v>
      </c>
      <c r="X15">
        <f>IF(NORMALIZADO!BW15="",0,NORMALIZADO!BW15)</f>
        <v>0</v>
      </c>
      <c r="Y15">
        <f>IF(NORMALIZADO!BX15="",0,NORMALIZADO!BX15)</f>
        <v>0</v>
      </c>
      <c r="Z15">
        <f>IF(NORMALIZADO!BY15="",0,NORMALIZADO!BY15)</f>
        <v>0</v>
      </c>
      <c r="AO15" t="str">
        <f t="shared" si="2"/>
        <v>N/A</v>
      </c>
      <c r="AP15" t="str">
        <f>IF(COUNT(NORMALIZADO!BV15:BY15)&gt;=3,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1</v>
      </c>
    </row>
    <row r="16" spans="1:45" ht="16.05" customHeight="1" x14ac:dyDescent="0.3">
      <c r="A16" t="s">
        <v>101</v>
      </c>
      <c r="B16" t="s">
        <v>102</v>
      </c>
      <c r="C16" t="s">
        <v>103</v>
      </c>
      <c r="D16" t="s">
        <v>65</v>
      </c>
      <c r="G16" t="s">
        <v>74</v>
      </c>
      <c r="J16" t="s">
        <v>67</v>
      </c>
      <c r="M16" t="str">
        <f t="shared" si="3"/>
        <v/>
      </c>
      <c r="N16" t="s">
        <v>68</v>
      </c>
      <c r="O16" t="str">
        <f t="shared" si="4"/>
        <v/>
      </c>
      <c r="P16" t="s">
        <v>68</v>
      </c>
      <c r="S16" t="str">
        <f t="shared" si="0"/>
        <v>—</v>
      </c>
      <c r="T16" t="str">
        <f t="shared" si="1"/>
        <v>⬜  Parcial · Inst. 2 pendiente</v>
      </c>
      <c r="U16" s="53">
        <v>1</v>
      </c>
      <c r="V16" t="s">
        <v>69</v>
      </c>
      <c r="W16">
        <f>IF(NORMALIZADO!BV16="",0,NORMALIZADO!BV16)</f>
        <v>0</v>
      </c>
      <c r="X16">
        <f>IF(NORMALIZADO!BW16="",0,NORMALIZADO!BW16)</f>
        <v>0</v>
      </c>
      <c r="Y16">
        <f>IF(NORMALIZADO!BX16="",0,NORMALIZADO!BX16)</f>
        <v>0</v>
      </c>
      <c r="Z16">
        <f>IF(NORMALIZADO!BY16="",0,NORMALIZADO!BY16)</f>
        <v>0</v>
      </c>
      <c r="AO16" t="str">
        <f t="shared" si="2"/>
        <v>N/A</v>
      </c>
      <c r="AP16" t="str">
        <f>IF(COUNT(NORMALIZADO!BV16:BY16)&gt;=3,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1</v>
      </c>
    </row>
    <row r="17" spans="1:45" ht="16.05" customHeight="1" x14ac:dyDescent="0.3">
      <c r="A17" t="s">
        <v>104</v>
      </c>
      <c r="B17" t="s">
        <v>105</v>
      </c>
      <c r="C17" t="s">
        <v>80</v>
      </c>
      <c r="G17" t="s">
        <v>74</v>
      </c>
      <c r="H17" t="s">
        <v>66</v>
      </c>
      <c r="J17" t="s">
        <v>106</v>
      </c>
      <c r="M17" t="str">
        <f t="shared" si="3"/>
        <v/>
      </c>
      <c r="N17" t="s">
        <v>68</v>
      </c>
      <c r="O17">
        <f t="shared" si="4"/>
        <v>0.6</v>
      </c>
      <c r="P17" t="s">
        <v>68</v>
      </c>
      <c r="Q17">
        <v>74</v>
      </c>
      <c r="R17">
        <v>150</v>
      </c>
      <c r="S17" t="str">
        <f t="shared" si="0"/>
        <v>—</v>
      </c>
      <c r="T17" t="str">
        <f t="shared" si="1"/>
        <v>⬜  Parcial · Inst. 2 pendiente</v>
      </c>
      <c r="U17" s="53">
        <v>1</v>
      </c>
      <c r="V17" t="s">
        <v>69</v>
      </c>
      <c r="W17">
        <f>IF(NORMALIZADO!BV17="",1,NORMALIZADO!BV17)</f>
        <v>1</v>
      </c>
      <c r="X17">
        <f>IF(NORMALIZADO!BW17="",0,NORMALIZADO!BW17)</f>
        <v>0</v>
      </c>
      <c r="Y17">
        <f>IF(NORMALIZADO!BX17="",0,NORMALIZADO!BX17)</f>
        <v>0</v>
      </c>
      <c r="Z17">
        <f>IF(NORMALIZADO!BY17="",0,NORMALIZADO!BY17)</f>
        <v>0</v>
      </c>
      <c r="AO17" t="str">
        <f t="shared" si="2"/>
        <v>N/A</v>
      </c>
      <c r="AP17" t="str">
        <f>IF(COUNT(NORMALIZADO!BV17:BY17)&gt;=3,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v>
      </c>
      <c r="AQ17">
        <f>IF(ISNUMBER(M17),1,0)+IF(ISNUMBER(SCORECARDS!H17),1,0)+IF(ISNUMBER(SCORECARDS!I17),1,0)+IF(ISNUMBER(SCORECARDS!J17),1,0)+IF(ISNUMBER(ISCAM_Score!K18),1,0)+IF(ISNUMBER(O17),1,0)+IF(COUNT(W17:Z17)&gt;0,1,0)</f>
        <v>2</v>
      </c>
      <c r="AR17" t="s">
        <v>1532</v>
      </c>
      <c r="AS17" t="s">
        <v>1533</v>
      </c>
    </row>
    <row r="18" spans="1:45" ht="16.05" customHeight="1" x14ac:dyDescent="0.3">
      <c r="A18" t="s">
        <v>107</v>
      </c>
      <c r="B18" t="s">
        <v>108</v>
      </c>
      <c r="C18" t="s">
        <v>109</v>
      </c>
      <c r="D18" t="s">
        <v>73</v>
      </c>
      <c r="G18" t="s">
        <v>74</v>
      </c>
      <c r="J18" t="s">
        <v>67</v>
      </c>
      <c r="M18" t="str">
        <f t="shared" si="3"/>
        <v/>
      </c>
      <c r="N18" t="s">
        <v>68</v>
      </c>
      <c r="O18" t="str">
        <f t="shared" si="4"/>
        <v/>
      </c>
      <c r="P18" t="s">
        <v>68</v>
      </c>
      <c r="S18" t="str">
        <f t="shared" si="0"/>
        <v>—</v>
      </c>
      <c r="T18" t="str">
        <f t="shared" si="1"/>
        <v>⬜  Parcial · Inst. 2 pendiente</v>
      </c>
      <c r="U18" s="53">
        <v>1</v>
      </c>
      <c r="V18" t="s">
        <v>69</v>
      </c>
      <c r="W18">
        <f>IF(NORMALIZADO!BV18="",0,NORMALIZADO!BV18)</f>
        <v>0</v>
      </c>
      <c r="X18">
        <f>IF(NORMALIZADO!BW18="",0,NORMALIZADO!BW18)</f>
        <v>0</v>
      </c>
      <c r="Y18">
        <f>IF(NORMALIZADO!BX18="",0,NORMALIZADO!BX18)</f>
        <v>0</v>
      </c>
      <c r="Z18">
        <f>IF(NORMALIZADO!BY18="",0,NORMALIZADO!BY18)</f>
        <v>0</v>
      </c>
      <c r="AO18" t="str">
        <f t="shared" si="2"/>
        <v>N/A</v>
      </c>
      <c r="AP18" t="str">
        <f>IF(COUNT(NORMALIZADO!BV18:BY18)&gt;=3,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1</v>
      </c>
    </row>
    <row r="19" spans="1:45" ht="16.05" customHeight="1" x14ac:dyDescent="0.3">
      <c r="A19" t="s">
        <v>110</v>
      </c>
      <c r="B19" t="s">
        <v>111</v>
      </c>
      <c r="C19" t="s">
        <v>112</v>
      </c>
      <c r="D19" t="s">
        <v>65</v>
      </c>
      <c r="E19">
        <v>9070756.8800000008</v>
      </c>
      <c r="F19">
        <v>41</v>
      </c>
      <c r="G19" t="s">
        <v>66</v>
      </c>
      <c r="J19" t="s">
        <v>67</v>
      </c>
      <c r="L19">
        <v>4535378.4400000004</v>
      </c>
      <c r="M19">
        <f t="shared" si="3"/>
        <v>50</v>
      </c>
      <c r="N19" t="s">
        <v>68</v>
      </c>
      <c r="O19" t="str">
        <f t="shared" si="4"/>
        <v/>
      </c>
      <c r="P19" t="s">
        <v>68</v>
      </c>
      <c r="S19" t="str">
        <f t="shared" si="0"/>
        <v>—</v>
      </c>
      <c r="T19" t="str">
        <f t="shared" si="1"/>
        <v>⬜  Parcial · Inst. 2 pendiente</v>
      </c>
      <c r="U19" s="53">
        <v>1</v>
      </c>
      <c r="V19" t="s">
        <v>69</v>
      </c>
      <c r="W19">
        <f>IF(NORMALIZADO!BV19="",1,NORMALIZADO!BV19)</f>
        <v>1</v>
      </c>
      <c r="X19">
        <f>IF(NORMALIZADO!BW19="",0,NORMALIZADO!BW19)</f>
        <v>0</v>
      </c>
      <c r="Y19">
        <f>IF(NORMALIZADO!BX19="",0,NORMALIZADO!BX19)</f>
        <v>0</v>
      </c>
      <c r="Z19">
        <f>IF(NORMALIZADO!BY19="",0,NORMALIZADO!BY19)</f>
        <v>0</v>
      </c>
      <c r="AO19" t="str">
        <f t="shared" si="2"/>
        <v>N/A</v>
      </c>
      <c r="AP19" t="str">
        <f>IF(COUNT(NORMALIZADO!BV19:BY19)&gt;=3,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v>
      </c>
      <c r="AQ19">
        <f>IF(ISNUMBER(M19),1,0)+IF(ISNUMBER(SCORECARDS!H19),1,0)+IF(ISNUMBER(SCORECARDS!I19),1,0)+IF(ISNUMBER(SCORECARDS!J19),1,0)+IF(ISNUMBER(ISCAM_Score!K20),1,0)+IF(ISNUMBER(O19),1,0)+IF(COUNT(W19:Z19)&gt;0,1,0)</f>
        <v>2</v>
      </c>
    </row>
    <row r="20" spans="1:45" ht="16.05" customHeight="1" x14ac:dyDescent="0.3">
      <c r="A20" t="s">
        <v>113</v>
      </c>
      <c r="B20" t="s">
        <v>114</v>
      </c>
      <c r="C20" t="s">
        <v>80</v>
      </c>
      <c r="G20" t="s">
        <v>74</v>
      </c>
      <c r="H20" t="s">
        <v>66</v>
      </c>
      <c r="J20" t="s">
        <v>67</v>
      </c>
      <c r="M20" t="str">
        <f t="shared" si="3"/>
        <v/>
      </c>
      <c r="N20" t="s">
        <v>68</v>
      </c>
      <c r="O20">
        <f t="shared" si="4"/>
        <v>0.6</v>
      </c>
      <c r="P20" t="s">
        <v>68</v>
      </c>
      <c r="Q20">
        <v>36</v>
      </c>
      <c r="R20">
        <v>38</v>
      </c>
      <c r="S20" t="str">
        <f t="shared" si="0"/>
        <v>—</v>
      </c>
      <c r="T20" t="str">
        <f t="shared" si="1"/>
        <v>⬜  Parcial · Inst. 2 pendiente</v>
      </c>
      <c r="U20" s="53">
        <v>1</v>
      </c>
      <c r="V20" t="s">
        <v>69</v>
      </c>
      <c r="W20">
        <f>IF(NORMALIZADO!BV20="",1,NORMALIZADO!BV20)</f>
        <v>1</v>
      </c>
      <c r="X20">
        <f>IF(NORMALIZADO!BW20="",0,NORMALIZADO!BW20)</f>
        <v>0</v>
      </c>
      <c r="Y20">
        <f>IF(NORMALIZADO!BX20="",0,NORMALIZADO!BX20)</f>
        <v>0</v>
      </c>
      <c r="Z20">
        <f>IF(NORMALIZADO!BY20="",0,NORMALIZADO!BY20)</f>
        <v>0</v>
      </c>
      <c r="AO20" t="str">
        <f t="shared" si="2"/>
        <v>N/A</v>
      </c>
      <c r="AP20" t="str">
        <f>IF(COUNT(NORMALIZADO!BV20:BY20)&gt;=3,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v>
      </c>
      <c r="AQ20">
        <f>IF(ISNUMBER(M20),1,0)+IF(ISNUMBER(SCORECARDS!H20),1,0)+IF(ISNUMBER(SCORECARDS!I20),1,0)+IF(ISNUMBER(SCORECARDS!J20),1,0)+IF(ISNUMBER(ISCAM_Score!K21),1,0)+IF(ISNUMBER(O20),1,0)+IF(COUNT(W20:Z20)&gt;0,1,0)</f>
        <v>2</v>
      </c>
      <c r="AR20" t="s">
        <v>1532</v>
      </c>
      <c r="AS20" t="s">
        <v>1533</v>
      </c>
    </row>
    <row r="21" spans="1:45" ht="16.05" customHeight="1" x14ac:dyDescent="0.3">
      <c r="A21" t="s">
        <v>115</v>
      </c>
      <c r="B21" t="s">
        <v>116</v>
      </c>
      <c r="C21" t="s">
        <v>109</v>
      </c>
      <c r="D21" t="s">
        <v>73</v>
      </c>
      <c r="G21" t="s">
        <v>74</v>
      </c>
      <c r="J21" t="s">
        <v>106</v>
      </c>
      <c r="M21" t="str">
        <f t="shared" si="3"/>
        <v/>
      </c>
      <c r="N21" t="s">
        <v>68</v>
      </c>
      <c r="O21" t="str">
        <f t="shared" si="4"/>
        <v/>
      </c>
      <c r="P21" t="s">
        <v>68</v>
      </c>
      <c r="S21" t="str">
        <f t="shared" si="0"/>
        <v>—</v>
      </c>
      <c r="T21" t="str">
        <f t="shared" si="1"/>
        <v>⬜  Parcial · Inst. 2 pendiente</v>
      </c>
      <c r="U21" s="53">
        <v>1</v>
      </c>
      <c r="V21" t="s">
        <v>69</v>
      </c>
      <c r="W21">
        <f>IF(NORMALIZADO!BV21="",0,NORMALIZADO!BV21)</f>
        <v>0</v>
      </c>
      <c r="X21">
        <f>IF(NORMALIZADO!BW21="",0,NORMALIZADO!BW21)</f>
        <v>0</v>
      </c>
      <c r="Y21">
        <f>IF(NORMALIZADO!BX21="",0,NORMALIZADO!BX21)</f>
        <v>0</v>
      </c>
      <c r="Z21">
        <f>IF(NORMALIZADO!BY21="",0,NORMALIZADO!BY21)</f>
        <v>0</v>
      </c>
      <c r="AO21" t="str">
        <f t="shared" si="2"/>
        <v>N/A</v>
      </c>
      <c r="AP21" t="str">
        <f>IF(COUNT(NORMALIZADO!BV21:BY21)&gt;=3,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1</v>
      </c>
    </row>
    <row r="22" spans="1:45" ht="16.05" customHeight="1" x14ac:dyDescent="0.3">
      <c r="A22" t="s">
        <v>117</v>
      </c>
      <c r="B22" t="s">
        <v>118</v>
      </c>
      <c r="C22" t="s">
        <v>119</v>
      </c>
      <c r="D22" t="s">
        <v>65</v>
      </c>
      <c r="G22" t="s">
        <v>74</v>
      </c>
      <c r="J22" t="s">
        <v>67</v>
      </c>
      <c r="M22" t="str">
        <f t="shared" si="3"/>
        <v/>
      </c>
      <c r="N22" t="s">
        <v>68</v>
      </c>
      <c r="O22" t="str">
        <f t="shared" si="4"/>
        <v/>
      </c>
      <c r="P22" t="s">
        <v>68</v>
      </c>
      <c r="S22" t="str">
        <f t="shared" si="0"/>
        <v>—</v>
      </c>
      <c r="T22" t="str">
        <f t="shared" si="1"/>
        <v>⬜  Parcial · Inst. 2 pendiente</v>
      </c>
      <c r="U22" s="53">
        <v>1</v>
      </c>
      <c r="V22" t="s">
        <v>69</v>
      </c>
      <c r="W22">
        <f>IF(NORMALIZADO!BV22="",0,NORMALIZADO!BV22)</f>
        <v>0</v>
      </c>
      <c r="X22">
        <f>IF(NORMALIZADO!BW22="",0,NORMALIZADO!BW22)</f>
        <v>0</v>
      </c>
      <c r="Y22">
        <f>IF(NORMALIZADO!BX22="",0,NORMALIZADO!BX22)</f>
        <v>0</v>
      </c>
      <c r="Z22">
        <f>IF(NORMALIZADO!BY22="",0,NORMALIZADO!BY22)</f>
        <v>0</v>
      </c>
      <c r="AO22" t="str">
        <f t="shared" si="2"/>
        <v>N/A</v>
      </c>
      <c r="AP22" t="str">
        <f>IF(COUNT(NORMALIZADO!BV22:BY22)&gt;=3,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1</v>
      </c>
    </row>
    <row r="23" spans="1:45" ht="16.05" customHeight="1" x14ac:dyDescent="0.3">
      <c r="A23" t="s">
        <v>120</v>
      </c>
      <c r="B23" t="s">
        <v>121</v>
      </c>
      <c r="C23" t="s">
        <v>109</v>
      </c>
      <c r="D23" t="s">
        <v>73</v>
      </c>
      <c r="G23" t="s">
        <v>74</v>
      </c>
      <c r="J23" t="s">
        <v>67</v>
      </c>
      <c r="M23" t="str">
        <f t="shared" si="3"/>
        <v/>
      </c>
      <c r="N23" t="s">
        <v>68</v>
      </c>
      <c r="O23" t="str">
        <f t="shared" si="4"/>
        <v/>
      </c>
      <c r="P23" t="s">
        <v>68</v>
      </c>
      <c r="S23" t="str">
        <f t="shared" si="0"/>
        <v>—</v>
      </c>
      <c r="T23" t="str">
        <f t="shared" si="1"/>
        <v>⬜  Parcial · Inst. 2 pendiente</v>
      </c>
      <c r="U23" s="53">
        <v>1</v>
      </c>
      <c r="V23" t="s">
        <v>69</v>
      </c>
      <c r="W23">
        <f>IF(NORMALIZADO!BV23="",0,NORMALIZADO!BV23)</f>
        <v>0</v>
      </c>
      <c r="X23">
        <f>IF(NORMALIZADO!BW23="",0,NORMALIZADO!BW23)</f>
        <v>0</v>
      </c>
      <c r="Y23">
        <f>IF(NORMALIZADO!BX23="",0,NORMALIZADO!BX23)</f>
        <v>0</v>
      </c>
      <c r="Z23">
        <f>IF(NORMALIZADO!BY23="",0,NORMALIZADO!BY23)</f>
        <v>0</v>
      </c>
      <c r="AO23" t="str">
        <f t="shared" si="2"/>
        <v>N/A</v>
      </c>
      <c r="AP23" t="str">
        <f>IF(COUNT(NORMALIZADO!BV23:BY23)&gt;=3,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1</v>
      </c>
    </row>
    <row r="24" spans="1:45" ht="16.05" customHeight="1" x14ac:dyDescent="0.3">
      <c r="A24" t="s">
        <v>122</v>
      </c>
      <c r="B24" t="s">
        <v>123</v>
      </c>
      <c r="C24" t="s">
        <v>109</v>
      </c>
      <c r="D24" t="s">
        <v>73</v>
      </c>
      <c r="G24" t="s">
        <v>74</v>
      </c>
      <c r="J24" t="s">
        <v>124</v>
      </c>
      <c r="M24" t="str">
        <f t="shared" si="3"/>
        <v/>
      </c>
      <c r="N24" t="s">
        <v>68</v>
      </c>
      <c r="O24" t="str">
        <f t="shared" si="4"/>
        <v/>
      </c>
      <c r="P24" t="s">
        <v>68</v>
      </c>
      <c r="S24" t="str">
        <f t="shared" si="0"/>
        <v>—</v>
      </c>
      <c r="T24" t="str">
        <f t="shared" si="1"/>
        <v>⬜  Parcial · Inst. 2 pendiente</v>
      </c>
      <c r="U24" s="53">
        <v>1</v>
      </c>
      <c r="V24" t="s">
        <v>69</v>
      </c>
      <c r="W24">
        <f>IF(NORMALIZADO!BV24="",0,NORMALIZADO!BV24)</f>
        <v>0</v>
      </c>
      <c r="X24">
        <f>IF(NORMALIZADO!BW24="",0,NORMALIZADO!BW24)</f>
        <v>0</v>
      </c>
      <c r="Y24">
        <f>IF(NORMALIZADO!BX24="",0,NORMALIZADO!BX24)</f>
        <v>0</v>
      </c>
      <c r="Z24">
        <f>IF(NORMALIZADO!BY24="",0,NORMALIZADO!BY24)</f>
        <v>0</v>
      </c>
      <c r="AO24" t="str">
        <f t="shared" si="2"/>
        <v>N/A</v>
      </c>
      <c r="AP24" t="str">
        <f>IF(COUNT(NORMALIZADO!BV24:BY24)&gt;=3,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1</v>
      </c>
    </row>
    <row r="25" spans="1:45" ht="16.05" customHeight="1" x14ac:dyDescent="0.3">
      <c r="A25" t="s">
        <v>125</v>
      </c>
      <c r="B25" t="s">
        <v>126</v>
      </c>
      <c r="C25" t="s">
        <v>109</v>
      </c>
      <c r="D25" t="s">
        <v>73</v>
      </c>
      <c r="G25" t="s">
        <v>74</v>
      </c>
      <c r="J25" t="s">
        <v>67</v>
      </c>
      <c r="M25" t="str">
        <f t="shared" si="3"/>
        <v/>
      </c>
      <c r="N25" t="s">
        <v>68</v>
      </c>
      <c r="O25" t="str">
        <f t="shared" si="4"/>
        <v/>
      </c>
      <c r="P25" t="s">
        <v>68</v>
      </c>
      <c r="S25" t="str">
        <f t="shared" si="0"/>
        <v>—</v>
      </c>
      <c r="T25" t="str">
        <f t="shared" si="1"/>
        <v>⬜  Parcial · Inst. 2 pendiente</v>
      </c>
      <c r="U25" s="53">
        <v>1</v>
      </c>
      <c r="V25" t="s">
        <v>69</v>
      </c>
      <c r="W25">
        <f>IF(NORMALIZADO!BV25="",0,NORMALIZADO!BV25)</f>
        <v>0</v>
      </c>
      <c r="X25">
        <f>IF(NORMALIZADO!BW25="",0,NORMALIZADO!BW25)</f>
        <v>0</v>
      </c>
      <c r="Y25">
        <f>IF(NORMALIZADO!BX25="",0,NORMALIZADO!BX25)</f>
        <v>0</v>
      </c>
      <c r="Z25">
        <f>IF(NORMALIZADO!BY25="",0,NORMALIZADO!BY25)</f>
        <v>0</v>
      </c>
      <c r="AO25" t="str">
        <f t="shared" si="2"/>
        <v>N/A</v>
      </c>
      <c r="AP25" t="str">
        <f>IF(COUNT(NORMALIZADO!BV25:BY25)&gt;=3,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1</v>
      </c>
    </row>
    <row r="26" spans="1:45" ht="16.05" customHeight="1" x14ac:dyDescent="0.3">
      <c r="A26" t="s">
        <v>127</v>
      </c>
      <c r="B26" t="s">
        <v>128</v>
      </c>
      <c r="C26" t="s">
        <v>109</v>
      </c>
      <c r="D26" t="s">
        <v>65</v>
      </c>
      <c r="G26" t="s">
        <v>74</v>
      </c>
      <c r="J26" t="s">
        <v>67</v>
      </c>
      <c r="M26" t="str">
        <f t="shared" si="3"/>
        <v/>
      </c>
      <c r="N26" t="s">
        <v>68</v>
      </c>
      <c r="O26" t="str">
        <f t="shared" si="4"/>
        <v/>
      </c>
      <c r="P26" t="s">
        <v>68</v>
      </c>
      <c r="S26" t="str">
        <f t="shared" si="0"/>
        <v>—</v>
      </c>
      <c r="T26" t="str">
        <f t="shared" si="1"/>
        <v>⬜  Parcial · Inst. 2 pendiente</v>
      </c>
      <c r="U26" s="53">
        <v>1</v>
      </c>
      <c r="V26" t="s">
        <v>69</v>
      </c>
      <c r="W26">
        <f>IF(NORMALIZADO!BV26="",0,NORMALIZADO!BV26)</f>
        <v>0</v>
      </c>
      <c r="X26">
        <f>IF(NORMALIZADO!BW26="",0,NORMALIZADO!BW26)</f>
        <v>0</v>
      </c>
      <c r="Y26">
        <f>IF(NORMALIZADO!BX26="",0,NORMALIZADO!BX26)</f>
        <v>0</v>
      </c>
      <c r="Z26">
        <f>IF(NORMALIZADO!BY26="",0,NORMALIZADO!BY26)</f>
        <v>0</v>
      </c>
      <c r="AO26" t="str">
        <f t="shared" si="2"/>
        <v>N/A</v>
      </c>
      <c r="AP26" t="str">
        <f>IF(COUNT(NORMALIZADO!BV26:BY26)&gt;=3,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1</v>
      </c>
    </row>
    <row r="27" spans="1:45" ht="16.05" customHeight="1" x14ac:dyDescent="0.3">
      <c r="A27" t="s">
        <v>129</v>
      </c>
      <c r="B27" t="s">
        <v>130</v>
      </c>
      <c r="C27" t="s">
        <v>109</v>
      </c>
      <c r="D27" t="s">
        <v>73</v>
      </c>
      <c r="G27" t="s">
        <v>74</v>
      </c>
      <c r="J27" t="s">
        <v>67</v>
      </c>
      <c r="M27" t="str">
        <f t="shared" si="3"/>
        <v/>
      </c>
      <c r="N27" t="s">
        <v>68</v>
      </c>
      <c r="O27" t="str">
        <f t="shared" si="4"/>
        <v/>
      </c>
      <c r="P27" t="s">
        <v>68</v>
      </c>
      <c r="S27" t="str">
        <f t="shared" si="0"/>
        <v>—</v>
      </c>
      <c r="T27" t="str">
        <f t="shared" si="1"/>
        <v>⬜  Parcial · Inst. 2 pendiente</v>
      </c>
      <c r="U27" s="53">
        <v>1</v>
      </c>
      <c r="V27" t="s">
        <v>69</v>
      </c>
      <c r="W27">
        <f>IF(NORMALIZADO!BV27="",0,NORMALIZADO!BV27)</f>
        <v>0</v>
      </c>
      <c r="X27">
        <f>IF(NORMALIZADO!BW27="",0,NORMALIZADO!BW27)</f>
        <v>0</v>
      </c>
      <c r="Y27">
        <f>IF(NORMALIZADO!BX27="",0,NORMALIZADO!BX27)</f>
        <v>0</v>
      </c>
      <c r="Z27">
        <f>IF(NORMALIZADO!BY27="",0,NORMALIZADO!BY27)</f>
        <v>0</v>
      </c>
      <c r="AO27" t="str">
        <f t="shared" si="2"/>
        <v>N/A</v>
      </c>
      <c r="AP27" t="str">
        <f>IF(COUNT(NORMALIZADO!BV27:BY27)&gt;=3,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1</v>
      </c>
    </row>
    <row r="28" spans="1:45" ht="16.05" customHeight="1" x14ac:dyDescent="0.3">
      <c r="A28" t="s">
        <v>131</v>
      </c>
      <c r="B28" t="s">
        <v>132</v>
      </c>
      <c r="C28" t="s">
        <v>109</v>
      </c>
      <c r="D28" t="s">
        <v>73</v>
      </c>
      <c r="G28" t="s">
        <v>74</v>
      </c>
      <c r="J28" t="s">
        <v>67</v>
      </c>
      <c r="M28" t="str">
        <f t="shared" si="3"/>
        <v/>
      </c>
      <c r="N28" t="s">
        <v>68</v>
      </c>
      <c r="O28" t="str">
        <f t="shared" si="4"/>
        <v/>
      </c>
      <c r="P28" t="s">
        <v>68</v>
      </c>
      <c r="S28" t="str">
        <f t="shared" si="0"/>
        <v>—</v>
      </c>
      <c r="T28" t="str">
        <f t="shared" si="1"/>
        <v>⬜  Parcial · Inst. 2 pendiente</v>
      </c>
      <c r="U28" s="53">
        <v>1</v>
      </c>
      <c r="V28" t="s">
        <v>69</v>
      </c>
      <c r="W28">
        <f>IF(NORMALIZADO!BV28="",0,NORMALIZADO!BV28)</f>
        <v>0</v>
      </c>
      <c r="X28">
        <f>IF(NORMALIZADO!BW28="",0,NORMALIZADO!BW28)</f>
        <v>0</v>
      </c>
      <c r="Y28">
        <f>IF(NORMALIZADO!BX28="",0,NORMALIZADO!BX28)</f>
        <v>0</v>
      </c>
      <c r="Z28">
        <f>IF(NORMALIZADO!BY28="",0,NORMALIZADO!BY28)</f>
        <v>0</v>
      </c>
      <c r="AO28" t="str">
        <f t="shared" si="2"/>
        <v>N/A</v>
      </c>
      <c r="AP28" t="str">
        <f>IF(COUNT(NORMALIZADO!BV28:BY28)&gt;=3,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1</v>
      </c>
    </row>
    <row r="29" spans="1:45" ht="16.05" customHeight="1" x14ac:dyDescent="0.3">
      <c r="A29" t="s">
        <v>133</v>
      </c>
      <c r="B29" t="s">
        <v>134</v>
      </c>
      <c r="C29" t="s">
        <v>109</v>
      </c>
      <c r="D29" t="s">
        <v>73</v>
      </c>
      <c r="G29" t="s">
        <v>74</v>
      </c>
      <c r="J29" t="s">
        <v>67</v>
      </c>
      <c r="M29" t="str">
        <f t="shared" si="3"/>
        <v/>
      </c>
      <c r="N29" t="s">
        <v>68</v>
      </c>
      <c r="O29" t="str">
        <f t="shared" si="4"/>
        <v/>
      </c>
      <c r="P29" t="s">
        <v>68</v>
      </c>
      <c r="S29" t="str">
        <f t="shared" si="0"/>
        <v>—</v>
      </c>
      <c r="T29" t="str">
        <f t="shared" si="1"/>
        <v>⬜  Parcial · Inst. 2 pendiente</v>
      </c>
      <c r="U29" s="53">
        <v>1</v>
      </c>
      <c r="V29" t="s">
        <v>69</v>
      </c>
      <c r="W29">
        <f>IF(NORMALIZADO!BV29="",0,NORMALIZADO!BV29)</f>
        <v>0</v>
      </c>
      <c r="X29">
        <f>IF(NORMALIZADO!BW29="",0,NORMALIZADO!BW29)</f>
        <v>0</v>
      </c>
      <c r="Y29">
        <f>IF(NORMALIZADO!BX29="",0,NORMALIZADO!BX29)</f>
        <v>0</v>
      </c>
      <c r="Z29">
        <f>IF(NORMALIZADO!BY29="",0,NORMALIZADO!BY29)</f>
        <v>0</v>
      </c>
      <c r="AO29" t="str">
        <f t="shared" si="2"/>
        <v>N/A</v>
      </c>
      <c r="AP29" t="str">
        <f>IF(COUNT(NORMALIZADO!BV29:BY29)&gt;=3,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1</v>
      </c>
    </row>
    <row r="30" spans="1:45" ht="16.05" customHeight="1" x14ac:dyDescent="0.3">
      <c r="A30" t="s">
        <v>135</v>
      </c>
      <c r="B30" t="s">
        <v>136</v>
      </c>
      <c r="C30" t="s">
        <v>64</v>
      </c>
      <c r="D30" t="s">
        <v>73</v>
      </c>
      <c r="G30" t="s">
        <v>74</v>
      </c>
      <c r="J30" t="s">
        <v>67</v>
      </c>
      <c r="M30" t="str">
        <f t="shared" si="3"/>
        <v/>
      </c>
      <c r="N30" t="s">
        <v>68</v>
      </c>
      <c r="O30" t="str">
        <f t="shared" si="4"/>
        <v/>
      </c>
      <c r="P30" t="s">
        <v>68</v>
      </c>
      <c r="S30" t="str">
        <f t="shared" si="0"/>
        <v>—</v>
      </c>
      <c r="T30" t="str">
        <f t="shared" si="1"/>
        <v>⬜  Parcial · Inst. 2 pendiente</v>
      </c>
      <c r="U30" s="53">
        <v>1</v>
      </c>
      <c r="V30" t="s">
        <v>69</v>
      </c>
      <c r="W30">
        <f>IF(NORMALIZADO!BV30="",0,NORMALIZADO!BV30)</f>
        <v>0</v>
      </c>
      <c r="X30">
        <f>IF(NORMALIZADO!BW30="",0,NORMALIZADO!BW30)</f>
        <v>0</v>
      </c>
      <c r="Y30">
        <f>IF(NORMALIZADO!BX30="",0,NORMALIZADO!BX30)</f>
        <v>0</v>
      </c>
      <c r="Z30">
        <f>IF(NORMALIZADO!BY30="",0,NORMALIZADO!BY30)</f>
        <v>0</v>
      </c>
      <c r="AO30" t="str">
        <f t="shared" si="2"/>
        <v>N/A</v>
      </c>
      <c r="AP30" t="str">
        <f>IF(COUNT(NORMALIZADO!BV30:BY30)&gt;=3,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1</v>
      </c>
    </row>
    <row r="31" spans="1:45" ht="16.05" customHeight="1" x14ac:dyDescent="0.3">
      <c r="A31" t="s">
        <v>137</v>
      </c>
      <c r="B31" t="s">
        <v>138</v>
      </c>
      <c r="C31" t="s">
        <v>139</v>
      </c>
      <c r="D31" t="s">
        <v>65</v>
      </c>
      <c r="G31" t="s">
        <v>74</v>
      </c>
      <c r="J31" t="s">
        <v>67</v>
      </c>
      <c r="M31" t="str">
        <f t="shared" si="3"/>
        <v/>
      </c>
      <c r="N31" t="s">
        <v>68</v>
      </c>
      <c r="O31" t="str">
        <f t="shared" si="4"/>
        <v/>
      </c>
      <c r="P31" t="s">
        <v>68</v>
      </c>
      <c r="S31" t="str">
        <f t="shared" si="0"/>
        <v>—</v>
      </c>
      <c r="T31" t="str">
        <f t="shared" si="1"/>
        <v>⬜  Parcial · Inst. 2 pendiente</v>
      </c>
      <c r="U31" s="53">
        <v>1</v>
      </c>
      <c r="V31" t="s">
        <v>69</v>
      </c>
      <c r="W31">
        <f>IF(NORMALIZADO!BV31="",0,NORMALIZADO!BV31)</f>
        <v>0</v>
      </c>
      <c r="X31">
        <f>IF(NORMALIZADO!BW31="",0,NORMALIZADO!BW31)</f>
        <v>0</v>
      </c>
      <c r="Y31">
        <f>IF(NORMALIZADO!BX31="",0,NORMALIZADO!BX31)</f>
        <v>0</v>
      </c>
      <c r="Z31">
        <f>IF(NORMALIZADO!BY31="",0,NORMALIZADO!BY31)</f>
        <v>0</v>
      </c>
      <c r="AO31" t="str">
        <f t="shared" si="2"/>
        <v>N/A</v>
      </c>
      <c r="AP31" t="str">
        <f>IF(COUNT(NORMALIZADO!BV31:BY31)&gt;=3,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1</v>
      </c>
    </row>
    <row r="32" spans="1:45" ht="16.05" customHeight="1" x14ac:dyDescent="0.3">
      <c r="A32" t="s">
        <v>140</v>
      </c>
      <c r="B32" t="s">
        <v>141</v>
      </c>
      <c r="C32" t="s">
        <v>139</v>
      </c>
      <c r="D32" t="s">
        <v>73</v>
      </c>
      <c r="G32" t="s">
        <v>74</v>
      </c>
      <c r="J32" t="s">
        <v>67</v>
      </c>
      <c r="M32" t="str">
        <f t="shared" si="3"/>
        <v/>
      </c>
      <c r="N32" t="s">
        <v>68</v>
      </c>
      <c r="O32" t="str">
        <f t="shared" si="4"/>
        <v/>
      </c>
      <c r="P32" t="s">
        <v>68</v>
      </c>
      <c r="S32" t="str">
        <f t="shared" si="0"/>
        <v>—</v>
      </c>
      <c r="T32" t="str">
        <f t="shared" si="1"/>
        <v>⬜  Parcial · Inst. 2 pendiente</v>
      </c>
      <c r="U32" s="53">
        <v>1</v>
      </c>
      <c r="V32" t="s">
        <v>69</v>
      </c>
      <c r="W32">
        <f>IF(NORMALIZADO!BV32="",0,NORMALIZADO!BV32)</f>
        <v>0</v>
      </c>
      <c r="X32">
        <f>IF(NORMALIZADO!BW32="",0,NORMALIZADO!BW32)</f>
        <v>0</v>
      </c>
      <c r="Y32">
        <f>IF(NORMALIZADO!BX32="",0,NORMALIZADO!BX32)</f>
        <v>0</v>
      </c>
      <c r="Z32">
        <f>IF(NORMALIZADO!BY32="",0,NORMALIZADO!BY32)</f>
        <v>0</v>
      </c>
      <c r="AO32" t="str">
        <f t="shared" si="2"/>
        <v>N/A</v>
      </c>
      <c r="AP32" t="str">
        <f>IF(COUNT(NORMALIZADO!BV32:BY32)&gt;=3,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1</v>
      </c>
    </row>
    <row r="33" spans="1:45" ht="16.05" customHeight="1" x14ac:dyDescent="0.3">
      <c r="A33" t="s">
        <v>142</v>
      </c>
      <c r="B33" t="s">
        <v>143</v>
      </c>
      <c r="C33" t="s">
        <v>139</v>
      </c>
      <c r="D33" t="s">
        <v>65</v>
      </c>
      <c r="G33" t="s">
        <v>74</v>
      </c>
      <c r="J33" t="s">
        <v>67</v>
      </c>
      <c r="M33" t="str">
        <f t="shared" si="3"/>
        <v/>
      </c>
      <c r="N33" t="s">
        <v>68</v>
      </c>
      <c r="O33" t="str">
        <f t="shared" si="4"/>
        <v/>
      </c>
      <c r="P33" t="s">
        <v>68</v>
      </c>
      <c r="S33" t="str">
        <f t="shared" si="0"/>
        <v>—</v>
      </c>
      <c r="T33" t="str">
        <f t="shared" si="1"/>
        <v>⬜  Parcial · Inst. 2 pendiente</v>
      </c>
      <c r="U33" s="53">
        <v>1</v>
      </c>
      <c r="V33" t="s">
        <v>69</v>
      </c>
      <c r="W33">
        <f>IF(NORMALIZADO!BV33="",0,NORMALIZADO!BV33)</f>
        <v>0</v>
      </c>
      <c r="X33">
        <f>IF(NORMALIZADO!BW33="",0,NORMALIZADO!BW33)</f>
        <v>0</v>
      </c>
      <c r="Y33">
        <f>IF(NORMALIZADO!BX33="",0,NORMALIZADO!BX33)</f>
        <v>0</v>
      </c>
      <c r="Z33">
        <f>IF(NORMALIZADO!BY33="",0,NORMALIZADO!BY33)</f>
        <v>0</v>
      </c>
      <c r="AO33" t="str">
        <f t="shared" si="2"/>
        <v>N/A</v>
      </c>
      <c r="AP33" t="str">
        <f>IF(COUNT(NORMALIZADO!BV33:BY33)&gt;=3,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1</v>
      </c>
    </row>
    <row r="34" spans="1:45" ht="16.05" customHeight="1" x14ac:dyDescent="0.3">
      <c r="A34" t="s">
        <v>144</v>
      </c>
      <c r="B34" t="s">
        <v>145</v>
      </c>
      <c r="C34" t="s">
        <v>139</v>
      </c>
      <c r="D34" t="s">
        <v>65</v>
      </c>
      <c r="G34" t="s">
        <v>74</v>
      </c>
      <c r="J34" t="s">
        <v>67</v>
      </c>
      <c r="M34" t="str">
        <f t="shared" si="3"/>
        <v/>
      </c>
      <c r="N34" t="s">
        <v>68</v>
      </c>
      <c r="O34" t="str">
        <f t="shared" si="4"/>
        <v/>
      </c>
      <c r="P34" t="s">
        <v>68</v>
      </c>
      <c r="S34" t="str">
        <f t="shared" si="0"/>
        <v>—</v>
      </c>
      <c r="T34" t="str">
        <f t="shared" si="1"/>
        <v>⬜  Parcial · Inst. 2 pendiente</v>
      </c>
      <c r="U34" s="53">
        <v>1</v>
      </c>
      <c r="V34" t="s">
        <v>69</v>
      </c>
      <c r="W34">
        <f>IF(NORMALIZADO!BV34="",0,NORMALIZADO!BV34)</f>
        <v>0</v>
      </c>
      <c r="X34">
        <f>IF(NORMALIZADO!BW34="",0,NORMALIZADO!BW34)</f>
        <v>0</v>
      </c>
      <c r="Y34">
        <f>IF(NORMALIZADO!BX34="",0,NORMALIZADO!BX34)</f>
        <v>0</v>
      </c>
      <c r="Z34">
        <f>IF(NORMALIZADO!BY34="",0,NORMALIZADO!BY34)</f>
        <v>0</v>
      </c>
      <c r="AO34" t="str">
        <f t="shared" si="2"/>
        <v>N/A</v>
      </c>
      <c r="AP34" t="str">
        <f>IF(COUNT(NORMALIZADO!BV34:BY34)&gt;=3,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1</v>
      </c>
    </row>
    <row r="35" spans="1:45" ht="16.05" customHeight="1" x14ac:dyDescent="0.3">
      <c r="A35" t="s">
        <v>146</v>
      </c>
      <c r="B35" t="s">
        <v>147</v>
      </c>
      <c r="C35" t="s">
        <v>80</v>
      </c>
      <c r="D35" t="s">
        <v>73</v>
      </c>
      <c r="E35">
        <v>1931452.7</v>
      </c>
      <c r="F35">
        <v>7</v>
      </c>
      <c r="G35" t="s">
        <v>66</v>
      </c>
      <c r="J35" t="s">
        <v>67</v>
      </c>
      <c r="L35">
        <v>965726.35</v>
      </c>
      <c r="M35">
        <f t="shared" si="3"/>
        <v>50</v>
      </c>
      <c r="N35" t="s">
        <v>68</v>
      </c>
      <c r="O35" t="str">
        <f t="shared" si="4"/>
        <v/>
      </c>
      <c r="P35" t="s">
        <v>68</v>
      </c>
      <c r="S35" t="str">
        <f t="shared" ref="S35:S66" si="5">IFERROR(ROUND(AP35*100,1),"—")</f>
        <v>—</v>
      </c>
      <c r="T35" t="str">
        <f t="shared" ref="T35:T66" si="6">IF(AQ35&lt;6,"⬜  Parcial · Inst. 2 pendiente",IF(NOT(ISNUMBER(S35)),"—",IF(S35&lt;34,"🔴 Crítico",IF(S35&lt;67,"🟡 Vulnerable","🟢 Preparado"))))</f>
        <v>⬜  Parcial · Inst. 2 pendiente</v>
      </c>
      <c r="U35" s="53">
        <v>1</v>
      </c>
      <c r="V35" t="s">
        <v>69</v>
      </c>
      <c r="W35">
        <f>IF(NORMALIZADO!BV35="",1,NORMALIZADO!BV35)</f>
        <v>1</v>
      </c>
      <c r="X35">
        <f>IF(NORMALIZADO!BW35="",0,NORMALIZADO!BW35)</f>
        <v>0</v>
      </c>
      <c r="Y35">
        <f>IF(NORMALIZADO!BX35="",0,NORMALIZADO!BX35)</f>
        <v>0</v>
      </c>
      <c r="Z35">
        <f>IF(NORMALIZADO!BY35="",0,NORMALIZADO!BY35)</f>
        <v>0</v>
      </c>
      <c r="AO35" t="str">
        <f t="shared" ref="AO35:AO66" si="7">IFERROR(AVERAGE(AA35,AB35,AC35,AD35,AE35,AF35,AG35,AH35,AI35,AJ35,AK35,AL35,AM35,AN35),"N/A")</f>
        <v>N/A</v>
      </c>
      <c r="AP35" t="str">
        <f>IF(COUNT(NORMALIZADO!BV35:BY35)&gt;=3,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v>
      </c>
      <c r="AQ35">
        <f>IF(ISNUMBER(M35),1,0)+IF(ISNUMBER(SCORECARDS!H35),1,0)+IF(ISNUMBER(SCORECARDS!I35),1,0)+IF(ISNUMBER(SCORECARDS!J35),1,0)+IF(ISNUMBER(ISCAM_Score!K36),1,0)+IF(ISNUMBER(O35),1,0)+IF(COUNT(W35:Z35)&gt;0,1,0)</f>
        <v>2</v>
      </c>
    </row>
    <row r="36" spans="1:45" ht="16.05" customHeight="1" x14ac:dyDescent="0.3">
      <c r="A36" t="s">
        <v>148</v>
      </c>
      <c r="B36" t="s">
        <v>149</v>
      </c>
      <c r="C36" t="s">
        <v>150</v>
      </c>
      <c r="D36" t="s">
        <v>65</v>
      </c>
      <c r="E36">
        <v>4538578.93</v>
      </c>
      <c r="F36">
        <v>24</v>
      </c>
      <c r="G36" t="s">
        <v>66</v>
      </c>
      <c r="H36" t="s">
        <v>66</v>
      </c>
      <c r="I36" t="s">
        <v>66</v>
      </c>
      <c r="J36" t="s">
        <v>67</v>
      </c>
      <c r="L36">
        <v>965167.45</v>
      </c>
      <c r="M36">
        <f t="shared" si="3"/>
        <v>21.3</v>
      </c>
      <c r="N36" t="s">
        <v>68</v>
      </c>
      <c r="O36">
        <f t="shared" si="4"/>
        <v>1</v>
      </c>
      <c r="P36" t="s">
        <v>68</v>
      </c>
      <c r="Q36">
        <v>178</v>
      </c>
      <c r="R36">
        <v>437</v>
      </c>
      <c r="S36" t="str">
        <f t="shared" si="5"/>
        <v>—</v>
      </c>
      <c r="T36" t="str">
        <f t="shared" si="6"/>
        <v>⬜  Parcial · Inst. 2 pendiente</v>
      </c>
      <c r="U36" s="53">
        <v>1</v>
      </c>
      <c r="V36" t="s">
        <v>69</v>
      </c>
      <c r="W36">
        <f>IF(NORMALIZADO!BV36="",1,NORMALIZADO!BV36)</f>
        <v>1</v>
      </c>
      <c r="X36">
        <f>IF(NORMALIZADO!BW36="",0,NORMALIZADO!BW36)</f>
        <v>0</v>
      </c>
      <c r="Y36">
        <f>IF(NORMALIZADO!BX36="",0,NORMALIZADO!BX36)</f>
        <v>0</v>
      </c>
      <c r="Z36">
        <f>IF(NORMALIZADO!BY36="",0,NORMALIZADO!BY36)</f>
        <v>0</v>
      </c>
      <c r="AO36" t="str">
        <f t="shared" si="7"/>
        <v>N/A</v>
      </c>
      <c r="AP36" t="str">
        <f>IF(COUNT(NORMALIZADO!BV36:BY36)&gt;=3,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v>
      </c>
      <c r="AQ36">
        <f>IF(ISNUMBER(M36),1,0)+IF(ISNUMBER(SCORECARDS!H36),1,0)+IF(ISNUMBER(SCORECARDS!I36),1,0)+IF(ISNUMBER(SCORECARDS!J36),1,0)+IF(ISNUMBER(ISCAM_Score!K37),1,0)+IF(ISNUMBER(O36),1,0)+IF(COUNT(W36:Z36)&gt;0,1,0)</f>
        <v>3</v>
      </c>
      <c r="AR36" t="s">
        <v>66</v>
      </c>
      <c r="AS36" t="s">
        <v>66</v>
      </c>
    </row>
    <row r="37" spans="1:45" ht="16.05" customHeight="1" x14ac:dyDescent="0.3">
      <c r="A37" t="s">
        <v>151</v>
      </c>
      <c r="B37" t="s">
        <v>152</v>
      </c>
      <c r="C37" t="s">
        <v>112</v>
      </c>
      <c r="D37" t="s">
        <v>65</v>
      </c>
      <c r="G37" t="s">
        <v>74</v>
      </c>
      <c r="J37" t="s">
        <v>67</v>
      </c>
      <c r="M37" t="str">
        <f t="shared" si="3"/>
        <v/>
      </c>
      <c r="N37" t="s">
        <v>68</v>
      </c>
      <c r="O37" t="str">
        <f t="shared" si="4"/>
        <v/>
      </c>
      <c r="P37" t="s">
        <v>68</v>
      </c>
      <c r="S37" t="str">
        <f t="shared" si="5"/>
        <v>—</v>
      </c>
      <c r="T37" t="str">
        <f t="shared" si="6"/>
        <v>⬜  Parcial · Inst. 2 pendiente</v>
      </c>
      <c r="U37" s="53">
        <v>1</v>
      </c>
      <c r="V37" t="s">
        <v>69</v>
      </c>
      <c r="W37">
        <f>IF(NORMALIZADO!BV37="",0,NORMALIZADO!BV37)</f>
        <v>0</v>
      </c>
      <c r="X37">
        <f>IF(NORMALIZADO!BW37="",0,NORMALIZADO!BW37)</f>
        <v>0</v>
      </c>
      <c r="Y37">
        <f>IF(NORMALIZADO!BX37="",0,NORMALIZADO!BX37)</f>
        <v>0</v>
      </c>
      <c r="Z37">
        <f>IF(NORMALIZADO!BY37="",0,NORMALIZADO!BY37)</f>
        <v>0</v>
      </c>
      <c r="AO37" t="str">
        <f t="shared" si="7"/>
        <v>N/A</v>
      </c>
      <c r="AP37" t="str">
        <f>IF(COUNT(NORMALIZADO!BV37:BY37)&gt;=3,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1</v>
      </c>
    </row>
    <row r="38" spans="1:45" ht="16.05" customHeight="1" x14ac:dyDescent="0.3">
      <c r="A38" t="s">
        <v>153</v>
      </c>
      <c r="B38" t="s">
        <v>154</v>
      </c>
      <c r="C38" t="s">
        <v>112</v>
      </c>
      <c r="G38" t="s">
        <v>74</v>
      </c>
      <c r="J38" t="s">
        <v>124</v>
      </c>
      <c r="M38" t="str">
        <f t="shared" si="3"/>
        <v/>
      </c>
      <c r="N38" t="s">
        <v>68</v>
      </c>
      <c r="O38" t="str">
        <f t="shared" si="4"/>
        <v/>
      </c>
      <c r="P38" t="s">
        <v>68</v>
      </c>
      <c r="S38" t="str">
        <f t="shared" si="5"/>
        <v>—</v>
      </c>
      <c r="T38" t="str">
        <f t="shared" si="6"/>
        <v>⬜  Parcial · Inst. 2 pendiente</v>
      </c>
      <c r="U38" s="53">
        <v>1</v>
      </c>
      <c r="V38" t="s">
        <v>69</v>
      </c>
      <c r="W38">
        <f>IF(NORMALIZADO!BV38="",0,NORMALIZADO!BV38)</f>
        <v>0</v>
      </c>
      <c r="X38">
        <f>IF(NORMALIZADO!BW38="",0,NORMALIZADO!BW38)</f>
        <v>0</v>
      </c>
      <c r="Y38">
        <f>IF(NORMALIZADO!BX38="",0,NORMALIZADO!BX38)</f>
        <v>0</v>
      </c>
      <c r="Z38">
        <f>IF(NORMALIZADO!BY38="",0,NORMALIZADO!BY38)</f>
        <v>0</v>
      </c>
      <c r="AO38" t="str">
        <f t="shared" si="7"/>
        <v>N/A</v>
      </c>
      <c r="AP38" t="str">
        <f>IF(COUNT(NORMALIZADO!BV38:BY38)&gt;=3,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1</v>
      </c>
    </row>
    <row r="39" spans="1:45" ht="16.05" customHeight="1" x14ac:dyDescent="0.3">
      <c r="A39" t="s">
        <v>155</v>
      </c>
      <c r="B39" t="s">
        <v>156</v>
      </c>
      <c r="C39" t="s">
        <v>112</v>
      </c>
      <c r="D39" t="s">
        <v>73</v>
      </c>
      <c r="E39">
        <v>1175215.28</v>
      </c>
      <c r="F39">
        <v>7</v>
      </c>
      <c r="G39" t="s">
        <v>66</v>
      </c>
      <c r="J39" t="s">
        <v>67</v>
      </c>
      <c r="L39">
        <v>587607.64</v>
      </c>
      <c r="M39">
        <f t="shared" si="3"/>
        <v>50</v>
      </c>
      <c r="N39" t="s">
        <v>68</v>
      </c>
      <c r="O39" t="str">
        <f t="shared" si="4"/>
        <v/>
      </c>
      <c r="P39" t="s">
        <v>68</v>
      </c>
      <c r="S39" t="str">
        <f t="shared" si="5"/>
        <v>—</v>
      </c>
      <c r="T39" t="str">
        <f t="shared" si="6"/>
        <v>⬜  Parcial · Inst. 2 pendiente</v>
      </c>
      <c r="U39" s="53">
        <v>1</v>
      </c>
      <c r="V39" t="s">
        <v>69</v>
      </c>
      <c r="W39">
        <f>IF(NORMALIZADO!BV39="",1,NORMALIZADO!BV39)</f>
        <v>1</v>
      </c>
      <c r="X39">
        <f>IF(NORMALIZADO!BW39="",0,NORMALIZADO!BW39)</f>
        <v>0</v>
      </c>
      <c r="Y39">
        <f>IF(NORMALIZADO!BX39="",0,NORMALIZADO!BX39)</f>
        <v>0</v>
      </c>
      <c r="Z39">
        <f>IF(NORMALIZADO!BY39="",0,NORMALIZADO!BY39)</f>
        <v>0</v>
      </c>
      <c r="AO39" t="str">
        <f t="shared" si="7"/>
        <v>N/A</v>
      </c>
      <c r="AP39" t="str">
        <f>IF(COUNT(NORMALIZADO!BV39:BY39)&gt;=3,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v>
      </c>
      <c r="AQ39">
        <f>IF(ISNUMBER(M39),1,0)+IF(ISNUMBER(SCORECARDS!H39),1,0)+IF(ISNUMBER(SCORECARDS!I39),1,0)+IF(ISNUMBER(SCORECARDS!J39),1,0)+IF(ISNUMBER(ISCAM_Score!K40),1,0)+IF(ISNUMBER(O39),1,0)+IF(COUNT(W39:Z39)&gt;0,1,0)</f>
        <v>2</v>
      </c>
    </row>
    <row r="40" spans="1:45" ht="16.05" customHeight="1" x14ac:dyDescent="0.3">
      <c r="A40" t="s">
        <v>157</v>
      </c>
      <c r="B40" t="s">
        <v>158</v>
      </c>
      <c r="C40" t="s">
        <v>112</v>
      </c>
      <c r="D40" t="s">
        <v>73</v>
      </c>
      <c r="E40">
        <v>1684429.98</v>
      </c>
      <c r="F40">
        <v>14</v>
      </c>
      <c r="G40" t="s">
        <v>66</v>
      </c>
      <c r="J40" t="s">
        <v>67</v>
      </c>
      <c r="L40">
        <v>842214.99</v>
      </c>
      <c r="M40">
        <f t="shared" si="3"/>
        <v>50</v>
      </c>
      <c r="N40" t="s">
        <v>68</v>
      </c>
      <c r="O40" t="str">
        <f t="shared" si="4"/>
        <v/>
      </c>
      <c r="P40" t="s">
        <v>68</v>
      </c>
      <c r="S40" t="str">
        <f t="shared" si="5"/>
        <v>—</v>
      </c>
      <c r="T40" t="str">
        <f t="shared" si="6"/>
        <v>⬜  Parcial · Inst. 2 pendiente</v>
      </c>
      <c r="U40" s="53">
        <v>1</v>
      </c>
      <c r="V40" t="s">
        <v>69</v>
      </c>
      <c r="W40">
        <f>IF(NORMALIZADO!BV40="",1,NORMALIZADO!BV40)</f>
        <v>1</v>
      </c>
      <c r="X40">
        <f>IF(NORMALIZADO!BW40="",0,NORMALIZADO!BW40)</f>
        <v>0</v>
      </c>
      <c r="Y40">
        <f>IF(NORMALIZADO!BX40="",0,NORMALIZADO!BX40)</f>
        <v>0</v>
      </c>
      <c r="Z40">
        <f>IF(NORMALIZADO!BY40="",0,NORMALIZADO!BY40)</f>
        <v>0</v>
      </c>
      <c r="AO40" t="str">
        <f t="shared" si="7"/>
        <v>N/A</v>
      </c>
      <c r="AP40" t="str">
        <f>IF(COUNT(NORMALIZADO!BV40:BY40)&gt;=3,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v>
      </c>
      <c r="AQ40">
        <f>IF(ISNUMBER(M40),1,0)+IF(ISNUMBER(SCORECARDS!H40),1,0)+IF(ISNUMBER(SCORECARDS!I40),1,0)+IF(ISNUMBER(SCORECARDS!J40),1,0)+IF(ISNUMBER(ISCAM_Score!K41),1,0)+IF(ISNUMBER(O40),1,0)+IF(COUNT(W40:Z40)&gt;0,1,0)</f>
        <v>2</v>
      </c>
    </row>
    <row r="41" spans="1:45" ht="16.05" customHeight="1" x14ac:dyDescent="0.3">
      <c r="A41" t="s">
        <v>159</v>
      </c>
      <c r="B41" t="s">
        <v>160</v>
      </c>
      <c r="C41" t="s">
        <v>112</v>
      </c>
      <c r="D41" t="s">
        <v>65</v>
      </c>
      <c r="G41" t="s">
        <v>74</v>
      </c>
      <c r="J41" t="s">
        <v>124</v>
      </c>
      <c r="M41" t="str">
        <f t="shared" si="3"/>
        <v/>
      </c>
      <c r="N41" t="s">
        <v>68</v>
      </c>
      <c r="O41" t="str">
        <f t="shared" si="4"/>
        <v/>
      </c>
      <c r="P41" t="s">
        <v>68</v>
      </c>
      <c r="S41" t="str">
        <f t="shared" si="5"/>
        <v>—</v>
      </c>
      <c r="T41" t="str">
        <f t="shared" si="6"/>
        <v>⬜  Parcial · Inst. 2 pendiente</v>
      </c>
      <c r="U41" s="53">
        <v>1</v>
      </c>
      <c r="V41" t="s">
        <v>69</v>
      </c>
      <c r="W41">
        <f>IF(NORMALIZADO!BV41="",0,NORMALIZADO!BV41)</f>
        <v>0</v>
      </c>
      <c r="X41">
        <f>IF(NORMALIZADO!BW41="",0,NORMALIZADO!BW41)</f>
        <v>0</v>
      </c>
      <c r="Y41">
        <f>IF(NORMALIZADO!BX41="",0,NORMALIZADO!BX41)</f>
        <v>0</v>
      </c>
      <c r="Z41">
        <f>IF(NORMALIZADO!BY41="",0,NORMALIZADO!BY41)</f>
        <v>0</v>
      </c>
      <c r="AO41" t="str">
        <f t="shared" si="7"/>
        <v>N/A</v>
      </c>
      <c r="AP41" t="str">
        <f>IF(COUNT(NORMALIZADO!BV41:BY41)&gt;=3,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1</v>
      </c>
    </row>
    <row r="42" spans="1:45" ht="16.05" customHeight="1" x14ac:dyDescent="0.3">
      <c r="A42" t="s">
        <v>161</v>
      </c>
      <c r="B42" t="s">
        <v>162</v>
      </c>
      <c r="C42" t="s">
        <v>103</v>
      </c>
      <c r="D42" t="s">
        <v>73</v>
      </c>
      <c r="E42">
        <v>817000</v>
      </c>
      <c r="F42">
        <v>6</v>
      </c>
      <c r="G42" t="s">
        <v>66</v>
      </c>
      <c r="J42" t="s">
        <v>67</v>
      </c>
      <c r="L42">
        <v>408500</v>
      </c>
      <c r="M42">
        <f t="shared" si="3"/>
        <v>50</v>
      </c>
      <c r="N42" t="s">
        <v>68</v>
      </c>
      <c r="O42" t="str">
        <f t="shared" si="4"/>
        <v/>
      </c>
      <c r="P42" t="s">
        <v>68</v>
      </c>
      <c r="S42" t="str">
        <f t="shared" si="5"/>
        <v>—</v>
      </c>
      <c r="T42" t="str">
        <f t="shared" si="6"/>
        <v>⬜  Parcial · Inst. 2 pendiente</v>
      </c>
      <c r="U42" s="53">
        <v>1</v>
      </c>
      <c r="V42" t="s">
        <v>69</v>
      </c>
      <c r="W42">
        <f>IF(NORMALIZADO!BV42="",0,NORMALIZADO!BV42)</f>
        <v>0</v>
      </c>
      <c r="X42">
        <f>IF(NORMALIZADO!BW42="",0,NORMALIZADO!BW42)</f>
        <v>0</v>
      </c>
      <c r="Y42">
        <f>IF(NORMALIZADO!BX42="",0,NORMALIZADO!BX42)</f>
        <v>0</v>
      </c>
      <c r="Z42">
        <f>IF(NORMALIZADO!BY42="",0,NORMALIZADO!BY42)</f>
        <v>0</v>
      </c>
      <c r="AO42" t="str">
        <f t="shared" si="7"/>
        <v>N/A</v>
      </c>
      <c r="AP42" t="str">
        <f>IF(COUNT(NORMALIZADO!BV42:BY42)&gt;=3,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v>
      </c>
      <c r="AQ42">
        <f>IF(ISNUMBER(M42),1,0)+IF(ISNUMBER(SCORECARDS!H42),1,0)+IF(ISNUMBER(SCORECARDS!I42),1,0)+IF(ISNUMBER(SCORECARDS!J42),1,0)+IF(ISNUMBER(ISCAM_Score!K43),1,0)+IF(ISNUMBER(O42),1,0)+IF(COUNT(W42:Z42)&gt;0,1,0)</f>
        <v>2</v>
      </c>
    </row>
    <row r="43" spans="1:45" ht="16.05" customHeight="1" x14ac:dyDescent="0.3">
      <c r="A43" t="s">
        <v>163</v>
      </c>
      <c r="B43" t="s">
        <v>164</v>
      </c>
      <c r="C43" t="s">
        <v>77</v>
      </c>
      <c r="D43" t="s">
        <v>65</v>
      </c>
      <c r="G43" t="s">
        <v>74</v>
      </c>
      <c r="J43" t="s">
        <v>106</v>
      </c>
      <c r="M43" t="str">
        <f t="shared" si="3"/>
        <v/>
      </c>
      <c r="N43" t="s">
        <v>68</v>
      </c>
      <c r="O43" t="str">
        <f t="shared" si="4"/>
        <v/>
      </c>
      <c r="P43" t="s">
        <v>68</v>
      </c>
      <c r="S43" t="str">
        <f t="shared" si="5"/>
        <v>—</v>
      </c>
      <c r="T43" t="str">
        <f t="shared" si="6"/>
        <v>⬜  Parcial · Inst. 2 pendiente</v>
      </c>
      <c r="U43" s="53">
        <v>1</v>
      </c>
      <c r="V43" t="s">
        <v>69</v>
      </c>
      <c r="W43">
        <f>IF(NORMALIZADO!BV43="",0,NORMALIZADO!BV43)</f>
        <v>0</v>
      </c>
      <c r="X43">
        <f>IF(NORMALIZADO!BW43="",0,NORMALIZADO!BW43)</f>
        <v>0</v>
      </c>
      <c r="Y43">
        <f>IF(NORMALIZADO!BX43="",0,NORMALIZADO!BX43)</f>
        <v>0</v>
      </c>
      <c r="Z43">
        <f>IF(NORMALIZADO!BY43="",0,NORMALIZADO!BY43)</f>
        <v>0</v>
      </c>
      <c r="AO43" t="str">
        <f t="shared" si="7"/>
        <v>N/A</v>
      </c>
      <c r="AP43" t="str">
        <f>IF(COUNT(NORMALIZADO!BV43:BY43)&gt;=3,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1</v>
      </c>
    </row>
    <row r="44" spans="1:45" ht="16.05" customHeight="1" x14ac:dyDescent="0.3">
      <c r="A44" t="s">
        <v>165</v>
      </c>
      <c r="B44" t="s">
        <v>166</v>
      </c>
      <c r="C44" t="s">
        <v>77</v>
      </c>
      <c r="D44" t="s">
        <v>65</v>
      </c>
      <c r="G44" t="s">
        <v>74</v>
      </c>
      <c r="J44" t="s">
        <v>67</v>
      </c>
      <c r="M44" t="str">
        <f t="shared" si="3"/>
        <v/>
      </c>
      <c r="N44" t="s">
        <v>68</v>
      </c>
      <c r="O44" t="str">
        <f t="shared" si="4"/>
        <v/>
      </c>
      <c r="P44" t="s">
        <v>68</v>
      </c>
      <c r="S44" t="str">
        <f t="shared" si="5"/>
        <v>—</v>
      </c>
      <c r="T44" t="str">
        <f t="shared" si="6"/>
        <v>⬜  Parcial · Inst. 2 pendiente</v>
      </c>
      <c r="U44" s="53">
        <v>1</v>
      </c>
      <c r="V44" t="s">
        <v>69</v>
      </c>
      <c r="W44">
        <f>IF(NORMALIZADO!BV44="",0,NORMALIZADO!BV44)</f>
        <v>0</v>
      </c>
      <c r="X44">
        <f>IF(NORMALIZADO!BW44="",0,NORMALIZADO!BW44)</f>
        <v>0</v>
      </c>
      <c r="Y44">
        <f>IF(NORMALIZADO!BX44="",0,NORMALIZADO!BX44)</f>
        <v>0</v>
      </c>
      <c r="Z44">
        <f>IF(NORMALIZADO!BY44="",0,NORMALIZADO!BY44)</f>
        <v>0</v>
      </c>
      <c r="AO44" t="str">
        <f t="shared" si="7"/>
        <v>N/A</v>
      </c>
      <c r="AP44" t="str">
        <f>IF(COUNT(NORMALIZADO!BV44:BY44)&gt;=3,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1</v>
      </c>
    </row>
    <row r="45" spans="1:45" ht="16.05" customHeight="1" x14ac:dyDescent="0.3">
      <c r="A45" t="s">
        <v>167</v>
      </c>
      <c r="B45" t="s">
        <v>168</v>
      </c>
      <c r="C45" t="s">
        <v>77</v>
      </c>
      <c r="D45" t="s">
        <v>65</v>
      </c>
      <c r="E45">
        <v>13207692.050000001</v>
      </c>
      <c r="F45">
        <v>41</v>
      </c>
      <c r="G45" t="s">
        <v>66</v>
      </c>
      <c r="J45" t="s">
        <v>67</v>
      </c>
      <c r="L45">
        <v>6603846.0300000003</v>
      </c>
      <c r="M45">
        <f t="shared" si="3"/>
        <v>50</v>
      </c>
      <c r="N45" t="s">
        <v>68</v>
      </c>
      <c r="O45" t="str">
        <f t="shared" si="4"/>
        <v/>
      </c>
      <c r="P45" t="s">
        <v>68</v>
      </c>
      <c r="S45" t="str">
        <f t="shared" si="5"/>
        <v>—</v>
      </c>
      <c r="T45" t="str">
        <f t="shared" si="6"/>
        <v>⬜  Parcial · Inst. 2 pendiente</v>
      </c>
      <c r="U45" s="53">
        <v>1</v>
      </c>
      <c r="V45" t="s">
        <v>69</v>
      </c>
      <c r="W45">
        <f>IF(NORMALIZADO!BV45="",1,NORMALIZADO!BV45)</f>
        <v>1</v>
      </c>
      <c r="X45">
        <f>IF(NORMALIZADO!BW45="",0,NORMALIZADO!BW45)</f>
        <v>0</v>
      </c>
      <c r="Y45">
        <f>IF(NORMALIZADO!BX45="",0,NORMALIZADO!BX45)</f>
        <v>0</v>
      </c>
      <c r="Z45">
        <f>IF(NORMALIZADO!BY45="",0,NORMALIZADO!BY45)</f>
        <v>0</v>
      </c>
      <c r="AO45" t="str">
        <f t="shared" si="7"/>
        <v>N/A</v>
      </c>
      <c r="AP45" t="str">
        <f>IF(COUNT(NORMALIZADO!BV45:BY45)&gt;=3,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v>
      </c>
      <c r="AQ45">
        <f>IF(ISNUMBER(M45),1,0)+IF(ISNUMBER(SCORECARDS!H45),1,0)+IF(ISNUMBER(SCORECARDS!I45),1,0)+IF(ISNUMBER(SCORECARDS!J45),1,0)+IF(ISNUMBER(ISCAM_Score!K46),1,0)+IF(ISNUMBER(O45),1,0)+IF(COUNT(W45:Z45)&gt;0,1,0)</f>
        <v>2</v>
      </c>
    </row>
    <row r="46" spans="1:45" ht="16.05" customHeight="1" x14ac:dyDescent="0.3">
      <c r="A46" t="s">
        <v>169</v>
      </c>
      <c r="B46" t="s">
        <v>170</v>
      </c>
      <c r="C46" t="s">
        <v>77</v>
      </c>
      <c r="G46" t="s">
        <v>74</v>
      </c>
      <c r="J46" t="s">
        <v>106</v>
      </c>
      <c r="M46" t="str">
        <f t="shared" si="3"/>
        <v/>
      </c>
      <c r="N46" t="s">
        <v>68</v>
      </c>
      <c r="O46" t="str">
        <f t="shared" si="4"/>
        <v/>
      </c>
      <c r="P46" t="s">
        <v>68</v>
      </c>
      <c r="S46" t="str">
        <f t="shared" si="5"/>
        <v>—</v>
      </c>
      <c r="T46" t="str">
        <f t="shared" si="6"/>
        <v>⬜  Parcial · Inst. 2 pendiente</v>
      </c>
      <c r="U46" s="53">
        <v>1</v>
      </c>
      <c r="V46" t="s">
        <v>69</v>
      </c>
      <c r="W46">
        <f>IF(NORMALIZADO!BV46="",0,NORMALIZADO!BV46)</f>
        <v>0</v>
      </c>
      <c r="X46">
        <f>IF(NORMALIZADO!BW46="",0,NORMALIZADO!BW46)</f>
        <v>0</v>
      </c>
      <c r="Y46">
        <f>IF(NORMALIZADO!BX46="",0,NORMALIZADO!BX46)</f>
        <v>0</v>
      </c>
      <c r="Z46">
        <f>IF(NORMALIZADO!BY46="",0,NORMALIZADO!BY46)</f>
        <v>0</v>
      </c>
      <c r="AO46" t="str">
        <f t="shared" si="7"/>
        <v>N/A</v>
      </c>
      <c r="AP46" t="str">
        <f>IF(COUNT(NORMALIZADO!BV46:BY46)&gt;=3,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1</v>
      </c>
    </row>
    <row r="47" spans="1:45" ht="16.05" customHeight="1" x14ac:dyDescent="0.3">
      <c r="A47" t="s">
        <v>171</v>
      </c>
      <c r="B47" t="s">
        <v>172</v>
      </c>
      <c r="C47" t="s">
        <v>77</v>
      </c>
      <c r="D47" t="s">
        <v>73</v>
      </c>
      <c r="G47" t="s">
        <v>74</v>
      </c>
      <c r="J47" t="s">
        <v>67</v>
      </c>
      <c r="M47" t="str">
        <f t="shared" si="3"/>
        <v/>
      </c>
      <c r="N47" t="s">
        <v>68</v>
      </c>
      <c r="O47" t="str">
        <f t="shared" si="4"/>
        <v/>
      </c>
      <c r="P47" t="s">
        <v>68</v>
      </c>
      <c r="S47" t="str">
        <f t="shared" si="5"/>
        <v>—</v>
      </c>
      <c r="T47" t="str">
        <f t="shared" si="6"/>
        <v>⬜  Parcial · Inst. 2 pendiente</v>
      </c>
      <c r="U47" s="53">
        <v>1</v>
      </c>
      <c r="V47" t="s">
        <v>69</v>
      </c>
      <c r="W47">
        <f>IF(NORMALIZADO!BV47="",0,NORMALIZADO!BV47)</f>
        <v>0</v>
      </c>
      <c r="X47">
        <f>IF(NORMALIZADO!BW47="",0,NORMALIZADO!BW47)</f>
        <v>0</v>
      </c>
      <c r="Y47">
        <f>IF(NORMALIZADO!BX47="",0,NORMALIZADO!BX47)</f>
        <v>0</v>
      </c>
      <c r="Z47">
        <f>IF(NORMALIZADO!BY47="",0,NORMALIZADO!BY47)</f>
        <v>0</v>
      </c>
      <c r="AO47" t="str">
        <f t="shared" si="7"/>
        <v>N/A</v>
      </c>
      <c r="AP47" t="str">
        <f>IF(COUNT(NORMALIZADO!BV47:BY47)&gt;=3,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1</v>
      </c>
    </row>
    <row r="48" spans="1:45" ht="16.05" customHeight="1" x14ac:dyDescent="0.3">
      <c r="A48" t="s">
        <v>173</v>
      </c>
      <c r="B48" t="s">
        <v>174</v>
      </c>
      <c r="C48" t="s">
        <v>77</v>
      </c>
      <c r="D48" t="s">
        <v>73</v>
      </c>
      <c r="E48">
        <v>30342293.079999998</v>
      </c>
      <c r="F48">
        <v>108</v>
      </c>
      <c r="G48" t="s">
        <v>66</v>
      </c>
      <c r="J48" t="s">
        <v>67</v>
      </c>
      <c r="L48">
        <v>15171146.539999999</v>
      </c>
      <c r="M48">
        <f t="shared" si="3"/>
        <v>50</v>
      </c>
      <c r="N48" t="s">
        <v>68</v>
      </c>
      <c r="O48" t="str">
        <f t="shared" si="4"/>
        <v/>
      </c>
      <c r="P48" t="s">
        <v>68</v>
      </c>
      <c r="S48" t="str">
        <f t="shared" si="5"/>
        <v>—</v>
      </c>
      <c r="T48" t="str">
        <f t="shared" si="6"/>
        <v>⬜  Parcial · Inst. 2 pendiente</v>
      </c>
      <c r="U48" s="53">
        <v>1</v>
      </c>
      <c r="V48" t="s">
        <v>69</v>
      </c>
      <c r="W48">
        <f>IF(NORMALIZADO!BV48="",1,NORMALIZADO!BV48)</f>
        <v>1</v>
      </c>
      <c r="X48">
        <f>IF(NORMALIZADO!BW48="",0,NORMALIZADO!BW48)</f>
        <v>0</v>
      </c>
      <c r="Y48">
        <f>IF(NORMALIZADO!BX48="",0,NORMALIZADO!BX48)</f>
        <v>0</v>
      </c>
      <c r="Z48">
        <f>IF(NORMALIZADO!BY48="",0,NORMALIZADO!BY48)</f>
        <v>0</v>
      </c>
      <c r="AO48" t="str">
        <f t="shared" si="7"/>
        <v>N/A</v>
      </c>
      <c r="AP48" t="str">
        <f>IF(COUNT(NORMALIZADO!BV48:BY48)&gt;=3,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v>
      </c>
      <c r="AQ48">
        <f>IF(ISNUMBER(M48),1,0)+IF(ISNUMBER(SCORECARDS!H48),1,0)+IF(ISNUMBER(SCORECARDS!I48),1,0)+IF(ISNUMBER(SCORECARDS!J48),1,0)+IF(ISNUMBER(ISCAM_Score!K49),1,0)+IF(ISNUMBER(O48),1,0)+IF(COUNT(W48:Z48)&gt;0,1,0)</f>
        <v>2</v>
      </c>
    </row>
    <row r="49" spans="1:43" ht="16.05" customHeight="1" x14ac:dyDescent="0.3">
      <c r="A49" t="s">
        <v>175</v>
      </c>
      <c r="B49" t="s">
        <v>176</v>
      </c>
      <c r="C49" t="s">
        <v>77</v>
      </c>
      <c r="D49" t="s">
        <v>73</v>
      </c>
      <c r="E49">
        <v>2290978.7000000002</v>
      </c>
      <c r="F49">
        <v>10</v>
      </c>
      <c r="G49" t="s">
        <v>66</v>
      </c>
      <c r="J49" t="s">
        <v>67</v>
      </c>
      <c r="L49">
        <v>1145489.3500000001</v>
      </c>
      <c r="M49">
        <f t="shared" si="3"/>
        <v>50</v>
      </c>
      <c r="N49" t="s">
        <v>68</v>
      </c>
      <c r="O49" t="str">
        <f t="shared" si="4"/>
        <v/>
      </c>
      <c r="P49" t="s">
        <v>68</v>
      </c>
      <c r="S49" t="str">
        <f t="shared" si="5"/>
        <v>—</v>
      </c>
      <c r="T49" t="str">
        <f t="shared" si="6"/>
        <v>⬜  Parcial · Inst. 2 pendiente</v>
      </c>
      <c r="U49" s="53">
        <v>1</v>
      </c>
      <c r="V49" t="s">
        <v>69</v>
      </c>
      <c r="W49">
        <f>IF(NORMALIZADO!BV49="",1,NORMALIZADO!BV49)</f>
        <v>1</v>
      </c>
      <c r="X49">
        <f>IF(NORMALIZADO!BW49="",0,NORMALIZADO!BW49)</f>
        <v>0</v>
      </c>
      <c r="Y49">
        <f>IF(NORMALIZADO!BX49="",0,NORMALIZADO!BX49)</f>
        <v>0</v>
      </c>
      <c r="Z49">
        <f>IF(NORMALIZADO!BY49="",0,NORMALIZADO!BY49)</f>
        <v>0</v>
      </c>
      <c r="AO49" t="str">
        <f t="shared" si="7"/>
        <v>N/A</v>
      </c>
      <c r="AP49" t="str">
        <f>IF(COUNT(NORMALIZADO!BV49:BY49)&gt;=3,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v>
      </c>
      <c r="AQ49">
        <f>IF(ISNUMBER(M49),1,0)+IF(ISNUMBER(SCORECARDS!H49),1,0)+IF(ISNUMBER(SCORECARDS!I49),1,0)+IF(ISNUMBER(SCORECARDS!J49),1,0)+IF(ISNUMBER(ISCAM_Score!K50),1,0)+IF(ISNUMBER(O49),1,0)+IF(COUNT(W49:Z49)&gt;0,1,0)</f>
        <v>2</v>
      </c>
    </row>
    <row r="50" spans="1:43" ht="16.05" customHeight="1" x14ac:dyDescent="0.3">
      <c r="A50" t="s">
        <v>177</v>
      </c>
      <c r="B50" t="s">
        <v>178</v>
      </c>
      <c r="C50" t="s">
        <v>179</v>
      </c>
      <c r="D50" t="s">
        <v>65</v>
      </c>
      <c r="G50" t="s">
        <v>74</v>
      </c>
      <c r="J50" t="s">
        <v>124</v>
      </c>
      <c r="M50" t="str">
        <f t="shared" si="3"/>
        <v/>
      </c>
      <c r="N50" t="s">
        <v>68</v>
      </c>
      <c r="O50" t="str">
        <f t="shared" si="4"/>
        <v/>
      </c>
      <c r="P50" t="s">
        <v>68</v>
      </c>
      <c r="S50" t="str">
        <f t="shared" si="5"/>
        <v>—</v>
      </c>
      <c r="T50" t="str">
        <f t="shared" si="6"/>
        <v>⬜  Parcial · Inst. 2 pendiente</v>
      </c>
      <c r="U50" s="53">
        <v>1</v>
      </c>
      <c r="V50" t="s">
        <v>69</v>
      </c>
      <c r="W50">
        <f>IF(NORMALIZADO!BV50="",0,NORMALIZADO!BV50)</f>
        <v>0</v>
      </c>
      <c r="X50">
        <f>IF(NORMALIZADO!BW50="",0,NORMALIZADO!BW50)</f>
        <v>0</v>
      </c>
      <c r="Y50">
        <f>IF(NORMALIZADO!BX50="",0,NORMALIZADO!BX50)</f>
        <v>0</v>
      </c>
      <c r="Z50">
        <f>IF(NORMALIZADO!BY50="",0,NORMALIZADO!BY50)</f>
        <v>0</v>
      </c>
      <c r="AO50" t="str">
        <f t="shared" si="7"/>
        <v>N/A</v>
      </c>
      <c r="AP50" t="str">
        <f>IF(COUNT(NORMALIZADO!BV50:BY50)&gt;=3,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1</v>
      </c>
    </row>
    <row r="51" spans="1:43" ht="16.05" customHeight="1" x14ac:dyDescent="0.3">
      <c r="A51" t="s">
        <v>180</v>
      </c>
      <c r="B51" t="s">
        <v>181</v>
      </c>
      <c r="C51" t="s">
        <v>150</v>
      </c>
      <c r="D51" t="s">
        <v>73</v>
      </c>
      <c r="G51" t="s">
        <v>74</v>
      </c>
      <c r="J51" t="s">
        <v>67</v>
      </c>
      <c r="M51" t="str">
        <f t="shared" si="3"/>
        <v/>
      </c>
      <c r="N51" t="s">
        <v>68</v>
      </c>
      <c r="O51" t="str">
        <f t="shared" si="4"/>
        <v/>
      </c>
      <c r="P51" t="s">
        <v>68</v>
      </c>
      <c r="S51" t="str">
        <f t="shared" si="5"/>
        <v>—</v>
      </c>
      <c r="T51" t="str">
        <f t="shared" si="6"/>
        <v>⬜  Parcial · Inst. 2 pendiente</v>
      </c>
      <c r="U51" s="53">
        <v>1</v>
      </c>
      <c r="V51" t="s">
        <v>69</v>
      </c>
      <c r="W51">
        <f>IF(NORMALIZADO!BV51="",0,NORMALIZADO!BV51)</f>
        <v>0</v>
      </c>
      <c r="X51">
        <f>IF(NORMALIZADO!BW51="",0,NORMALIZADO!BW51)</f>
        <v>0</v>
      </c>
      <c r="Y51">
        <f>IF(NORMALIZADO!BX51="",0,NORMALIZADO!BX51)</f>
        <v>0</v>
      </c>
      <c r="Z51">
        <f>IF(NORMALIZADO!BY51="",0,NORMALIZADO!BY51)</f>
        <v>0</v>
      </c>
      <c r="AO51" t="str">
        <f t="shared" si="7"/>
        <v>N/A</v>
      </c>
      <c r="AP51" t="str">
        <f>IF(COUNT(NORMALIZADO!BV51:BY51)&gt;=3,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1</v>
      </c>
    </row>
    <row r="52" spans="1:43" ht="16.05" customHeight="1" x14ac:dyDescent="0.3">
      <c r="A52" t="s">
        <v>182</v>
      </c>
      <c r="B52" t="s">
        <v>183</v>
      </c>
      <c r="C52" t="s">
        <v>80</v>
      </c>
      <c r="D52" t="s">
        <v>73</v>
      </c>
      <c r="G52" t="s">
        <v>74</v>
      </c>
      <c r="J52" t="s">
        <v>67</v>
      </c>
      <c r="M52" t="str">
        <f t="shared" si="3"/>
        <v/>
      </c>
      <c r="N52" t="s">
        <v>68</v>
      </c>
      <c r="O52" t="str">
        <f t="shared" si="4"/>
        <v/>
      </c>
      <c r="P52" t="s">
        <v>68</v>
      </c>
      <c r="S52" t="str">
        <f t="shared" si="5"/>
        <v>—</v>
      </c>
      <c r="T52" t="str">
        <f t="shared" si="6"/>
        <v>⬜  Parcial · Inst. 2 pendiente</v>
      </c>
      <c r="U52" s="53">
        <v>1</v>
      </c>
      <c r="V52" t="s">
        <v>69</v>
      </c>
      <c r="W52">
        <f>IF(NORMALIZADO!BV52="",0,NORMALIZADO!BV52)</f>
        <v>0</v>
      </c>
      <c r="X52">
        <f>IF(NORMALIZADO!BW52="",0,NORMALIZADO!BW52)</f>
        <v>0</v>
      </c>
      <c r="Y52">
        <f>IF(NORMALIZADO!BX52="",0,NORMALIZADO!BX52)</f>
        <v>0</v>
      </c>
      <c r="Z52">
        <f>IF(NORMALIZADO!BY52="",0,NORMALIZADO!BY52)</f>
        <v>0</v>
      </c>
      <c r="AO52" t="str">
        <f t="shared" si="7"/>
        <v>N/A</v>
      </c>
      <c r="AP52" t="str">
        <f>IF(COUNT(NORMALIZADO!BV52:BY52)&gt;=3,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1</v>
      </c>
    </row>
    <row r="53" spans="1:43" ht="16.05" customHeight="1" x14ac:dyDescent="0.3">
      <c r="A53" t="s">
        <v>184</v>
      </c>
      <c r="B53" t="s">
        <v>185</v>
      </c>
      <c r="C53" t="s">
        <v>139</v>
      </c>
      <c r="D53" t="s">
        <v>73</v>
      </c>
      <c r="G53" t="s">
        <v>74</v>
      </c>
      <c r="J53" t="s">
        <v>67</v>
      </c>
      <c r="M53" t="str">
        <f t="shared" si="3"/>
        <v/>
      </c>
      <c r="N53" t="s">
        <v>68</v>
      </c>
      <c r="O53" t="str">
        <f t="shared" si="4"/>
        <v/>
      </c>
      <c r="P53" t="s">
        <v>68</v>
      </c>
      <c r="S53" t="str">
        <f t="shared" si="5"/>
        <v>—</v>
      </c>
      <c r="T53" t="str">
        <f t="shared" si="6"/>
        <v>⬜  Parcial · Inst. 2 pendiente</v>
      </c>
      <c r="U53" s="53">
        <v>1</v>
      </c>
      <c r="V53" t="s">
        <v>69</v>
      </c>
      <c r="W53">
        <f>IF(NORMALIZADO!BV53="",0,NORMALIZADO!BV53)</f>
        <v>0</v>
      </c>
      <c r="X53">
        <f>IF(NORMALIZADO!BW53="",0,NORMALIZADO!BW53)</f>
        <v>0</v>
      </c>
      <c r="Y53">
        <f>IF(NORMALIZADO!BX53="",0,NORMALIZADO!BX53)</f>
        <v>0</v>
      </c>
      <c r="Z53">
        <f>IF(NORMALIZADO!BY53="",0,NORMALIZADO!BY53)</f>
        <v>0</v>
      </c>
      <c r="AO53" t="str">
        <f t="shared" si="7"/>
        <v>N/A</v>
      </c>
      <c r="AP53" t="str">
        <f>IF(COUNT(NORMALIZADO!BV53:BY53)&gt;=3,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1</v>
      </c>
    </row>
    <row r="54" spans="1:43" ht="16.05" customHeight="1" x14ac:dyDescent="0.3">
      <c r="A54" t="s">
        <v>186</v>
      </c>
      <c r="B54" t="s">
        <v>187</v>
      </c>
      <c r="C54" t="s">
        <v>139</v>
      </c>
      <c r="D54" t="s">
        <v>73</v>
      </c>
      <c r="G54" t="s">
        <v>74</v>
      </c>
      <c r="J54" t="s">
        <v>106</v>
      </c>
      <c r="M54" t="str">
        <f t="shared" si="3"/>
        <v/>
      </c>
      <c r="N54" t="s">
        <v>68</v>
      </c>
      <c r="O54" t="str">
        <f t="shared" si="4"/>
        <v/>
      </c>
      <c r="P54" t="s">
        <v>68</v>
      </c>
      <c r="S54" t="str">
        <f t="shared" si="5"/>
        <v>—</v>
      </c>
      <c r="T54" t="str">
        <f t="shared" si="6"/>
        <v>⬜  Parcial · Inst. 2 pendiente</v>
      </c>
      <c r="U54" s="53">
        <v>1</v>
      </c>
      <c r="V54" t="s">
        <v>69</v>
      </c>
      <c r="W54">
        <f>IF(NORMALIZADO!BV54="",0,NORMALIZADO!BV54)</f>
        <v>0</v>
      </c>
      <c r="X54">
        <f>IF(NORMALIZADO!BW54="",0,NORMALIZADO!BW54)</f>
        <v>0</v>
      </c>
      <c r="Y54">
        <f>IF(NORMALIZADO!BX54="",0,NORMALIZADO!BX54)</f>
        <v>0</v>
      </c>
      <c r="Z54">
        <f>IF(NORMALIZADO!BY54="",0,NORMALIZADO!BY54)</f>
        <v>0</v>
      </c>
      <c r="AO54" t="str">
        <f t="shared" si="7"/>
        <v>N/A</v>
      </c>
      <c r="AP54" t="str">
        <f>IF(COUNT(NORMALIZADO!BV54:BY54)&gt;=3,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1</v>
      </c>
    </row>
    <row r="55" spans="1:43" ht="16.05" customHeight="1" x14ac:dyDescent="0.3">
      <c r="A55" t="s">
        <v>188</v>
      </c>
      <c r="B55" t="s">
        <v>189</v>
      </c>
      <c r="C55" t="s">
        <v>139</v>
      </c>
      <c r="D55" t="s">
        <v>73</v>
      </c>
      <c r="G55" t="s">
        <v>74</v>
      </c>
      <c r="J55" t="s">
        <v>67</v>
      </c>
      <c r="M55" t="str">
        <f t="shared" si="3"/>
        <v/>
      </c>
      <c r="N55" t="s">
        <v>68</v>
      </c>
      <c r="O55" t="str">
        <f t="shared" si="4"/>
        <v/>
      </c>
      <c r="P55" t="s">
        <v>68</v>
      </c>
      <c r="S55" t="str">
        <f t="shared" si="5"/>
        <v>—</v>
      </c>
      <c r="T55" t="str">
        <f t="shared" si="6"/>
        <v>⬜  Parcial · Inst. 2 pendiente</v>
      </c>
      <c r="U55" s="53">
        <v>1</v>
      </c>
      <c r="V55" t="s">
        <v>69</v>
      </c>
      <c r="W55">
        <f>IF(NORMALIZADO!BV55="",0,NORMALIZADO!BV55)</f>
        <v>0</v>
      </c>
      <c r="X55">
        <f>IF(NORMALIZADO!BW55="",0,NORMALIZADO!BW55)</f>
        <v>0</v>
      </c>
      <c r="Y55">
        <f>IF(NORMALIZADO!BX55="",0,NORMALIZADO!BX55)</f>
        <v>0</v>
      </c>
      <c r="Z55">
        <f>IF(NORMALIZADO!BY55="",0,NORMALIZADO!BY55)</f>
        <v>0</v>
      </c>
      <c r="AO55" t="str">
        <f t="shared" si="7"/>
        <v>N/A</v>
      </c>
      <c r="AP55" t="str">
        <f>IF(COUNT(NORMALIZADO!BV55:BY55)&gt;=3,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1</v>
      </c>
    </row>
    <row r="56" spans="1:43" ht="16.05" customHeight="1" x14ac:dyDescent="0.3">
      <c r="A56" t="s">
        <v>190</v>
      </c>
      <c r="B56" t="s">
        <v>191</v>
      </c>
      <c r="C56" t="s">
        <v>192</v>
      </c>
      <c r="D56" t="s">
        <v>73</v>
      </c>
      <c r="G56" t="s">
        <v>74</v>
      </c>
      <c r="J56" t="s">
        <v>67</v>
      </c>
      <c r="M56" t="str">
        <f t="shared" si="3"/>
        <v/>
      </c>
      <c r="N56" t="s">
        <v>68</v>
      </c>
      <c r="O56" t="str">
        <f t="shared" si="4"/>
        <v/>
      </c>
      <c r="P56" t="s">
        <v>68</v>
      </c>
      <c r="S56" t="str">
        <f t="shared" si="5"/>
        <v>—</v>
      </c>
      <c r="T56" t="str">
        <f t="shared" si="6"/>
        <v>⬜  Parcial · Inst. 2 pendiente</v>
      </c>
      <c r="U56" s="53">
        <v>1</v>
      </c>
      <c r="V56" t="s">
        <v>69</v>
      </c>
      <c r="W56">
        <f>IF(NORMALIZADO!BV56="",0,NORMALIZADO!BV56)</f>
        <v>0</v>
      </c>
      <c r="X56">
        <f>IF(NORMALIZADO!BW56="",0,NORMALIZADO!BW56)</f>
        <v>0</v>
      </c>
      <c r="Y56">
        <f>IF(NORMALIZADO!BX56="",0,NORMALIZADO!BX56)</f>
        <v>0</v>
      </c>
      <c r="Z56">
        <f>IF(NORMALIZADO!BY56="",0,NORMALIZADO!BY56)</f>
        <v>0</v>
      </c>
      <c r="AO56" t="str">
        <f t="shared" si="7"/>
        <v>N/A</v>
      </c>
      <c r="AP56" t="str">
        <f>IF(COUNT(NORMALIZADO!BV56:BY56)&gt;=3,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1</v>
      </c>
    </row>
    <row r="57" spans="1:43" ht="16.05" customHeight="1" x14ac:dyDescent="0.3">
      <c r="A57" t="s">
        <v>193</v>
      </c>
      <c r="B57" t="s">
        <v>194</v>
      </c>
      <c r="C57" t="s">
        <v>80</v>
      </c>
      <c r="D57" t="s">
        <v>73</v>
      </c>
      <c r="G57" t="s">
        <v>74</v>
      </c>
      <c r="J57" t="s">
        <v>67</v>
      </c>
      <c r="M57" t="str">
        <f t="shared" si="3"/>
        <v/>
      </c>
      <c r="N57" t="s">
        <v>68</v>
      </c>
      <c r="O57" t="str">
        <f t="shared" si="4"/>
        <v/>
      </c>
      <c r="P57" t="s">
        <v>68</v>
      </c>
      <c r="S57" t="str">
        <f t="shared" si="5"/>
        <v>—</v>
      </c>
      <c r="T57" t="str">
        <f t="shared" si="6"/>
        <v>⬜  Parcial · Inst. 2 pendiente</v>
      </c>
      <c r="U57" s="53">
        <v>1</v>
      </c>
      <c r="V57" t="s">
        <v>69</v>
      </c>
      <c r="W57">
        <f>IF(NORMALIZADO!BV57="",0,NORMALIZADO!BV57)</f>
        <v>0</v>
      </c>
      <c r="X57">
        <f>IF(NORMALIZADO!BW57="",0,NORMALIZADO!BW57)</f>
        <v>0</v>
      </c>
      <c r="Y57">
        <f>IF(NORMALIZADO!BX57="",0,NORMALIZADO!BX57)</f>
        <v>0</v>
      </c>
      <c r="Z57">
        <f>IF(NORMALIZADO!BY57="",0,NORMALIZADO!BY57)</f>
        <v>0</v>
      </c>
      <c r="AO57" t="str">
        <f t="shared" si="7"/>
        <v>N/A</v>
      </c>
      <c r="AP57" t="str">
        <f>IF(COUNT(NORMALIZADO!BV57:BY57)&gt;=3,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1</v>
      </c>
    </row>
    <row r="58" spans="1:43" ht="16.05" customHeight="1" x14ac:dyDescent="0.3">
      <c r="A58" t="s">
        <v>195</v>
      </c>
      <c r="B58" t="s">
        <v>196</v>
      </c>
      <c r="C58" t="s">
        <v>103</v>
      </c>
      <c r="D58" t="s">
        <v>73</v>
      </c>
      <c r="E58">
        <v>105840</v>
      </c>
      <c r="F58">
        <v>7</v>
      </c>
      <c r="G58" t="s">
        <v>66</v>
      </c>
      <c r="J58" t="s">
        <v>67</v>
      </c>
      <c r="L58">
        <v>52920</v>
      </c>
      <c r="M58">
        <f t="shared" si="3"/>
        <v>50</v>
      </c>
      <c r="N58" t="s">
        <v>68</v>
      </c>
      <c r="O58" t="str">
        <f t="shared" si="4"/>
        <v/>
      </c>
      <c r="P58" t="s">
        <v>68</v>
      </c>
      <c r="S58" t="str">
        <f t="shared" si="5"/>
        <v>—</v>
      </c>
      <c r="T58" t="str">
        <f t="shared" si="6"/>
        <v>⬜  Parcial · Inst. 2 pendiente</v>
      </c>
      <c r="U58" s="53">
        <v>1</v>
      </c>
      <c r="V58" t="s">
        <v>69</v>
      </c>
      <c r="W58">
        <f>IF(NORMALIZADO!BV58="",0,NORMALIZADO!BV58)</f>
        <v>0</v>
      </c>
      <c r="X58">
        <f>IF(NORMALIZADO!BW58="",0,NORMALIZADO!BW58)</f>
        <v>0</v>
      </c>
      <c r="Y58">
        <f>IF(NORMALIZADO!BX58="",0,NORMALIZADO!BX58)</f>
        <v>0</v>
      </c>
      <c r="Z58">
        <f>IF(NORMALIZADO!BY58="",0,NORMALIZADO!BY58)</f>
        <v>0</v>
      </c>
      <c r="AO58" t="str">
        <f t="shared" si="7"/>
        <v>N/A</v>
      </c>
      <c r="AP58" t="str">
        <f>IF(COUNT(NORMALIZADO!BV58:BY58)&gt;=3,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v>
      </c>
      <c r="AQ58">
        <f>IF(ISNUMBER(M58),1,0)+IF(ISNUMBER(SCORECARDS!H58),1,0)+IF(ISNUMBER(SCORECARDS!I58),1,0)+IF(ISNUMBER(SCORECARDS!J58),1,0)+IF(ISNUMBER(ISCAM_Score!K59),1,0)+IF(ISNUMBER(O58),1,0)+IF(COUNT(W58:Z58)&gt;0,1,0)</f>
        <v>2</v>
      </c>
    </row>
    <row r="59" spans="1:43" ht="16.05" customHeight="1" x14ac:dyDescent="0.3">
      <c r="A59" t="s">
        <v>197</v>
      </c>
      <c r="B59" t="s">
        <v>198</v>
      </c>
      <c r="C59" t="s">
        <v>103</v>
      </c>
      <c r="D59" t="s">
        <v>73</v>
      </c>
      <c r="G59" t="s">
        <v>74</v>
      </c>
      <c r="J59" t="s">
        <v>124</v>
      </c>
      <c r="M59" t="str">
        <f t="shared" si="3"/>
        <v/>
      </c>
      <c r="N59" t="s">
        <v>68</v>
      </c>
      <c r="O59" t="str">
        <f t="shared" si="4"/>
        <v/>
      </c>
      <c r="P59" t="s">
        <v>68</v>
      </c>
      <c r="S59" t="str">
        <f t="shared" si="5"/>
        <v>—</v>
      </c>
      <c r="T59" t="str">
        <f t="shared" si="6"/>
        <v>⬜  Parcial · Inst. 2 pendiente</v>
      </c>
      <c r="U59" s="53">
        <v>1</v>
      </c>
      <c r="V59" t="s">
        <v>69</v>
      </c>
      <c r="W59">
        <f>IF(NORMALIZADO!BV59="",0,NORMALIZADO!BV59)</f>
        <v>0</v>
      </c>
      <c r="X59">
        <f>IF(NORMALIZADO!BW59="",0,NORMALIZADO!BW59)</f>
        <v>0</v>
      </c>
      <c r="Y59">
        <f>IF(NORMALIZADO!BX59="",0,NORMALIZADO!BX59)</f>
        <v>0</v>
      </c>
      <c r="Z59">
        <f>IF(NORMALIZADO!BY59="",0,NORMALIZADO!BY59)</f>
        <v>0</v>
      </c>
      <c r="AO59" t="str">
        <f t="shared" si="7"/>
        <v>N/A</v>
      </c>
      <c r="AP59" t="str">
        <f>IF(COUNT(NORMALIZADO!BV59:BY59)&gt;=3,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1</v>
      </c>
    </row>
    <row r="60" spans="1:43" ht="16.05" customHeight="1" x14ac:dyDescent="0.3">
      <c r="A60" t="s">
        <v>199</v>
      </c>
      <c r="B60" t="s">
        <v>200</v>
      </c>
      <c r="C60" t="s">
        <v>201</v>
      </c>
      <c r="D60" t="s">
        <v>65</v>
      </c>
      <c r="E60">
        <v>10746930.949999999</v>
      </c>
      <c r="F60">
        <v>59</v>
      </c>
      <c r="G60" t="s">
        <v>66</v>
      </c>
      <c r="J60" t="s">
        <v>67</v>
      </c>
      <c r="L60">
        <v>5373465.4699999997</v>
      </c>
      <c r="M60">
        <f t="shared" si="3"/>
        <v>50</v>
      </c>
      <c r="N60" t="s">
        <v>68</v>
      </c>
      <c r="O60" t="str">
        <f t="shared" si="4"/>
        <v/>
      </c>
      <c r="P60" t="s">
        <v>68</v>
      </c>
      <c r="S60" t="str">
        <f t="shared" si="5"/>
        <v>—</v>
      </c>
      <c r="T60" t="str">
        <f t="shared" si="6"/>
        <v>⬜  Parcial · Inst. 2 pendiente</v>
      </c>
      <c r="U60" s="53">
        <v>1</v>
      </c>
      <c r="V60" t="s">
        <v>69</v>
      </c>
      <c r="W60">
        <f>IF(NORMALIZADO!BV60="",1,NORMALIZADO!BV60)</f>
        <v>1</v>
      </c>
      <c r="X60">
        <f>IF(NORMALIZADO!BW60="",0,NORMALIZADO!BW60)</f>
        <v>0</v>
      </c>
      <c r="Y60">
        <f>IF(NORMALIZADO!BX60="",0,NORMALIZADO!BX60)</f>
        <v>0</v>
      </c>
      <c r="Z60">
        <f>IF(NORMALIZADO!BY60="",0,NORMALIZADO!BY60)</f>
        <v>0</v>
      </c>
      <c r="AO60" t="str">
        <f t="shared" si="7"/>
        <v>N/A</v>
      </c>
      <c r="AP60" t="str">
        <f>IF(COUNT(NORMALIZADO!BV60:BY60)&gt;=3,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v>
      </c>
      <c r="AQ60">
        <f>IF(ISNUMBER(M60),1,0)+IF(ISNUMBER(SCORECARDS!H60),1,0)+IF(ISNUMBER(SCORECARDS!I60),1,0)+IF(ISNUMBER(SCORECARDS!J60),1,0)+IF(ISNUMBER(ISCAM_Score!K61),1,0)+IF(ISNUMBER(O60),1,0)+IF(COUNT(W60:Z60)&gt;0,1,0)</f>
        <v>2</v>
      </c>
    </row>
    <row r="61" spans="1:43" ht="16.05" customHeight="1" x14ac:dyDescent="0.3">
      <c r="A61" t="s">
        <v>202</v>
      </c>
      <c r="B61" t="s">
        <v>203</v>
      </c>
      <c r="C61" t="s">
        <v>119</v>
      </c>
      <c r="D61" t="s">
        <v>65</v>
      </c>
      <c r="G61" t="s">
        <v>74</v>
      </c>
      <c r="J61" t="s">
        <v>67</v>
      </c>
      <c r="M61" t="str">
        <f t="shared" si="3"/>
        <v/>
      </c>
      <c r="N61" t="s">
        <v>68</v>
      </c>
      <c r="O61" t="str">
        <f t="shared" si="4"/>
        <v/>
      </c>
      <c r="P61" t="s">
        <v>68</v>
      </c>
      <c r="S61" t="str">
        <f t="shared" si="5"/>
        <v>—</v>
      </c>
      <c r="T61" t="str">
        <f t="shared" si="6"/>
        <v>⬜  Parcial · Inst. 2 pendiente</v>
      </c>
      <c r="U61" s="53">
        <v>1</v>
      </c>
      <c r="V61" t="s">
        <v>69</v>
      </c>
      <c r="W61">
        <f>IF(NORMALIZADO!BV61="",0,NORMALIZADO!BV61)</f>
        <v>0</v>
      </c>
      <c r="X61">
        <f>IF(NORMALIZADO!BW61="",0,NORMALIZADO!BW61)</f>
        <v>0</v>
      </c>
      <c r="Y61">
        <f>IF(NORMALIZADO!BX61="",0,NORMALIZADO!BX61)</f>
        <v>0</v>
      </c>
      <c r="Z61">
        <f>IF(NORMALIZADO!BY61="",0,NORMALIZADO!BY61)</f>
        <v>0</v>
      </c>
      <c r="AO61" t="str">
        <f t="shared" si="7"/>
        <v>N/A</v>
      </c>
      <c r="AP61" t="str">
        <f>IF(COUNT(NORMALIZADO!BV61:BY61)&gt;=3,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1</v>
      </c>
    </row>
    <row r="62" spans="1:43" ht="16.05" customHeight="1" x14ac:dyDescent="0.3">
      <c r="A62" t="s">
        <v>204</v>
      </c>
      <c r="B62" t="s">
        <v>205</v>
      </c>
      <c r="C62" t="s">
        <v>103</v>
      </c>
      <c r="D62" t="s">
        <v>65</v>
      </c>
      <c r="G62" t="s">
        <v>74</v>
      </c>
      <c r="J62" t="s">
        <v>124</v>
      </c>
      <c r="M62" t="str">
        <f t="shared" si="3"/>
        <v/>
      </c>
      <c r="N62" t="s">
        <v>68</v>
      </c>
      <c r="O62" t="str">
        <f t="shared" si="4"/>
        <v/>
      </c>
      <c r="P62" t="s">
        <v>68</v>
      </c>
      <c r="S62" t="str">
        <f t="shared" si="5"/>
        <v>—</v>
      </c>
      <c r="T62" t="str">
        <f t="shared" si="6"/>
        <v>⬜  Parcial · Inst. 2 pendiente</v>
      </c>
      <c r="U62" s="53">
        <v>1</v>
      </c>
      <c r="V62" t="s">
        <v>69</v>
      </c>
      <c r="W62">
        <f>IF(NORMALIZADO!BV62="",0,NORMALIZADO!BV62)</f>
        <v>0</v>
      </c>
      <c r="X62">
        <f>IF(NORMALIZADO!BW62="",0,NORMALIZADO!BW62)</f>
        <v>0</v>
      </c>
      <c r="Y62">
        <f>IF(NORMALIZADO!BX62="",0,NORMALIZADO!BX62)</f>
        <v>0</v>
      </c>
      <c r="Z62">
        <f>IF(NORMALIZADO!BY62="",0,NORMALIZADO!BY62)</f>
        <v>0</v>
      </c>
      <c r="AO62" t="str">
        <f t="shared" si="7"/>
        <v>N/A</v>
      </c>
      <c r="AP62" t="str">
        <f>IF(COUNT(NORMALIZADO!BV62:BY62)&gt;=3,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1</v>
      </c>
    </row>
    <row r="63" spans="1:43" ht="16.05" customHeight="1" x14ac:dyDescent="0.3">
      <c r="A63" t="s">
        <v>206</v>
      </c>
      <c r="B63" t="s">
        <v>207</v>
      </c>
      <c r="C63" t="s">
        <v>103</v>
      </c>
      <c r="D63" t="s">
        <v>65</v>
      </c>
      <c r="G63" t="s">
        <v>74</v>
      </c>
      <c r="J63" t="s">
        <v>124</v>
      </c>
      <c r="M63" t="str">
        <f t="shared" si="3"/>
        <v/>
      </c>
      <c r="N63" t="s">
        <v>68</v>
      </c>
      <c r="O63" t="str">
        <f t="shared" si="4"/>
        <v/>
      </c>
      <c r="P63" t="s">
        <v>68</v>
      </c>
      <c r="S63" t="str">
        <f t="shared" si="5"/>
        <v>—</v>
      </c>
      <c r="T63" t="str">
        <f t="shared" si="6"/>
        <v>⬜  Parcial · Inst. 2 pendiente</v>
      </c>
      <c r="U63" s="53">
        <v>1</v>
      </c>
      <c r="V63" t="s">
        <v>69</v>
      </c>
      <c r="W63">
        <f>IF(NORMALIZADO!BV63="",0,NORMALIZADO!BV63)</f>
        <v>0</v>
      </c>
      <c r="X63">
        <f>IF(NORMALIZADO!BW63="",0,NORMALIZADO!BW63)</f>
        <v>0</v>
      </c>
      <c r="Y63">
        <f>IF(NORMALIZADO!BX63="",0,NORMALIZADO!BX63)</f>
        <v>0</v>
      </c>
      <c r="Z63">
        <f>IF(NORMALIZADO!BY63="",0,NORMALIZADO!BY63)</f>
        <v>0</v>
      </c>
      <c r="AO63" t="str">
        <f t="shared" si="7"/>
        <v>N/A</v>
      </c>
      <c r="AP63" t="str">
        <f>IF(COUNT(NORMALIZADO!BV63:BY63)&gt;=3,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1</v>
      </c>
    </row>
    <row r="64" spans="1:43" ht="16.05" customHeight="1" x14ac:dyDescent="0.3">
      <c r="A64" t="s">
        <v>208</v>
      </c>
      <c r="B64" t="s">
        <v>209</v>
      </c>
      <c r="C64" t="s">
        <v>139</v>
      </c>
      <c r="D64" t="s">
        <v>65</v>
      </c>
      <c r="G64" t="s">
        <v>74</v>
      </c>
      <c r="J64" t="s">
        <v>67</v>
      </c>
      <c r="M64" t="str">
        <f t="shared" si="3"/>
        <v/>
      </c>
      <c r="N64" t="s">
        <v>68</v>
      </c>
      <c r="O64" t="str">
        <f t="shared" si="4"/>
        <v/>
      </c>
      <c r="P64" t="s">
        <v>68</v>
      </c>
      <c r="S64" t="str">
        <f t="shared" si="5"/>
        <v>—</v>
      </c>
      <c r="T64" t="str">
        <f t="shared" si="6"/>
        <v>⬜  Parcial · Inst. 2 pendiente</v>
      </c>
      <c r="U64" s="53">
        <v>1</v>
      </c>
      <c r="V64" t="s">
        <v>69</v>
      </c>
      <c r="W64">
        <f>IF(NORMALIZADO!BV64="",0,NORMALIZADO!BV64)</f>
        <v>0</v>
      </c>
      <c r="X64">
        <f>IF(NORMALIZADO!BW64="",0,NORMALIZADO!BW64)</f>
        <v>0</v>
      </c>
      <c r="Y64">
        <f>IF(NORMALIZADO!BX64="",0,NORMALIZADO!BX64)</f>
        <v>0</v>
      </c>
      <c r="Z64">
        <f>IF(NORMALIZADO!BY64="",0,NORMALIZADO!BY64)</f>
        <v>0</v>
      </c>
      <c r="AO64" t="str">
        <f t="shared" si="7"/>
        <v>N/A</v>
      </c>
      <c r="AP64" t="str">
        <f>IF(COUNT(NORMALIZADO!BV64:BY64)&gt;=3,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1</v>
      </c>
    </row>
    <row r="65" spans="1:45" ht="16.05" customHeight="1" x14ac:dyDescent="0.3">
      <c r="A65" t="s">
        <v>210</v>
      </c>
      <c r="B65" t="s">
        <v>211</v>
      </c>
      <c r="C65" t="s">
        <v>139</v>
      </c>
      <c r="D65" t="s">
        <v>73</v>
      </c>
      <c r="E65">
        <v>1984.05</v>
      </c>
      <c r="F65">
        <v>1</v>
      </c>
      <c r="G65" t="s">
        <v>66</v>
      </c>
      <c r="J65" t="s">
        <v>67</v>
      </c>
      <c r="L65">
        <v>0</v>
      </c>
      <c r="M65">
        <f t="shared" si="3"/>
        <v>0</v>
      </c>
      <c r="N65" t="s">
        <v>68</v>
      </c>
      <c r="O65" t="str">
        <f t="shared" si="4"/>
        <v/>
      </c>
      <c r="P65" t="s">
        <v>68</v>
      </c>
      <c r="S65" t="str">
        <f t="shared" si="5"/>
        <v>—</v>
      </c>
      <c r="T65" t="str">
        <f t="shared" si="6"/>
        <v>⬜  Parcial · Inst. 2 pendiente</v>
      </c>
      <c r="U65" s="53">
        <v>1</v>
      </c>
      <c r="V65" t="s">
        <v>69</v>
      </c>
      <c r="W65">
        <f>IF(NORMALIZADO!BV65="",0,NORMALIZADO!BV65)</f>
        <v>0</v>
      </c>
      <c r="X65">
        <f>IF(NORMALIZADO!BW65="",0,NORMALIZADO!BW65)</f>
        <v>0</v>
      </c>
      <c r="Y65">
        <f>IF(NORMALIZADO!BX65="",0,NORMALIZADO!BX65)</f>
        <v>0</v>
      </c>
      <c r="Z65">
        <f>IF(NORMALIZADO!BY65="",0,NORMALIZADO!BY65)</f>
        <v>0</v>
      </c>
      <c r="AO65" t="str">
        <f t="shared" si="7"/>
        <v>N/A</v>
      </c>
      <c r="AP65" t="str">
        <f>IF(COUNT(NORMALIZADO!BV65:BY65)&gt;=3,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v>
      </c>
      <c r="AQ65">
        <f>IF(ISNUMBER(M65),1,0)+IF(ISNUMBER(SCORECARDS!H65),1,0)+IF(ISNUMBER(SCORECARDS!I65),1,0)+IF(ISNUMBER(SCORECARDS!J65),1,0)+IF(ISNUMBER(ISCAM_Score!K66),1,0)+IF(ISNUMBER(O65),1,0)+IF(COUNT(W65:Z65)&gt;0,1,0)</f>
        <v>2</v>
      </c>
    </row>
    <row r="66" spans="1:45" ht="16.05" customHeight="1" x14ac:dyDescent="0.3">
      <c r="A66" t="s">
        <v>212</v>
      </c>
      <c r="B66" t="s">
        <v>213</v>
      </c>
      <c r="C66" t="s">
        <v>80</v>
      </c>
      <c r="D66" t="s">
        <v>65</v>
      </c>
      <c r="G66" t="s">
        <v>74</v>
      </c>
      <c r="J66" t="s">
        <v>67</v>
      </c>
      <c r="M66" t="str">
        <f t="shared" si="3"/>
        <v/>
      </c>
      <c r="N66" t="s">
        <v>68</v>
      </c>
      <c r="O66" t="str">
        <f t="shared" si="4"/>
        <v/>
      </c>
      <c r="P66" t="s">
        <v>68</v>
      </c>
      <c r="S66" t="str">
        <f t="shared" si="5"/>
        <v>—</v>
      </c>
      <c r="T66" t="str">
        <f t="shared" si="6"/>
        <v>⬜  Parcial · Inst. 2 pendiente</v>
      </c>
      <c r="U66" s="53">
        <v>1</v>
      </c>
      <c r="V66" t="s">
        <v>69</v>
      </c>
      <c r="W66">
        <f>IF(NORMALIZADO!BV66="",0,NORMALIZADO!BV66)</f>
        <v>0</v>
      </c>
      <c r="X66">
        <f>IF(NORMALIZADO!BW66="",0,NORMALIZADO!BW66)</f>
        <v>0</v>
      </c>
      <c r="Y66">
        <f>IF(NORMALIZADO!BX66="",0,NORMALIZADO!BX66)</f>
        <v>0</v>
      </c>
      <c r="Z66">
        <f>IF(NORMALIZADO!BY66="",0,NORMALIZADO!BY66)</f>
        <v>0</v>
      </c>
      <c r="AO66" t="str">
        <f t="shared" si="7"/>
        <v>N/A</v>
      </c>
      <c r="AP66" t="str">
        <f>IF(COUNT(NORMALIZADO!BV66:BY66)&gt;=3,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1</v>
      </c>
    </row>
    <row r="67" spans="1:45" ht="16.05" customHeight="1" x14ac:dyDescent="0.3">
      <c r="A67" t="s">
        <v>214</v>
      </c>
      <c r="B67" t="s">
        <v>215</v>
      </c>
      <c r="C67" t="s">
        <v>112</v>
      </c>
      <c r="D67" t="s">
        <v>65</v>
      </c>
      <c r="G67" t="s">
        <v>74</v>
      </c>
      <c r="J67" t="s">
        <v>67</v>
      </c>
      <c r="M67" t="str">
        <f t="shared" si="3"/>
        <v/>
      </c>
      <c r="N67" t="s">
        <v>68</v>
      </c>
      <c r="O67" t="str">
        <f t="shared" si="4"/>
        <v/>
      </c>
      <c r="P67" t="s">
        <v>68</v>
      </c>
      <c r="S67" t="str">
        <f t="shared" ref="S67:S98" si="8">IFERROR(ROUND(AP67*100,1),"—")</f>
        <v>—</v>
      </c>
      <c r="T67" t="str">
        <f t="shared" ref="T67:T98" si="9">IF(AQ67&lt;6,"⬜  Parcial · Inst. 2 pendiente",IF(NOT(ISNUMBER(S67)),"—",IF(S67&lt;34,"🔴 Crítico",IF(S67&lt;67,"🟡 Vulnerable","🟢 Preparado"))))</f>
        <v>⬜  Parcial · Inst. 2 pendiente</v>
      </c>
      <c r="U67" s="53">
        <v>1</v>
      </c>
      <c r="V67" t="s">
        <v>69</v>
      </c>
      <c r="W67">
        <f>IF(NORMALIZADO!BV67="",0,NORMALIZADO!BV67)</f>
        <v>0</v>
      </c>
      <c r="X67">
        <f>IF(NORMALIZADO!BW67="",0,NORMALIZADO!BW67)</f>
        <v>0</v>
      </c>
      <c r="Y67">
        <f>IF(NORMALIZADO!BX67="",0,NORMALIZADO!BX67)</f>
        <v>0</v>
      </c>
      <c r="Z67">
        <f>IF(NORMALIZADO!BY67="",0,NORMALIZADO!BY67)</f>
        <v>0</v>
      </c>
      <c r="AO67" t="str">
        <f t="shared" ref="AO67:AO98" si="10">IFERROR(AVERAGE(AA67,AB67,AC67,AD67,AE67,AF67,AG67,AH67,AI67,AJ67,AK67,AL67,AM67,AN67),"N/A")</f>
        <v>N/A</v>
      </c>
      <c r="AP67" t="str">
        <f>IF(COUNT(NORMALIZADO!BV67:BY67)&gt;=3,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1</v>
      </c>
    </row>
    <row r="68" spans="1:45" ht="16.05" customHeight="1" x14ac:dyDescent="0.3">
      <c r="A68" t="s">
        <v>216</v>
      </c>
      <c r="B68" t="s">
        <v>217</v>
      </c>
      <c r="C68" t="s">
        <v>112</v>
      </c>
      <c r="D68" t="s">
        <v>65</v>
      </c>
      <c r="G68" t="s">
        <v>74</v>
      </c>
      <c r="J68" t="s">
        <v>67</v>
      </c>
      <c r="M68" t="str">
        <f t="shared" ref="M68:M131" si="11">IF(E68&gt;0,ROUND(L68/E68*100,1),"")</f>
        <v/>
      </c>
      <c r="N68" t="s">
        <v>68</v>
      </c>
      <c r="O68" t="str">
        <f t="shared" ref="O68:O131" si="12">IF(AND(H68="",I68=""),"",IF(H68="SI",1,0)*0.6+IF(I68="SI",1,0)*0.4)</f>
        <v/>
      </c>
      <c r="P68" t="s">
        <v>68</v>
      </c>
      <c r="S68" t="str">
        <f t="shared" si="8"/>
        <v>—</v>
      </c>
      <c r="T68" t="str">
        <f t="shared" si="9"/>
        <v>⬜  Parcial · Inst. 2 pendiente</v>
      </c>
      <c r="U68" s="53">
        <v>1</v>
      </c>
      <c r="V68" t="s">
        <v>69</v>
      </c>
      <c r="W68">
        <f>IF(NORMALIZADO!BV68="",0,NORMALIZADO!BV68)</f>
        <v>0</v>
      </c>
      <c r="X68">
        <f>IF(NORMALIZADO!BW68="",0,NORMALIZADO!BW68)</f>
        <v>0</v>
      </c>
      <c r="Y68">
        <f>IF(NORMALIZADO!BX68="",0,NORMALIZADO!BX68)</f>
        <v>0</v>
      </c>
      <c r="Z68">
        <f>IF(NORMALIZADO!BY68="",0,NORMALIZADO!BY68)</f>
        <v>0</v>
      </c>
      <c r="AO68" t="str">
        <f t="shared" si="10"/>
        <v>N/A</v>
      </c>
      <c r="AP68" t="str">
        <f>IF(COUNT(NORMALIZADO!BV68:BY68)&gt;=3,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1</v>
      </c>
    </row>
    <row r="69" spans="1:45" ht="16.05" customHeight="1" x14ac:dyDescent="0.3">
      <c r="A69" t="s">
        <v>218</v>
      </c>
      <c r="B69" t="s">
        <v>219</v>
      </c>
      <c r="C69" t="s">
        <v>179</v>
      </c>
      <c r="D69" t="s">
        <v>65</v>
      </c>
      <c r="G69" t="s">
        <v>74</v>
      </c>
      <c r="J69" t="s">
        <v>124</v>
      </c>
      <c r="M69" t="str">
        <f t="shared" si="11"/>
        <v/>
      </c>
      <c r="N69" t="s">
        <v>68</v>
      </c>
      <c r="O69" t="str">
        <f t="shared" si="12"/>
        <v/>
      </c>
      <c r="P69" t="s">
        <v>68</v>
      </c>
      <c r="S69" t="str">
        <f t="shared" si="8"/>
        <v>—</v>
      </c>
      <c r="T69" t="str">
        <f t="shared" si="9"/>
        <v>⬜  Parcial · Inst. 2 pendiente</v>
      </c>
      <c r="U69" s="53">
        <v>1</v>
      </c>
      <c r="V69" t="s">
        <v>69</v>
      </c>
      <c r="W69">
        <f>IF(NORMALIZADO!BV69="",0,NORMALIZADO!BV69)</f>
        <v>0</v>
      </c>
      <c r="X69">
        <f>IF(NORMALIZADO!BW69="",0,NORMALIZADO!BW69)</f>
        <v>0</v>
      </c>
      <c r="Y69">
        <f>IF(NORMALIZADO!BX69="",0,NORMALIZADO!BX69)</f>
        <v>0</v>
      </c>
      <c r="Z69">
        <f>IF(NORMALIZADO!BY69="",0,NORMALIZADO!BY69)</f>
        <v>0</v>
      </c>
      <c r="AO69" t="str">
        <f t="shared" si="10"/>
        <v>N/A</v>
      </c>
      <c r="AP69" t="str">
        <f>IF(COUNT(NORMALIZADO!BV69:BY69)&gt;=3,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1</v>
      </c>
    </row>
    <row r="70" spans="1:45" ht="16.05" customHeight="1" x14ac:dyDescent="0.3">
      <c r="A70" t="s">
        <v>220</v>
      </c>
      <c r="B70" t="s">
        <v>221</v>
      </c>
      <c r="C70" t="s">
        <v>139</v>
      </c>
      <c r="D70" t="s">
        <v>65</v>
      </c>
      <c r="E70">
        <v>13246408.59</v>
      </c>
      <c r="F70">
        <v>46</v>
      </c>
      <c r="G70" t="s">
        <v>66</v>
      </c>
      <c r="H70" t="s">
        <v>66</v>
      </c>
      <c r="I70" t="s">
        <v>66</v>
      </c>
      <c r="J70" t="s">
        <v>67</v>
      </c>
      <c r="K70" t="s">
        <v>222</v>
      </c>
      <c r="L70">
        <v>7878141.7300000004</v>
      </c>
      <c r="M70">
        <f t="shared" si="11"/>
        <v>59.5</v>
      </c>
      <c r="N70" t="s">
        <v>68</v>
      </c>
      <c r="O70">
        <f t="shared" si="12"/>
        <v>1</v>
      </c>
      <c r="P70" t="s">
        <v>68</v>
      </c>
      <c r="Q70">
        <v>622</v>
      </c>
      <c r="R70">
        <v>4031</v>
      </c>
      <c r="S70" t="str">
        <f t="shared" si="8"/>
        <v>—</v>
      </c>
      <c r="T70" t="str">
        <f t="shared" si="9"/>
        <v>⬜  Parcial · Inst. 2 pendiente</v>
      </c>
      <c r="U70" s="53">
        <v>1</v>
      </c>
      <c r="V70" t="s">
        <v>69</v>
      </c>
      <c r="W70">
        <f>IF(NORMALIZADO!BV70="",1,NORMALIZADO!BV70)</f>
        <v>1</v>
      </c>
      <c r="X70">
        <f>IF(NORMALIZADO!BW70="",0,NORMALIZADO!BW70)</f>
        <v>0</v>
      </c>
      <c r="Y70">
        <f>IF(NORMALIZADO!BX70="",0,NORMALIZADO!BX70)</f>
        <v>0</v>
      </c>
      <c r="Z70">
        <f>IF(NORMALIZADO!BY70="",0,NORMALIZADO!BY70)</f>
        <v>0</v>
      </c>
      <c r="AO70" t="str">
        <f t="shared" si="10"/>
        <v>N/A</v>
      </c>
      <c r="AP70" t="str">
        <f>IF(COUNT(NORMALIZADO!BV70:BY70)&gt;=3,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v>
      </c>
      <c r="AQ70">
        <f>IF(ISNUMBER(M70),1,0)+IF(ISNUMBER(SCORECARDS!H70),1,0)+IF(ISNUMBER(SCORECARDS!I70),1,0)+IF(ISNUMBER(SCORECARDS!J70),1,0)+IF(ISNUMBER(ISCAM_Score!K71),1,0)+IF(ISNUMBER(O70),1,0)+IF(COUNT(W70:Z70)&gt;0,1,0)</f>
        <v>3</v>
      </c>
      <c r="AR70" t="s">
        <v>1541</v>
      </c>
      <c r="AS70" t="s">
        <v>1542</v>
      </c>
    </row>
    <row r="71" spans="1:45" ht="16.05" customHeight="1" x14ac:dyDescent="0.3">
      <c r="A71" t="s">
        <v>223</v>
      </c>
      <c r="B71" t="s">
        <v>224</v>
      </c>
      <c r="C71" t="s">
        <v>139</v>
      </c>
      <c r="D71" t="s">
        <v>73</v>
      </c>
      <c r="G71" t="s">
        <v>74</v>
      </c>
      <c r="J71" t="s">
        <v>67</v>
      </c>
      <c r="M71" t="str">
        <f t="shared" si="11"/>
        <v/>
      </c>
      <c r="N71" t="s">
        <v>68</v>
      </c>
      <c r="O71" t="str">
        <f t="shared" si="12"/>
        <v/>
      </c>
      <c r="P71" t="s">
        <v>68</v>
      </c>
      <c r="S71" t="str">
        <f t="shared" si="8"/>
        <v>—</v>
      </c>
      <c r="T71" t="str">
        <f t="shared" si="9"/>
        <v>⬜  Parcial · Inst. 2 pendiente</v>
      </c>
      <c r="U71" s="53">
        <v>1</v>
      </c>
      <c r="V71" t="s">
        <v>69</v>
      </c>
      <c r="W71">
        <f>IF(NORMALIZADO!BV71="",0,NORMALIZADO!BV71)</f>
        <v>0</v>
      </c>
      <c r="X71">
        <f>IF(NORMALIZADO!BW71="",0,NORMALIZADO!BW71)</f>
        <v>0</v>
      </c>
      <c r="Y71">
        <f>IF(NORMALIZADO!BX71="",0,NORMALIZADO!BX71)</f>
        <v>0</v>
      </c>
      <c r="Z71">
        <f>IF(NORMALIZADO!BY71="",0,NORMALIZADO!BY71)</f>
        <v>0</v>
      </c>
      <c r="AO71" t="str">
        <f t="shared" si="10"/>
        <v>N/A</v>
      </c>
      <c r="AP71" t="str">
        <f>IF(COUNT(NORMALIZADO!BV71:BY71)&gt;=3,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1</v>
      </c>
    </row>
    <row r="72" spans="1:45" ht="16.05" customHeight="1" x14ac:dyDescent="0.3">
      <c r="A72" t="s">
        <v>225</v>
      </c>
      <c r="B72" t="s">
        <v>226</v>
      </c>
      <c r="C72" t="s">
        <v>139</v>
      </c>
      <c r="D72" t="s">
        <v>73</v>
      </c>
      <c r="E72">
        <v>2826075</v>
      </c>
      <c r="F72">
        <v>12</v>
      </c>
      <c r="G72" t="s">
        <v>66</v>
      </c>
      <c r="J72" t="s">
        <v>67</v>
      </c>
      <c r="L72">
        <v>1413037.5</v>
      </c>
      <c r="M72">
        <f t="shared" si="11"/>
        <v>50</v>
      </c>
      <c r="N72" t="s">
        <v>68</v>
      </c>
      <c r="O72" t="str">
        <f t="shared" si="12"/>
        <v/>
      </c>
      <c r="P72" t="s">
        <v>68</v>
      </c>
      <c r="S72" t="str">
        <f t="shared" si="8"/>
        <v>—</v>
      </c>
      <c r="T72" t="str">
        <f t="shared" si="9"/>
        <v>⬜  Parcial · Inst. 2 pendiente</v>
      </c>
      <c r="U72" s="53">
        <v>1</v>
      </c>
      <c r="V72" t="s">
        <v>69</v>
      </c>
      <c r="W72">
        <f>IF(NORMALIZADO!BV72="",1,NORMALIZADO!BV72)</f>
        <v>1</v>
      </c>
      <c r="X72">
        <f>IF(NORMALIZADO!BW72="",0,NORMALIZADO!BW72)</f>
        <v>0</v>
      </c>
      <c r="Y72">
        <f>IF(NORMALIZADO!BX72="",0,NORMALIZADO!BX72)</f>
        <v>0</v>
      </c>
      <c r="Z72">
        <f>IF(NORMALIZADO!BY72="",0,NORMALIZADO!BY72)</f>
        <v>0</v>
      </c>
      <c r="AO72" t="str">
        <f t="shared" si="10"/>
        <v>N/A</v>
      </c>
      <c r="AP72" t="str">
        <f>IF(COUNT(NORMALIZADO!BV72:BY72)&gt;=3,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v>
      </c>
      <c r="AQ72">
        <f>IF(ISNUMBER(M72),1,0)+IF(ISNUMBER(SCORECARDS!H72),1,0)+IF(ISNUMBER(SCORECARDS!I72),1,0)+IF(ISNUMBER(SCORECARDS!J72),1,0)+IF(ISNUMBER(ISCAM_Score!K73),1,0)+IF(ISNUMBER(O72),1,0)+IF(COUNT(W72:Z72)&gt;0,1,0)</f>
        <v>2</v>
      </c>
    </row>
    <row r="73" spans="1:45" ht="16.05" customHeight="1" x14ac:dyDescent="0.3">
      <c r="A73" t="s">
        <v>227</v>
      </c>
      <c r="B73" t="s">
        <v>228</v>
      </c>
      <c r="C73" t="s">
        <v>139</v>
      </c>
      <c r="D73" t="s">
        <v>65</v>
      </c>
      <c r="E73">
        <v>1187600.46</v>
      </c>
      <c r="F73">
        <v>6</v>
      </c>
      <c r="G73" t="s">
        <v>66</v>
      </c>
      <c r="H73" t="s">
        <v>66</v>
      </c>
      <c r="I73" t="s">
        <v>66</v>
      </c>
      <c r="J73" t="s">
        <v>67</v>
      </c>
      <c r="K73" t="s">
        <v>222</v>
      </c>
      <c r="L73">
        <v>1187600.48</v>
      </c>
      <c r="M73">
        <f t="shared" si="11"/>
        <v>100</v>
      </c>
      <c r="N73" t="s">
        <v>68</v>
      </c>
      <c r="O73">
        <f t="shared" si="12"/>
        <v>1</v>
      </c>
      <c r="P73" t="s">
        <v>68</v>
      </c>
      <c r="Q73">
        <v>416</v>
      </c>
      <c r="R73">
        <v>1248</v>
      </c>
      <c r="S73" t="str">
        <f t="shared" si="8"/>
        <v>—</v>
      </c>
      <c r="T73" t="str">
        <f t="shared" si="9"/>
        <v>⬜  Parcial · Inst. 2 pendiente</v>
      </c>
      <c r="U73" s="53">
        <v>1</v>
      </c>
      <c r="V73" t="s">
        <v>69</v>
      </c>
      <c r="W73">
        <f>IF(NORMALIZADO!BV73="",1,NORMALIZADO!BV73)</f>
        <v>1</v>
      </c>
      <c r="X73">
        <f>IF(NORMALIZADO!BW73="",0,NORMALIZADO!BW73)</f>
        <v>0</v>
      </c>
      <c r="Y73">
        <f>IF(NORMALIZADO!BX73="",0,NORMALIZADO!BX73)</f>
        <v>0</v>
      </c>
      <c r="Z73">
        <f>IF(NORMALIZADO!BY73="",0,NORMALIZADO!BY73)</f>
        <v>0</v>
      </c>
      <c r="AO73" t="str">
        <f t="shared" si="10"/>
        <v>N/A</v>
      </c>
      <c r="AP73" t="str">
        <f>IF(COUNT(NORMALIZADO!BV73:BY73)&gt;=3,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v>
      </c>
      <c r="AQ73">
        <f>IF(ISNUMBER(M73),1,0)+IF(ISNUMBER(SCORECARDS!H73),1,0)+IF(ISNUMBER(SCORECARDS!I73),1,0)+IF(ISNUMBER(SCORECARDS!J73),1,0)+IF(ISNUMBER(ISCAM_Score!K74),1,0)+IF(ISNUMBER(O73),1,0)+IF(COUNT(W73:Z73)&gt;0,1,0)</f>
        <v>3</v>
      </c>
      <c r="AR73" t="s">
        <v>1543</v>
      </c>
      <c r="AS73" t="s">
        <v>1544</v>
      </c>
    </row>
    <row r="74" spans="1:45" ht="16.05" customHeight="1" x14ac:dyDescent="0.3">
      <c r="A74" t="s">
        <v>229</v>
      </c>
      <c r="B74" t="s">
        <v>230</v>
      </c>
      <c r="C74" t="s">
        <v>139</v>
      </c>
      <c r="D74" t="s">
        <v>73</v>
      </c>
      <c r="E74">
        <v>24285431.82</v>
      </c>
      <c r="F74">
        <v>111</v>
      </c>
      <c r="G74" t="s">
        <v>66</v>
      </c>
      <c r="J74" t="s">
        <v>67</v>
      </c>
      <c r="L74">
        <v>12142715.91</v>
      </c>
      <c r="M74">
        <f t="shared" si="11"/>
        <v>50</v>
      </c>
      <c r="N74" t="s">
        <v>68</v>
      </c>
      <c r="O74" t="str">
        <f t="shared" si="12"/>
        <v/>
      </c>
      <c r="P74" t="s">
        <v>68</v>
      </c>
      <c r="S74" t="str">
        <f t="shared" si="8"/>
        <v>—</v>
      </c>
      <c r="T74" t="str">
        <f t="shared" si="9"/>
        <v>⬜  Parcial · Inst. 2 pendiente</v>
      </c>
      <c r="U74" s="53">
        <v>1</v>
      </c>
      <c r="V74" t="s">
        <v>69</v>
      </c>
      <c r="W74">
        <f>IF(NORMALIZADO!BV74="",1,NORMALIZADO!BV74)</f>
        <v>1</v>
      </c>
      <c r="X74">
        <f>IF(NORMALIZADO!BW74="",0,NORMALIZADO!BW74)</f>
        <v>0</v>
      </c>
      <c r="Y74">
        <f>IF(NORMALIZADO!BX74="",0,NORMALIZADO!BX74)</f>
        <v>0</v>
      </c>
      <c r="Z74">
        <f>IF(NORMALIZADO!BY74="",0,NORMALIZADO!BY74)</f>
        <v>0</v>
      </c>
      <c r="AO74" t="str">
        <f t="shared" si="10"/>
        <v>N/A</v>
      </c>
      <c r="AP74" t="str">
        <f>IF(COUNT(NORMALIZADO!BV74:BY74)&gt;=3,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v>
      </c>
      <c r="AQ74">
        <f>IF(ISNUMBER(M74),1,0)+IF(ISNUMBER(SCORECARDS!H74),1,0)+IF(ISNUMBER(SCORECARDS!I74),1,0)+IF(ISNUMBER(SCORECARDS!J74),1,0)+IF(ISNUMBER(ISCAM_Score!K75),1,0)+IF(ISNUMBER(O74),1,0)+IF(COUNT(W74:Z74)&gt;0,1,0)</f>
        <v>2</v>
      </c>
    </row>
    <row r="75" spans="1:45" ht="16.05" customHeight="1" x14ac:dyDescent="0.3">
      <c r="A75" t="s">
        <v>231</v>
      </c>
      <c r="B75" t="s">
        <v>232</v>
      </c>
      <c r="C75" t="s">
        <v>192</v>
      </c>
      <c r="D75" t="s">
        <v>73</v>
      </c>
      <c r="G75" t="s">
        <v>74</v>
      </c>
      <c r="J75" t="s">
        <v>67</v>
      </c>
      <c r="M75" t="str">
        <f t="shared" si="11"/>
        <v/>
      </c>
      <c r="N75" t="s">
        <v>68</v>
      </c>
      <c r="O75" t="str">
        <f t="shared" si="12"/>
        <v/>
      </c>
      <c r="P75" t="s">
        <v>68</v>
      </c>
      <c r="S75" t="str">
        <f t="shared" si="8"/>
        <v>—</v>
      </c>
      <c r="T75" t="str">
        <f t="shared" si="9"/>
        <v>⬜  Parcial · Inst. 2 pendiente</v>
      </c>
      <c r="U75" s="53">
        <v>1</v>
      </c>
      <c r="V75" t="s">
        <v>69</v>
      </c>
      <c r="W75">
        <f>IF(NORMALIZADO!BV75="",0,NORMALIZADO!BV75)</f>
        <v>0</v>
      </c>
      <c r="X75">
        <f>IF(NORMALIZADO!BW75="",0,NORMALIZADO!BW75)</f>
        <v>0</v>
      </c>
      <c r="Y75">
        <f>IF(NORMALIZADO!BX75="",0,NORMALIZADO!BX75)</f>
        <v>0</v>
      </c>
      <c r="Z75">
        <f>IF(NORMALIZADO!BY75="",0,NORMALIZADO!BY75)</f>
        <v>0</v>
      </c>
      <c r="AO75" t="str">
        <f t="shared" si="10"/>
        <v>N/A</v>
      </c>
      <c r="AP75" t="str">
        <f>IF(COUNT(NORMALIZADO!BV75:BY75)&gt;=3,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1</v>
      </c>
    </row>
    <row r="76" spans="1:45" ht="16.05" customHeight="1" x14ac:dyDescent="0.3">
      <c r="A76" t="s">
        <v>233</v>
      </c>
      <c r="B76" t="s">
        <v>234</v>
      </c>
      <c r="C76" t="s">
        <v>192</v>
      </c>
      <c r="D76" t="s">
        <v>73</v>
      </c>
      <c r="G76" t="s">
        <v>74</v>
      </c>
      <c r="J76" t="s">
        <v>67</v>
      </c>
      <c r="M76" t="str">
        <f t="shared" si="11"/>
        <v/>
      </c>
      <c r="N76" t="s">
        <v>68</v>
      </c>
      <c r="O76" t="str">
        <f t="shared" si="12"/>
        <v/>
      </c>
      <c r="P76" t="s">
        <v>68</v>
      </c>
      <c r="S76" t="str">
        <f t="shared" si="8"/>
        <v>—</v>
      </c>
      <c r="T76" t="str">
        <f t="shared" si="9"/>
        <v>⬜  Parcial · Inst. 2 pendiente</v>
      </c>
      <c r="U76" s="53">
        <v>1</v>
      </c>
      <c r="V76" t="s">
        <v>69</v>
      </c>
      <c r="W76">
        <f>IF(NORMALIZADO!BV76="",0,NORMALIZADO!BV76)</f>
        <v>0</v>
      </c>
      <c r="X76">
        <f>IF(NORMALIZADO!BW76="",0,NORMALIZADO!BW76)</f>
        <v>0</v>
      </c>
      <c r="Y76">
        <f>IF(NORMALIZADO!BX76="",0,NORMALIZADO!BX76)</f>
        <v>0</v>
      </c>
      <c r="Z76">
        <f>IF(NORMALIZADO!BY76="",0,NORMALIZADO!BY76)</f>
        <v>0</v>
      </c>
      <c r="AO76" t="str">
        <f t="shared" si="10"/>
        <v>N/A</v>
      </c>
      <c r="AP76" t="str">
        <f>IF(COUNT(NORMALIZADO!BV76:BY76)&gt;=3,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1</v>
      </c>
    </row>
    <row r="77" spans="1:45" ht="16.05" customHeight="1" x14ac:dyDescent="0.3">
      <c r="A77" t="s">
        <v>235</v>
      </c>
      <c r="B77" t="s">
        <v>236</v>
      </c>
      <c r="C77" t="s">
        <v>150</v>
      </c>
      <c r="D77" t="s">
        <v>65</v>
      </c>
      <c r="E77">
        <v>16891006.489999998</v>
      </c>
      <c r="F77">
        <v>81</v>
      </c>
      <c r="G77" t="s">
        <v>66</v>
      </c>
      <c r="J77" t="s">
        <v>67</v>
      </c>
      <c r="L77">
        <v>8445503.2400000002</v>
      </c>
      <c r="M77">
        <f t="shared" si="11"/>
        <v>50</v>
      </c>
      <c r="N77" t="s">
        <v>68</v>
      </c>
      <c r="O77" t="str">
        <f t="shared" si="12"/>
        <v/>
      </c>
      <c r="P77" t="s">
        <v>68</v>
      </c>
      <c r="S77" t="str">
        <f t="shared" si="8"/>
        <v>—</v>
      </c>
      <c r="T77" t="str">
        <f t="shared" si="9"/>
        <v>⬜  Parcial · Inst. 2 pendiente</v>
      </c>
      <c r="U77" s="53">
        <v>1</v>
      </c>
      <c r="V77" t="s">
        <v>69</v>
      </c>
      <c r="W77">
        <f>IF(NORMALIZADO!BV77="",1,NORMALIZADO!BV77)</f>
        <v>1</v>
      </c>
      <c r="X77">
        <f>IF(NORMALIZADO!BW77="",0,NORMALIZADO!BW77)</f>
        <v>0</v>
      </c>
      <c r="Y77">
        <f>IF(NORMALIZADO!BX77="",0,NORMALIZADO!BX77)</f>
        <v>0</v>
      </c>
      <c r="Z77">
        <f>IF(NORMALIZADO!BY77="",0,NORMALIZADO!BY77)</f>
        <v>0</v>
      </c>
      <c r="AO77" t="str">
        <f t="shared" si="10"/>
        <v>N/A</v>
      </c>
      <c r="AP77" t="str">
        <f>IF(COUNT(NORMALIZADO!BV77:BY77)&gt;=3,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v>
      </c>
      <c r="AQ77">
        <f>IF(ISNUMBER(M77),1,0)+IF(ISNUMBER(SCORECARDS!H77),1,0)+IF(ISNUMBER(SCORECARDS!I77),1,0)+IF(ISNUMBER(SCORECARDS!J77),1,0)+IF(ISNUMBER(ISCAM_Score!K78),1,0)+IF(ISNUMBER(O77),1,0)+IF(COUNT(W77:Z77)&gt;0,1,0)</f>
        <v>2</v>
      </c>
    </row>
    <row r="78" spans="1:45" ht="16.05" customHeight="1" x14ac:dyDescent="0.3">
      <c r="A78" t="s">
        <v>237</v>
      </c>
      <c r="B78" t="s">
        <v>238</v>
      </c>
      <c r="C78" t="s">
        <v>119</v>
      </c>
      <c r="D78" t="s">
        <v>73</v>
      </c>
      <c r="G78" t="s">
        <v>74</v>
      </c>
      <c r="J78" t="s">
        <v>106</v>
      </c>
      <c r="M78" t="str">
        <f t="shared" si="11"/>
        <v/>
      </c>
      <c r="N78" t="s">
        <v>68</v>
      </c>
      <c r="O78" t="str">
        <f t="shared" si="12"/>
        <v/>
      </c>
      <c r="P78" t="s">
        <v>68</v>
      </c>
      <c r="S78" t="str">
        <f t="shared" si="8"/>
        <v>—</v>
      </c>
      <c r="T78" t="str">
        <f t="shared" si="9"/>
        <v>⬜  Parcial · Inst. 2 pendiente</v>
      </c>
      <c r="U78" s="53">
        <v>1</v>
      </c>
      <c r="V78" t="s">
        <v>69</v>
      </c>
      <c r="W78">
        <f>IF(NORMALIZADO!BV78="",0,NORMALIZADO!BV78)</f>
        <v>0</v>
      </c>
      <c r="X78">
        <f>IF(NORMALIZADO!BW78="",0,NORMALIZADO!BW78)</f>
        <v>0</v>
      </c>
      <c r="Y78">
        <f>IF(NORMALIZADO!BX78="",0,NORMALIZADO!BX78)</f>
        <v>0</v>
      </c>
      <c r="Z78">
        <f>IF(NORMALIZADO!BY78="",0,NORMALIZADO!BY78)</f>
        <v>0</v>
      </c>
      <c r="AO78" t="str">
        <f t="shared" si="10"/>
        <v>N/A</v>
      </c>
      <c r="AP78" t="str">
        <f>IF(COUNT(NORMALIZADO!BV78:BY78)&gt;=3,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1</v>
      </c>
    </row>
    <row r="79" spans="1:45" ht="16.05" customHeight="1" x14ac:dyDescent="0.3">
      <c r="A79" t="s">
        <v>239</v>
      </c>
      <c r="B79" t="s">
        <v>240</v>
      </c>
      <c r="C79" t="s">
        <v>241</v>
      </c>
      <c r="D79" t="s">
        <v>73</v>
      </c>
      <c r="G79" t="s">
        <v>74</v>
      </c>
      <c r="J79" t="s">
        <v>67</v>
      </c>
      <c r="M79" t="str">
        <f t="shared" si="11"/>
        <v/>
      </c>
      <c r="N79" t="s">
        <v>68</v>
      </c>
      <c r="O79" t="str">
        <f t="shared" si="12"/>
        <v/>
      </c>
      <c r="P79" t="s">
        <v>68</v>
      </c>
      <c r="S79" t="str">
        <f t="shared" si="8"/>
        <v>—</v>
      </c>
      <c r="T79" t="str">
        <f t="shared" si="9"/>
        <v>⬜  Parcial · Inst. 2 pendiente</v>
      </c>
      <c r="U79" s="53">
        <v>1</v>
      </c>
      <c r="V79" t="s">
        <v>69</v>
      </c>
      <c r="W79">
        <f>IF(NORMALIZADO!BV79="",0,NORMALIZADO!BV79)</f>
        <v>0</v>
      </c>
      <c r="X79">
        <f>IF(NORMALIZADO!BW79="",0,NORMALIZADO!BW79)</f>
        <v>0</v>
      </c>
      <c r="Y79">
        <f>IF(NORMALIZADO!BX79="",0,NORMALIZADO!BX79)</f>
        <v>0</v>
      </c>
      <c r="Z79">
        <f>IF(NORMALIZADO!BY79="",0,NORMALIZADO!BY79)</f>
        <v>0</v>
      </c>
      <c r="AO79" t="str">
        <f t="shared" si="10"/>
        <v>N/A</v>
      </c>
      <c r="AP79" t="str">
        <f>IF(COUNT(NORMALIZADO!BV79:BY79)&gt;=3,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1</v>
      </c>
    </row>
    <row r="80" spans="1:45" ht="16.05" customHeight="1" x14ac:dyDescent="0.3">
      <c r="A80" t="s">
        <v>242</v>
      </c>
      <c r="B80" t="s">
        <v>243</v>
      </c>
      <c r="C80" t="s">
        <v>112</v>
      </c>
      <c r="D80" t="s">
        <v>65</v>
      </c>
      <c r="G80" t="s">
        <v>74</v>
      </c>
      <c r="H80" t="s">
        <v>66</v>
      </c>
      <c r="I80" t="s">
        <v>74</v>
      </c>
      <c r="J80" t="s">
        <v>106</v>
      </c>
      <c r="K80" t="s">
        <v>244</v>
      </c>
      <c r="M80" t="str">
        <f t="shared" si="11"/>
        <v/>
      </c>
      <c r="N80" t="s">
        <v>68</v>
      </c>
      <c r="O80">
        <f t="shared" si="12"/>
        <v>0.6</v>
      </c>
      <c r="P80" t="s">
        <v>68</v>
      </c>
      <c r="Q80">
        <v>351</v>
      </c>
      <c r="R80">
        <v>1045.5999999999999</v>
      </c>
      <c r="S80" t="str">
        <f t="shared" si="8"/>
        <v>—</v>
      </c>
      <c r="T80" t="str">
        <f t="shared" si="9"/>
        <v>⬜  Parcial · Inst. 2 pendiente</v>
      </c>
      <c r="U80" s="53">
        <v>1</v>
      </c>
      <c r="V80" t="s">
        <v>69</v>
      </c>
      <c r="W80">
        <f>IF(NORMALIZADO!BV80="",1,NORMALIZADO!BV80)</f>
        <v>1</v>
      </c>
      <c r="X80">
        <f>IF(NORMALIZADO!BW80="",0,NORMALIZADO!BW80)</f>
        <v>0</v>
      </c>
      <c r="Y80">
        <f>IF(NORMALIZADO!BX80="",0,NORMALIZADO!BX80)</f>
        <v>0</v>
      </c>
      <c r="Z80">
        <f>IF(NORMALIZADO!BY80="",0,NORMALIZADO!BY80)</f>
        <v>0</v>
      </c>
      <c r="AO80" t="str">
        <f t="shared" si="10"/>
        <v>N/A</v>
      </c>
      <c r="AP80" t="str">
        <f>IF(COUNT(NORMALIZADO!BV80:BY80)&gt;=3,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v>
      </c>
      <c r="AQ80">
        <f>IF(ISNUMBER(M80),1,0)+IF(ISNUMBER(SCORECARDS!H80),1,0)+IF(ISNUMBER(SCORECARDS!I80),1,0)+IF(ISNUMBER(SCORECARDS!J80),1,0)+IF(ISNUMBER(ISCAM_Score!K81),1,0)+IF(ISNUMBER(O80),1,0)+IF(COUNT(W80:Z80)&gt;0,1,0)</f>
        <v>2</v>
      </c>
      <c r="AR80" t="s">
        <v>1545</v>
      </c>
      <c r="AS80" t="s">
        <v>74</v>
      </c>
    </row>
    <row r="81" spans="1:43" ht="16.05" customHeight="1" x14ac:dyDescent="0.3">
      <c r="A81" t="s">
        <v>245</v>
      </c>
      <c r="B81" t="s">
        <v>246</v>
      </c>
      <c r="C81" t="s">
        <v>80</v>
      </c>
      <c r="D81" t="s">
        <v>73</v>
      </c>
      <c r="G81" t="s">
        <v>74</v>
      </c>
      <c r="J81" t="s">
        <v>67</v>
      </c>
      <c r="M81" t="str">
        <f t="shared" si="11"/>
        <v/>
      </c>
      <c r="N81" t="s">
        <v>68</v>
      </c>
      <c r="O81" t="str">
        <f t="shared" si="12"/>
        <v/>
      </c>
      <c r="P81" t="s">
        <v>68</v>
      </c>
      <c r="S81" t="str">
        <f t="shared" si="8"/>
        <v>—</v>
      </c>
      <c r="T81" t="str">
        <f t="shared" si="9"/>
        <v>⬜  Parcial · Inst. 2 pendiente</v>
      </c>
      <c r="U81" s="53">
        <v>1</v>
      </c>
      <c r="V81" t="s">
        <v>69</v>
      </c>
      <c r="W81">
        <f>IF(NORMALIZADO!BV81="",0,NORMALIZADO!BV81)</f>
        <v>0</v>
      </c>
      <c r="X81">
        <f>IF(NORMALIZADO!BW81="",0,NORMALIZADO!BW81)</f>
        <v>0</v>
      </c>
      <c r="Y81">
        <f>IF(NORMALIZADO!BX81="",0,NORMALIZADO!BX81)</f>
        <v>0</v>
      </c>
      <c r="Z81">
        <f>IF(NORMALIZADO!BY81="",0,NORMALIZADO!BY81)</f>
        <v>0</v>
      </c>
      <c r="AO81" t="str">
        <f t="shared" si="10"/>
        <v>N/A</v>
      </c>
      <c r="AP81" t="str">
        <f>IF(COUNT(NORMALIZADO!BV81:BY81)&gt;=3,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1</v>
      </c>
    </row>
    <row r="82" spans="1:43" ht="16.05" customHeight="1" x14ac:dyDescent="0.3">
      <c r="A82" t="s">
        <v>247</v>
      </c>
      <c r="B82" t="s">
        <v>248</v>
      </c>
      <c r="C82" t="s">
        <v>249</v>
      </c>
      <c r="D82" t="s">
        <v>65</v>
      </c>
      <c r="E82">
        <v>1435723.71</v>
      </c>
      <c r="F82">
        <v>10</v>
      </c>
      <c r="G82" t="s">
        <v>66</v>
      </c>
      <c r="J82" t="s">
        <v>67</v>
      </c>
      <c r="L82">
        <v>717861.85</v>
      </c>
      <c r="M82">
        <f t="shared" si="11"/>
        <v>50</v>
      </c>
      <c r="N82" t="s">
        <v>68</v>
      </c>
      <c r="O82" t="str">
        <f t="shared" si="12"/>
        <v/>
      </c>
      <c r="P82" t="s">
        <v>68</v>
      </c>
      <c r="S82" t="str">
        <f t="shared" si="8"/>
        <v>—</v>
      </c>
      <c r="T82" t="str">
        <f t="shared" si="9"/>
        <v>⬜  Parcial · Inst. 2 pendiente</v>
      </c>
      <c r="U82" s="53">
        <v>1</v>
      </c>
      <c r="V82" t="s">
        <v>69</v>
      </c>
      <c r="W82">
        <f>IF(NORMALIZADO!BV82="",1,NORMALIZADO!BV82)</f>
        <v>1</v>
      </c>
      <c r="X82">
        <f>IF(NORMALIZADO!BW82="",0,NORMALIZADO!BW82)</f>
        <v>0</v>
      </c>
      <c r="Y82">
        <f>IF(NORMALIZADO!BX82="",0,NORMALIZADO!BX82)</f>
        <v>0</v>
      </c>
      <c r="Z82">
        <f>IF(NORMALIZADO!BY82="",0,NORMALIZADO!BY82)</f>
        <v>0</v>
      </c>
      <c r="AO82" t="str">
        <f t="shared" si="10"/>
        <v>N/A</v>
      </c>
      <c r="AP82" t="str">
        <f>IF(COUNT(NORMALIZADO!BV82:BY82)&gt;=3,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v>
      </c>
      <c r="AQ82">
        <f>IF(ISNUMBER(M82),1,0)+IF(ISNUMBER(SCORECARDS!H82),1,0)+IF(ISNUMBER(SCORECARDS!I82),1,0)+IF(ISNUMBER(SCORECARDS!J82),1,0)+IF(ISNUMBER(ISCAM_Score!K83),1,0)+IF(ISNUMBER(O82),1,0)+IF(COUNT(W82:Z82)&gt;0,1,0)</f>
        <v>2</v>
      </c>
    </row>
    <row r="83" spans="1:43" ht="16.05" customHeight="1" x14ac:dyDescent="0.3">
      <c r="A83" t="s">
        <v>250</v>
      </c>
      <c r="B83" t="s">
        <v>251</v>
      </c>
      <c r="C83" t="s">
        <v>249</v>
      </c>
      <c r="D83" t="s">
        <v>65</v>
      </c>
      <c r="G83" t="s">
        <v>74</v>
      </c>
      <c r="J83" t="s">
        <v>67</v>
      </c>
      <c r="M83" t="str">
        <f t="shared" si="11"/>
        <v/>
      </c>
      <c r="N83" t="s">
        <v>68</v>
      </c>
      <c r="O83" t="str">
        <f t="shared" si="12"/>
        <v/>
      </c>
      <c r="P83" t="s">
        <v>68</v>
      </c>
      <c r="S83" t="str">
        <f t="shared" si="8"/>
        <v>—</v>
      </c>
      <c r="T83" t="str">
        <f t="shared" si="9"/>
        <v>⬜  Parcial · Inst. 2 pendiente</v>
      </c>
      <c r="U83" s="53">
        <v>1</v>
      </c>
      <c r="V83" t="s">
        <v>69</v>
      </c>
      <c r="W83">
        <f>IF(NORMALIZADO!BV83="",0,NORMALIZADO!BV83)</f>
        <v>0</v>
      </c>
      <c r="X83">
        <f>IF(NORMALIZADO!BW83="",0,NORMALIZADO!BW83)</f>
        <v>0</v>
      </c>
      <c r="Y83">
        <f>IF(NORMALIZADO!BX83="",0,NORMALIZADO!BX83)</f>
        <v>0</v>
      </c>
      <c r="Z83">
        <f>IF(NORMALIZADO!BY83="",0,NORMALIZADO!BY83)</f>
        <v>0</v>
      </c>
      <c r="AO83" t="str">
        <f t="shared" si="10"/>
        <v>N/A</v>
      </c>
      <c r="AP83" t="str">
        <f>IF(COUNT(NORMALIZADO!BV83:BY83)&gt;=3,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1</v>
      </c>
    </row>
    <row r="84" spans="1:43" ht="16.05" customHeight="1" x14ac:dyDescent="0.3">
      <c r="A84" t="s">
        <v>252</v>
      </c>
      <c r="B84" t="s">
        <v>253</v>
      </c>
      <c r="C84" t="s">
        <v>77</v>
      </c>
      <c r="D84" t="s">
        <v>73</v>
      </c>
      <c r="E84">
        <v>113466.98</v>
      </c>
      <c r="F84">
        <v>10</v>
      </c>
      <c r="G84" t="s">
        <v>66</v>
      </c>
      <c r="J84" t="s">
        <v>67</v>
      </c>
      <c r="L84">
        <v>0</v>
      </c>
      <c r="M84">
        <f t="shared" si="11"/>
        <v>0</v>
      </c>
      <c r="N84" t="s">
        <v>68</v>
      </c>
      <c r="O84" t="str">
        <f t="shared" si="12"/>
        <v/>
      </c>
      <c r="P84" t="s">
        <v>68</v>
      </c>
      <c r="S84" t="str">
        <f t="shared" si="8"/>
        <v>—</v>
      </c>
      <c r="T84" t="str">
        <f t="shared" si="9"/>
        <v>⬜  Parcial · Inst. 2 pendiente</v>
      </c>
      <c r="U84" s="53">
        <v>1</v>
      </c>
      <c r="V84" t="s">
        <v>69</v>
      </c>
      <c r="W84">
        <f>IF(NORMALIZADO!BV84="",0,NORMALIZADO!BV84)</f>
        <v>0</v>
      </c>
      <c r="X84">
        <f>IF(NORMALIZADO!BW84="",0,NORMALIZADO!BW84)</f>
        <v>0</v>
      </c>
      <c r="Y84">
        <f>IF(NORMALIZADO!BX84="",0,NORMALIZADO!BX84)</f>
        <v>0</v>
      </c>
      <c r="Z84">
        <f>IF(NORMALIZADO!BY84="",0,NORMALIZADO!BY84)</f>
        <v>0</v>
      </c>
      <c r="AO84" t="str">
        <f t="shared" si="10"/>
        <v>N/A</v>
      </c>
      <c r="AP84" t="str">
        <f>IF(COUNT(NORMALIZADO!BV84:BY84)&gt;=3,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v>
      </c>
      <c r="AQ84">
        <f>IF(ISNUMBER(M84),1,0)+IF(ISNUMBER(SCORECARDS!H84),1,0)+IF(ISNUMBER(SCORECARDS!I84),1,0)+IF(ISNUMBER(SCORECARDS!J84),1,0)+IF(ISNUMBER(ISCAM_Score!K85),1,0)+IF(ISNUMBER(O84),1,0)+IF(COUNT(W84:Z84)&gt;0,1,0)</f>
        <v>2</v>
      </c>
    </row>
    <row r="85" spans="1:43" ht="16.05" customHeight="1" x14ac:dyDescent="0.3">
      <c r="A85" t="s">
        <v>254</v>
      </c>
      <c r="B85" t="s">
        <v>255</v>
      </c>
      <c r="C85" t="s">
        <v>77</v>
      </c>
      <c r="D85" t="s">
        <v>65</v>
      </c>
      <c r="E85">
        <v>5355025.2299999986</v>
      </c>
      <c r="F85">
        <v>27</v>
      </c>
      <c r="G85" t="s">
        <v>66</v>
      </c>
      <c r="J85" t="s">
        <v>67</v>
      </c>
      <c r="L85">
        <v>2677512.61</v>
      </c>
      <c r="M85">
        <f t="shared" si="11"/>
        <v>50</v>
      </c>
      <c r="N85" t="s">
        <v>68</v>
      </c>
      <c r="O85" t="str">
        <f t="shared" si="12"/>
        <v/>
      </c>
      <c r="P85" t="s">
        <v>68</v>
      </c>
      <c r="S85" t="str">
        <f t="shared" si="8"/>
        <v>—</v>
      </c>
      <c r="T85" t="str">
        <f t="shared" si="9"/>
        <v>⬜  Parcial · Inst. 2 pendiente</v>
      </c>
      <c r="U85" s="53">
        <v>1</v>
      </c>
      <c r="V85" t="s">
        <v>69</v>
      </c>
      <c r="W85">
        <f>IF(NORMALIZADO!BV85="",1,NORMALIZADO!BV85)</f>
        <v>1</v>
      </c>
      <c r="X85">
        <f>IF(NORMALIZADO!BW85="",0,NORMALIZADO!BW85)</f>
        <v>0</v>
      </c>
      <c r="Y85">
        <f>IF(NORMALIZADO!BX85="",0,NORMALIZADO!BX85)</f>
        <v>0</v>
      </c>
      <c r="Z85">
        <f>IF(NORMALIZADO!BY85="",0,NORMALIZADO!BY85)</f>
        <v>0</v>
      </c>
      <c r="AO85" t="str">
        <f t="shared" si="10"/>
        <v>N/A</v>
      </c>
      <c r="AP85" t="str">
        <f>IF(COUNT(NORMALIZADO!BV85:BY85)&gt;=3,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v>
      </c>
      <c r="AQ85">
        <f>IF(ISNUMBER(M85),1,0)+IF(ISNUMBER(SCORECARDS!H85),1,0)+IF(ISNUMBER(SCORECARDS!I85),1,0)+IF(ISNUMBER(SCORECARDS!J85),1,0)+IF(ISNUMBER(ISCAM_Score!K86),1,0)+IF(ISNUMBER(O85),1,0)+IF(COUNT(W85:Z85)&gt;0,1,0)</f>
        <v>2</v>
      </c>
    </row>
    <row r="86" spans="1:43" ht="16.05" customHeight="1" x14ac:dyDescent="0.3">
      <c r="A86" t="s">
        <v>256</v>
      </c>
      <c r="B86" t="s">
        <v>257</v>
      </c>
      <c r="C86" t="s">
        <v>249</v>
      </c>
      <c r="D86" t="s">
        <v>73</v>
      </c>
      <c r="G86" t="s">
        <v>74</v>
      </c>
      <c r="J86" t="s">
        <v>67</v>
      </c>
      <c r="M86" t="str">
        <f t="shared" si="11"/>
        <v/>
      </c>
      <c r="N86" t="s">
        <v>68</v>
      </c>
      <c r="O86" t="str">
        <f t="shared" si="12"/>
        <v/>
      </c>
      <c r="P86" t="s">
        <v>68</v>
      </c>
      <c r="S86" t="str">
        <f t="shared" si="8"/>
        <v>—</v>
      </c>
      <c r="T86" t="str">
        <f t="shared" si="9"/>
        <v>⬜  Parcial · Inst. 2 pendiente</v>
      </c>
      <c r="U86" s="53">
        <v>1</v>
      </c>
      <c r="V86" t="s">
        <v>69</v>
      </c>
      <c r="W86">
        <f>IF(NORMALIZADO!BV86="",0,NORMALIZADO!BV86)</f>
        <v>0</v>
      </c>
      <c r="X86">
        <f>IF(NORMALIZADO!BW86="",0,NORMALIZADO!BW86)</f>
        <v>0</v>
      </c>
      <c r="Y86">
        <f>IF(NORMALIZADO!BX86="",0,NORMALIZADO!BX86)</f>
        <v>0</v>
      </c>
      <c r="Z86">
        <f>IF(NORMALIZADO!BY86="",0,NORMALIZADO!BY86)</f>
        <v>0</v>
      </c>
      <c r="AO86" t="str">
        <f t="shared" si="10"/>
        <v>N/A</v>
      </c>
      <c r="AP86" t="str">
        <f>IF(COUNT(NORMALIZADO!BV86:BY86)&gt;=3,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1</v>
      </c>
    </row>
    <row r="87" spans="1:43" ht="16.05" customHeight="1" x14ac:dyDescent="0.3">
      <c r="A87" t="s">
        <v>258</v>
      </c>
      <c r="B87" t="s">
        <v>259</v>
      </c>
      <c r="C87" t="s">
        <v>249</v>
      </c>
      <c r="D87" t="s">
        <v>73</v>
      </c>
      <c r="G87" t="s">
        <v>74</v>
      </c>
      <c r="J87" t="s">
        <v>67</v>
      </c>
      <c r="M87" t="str">
        <f t="shared" si="11"/>
        <v/>
      </c>
      <c r="N87" t="s">
        <v>68</v>
      </c>
      <c r="O87" t="str">
        <f t="shared" si="12"/>
        <v/>
      </c>
      <c r="P87" t="s">
        <v>68</v>
      </c>
      <c r="S87" t="str">
        <f t="shared" si="8"/>
        <v>—</v>
      </c>
      <c r="T87" t="str">
        <f t="shared" si="9"/>
        <v>⬜  Parcial · Inst. 2 pendiente</v>
      </c>
      <c r="U87" s="53">
        <v>1</v>
      </c>
      <c r="V87" t="s">
        <v>69</v>
      </c>
      <c r="W87">
        <f>IF(NORMALIZADO!BV87="",0,NORMALIZADO!BV87)</f>
        <v>0</v>
      </c>
      <c r="X87">
        <f>IF(NORMALIZADO!BW87="",0,NORMALIZADO!BW87)</f>
        <v>0</v>
      </c>
      <c r="Y87">
        <f>IF(NORMALIZADO!BX87="",0,NORMALIZADO!BX87)</f>
        <v>0</v>
      </c>
      <c r="Z87">
        <f>IF(NORMALIZADO!BY87="",0,NORMALIZADO!BY87)</f>
        <v>0</v>
      </c>
      <c r="AO87" t="str">
        <f t="shared" si="10"/>
        <v>N/A</v>
      </c>
      <c r="AP87" t="str">
        <f>IF(COUNT(NORMALIZADO!BV87:BY87)&gt;=3,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1</v>
      </c>
    </row>
    <row r="88" spans="1:43" ht="16.05" customHeight="1" x14ac:dyDescent="0.3">
      <c r="A88" t="s">
        <v>260</v>
      </c>
      <c r="B88" t="s">
        <v>261</v>
      </c>
      <c r="C88" t="s">
        <v>249</v>
      </c>
      <c r="D88" t="s">
        <v>73</v>
      </c>
      <c r="G88" t="s">
        <v>74</v>
      </c>
      <c r="J88" t="s">
        <v>67</v>
      </c>
      <c r="M88" t="str">
        <f t="shared" si="11"/>
        <v/>
      </c>
      <c r="N88" t="s">
        <v>68</v>
      </c>
      <c r="O88" t="str">
        <f t="shared" si="12"/>
        <v/>
      </c>
      <c r="P88" t="s">
        <v>68</v>
      </c>
      <c r="S88" t="str">
        <f t="shared" si="8"/>
        <v>—</v>
      </c>
      <c r="T88" t="str">
        <f t="shared" si="9"/>
        <v>⬜  Parcial · Inst. 2 pendiente</v>
      </c>
      <c r="U88" s="53">
        <v>1</v>
      </c>
      <c r="V88" t="s">
        <v>69</v>
      </c>
      <c r="W88">
        <f>IF(NORMALIZADO!BV88="",0,NORMALIZADO!BV88)</f>
        <v>0</v>
      </c>
      <c r="X88">
        <f>IF(NORMALIZADO!BW88="",0,NORMALIZADO!BW88)</f>
        <v>0</v>
      </c>
      <c r="Y88">
        <f>IF(NORMALIZADO!BX88="",0,NORMALIZADO!BX88)</f>
        <v>0</v>
      </c>
      <c r="Z88">
        <f>IF(NORMALIZADO!BY88="",0,NORMALIZADO!BY88)</f>
        <v>0</v>
      </c>
      <c r="AO88" t="str">
        <f t="shared" si="10"/>
        <v>N/A</v>
      </c>
      <c r="AP88" t="str">
        <f>IF(COUNT(NORMALIZADO!BV88:BY88)&gt;=3,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1</v>
      </c>
    </row>
    <row r="89" spans="1:43" ht="16.05" customHeight="1" x14ac:dyDescent="0.3">
      <c r="A89" t="s">
        <v>262</v>
      </c>
      <c r="B89" t="s">
        <v>263</v>
      </c>
      <c r="C89" t="s">
        <v>249</v>
      </c>
      <c r="D89" t="s">
        <v>65</v>
      </c>
      <c r="G89" t="s">
        <v>74</v>
      </c>
      <c r="J89" t="s">
        <v>67</v>
      </c>
      <c r="M89" t="str">
        <f t="shared" si="11"/>
        <v/>
      </c>
      <c r="N89" t="s">
        <v>68</v>
      </c>
      <c r="O89" t="str">
        <f t="shared" si="12"/>
        <v/>
      </c>
      <c r="P89" t="s">
        <v>68</v>
      </c>
      <c r="S89" t="str">
        <f t="shared" si="8"/>
        <v>—</v>
      </c>
      <c r="T89" t="str">
        <f t="shared" si="9"/>
        <v>⬜  Parcial · Inst. 2 pendiente</v>
      </c>
      <c r="U89" s="53">
        <v>1</v>
      </c>
      <c r="V89" t="s">
        <v>69</v>
      </c>
      <c r="W89">
        <f>IF(NORMALIZADO!BV89="",0,NORMALIZADO!BV89)</f>
        <v>0</v>
      </c>
      <c r="X89">
        <f>IF(NORMALIZADO!BW89="",0,NORMALIZADO!BW89)</f>
        <v>0</v>
      </c>
      <c r="Y89">
        <f>IF(NORMALIZADO!BX89="",0,NORMALIZADO!BX89)</f>
        <v>0</v>
      </c>
      <c r="Z89">
        <f>IF(NORMALIZADO!BY89="",0,NORMALIZADO!BY89)</f>
        <v>0</v>
      </c>
      <c r="AO89" t="str">
        <f t="shared" si="10"/>
        <v>N/A</v>
      </c>
      <c r="AP89" t="str">
        <f>IF(COUNT(NORMALIZADO!BV89:BY89)&gt;=3,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1</v>
      </c>
    </row>
    <row r="90" spans="1:43" ht="16.05" customHeight="1" x14ac:dyDescent="0.3">
      <c r="A90" t="s">
        <v>264</v>
      </c>
      <c r="B90" t="s">
        <v>265</v>
      </c>
      <c r="C90" t="s">
        <v>77</v>
      </c>
      <c r="D90" t="s">
        <v>73</v>
      </c>
      <c r="G90" t="s">
        <v>74</v>
      </c>
      <c r="J90" t="s">
        <v>124</v>
      </c>
      <c r="M90" t="str">
        <f t="shared" si="11"/>
        <v/>
      </c>
      <c r="N90" t="s">
        <v>68</v>
      </c>
      <c r="O90" t="str">
        <f t="shared" si="12"/>
        <v/>
      </c>
      <c r="P90" t="s">
        <v>68</v>
      </c>
      <c r="S90" t="str">
        <f t="shared" si="8"/>
        <v>—</v>
      </c>
      <c r="T90" t="str">
        <f t="shared" si="9"/>
        <v>⬜  Parcial · Inst. 2 pendiente</v>
      </c>
      <c r="U90" s="53">
        <v>1</v>
      </c>
      <c r="V90" t="s">
        <v>69</v>
      </c>
      <c r="W90">
        <f>IF(NORMALIZADO!BV90="",0,NORMALIZADO!BV90)</f>
        <v>0</v>
      </c>
      <c r="X90">
        <f>IF(NORMALIZADO!BW90="",0,NORMALIZADO!BW90)</f>
        <v>0</v>
      </c>
      <c r="Y90">
        <f>IF(NORMALIZADO!BX90="",0,NORMALIZADO!BX90)</f>
        <v>0</v>
      </c>
      <c r="Z90">
        <f>IF(NORMALIZADO!BY90="",0,NORMALIZADO!BY90)</f>
        <v>0</v>
      </c>
      <c r="AO90" t="str">
        <f t="shared" si="10"/>
        <v>N/A</v>
      </c>
      <c r="AP90" t="str">
        <f>IF(COUNT(NORMALIZADO!BV90:BY90)&gt;=3,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1</v>
      </c>
    </row>
    <row r="91" spans="1:43" ht="16.05" customHeight="1" x14ac:dyDescent="0.3">
      <c r="A91" t="s">
        <v>266</v>
      </c>
      <c r="B91" t="s">
        <v>267</v>
      </c>
      <c r="C91" t="s">
        <v>77</v>
      </c>
      <c r="D91" t="s">
        <v>65</v>
      </c>
      <c r="G91" t="s">
        <v>74</v>
      </c>
      <c r="J91" t="s">
        <v>106</v>
      </c>
      <c r="M91" t="str">
        <f t="shared" si="11"/>
        <v/>
      </c>
      <c r="N91" t="s">
        <v>68</v>
      </c>
      <c r="O91" t="str">
        <f t="shared" si="12"/>
        <v/>
      </c>
      <c r="P91" t="s">
        <v>68</v>
      </c>
      <c r="S91" t="str">
        <f t="shared" si="8"/>
        <v>—</v>
      </c>
      <c r="T91" t="str">
        <f t="shared" si="9"/>
        <v>⬜  Parcial · Inst. 2 pendiente</v>
      </c>
      <c r="U91" s="53">
        <v>1</v>
      </c>
      <c r="V91" t="s">
        <v>69</v>
      </c>
      <c r="W91">
        <f>IF(NORMALIZADO!BV91="",0,NORMALIZADO!BV91)</f>
        <v>0</v>
      </c>
      <c r="X91">
        <f>IF(NORMALIZADO!BW91="",0,NORMALIZADO!BW91)</f>
        <v>0</v>
      </c>
      <c r="Y91">
        <f>IF(NORMALIZADO!BX91="",0,NORMALIZADO!BX91)</f>
        <v>0</v>
      </c>
      <c r="Z91">
        <f>IF(NORMALIZADO!BY91="",0,NORMALIZADO!BY91)</f>
        <v>0</v>
      </c>
      <c r="AO91" t="str">
        <f t="shared" si="10"/>
        <v>N/A</v>
      </c>
      <c r="AP91" t="str">
        <f>IF(COUNT(NORMALIZADO!BV91:BY91)&gt;=3,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1</v>
      </c>
    </row>
    <row r="92" spans="1:43" ht="16.05" customHeight="1" x14ac:dyDescent="0.3">
      <c r="A92" t="s">
        <v>268</v>
      </c>
      <c r="B92" t="s">
        <v>269</v>
      </c>
      <c r="C92" t="s">
        <v>150</v>
      </c>
      <c r="D92" t="s">
        <v>65</v>
      </c>
      <c r="E92">
        <v>9585341.8000000007</v>
      </c>
      <c r="F92">
        <v>58</v>
      </c>
      <c r="G92" t="s">
        <v>66</v>
      </c>
      <c r="J92" t="s">
        <v>67</v>
      </c>
      <c r="L92">
        <v>4792670.9000000004</v>
      </c>
      <c r="M92">
        <f t="shared" si="11"/>
        <v>50</v>
      </c>
      <c r="N92" t="s">
        <v>68</v>
      </c>
      <c r="O92" t="str">
        <f t="shared" si="12"/>
        <v/>
      </c>
      <c r="P92" t="s">
        <v>68</v>
      </c>
      <c r="S92" t="str">
        <f t="shared" si="8"/>
        <v>—</v>
      </c>
      <c r="T92" t="str">
        <f t="shared" si="9"/>
        <v>⬜  Parcial · Inst. 2 pendiente</v>
      </c>
      <c r="U92" s="53">
        <v>1</v>
      </c>
      <c r="V92" t="s">
        <v>69</v>
      </c>
      <c r="W92">
        <f>IF(NORMALIZADO!BV92="",1,NORMALIZADO!BV92)</f>
        <v>1</v>
      </c>
      <c r="X92">
        <f>IF(NORMALIZADO!BW92="",0,NORMALIZADO!BW92)</f>
        <v>0</v>
      </c>
      <c r="Y92">
        <f>IF(NORMALIZADO!BX92="",0,NORMALIZADO!BX92)</f>
        <v>0</v>
      </c>
      <c r="Z92">
        <f>IF(NORMALIZADO!BY92="",0,NORMALIZADO!BY92)</f>
        <v>0</v>
      </c>
      <c r="AO92" t="str">
        <f t="shared" si="10"/>
        <v>N/A</v>
      </c>
      <c r="AP92" t="str">
        <f>IF(COUNT(NORMALIZADO!BV92:BY92)&gt;=3,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v>
      </c>
      <c r="AQ92">
        <f>IF(ISNUMBER(M92),1,0)+IF(ISNUMBER(SCORECARDS!H92),1,0)+IF(ISNUMBER(SCORECARDS!I92),1,0)+IF(ISNUMBER(SCORECARDS!J92),1,0)+IF(ISNUMBER(ISCAM_Score!K93),1,0)+IF(ISNUMBER(O92),1,0)+IF(COUNT(W92:Z92)&gt;0,1,0)</f>
        <v>2</v>
      </c>
    </row>
    <row r="93" spans="1:43" ht="16.05" customHeight="1" x14ac:dyDescent="0.3">
      <c r="A93" t="s">
        <v>270</v>
      </c>
      <c r="B93" t="s">
        <v>271</v>
      </c>
      <c r="C93" t="s">
        <v>139</v>
      </c>
      <c r="G93" t="s">
        <v>74</v>
      </c>
      <c r="J93" t="s">
        <v>67</v>
      </c>
      <c r="M93" t="str">
        <f t="shared" si="11"/>
        <v/>
      </c>
      <c r="N93" t="s">
        <v>68</v>
      </c>
      <c r="O93" t="str">
        <f t="shared" si="12"/>
        <v/>
      </c>
      <c r="P93" t="s">
        <v>68</v>
      </c>
      <c r="S93" t="str">
        <f t="shared" si="8"/>
        <v>—</v>
      </c>
      <c r="T93" t="str">
        <f t="shared" si="9"/>
        <v>⬜  Parcial · Inst. 2 pendiente</v>
      </c>
      <c r="U93" s="53">
        <v>1</v>
      </c>
      <c r="V93" t="s">
        <v>69</v>
      </c>
      <c r="W93">
        <f>IF(NORMALIZADO!BV93="",0,NORMALIZADO!BV93)</f>
        <v>0</v>
      </c>
      <c r="X93">
        <f>IF(NORMALIZADO!BW93="",0,NORMALIZADO!BW93)</f>
        <v>0</v>
      </c>
      <c r="Y93">
        <f>IF(NORMALIZADO!BX93="",0,NORMALIZADO!BX93)</f>
        <v>0</v>
      </c>
      <c r="Z93">
        <f>IF(NORMALIZADO!BY93="",0,NORMALIZADO!BY93)</f>
        <v>0</v>
      </c>
      <c r="AO93" t="str">
        <f t="shared" si="10"/>
        <v>N/A</v>
      </c>
      <c r="AP93" t="str">
        <f>IF(COUNT(NORMALIZADO!BV93:BY93)&gt;=3,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1</v>
      </c>
    </row>
    <row r="94" spans="1:43" ht="16.05" customHeight="1" x14ac:dyDescent="0.3">
      <c r="A94" t="s">
        <v>272</v>
      </c>
      <c r="B94" t="s">
        <v>273</v>
      </c>
      <c r="C94" t="s">
        <v>139</v>
      </c>
      <c r="E94">
        <v>3777944.83</v>
      </c>
      <c r="F94">
        <v>14</v>
      </c>
      <c r="G94" t="s">
        <v>66</v>
      </c>
      <c r="J94" t="s">
        <v>67</v>
      </c>
      <c r="L94">
        <v>1888972.42</v>
      </c>
      <c r="M94">
        <f t="shared" si="11"/>
        <v>50</v>
      </c>
      <c r="N94" t="s">
        <v>68</v>
      </c>
      <c r="O94" t="str">
        <f t="shared" si="12"/>
        <v/>
      </c>
      <c r="P94" t="s">
        <v>68</v>
      </c>
      <c r="S94" t="str">
        <f t="shared" si="8"/>
        <v>—</v>
      </c>
      <c r="T94" t="str">
        <f t="shared" si="9"/>
        <v>⬜  Parcial · Inst. 2 pendiente</v>
      </c>
      <c r="U94" s="53">
        <v>1</v>
      </c>
      <c r="V94" t="s">
        <v>69</v>
      </c>
      <c r="W94">
        <f>IF(NORMALIZADO!BV94="",1,NORMALIZADO!BV94)</f>
        <v>1</v>
      </c>
      <c r="X94">
        <f>IF(NORMALIZADO!BW94="",0,NORMALIZADO!BW94)</f>
        <v>0</v>
      </c>
      <c r="Y94">
        <f>IF(NORMALIZADO!BX94="",0,NORMALIZADO!BX94)</f>
        <v>0</v>
      </c>
      <c r="Z94">
        <f>IF(NORMALIZADO!BY94="",0,NORMALIZADO!BY94)</f>
        <v>0</v>
      </c>
      <c r="AO94" t="str">
        <f t="shared" si="10"/>
        <v>N/A</v>
      </c>
      <c r="AP94" t="str">
        <f>IF(COUNT(NORMALIZADO!BV94:BY94)&gt;=3,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v>
      </c>
      <c r="AQ94">
        <f>IF(ISNUMBER(M94),1,0)+IF(ISNUMBER(SCORECARDS!H94),1,0)+IF(ISNUMBER(SCORECARDS!I94),1,0)+IF(ISNUMBER(SCORECARDS!J94),1,0)+IF(ISNUMBER(ISCAM_Score!K95),1,0)+IF(ISNUMBER(O94),1,0)+IF(COUNT(W94:Z94)&gt;0,1,0)</f>
        <v>2</v>
      </c>
    </row>
    <row r="95" spans="1:43" ht="16.05" customHeight="1" x14ac:dyDescent="0.3">
      <c r="A95" t="s">
        <v>274</v>
      </c>
      <c r="B95" t="s">
        <v>275</v>
      </c>
      <c r="C95" t="s">
        <v>119</v>
      </c>
      <c r="D95" t="s">
        <v>73</v>
      </c>
      <c r="G95" t="s">
        <v>74</v>
      </c>
      <c r="J95" t="s">
        <v>67</v>
      </c>
      <c r="M95" t="str">
        <f t="shared" si="11"/>
        <v/>
      </c>
      <c r="N95" t="s">
        <v>68</v>
      </c>
      <c r="O95" t="str">
        <f t="shared" si="12"/>
        <v/>
      </c>
      <c r="P95" t="s">
        <v>68</v>
      </c>
      <c r="S95" t="str">
        <f t="shared" si="8"/>
        <v>—</v>
      </c>
      <c r="T95" t="str">
        <f t="shared" si="9"/>
        <v>⬜  Parcial · Inst. 2 pendiente</v>
      </c>
      <c r="U95" s="53">
        <v>1</v>
      </c>
      <c r="V95" t="s">
        <v>69</v>
      </c>
      <c r="W95">
        <f>IF(NORMALIZADO!BV95="",0,NORMALIZADO!BV95)</f>
        <v>0</v>
      </c>
      <c r="X95">
        <f>IF(NORMALIZADO!BW95="",0,NORMALIZADO!BW95)</f>
        <v>0</v>
      </c>
      <c r="Y95">
        <f>IF(NORMALIZADO!BX95="",0,NORMALIZADO!BX95)</f>
        <v>0</v>
      </c>
      <c r="Z95">
        <f>IF(NORMALIZADO!BY95="",0,NORMALIZADO!BY95)</f>
        <v>0</v>
      </c>
      <c r="AO95" t="str">
        <f t="shared" si="10"/>
        <v>N/A</v>
      </c>
      <c r="AP95" t="str">
        <f>IF(COUNT(NORMALIZADO!BV95:BY95)&gt;=3,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1</v>
      </c>
    </row>
    <row r="96" spans="1:43" ht="16.05" customHeight="1" x14ac:dyDescent="0.3">
      <c r="A96" t="s">
        <v>276</v>
      </c>
      <c r="B96" t="s">
        <v>277</v>
      </c>
      <c r="C96" t="s">
        <v>119</v>
      </c>
      <c r="D96" t="s">
        <v>73</v>
      </c>
      <c r="G96" t="s">
        <v>74</v>
      </c>
      <c r="J96" t="s">
        <v>67</v>
      </c>
      <c r="M96" t="str">
        <f t="shared" si="11"/>
        <v/>
      </c>
      <c r="N96" t="s">
        <v>68</v>
      </c>
      <c r="O96" t="str">
        <f t="shared" si="12"/>
        <v/>
      </c>
      <c r="P96" t="s">
        <v>68</v>
      </c>
      <c r="S96" t="str">
        <f t="shared" si="8"/>
        <v>—</v>
      </c>
      <c r="T96" t="str">
        <f t="shared" si="9"/>
        <v>⬜  Parcial · Inst. 2 pendiente</v>
      </c>
      <c r="U96" s="53">
        <v>1</v>
      </c>
      <c r="V96" t="s">
        <v>69</v>
      </c>
      <c r="W96">
        <f>IF(NORMALIZADO!BV96="",0,NORMALIZADO!BV96)</f>
        <v>0</v>
      </c>
      <c r="X96">
        <f>IF(NORMALIZADO!BW96="",0,NORMALIZADO!BW96)</f>
        <v>0</v>
      </c>
      <c r="Y96">
        <f>IF(NORMALIZADO!BX96="",0,NORMALIZADO!BX96)</f>
        <v>0</v>
      </c>
      <c r="Z96">
        <f>IF(NORMALIZADO!BY96="",0,NORMALIZADO!BY96)</f>
        <v>0</v>
      </c>
      <c r="AO96" t="str">
        <f t="shared" si="10"/>
        <v>N/A</v>
      </c>
      <c r="AP96" t="str">
        <f>IF(COUNT(NORMALIZADO!BV96:BY96)&gt;=3,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1</v>
      </c>
    </row>
    <row r="97" spans="1:45" ht="16.05" customHeight="1" x14ac:dyDescent="0.3">
      <c r="A97" t="s">
        <v>278</v>
      </c>
      <c r="B97" t="s">
        <v>279</v>
      </c>
      <c r="C97" t="s">
        <v>119</v>
      </c>
      <c r="D97" t="s">
        <v>73</v>
      </c>
      <c r="G97" t="s">
        <v>74</v>
      </c>
      <c r="J97" t="s">
        <v>124</v>
      </c>
      <c r="M97" t="str">
        <f t="shared" si="11"/>
        <v/>
      </c>
      <c r="N97" t="s">
        <v>68</v>
      </c>
      <c r="O97" t="str">
        <f t="shared" si="12"/>
        <v/>
      </c>
      <c r="P97" t="s">
        <v>68</v>
      </c>
      <c r="S97" t="str">
        <f t="shared" si="8"/>
        <v>—</v>
      </c>
      <c r="T97" t="str">
        <f t="shared" si="9"/>
        <v>⬜  Parcial · Inst. 2 pendiente</v>
      </c>
      <c r="U97" s="53">
        <v>1</v>
      </c>
      <c r="V97" t="s">
        <v>69</v>
      </c>
      <c r="W97">
        <f>IF(NORMALIZADO!BV97="",0,NORMALIZADO!BV97)</f>
        <v>0</v>
      </c>
      <c r="X97">
        <f>IF(NORMALIZADO!BW97="",0,NORMALIZADO!BW97)</f>
        <v>0</v>
      </c>
      <c r="Y97">
        <f>IF(NORMALIZADO!BX97="",0,NORMALIZADO!BX97)</f>
        <v>0</v>
      </c>
      <c r="Z97">
        <f>IF(NORMALIZADO!BY97="",0,NORMALIZADO!BY97)</f>
        <v>0</v>
      </c>
      <c r="AO97" t="str">
        <f t="shared" si="10"/>
        <v>N/A</v>
      </c>
      <c r="AP97" t="str">
        <f>IF(COUNT(NORMALIZADO!BV97:BY97)&gt;=3,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1</v>
      </c>
    </row>
    <row r="98" spans="1:45" ht="16.05" customHeight="1" x14ac:dyDescent="0.3">
      <c r="A98" t="s">
        <v>280</v>
      </c>
      <c r="B98" t="s">
        <v>281</v>
      </c>
      <c r="C98" t="s">
        <v>119</v>
      </c>
      <c r="D98" t="s">
        <v>73</v>
      </c>
      <c r="G98" t="s">
        <v>74</v>
      </c>
      <c r="J98" t="s">
        <v>67</v>
      </c>
      <c r="M98" t="str">
        <f t="shared" si="11"/>
        <v/>
      </c>
      <c r="N98" t="s">
        <v>68</v>
      </c>
      <c r="O98" t="str">
        <f t="shared" si="12"/>
        <v/>
      </c>
      <c r="P98" t="s">
        <v>68</v>
      </c>
      <c r="S98" t="str">
        <f t="shared" si="8"/>
        <v>—</v>
      </c>
      <c r="T98" t="str">
        <f t="shared" si="9"/>
        <v>⬜  Parcial · Inst. 2 pendiente</v>
      </c>
      <c r="U98" s="53">
        <v>1</v>
      </c>
      <c r="V98" t="s">
        <v>69</v>
      </c>
      <c r="W98">
        <f>IF(NORMALIZADO!BV98="",0,NORMALIZADO!BV98)</f>
        <v>0</v>
      </c>
      <c r="X98">
        <f>IF(NORMALIZADO!BW98="",0,NORMALIZADO!BW98)</f>
        <v>0</v>
      </c>
      <c r="Y98">
        <f>IF(NORMALIZADO!BX98="",0,NORMALIZADO!BX98)</f>
        <v>0</v>
      </c>
      <c r="Z98">
        <f>IF(NORMALIZADO!BY98="",0,NORMALIZADO!BY98)</f>
        <v>0</v>
      </c>
      <c r="AO98" t="str">
        <f t="shared" si="10"/>
        <v>N/A</v>
      </c>
      <c r="AP98" t="str">
        <f>IF(COUNT(NORMALIZADO!BV98:BY98)&gt;=3,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1</v>
      </c>
    </row>
    <row r="99" spans="1:45" ht="16.05" customHeight="1" x14ac:dyDescent="0.3">
      <c r="A99" t="s">
        <v>282</v>
      </c>
      <c r="B99" t="s">
        <v>283</v>
      </c>
      <c r="C99" t="s">
        <v>119</v>
      </c>
      <c r="D99" t="s">
        <v>284</v>
      </c>
      <c r="G99" t="s">
        <v>74</v>
      </c>
      <c r="J99" t="s">
        <v>124</v>
      </c>
      <c r="M99" t="str">
        <f t="shared" si="11"/>
        <v/>
      </c>
      <c r="N99" t="s">
        <v>68</v>
      </c>
      <c r="O99" t="str">
        <f t="shared" si="12"/>
        <v/>
      </c>
      <c r="P99" t="s">
        <v>68</v>
      </c>
      <c r="S99" t="str">
        <f t="shared" ref="S99:S130" si="13">IFERROR(ROUND(AP99*100,1),"—")</f>
        <v>—</v>
      </c>
      <c r="T99" t="str">
        <f t="shared" ref="T99:T130" si="14">IF(AQ99&lt;6,"⬜  Parcial · Inst. 2 pendiente",IF(NOT(ISNUMBER(S99)),"—",IF(S99&lt;34,"🔴 Crítico",IF(S99&lt;67,"🟡 Vulnerable","🟢 Preparado"))))</f>
        <v>⬜  Parcial · Inst. 2 pendiente</v>
      </c>
      <c r="U99" s="53">
        <v>1</v>
      </c>
      <c r="V99" t="s">
        <v>69</v>
      </c>
      <c r="W99">
        <f>IF(NORMALIZADO!BV99="",0,NORMALIZADO!BV99)</f>
        <v>0</v>
      </c>
      <c r="X99">
        <f>IF(NORMALIZADO!BW99="",0,NORMALIZADO!BW99)</f>
        <v>0</v>
      </c>
      <c r="Y99">
        <f>IF(NORMALIZADO!BX99="",0,NORMALIZADO!BX99)</f>
        <v>0</v>
      </c>
      <c r="Z99">
        <f>IF(NORMALIZADO!BY99="",0,NORMALIZADO!BY99)</f>
        <v>0</v>
      </c>
      <c r="AO99" t="str">
        <f t="shared" ref="AO99:AO130" si="15">IFERROR(AVERAGE(AA99,AB99,AC99,AD99,AE99,AF99,AG99,AH99,AI99,AJ99,AK99,AL99,AM99,AN99),"N/A")</f>
        <v>N/A</v>
      </c>
      <c r="AP99" t="str">
        <f>IF(COUNT(NORMALIZADO!BV99:BY99)&gt;=3,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1</v>
      </c>
    </row>
    <row r="100" spans="1:45" ht="16.05" customHeight="1" x14ac:dyDescent="0.3">
      <c r="A100" t="s">
        <v>285</v>
      </c>
      <c r="B100" t="s">
        <v>286</v>
      </c>
      <c r="C100" t="s">
        <v>80</v>
      </c>
      <c r="D100" t="s">
        <v>73</v>
      </c>
      <c r="G100" t="s">
        <v>74</v>
      </c>
      <c r="J100" t="s">
        <v>67</v>
      </c>
      <c r="M100" t="str">
        <f t="shared" si="11"/>
        <v/>
      </c>
      <c r="N100" t="s">
        <v>68</v>
      </c>
      <c r="O100" t="str">
        <f t="shared" si="12"/>
        <v/>
      </c>
      <c r="P100" t="s">
        <v>68</v>
      </c>
      <c r="S100" t="str">
        <f t="shared" si="13"/>
        <v>—</v>
      </c>
      <c r="T100" t="str">
        <f t="shared" si="14"/>
        <v>⬜  Parcial · Inst. 2 pendiente</v>
      </c>
      <c r="U100" s="53">
        <v>1</v>
      </c>
      <c r="V100" t="s">
        <v>69</v>
      </c>
      <c r="W100">
        <f>IF(NORMALIZADO!BV100="",0,NORMALIZADO!BV100)</f>
        <v>0</v>
      </c>
      <c r="X100">
        <f>IF(NORMALIZADO!BW100="",0,NORMALIZADO!BW100)</f>
        <v>0</v>
      </c>
      <c r="Y100">
        <f>IF(NORMALIZADO!BX100="",0,NORMALIZADO!BX100)</f>
        <v>0</v>
      </c>
      <c r="Z100">
        <f>IF(NORMALIZADO!BY100="",0,NORMALIZADO!BY100)</f>
        <v>0</v>
      </c>
      <c r="AO100" t="str">
        <f t="shared" si="15"/>
        <v>N/A</v>
      </c>
      <c r="AP100" t="str">
        <f>IF(COUNT(NORMALIZADO!BV100:BY100)&gt;=3,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1</v>
      </c>
    </row>
    <row r="101" spans="1:45" ht="16.05" customHeight="1" x14ac:dyDescent="0.3">
      <c r="A101" t="s">
        <v>287</v>
      </c>
      <c r="B101" t="s">
        <v>288</v>
      </c>
      <c r="C101" t="s">
        <v>112</v>
      </c>
      <c r="D101" t="s">
        <v>65</v>
      </c>
      <c r="G101" t="s">
        <v>74</v>
      </c>
      <c r="J101" t="s">
        <v>67</v>
      </c>
      <c r="M101" t="str">
        <f t="shared" si="11"/>
        <v/>
      </c>
      <c r="N101" t="s">
        <v>68</v>
      </c>
      <c r="O101" t="str">
        <f t="shared" si="12"/>
        <v/>
      </c>
      <c r="P101" t="s">
        <v>68</v>
      </c>
      <c r="S101" t="str">
        <f t="shared" si="13"/>
        <v>—</v>
      </c>
      <c r="T101" t="str">
        <f t="shared" si="14"/>
        <v>⬜  Parcial · Inst. 2 pendiente</v>
      </c>
      <c r="U101" s="53">
        <v>1</v>
      </c>
      <c r="V101" t="s">
        <v>69</v>
      </c>
      <c r="W101">
        <f>IF(NORMALIZADO!BV101="",0,NORMALIZADO!BV101)</f>
        <v>0</v>
      </c>
      <c r="X101">
        <f>IF(NORMALIZADO!BW101="",0,NORMALIZADO!BW101)</f>
        <v>0</v>
      </c>
      <c r="Y101">
        <f>IF(NORMALIZADO!BX101="",0,NORMALIZADO!BX101)</f>
        <v>0</v>
      </c>
      <c r="Z101">
        <f>IF(NORMALIZADO!BY101="",0,NORMALIZADO!BY101)</f>
        <v>0</v>
      </c>
      <c r="AO101" t="str">
        <f t="shared" si="15"/>
        <v>N/A</v>
      </c>
      <c r="AP101" t="str">
        <f>IF(COUNT(NORMALIZADO!BV101:BY101)&gt;=3,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1</v>
      </c>
    </row>
    <row r="102" spans="1:45" ht="16.05" customHeight="1" x14ac:dyDescent="0.3">
      <c r="A102" t="s">
        <v>289</v>
      </c>
      <c r="B102" t="s">
        <v>290</v>
      </c>
      <c r="C102" t="s">
        <v>119</v>
      </c>
      <c r="D102" t="s">
        <v>73</v>
      </c>
      <c r="G102" t="s">
        <v>74</v>
      </c>
      <c r="J102" t="s">
        <v>67</v>
      </c>
      <c r="M102" t="str">
        <f t="shared" si="11"/>
        <v/>
      </c>
      <c r="N102" t="s">
        <v>68</v>
      </c>
      <c r="O102" t="str">
        <f t="shared" si="12"/>
        <v/>
      </c>
      <c r="P102" t="s">
        <v>68</v>
      </c>
      <c r="S102" t="str">
        <f t="shared" si="13"/>
        <v>—</v>
      </c>
      <c r="T102" t="str">
        <f t="shared" si="14"/>
        <v>⬜  Parcial · Inst. 2 pendiente</v>
      </c>
      <c r="U102" s="53">
        <v>1</v>
      </c>
      <c r="V102" t="s">
        <v>69</v>
      </c>
      <c r="W102">
        <f>IF(NORMALIZADO!BV102="",0,NORMALIZADO!BV102)</f>
        <v>0</v>
      </c>
      <c r="X102">
        <f>IF(NORMALIZADO!BW102="",0,NORMALIZADO!BW102)</f>
        <v>0</v>
      </c>
      <c r="Y102">
        <f>IF(NORMALIZADO!BX102="",0,NORMALIZADO!BX102)</f>
        <v>0</v>
      </c>
      <c r="Z102">
        <f>IF(NORMALIZADO!BY102="",0,NORMALIZADO!BY102)</f>
        <v>0</v>
      </c>
      <c r="AO102" t="str">
        <f t="shared" si="15"/>
        <v>N/A</v>
      </c>
      <c r="AP102" t="str">
        <f>IF(COUNT(NORMALIZADO!BV102:BY102)&gt;=3,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1</v>
      </c>
    </row>
    <row r="103" spans="1:45" ht="16.05" customHeight="1" x14ac:dyDescent="0.3">
      <c r="A103" t="s">
        <v>291</v>
      </c>
      <c r="B103" t="s">
        <v>292</v>
      </c>
      <c r="C103" t="s">
        <v>192</v>
      </c>
      <c r="D103" t="s">
        <v>73</v>
      </c>
      <c r="G103" t="s">
        <v>74</v>
      </c>
      <c r="J103" t="s">
        <v>67</v>
      </c>
      <c r="M103" t="str">
        <f t="shared" si="11"/>
        <v/>
      </c>
      <c r="N103" t="s">
        <v>68</v>
      </c>
      <c r="O103" t="str">
        <f t="shared" si="12"/>
        <v/>
      </c>
      <c r="P103" t="s">
        <v>68</v>
      </c>
      <c r="S103" t="str">
        <f t="shared" si="13"/>
        <v>—</v>
      </c>
      <c r="T103" t="str">
        <f t="shared" si="14"/>
        <v>⬜  Parcial · Inst. 2 pendiente</v>
      </c>
      <c r="U103" s="53">
        <v>1</v>
      </c>
      <c r="V103" t="s">
        <v>69</v>
      </c>
      <c r="W103">
        <f>IF(NORMALIZADO!BV103="",0,NORMALIZADO!BV103)</f>
        <v>0</v>
      </c>
      <c r="X103">
        <f>IF(NORMALIZADO!BW103="",0,NORMALIZADO!BW103)</f>
        <v>0</v>
      </c>
      <c r="Y103">
        <f>IF(NORMALIZADO!BX103="",0,NORMALIZADO!BX103)</f>
        <v>0</v>
      </c>
      <c r="Z103">
        <f>IF(NORMALIZADO!BY103="",0,NORMALIZADO!BY103)</f>
        <v>0</v>
      </c>
      <c r="AO103" t="str">
        <f t="shared" si="15"/>
        <v>N/A</v>
      </c>
      <c r="AP103" t="str">
        <f>IF(COUNT(NORMALIZADO!BV103:BY103)&gt;=3,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1</v>
      </c>
    </row>
    <row r="104" spans="1:45" ht="16.05" customHeight="1" x14ac:dyDescent="0.3">
      <c r="A104" t="s">
        <v>293</v>
      </c>
      <c r="B104" t="s">
        <v>294</v>
      </c>
      <c r="C104" t="s">
        <v>241</v>
      </c>
      <c r="D104" t="s">
        <v>73</v>
      </c>
      <c r="G104" t="s">
        <v>74</v>
      </c>
      <c r="J104" t="s">
        <v>67</v>
      </c>
      <c r="M104" t="str">
        <f t="shared" si="11"/>
        <v/>
      </c>
      <c r="N104" t="s">
        <v>68</v>
      </c>
      <c r="O104" t="str">
        <f t="shared" si="12"/>
        <v/>
      </c>
      <c r="P104" t="s">
        <v>68</v>
      </c>
      <c r="S104" t="str">
        <f t="shared" si="13"/>
        <v>—</v>
      </c>
      <c r="T104" t="str">
        <f t="shared" si="14"/>
        <v>⬜  Parcial · Inst. 2 pendiente</v>
      </c>
      <c r="U104" s="53">
        <v>1</v>
      </c>
      <c r="V104" t="s">
        <v>69</v>
      </c>
      <c r="W104">
        <f>IF(NORMALIZADO!BV104="",0,NORMALIZADO!BV104)</f>
        <v>0</v>
      </c>
      <c r="X104">
        <f>IF(NORMALIZADO!BW104="",0,NORMALIZADO!BW104)</f>
        <v>0</v>
      </c>
      <c r="Y104">
        <f>IF(NORMALIZADO!BX104="",0,NORMALIZADO!BX104)</f>
        <v>0</v>
      </c>
      <c r="Z104">
        <f>IF(NORMALIZADO!BY104="",0,NORMALIZADO!BY104)</f>
        <v>0</v>
      </c>
      <c r="AO104" t="str">
        <f t="shared" si="15"/>
        <v>N/A</v>
      </c>
      <c r="AP104" t="str">
        <f>IF(COUNT(NORMALIZADO!BV104:BY104)&gt;=3,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1</v>
      </c>
    </row>
    <row r="105" spans="1:45" ht="16.05" customHeight="1" x14ac:dyDescent="0.3">
      <c r="A105" t="s">
        <v>295</v>
      </c>
      <c r="B105" t="s">
        <v>296</v>
      </c>
      <c r="C105" t="s">
        <v>112</v>
      </c>
      <c r="D105" t="s">
        <v>65</v>
      </c>
      <c r="G105" t="s">
        <v>74</v>
      </c>
      <c r="J105" t="s">
        <v>67</v>
      </c>
      <c r="M105" t="str">
        <f t="shared" si="11"/>
        <v/>
      </c>
      <c r="N105" t="s">
        <v>68</v>
      </c>
      <c r="O105" t="str">
        <f t="shared" si="12"/>
        <v/>
      </c>
      <c r="P105" t="s">
        <v>68</v>
      </c>
      <c r="S105" t="str">
        <f t="shared" si="13"/>
        <v>—</v>
      </c>
      <c r="T105" t="str">
        <f t="shared" si="14"/>
        <v>⬜  Parcial · Inst. 2 pendiente</v>
      </c>
      <c r="U105" s="53">
        <v>1</v>
      </c>
      <c r="V105" t="s">
        <v>69</v>
      </c>
      <c r="W105">
        <f>IF(NORMALIZADO!BV105="",0,NORMALIZADO!BV105)</f>
        <v>0</v>
      </c>
      <c r="X105">
        <f>IF(NORMALIZADO!BW105="",0,NORMALIZADO!BW105)</f>
        <v>0</v>
      </c>
      <c r="Y105">
        <f>IF(NORMALIZADO!BX105="",0,NORMALIZADO!BX105)</f>
        <v>0</v>
      </c>
      <c r="Z105">
        <f>IF(NORMALIZADO!BY105="",0,NORMALIZADO!BY105)</f>
        <v>0</v>
      </c>
      <c r="AO105" t="str">
        <f t="shared" si="15"/>
        <v>N/A</v>
      </c>
      <c r="AP105" t="str">
        <f>IF(COUNT(NORMALIZADO!BV105:BY105)&gt;=3,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1</v>
      </c>
    </row>
    <row r="106" spans="1:45" ht="16.05" customHeight="1" x14ac:dyDescent="0.3">
      <c r="A106" t="s">
        <v>297</v>
      </c>
      <c r="B106" t="s">
        <v>298</v>
      </c>
      <c r="C106" t="s">
        <v>139</v>
      </c>
      <c r="D106" t="s">
        <v>65</v>
      </c>
      <c r="E106">
        <v>4154567.790000001</v>
      </c>
      <c r="F106">
        <v>25</v>
      </c>
      <c r="G106" t="s">
        <v>66</v>
      </c>
      <c r="H106" t="s">
        <v>66</v>
      </c>
      <c r="I106" t="s">
        <v>66</v>
      </c>
      <c r="J106" t="s">
        <v>67</v>
      </c>
      <c r="K106" t="s">
        <v>222</v>
      </c>
      <c r="L106">
        <v>2059443.82</v>
      </c>
      <c r="M106">
        <f t="shared" si="11"/>
        <v>49.6</v>
      </c>
      <c r="N106" t="s">
        <v>68</v>
      </c>
      <c r="O106">
        <f t="shared" si="12"/>
        <v>1</v>
      </c>
      <c r="P106" t="s">
        <v>68</v>
      </c>
      <c r="Q106">
        <v>797</v>
      </c>
      <c r="R106">
        <v>2110</v>
      </c>
      <c r="S106" t="str">
        <f t="shared" si="13"/>
        <v>—</v>
      </c>
      <c r="T106" t="str">
        <f t="shared" si="14"/>
        <v>⬜  Parcial · Inst. 2 pendiente</v>
      </c>
      <c r="U106" s="53">
        <v>1</v>
      </c>
      <c r="V106" t="s">
        <v>69</v>
      </c>
      <c r="W106">
        <f>IF(NORMALIZADO!BV106="",1,NORMALIZADO!BV106)</f>
        <v>1</v>
      </c>
      <c r="X106">
        <f>IF(NORMALIZADO!BW106="",0,NORMALIZADO!BW106)</f>
        <v>0</v>
      </c>
      <c r="Y106">
        <f>IF(NORMALIZADO!BX106="",0,NORMALIZADO!BX106)</f>
        <v>0</v>
      </c>
      <c r="Z106">
        <f>IF(NORMALIZADO!BY106="",0,NORMALIZADO!BY106)</f>
        <v>0</v>
      </c>
      <c r="AO106" t="str">
        <f t="shared" si="15"/>
        <v>N/A</v>
      </c>
      <c r="AP106" t="str">
        <f>IF(COUNT(NORMALIZADO!BV106:BY106)&gt;=3,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v>
      </c>
      <c r="AQ106">
        <f>IF(ISNUMBER(M106),1,0)+IF(ISNUMBER(SCORECARDS!H106),1,0)+IF(ISNUMBER(SCORECARDS!I106),1,0)+IF(ISNUMBER(SCORECARDS!J106),1,0)+IF(ISNUMBER(ISCAM_Score!K107),1,0)+IF(ISNUMBER(O106),1,0)+IF(COUNT(W106:Z106)&gt;0,1,0)</f>
        <v>3</v>
      </c>
      <c r="AR106" t="s">
        <v>1546</v>
      </c>
      <c r="AS106" t="s">
        <v>1547</v>
      </c>
    </row>
    <row r="107" spans="1:45" ht="16.05" customHeight="1" x14ac:dyDescent="0.3">
      <c r="A107" t="s">
        <v>299</v>
      </c>
      <c r="B107" t="s">
        <v>300</v>
      </c>
      <c r="C107" t="s">
        <v>109</v>
      </c>
      <c r="D107" t="s">
        <v>73</v>
      </c>
      <c r="G107" t="s">
        <v>74</v>
      </c>
      <c r="J107" t="s">
        <v>67</v>
      </c>
      <c r="M107" t="str">
        <f t="shared" si="11"/>
        <v/>
      </c>
      <c r="N107" t="s">
        <v>68</v>
      </c>
      <c r="O107" t="str">
        <f t="shared" si="12"/>
        <v/>
      </c>
      <c r="P107" t="s">
        <v>68</v>
      </c>
      <c r="S107" t="str">
        <f t="shared" si="13"/>
        <v>—</v>
      </c>
      <c r="T107" t="str">
        <f t="shared" si="14"/>
        <v>⬜  Parcial · Inst. 2 pendiente</v>
      </c>
      <c r="U107" s="53">
        <v>1</v>
      </c>
      <c r="V107" t="s">
        <v>69</v>
      </c>
      <c r="W107">
        <f>IF(NORMALIZADO!BV107="",0,NORMALIZADO!BV107)</f>
        <v>0</v>
      </c>
      <c r="X107">
        <f>IF(NORMALIZADO!BW107="",0,NORMALIZADO!BW107)</f>
        <v>0</v>
      </c>
      <c r="Y107">
        <f>IF(NORMALIZADO!BX107="",0,NORMALIZADO!BX107)</f>
        <v>0</v>
      </c>
      <c r="Z107">
        <f>IF(NORMALIZADO!BY107="",0,NORMALIZADO!BY107)</f>
        <v>0</v>
      </c>
      <c r="AO107" t="str">
        <f t="shared" si="15"/>
        <v>N/A</v>
      </c>
      <c r="AP107" t="str">
        <f>IF(COUNT(NORMALIZADO!BV107:BY107)&gt;=3,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1</v>
      </c>
    </row>
    <row r="108" spans="1:45" ht="16.05" customHeight="1" x14ac:dyDescent="0.3">
      <c r="A108" t="s">
        <v>301</v>
      </c>
      <c r="B108" t="s">
        <v>302</v>
      </c>
      <c r="C108" t="s">
        <v>109</v>
      </c>
      <c r="D108" t="s">
        <v>73</v>
      </c>
      <c r="E108">
        <v>21233720.820000011</v>
      </c>
      <c r="F108">
        <v>93</v>
      </c>
      <c r="G108" t="s">
        <v>66</v>
      </c>
      <c r="J108" t="s">
        <v>67</v>
      </c>
      <c r="L108">
        <v>10616860.41</v>
      </c>
      <c r="M108">
        <f t="shared" si="11"/>
        <v>50</v>
      </c>
      <c r="N108" t="s">
        <v>68</v>
      </c>
      <c r="O108" t="str">
        <f t="shared" si="12"/>
        <v/>
      </c>
      <c r="P108" t="s">
        <v>68</v>
      </c>
      <c r="S108" t="str">
        <f t="shared" si="13"/>
        <v>—</v>
      </c>
      <c r="T108" t="str">
        <f t="shared" si="14"/>
        <v>⬜  Parcial · Inst. 2 pendiente</v>
      </c>
      <c r="U108" s="53">
        <v>1</v>
      </c>
      <c r="V108" t="s">
        <v>69</v>
      </c>
      <c r="W108">
        <f>IF(NORMALIZADO!BV108="",1,NORMALIZADO!BV108)</f>
        <v>1</v>
      </c>
      <c r="X108">
        <f>IF(NORMALIZADO!BW108="",0,NORMALIZADO!BW108)</f>
        <v>0</v>
      </c>
      <c r="Y108">
        <f>IF(NORMALIZADO!BX108="",0,NORMALIZADO!BX108)</f>
        <v>0</v>
      </c>
      <c r="Z108">
        <f>IF(NORMALIZADO!BY108="",0,NORMALIZADO!BY108)</f>
        <v>0</v>
      </c>
      <c r="AO108" t="str">
        <f t="shared" si="15"/>
        <v>N/A</v>
      </c>
      <c r="AP108" t="str">
        <f>IF(COUNT(NORMALIZADO!BV108:BY108)&gt;=3,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v>
      </c>
      <c r="AQ108">
        <f>IF(ISNUMBER(M108),1,0)+IF(ISNUMBER(SCORECARDS!H108),1,0)+IF(ISNUMBER(SCORECARDS!I108),1,0)+IF(ISNUMBER(SCORECARDS!J108),1,0)+IF(ISNUMBER(ISCAM_Score!K109),1,0)+IF(ISNUMBER(O108),1,0)+IF(COUNT(W108:Z108)&gt;0,1,0)</f>
        <v>2</v>
      </c>
    </row>
    <row r="109" spans="1:45" ht="16.05" customHeight="1" x14ac:dyDescent="0.3">
      <c r="A109" t="s">
        <v>303</v>
      </c>
      <c r="B109" t="s">
        <v>304</v>
      </c>
      <c r="C109" t="s">
        <v>72</v>
      </c>
      <c r="D109" t="s">
        <v>73</v>
      </c>
      <c r="G109" t="s">
        <v>74</v>
      </c>
      <c r="J109" t="s">
        <v>124</v>
      </c>
      <c r="M109" t="str">
        <f t="shared" si="11"/>
        <v/>
      </c>
      <c r="N109" t="s">
        <v>68</v>
      </c>
      <c r="O109" t="str">
        <f t="shared" si="12"/>
        <v/>
      </c>
      <c r="P109" t="s">
        <v>68</v>
      </c>
      <c r="S109" t="str">
        <f t="shared" si="13"/>
        <v>—</v>
      </c>
      <c r="T109" t="str">
        <f t="shared" si="14"/>
        <v>⬜  Parcial · Inst. 2 pendiente</v>
      </c>
      <c r="U109" s="53">
        <v>1</v>
      </c>
      <c r="V109" t="s">
        <v>69</v>
      </c>
      <c r="W109">
        <f>IF(NORMALIZADO!BV109="",0,NORMALIZADO!BV109)</f>
        <v>0</v>
      </c>
      <c r="X109">
        <f>IF(NORMALIZADO!BW109="",0,NORMALIZADO!BW109)</f>
        <v>0</v>
      </c>
      <c r="Y109">
        <f>IF(NORMALIZADO!BX109="",0,NORMALIZADO!BX109)</f>
        <v>0</v>
      </c>
      <c r="Z109">
        <f>IF(NORMALIZADO!BY109="",0,NORMALIZADO!BY109)</f>
        <v>0</v>
      </c>
      <c r="AO109" t="str">
        <f t="shared" si="15"/>
        <v>N/A</v>
      </c>
      <c r="AP109" t="str">
        <f>IF(COUNT(NORMALIZADO!BV109:BY109)&gt;=3,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1</v>
      </c>
    </row>
    <row r="110" spans="1:45" ht="16.05" customHeight="1" x14ac:dyDescent="0.3">
      <c r="A110" t="s">
        <v>305</v>
      </c>
      <c r="B110" t="s">
        <v>306</v>
      </c>
      <c r="C110" t="s">
        <v>119</v>
      </c>
      <c r="D110" t="s">
        <v>73</v>
      </c>
      <c r="G110" t="s">
        <v>74</v>
      </c>
      <c r="J110" t="s">
        <v>67</v>
      </c>
      <c r="M110" t="str">
        <f t="shared" si="11"/>
        <v/>
      </c>
      <c r="N110" t="s">
        <v>68</v>
      </c>
      <c r="O110" t="str">
        <f t="shared" si="12"/>
        <v/>
      </c>
      <c r="P110" t="s">
        <v>68</v>
      </c>
      <c r="S110" t="str">
        <f t="shared" si="13"/>
        <v>—</v>
      </c>
      <c r="T110" t="str">
        <f t="shared" si="14"/>
        <v>⬜  Parcial · Inst. 2 pendiente</v>
      </c>
      <c r="U110" s="53">
        <v>1</v>
      </c>
      <c r="V110" t="s">
        <v>69</v>
      </c>
      <c r="W110">
        <f>IF(NORMALIZADO!BV110="",0,NORMALIZADO!BV110)</f>
        <v>0</v>
      </c>
      <c r="X110">
        <f>IF(NORMALIZADO!BW110="",0,NORMALIZADO!BW110)</f>
        <v>0</v>
      </c>
      <c r="Y110">
        <f>IF(NORMALIZADO!BX110="",0,NORMALIZADO!BX110)</f>
        <v>0</v>
      </c>
      <c r="Z110">
        <f>IF(NORMALIZADO!BY110="",0,NORMALIZADO!BY110)</f>
        <v>0</v>
      </c>
      <c r="AO110" t="str">
        <f t="shared" si="15"/>
        <v>N/A</v>
      </c>
      <c r="AP110" t="str">
        <f>IF(COUNT(NORMALIZADO!BV110:BY110)&gt;=3,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1</v>
      </c>
    </row>
    <row r="111" spans="1:45" ht="16.05" customHeight="1" x14ac:dyDescent="0.3">
      <c r="A111" t="s">
        <v>307</v>
      </c>
      <c r="B111" t="s">
        <v>308</v>
      </c>
      <c r="C111" t="s">
        <v>112</v>
      </c>
      <c r="D111" t="s">
        <v>65</v>
      </c>
      <c r="E111">
        <v>3887946.29</v>
      </c>
      <c r="F111">
        <v>16</v>
      </c>
      <c r="G111" t="s">
        <v>66</v>
      </c>
      <c r="J111" t="s">
        <v>67</v>
      </c>
      <c r="L111">
        <v>0</v>
      </c>
      <c r="M111">
        <f t="shared" si="11"/>
        <v>0</v>
      </c>
      <c r="N111" t="s">
        <v>68</v>
      </c>
      <c r="O111" t="str">
        <f t="shared" si="12"/>
        <v/>
      </c>
      <c r="P111" t="s">
        <v>68</v>
      </c>
      <c r="S111" t="str">
        <f t="shared" si="13"/>
        <v>—</v>
      </c>
      <c r="T111" t="str">
        <f t="shared" si="14"/>
        <v>⬜  Parcial · Inst. 2 pendiente</v>
      </c>
      <c r="U111" s="53">
        <v>1</v>
      </c>
      <c r="V111" t="s">
        <v>69</v>
      </c>
      <c r="W111">
        <f>IF(NORMALIZADO!BV111="",0,NORMALIZADO!BV111)</f>
        <v>0</v>
      </c>
      <c r="X111">
        <f>IF(NORMALIZADO!BW111="",0,NORMALIZADO!BW111)</f>
        <v>0</v>
      </c>
      <c r="Y111">
        <f>IF(NORMALIZADO!BX111="",0,NORMALIZADO!BX111)</f>
        <v>0</v>
      </c>
      <c r="Z111">
        <f>IF(NORMALIZADO!BY111="",0,NORMALIZADO!BY111)</f>
        <v>0</v>
      </c>
      <c r="AO111" t="str">
        <f t="shared" si="15"/>
        <v>N/A</v>
      </c>
      <c r="AP111" t="str">
        <f>IF(COUNT(NORMALIZADO!BV111:BY111)&gt;=3,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v>
      </c>
      <c r="AQ111">
        <f>IF(ISNUMBER(M111),1,0)+IF(ISNUMBER(SCORECARDS!H111),1,0)+IF(ISNUMBER(SCORECARDS!I111),1,0)+IF(ISNUMBER(SCORECARDS!J111),1,0)+IF(ISNUMBER(ISCAM_Score!K112),1,0)+IF(ISNUMBER(O111),1,0)+IF(COUNT(W111:Z111)&gt;0,1,0)</f>
        <v>2</v>
      </c>
    </row>
    <row r="112" spans="1:45" ht="16.05" customHeight="1" x14ac:dyDescent="0.3">
      <c r="A112" t="s">
        <v>309</v>
      </c>
      <c r="B112" t="s">
        <v>310</v>
      </c>
      <c r="C112" t="s">
        <v>119</v>
      </c>
      <c r="D112" t="s">
        <v>73</v>
      </c>
      <c r="G112" t="s">
        <v>74</v>
      </c>
      <c r="J112" t="s">
        <v>67</v>
      </c>
      <c r="M112" t="str">
        <f t="shared" si="11"/>
        <v/>
      </c>
      <c r="N112" t="s">
        <v>68</v>
      </c>
      <c r="O112" t="str">
        <f t="shared" si="12"/>
        <v/>
      </c>
      <c r="P112" t="s">
        <v>68</v>
      </c>
      <c r="S112" t="str">
        <f t="shared" si="13"/>
        <v>—</v>
      </c>
      <c r="T112" t="str">
        <f t="shared" si="14"/>
        <v>⬜  Parcial · Inst. 2 pendiente</v>
      </c>
      <c r="U112" s="53">
        <v>1</v>
      </c>
      <c r="V112" t="s">
        <v>69</v>
      </c>
      <c r="W112">
        <f>IF(NORMALIZADO!BV112="",0,NORMALIZADO!BV112)</f>
        <v>0</v>
      </c>
      <c r="X112">
        <f>IF(NORMALIZADO!BW112="",0,NORMALIZADO!BW112)</f>
        <v>0</v>
      </c>
      <c r="Y112">
        <f>IF(NORMALIZADO!BX112="",0,NORMALIZADO!BX112)</f>
        <v>0</v>
      </c>
      <c r="Z112">
        <f>IF(NORMALIZADO!BY112="",0,NORMALIZADO!BY112)</f>
        <v>0</v>
      </c>
      <c r="AO112" t="str">
        <f t="shared" si="15"/>
        <v>N/A</v>
      </c>
      <c r="AP112" t="str">
        <f>IF(COUNT(NORMALIZADO!BV112:BY112)&gt;=3,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1</v>
      </c>
    </row>
    <row r="113" spans="1:45" ht="16.05" customHeight="1" x14ac:dyDescent="0.3">
      <c r="A113" t="s">
        <v>311</v>
      </c>
      <c r="B113" t="s">
        <v>312</v>
      </c>
      <c r="C113" t="s">
        <v>150</v>
      </c>
      <c r="D113" t="s">
        <v>65</v>
      </c>
      <c r="E113">
        <v>464428.88</v>
      </c>
      <c r="F113">
        <v>3</v>
      </c>
      <c r="G113" t="s">
        <v>66</v>
      </c>
      <c r="J113" t="s">
        <v>67</v>
      </c>
      <c r="L113">
        <v>0</v>
      </c>
      <c r="M113">
        <f t="shared" si="11"/>
        <v>0</v>
      </c>
      <c r="N113" t="s">
        <v>68</v>
      </c>
      <c r="O113" t="str">
        <f t="shared" si="12"/>
        <v/>
      </c>
      <c r="P113" t="s">
        <v>68</v>
      </c>
      <c r="S113" t="str">
        <f t="shared" si="13"/>
        <v>—</v>
      </c>
      <c r="T113" t="str">
        <f t="shared" si="14"/>
        <v>⬜  Parcial · Inst. 2 pendiente</v>
      </c>
      <c r="U113" s="53">
        <v>1</v>
      </c>
      <c r="V113" t="s">
        <v>69</v>
      </c>
      <c r="W113">
        <f>IF(NORMALIZADO!BV113="",0,NORMALIZADO!BV113)</f>
        <v>0</v>
      </c>
      <c r="X113">
        <f>IF(NORMALIZADO!BW113="",0,NORMALIZADO!BW113)</f>
        <v>0</v>
      </c>
      <c r="Y113">
        <f>IF(NORMALIZADO!BX113="",0,NORMALIZADO!BX113)</f>
        <v>0</v>
      </c>
      <c r="Z113">
        <f>IF(NORMALIZADO!BY113="",0,NORMALIZADO!BY113)</f>
        <v>0</v>
      </c>
      <c r="AO113" t="str">
        <f t="shared" si="15"/>
        <v>N/A</v>
      </c>
      <c r="AP113" t="str">
        <f>IF(COUNT(NORMALIZADO!BV113:BY113)&gt;=3,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v>
      </c>
      <c r="AQ113">
        <f>IF(ISNUMBER(M113),1,0)+IF(ISNUMBER(SCORECARDS!H113),1,0)+IF(ISNUMBER(SCORECARDS!I113),1,0)+IF(ISNUMBER(SCORECARDS!J113),1,0)+IF(ISNUMBER(ISCAM_Score!K114),1,0)+IF(ISNUMBER(O113),1,0)+IF(COUNT(W113:Z113)&gt;0,1,0)</f>
        <v>2</v>
      </c>
    </row>
    <row r="114" spans="1:45" ht="16.05" customHeight="1" x14ac:dyDescent="0.3">
      <c r="A114" t="s">
        <v>313</v>
      </c>
      <c r="B114" t="s">
        <v>314</v>
      </c>
      <c r="C114" t="s">
        <v>241</v>
      </c>
      <c r="D114" t="s">
        <v>73</v>
      </c>
      <c r="G114" t="s">
        <v>74</v>
      </c>
      <c r="J114" t="s">
        <v>67</v>
      </c>
      <c r="M114" t="str">
        <f t="shared" si="11"/>
        <v/>
      </c>
      <c r="N114" t="s">
        <v>68</v>
      </c>
      <c r="O114" t="str">
        <f t="shared" si="12"/>
        <v/>
      </c>
      <c r="P114" t="s">
        <v>68</v>
      </c>
      <c r="S114" t="str">
        <f t="shared" si="13"/>
        <v>—</v>
      </c>
      <c r="T114" t="str">
        <f t="shared" si="14"/>
        <v>⬜  Parcial · Inst. 2 pendiente</v>
      </c>
      <c r="U114" s="53">
        <v>1</v>
      </c>
      <c r="V114" t="s">
        <v>69</v>
      </c>
      <c r="W114">
        <f>IF(NORMALIZADO!BV114="",0,NORMALIZADO!BV114)</f>
        <v>0</v>
      </c>
      <c r="X114">
        <f>IF(NORMALIZADO!BW114="",0,NORMALIZADO!BW114)</f>
        <v>0</v>
      </c>
      <c r="Y114">
        <f>IF(NORMALIZADO!BX114="",0,NORMALIZADO!BX114)</f>
        <v>0</v>
      </c>
      <c r="Z114">
        <f>IF(NORMALIZADO!BY114="",0,NORMALIZADO!BY114)</f>
        <v>0</v>
      </c>
      <c r="AO114" t="str">
        <f t="shared" si="15"/>
        <v>N/A</v>
      </c>
      <c r="AP114" t="str">
        <f>IF(COUNT(NORMALIZADO!BV114:BY114)&gt;=3,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1</v>
      </c>
    </row>
    <row r="115" spans="1:45" ht="16.05" customHeight="1" x14ac:dyDescent="0.3">
      <c r="A115" t="s">
        <v>315</v>
      </c>
      <c r="B115" t="s">
        <v>316</v>
      </c>
      <c r="C115" t="s">
        <v>139</v>
      </c>
      <c r="D115" t="s">
        <v>65</v>
      </c>
      <c r="E115">
        <v>1789601.59</v>
      </c>
      <c r="F115">
        <v>11</v>
      </c>
      <c r="G115" t="s">
        <v>66</v>
      </c>
      <c r="J115" t="s">
        <v>67</v>
      </c>
      <c r="L115">
        <v>0</v>
      </c>
      <c r="M115">
        <f t="shared" si="11"/>
        <v>0</v>
      </c>
      <c r="N115" t="s">
        <v>68</v>
      </c>
      <c r="O115" t="str">
        <f t="shared" si="12"/>
        <v/>
      </c>
      <c r="P115" t="s">
        <v>68</v>
      </c>
      <c r="S115" t="str">
        <f t="shared" si="13"/>
        <v>—</v>
      </c>
      <c r="T115" t="str">
        <f t="shared" si="14"/>
        <v>⬜  Parcial · Inst. 2 pendiente</v>
      </c>
      <c r="U115" s="53">
        <v>1</v>
      </c>
      <c r="V115" t="s">
        <v>69</v>
      </c>
      <c r="W115">
        <f>IF(NORMALIZADO!BV115="",0,NORMALIZADO!BV115)</f>
        <v>0</v>
      </c>
      <c r="X115">
        <f>IF(NORMALIZADO!BW115="",0,NORMALIZADO!BW115)</f>
        <v>0</v>
      </c>
      <c r="Y115">
        <f>IF(NORMALIZADO!BX115="",0,NORMALIZADO!BX115)</f>
        <v>0</v>
      </c>
      <c r="Z115">
        <f>IF(NORMALIZADO!BY115="",0,NORMALIZADO!BY115)</f>
        <v>0</v>
      </c>
      <c r="AO115" t="str">
        <f t="shared" si="15"/>
        <v>N/A</v>
      </c>
      <c r="AP115" t="str">
        <f>IF(COUNT(NORMALIZADO!BV115:BY115)&gt;=3,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v>
      </c>
      <c r="AQ115">
        <f>IF(ISNUMBER(M115),1,0)+IF(ISNUMBER(SCORECARDS!H115),1,0)+IF(ISNUMBER(SCORECARDS!I115),1,0)+IF(ISNUMBER(SCORECARDS!J115),1,0)+IF(ISNUMBER(ISCAM_Score!K116),1,0)+IF(ISNUMBER(O115),1,0)+IF(COUNT(W115:Z115)&gt;0,1,0)</f>
        <v>2</v>
      </c>
    </row>
    <row r="116" spans="1:45" ht="16.05" customHeight="1" x14ac:dyDescent="0.3">
      <c r="A116" t="s">
        <v>317</v>
      </c>
      <c r="B116" t="s">
        <v>318</v>
      </c>
      <c r="C116" t="s">
        <v>241</v>
      </c>
      <c r="D116" t="s">
        <v>73</v>
      </c>
      <c r="G116" t="s">
        <v>74</v>
      </c>
      <c r="J116" t="s">
        <v>67</v>
      </c>
      <c r="M116" t="str">
        <f t="shared" si="11"/>
        <v/>
      </c>
      <c r="N116" t="s">
        <v>68</v>
      </c>
      <c r="O116" t="str">
        <f t="shared" si="12"/>
        <v/>
      </c>
      <c r="P116" t="s">
        <v>68</v>
      </c>
      <c r="S116" t="str">
        <f t="shared" si="13"/>
        <v>—</v>
      </c>
      <c r="T116" t="str">
        <f t="shared" si="14"/>
        <v>⬜  Parcial · Inst. 2 pendiente</v>
      </c>
      <c r="U116" s="53">
        <v>1</v>
      </c>
      <c r="V116" t="s">
        <v>69</v>
      </c>
      <c r="W116">
        <f>IF(NORMALIZADO!BV116="",0,NORMALIZADO!BV116)</f>
        <v>0</v>
      </c>
      <c r="X116">
        <f>IF(NORMALIZADO!BW116="",0,NORMALIZADO!BW116)</f>
        <v>0</v>
      </c>
      <c r="Y116">
        <f>IF(NORMALIZADO!BX116="",0,NORMALIZADO!BX116)</f>
        <v>0</v>
      </c>
      <c r="Z116">
        <f>IF(NORMALIZADO!BY116="",0,NORMALIZADO!BY116)</f>
        <v>0</v>
      </c>
      <c r="AO116" t="str">
        <f t="shared" si="15"/>
        <v>N/A</v>
      </c>
      <c r="AP116" t="str">
        <f>IF(COUNT(NORMALIZADO!BV116:BY116)&gt;=3,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1</v>
      </c>
    </row>
    <row r="117" spans="1:45" ht="16.05" customHeight="1" x14ac:dyDescent="0.3">
      <c r="A117" t="s">
        <v>319</v>
      </c>
      <c r="B117" t="s">
        <v>320</v>
      </c>
      <c r="C117" t="s">
        <v>179</v>
      </c>
      <c r="D117" t="s">
        <v>65</v>
      </c>
      <c r="G117" t="s">
        <v>74</v>
      </c>
      <c r="J117" t="s">
        <v>67</v>
      </c>
      <c r="M117" t="str">
        <f t="shared" si="11"/>
        <v/>
      </c>
      <c r="N117" t="s">
        <v>68</v>
      </c>
      <c r="O117" t="str">
        <f t="shared" si="12"/>
        <v/>
      </c>
      <c r="P117" t="s">
        <v>68</v>
      </c>
      <c r="S117" t="str">
        <f t="shared" si="13"/>
        <v>—</v>
      </c>
      <c r="T117" t="str">
        <f t="shared" si="14"/>
        <v>⬜  Parcial · Inst. 2 pendiente</v>
      </c>
      <c r="U117" s="53">
        <v>1</v>
      </c>
      <c r="V117" t="s">
        <v>69</v>
      </c>
      <c r="W117">
        <f>IF(NORMALIZADO!BV117="",0,NORMALIZADO!BV117)</f>
        <v>0</v>
      </c>
      <c r="X117">
        <f>IF(NORMALIZADO!BW117="",0,NORMALIZADO!BW117)</f>
        <v>0</v>
      </c>
      <c r="Y117">
        <f>IF(NORMALIZADO!BX117="",0,NORMALIZADO!BX117)</f>
        <v>0</v>
      </c>
      <c r="Z117">
        <f>IF(NORMALIZADO!BY117="",0,NORMALIZADO!BY117)</f>
        <v>0</v>
      </c>
      <c r="AO117" t="str">
        <f t="shared" si="15"/>
        <v>N/A</v>
      </c>
      <c r="AP117" t="str">
        <f>IF(COUNT(NORMALIZADO!BV117:BY117)&gt;=3,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1</v>
      </c>
    </row>
    <row r="118" spans="1:45" ht="16.05" customHeight="1" x14ac:dyDescent="0.3">
      <c r="A118" t="s">
        <v>321</v>
      </c>
      <c r="B118" t="s">
        <v>322</v>
      </c>
      <c r="C118" t="s">
        <v>109</v>
      </c>
      <c r="D118" t="s">
        <v>73</v>
      </c>
      <c r="G118" t="s">
        <v>74</v>
      </c>
      <c r="J118" t="s">
        <v>106</v>
      </c>
      <c r="M118" t="str">
        <f t="shared" si="11"/>
        <v/>
      </c>
      <c r="N118" t="s">
        <v>68</v>
      </c>
      <c r="O118" t="str">
        <f t="shared" si="12"/>
        <v/>
      </c>
      <c r="P118" t="s">
        <v>68</v>
      </c>
      <c r="S118" t="str">
        <f t="shared" si="13"/>
        <v>—</v>
      </c>
      <c r="T118" t="str">
        <f t="shared" si="14"/>
        <v>⬜  Parcial · Inst. 2 pendiente</v>
      </c>
      <c r="U118" s="53">
        <v>1</v>
      </c>
      <c r="V118" t="s">
        <v>69</v>
      </c>
      <c r="W118">
        <f>IF(NORMALIZADO!BV118="",0,NORMALIZADO!BV118)</f>
        <v>0</v>
      </c>
      <c r="X118">
        <f>IF(NORMALIZADO!BW118="",0,NORMALIZADO!BW118)</f>
        <v>0</v>
      </c>
      <c r="Y118">
        <f>IF(NORMALIZADO!BX118="",0,NORMALIZADO!BX118)</f>
        <v>0</v>
      </c>
      <c r="Z118">
        <f>IF(NORMALIZADO!BY118="",0,NORMALIZADO!BY118)</f>
        <v>0</v>
      </c>
      <c r="AO118" t="str">
        <f t="shared" si="15"/>
        <v>N/A</v>
      </c>
      <c r="AP118" t="str">
        <f>IF(COUNT(NORMALIZADO!BV118:BY118)&gt;=3,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1</v>
      </c>
    </row>
    <row r="119" spans="1:45" ht="16.05" customHeight="1" x14ac:dyDescent="0.3">
      <c r="A119" t="s">
        <v>323</v>
      </c>
      <c r="B119" t="s">
        <v>324</v>
      </c>
      <c r="C119" t="s">
        <v>109</v>
      </c>
      <c r="D119" t="s">
        <v>73</v>
      </c>
      <c r="G119" t="s">
        <v>74</v>
      </c>
      <c r="J119" t="s">
        <v>67</v>
      </c>
      <c r="M119" t="str">
        <f t="shared" si="11"/>
        <v/>
      </c>
      <c r="N119" t="s">
        <v>68</v>
      </c>
      <c r="O119" t="str">
        <f t="shared" si="12"/>
        <v/>
      </c>
      <c r="P119" t="s">
        <v>68</v>
      </c>
      <c r="S119" t="str">
        <f t="shared" si="13"/>
        <v>—</v>
      </c>
      <c r="T119" t="str">
        <f t="shared" si="14"/>
        <v>⬜  Parcial · Inst. 2 pendiente</v>
      </c>
      <c r="U119" s="53">
        <v>1</v>
      </c>
      <c r="V119" t="s">
        <v>69</v>
      </c>
      <c r="W119">
        <f>IF(NORMALIZADO!BV119="",0,NORMALIZADO!BV119)</f>
        <v>0</v>
      </c>
      <c r="X119">
        <f>IF(NORMALIZADO!BW119="",0,NORMALIZADO!BW119)</f>
        <v>0</v>
      </c>
      <c r="Y119">
        <f>IF(NORMALIZADO!BX119="",0,NORMALIZADO!BX119)</f>
        <v>0</v>
      </c>
      <c r="Z119">
        <f>IF(NORMALIZADO!BY119="",0,NORMALIZADO!BY119)</f>
        <v>0</v>
      </c>
      <c r="AO119" t="str">
        <f t="shared" si="15"/>
        <v>N/A</v>
      </c>
      <c r="AP119" t="str">
        <f>IF(COUNT(NORMALIZADO!BV119:BY119)&gt;=3,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1</v>
      </c>
    </row>
    <row r="120" spans="1:45" ht="16.05" customHeight="1" x14ac:dyDescent="0.3">
      <c r="A120" t="s">
        <v>325</v>
      </c>
      <c r="B120" t="s">
        <v>326</v>
      </c>
      <c r="C120" t="s">
        <v>150</v>
      </c>
      <c r="D120" t="s">
        <v>65</v>
      </c>
      <c r="G120" t="s">
        <v>74</v>
      </c>
      <c r="J120" t="s">
        <v>67</v>
      </c>
      <c r="M120" t="str">
        <f t="shared" si="11"/>
        <v/>
      </c>
      <c r="N120" t="s">
        <v>68</v>
      </c>
      <c r="O120" t="str">
        <f t="shared" si="12"/>
        <v/>
      </c>
      <c r="P120" t="s">
        <v>68</v>
      </c>
      <c r="S120" t="str">
        <f t="shared" si="13"/>
        <v>—</v>
      </c>
      <c r="T120" t="str">
        <f t="shared" si="14"/>
        <v>⬜  Parcial · Inst. 2 pendiente</v>
      </c>
      <c r="U120" s="53">
        <v>1</v>
      </c>
      <c r="V120" t="s">
        <v>69</v>
      </c>
      <c r="W120">
        <f>IF(NORMALIZADO!BV120="",0,NORMALIZADO!BV120)</f>
        <v>0</v>
      </c>
      <c r="X120">
        <f>IF(NORMALIZADO!BW120="",0,NORMALIZADO!BW120)</f>
        <v>0</v>
      </c>
      <c r="Y120">
        <f>IF(NORMALIZADO!BX120="",0,NORMALIZADO!BX120)</f>
        <v>0</v>
      </c>
      <c r="Z120">
        <f>IF(NORMALIZADO!BY120="",0,NORMALIZADO!BY120)</f>
        <v>0</v>
      </c>
      <c r="AO120" t="str">
        <f t="shared" si="15"/>
        <v>N/A</v>
      </c>
      <c r="AP120" t="str">
        <f>IF(COUNT(NORMALIZADO!BV120:BY120)&gt;=3,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1</v>
      </c>
    </row>
    <row r="121" spans="1:45" ht="16.05" customHeight="1" x14ac:dyDescent="0.3">
      <c r="A121" t="s">
        <v>327</v>
      </c>
      <c r="B121" t="s">
        <v>328</v>
      </c>
      <c r="C121" t="s">
        <v>249</v>
      </c>
      <c r="D121" t="s">
        <v>65</v>
      </c>
      <c r="G121" t="s">
        <v>74</v>
      </c>
      <c r="J121" t="s">
        <v>67</v>
      </c>
      <c r="M121" t="str">
        <f t="shared" si="11"/>
        <v/>
      </c>
      <c r="N121" t="s">
        <v>68</v>
      </c>
      <c r="O121" t="str">
        <f t="shared" si="12"/>
        <v/>
      </c>
      <c r="P121" t="s">
        <v>68</v>
      </c>
      <c r="S121" t="str">
        <f t="shared" si="13"/>
        <v>—</v>
      </c>
      <c r="T121" t="str">
        <f t="shared" si="14"/>
        <v>⬜  Parcial · Inst. 2 pendiente</v>
      </c>
      <c r="U121" s="53">
        <v>1</v>
      </c>
      <c r="V121" t="s">
        <v>69</v>
      </c>
      <c r="W121">
        <f>IF(NORMALIZADO!BV121="",0,NORMALIZADO!BV121)</f>
        <v>0</v>
      </c>
      <c r="X121">
        <f>IF(NORMALIZADO!BW121="",0,NORMALIZADO!BW121)</f>
        <v>0</v>
      </c>
      <c r="Y121">
        <f>IF(NORMALIZADO!BX121="",0,NORMALIZADO!BX121)</f>
        <v>0</v>
      </c>
      <c r="Z121">
        <f>IF(NORMALIZADO!BY121="",0,NORMALIZADO!BY121)</f>
        <v>0</v>
      </c>
      <c r="AO121" t="str">
        <f t="shared" si="15"/>
        <v>N/A</v>
      </c>
      <c r="AP121" t="str">
        <f>IF(COUNT(NORMALIZADO!BV121:BY121)&gt;=3,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1</v>
      </c>
    </row>
    <row r="122" spans="1:45" ht="16.05" customHeight="1" x14ac:dyDescent="0.3">
      <c r="A122" t="s">
        <v>329</v>
      </c>
      <c r="B122" t="s">
        <v>330</v>
      </c>
      <c r="C122" t="s">
        <v>119</v>
      </c>
      <c r="D122" t="s">
        <v>65</v>
      </c>
      <c r="G122" t="s">
        <v>74</v>
      </c>
      <c r="J122" t="s">
        <v>67</v>
      </c>
      <c r="M122" t="str">
        <f t="shared" si="11"/>
        <v/>
      </c>
      <c r="N122" t="s">
        <v>68</v>
      </c>
      <c r="O122" t="str">
        <f t="shared" si="12"/>
        <v/>
      </c>
      <c r="P122" t="s">
        <v>68</v>
      </c>
      <c r="S122" t="str">
        <f t="shared" si="13"/>
        <v>—</v>
      </c>
      <c r="T122" t="str">
        <f t="shared" si="14"/>
        <v>⬜  Parcial · Inst. 2 pendiente</v>
      </c>
      <c r="U122" s="53">
        <v>1</v>
      </c>
      <c r="V122" t="s">
        <v>69</v>
      </c>
      <c r="W122">
        <f>IF(NORMALIZADO!BV122="",0,NORMALIZADO!BV122)</f>
        <v>0</v>
      </c>
      <c r="X122">
        <f>IF(NORMALIZADO!BW122="",0,NORMALIZADO!BW122)</f>
        <v>0</v>
      </c>
      <c r="Y122">
        <f>IF(NORMALIZADO!BX122="",0,NORMALIZADO!BX122)</f>
        <v>0</v>
      </c>
      <c r="Z122">
        <f>IF(NORMALIZADO!BY122="",0,NORMALIZADO!BY122)</f>
        <v>0</v>
      </c>
      <c r="AO122" t="str">
        <f t="shared" si="15"/>
        <v>N/A</v>
      </c>
      <c r="AP122" t="str">
        <f>IF(COUNT(NORMALIZADO!BV122:BY122)&gt;=3,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1</v>
      </c>
    </row>
    <row r="123" spans="1:45" ht="16.05" customHeight="1" x14ac:dyDescent="0.3">
      <c r="A123" t="s">
        <v>331</v>
      </c>
      <c r="B123" t="s">
        <v>332</v>
      </c>
      <c r="C123" t="s">
        <v>77</v>
      </c>
      <c r="D123" t="s">
        <v>65</v>
      </c>
      <c r="G123" t="s">
        <v>74</v>
      </c>
      <c r="J123" t="s">
        <v>124</v>
      </c>
      <c r="M123" t="str">
        <f t="shared" si="11"/>
        <v/>
      </c>
      <c r="N123" t="s">
        <v>68</v>
      </c>
      <c r="O123" t="str">
        <f t="shared" si="12"/>
        <v/>
      </c>
      <c r="P123" t="s">
        <v>68</v>
      </c>
      <c r="S123" t="str">
        <f t="shared" si="13"/>
        <v>—</v>
      </c>
      <c r="T123" t="str">
        <f t="shared" si="14"/>
        <v>⬜  Parcial · Inst. 2 pendiente</v>
      </c>
      <c r="U123" s="53">
        <v>1</v>
      </c>
      <c r="V123" t="s">
        <v>69</v>
      </c>
      <c r="W123">
        <f>IF(NORMALIZADO!BV123="",0,NORMALIZADO!BV123)</f>
        <v>0</v>
      </c>
      <c r="X123">
        <f>IF(NORMALIZADO!BW123="",0,NORMALIZADO!BW123)</f>
        <v>0</v>
      </c>
      <c r="Y123">
        <f>IF(NORMALIZADO!BX123="",0,NORMALIZADO!BX123)</f>
        <v>0</v>
      </c>
      <c r="Z123">
        <f>IF(NORMALIZADO!BY123="",0,NORMALIZADO!BY123)</f>
        <v>0</v>
      </c>
      <c r="AO123" t="str">
        <f t="shared" si="15"/>
        <v>N/A</v>
      </c>
      <c r="AP123" t="str">
        <f>IF(COUNT(NORMALIZADO!BV123:BY123)&gt;=3,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1</v>
      </c>
    </row>
    <row r="124" spans="1:45" ht="16.05" customHeight="1" x14ac:dyDescent="0.3">
      <c r="A124" t="s">
        <v>333</v>
      </c>
      <c r="B124" t="s">
        <v>334</v>
      </c>
      <c r="C124" t="s">
        <v>112</v>
      </c>
      <c r="D124" t="s">
        <v>65</v>
      </c>
      <c r="E124">
        <v>442439.35</v>
      </c>
      <c r="F124">
        <v>4</v>
      </c>
      <c r="G124" t="s">
        <v>66</v>
      </c>
      <c r="H124" t="s">
        <v>66</v>
      </c>
      <c r="I124" t="s">
        <v>66</v>
      </c>
      <c r="J124" t="s">
        <v>67</v>
      </c>
      <c r="K124" t="s">
        <v>335</v>
      </c>
      <c r="L124">
        <v>0</v>
      </c>
      <c r="M124">
        <f t="shared" si="11"/>
        <v>0</v>
      </c>
      <c r="N124" t="s">
        <v>68</v>
      </c>
      <c r="O124">
        <f t="shared" si="12"/>
        <v>1</v>
      </c>
      <c r="P124" t="s">
        <v>68</v>
      </c>
      <c r="Q124">
        <v>256</v>
      </c>
      <c r="R124">
        <v>685</v>
      </c>
      <c r="S124" t="str">
        <f t="shared" si="13"/>
        <v>—</v>
      </c>
      <c r="T124" t="str">
        <f t="shared" si="14"/>
        <v>⬜  Parcial · Inst. 2 pendiente</v>
      </c>
      <c r="U124" s="53">
        <v>1</v>
      </c>
      <c r="V124" t="s">
        <v>69</v>
      </c>
      <c r="W124">
        <f>IF(NORMALIZADO!BV124="",1,NORMALIZADO!BV124)</f>
        <v>1</v>
      </c>
      <c r="X124">
        <f>IF(NORMALIZADO!BW124="",0,NORMALIZADO!BW124)</f>
        <v>0</v>
      </c>
      <c r="Y124">
        <f>IF(NORMALIZADO!BX124="",0,NORMALIZADO!BX124)</f>
        <v>0</v>
      </c>
      <c r="Z124">
        <f>IF(NORMALIZADO!BY124="",0,NORMALIZADO!BY124)</f>
        <v>0</v>
      </c>
      <c r="AO124" t="str">
        <f t="shared" si="15"/>
        <v>N/A</v>
      </c>
      <c r="AP124" t="str">
        <f>IF(COUNT(NORMALIZADO!BV124:BY124)&gt;=3,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v>
      </c>
      <c r="AQ124">
        <f>IF(ISNUMBER(M124),1,0)+IF(ISNUMBER(SCORECARDS!H124),1,0)+IF(ISNUMBER(SCORECARDS!I124),1,0)+IF(ISNUMBER(SCORECARDS!J124),1,0)+IF(ISNUMBER(ISCAM_Score!K125),1,0)+IF(ISNUMBER(O124),1,0)+IF(COUNT(W124:Z124)&gt;0,1,0)</f>
        <v>3</v>
      </c>
      <c r="AR124" t="s">
        <v>1548</v>
      </c>
      <c r="AS124" t="s">
        <v>1549</v>
      </c>
    </row>
    <row r="125" spans="1:45" ht="16.05" customHeight="1" x14ac:dyDescent="0.3">
      <c r="A125" t="s">
        <v>336</v>
      </c>
      <c r="B125" t="s">
        <v>337</v>
      </c>
      <c r="C125" t="s">
        <v>77</v>
      </c>
      <c r="D125" t="s">
        <v>73</v>
      </c>
      <c r="G125" t="s">
        <v>74</v>
      </c>
      <c r="J125" t="s">
        <v>67</v>
      </c>
      <c r="M125" t="str">
        <f t="shared" si="11"/>
        <v/>
      </c>
      <c r="N125" t="s">
        <v>68</v>
      </c>
      <c r="O125" t="str">
        <f t="shared" si="12"/>
        <v/>
      </c>
      <c r="P125" t="s">
        <v>68</v>
      </c>
      <c r="S125" t="str">
        <f t="shared" si="13"/>
        <v>—</v>
      </c>
      <c r="T125" t="str">
        <f t="shared" si="14"/>
        <v>⬜  Parcial · Inst. 2 pendiente</v>
      </c>
      <c r="U125" s="53">
        <v>1</v>
      </c>
      <c r="V125" t="s">
        <v>69</v>
      </c>
      <c r="W125">
        <f>IF(NORMALIZADO!BV125="",0,NORMALIZADO!BV125)</f>
        <v>0</v>
      </c>
      <c r="X125">
        <f>IF(NORMALIZADO!BW125="",0,NORMALIZADO!BW125)</f>
        <v>0</v>
      </c>
      <c r="Y125">
        <f>IF(NORMALIZADO!BX125="",0,NORMALIZADO!BX125)</f>
        <v>0</v>
      </c>
      <c r="Z125">
        <f>IF(NORMALIZADO!BY125="",0,NORMALIZADO!BY125)</f>
        <v>0</v>
      </c>
      <c r="AO125" t="str">
        <f t="shared" si="15"/>
        <v>N/A</v>
      </c>
      <c r="AP125" t="str">
        <f>IF(COUNT(NORMALIZADO!BV125:BY125)&gt;=3,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1</v>
      </c>
    </row>
    <row r="126" spans="1:45" ht="16.05" customHeight="1" x14ac:dyDescent="0.3">
      <c r="A126" t="s">
        <v>338</v>
      </c>
      <c r="B126" t="s">
        <v>339</v>
      </c>
      <c r="C126" t="s">
        <v>77</v>
      </c>
      <c r="D126" t="s">
        <v>73</v>
      </c>
      <c r="G126" t="s">
        <v>74</v>
      </c>
      <c r="J126" t="s">
        <v>67</v>
      </c>
      <c r="M126" t="str">
        <f t="shared" si="11"/>
        <v/>
      </c>
      <c r="N126" t="s">
        <v>68</v>
      </c>
      <c r="O126" t="str">
        <f t="shared" si="12"/>
        <v/>
      </c>
      <c r="P126" t="s">
        <v>68</v>
      </c>
      <c r="S126" t="str">
        <f t="shared" si="13"/>
        <v>—</v>
      </c>
      <c r="T126" t="str">
        <f t="shared" si="14"/>
        <v>⬜  Parcial · Inst. 2 pendiente</v>
      </c>
      <c r="U126" s="53">
        <v>1</v>
      </c>
      <c r="V126" t="s">
        <v>69</v>
      </c>
      <c r="W126">
        <f>IF(NORMALIZADO!BV126="",0,NORMALIZADO!BV126)</f>
        <v>0</v>
      </c>
      <c r="X126">
        <f>IF(NORMALIZADO!BW126="",0,NORMALIZADO!BW126)</f>
        <v>0</v>
      </c>
      <c r="Y126">
        <f>IF(NORMALIZADO!BX126="",0,NORMALIZADO!BX126)</f>
        <v>0</v>
      </c>
      <c r="Z126">
        <f>IF(NORMALIZADO!BY126="",0,NORMALIZADO!BY126)</f>
        <v>0</v>
      </c>
      <c r="AO126" t="str">
        <f t="shared" si="15"/>
        <v>N/A</v>
      </c>
      <c r="AP126" t="str">
        <f>IF(COUNT(NORMALIZADO!BV126:BY126)&gt;=3,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1</v>
      </c>
    </row>
    <row r="127" spans="1:45" ht="16.05" customHeight="1" x14ac:dyDescent="0.3">
      <c r="A127" t="s">
        <v>340</v>
      </c>
      <c r="B127" t="s">
        <v>341</v>
      </c>
      <c r="C127" t="s">
        <v>77</v>
      </c>
      <c r="D127" t="s">
        <v>73</v>
      </c>
      <c r="G127" t="s">
        <v>74</v>
      </c>
      <c r="J127" t="s">
        <v>67</v>
      </c>
      <c r="M127" t="str">
        <f t="shared" si="11"/>
        <v/>
      </c>
      <c r="N127" t="s">
        <v>68</v>
      </c>
      <c r="O127" t="str">
        <f t="shared" si="12"/>
        <v/>
      </c>
      <c r="P127" t="s">
        <v>68</v>
      </c>
      <c r="S127" t="str">
        <f t="shared" si="13"/>
        <v>—</v>
      </c>
      <c r="T127" t="str">
        <f t="shared" si="14"/>
        <v>⬜  Parcial · Inst. 2 pendiente</v>
      </c>
      <c r="U127" s="53">
        <v>1</v>
      </c>
      <c r="V127" t="s">
        <v>69</v>
      </c>
      <c r="W127">
        <f>IF(NORMALIZADO!BV127="",0,NORMALIZADO!BV127)</f>
        <v>0</v>
      </c>
      <c r="X127">
        <f>IF(NORMALIZADO!BW127="",0,NORMALIZADO!BW127)</f>
        <v>0</v>
      </c>
      <c r="Y127">
        <f>IF(NORMALIZADO!BX127="",0,NORMALIZADO!BX127)</f>
        <v>0</v>
      </c>
      <c r="Z127">
        <f>IF(NORMALIZADO!BY127="",0,NORMALIZADO!BY127)</f>
        <v>0</v>
      </c>
      <c r="AO127" t="str">
        <f t="shared" si="15"/>
        <v>N/A</v>
      </c>
      <c r="AP127" t="str">
        <f>IF(COUNT(NORMALIZADO!BV127:BY127)&gt;=3,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1</v>
      </c>
    </row>
    <row r="128" spans="1:45" ht="16.05" customHeight="1" x14ac:dyDescent="0.3">
      <c r="A128" t="s">
        <v>342</v>
      </c>
      <c r="B128" t="s">
        <v>343</v>
      </c>
      <c r="C128" t="s">
        <v>112</v>
      </c>
      <c r="D128" t="s">
        <v>65</v>
      </c>
      <c r="E128">
        <v>13966273.33</v>
      </c>
      <c r="F128">
        <v>80</v>
      </c>
      <c r="G128" t="s">
        <v>66</v>
      </c>
      <c r="J128" t="s">
        <v>67</v>
      </c>
      <c r="L128">
        <v>6983136.6699999999</v>
      </c>
      <c r="M128">
        <f t="shared" si="11"/>
        <v>50</v>
      </c>
      <c r="N128" t="s">
        <v>68</v>
      </c>
      <c r="O128" t="str">
        <f t="shared" si="12"/>
        <v/>
      </c>
      <c r="P128" t="s">
        <v>68</v>
      </c>
      <c r="S128" t="str">
        <f t="shared" si="13"/>
        <v>—</v>
      </c>
      <c r="T128" t="str">
        <f t="shared" si="14"/>
        <v>⬜  Parcial · Inst. 2 pendiente</v>
      </c>
      <c r="U128" s="53">
        <v>1</v>
      </c>
      <c r="V128" t="s">
        <v>69</v>
      </c>
      <c r="W128">
        <f>IF(NORMALIZADO!BV128="",1,NORMALIZADO!BV128)</f>
        <v>1</v>
      </c>
      <c r="X128">
        <f>IF(NORMALIZADO!BW128="",0,NORMALIZADO!BW128)</f>
        <v>0</v>
      </c>
      <c r="Y128">
        <f>IF(NORMALIZADO!BX128="",0,NORMALIZADO!BX128)</f>
        <v>0</v>
      </c>
      <c r="Z128">
        <f>IF(NORMALIZADO!BY128="",0,NORMALIZADO!BY128)</f>
        <v>0</v>
      </c>
      <c r="AO128" t="str">
        <f t="shared" si="15"/>
        <v>N/A</v>
      </c>
      <c r="AP128" t="str">
        <f>IF(COUNT(NORMALIZADO!BV128:BY128)&gt;=3,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v>
      </c>
      <c r="AQ128">
        <f>IF(ISNUMBER(M128),1,0)+IF(ISNUMBER(SCORECARDS!H128),1,0)+IF(ISNUMBER(SCORECARDS!I128),1,0)+IF(ISNUMBER(SCORECARDS!J128),1,0)+IF(ISNUMBER(ISCAM_Score!K129),1,0)+IF(ISNUMBER(O128),1,0)+IF(COUNT(W128:Z128)&gt;0,1,0)</f>
        <v>2</v>
      </c>
    </row>
    <row r="129" spans="1:45" ht="16.05" customHeight="1" x14ac:dyDescent="0.3">
      <c r="A129" t="s">
        <v>344</v>
      </c>
      <c r="B129" t="s">
        <v>345</v>
      </c>
      <c r="C129" t="s">
        <v>109</v>
      </c>
      <c r="D129" t="s">
        <v>73</v>
      </c>
      <c r="G129" t="s">
        <v>74</v>
      </c>
      <c r="J129" t="s">
        <v>67</v>
      </c>
      <c r="M129" t="str">
        <f t="shared" si="11"/>
        <v/>
      </c>
      <c r="N129" t="s">
        <v>68</v>
      </c>
      <c r="O129" t="str">
        <f t="shared" si="12"/>
        <v/>
      </c>
      <c r="P129" t="s">
        <v>68</v>
      </c>
      <c r="S129" t="str">
        <f t="shared" si="13"/>
        <v>—</v>
      </c>
      <c r="T129" t="str">
        <f t="shared" si="14"/>
        <v>⬜  Parcial · Inst. 2 pendiente</v>
      </c>
      <c r="U129" s="53">
        <v>1</v>
      </c>
      <c r="V129" t="s">
        <v>69</v>
      </c>
      <c r="W129">
        <f>IF(NORMALIZADO!BV129="",0,NORMALIZADO!BV129)</f>
        <v>0</v>
      </c>
      <c r="X129">
        <f>IF(NORMALIZADO!BW129="",0,NORMALIZADO!BW129)</f>
        <v>0</v>
      </c>
      <c r="Y129">
        <f>IF(NORMALIZADO!BX129="",0,NORMALIZADO!BX129)</f>
        <v>0</v>
      </c>
      <c r="Z129">
        <f>IF(NORMALIZADO!BY129="",0,NORMALIZADO!BY129)</f>
        <v>0</v>
      </c>
      <c r="AO129" t="str">
        <f t="shared" si="15"/>
        <v>N/A</v>
      </c>
      <c r="AP129" t="str">
        <f>IF(COUNT(NORMALIZADO!BV129:BY129)&gt;=3,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1</v>
      </c>
    </row>
    <row r="130" spans="1:45" ht="16.05" customHeight="1" x14ac:dyDescent="0.3">
      <c r="A130" t="s">
        <v>346</v>
      </c>
      <c r="B130" t="s">
        <v>347</v>
      </c>
      <c r="C130" t="s">
        <v>249</v>
      </c>
      <c r="D130" t="s">
        <v>65</v>
      </c>
      <c r="E130">
        <v>826100.75</v>
      </c>
      <c r="F130">
        <v>5</v>
      </c>
      <c r="G130" t="s">
        <v>66</v>
      </c>
      <c r="H130" t="s">
        <v>66</v>
      </c>
      <c r="I130" t="s">
        <v>66</v>
      </c>
      <c r="J130" t="s">
        <v>67</v>
      </c>
      <c r="K130" t="s">
        <v>348</v>
      </c>
      <c r="L130">
        <v>0</v>
      </c>
      <c r="M130">
        <f t="shared" si="11"/>
        <v>0</v>
      </c>
      <c r="N130" t="s">
        <v>68</v>
      </c>
      <c r="O130">
        <f t="shared" si="12"/>
        <v>1</v>
      </c>
      <c r="P130" t="s">
        <v>68</v>
      </c>
      <c r="Q130">
        <v>177</v>
      </c>
      <c r="R130">
        <v>213</v>
      </c>
      <c r="S130" t="str">
        <f t="shared" si="13"/>
        <v>—</v>
      </c>
      <c r="T130" t="str">
        <f t="shared" si="14"/>
        <v>⬜  Parcial · Inst. 2 pendiente</v>
      </c>
      <c r="U130" s="53">
        <v>1</v>
      </c>
      <c r="V130" t="s">
        <v>69</v>
      </c>
      <c r="W130">
        <f>IF(NORMALIZADO!BV130="",1,NORMALIZADO!BV130)</f>
        <v>1</v>
      </c>
      <c r="X130">
        <f>IF(NORMALIZADO!BW130="",0,NORMALIZADO!BW130)</f>
        <v>0</v>
      </c>
      <c r="Y130">
        <f>IF(NORMALIZADO!BX130="",0,NORMALIZADO!BX130)</f>
        <v>0</v>
      </c>
      <c r="Z130">
        <f>IF(NORMALIZADO!BY130="",0,NORMALIZADO!BY130)</f>
        <v>0</v>
      </c>
      <c r="AO130" t="str">
        <f t="shared" si="15"/>
        <v>N/A</v>
      </c>
      <c r="AP130" t="str">
        <f>IF(COUNT(NORMALIZADO!BV130:BY130)&gt;=3,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v>
      </c>
      <c r="AQ130">
        <f>IF(ISNUMBER(M130),1,0)+IF(ISNUMBER(SCORECARDS!H130),1,0)+IF(ISNUMBER(SCORECARDS!I130),1,0)+IF(ISNUMBER(SCORECARDS!J130),1,0)+IF(ISNUMBER(ISCAM_Score!K131),1,0)+IF(ISNUMBER(O130),1,0)+IF(COUNT(W130:Z130)&gt;0,1,0)</f>
        <v>3</v>
      </c>
      <c r="AR130" t="s">
        <v>1550</v>
      </c>
      <c r="AS130" t="s">
        <v>1551</v>
      </c>
    </row>
    <row r="131" spans="1:45" ht="16.05" customHeight="1" x14ac:dyDescent="0.3">
      <c r="A131" t="s">
        <v>349</v>
      </c>
      <c r="B131" t="s">
        <v>350</v>
      </c>
      <c r="C131" t="s">
        <v>77</v>
      </c>
      <c r="D131" t="s">
        <v>65</v>
      </c>
      <c r="G131" t="s">
        <v>74</v>
      </c>
      <c r="J131" t="s">
        <v>124</v>
      </c>
      <c r="M131" t="str">
        <f t="shared" si="11"/>
        <v/>
      </c>
      <c r="N131" t="s">
        <v>68</v>
      </c>
      <c r="O131" t="str">
        <f t="shared" si="12"/>
        <v/>
      </c>
      <c r="P131" t="s">
        <v>68</v>
      </c>
      <c r="S131" t="str">
        <f t="shared" ref="S131:S162" si="16">IFERROR(ROUND(AP131*100,1),"—")</f>
        <v>—</v>
      </c>
      <c r="T131" t="str">
        <f t="shared" ref="T131:T162" si="17">IF(AQ131&lt;6,"⬜  Parcial · Inst. 2 pendiente",IF(NOT(ISNUMBER(S131)),"—",IF(S131&lt;34,"🔴 Crítico",IF(S131&lt;67,"🟡 Vulnerable","🟢 Preparado"))))</f>
        <v>⬜  Parcial · Inst. 2 pendiente</v>
      </c>
      <c r="U131" s="53">
        <v>1</v>
      </c>
      <c r="V131" t="s">
        <v>69</v>
      </c>
      <c r="W131">
        <f>IF(NORMALIZADO!BV131="",0,NORMALIZADO!BV131)</f>
        <v>0</v>
      </c>
      <c r="X131">
        <f>IF(NORMALIZADO!BW131="",0,NORMALIZADO!BW131)</f>
        <v>0</v>
      </c>
      <c r="Y131">
        <f>IF(NORMALIZADO!BX131="",0,NORMALIZADO!BX131)</f>
        <v>0</v>
      </c>
      <c r="Z131">
        <f>IF(NORMALIZADO!BY131="",0,NORMALIZADO!BY131)</f>
        <v>0</v>
      </c>
      <c r="AO131" t="str">
        <f t="shared" ref="AO131:AO162" si="18">IFERROR(AVERAGE(AA131,AB131,AC131,AD131,AE131,AF131,AG131,AH131,AI131,AJ131,AK131,AL131,AM131,AN131),"N/A")</f>
        <v>N/A</v>
      </c>
      <c r="AP131" t="str">
        <f>IF(COUNT(NORMALIZADO!BV131:BY131)&gt;=3,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1</v>
      </c>
    </row>
    <row r="132" spans="1:45" ht="16.05" customHeight="1" x14ac:dyDescent="0.3">
      <c r="A132" t="s">
        <v>351</v>
      </c>
      <c r="B132" t="s">
        <v>352</v>
      </c>
      <c r="C132" t="s">
        <v>109</v>
      </c>
      <c r="D132" t="s">
        <v>73</v>
      </c>
      <c r="G132" t="s">
        <v>74</v>
      </c>
      <c r="J132" t="s">
        <v>124</v>
      </c>
      <c r="M132" t="str">
        <f t="shared" ref="M132:M176" si="19">IF(E132&gt;0,ROUND(L132/E132*100,1),"")</f>
        <v/>
      </c>
      <c r="N132" t="s">
        <v>68</v>
      </c>
      <c r="O132" t="str">
        <f t="shared" ref="O132:O176" si="20">IF(AND(H132="",I132=""),"",IF(H132="SI",1,0)*0.6+IF(I132="SI",1,0)*0.4)</f>
        <v/>
      </c>
      <c r="P132" t="s">
        <v>68</v>
      </c>
      <c r="S132" t="str">
        <f t="shared" si="16"/>
        <v>—</v>
      </c>
      <c r="T132" t="str">
        <f t="shared" si="17"/>
        <v>⬜  Parcial · Inst. 2 pendiente</v>
      </c>
      <c r="U132" s="53">
        <v>1</v>
      </c>
      <c r="V132" t="s">
        <v>69</v>
      </c>
      <c r="W132">
        <f>IF(NORMALIZADO!BV132="",0,NORMALIZADO!BV132)</f>
        <v>0</v>
      </c>
      <c r="X132">
        <f>IF(NORMALIZADO!BW132="",0,NORMALIZADO!BW132)</f>
        <v>0</v>
      </c>
      <c r="Y132">
        <f>IF(NORMALIZADO!BX132="",0,NORMALIZADO!BX132)</f>
        <v>0</v>
      </c>
      <c r="Z132">
        <f>IF(NORMALIZADO!BY132="",0,NORMALIZADO!BY132)</f>
        <v>0</v>
      </c>
      <c r="AO132" t="str">
        <f t="shared" si="18"/>
        <v>N/A</v>
      </c>
      <c r="AP132" t="str">
        <f>IF(COUNT(NORMALIZADO!BV132:BY132)&gt;=3,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1</v>
      </c>
    </row>
    <row r="133" spans="1:45" ht="16.05" customHeight="1" x14ac:dyDescent="0.3">
      <c r="A133" t="s">
        <v>353</v>
      </c>
      <c r="B133" t="s">
        <v>354</v>
      </c>
      <c r="C133" t="s">
        <v>103</v>
      </c>
      <c r="D133" t="s">
        <v>73</v>
      </c>
      <c r="G133" t="s">
        <v>74</v>
      </c>
      <c r="J133" t="s">
        <v>67</v>
      </c>
      <c r="M133" t="str">
        <f t="shared" si="19"/>
        <v/>
      </c>
      <c r="N133" t="s">
        <v>68</v>
      </c>
      <c r="O133" t="str">
        <f t="shared" si="20"/>
        <v/>
      </c>
      <c r="P133" t="s">
        <v>68</v>
      </c>
      <c r="S133" t="str">
        <f t="shared" si="16"/>
        <v>—</v>
      </c>
      <c r="T133" t="str">
        <f t="shared" si="17"/>
        <v>⬜  Parcial · Inst. 2 pendiente</v>
      </c>
      <c r="U133" s="53">
        <v>1</v>
      </c>
      <c r="V133" t="s">
        <v>69</v>
      </c>
      <c r="W133">
        <f>IF(NORMALIZADO!BV133="",0,NORMALIZADO!BV133)</f>
        <v>0</v>
      </c>
      <c r="X133">
        <f>IF(NORMALIZADO!BW133="",0,NORMALIZADO!BW133)</f>
        <v>0</v>
      </c>
      <c r="Y133">
        <f>IF(NORMALIZADO!BX133="",0,NORMALIZADO!BX133)</f>
        <v>0</v>
      </c>
      <c r="Z133">
        <f>IF(NORMALIZADO!BY133="",0,NORMALIZADO!BY133)</f>
        <v>0</v>
      </c>
      <c r="AO133" t="str">
        <f t="shared" si="18"/>
        <v>N/A</v>
      </c>
      <c r="AP133" t="str">
        <f>IF(COUNT(NORMALIZADO!BV133:BY133)&gt;=3,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1</v>
      </c>
    </row>
    <row r="134" spans="1:45" ht="16.05" customHeight="1" x14ac:dyDescent="0.3">
      <c r="A134" t="s">
        <v>355</v>
      </c>
      <c r="B134" t="s">
        <v>356</v>
      </c>
      <c r="C134" t="s">
        <v>77</v>
      </c>
      <c r="D134" t="s">
        <v>65</v>
      </c>
      <c r="G134" t="s">
        <v>74</v>
      </c>
      <c r="H134" t="s">
        <v>66</v>
      </c>
      <c r="I134" t="s">
        <v>66</v>
      </c>
      <c r="J134" t="s">
        <v>67</v>
      </c>
      <c r="K134" t="s">
        <v>357</v>
      </c>
      <c r="M134" t="str">
        <f t="shared" si="19"/>
        <v/>
      </c>
      <c r="N134" t="s">
        <v>68</v>
      </c>
      <c r="O134">
        <f t="shared" si="20"/>
        <v>1</v>
      </c>
      <c r="P134" t="s">
        <v>68</v>
      </c>
      <c r="Q134">
        <v>162</v>
      </c>
      <c r="R134">
        <v>454.5</v>
      </c>
      <c r="S134" t="str">
        <f t="shared" si="16"/>
        <v>—</v>
      </c>
      <c r="T134" t="str">
        <f t="shared" si="17"/>
        <v>⬜  Parcial · Inst. 2 pendiente</v>
      </c>
      <c r="U134" s="53">
        <v>1</v>
      </c>
      <c r="V134" t="s">
        <v>69</v>
      </c>
      <c r="W134">
        <f>IF(NORMALIZADO!BV134="",1,NORMALIZADO!BV134)</f>
        <v>1</v>
      </c>
      <c r="X134">
        <f>IF(NORMALIZADO!BW134="",0,NORMALIZADO!BW134)</f>
        <v>0</v>
      </c>
      <c r="Y134">
        <f>IF(NORMALIZADO!BX134="",0,NORMALIZADO!BX134)</f>
        <v>0</v>
      </c>
      <c r="Z134">
        <f>IF(NORMALIZADO!BY134="",0,NORMALIZADO!BY134)</f>
        <v>0</v>
      </c>
      <c r="AO134" t="str">
        <f t="shared" si="18"/>
        <v>N/A</v>
      </c>
      <c r="AP134" t="str">
        <f>IF(COUNT(NORMALIZADO!BV134:BY134)&gt;=3,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v>
      </c>
      <c r="AQ134">
        <f>IF(ISNUMBER(M134),1,0)+IF(ISNUMBER(SCORECARDS!H134),1,0)+IF(ISNUMBER(SCORECARDS!I134),1,0)+IF(ISNUMBER(SCORECARDS!J134),1,0)+IF(ISNUMBER(ISCAM_Score!K135),1,0)+IF(ISNUMBER(O134),1,0)+IF(COUNT(W134:Z134)&gt;0,1,0)</f>
        <v>2</v>
      </c>
      <c r="AR134" t="s">
        <v>1552</v>
      </c>
      <c r="AS134" t="s">
        <v>1553</v>
      </c>
    </row>
    <row r="135" spans="1:45" ht="16.05" customHeight="1" x14ac:dyDescent="0.3">
      <c r="A135" t="s">
        <v>358</v>
      </c>
      <c r="B135" t="s">
        <v>359</v>
      </c>
      <c r="C135" t="s">
        <v>139</v>
      </c>
      <c r="D135" t="s">
        <v>65</v>
      </c>
      <c r="E135">
        <v>6836861.4500000002</v>
      </c>
      <c r="F135">
        <v>36</v>
      </c>
      <c r="G135" t="s">
        <v>66</v>
      </c>
      <c r="H135" t="s">
        <v>66</v>
      </c>
      <c r="I135" t="s">
        <v>66</v>
      </c>
      <c r="J135" t="s">
        <v>67</v>
      </c>
      <c r="K135" t="s">
        <v>360</v>
      </c>
      <c r="L135">
        <v>4575551.37</v>
      </c>
      <c r="M135">
        <f t="shared" si="19"/>
        <v>66.900000000000006</v>
      </c>
      <c r="N135" t="s">
        <v>68</v>
      </c>
      <c r="O135">
        <f t="shared" si="20"/>
        <v>1</v>
      </c>
      <c r="P135" t="s">
        <v>68</v>
      </c>
      <c r="Q135">
        <v>762</v>
      </c>
      <c r="R135">
        <v>1500</v>
      </c>
      <c r="S135" t="str">
        <f t="shared" si="16"/>
        <v>—</v>
      </c>
      <c r="T135" t="str">
        <f t="shared" si="17"/>
        <v>⬜  Parcial · Inst. 2 pendiente</v>
      </c>
      <c r="U135" s="53">
        <v>1</v>
      </c>
      <c r="V135" t="s">
        <v>69</v>
      </c>
      <c r="W135">
        <f>IF(NORMALIZADO!BV135="",1,NORMALIZADO!BV135)</f>
        <v>1</v>
      </c>
      <c r="X135">
        <f>IF(NORMALIZADO!BW135="",0,NORMALIZADO!BW135)</f>
        <v>0</v>
      </c>
      <c r="Y135">
        <f>IF(NORMALIZADO!BX135="",0,NORMALIZADO!BX135)</f>
        <v>0</v>
      </c>
      <c r="Z135">
        <f>IF(NORMALIZADO!BY135="",0,NORMALIZADO!BY135)</f>
        <v>0</v>
      </c>
      <c r="AO135" t="str">
        <f t="shared" si="18"/>
        <v>N/A</v>
      </c>
      <c r="AP135" t="str">
        <f>IF(COUNT(NORMALIZADO!BV135:BY135)&gt;=3,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v>
      </c>
      <c r="AQ135">
        <f>IF(ISNUMBER(M135),1,0)+IF(ISNUMBER(SCORECARDS!H135),1,0)+IF(ISNUMBER(SCORECARDS!I135),1,0)+IF(ISNUMBER(SCORECARDS!J135),1,0)+IF(ISNUMBER(ISCAM_Score!K136),1,0)+IF(ISNUMBER(O135),1,0)+IF(COUNT(W135:Z135)&gt;0,1,0)</f>
        <v>3</v>
      </c>
      <c r="AR135" t="s">
        <v>1554</v>
      </c>
      <c r="AS135" t="s">
        <v>1555</v>
      </c>
    </row>
    <row r="136" spans="1:45" ht="16.05" customHeight="1" x14ac:dyDescent="0.3">
      <c r="A136" t="s">
        <v>361</v>
      </c>
      <c r="B136" t="s">
        <v>362</v>
      </c>
      <c r="C136" t="s">
        <v>77</v>
      </c>
      <c r="D136" t="s">
        <v>65</v>
      </c>
      <c r="G136" t="s">
        <v>74</v>
      </c>
      <c r="J136" t="s">
        <v>67</v>
      </c>
      <c r="M136" t="str">
        <f t="shared" si="19"/>
        <v/>
      </c>
      <c r="N136" t="s">
        <v>68</v>
      </c>
      <c r="O136" t="str">
        <f t="shared" si="20"/>
        <v/>
      </c>
      <c r="P136" t="s">
        <v>68</v>
      </c>
      <c r="S136" t="str">
        <f t="shared" si="16"/>
        <v>—</v>
      </c>
      <c r="T136" t="str">
        <f t="shared" si="17"/>
        <v>⬜  Parcial · Inst. 2 pendiente</v>
      </c>
      <c r="U136" s="53">
        <v>1</v>
      </c>
      <c r="V136" t="s">
        <v>69</v>
      </c>
      <c r="W136">
        <f>IF(NORMALIZADO!BV136="",0,NORMALIZADO!BV136)</f>
        <v>0</v>
      </c>
      <c r="X136">
        <f>IF(NORMALIZADO!BW136="",0,NORMALIZADO!BW136)</f>
        <v>0</v>
      </c>
      <c r="Y136">
        <f>IF(NORMALIZADO!BX136="",0,NORMALIZADO!BX136)</f>
        <v>0</v>
      </c>
      <c r="Z136">
        <f>IF(NORMALIZADO!BY136="",0,NORMALIZADO!BY136)</f>
        <v>0</v>
      </c>
      <c r="AO136" t="str">
        <f t="shared" si="18"/>
        <v>N/A</v>
      </c>
      <c r="AP136" t="str">
        <f>IF(COUNT(NORMALIZADO!BV136:BY136)&gt;=3,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1</v>
      </c>
    </row>
    <row r="137" spans="1:45" ht="16.05" customHeight="1" x14ac:dyDescent="0.3">
      <c r="A137" t="s">
        <v>363</v>
      </c>
      <c r="B137" t="s">
        <v>364</v>
      </c>
      <c r="C137" t="s">
        <v>80</v>
      </c>
      <c r="D137" t="s">
        <v>73</v>
      </c>
      <c r="G137" t="s">
        <v>74</v>
      </c>
      <c r="J137" t="s">
        <v>67</v>
      </c>
      <c r="M137" t="str">
        <f t="shared" si="19"/>
        <v/>
      </c>
      <c r="N137" t="s">
        <v>68</v>
      </c>
      <c r="O137" t="str">
        <f t="shared" si="20"/>
        <v/>
      </c>
      <c r="P137" t="s">
        <v>68</v>
      </c>
      <c r="S137" t="str">
        <f t="shared" si="16"/>
        <v>—</v>
      </c>
      <c r="T137" t="str">
        <f t="shared" si="17"/>
        <v>⬜  Parcial · Inst. 2 pendiente</v>
      </c>
      <c r="U137" s="53">
        <v>1</v>
      </c>
      <c r="V137" t="s">
        <v>69</v>
      </c>
      <c r="W137">
        <f>IF(NORMALIZADO!BV137="",0,NORMALIZADO!BV137)</f>
        <v>0</v>
      </c>
      <c r="X137">
        <f>IF(NORMALIZADO!BW137="",0,NORMALIZADO!BW137)</f>
        <v>0</v>
      </c>
      <c r="Y137">
        <f>IF(NORMALIZADO!BX137="",0,NORMALIZADO!BX137)</f>
        <v>0</v>
      </c>
      <c r="Z137">
        <f>IF(NORMALIZADO!BY137="",0,NORMALIZADO!BY137)</f>
        <v>0</v>
      </c>
      <c r="AO137" t="str">
        <f t="shared" si="18"/>
        <v>N/A</v>
      </c>
      <c r="AP137" t="str">
        <f>IF(COUNT(NORMALIZADO!BV137:BY137)&gt;=3,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1</v>
      </c>
    </row>
    <row r="138" spans="1:45" ht="16.05" customHeight="1" x14ac:dyDescent="0.3">
      <c r="A138" t="s">
        <v>365</v>
      </c>
      <c r="B138" t="s">
        <v>366</v>
      </c>
      <c r="C138" t="s">
        <v>112</v>
      </c>
      <c r="D138" t="s">
        <v>65</v>
      </c>
      <c r="E138">
        <v>161000</v>
      </c>
      <c r="F138">
        <v>1</v>
      </c>
      <c r="G138" t="s">
        <v>66</v>
      </c>
      <c r="J138" t="s">
        <v>67</v>
      </c>
      <c r="L138">
        <v>80500</v>
      </c>
      <c r="M138">
        <f t="shared" si="19"/>
        <v>50</v>
      </c>
      <c r="N138" t="s">
        <v>68</v>
      </c>
      <c r="O138" t="str">
        <f t="shared" si="20"/>
        <v/>
      </c>
      <c r="P138" t="s">
        <v>68</v>
      </c>
      <c r="S138" t="str">
        <f t="shared" si="16"/>
        <v>—</v>
      </c>
      <c r="T138" t="str">
        <f t="shared" si="17"/>
        <v>⬜  Parcial · Inst. 2 pendiente</v>
      </c>
      <c r="U138" s="53">
        <v>1</v>
      </c>
      <c r="V138" t="s">
        <v>69</v>
      </c>
      <c r="W138">
        <f>IF(NORMALIZADO!BV138="",0,NORMALIZADO!BV138)</f>
        <v>0</v>
      </c>
      <c r="X138">
        <f>IF(NORMALIZADO!BW138="",0,NORMALIZADO!BW138)</f>
        <v>0</v>
      </c>
      <c r="Y138">
        <f>IF(NORMALIZADO!BX138="",0,NORMALIZADO!BX138)</f>
        <v>0</v>
      </c>
      <c r="Z138">
        <f>IF(NORMALIZADO!BY138="",0,NORMALIZADO!BY138)</f>
        <v>0</v>
      </c>
      <c r="AO138" t="str">
        <f t="shared" si="18"/>
        <v>N/A</v>
      </c>
      <c r="AP138" t="str">
        <f>IF(COUNT(NORMALIZADO!BV138:BY138)&gt;=3,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v>
      </c>
      <c r="AQ138">
        <f>IF(ISNUMBER(M138),1,0)+IF(ISNUMBER(SCORECARDS!H138),1,0)+IF(ISNUMBER(SCORECARDS!I138),1,0)+IF(ISNUMBER(SCORECARDS!J138),1,0)+IF(ISNUMBER(ISCAM_Score!K139),1,0)+IF(ISNUMBER(O138),1,0)+IF(COUNT(W138:Z138)&gt;0,1,0)</f>
        <v>2</v>
      </c>
    </row>
    <row r="139" spans="1:45" ht="16.05" customHeight="1" x14ac:dyDescent="0.3">
      <c r="A139" t="s">
        <v>367</v>
      </c>
      <c r="B139" t="s">
        <v>368</v>
      </c>
      <c r="C139" t="s">
        <v>192</v>
      </c>
      <c r="D139" t="s">
        <v>73</v>
      </c>
      <c r="G139" t="s">
        <v>74</v>
      </c>
      <c r="J139" t="s">
        <v>67</v>
      </c>
      <c r="M139" t="str">
        <f t="shared" si="19"/>
        <v/>
      </c>
      <c r="N139" t="s">
        <v>68</v>
      </c>
      <c r="O139" t="str">
        <f t="shared" si="20"/>
        <v/>
      </c>
      <c r="P139" t="s">
        <v>68</v>
      </c>
      <c r="S139" t="str">
        <f t="shared" si="16"/>
        <v>—</v>
      </c>
      <c r="T139" t="str">
        <f t="shared" si="17"/>
        <v>⬜  Parcial · Inst. 2 pendiente</v>
      </c>
      <c r="U139" s="53">
        <v>1</v>
      </c>
      <c r="V139" t="s">
        <v>69</v>
      </c>
      <c r="W139">
        <f>IF(NORMALIZADO!BV139="",0,NORMALIZADO!BV139)</f>
        <v>0</v>
      </c>
      <c r="X139">
        <f>IF(NORMALIZADO!BW139="",0,NORMALIZADO!BW139)</f>
        <v>0</v>
      </c>
      <c r="Y139">
        <f>IF(NORMALIZADO!BX139="",0,NORMALIZADO!BX139)</f>
        <v>0</v>
      </c>
      <c r="Z139">
        <f>IF(NORMALIZADO!BY139="",0,NORMALIZADO!BY139)</f>
        <v>0</v>
      </c>
      <c r="AO139" t="str">
        <f t="shared" si="18"/>
        <v>N/A</v>
      </c>
      <c r="AP139" t="str">
        <f>IF(COUNT(NORMALIZADO!BV139:BY139)&gt;=3,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1</v>
      </c>
    </row>
    <row r="140" spans="1:45" ht="16.05" customHeight="1" x14ac:dyDescent="0.3">
      <c r="A140" t="s">
        <v>369</v>
      </c>
      <c r="B140" t="s">
        <v>370</v>
      </c>
      <c r="C140" t="s">
        <v>77</v>
      </c>
      <c r="D140" t="s">
        <v>65</v>
      </c>
      <c r="E140">
        <v>378122</v>
      </c>
      <c r="F140">
        <v>3</v>
      </c>
      <c r="G140" t="s">
        <v>66</v>
      </c>
      <c r="J140" t="s">
        <v>67</v>
      </c>
      <c r="L140">
        <v>0</v>
      </c>
      <c r="M140">
        <f t="shared" si="19"/>
        <v>0</v>
      </c>
      <c r="N140" t="s">
        <v>68</v>
      </c>
      <c r="O140" t="str">
        <f t="shared" si="20"/>
        <v/>
      </c>
      <c r="P140" t="s">
        <v>68</v>
      </c>
      <c r="S140" t="str">
        <f t="shared" si="16"/>
        <v>—</v>
      </c>
      <c r="T140" t="str">
        <f t="shared" si="17"/>
        <v>⬜  Parcial · Inst. 2 pendiente</v>
      </c>
      <c r="U140" s="53">
        <v>1</v>
      </c>
      <c r="V140" t="s">
        <v>69</v>
      </c>
      <c r="W140">
        <f>IF(NORMALIZADO!BV140="",0,NORMALIZADO!BV140)</f>
        <v>0</v>
      </c>
      <c r="X140">
        <f>IF(NORMALIZADO!BW140="",0,NORMALIZADO!BW140)</f>
        <v>0</v>
      </c>
      <c r="Y140">
        <f>IF(NORMALIZADO!BX140="",0,NORMALIZADO!BX140)</f>
        <v>0</v>
      </c>
      <c r="Z140">
        <f>IF(NORMALIZADO!BY140="",0,NORMALIZADO!BY140)</f>
        <v>0</v>
      </c>
      <c r="AO140" t="str">
        <f t="shared" si="18"/>
        <v>N/A</v>
      </c>
      <c r="AP140" t="str">
        <f>IF(COUNT(NORMALIZADO!BV140:BY140)&gt;=3,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v>
      </c>
      <c r="AQ140">
        <f>IF(ISNUMBER(M140),1,0)+IF(ISNUMBER(SCORECARDS!H140),1,0)+IF(ISNUMBER(SCORECARDS!I140),1,0)+IF(ISNUMBER(SCORECARDS!J140),1,0)+IF(ISNUMBER(ISCAM_Score!K141),1,0)+IF(ISNUMBER(O140),1,0)+IF(COUNT(W140:Z140)&gt;0,1,0)</f>
        <v>2</v>
      </c>
    </row>
    <row r="141" spans="1:45" ht="16.05" customHeight="1" x14ac:dyDescent="0.3">
      <c r="A141" t="s">
        <v>371</v>
      </c>
      <c r="B141" t="s">
        <v>372</v>
      </c>
      <c r="C141" t="s">
        <v>80</v>
      </c>
      <c r="D141" t="s">
        <v>73</v>
      </c>
      <c r="G141" t="s">
        <v>74</v>
      </c>
      <c r="J141" t="s">
        <v>67</v>
      </c>
      <c r="M141" t="str">
        <f t="shared" si="19"/>
        <v/>
      </c>
      <c r="N141" t="s">
        <v>68</v>
      </c>
      <c r="O141" t="str">
        <f t="shared" si="20"/>
        <v/>
      </c>
      <c r="P141" t="s">
        <v>68</v>
      </c>
      <c r="S141" t="str">
        <f t="shared" si="16"/>
        <v>—</v>
      </c>
      <c r="T141" t="str">
        <f t="shared" si="17"/>
        <v>⬜  Parcial · Inst. 2 pendiente</v>
      </c>
      <c r="U141" s="53">
        <v>1</v>
      </c>
      <c r="V141" t="s">
        <v>69</v>
      </c>
      <c r="W141">
        <f>IF(NORMALIZADO!BV141="",0,NORMALIZADO!BV141)</f>
        <v>0</v>
      </c>
      <c r="X141">
        <f>IF(NORMALIZADO!BW141="",0,NORMALIZADO!BW141)</f>
        <v>0</v>
      </c>
      <c r="Y141">
        <f>IF(NORMALIZADO!BX141="",0,NORMALIZADO!BX141)</f>
        <v>0</v>
      </c>
      <c r="Z141">
        <f>IF(NORMALIZADO!BY141="",0,NORMALIZADO!BY141)</f>
        <v>0</v>
      </c>
      <c r="AO141" t="str">
        <f t="shared" si="18"/>
        <v>N/A</v>
      </c>
      <c r="AP141" t="str">
        <f>IF(COUNT(NORMALIZADO!BV141:BY141)&gt;=3,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1</v>
      </c>
    </row>
    <row r="142" spans="1:45" ht="16.05" customHeight="1" x14ac:dyDescent="0.3">
      <c r="A142" t="s">
        <v>373</v>
      </c>
      <c r="B142" t="s">
        <v>374</v>
      </c>
      <c r="C142" t="s">
        <v>80</v>
      </c>
      <c r="D142" t="s">
        <v>73</v>
      </c>
      <c r="G142" t="s">
        <v>74</v>
      </c>
      <c r="J142" t="s">
        <v>67</v>
      </c>
      <c r="M142" t="str">
        <f t="shared" si="19"/>
        <v/>
      </c>
      <c r="N142" t="s">
        <v>68</v>
      </c>
      <c r="O142" t="str">
        <f t="shared" si="20"/>
        <v/>
      </c>
      <c r="P142" t="s">
        <v>68</v>
      </c>
      <c r="S142" t="str">
        <f t="shared" si="16"/>
        <v>—</v>
      </c>
      <c r="T142" t="str">
        <f t="shared" si="17"/>
        <v>⬜  Parcial · Inst. 2 pendiente</v>
      </c>
      <c r="U142" s="53">
        <v>1</v>
      </c>
      <c r="V142" t="s">
        <v>69</v>
      </c>
      <c r="W142">
        <f>IF(NORMALIZADO!BV142="",0,NORMALIZADO!BV142)</f>
        <v>0</v>
      </c>
      <c r="X142">
        <f>IF(NORMALIZADO!BW142="",0,NORMALIZADO!BW142)</f>
        <v>0</v>
      </c>
      <c r="Y142">
        <f>IF(NORMALIZADO!BX142="",0,NORMALIZADO!BX142)</f>
        <v>0</v>
      </c>
      <c r="Z142">
        <f>IF(NORMALIZADO!BY142="",0,NORMALIZADO!BY142)</f>
        <v>0</v>
      </c>
      <c r="AO142" t="str">
        <f t="shared" si="18"/>
        <v>N/A</v>
      </c>
      <c r="AP142" t="str">
        <f>IF(COUNT(NORMALIZADO!BV142:BY142)&gt;=3,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1</v>
      </c>
    </row>
    <row r="143" spans="1:45" ht="16.05" customHeight="1" x14ac:dyDescent="0.3">
      <c r="A143" t="s">
        <v>375</v>
      </c>
      <c r="B143" t="s">
        <v>376</v>
      </c>
      <c r="C143" t="s">
        <v>139</v>
      </c>
      <c r="D143" t="s">
        <v>65</v>
      </c>
      <c r="E143">
        <v>1201126.56</v>
      </c>
      <c r="F143">
        <v>8</v>
      </c>
      <c r="G143" t="s">
        <v>66</v>
      </c>
      <c r="H143" t="s">
        <v>66</v>
      </c>
      <c r="I143" t="s">
        <v>66</v>
      </c>
      <c r="J143" t="s">
        <v>67</v>
      </c>
      <c r="K143" t="s">
        <v>222</v>
      </c>
      <c r="L143">
        <v>852880.44</v>
      </c>
      <c r="M143">
        <f t="shared" si="19"/>
        <v>71</v>
      </c>
      <c r="N143" t="s">
        <v>68</v>
      </c>
      <c r="O143">
        <f t="shared" si="20"/>
        <v>1</v>
      </c>
      <c r="P143" t="s">
        <v>68</v>
      </c>
      <c r="Q143">
        <v>381</v>
      </c>
      <c r="R143">
        <v>1143</v>
      </c>
      <c r="S143" t="str">
        <f t="shared" si="16"/>
        <v>—</v>
      </c>
      <c r="T143" t="str">
        <f t="shared" si="17"/>
        <v>⬜  Parcial · Inst. 2 pendiente</v>
      </c>
      <c r="U143" s="53">
        <v>1</v>
      </c>
      <c r="V143" t="s">
        <v>69</v>
      </c>
      <c r="W143">
        <f>IF(NORMALIZADO!BV143="",1,NORMALIZADO!BV143)</f>
        <v>1</v>
      </c>
      <c r="X143">
        <f>IF(NORMALIZADO!BW143="",0,NORMALIZADO!BW143)</f>
        <v>0</v>
      </c>
      <c r="Y143">
        <f>IF(NORMALIZADO!BX143="",0,NORMALIZADO!BX143)</f>
        <v>0</v>
      </c>
      <c r="Z143">
        <f>IF(NORMALIZADO!BY143="",0,NORMALIZADO!BY143)</f>
        <v>0</v>
      </c>
      <c r="AO143" t="str">
        <f t="shared" si="18"/>
        <v>N/A</v>
      </c>
      <c r="AP143" t="str">
        <f>IF(COUNT(NORMALIZADO!BV143:BY143)&gt;=3,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v>
      </c>
      <c r="AQ143">
        <f>IF(ISNUMBER(M143),1,0)+IF(ISNUMBER(SCORECARDS!H143),1,0)+IF(ISNUMBER(SCORECARDS!I143),1,0)+IF(ISNUMBER(SCORECARDS!J143),1,0)+IF(ISNUMBER(ISCAM_Score!K144),1,0)+IF(ISNUMBER(O143),1,0)+IF(COUNT(W143:Z143)&gt;0,1,0)</f>
        <v>3</v>
      </c>
      <c r="AR143" t="s">
        <v>1556</v>
      </c>
      <c r="AS143" t="s">
        <v>1557</v>
      </c>
    </row>
    <row r="144" spans="1:45" ht="16.05" customHeight="1" x14ac:dyDescent="0.3">
      <c r="A144" t="s">
        <v>377</v>
      </c>
      <c r="B144" t="s">
        <v>378</v>
      </c>
      <c r="C144" t="s">
        <v>80</v>
      </c>
      <c r="D144" t="s">
        <v>73</v>
      </c>
      <c r="G144" t="s">
        <v>74</v>
      </c>
      <c r="J144" t="s">
        <v>67</v>
      </c>
      <c r="M144" t="str">
        <f t="shared" si="19"/>
        <v/>
      </c>
      <c r="N144" t="s">
        <v>68</v>
      </c>
      <c r="O144" t="str">
        <f t="shared" si="20"/>
        <v/>
      </c>
      <c r="P144" t="s">
        <v>68</v>
      </c>
      <c r="S144" t="str">
        <f t="shared" si="16"/>
        <v>—</v>
      </c>
      <c r="T144" t="str">
        <f t="shared" si="17"/>
        <v>⬜  Parcial · Inst. 2 pendiente</v>
      </c>
      <c r="U144" s="53">
        <v>1</v>
      </c>
      <c r="V144" t="s">
        <v>69</v>
      </c>
      <c r="W144">
        <f>IF(NORMALIZADO!BV144="",0,NORMALIZADO!BV144)</f>
        <v>0</v>
      </c>
      <c r="X144">
        <f>IF(NORMALIZADO!BW144="",0,NORMALIZADO!BW144)</f>
        <v>0</v>
      </c>
      <c r="Y144">
        <f>IF(NORMALIZADO!BX144="",0,NORMALIZADO!BX144)</f>
        <v>0</v>
      </c>
      <c r="Z144">
        <f>IF(NORMALIZADO!BY144="",0,NORMALIZADO!BY144)</f>
        <v>0</v>
      </c>
      <c r="AO144" t="str">
        <f t="shared" si="18"/>
        <v>N/A</v>
      </c>
      <c r="AP144" t="str">
        <f>IF(COUNT(NORMALIZADO!BV144:BY144)&gt;=3,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1</v>
      </c>
    </row>
    <row r="145" spans="1:45" ht="16.05" customHeight="1" x14ac:dyDescent="0.3">
      <c r="A145" t="s">
        <v>379</v>
      </c>
      <c r="B145" t="s">
        <v>380</v>
      </c>
      <c r="C145" t="s">
        <v>80</v>
      </c>
      <c r="D145" t="s">
        <v>73</v>
      </c>
      <c r="G145" t="s">
        <v>74</v>
      </c>
      <c r="J145" t="s">
        <v>67</v>
      </c>
      <c r="M145" t="str">
        <f t="shared" si="19"/>
        <v/>
      </c>
      <c r="N145" t="s">
        <v>68</v>
      </c>
      <c r="O145" t="str">
        <f t="shared" si="20"/>
        <v/>
      </c>
      <c r="P145" t="s">
        <v>68</v>
      </c>
      <c r="S145" t="str">
        <f t="shared" si="16"/>
        <v>—</v>
      </c>
      <c r="T145" t="str">
        <f t="shared" si="17"/>
        <v>⬜  Parcial · Inst. 2 pendiente</v>
      </c>
      <c r="U145" s="53">
        <v>1</v>
      </c>
      <c r="V145" t="s">
        <v>69</v>
      </c>
      <c r="W145">
        <f>IF(NORMALIZADO!BV145="",0,NORMALIZADO!BV145)</f>
        <v>0</v>
      </c>
      <c r="X145">
        <f>IF(NORMALIZADO!BW145="",0,NORMALIZADO!BW145)</f>
        <v>0</v>
      </c>
      <c r="Y145">
        <f>IF(NORMALIZADO!BX145="",0,NORMALIZADO!BX145)</f>
        <v>0</v>
      </c>
      <c r="Z145">
        <f>IF(NORMALIZADO!BY145="",0,NORMALIZADO!BY145)</f>
        <v>0</v>
      </c>
      <c r="AO145" t="str">
        <f t="shared" si="18"/>
        <v>N/A</v>
      </c>
      <c r="AP145" t="str">
        <f>IF(COUNT(NORMALIZADO!BV145:BY145)&gt;=3,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1</v>
      </c>
    </row>
    <row r="146" spans="1:45" ht="16.05" customHeight="1" x14ac:dyDescent="0.3">
      <c r="A146" t="s">
        <v>381</v>
      </c>
      <c r="B146" t="s">
        <v>382</v>
      </c>
      <c r="C146" t="s">
        <v>77</v>
      </c>
      <c r="D146" t="s">
        <v>65</v>
      </c>
      <c r="E146">
        <v>332555.15999999997</v>
      </c>
      <c r="F146">
        <v>2</v>
      </c>
      <c r="G146" t="s">
        <v>66</v>
      </c>
      <c r="H146" t="s">
        <v>66</v>
      </c>
      <c r="I146" t="s">
        <v>66</v>
      </c>
      <c r="J146" t="s">
        <v>67</v>
      </c>
      <c r="K146" t="s">
        <v>83</v>
      </c>
      <c r="L146">
        <v>332555.15999999997</v>
      </c>
      <c r="M146">
        <f t="shared" si="19"/>
        <v>100</v>
      </c>
      <c r="N146" t="s">
        <v>68</v>
      </c>
      <c r="O146">
        <f t="shared" si="20"/>
        <v>1</v>
      </c>
      <c r="P146" t="s">
        <v>68</v>
      </c>
      <c r="Q146">
        <v>203</v>
      </c>
      <c r="R146">
        <v>609</v>
      </c>
      <c r="S146" t="str">
        <f t="shared" si="16"/>
        <v>—</v>
      </c>
      <c r="T146" t="str">
        <f t="shared" si="17"/>
        <v>⬜  Parcial · Inst. 2 pendiente</v>
      </c>
      <c r="U146" s="53">
        <v>1</v>
      </c>
      <c r="V146" t="s">
        <v>69</v>
      </c>
      <c r="W146">
        <f>IF(NORMALIZADO!BV146="",1,NORMALIZADO!BV146)</f>
        <v>1</v>
      </c>
      <c r="X146">
        <f>IF(NORMALIZADO!BW146="",0,NORMALIZADO!BW146)</f>
        <v>0</v>
      </c>
      <c r="Y146">
        <f>IF(NORMALIZADO!BX146="",0,NORMALIZADO!BX146)</f>
        <v>0</v>
      </c>
      <c r="Z146">
        <f>IF(NORMALIZADO!BY146="",0,NORMALIZADO!BY146)</f>
        <v>0</v>
      </c>
      <c r="AO146" t="str">
        <f t="shared" si="18"/>
        <v>N/A</v>
      </c>
      <c r="AP146" t="str">
        <f>IF(COUNT(NORMALIZADO!BV146:BY146)&gt;=3,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v>
      </c>
      <c r="AQ146">
        <f>IF(ISNUMBER(M146),1,0)+IF(ISNUMBER(SCORECARDS!H146),1,0)+IF(ISNUMBER(SCORECARDS!I146),1,0)+IF(ISNUMBER(SCORECARDS!J146),1,0)+IF(ISNUMBER(ISCAM_Score!K147),1,0)+IF(ISNUMBER(O146),1,0)+IF(COUNT(W146:Z146)&gt;0,1,0)</f>
        <v>3</v>
      </c>
      <c r="AR146" t="s">
        <v>1558</v>
      </c>
      <c r="AS146" t="s">
        <v>1559</v>
      </c>
    </row>
    <row r="147" spans="1:45" ht="16.05" customHeight="1" x14ac:dyDescent="0.3">
      <c r="A147" t="s">
        <v>383</v>
      </c>
      <c r="B147" t="s">
        <v>384</v>
      </c>
      <c r="C147" t="s">
        <v>241</v>
      </c>
      <c r="D147" t="s">
        <v>73</v>
      </c>
      <c r="E147">
        <v>543961.38</v>
      </c>
      <c r="F147">
        <v>5</v>
      </c>
      <c r="G147" t="s">
        <v>66</v>
      </c>
      <c r="J147" t="s">
        <v>67</v>
      </c>
      <c r="L147">
        <v>271980.69</v>
      </c>
      <c r="M147">
        <f t="shared" si="19"/>
        <v>50</v>
      </c>
      <c r="N147" t="s">
        <v>68</v>
      </c>
      <c r="O147" t="str">
        <f t="shared" si="20"/>
        <v/>
      </c>
      <c r="P147" t="s">
        <v>68</v>
      </c>
      <c r="S147" t="str">
        <f t="shared" si="16"/>
        <v>—</v>
      </c>
      <c r="T147" t="str">
        <f t="shared" si="17"/>
        <v>⬜  Parcial · Inst. 2 pendiente</v>
      </c>
      <c r="U147" s="53">
        <v>1</v>
      </c>
      <c r="V147" t="s">
        <v>69</v>
      </c>
      <c r="W147">
        <f>IF(NORMALIZADO!BV147="",0,NORMALIZADO!BV147)</f>
        <v>0</v>
      </c>
      <c r="X147">
        <f>IF(NORMALIZADO!BW147="",0,NORMALIZADO!BW147)</f>
        <v>0</v>
      </c>
      <c r="Y147">
        <f>IF(NORMALIZADO!BX147="",0,NORMALIZADO!BX147)</f>
        <v>0</v>
      </c>
      <c r="Z147">
        <f>IF(NORMALIZADO!BY147="",0,NORMALIZADO!BY147)</f>
        <v>0</v>
      </c>
      <c r="AO147" t="str">
        <f t="shared" si="18"/>
        <v>N/A</v>
      </c>
      <c r="AP147" t="str">
        <f>IF(COUNT(NORMALIZADO!BV147:BY147)&gt;=3,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v>
      </c>
      <c r="AQ147">
        <f>IF(ISNUMBER(M147),1,0)+IF(ISNUMBER(SCORECARDS!H147),1,0)+IF(ISNUMBER(SCORECARDS!I147),1,0)+IF(ISNUMBER(SCORECARDS!J147),1,0)+IF(ISNUMBER(ISCAM_Score!K148),1,0)+IF(ISNUMBER(O147),1,0)+IF(COUNT(W147:Z147)&gt;0,1,0)</f>
        <v>2</v>
      </c>
    </row>
    <row r="148" spans="1:45" ht="16.05" customHeight="1" x14ac:dyDescent="0.3">
      <c r="A148" t="s">
        <v>385</v>
      </c>
      <c r="B148" t="s">
        <v>386</v>
      </c>
      <c r="C148" t="s">
        <v>80</v>
      </c>
      <c r="D148" t="s">
        <v>73</v>
      </c>
      <c r="G148" t="s">
        <v>74</v>
      </c>
      <c r="J148" t="s">
        <v>67</v>
      </c>
      <c r="M148" t="str">
        <f t="shared" si="19"/>
        <v/>
      </c>
      <c r="N148" t="s">
        <v>68</v>
      </c>
      <c r="O148" t="str">
        <f t="shared" si="20"/>
        <v/>
      </c>
      <c r="P148" t="s">
        <v>68</v>
      </c>
      <c r="S148" t="str">
        <f t="shared" si="16"/>
        <v>—</v>
      </c>
      <c r="T148" t="str">
        <f t="shared" si="17"/>
        <v>⬜  Parcial · Inst. 2 pendiente</v>
      </c>
      <c r="U148" s="53">
        <v>1</v>
      </c>
      <c r="V148" t="s">
        <v>69</v>
      </c>
      <c r="W148">
        <f>IF(NORMALIZADO!BV148="",0,NORMALIZADO!BV148)</f>
        <v>0</v>
      </c>
      <c r="X148">
        <f>IF(NORMALIZADO!BW148="",0,NORMALIZADO!BW148)</f>
        <v>0</v>
      </c>
      <c r="Y148">
        <f>IF(NORMALIZADO!BX148="",0,NORMALIZADO!BX148)</f>
        <v>0</v>
      </c>
      <c r="Z148">
        <f>IF(NORMALIZADO!BY148="",0,NORMALIZADO!BY148)</f>
        <v>0</v>
      </c>
      <c r="AO148" t="str">
        <f t="shared" si="18"/>
        <v>N/A</v>
      </c>
      <c r="AP148" t="str">
        <f>IF(COUNT(NORMALIZADO!BV148:BY148)&gt;=3,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1</v>
      </c>
    </row>
    <row r="149" spans="1:45" ht="16.05" customHeight="1" x14ac:dyDescent="0.3">
      <c r="A149" t="s">
        <v>387</v>
      </c>
      <c r="B149" t="s">
        <v>388</v>
      </c>
      <c r="C149" t="s">
        <v>150</v>
      </c>
      <c r="D149" t="s">
        <v>65</v>
      </c>
      <c r="E149">
        <v>7275.18</v>
      </c>
      <c r="F149">
        <v>1</v>
      </c>
      <c r="G149" t="s">
        <v>66</v>
      </c>
      <c r="H149" t="s">
        <v>66</v>
      </c>
      <c r="I149" t="s">
        <v>66</v>
      </c>
      <c r="J149" t="s">
        <v>67</v>
      </c>
      <c r="L149">
        <v>0</v>
      </c>
      <c r="M149">
        <f t="shared" si="19"/>
        <v>0</v>
      </c>
      <c r="N149" t="s">
        <v>68</v>
      </c>
      <c r="O149">
        <f t="shared" si="20"/>
        <v>1</v>
      </c>
      <c r="P149" t="s">
        <v>68</v>
      </c>
      <c r="Q149">
        <v>305</v>
      </c>
      <c r="R149">
        <v>699</v>
      </c>
      <c r="S149" t="str">
        <f t="shared" si="16"/>
        <v>—</v>
      </c>
      <c r="T149" t="str">
        <f t="shared" si="17"/>
        <v>⬜  Parcial · Inst. 2 pendiente</v>
      </c>
      <c r="U149" s="53">
        <v>1</v>
      </c>
      <c r="V149" t="s">
        <v>69</v>
      </c>
      <c r="W149">
        <f>IF(NORMALIZADO!BV149="",1,NORMALIZADO!BV149)</f>
        <v>1</v>
      </c>
      <c r="X149">
        <f>IF(NORMALIZADO!BW149="",0,NORMALIZADO!BW149)</f>
        <v>0</v>
      </c>
      <c r="Y149">
        <f>IF(NORMALIZADO!BX149="",0,NORMALIZADO!BX149)</f>
        <v>0</v>
      </c>
      <c r="Z149">
        <f>IF(NORMALIZADO!BY149="",0,NORMALIZADO!BY149)</f>
        <v>0</v>
      </c>
      <c r="AO149" t="str">
        <f t="shared" si="18"/>
        <v>N/A</v>
      </c>
      <c r="AP149" t="str">
        <f>IF(COUNT(NORMALIZADO!BV149:BY149)&gt;=3,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v>
      </c>
      <c r="AQ149">
        <f>IF(ISNUMBER(M149),1,0)+IF(ISNUMBER(SCORECARDS!H149),1,0)+IF(ISNUMBER(SCORECARDS!I149),1,0)+IF(ISNUMBER(SCORECARDS!J149),1,0)+IF(ISNUMBER(ISCAM_Score!K150),1,0)+IF(ISNUMBER(O149),1,0)+IF(COUNT(W149:Z149)&gt;0,1,0)</f>
        <v>3</v>
      </c>
      <c r="AR149" t="s">
        <v>66</v>
      </c>
      <c r="AS149" t="s">
        <v>66</v>
      </c>
    </row>
    <row r="150" spans="1:45" ht="16.05" customHeight="1" x14ac:dyDescent="0.3">
      <c r="A150" t="s">
        <v>389</v>
      </c>
      <c r="B150" t="s">
        <v>390</v>
      </c>
      <c r="C150" t="s">
        <v>103</v>
      </c>
      <c r="D150" t="s">
        <v>65</v>
      </c>
      <c r="G150" t="s">
        <v>74</v>
      </c>
      <c r="J150" t="s">
        <v>124</v>
      </c>
      <c r="M150" t="str">
        <f t="shared" si="19"/>
        <v/>
      </c>
      <c r="N150" t="s">
        <v>68</v>
      </c>
      <c r="O150" t="str">
        <f t="shared" si="20"/>
        <v/>
      </c>
      <c r="P150" t="s">
        <v>68</v>
      </c>
      <c r="S150" t="str">
        <f t="shared" si="16"/>
        <v>—</v>
      </c>
      <c r="T150" t="str">
        <f t="shared" si="17"/>
        <v>⬜  Parcial · Inst. 2 pendiente</v>
      </c>
      <c r="U150" s="53">
        <v>1</v>
      </c>
      <c r="V150" t="s">
        <v>69</v>
      </c>
      <c r="W150">
        <f>IF(NORMALIZADO!BV150="",0,NORMALIZADO!BV150)</f>
        <v>0</v>
      </c>
      <c r="X150">
        <f>IF(NORMALIZADO!BW150="",0,NORMALIZADO!BW150)</f>
        <v>0</v>
      </c>
      <c r="Y150">
        <f>IF(NORMALIZADO!BX150="",0,NORMALIZADO!BX150)</f>
        <v>0</v>
      </c>
      <c r="Z150">
        <f>IF(NORMALIZADO!BY150="",0,NORMALIZADO!BY150)</f>
        <v>0</v>
      </c>
      <c r="AO150" t="str">
        <f t="shared" si="18"/>
        <v>N/A</v>
      </c>
      <c r="AP150" t="str">
        <f>IF(COUNT(NORMALIZADO!BV150:BY150)&gt;=3,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1</v>
      </c>
    </row>
    <row r="151" spans="1:45" ht="16.05" customHeight="1" x14ac:dyDescent="0.3">
      <c r="A151" t="s">
        <v>391</v>
      </c>
      <c r="B151" t="s">
        <v>392</v>
      </c>
      <c r="C151" t="s">
        <v>179</v>
      </c>
      <c r="D151" t="s">
        <v>65</v>
      </c>
      <c r="G151" t="s">
        <v>74</v>
      </c>
      <c r="J151" t="s">
        <v>67</v>
      </c>
      <c r="M151" t="str">
        <f t="shared" si="19"/>
        <v/>
      </c>
      <c r="N151" t="s">
        <v>68</v>
      </c>
      <c r="O151" t="str">
        <f t="shared" si="20"/>
        <v/>
      </c>
      <c r="P151" t="s">
        <v>68</v>
      </c>
      <c r="S151" t="str">
        <f t="shared" si="16"/>
        <v>—</v>
      </c>
      <c r="T151" t="str">
        <f t="shared" si="17"/>
        <v>⬜  Parcial · Inst. 2 pendiente</v>
      </c>
      <c r="U151" s="53">
        <v>1</v>
      </c>
      <c r="V151" t="s">
        <v>69</v>
      </c>
      <c r="W151">
        <f>IF(NORMALIZADO!BV151="",0,NORMALIZADO!BV151)</f>
        <v>0</v>
      </c>
      <c r="X151">
        <f>IF(NORMALIZADO!BW151="",0,NORMALIZADO!BW151)</f>
        <v>0</v>
      </c>
      <c r="Y151">
        <f>IF(NORMALIZADO!BX151="",0,NORMALIZADO!BX151)</f>
        <v>0</v>
      </c>
      <c r="Z151">
        <f>IF(NORMALIZADO!BY151="",0,NORMALIZADO!BY151)</f>
        <v>0</v>
      </c>
      <c r="AO151" t="str">
        <f t="shared" si="18"/>
        <v>N/A</v>
      </c>
      <c r="AP151" t="str">
        <f>IF(COUNT(NORMALIZADO!BV151:BY151)&gt;=3,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1</v>
      </c>
    </row>
    <row r="152" spans="1:45" ht="16.05" customHeight="1" x14ac:dyDescent="0.3">
      <c r="A152" t="s">
        <v>393</v>
      </c>
      <c r="B152" t="s">
        <v>394</v>
      </c>
      <c r="C152" t="s">
        <v>80</v>
      </c>
      <c r="D152" t="s">
        <v>73</v>
      </c>
      <c r="G152" t="s">
        <v>74</v>
      </c>
      <c r="J152" t="s">
        <v>67</v>
      </c>
      <c r="M152" t="str">
        <f t="shared" si="19"/>
        <v/>
      </c>
      <c r="N152" t="s">
        <v>68</v>
      </c>
      <c r="O152" t="str">
        <f t="shared" si="20"/>
        <v/>
      </c>
      <c r="P152" t="s">
        <v>68</v>
      </c>
      <c r="S152" t="str">
        <f t="shared" si="16"/>
        <v>—</v>
      </c>
      <c r="T152" t="str">
        <f t="shared" si="17"/>
        <v>⬜  Parcial · Inst. 2 pendiente</v>
      </c>
      <c r="U152" s="53">
        <v>1</v>
      </c>
      <c r="V152" t="s">
        <v>69</v>
      </c>
      <c r="W152">
        <f>IF(NORMALIZADO!BV152="",0,NORMALIZADO!BV152)</f>
        <v>0</v>
      </c>
      <c r="X152">
        <f>IF(NORMALIZADO!BW152="",0,NORMALIZADO!BW152)</f>
        <v>0</v>
      </c>
      <c r="Y152">
        <f>IF(NORMALIZADO!BX152="",0,NORMALIZADO!BX152)</f>
        <v>0</v>
      </c>
      <c r="Z152">
        <f>IF(NORMALIZADO!BY152="",0,NORMALIZADO!BY152)</f>
        <v>0</v>
      </c>
      <c r="AO152" t="str">
        <f t="shared" si="18"/>
        <v>N/A</v>
      </c>
      <c r="AP152" t="str">
        <f>IF(COUNT(NORMALIZADO!BV152:BY152)&gt;=3,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1</v>
      </c>
    </row>
    <row r="153" spans="1:45" ht="16.05" customHeight="1" x14ac:dyDescent="0.3">
      <c r="A153" t="s">
        <v>395</v>
      </c>
      <c r="B153" t="s">
        <v>396</v>
      </c>
      <c r="C153" t="s">
        <v>80</v>
      </c>
      <c r="D153" t="s">
        <v>73</v>
      </c>
      <c r="G153" t="s">
        <v>74</v>
      </c>
      <c r="J153" t="s">
        <v>67</v>
      </c>
      <c r="M153" t="str">
        <f t="shared" si="19"/>
        <v/>
      </c>
      <c r="N153" t="s">
        <v>68</v>
      </c>
      <c r="O153" t="str">
        <f t="shared" si="20"/>
        <v/>
      </c>
      <c r="P153" t="s">
        <v>68</v>
      </c>
      <c r="S153" t="str">
        <f t="shared" si="16"/>
        <v>—</v>
      </c>
      <c r="T153" t="str">
        <f t="shared" si="17"/>
        <v>⬜  Parcial · Inst. 2 pendiente</v>
      </c>
      <c r="U153" s="53">
        <v>1</v>
      </c>
      <c r="V153" t="s">
        <v>69</v>
      </c>
      <c r="W153">
        <f>IF(NORMALIZADO!BV153="",0,NORMALIZADO!BV153)</f>
        <v>0</v>
      </c>
      <c r="X153">
        <f>IF(NORMALIZADO!BW153="",0,NORMALIZADO!BW153)</f>
        <v>0</v>
      </c>
      <c r="Y153">
        <f>IF(NORMALIZADO!BX153="",0,NORMALIZADO!BX153)</f>
        <v>0</v>
      </c>
      <c r="Z153">
        <f>IF(NORMALIZADO!BY153="",0,NORMALIZADO!BY153)</f>
        <v>0</v>
      </c>
      <c r="AO153" t="str">
        <f t="shared" si="18"/>
        <v>N/A</v>
      </c>
      <c r="AP153" t="str">
        <f>IF(COUNT(NORMALIZADO!BV153:BY153)&gt;=3,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1</v>
      </c>
    </row>
    <row r="154" spans="1:45" ht="16.05" customHeight="1" x14ac:dyDescent="0.3">
      <c r="A154" t="s">
        <v>397</v>
      </c>
      <c r="B154" t="s">
        <v>398</v>
      </c>
      <c r="C154" t="s">
        <v>77</v>
      </c>
      <c r="D154" t="s">
        <v>65</v>
      </c>
      <c r="E154">
        <v>147669.48000000001</v>
      </c>
      <c r="F154">
        <v>1</v>
      </c>
      <c r="G154" t="s">
        <v>66</v>
      </c>
      <c r="I154" t="s">
        <v>66</v>
      </c>
      <c r="J154" t="s">
        <v>67</v>
      </c>
      <c r="K154" t="s">
        <v>83</v>
      </c>
      <c r="L154">
        <v>0</v>
      </c>
      <c r="M154">
        <f t="shared" si="19"/>
        <v>0</v>
      </c>
      <c r="N154" t="s">
        <v>68</v>
      </c>
      <c r="O154">
        <f t="shared" si="20"/>
        <v>0.4</v>
      </c>
      <c r="P154" t="s">
        <v>68</v>
      </c>
      <c r="Q154">
        <v>257</v>
      </c>
      <c r="R154">
        <v>771</v>
      </c>
      <c r="S154" t="str">
        <f t="shared" si="16"/>
        <v>—</v>
      </c>
      <c r="T154" t="str">
        <f t="shared" si="17"/>
        <v>⬜  Parcial · Inst. 2 pendiente</v>
      </c>
      <c r="U154" s="53">
        <v>1</v>
      </c>
      <c r="V154" t="s">
        <v>69</v>
      </c>
      <c r="W154">
        <f>IF(NORMALIZADO!BV154="",1,NORMALIZADO!BV154)</f>
        <v>1</v>
      </c>
      <c r="X154">
        <f>IF(NORMALIZADO!BW154="",0,NORMALIZADO!BW154)</f>
        <v>0</v>
      </c>
      <c r="Y154">
        <f>IF(NORMALIZADO!BX154="",0,NORMALIZADO!BX154)</f>
        <v>0</v>
      </c>
      <c r="Z154">
        <f>IF(NORMALIZADO!BY154="",0,NORMALIZADO!BY154)</f>
        <v>0</v>
      </c>
      <c r="AO154" t="str">
        <f t="shared" si="18"/>
        <v>N/A</v>
      </c>
      <c r="AP154" t="str">
        <f>IF(COUNT(NORMALIZADO!BV154:BY154)&gt;=3,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v>
      </c>
      <c r="AQ154">
        <f>IF(ISNUMBER(M154),1,0)+IF(ISNUMBER(SCORECARDS!H154),1,0)+IF(ISNUMBER(SCORECARDS!I154),1,0)+IF(ISNUMBER(SCORECARDS!J154),1,0)+IF(ISNUMBER(ISCAM_Score!K155),1,0)+IF(ISNUMBER(O154),1,0)+IF(COUNT(W154:Z154)&gt;0,1,0)</f>
        <v>3</v>
      </c>
      <c r="AS154" t="s">
        <v>1560</v>
      </c>
    </row>
    <row r="155" spans="1:45" ht="16.05" customHeight="1" x14ac:dyDescent="0.3">
      <c r="A155" t="s">
        <v>399</v>
      </c>
      <c r="B155" t="s">
        <v>400</v>
      </c>
      <c r="C155" t="s">
        <v>109</v>
      </c>
      <c r="D155" t="s">
        <v>73</v>
      </c>
      <c r="G155" t="s">
        <v>74</v>
      </c>
      <c r="J155" t="s">
        <v>67</v>
      </c>
      <c r="M155" t="str">
        <f t="shared" si="19"/>
        <v/>
      </c>
      <c r="N155" t="s">
        <v>68</v>
      </c>
      <c r="O155" t="str">
        <f t="shared" si="20"/>
        <v/>
      </c>
      <c r="P155" t="s">
        <v>68</v>
      </c>
      <c r="S155" t="str">
        <f t="shared" si="16"/>
        <v>—</v>
      </c>
      <c r="T155" t="str">
        <f t="shared" si="17"/>
        <v>⬜  Parcial · Inst. 2 pendiente</v>
      </c>
      <c r="U155" s="53">
        <v>1</v>
      </c>
      <c r="V155" t="s">
        <v>69</v>
      </c>
      <c r="W155">
        <f>IF(NORMALIZADO!BV155="",0,NORMALIZADO!BV155)</f>
        <v>0</v>
      </c>
      <c r="X155">
        <f>IF(NORMALIZADO!BW155="",0,NORMALIZADO!BW155)</f>
        <v>0</v>
      </c>
      <c r="Y155">
        <f>IF(NORMALIZADO!BX155="",0,NORMALIZADO!BX155)</f>
        <v>0</v>
      </c>
      <c r="Z155">
        <f>IF(NORMALIZADO!BY155="",0,NORMALIZADO!BY155)</f>
        <v>0</v>
      </c>
      <c r="AO155" t="str">
        <f t="shared" si="18"/>
        <v>N/A</v>
      </c>
      <c r="AP155" t="str">
        <f>IF(COUNT(NORMALIZADO!BV155:BY155)&gt;=3,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1</v>
      </c>
    </row>
    <row r="156" spans="1:45" ht="16.05" customHeight="1" x14ac:dyDescent="0.3">
      <c r="A156" t="s">
        <v>401</v>
      </c>
      <c r="B156" t="s">
        <v>402</v>
      </c>
      <c r="C156" t="s">
        <v>179</v>
      </c>
      <c r="D156" t="s">
        <v>65</v>
      </c>
      <c r="G156" t="s">
        <v>74</v>
      </c>
      <c r="J156" t="s">
        <v>124</v>
      </c>
      <c r="M156" t="str">
        <f t="shared" si="19"/>
        <v/>
      </c>
      <c r="N156" t="s">
        <v>68</v>
      </c>
      <c r="O156" t="str">
        <f t="shared" si="20"/>
        <v/>
      </c>
      <c r="P156" t="s">
        <v>68</v>
      </c>
      <c r="S156" t="str">
        <f t="shared" si="16"/>
        <v>—</v>
      </c>
      <c r="T156" t="str">
        <f t="shared" si="17"/>
        <v>⬜  Parcial · Inst. 2 pendiente</v>
      </c>
      <c r="U156" s="53">
        <v>1</v>
      </c>
      <c r="V156" t="s">
        <v>69</v>
      </c>
      <c r="W156">
        <f>IF(NORMALIZADO!BV156="",0,NORMALIZADO!BV156)</f>
        <v>0</v>
      </c>
      <c r="X156">
        <f>IF(NORMALIZADO!BW156="",0,NORMALIZADO!BW156)</f>
        <v>0</v>
      </c>
      <c r="Y156">
        <f>IF(NORMALIZADO!BX156="",0,NORMALIZADO!BX156)</f>
        <v>0</v>
      </c>
      <c r="Z156">
        <f>IF(NORMALIZADO!BY156="",0,NORMALIZADO!BY156)</f>
        <v>0</v>
      </c>
      <c r="AO156" t="str">
        <f t="shared" si="18"/>
        <v>N/A</v>
      </c>
      <c r="AP156" t="str">
        <f>IF(COUNT(NORMALIZADO!BV156:BY156)&gt;=3,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1</v>
      </c>
    </row>
    <row r="157" spans="1:45" ht="16.05" customHeight="1" x14ac:dyDescent="0.3">
      <c r="A157" t="s">
        <v>403</v>
      </c>
      <c r="B157" t="s">
        <v>404</v>
      </c>
      <c r="C157" t="s">
        <v>139</v>
      </c>
      <c r="D157" t="s">
        <v>65</v>
      </c>
      <c r="E157">
        <v>940783.32</v>
      </c>
      <c r="F157">
        <v>7</v>
      </c>
      <c r="G157" t="s">
        <v>66</v>
      </c>
      <c r="H157" t="s">
        <v>66</v>
      </c>
      <c r="I157" t="s">
        <v>66</v>
      </c>
      <c r="J157" t="s">
        <v>67</v>
      </c>
      <c r="K157" t="s">
        <v>405</v>
      </c>
      <c r="L157">
        <v>76135.47</v>
      </c>
      <c r="M157">
        <f t="shared" si="19"/>
        <v>8.1</v>
      </c>
      <c r="N157" t="s">
        <v>68</v>
      </c>
      <c r="O157">
        <f t="shared" si="20"/>
        <v>1</v>
      </c>
      <c r="P157" t="s">
        <v>68</v>
      </c>
      <c r="Q157">
        <v>187</v>
      </c>
      <c r="R157">
        <v>600</v>
      </c>
      <c r="S157" t="str">
        <f t="shared" si="16"/>
        <v>—</v>
      </c>
      <c r="T157" t="str">
        <f t="shared" si="17"/>
        <v>⬜  Parcial · Inst. 2 pendiente</v>
      </c>
      <c r="U157" s="53">
        <v>1</v>
      </c>
      <c r="V157" t="s">
        <v>69</v>
      </c>
      <c r="W157">
        <f>IF(NORMALIZADO!BV157="",1,NORMALIZADO!BV157)</f>
        <v>1</v>
      </c>
      <c r="X157">
        <f>IF(NORMALIZADO!BW157="",0,NORMALIZADO!BW157)</f>
        <v>0</v>
      </c>
      <c r="Y157">
        <f>IF(NORMALIZADO!BX157="",0,NORMALIZADO!BX157)</f>
        <v>0</v>
      </c>
      <c r="Z157">
        <f>IF(NORMALIZADO!BY157="",0,NORMALIZADO!BY157)</f>
        <v>0</v>
      </c>
      <c r="AO157" t="str">
        <f t="shared" si="18"/>
        <v>N/A</v>
      </c>
      <c r="AP157" t="str">
        <f>IF(COUNT(NORMALIZADO!BV157:BY157)&gt;=3,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v>
      </c>
      <c r="AQ157">
        <f>IF(ISNUMBER(M157),1,0)+IF(ISNUMBER(SCORECARDS!H157),1,0)+IF(ISNUMBER(SCORECARDS!I157),1,0)+IF(ISNUMBER(SCORECARDS!J157),1,0)+IF(ISNUMBER(ISCAM_Score!K158),1,0)+IF(ISNUMBER(O157),1,0)+IF(COUNT(W157:Z157)&gt;0,1,0)</f>
        <v>3</v>
      </c>
      <c r="AR157" t="s">
        <v>1561</v>
      </c>
      <c r="AS157" t="s">
        <v>1562</v>
      </c>
    </row>
    <row r="158" spans="1:45" ht="16.05" customHeight="1" x14ac:dyDescent="0.3">
      <c r="A158" t="s">
        <v>406</v>
      </c>
      <c r="B158" t="s">
        <v>407</v>
      </c>
      <c r="C158" t="s">
        <v>77</v>
      </c>
      <c r="G158" t="s">
        <v>74</v>
      </c>
      <c r="J158" t="s">
        <v>67</v>
      </c>
      <c r="M158" t="str">
        <f t="shared" si="19"/>
        <v/>
      </c>
      <c r="N158" t="s">
        <v>68</v>
      </c>
      <c r="O158" t="str">
        <f t="shared" si="20"/>
        <v/>
      </c>
      <c r="P158" t="s">
        <v>68</v>
      </c>
      <c r="S158" t="str">
        <f t="shared" si="16"/>
        <v>—</v>
      </c>
      <c r="T158" t="str">
        <f t="shared" si="17"/>
        <v>⬜  Parcial · Inst. 2 pendiente</v>
      </c>
      <c r="U158" s="53">
        <v>1</v>
      </c>
      <c r="V158" t="s">
        <v>69</v>
      </c>
      <c r="W158">
        <f>IF(NORMALIZADO!BV158="",0,NORMALIZADO!BV158)</f>
        <v>0</v>
      </c>
      <c r="X158">
        <f>IF(NORMALIZADO!BW158="",0,NORMALIZADO!BW158)</f>
        <v>0</v>
      </c>
      <c r="Y158">
        <f>IF(NORMALIZADO!BX158="",0,NORMALIZADO!BX158)</f>
        <v>0</v>
      </c>
      <c r="Z158">
        <f>IF(NORMALIZADO!BY158="",0,NORMALIZADO!BY158)</f>
        <v>0</v>
      </c>
      <c r="AO158" t="str">
        <f t="shared" si="18"/>
        <v>N/A</v>
      </c>
      <c r="AP158" t="str">
        <f>IF(COUNT(NORMALIZADO!BV158:BY158)&gt;=3,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1</v>
      </c>
    </row>
    <row r="159" spans="1:45" ht="16.05" customHeight="1" x14ac:dyDescent="0.3">
      <c r="A159" t="s">
        <v>408</v>
      </c>
      <c r="B159" t="s">
        <v>409</v>
      </c>
      <c r="C159" t="s">
        <v>139</v>
      </c>
      <c r="D159" t="s">
        <v>73</v>
      </c>
      <c r="G159" t="s">
        <v>74</v>
      </c>
      <c r="J159" t="s">
        <v>67</v>
      </c>
      <c r="M159" t="str">
        <f t="shared" si="19"/>
        <v/>
      </c>
      <c r="N159" t="s">
        <v>68</v>
      </c>
      <c r="O159" t="str">
        <f t="shared" si="20"/>
        <v/>
      </c>
      <c r="P159" t="s">
        <v>68</v>
      </c>
      <c r="S159" t="str">
        <f t="shared" si="16"/>
        <v>—</v>
      </c>
      <c r="T159" t="str">
        <f t="shared" si="17"/>
        <v>⬜  Parcial · Inst. 2 pendiente</v>
      </c>
      <c r="U159" s="53">
        <v>1</v>
      </c>
      <c r="V159" t="s">
        <v>69</v>
      </c>
      <c r="W159">
        <f>IF(NORMALIZADO!BV159="",0,NORMALIZADO!BV159)</f>
        <v>0</v>
      </c>
      <c r="X159">
        <f>IF(NORMALIZADO!BW159="",0,NORMALIZADO!BW159)</f>
        <v>0</v>
      </c>
      <c r="Y159">
        <f>IF(NORMALIZADO!BX159="",0,NORMALIZADO!BX159)</f>
        <v>0</v>
      </c>
      <c r="Z159">
        <f>IF(NORMALIZADO!BY159="",0,NORMALIZADO!BY159)</f>
        <v>0</v>
      </c>
      <c r="AO159" t="str">
        <f t="shared" si="18"/>
        <v>N/A</v>
      </c>
      <c r="AP159" t="str">
        <f>IF(COUNT(NORMALIZADO!BV159:BY159)&gt;=3,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1</v>
      </c>
    </row>
    <row r="160" spans="1:45" ht="16.05" customHeight="1" x14ac:dyDescent="0.3">
      <c r="A160" t="s">
        <v>410</v>
      </c>
      <c r="B160" t="s">
        <v>411</v>
      </c>
      <c r="C160" t="s">
        <v>103</v>
      </c>
      <c r="D160" t="s">
        <v>65</v>
      </c>
      <c r="G160" t="s">
        <v>74</v>
      </c>
      <c r="J160" t="s">
        <v>412</v>
      </c>
      <c r="M160" t="str">
        <f t="shared" si="19"/>
        <v/>
      </c>
      <c r="N160" t="s">
        <v>68</v>
      </c>
      <c r="O160" t="str">
        <f t="shared" si="20"/>
        <v/>
      </c>
      <c r="P160" t="s">
        <v>68</v>
      </c>
      <c r="S160" t="str">
        <f t="shared" si="16"/>
        <v>—</v>
      </c>
      <c r="T160" t="str">
        <f t="shared" si="17"/>
        <v>⬜  Parcial · Inst. 2 pendiente</v>
      </c>
      <c r="U160" s="53">
        <v>1</v>
      </c>
      <c r="V160" t="s">
        <v>69</v>
      </c>
      <c r="W160">
        <f>IF(NORMALIZADO!BV160="",0,NORMALIZADO!BV160)</f>
        <v>0</v>
      </c>
      <c r="X160">
        <f>IF(NORMALIZADO!BW160="",0,NORMALIZADO!BW160)</f>
        <v>0</v>
      </c>
      <c r="Y160">
        <f>IF(NORMALIZADO!BX160="",0,NORMALIZADO!BX160)</f>
        <v>0</v>
      </c>
      <c r="Z160">
        <f>IF(NORMALIZADO!BY160="",0,NORMALIZADO!BY160)</f>
        <v>0</v>
      </c>
      <c r="AO160" t="str">
        <f t="shared" si="18"/>
        <v>N/A</v>
      </c>
      <c r="AP160" t="str">
        <f>IF(COUNT(NORMALIZADO!BV160:BY160)&gt;=3,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1</v>
      </c>
    </row>
    <row r="161" spans="1:45" ht="16.05" customHeight="1" x14ac:dyDescent="0.3">
      <c r="A161" t="s">
        <v>413</v>
      </c>
      <c r="B161" t="s">
        <v>414</v>
      </c>
      <c r="C161" t="s">
        <v>179</v>
      </c>
      <c r="D161" t="s">
        <v>65</v>
      </c>
      <c r="G161" t="s">
        <v>74</v>
      </c>
      <c r="J161" t="s">
        <v>67</v>
      </c>
      <c r="M161" t="str">
        <f t="shared" si="19"/>
        <v/>
      </c>
      <c r="N161" t="s">
        <v>68</v>
      </c>
      <c r="O161" t="str">
        <f t="shared" si="20"/>
        <v/>
      </c>
      <c r="P161" t="s">
        <v>68</v>
      </c>
      <c r="S161" t="str">
        <f t="shared" si="16"/>
        <v>—</v>
      </c>
      <c r="T161" t="str">
        <f t="shared" si="17"/>
        <v>⬜  Parcial · Inst. 2 pendiente</v>
      </c>
      <c r="U161" s="53">
        <v>1</v>
      </c>
      <c r="V161" t="s">
        <v>69</v>
      </c>
      <c r="W161">
        <f>IF(NORMALIZADO!BV161="",0,NORMALIZADO!BV161)</f>
        <v>0</v>
      </c>
      <c r="X161">
        <f>IF(NORMALIZADO!BW161="",0,NORMALIZADO!BW161)</f>
        <v>0</v>
      </c>
      <c r="Y161">
        <f>IF(NORMALIZADO!BX161="",0,NORMALIZADO!BX161)</f>
        <v>0</v>
      </c>
      <c r="Z161">
        <f>IF(NORMALIZADO!BY161="",0,NORMALIZADO!BY161)</f>
        <v>0</v>
      </c>
      <c r="AO161" t="str">
        <f t="shared" si="18"/>
        <v>N/A</v>
      </c>
      <c r="AP161" t="str">
        <f>IF(COUNT(NORMALIZADO!BV161:BY161)&gt;=3,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1</v>
      </c>
    </row>
    <row r="162" spans="1:45" ht="16.05" customHeight="1" x14ac:dyDescent="0.3">
      <c r="A162" t="s">
        <v>415</v>
      </c>
      <c r="B162" t="s">
        <v>416</v>
      </c>
      <c r="C162" t="s">
        <v>103</v>
      </c>
      <c r="D162" t="s">
        <v>65</v>
      </c>
      <c r="G162" t="s">
        <v>74</v>
      </c>
      <c r="J162" t="s">
        <v>67</v>
      </c>
      <c r="M162" t="str">
        <f t="shared" si="19"/>
        <v/>
      </c>
      <c r="N162" t="s">
        <v>68</v>
      </c>
      <c r="O162" t="str">
        <f t="shared" si="20"/>
        <v/>
      </c>
      <c r="P162" t="s">
        <v>68</v>
      </c>
      <c r="S162" t="str">
        <f t="shared" si="16"/>
        <v>—</v>
      </c>
      <c r="T162" t="str">
        <f t="shared" si="17"/>
        <v>⬜  Parcial · Inst. 2 pendiente</v>
      </c>
      <c r="U162" s="53">
        <v>1</v>
      </c>
      <c r="V162" t="s">
        <v>69</v>
      </c>
      <c r="W162">
        <f>IF(NORMALIZADO!BV162="",0,NORMALIZADO!BV162)</f>
        <v>0</v>
      </c>
      <c r="X162">
        <f>IF(NORMALIZADO!BW162="",0,NORMALIZADO!BW162)</f>
        <v>0</v>
      </c>
      <c r="Y162">
        <f>IF(NORMALIZADO!BX162="",0,NORMALIZADO!BX162)</f>
        <v>0</v>
      </c>
      <c r="Z162">
        <f>IF(NORMALIZADO!BY162="",0,NORMALIZADO!BY162)</f>
        <v>0</v>
      </c>
      <c r="AO162" t="str">
        <f t="shared" si="18"/>
        <v>N/A</v>
      </c>
      <c r="AP162" t="str">
        <f>IF(COUNT(NORMALIZADO!BV162:BY162)&gt;=3,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1</v>
      </c>
    </row>
    <row r="163" spans="1:45" ht="16.05" customHeight="1" x14ac:dyDescent="0.3">
      <c r="A163" t="s">
        <v>417</v>
      </c>
      <c r="B163" t="s">
        <v>418</v>
      </c>
      <c r="C163" t="s">
        <v>150</v>
      </c>
      <c r="D163" t="s">
        <v>65</v>
      </c>
      <c r="E163">
        <v>3002219.02</v>
      </c>
      <c r="F163">
        <v>19</v>
      </c>
      <c r="G163" t="s">
        <v>66</v>
      </c>
      <c r="J163" t="s">
        <v>67</v>
      </c>
      <c r="L163">
        <v>1501109.51</v>
      </c>
      <c r="M163">
        <f t="shared" si="19"/>
        <v>50</v>
      </c>
      <c r="N163" t="s">
        <v>68</v>
      </c>
      <c r="O163" t="str">
        <f t="shared" si="20"/>
        <v/>
      </c>
      <c r="P163" t="s">
        <v>68</v>
      </c>
      <c r="S163" t="str">
        <f t="shared" ref="S163:S176" si="21">IFERROR(ROUND(AP163*100,1),"—")</f>
        <v>—</v>
      </c>
      <c r="T163" t="str">
        <f t="shared" ref="T163:T176" si="22">IF(AQ163&lt;6,"⬜  Parcial · Inst. 2 pendiente",IF(NOT(ISNUMBER(S163)),"—",IF(S163&lt;34,"🔴 Crítico",IF(S163&lt;67,"🟡 Vulnerable","🟢 Preparado"))))</f>
        <v>⬜  Parcial · Inst. 2 pendiente</v>
      </c>
      <c r="U163" s="53">
        <v>1</v>
      </c>
      <c r="V163" t="s">
        <v>69</v>
      </c>
      <c r="W163">
        <f>IF(NORMALIZADO!BV163="",1,NORMALIZADO!BV163)</f>
        <v>1</v>
      </c>
      <c r="X163">
        <f>IF(NORMALIZADO!BW163="",0,NORMALIZADO!BW163)</f>
        <v>0</v>
      </c>
      <c r="Y163">
        <f>IF(NORMALIZADO!BX163="",0,NORMALIZADO!BX163)</f>
        <v>0</v>
      </c>
      <c r="Z163">
        <f>IF(NORMALIZADO!BY163="",0,NORMALIZADO!BY163)</f>
        <v>0</v>
      </c>
      <c r="AO163" t="str">
        <f t="shared" ref="AO163:AO176" si="23">IFERROR(AVERAGE(AA163,AB163,AC163,AD163,AE163,AF163,AG163,AH163,AI163,AJ163,AK163,AL163,AM163,AN163),"N/A")</f>
        <v>N/A</v>
      </c>
      <c r="AP163" t="str">
        <f>IF(COUNT(NORMALIZADO!BV163:BY163)&gt;=3,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v>
      </c>
      <c r="AQ163">
        <f>IF(ISNUMBER(M163),1,0)+IF(ISNUMBER(SCORECARDS!H163),1,0)+IF(ISNUMBER(SCORECARDS!I163),1,0)+IF(ISNUMBER(SCORECARDS!J163),1,0)+IF(ISNUMBER(ISCAM_Score!K164),1,0)+IF(ISNUMBER(O163),1,0)+IF(COUNT(W163:Z163)&gt;0,1,0)</f>
        <v>2</v>
      </c>
    </row>
    <row r="164" spans="1:45" ht="16.05" customHeight="1" x14ac:dyDescent="0.3">
      <c r="A164" t="s">
        <v>419</v>
      </c>
      <c r="B164" t="s">
        <v>420</v>
      </c>
      <c r="C164" t="s">
        <v>112</v>
      </c>
      <c r="D164" t="s">
        <v>73</v>
      </c>
      <c r="G164" t="s">
        <v>74</v>
      </c>
      <c r="J164" t="s">
        <v>67</v>
      </c>
      <c r="M164" t="str">
        <f t="shared" si="19"/>
        <v/>
      </c>
      <c r="N164" t="s">
        <v>68</v>
      </c>
      <c r="O164" t="str">
        <f t="shared" si="20"/>
        <v/>
      </c>
      <c r="P164" t="s">
        <v>68</v>
      </c>
      <c r="S164" t="str">
        <f t="shared" si="21"/>
        <v>—</v>
      </c>
      <c r="T164" t="str">
        <f t="shared" si="22"/>
        <v>⬜  Parcial · Inst. 2 pendiente</v>
      </c>
      <c r="U164" s="53">
        <v>1</v>
      </c>
      <c r="V164" t="s">
        <v>69</v>
      </c>
      <c r="W164">
        <f>IF(NORMALIZADO!BV164="",0,NORMALIZADO!BV164)</f>
        <v>0</v>
      </c>
      <c r="X164">
        <f>IF(NORMALIZADO!BW164="",0,NORMALIZADO!BW164)</f>
        <v>0</v>
      </c>
      <c r="Y164">
        <f>IF(NORMALIZADO!BX164="",0,NORMALIZADO!BX164)</f>
        <v>0</v>
      </c>
      <c r="Z164">
        <f>IF(NORMALIZADO!BY164="",0,NORMALIZADO!BY164)</f>
        <v>0</v>
      </c>
      <c r="AO164" t="str">
        <f t="shared" si="23"/>
        <v>N/A</v>
      </c>
      <c r="AP164" t="str">
        <f>IF(COUNT(NORMALIZADO!BV164:BY164)&gt;=3,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1</v>
      </c>
    </row>
    <row r="165" spans="1:45" ht="16.05" customHeight="1" x14ac:dyDescent="0.3">
      <c r="A165" t="s">
        <v>421</v>
      </c>
      <c r="B165" t="s">
        <v>422</v>
      </c>
      <c r="C165" t="s">
        <v>179</v>
      </c>
      <c r="D165" t="s">
        <v>65</v>
      </c>
      <c r="G165" t="s">
        <v>74</v>
      </c>
      <c r="J165" t="s">
        <v>124</v>
      </c>
      <c r="M165" t="str">
        <f t="shared" si="19"/>
        <v/>
      </c>
      <c r="N165" t="s">
        <v>68</v>
      </c>
      <c r="O165" t="str">
        <f t="shared" si="20"/>
        <v/>
      </c>
      <c r="P165" t="s">
        <v>68</v>
      </c>
      <c r="S165" t="str">
        <f t="shared" si="21"/>
        <v>—</v>
      </c>
      <c r="T165" t="str">
        <f t="shared" si="22"/>
        <v>⬜  Parcial · Inst. 2 pendiente</v>
      </c>
      <c r="U165" s="53">
        <v>1</v>
      </c>
      <c r="V165" t="s">
        <v>69</v>
      </c>
      <c r="W165">
        <f>IF(NORMALIZADO!BV165="",0,NORMALIZADO!BV165)</f>
        <v>0</v>
      </c>
      <c r="X165">
        <f>IF(NORMALIZADO!BW165="",0,NORMALIZADO!BW165)</f>
        <v>0</v>
      </c>
      <c r="Y165">
        <f>IF(NORMALIZADO!BX165="",0,NORMALIZADO!BX165)</f>
        <v>0</v>
      </c>
      <c r="Z165">
        <f>IF(NORMALIZADO!BY165="",0,NORMALIZADO!BY165)</f>
        <v>0</v>
      </c>
      <c r="AO165" t="str">
        <f t="shared" si="23"/>
        <v>N/A</v>
      </c>
      <c r="AP165" t="str">
        <f>IF(COUNT(NORMALIZADO!BV165:BY165)&gt;=3,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1</v>
      </c>
    </row>
    <row r="166" spans="1:45" ht="16.05" customHeight="1" x14ac:dyDescent="0.3">
      <c r="A166" t="s">
        <v>423</v>
      </c>
      <c r="B166" t="s">
        <v>424</v>
      </c>
      <c r="C166" t="s">
        <v>241</v>
      </c>
      <c r="D166" t="s">
        <v>73</v>
      </c>
      <c r="G166" t="s">
        <v>74</v>
      </c>
      <c r="J166" t="s">
        <v>67</v>
      </c>
      <c r="M166" t="str">
        <f t="shared" si="19"/>
        <v/>
      </c>
      <c r="N166" t="s">
        <v>68</v>
      </c>
      <c r="O166" t="str">
        <f t="shared" si="20"/>
        <v/>
      </c>
      <c r="P166" t="s">
        <v>68</v>
      </c>
      <c r="S166" t="str">
        <f t="shared" si="21"/>
        <v>—</v>
      </c>
      <c r="T166" t="str">
        <f t="shared" si="22"/>
        <v>⬜  Parcial · Inst. 2 pendiente</v>
      </c>
      <c r="U166" s="53">
        <v>1</v>
      </c>
      <c r="V166" t="s">
        <v>69</v>
      </c>
      <c r="W166">
        <f>IF(NORMALIZADO!BV166="",0,NORMALIZADO!BV166)</f>
        <v>0</v>
      </c>
      <c r="X166">
        <f>IF(NORMALIZADO!BW166="",0,NORMALIZADO!BW166)</f>
        <v>0</v>
      </c>
      <c r="Y166">
        <f>IF(NORMALIZADO!BX166="",0,NORMALIZADO!BX166)</f>
        <v>0</v>
      </c>
      <c r="Z166">
        <f>IF(NORMALIZADO!BY166="",0,NORMALIZADO!BY166)</f>
        <v>0</v>
      </c>
      <c r="AO166" t="str">
        <f t="shared" si="23"/>
        <v>N/A</v>
      </c>
      <c r="AP166" t="str">
        <f>IF(COUNT(NORMALIZADO!BV166:BY166)&gt;=3,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1</v>
      </c>
    </row>
    <row r="167" spans="1:45" ht="16.05" customHeight="1" x14ac:dyDescent="0.3">
      <c r="A167" t="s">
        <v>425</v>
      </c>
      <c r="B167" t="s">
        <v>426</v>
      </c>
      <c r="C167" t="s">
        <v>139</v>
      </c>
      <c r="D167" t="s">
        <v>73</v>
      </c>
      <c r="E167">
        <v>4097</v>
      </c>
      <c r="F167">
        <v>2</v>
      </c>
      <c r="G167" t="s">
        <v>66</v>
      </c>
      <c r="J167" t="s">
        <v>67</v>
      </c>
      <c r="L167">
        <v>0</v>
      </c>
      <c r="M167">
        <f t="shared" si="19"/>
        <v>0</v>
      </c>
      <c r="N167" t="s">
        <v>68</v>
      </c>
      <c r="O167" t="str">
        <f t="shared" si="20"/>
        <v/>
      </c>
      <c r="P167" t="s">
        <v>68</v>
      </c>
      <c r="S167" t="str">
        <f t="shared" si="21"/>
        <v>—</v>
      </c>
      <c r="T167" t="str">
        <f t="shared" si="22"/>
        <v>⬜  Parcial · Inst. 2 pendiente</v>
      </c>
      <c r="U167" s="53">
        <v>1</v>
      </c>
      <c r="V167" t="s">
        <v>69</v>
      </c>
      <c r="W167">
        <f>IF(NORMALIZADO!BV167="",0,NORMALIZADO!BV167)</f>
        <v>0</v>
      </c>
      <c r="X167">
        <f>IF(NORMALIZADO!BW167="",0,NORMALIZADO!BW167)</f>
        <v>0</v>
      </c>
      <c r="Y167">
        <f>IF(NORMALIZADO!BX167="",0,NORMALIZADO!BX167)</f>
        <v>0</v>
      </c>
      <c r="Z167">
        <f>IF(NORMALIZADO!BY167="",0,NORMALIZADO!BY167)</f>
        <v>0</v>
      </c>
      <c r="AO167" t="str">
        <f t="shared" si="23"/>
        <v>N/A</v>
      </c>
      <c r="AP167" t="str">
        <f>IF(COUNT(NORMALIZADO!BV167:BY167)&gt;=3,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v>
      </c>
      <c r="AQ167">
        <f>IF(ISNUMBER(M167),1,0)+IF(ISNUMBER(SCORECARDS!H167),1,0)+IF(ISNUMBER(SCORECARDS!I167),1,0)+IF(ISNUMBER(SCORECARDS!J167),1,0)+IF(ISNUMBER(ISCAM_Score!K168),1,0)+IF(ISNUMBER(O167),1,0)+IF(COUNT(W167:Z167)&gt;0,1,0)</f>
        <v>2</v>
      </c>
    </row>
    <row r="168" spans="1:45" ht="16.05" customHeight="1" x14ac:dyDescent="0.3">
      <c r="A168" t="s">
        <v>427</v>
      </c>
      <c r="B168" t="s">
        <v>428</v>
      </c>
      <c r="C168" t="s">
        <v>112</v>
      </c>
      <c r="D168" t="s">
        <v>73</v>
      </c>
      <c r="E168">
        <v>19111.5</v>
      </c>
      <c r="F168">
        <v>1</v>
      </c>
      <c r="G168" t="s">
        <v>66</v>
      </c>
      <c r="J168" t="s">
        <v>67</v>
      </c>
      <c r="L168">
        <v>0</v>
      </c>
      <c r="M168">
        <f t="shared" si="19"/>
        <v>0</v>
      </c>
      <c r="N168" t="s">
        <v>68</v>
      </c>
      <c r="O168" t="str">
        <f t="shared" si="20"/>
        <v/>
      </c>
      <c r="P168" t="s">
        <v>68</v>
      </c>
      <c r="S168" t="str">
        <f t="shared" si="21"/>
        <v>—</v>
      </c>
      <c r="T168" t="str">
        <f t="shared" si="22"/>
        <v>⬜  Parcial · Inst. 2 pendiente</v>
      </c>
      <c r="U168" s="53">
        <v>1</v>
      </c>
      <c r="V168" t="s">
        <v>69</v>
      </c>
      <c r="W168">
        <f>IF(NORMALIZADO!BV168="",0,NORMALIZADO!BV168)</f>
        <v>0</v>
      </c>
      <c r="X168">
        <f>IF(NORMALIZADO!BW168="",0,NORMALIZADO!BW168)</f>
        <v>0</v>
      </c>
      <c r="Y168">
        <f>IF(NORMALIZADO!BX168="",0,NORMALIZADO!BX168)</f>
        <v>0</v>
      </c>
      <c r="Z168">
        <f>IF(NORMALIZADO!BY168="",0,NORMALIZADO!BY168)</f>
        <v>0</v>
      </c>
      <c r="AO168" t="str">
        <f t="shared" si="23"/>
        <v>N/A</v>
      </c>
      <c r="AP168" t="str">
        <f>IF(COUNT(NORMALIZADO!BV168:BY168)&gt;=3,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v>
      </c>
      <c r="AQ168">
        <f>IF(ISNUMBER(M168),1,0)+IF(ISNUMBER(SCORECARDS!H168),1,0)+IF(ISNUMBER(SCORECARDS!I168),1,0)+IF(ISNUMBER(SCORECARDS!J168),1,0)+IF(ISNUMBER(ISCAM_Score!K169),1,0)+IF(ISNUMBER(O168),1,0)+IF(COUNT(W168:Z168)&gt;0,1,0)</f>
        <v>2</v>
      </c>
    </row>
    <row r="169" spans="1:45" ht="16.05" customHeight="1" x14ac:dyDescent="0.3">
      <c r="A169" t="s">
        <v>429</v>
      </c>
      <c r="B169" t="s">
        <v>430</v>
      </c>
      <c r="C169" t="s">
        <v>150</v>
      </c>
      <c r="D169" t="s">
        <v>65</v>
      </c>
      <c r="G169" t="s">
        <v>74</v>
      </c>
      <c r="J169" t="s">
        <v>67</v>
      </c>
      <c r="M169" t="str">
        <f t="shared" si="19"/>
        <v/>
      </c>
      <c r="N169" t="s">
        <v>68</v>
      </c>
      <c r="O169" t="str">
        <f t="shared" si="20"/>
        <v/>
      </c>
      <c r="P169" t="s">
        <v>68</v>
      </c>
      <c r="S169" t="str">
        <f t="shared" si="21"/>
        <v>—</v>
      </c>
      <c r="T169" t="str">
        <f t="shared" si="22"/>
        <v>⬜  Parcial · Inst. 2 pendiente</v>
      </c>
      <c r="U169" s="53">
        <v>1</v>
      </c>
      <c r="V169" t="s">
        <v>69</v>
      </c>
      <c r="W169">
        <f>IF(NORMALIZADO!BV169="",0,NORMALIZADO!BV169)</f>
        <v>0</v>
      </c>
      <c r="X169">
        <f>IF(NORMALIZADO!BW169="",0,NORMALIZADO!BW169)</f>
        <v>0</v>
      </c>
      <c r="Y169">
        <f>IF(NORMALIZADO!BX169="",0,NORMALIZADO!BX169)</f>
        <v>0</v>
      </c>
      <c r="Z169">
        <f>IF(NORMALIZADO!BY169="",0,NORMALIZADO!BY169)</f>
        <v>0</v>
      </c>
      <c r="AO169" t="str">
        <f t="shared" si="23"/>
        <v>N/A</v>
      </c>
      <c r="AP169" t="str">
        <f>IF(COUNT(NORMALIZADO!BV169:BY169)&gt;=3,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1</v>
      </c>
    </row>
    <row r="170" spans="1:45" ht="16.05" customHeight="1" x14ac:dyDescent="0.3">
      <c r="A170" t="s">
        <v>431</v>
      </c>
      <c r="B170" t="s">
        <v>432</v>
      </c>
      <c r="C170" t="s">
        <v>109</v>
      </c>
      <c r="D170" t="s">
        <v>73</v>
      </c>
      <c r="E170">
        <v>1265261.8999999999</v>
      </c>
      <c r="F170">
        <v>6</v>
      </c>
      <c r="G170" t="s">
        <v>66</v>
      </c>
      <c r="J170" t="s">
        <v>67</v>
      </c>
      <c r="L170">
        <v>0</v>
      </c>
      <c r="M170">
        <f t="shared" si="19"/>
        <v>0</v>
      </c>
      <c r="N170" t="s">
        <v>68</v>
      </c>
      <c r="O170" t="str">
        <f t="shared" si="20"/>
        <v/>
      </c>
      <c r="P170" t="s">
        <v>68</v>
      </c>
      <c r="S170" t="str">
        <f t="shared" si="21"/>
        <v>—</v>
      </c>
      <c r="T170" t="str">
        <f t="shared" si="22"/>
        <v>⬜  Parcial · Inst. 2 pendiente</v>
      </c>
      <c r="U170" s="53">
        <v>1</v>
      </c>
      <c r="V170" t="s">
        <v>69</v>
      </c>
      <c r="W170">
        <f>IF(NORMALIZADO!BV170="",0,NORMALIZADO!BV170)</f>
        <v>0</v>
      </c>
      <c r="X170">
        <f>IF(NORMALIZADO!BW170="",0,NORMALIZADO!BW170)</f>
        <v>0</v>
      </c>
      <c r="Y170">
        <f>IF(NORMALIZADO!BX170="",0,NORMALIZADO!BX170)</f>
        <v>0</v>
      </c>
      <c r="Z170">
        <f>IF(NORMALIZADO!BY170="",0,NORMALIZADO!BY170)</f>
        <v>0</v>
      </c>
      <c r="AO170" t="str">
        <f t="shared" si="23"/>
        <v>N/A</v>
      </c>
      <c r="AP170" t="str">
        <f>IF(COUNT(NORMALIZADO!BV170:BY170)&gt;=3,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v>
      </c>
      <c r="AQ170">
        <f>IF(ISNUMBER(M170),1,0)+IF(ISNUMBER(SCORECARDS!H170),1,0)+IF(ISNUMBER(SCORECARDS!I170),1,0)+IF(ISNUMBER(SCORECARDS!J170),1,0)+IF(ISNUMBER(ISCAM_Score!K171),1,0)+IF(ISNUMBER(O170),1,0)+IF(COUNT(W170:Z170)&gt;0,1,0)</f>
        <v>2</v>
      </c>
    </row>
    <row r="171" spans="1:45" ht="16.05" customHeight="1" x14ac:dyDescent="0.3">
      <c r="A171" t="s">
        <v>433</v>
      </c>
      <c r="B171" t="s">
        <v>434</v>
      </c>
      <c r="C171" t="s">
        <v>139</v>
      </c>
      <c r="D171" t="s">
        <v>65</v>
      </c>
      <c r="G171" t="s">
        <v>74</v>
      </c>
      <c r="H171" t="s">
        <v>66</v>
      </c>
      <c r="I171" t="s">
        <v>74</v>
      </c>
      <c r="J171" t="s">
        <v>67</v>
      </c>
      <c r="K171" t="s">
        <v>405</v>
      </c>
      <c r="M171" t="str">
        <f t="shared" si="19"/>
        <v/>
      </c>
      <c r="N171" t="s">
        <v>68</v>
      </c>
      <c r="O171">
        <f t="shared" si="20"/>
        <v>0.6</v>
      </c>
      <c r="P171" t="s">
        <v>68</v>
      </c>
      <c r="Q171">
        <v>698</v>
      </c>
      <c r="R171">
        <v>921.1</v>
      </c>
      <c r="S171" t="str">
        <f t="shared" si="21"/>
        <v>—</v>
      </c>
      <c r="T171" t="str">
        <f t="shared" si="22"/>
        <v>⬜  Parcial · Inst. 2 pendiente</v>
      </c>
      <c r="U171" s="53">
        <v>1</v>
      </c>
      <c r="V171" t="s">
        <v>69</v>
      </c>
      <c r="W171">
        <f>IF(NORMALIZADO!BV171="",1,NORMALIZADO!BV171)</f>
        <v>1</v>
      </c>
      <c r="X171">
        <f>IF(NORMALIZADO!BW171="",0,NORMALIZADO!BW171)</f>
        <v>0</v>
      </c>
      <c r="Y171">
        <f>IF(NORMALIZADO!BX171="",0,NORMALIZADO!BX171)</f>
        <v>0</v>
      </c>
      <c r="Z171">
        <f>IF(NORMALIZADO!BY171="",0,NORMALIZADO!BY171)</f>
        <v>0</v>
      </c>
      <c r="AO171" t="str">
        <f t="shared" si="23"/>
        <v>N/A</v>
      </c>
      <c r="AP171" t="str">
        <f>IF(COUNT(NORMALIZADO!BV171:BY171)&gt;=3,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v>
      </c>
      <c r="AQ171">
        <f>IF(ISNUMBER(M171),1,0)+IF(ISNUMBER(SCORECARDS!H171),1,0)+IF(ISNUMBER(SCORECARDS!I171),1,0)+IF(ISNUMBER(SCORECARDS!J171),1,0)+IF(ISNUMBER(ISCAM_Score!K172),1,0)+IF(ISNUMBER(O171),1,0)+IF(COUNT(W171:Z171)&gt;0,1,0)</f>
        <v>2</v>
      </c>
      <c r="AR171" t="s">
        <v>1563</v>
      </c>
      <c r="AS171" t="s">
        <v>1293</v>
      </c>
    </row>
    <row r="172" spans="1:45" ht="16.05" customHeight="1" x14ac:dyDescent="0.3">
      <c r="A172" t="s">
        <v>435</v>
      </c>
      <c r="B172" t="s">
        <v>436</v>
      </c>
      <c r="C172" t="s">
        <v>112</v>
      </c>
      <c r="D172" t="s">
        <v>65</v>
      </c>
      <c r="G172" t="s">
        <v>74</v>
      </c>
      <c r="J172" t="s">
        <v>67</v>
      </c>
      <c r="M172" t="str">
        <f t="shared" si="19"/>
        <v/>
      </c>
      <c r="N172" t="s">
        <v>68</v>
      </c>
      <c r="O172" t="str">
        <f t="shared" si="20"/>
        <v/>
      </c>
      <c r="P172" t="s">
        <v>68</v>
      </c>
      <c r="S172" t="str">
        <f t="shared" si="21"/>
        <v>—</v>
      </c>
      <c r="T172" t="str">
        <f t="shared" si="22"/>
        <v>⬜  Parcial · Inst. 2 pendiente</v>
      </c>
      <c r="U172" s="53">
        <v>1</v>
      </c>
      <c r="V172" t="s">
        <v>69</v>
      </c>
      <c r="W172">
        <f>IF(NORMALIZADO!BV172="",0,NORMALIZADO!BV172)</f>
        <v>0</v>
      </c>
      <c r="X172">
        <f>IF(NORMALIZADO!BW172="",0,NORMALIZADO!BW172)</f>
        <v>0</v>
      </c>
      <c r="Y172">
        <f>IF(NORMALIZADO!BX172="",0,NORMALIZADO!BX172)</f>
        <v>0</v>
      </c>
      <c r="Z172">
        <f>IF(NORMALIZADO!BY172="",0,NORMALIZADO!BY172)</f>
        <v>0</v>
      </c>
      <c r="AO172" t="str">
        <f t="shared" si="23"/>
        <v>N/A</v>
      </c>
      <c r="AP172" t="str">
        <f>IF(COUNT(NORMALIZADO!BV172:BY172)&gt;=3,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1</v>
      </c>
    </row>
    <row r="173" spans="1:45" ht="16.05" customHeight="1" x14ac:dyDescent="0.3">
      <c r="A173" t="s">
        <v>437</v>
      </c>
      <c r="B173" t="s">
        <v>438</v>
      </c>
      <c r="C173" t="s">
        <v>179</v>
      </c>
      <c r="D173" t="s">
        <v>65</v>
      </c>
      <c r="G173" t="s">
        <v>74</v>
      </c>
      <c r="J173" t="s">
        <v>124</v>
      </c>
      <c r="M173" t="str">
        <f t="shared" si="19"/>
        <v/>
      </c>
      <c r="N173" t="s">
        <v>68</v>
      </c>
      <c r="O173" t="str">
        <f t="shared" si="20"/>
        <v/>
      </c>
      <c r="P173" t="s">
        <v>68</v>
      </c>
      <c r="S173" t="str">
        <f t="shared" si="21"/>
        <v>—</v>
      </c>
      <c r="T173" t="str">
        <f t="shared" si="22"/>
        <v>⬜  Parcial · Inst. 2 pendiente</v>
      </c>
      <c r="U173" s="53">
        <v>1</v>
      </c>
      <c r="V173" t="s">
        <v>69</v>
      </c>
      <c r="W173">
        <f>IF(NORMALIZADO!BV173="",0,NORMALIZADO!BV173)</f>
        <v>0</v>
      </c>
      <c r="X173">
        <f>IF(NORMALIZADO!BW173="",0,NORMALIZADO!BW173)</f>
        <v>0</v>
      </c>
      <c r="Y173">
        <f>IF(NORMALIZADO!BX173="",0,NORMALIZADO!BX173)</f>
        <v>0</v>
      </c>
      <c r="Z173">
        <f>IF(NORMALIZADO!BY173="",0,NORMALIZADO!BY173)</f>
        <v>0</v>
      </c>
      <c r="AO173" t="str">
        <f t="shared" si="23"/>
        <v>N/A</v>
      </c>
      <c r="AP173" t="str">
        <f>IF(COUNT(NORMALIZADO!BV173:BY173)&gt;=3,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1</v>
      </c>
    </row>
    <row r="174" spans="1:45" ht="16.05" customHeight="1" x14ac:dyDescent="0.3">
      <c r="A174" t="s">
        <v>439</v>
      </c>
      <c r="C174" t="s">
        <v>440</v>
      </c>
      <c r="M174" t="str">
        <f t="shared" si="19"/>
        <v/>
      </c>
      <c r="N174" t="s">
        <v>68</v>
      </c>
      <c r="O174" t="str">
        <f t="shared" si="20"/>
        <v/>
      </c>
      <c r="P174" t="s">
        <v>68</v>
      </c>
      <c r="S174" t="str">
        <f t="shared" si="21"/>
        <v>—</v>
      </c>
      <c r="T174" t="str">
        <f t="shared" si="22"/>
        <v>⬜  Parcial · Inst. 2 pendiente</v>
      </c>
      <c r="U174" s="53">
        <v>1</v>
      </c>
      <c r="V174" t="s">
        <v>69</v>
      </c>
      <c r="W174">
        <f>IF(NORMALIZADO!BV174="",0,NORMALIZADO!BV174)</f>
        <v>0</v>
      </c>
      <c r="X174">
        <f>IF(NORMALIZADO!BW174="",0,NORMALIZADO!BW174)</f>
        <v>0</v>
      </c>
      <c r="Y174">
        <f>IF(NORMALIZADO!BX174="",0,NORMALIZADO!BX174)</f>
        <v>0</v>
      </c>
      <c r="Z174">
        <f>IF(NORMALIZADO!BY174="",0,NORMALIZADO!BY174)</f>
        <v>0</v>
      </c>
      <c r="AO174" t="str">
        <f t="shared" si="23"/>
        <v>N/A</v>
      </c>
      <c r="AP174" t="str">
        <f>IF(COUNT(NORMALIZADO!BV174:BY174)&gt;=3,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1</v>
      </c>
    </row>
    <row r="175" spans="1:45" ht="16.05" customHeight="1" x14ac:dyDescent="0.3">
      <c r="A175" t="s">
        <v>441</v>
      </c>
      <c r="B175" t="s">
        <v>442</v>
      </c>
      <c r="C175" t="s">
        <v>109</v>
      </c>
      <c r="D175" t="s">
        <v>73</v>
      </c>
      <c r="E175">
        <v>7723335.0299999993</v>
      </c>
      <c r="F175">
        <v>17</v>
      </c>
      <c r="G175" t="s">
        <v>66</v>
      </c>
      <c r="J175" t="s">
        <v>67</v>
      </c>
      <c r="L175">
        <v>3861667.52</v>
      </c>
      <c r="M175">
        <f t="shared" si="19"/>
        <v>50</v>
      </c>
      <c r="N175" t="s">
        <v>68</v>
      </c>
      <c r="O175" t="str">
        <f t="shared" si="20"/>
        <v/>
      </c>
      <c r="P175" t="s">
        <v>68</v>
      </c>
      <c r="S175" t="str">
        <f t="shared" si="21"/>
        <v>—</v>
      </c>
      <c r="T175" t="str">
        <f t="shared" si="22"/>
        <v>⬜  Parcial · Inst. 2 pendiente</v>
      </c>
      <c r="U175" s="53">
        <v>1</v>
      </c>
      <c r="V175" t="s">
        <v>69</v>
      </c>
      <c r="W175">
        <f>IF(NORMALIZADO!BV175="",1,NORMALIZADO!BV175)</f>
        <v>1</v>
      </c>
      <c r="X175">
        <f>IF(NORMALIZADO!BW175="",0,NORMALIZADO!BW175)</f>
        <v>0</v>
      </c>
      <c r="Y175">
        <f>IF(NORMALIZADO!BX175="",0,NORMALIZADO!BX175)</f>
        <v>0</v>
      </c>
      <c r="Z175">
        <f>IF(NORMALIZADO!BY175="",0,NORMALIZADO!BY175)</f>
        <v>0</v>
      </c>
      <c r="AO175" t="str">
        <f t="shared" si="23"/>
        <v>N/A</v>
      </c>
      <c r="AP175" t="str">
        <f>IF(COUNT(NORMALIZADO!BV175:BY175)&gt;=3,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v>
      </c>
      <c r="AQ175">
        <f>IF(ISNUMBER(M175),1,0)+IF(ISNUMBER(SCORECARDS!H175),1,0)+IF(ISNUMBER(SCORECARDS!I175),1,0)+IF(ISNUMBER(SCORECARDS!J175),1,0)+IF(ISNUMBER(ISCAM_Score!K176),1,0)+IF(ISNUMBER(O175),1,0)+IF(COUNT(W175:Z175)&gt;0,1,0)</f>
        <v>2</v>
      </c>
    </row>
    <row r="176" spans="1:45" ht="16.05" customHeight="1" x14ac:dyDescent="0.3">
      <c r="A176" t="s">
        <v>443</v>
      </c>
      <c r="B176" t="s">
        <v>444</v>
      </c>
      <c r="C176" t="s">
        <v>112</v>
      </c>
      <c r="D176" t="s">
        <v>65</v>
      </c>
      <c r="E176">
        <v>300233.07</v>
      </c>
      <c r="F176">
        <v>2</v>
      </c>
      <c r="G176" t="s">
        <v>66</v>
      </c>
      <c r="J176" t="s">
        <v>67</v>
      </c>
      <c r="L176">
        <v>0</v>
      </c>
      <c r="M176">
        <f t="shared" si="19"/>
        <v>0</v>
      </c>
      <c r="N176" t="s">
        <v>68</v>
      </c>
      <c r="O176" t="str">
        <f t="shared" si="20"/>
        <v/>
      </c>
      <c r="P176" t="s">
        <v>68</v>
      </c>
      <c r="S176" t="str">
        <f t="shared" si="21"/>
        <v>—</v>
      </c>
      <c r="T176" t="str">
        <f t="shared" si="22"/>
        <v>⬜  Parcial · Inst. 2 pendiente</v>
      </c>
      <c r="U176" s="53">
        <v>1</v>
      </c>
      <c r="V176" t="s">
        <v>69</v>
      </c>
      <c r="W176">
        <f>IF(NORMALIZADO!BV176="",0,NORMALIZADO!BV176)</f>
        <v>0</v>
      </c>
      <c r="X176">
        <f>IF(NORMALIZADO!BW176="",0,NORMALIZADO!BW176)</f>
        <v>0</v>
      </c>
      <c r="Y176">
        <f>IF(NORMALIZADO!BX176="",0,NORMALIZADO!BX176)</f>
        <v>0</v>
      </c>
      <c r="Z176">
        <f>IF(NORMALIZADO!BY176="",0,NORMALIZADO!BY176)</f>
        <v>0</v>
      </c>
      <c r="AO176" t="str">
        <f t="shared" si="23"/>
        <v>N/A</v>
      </c>
      <c r="AP176" t="str">
        <f>IF(COUNT(NORMALIZADO!BV176:BY176)&gt;=3,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v>
      </c>
      <c r="AQ176">
        <f>IF(ISNUMBER(M176),1,0)+IF(ISNUMBER(SCORECARDS!H176),1,0)+IF(ISNUMBER(SCORECARDS!I176),1,0)+IF(ISNUMBER(SCORECARDS!J176),1,0)+IF(ISNUMBER(ISCAM_Score!K177),1,0)+IF(ISNUMBER(O176),1,0)+IF(COUNT(W176:Z176)&gt;0,1,0)</f>
        <v>2</v>
      </c>
    </row>
    <row r="179" spans="1:6" ht="16.05" customHeight="1" x14ac:dyDescent="0.3">
      <c r="A179" s="70" t="s">
        <v>1564</v>
      </c>
      <c r="B179" s="70"/>
      <c r="C179" s="70"/>
      <c r="D179" s="70"/>
      <c r="E179" s="70"/>
      <c r="F179" s="70"/>
    </row>
    <row r="180" spans="1:6" ht="46.05" customHeight="1" x14ac:dyDescent="0.3">
      <c r="A180" s="67" t="s">
        <v>1565</v>
      </c>
      <c r="B180" s="67"/>
      <c r="C180" s="67"/>
      <c r="D180" s="67"/>
      <c r="E180" s="67"/>
      <c r="F180" s="67"/>
    </row>
    <row r="182" spans="1:6" ht="16.05" customHeight="1" x14ac:dyDescent="0.3">
      <c r="A182" s="70" t="s">
        <v>1567</v>
      </c>
      <c r="B182" s="70"/>
      <c r="C182" s="70"/>
      <c r="D182" s="70"/>
      <c r="E182" s="70"/>
      <c r="F182" s="70"/>
    </row>
    <row r="183" spans="1:6" ht="46.05" customHeight="1" x14ac:dyDescent="0.3">
      <c r="A183" s="67" t="s">
        <v>1568</v>
      </c>
      <c r="B183" s="67"/>
      <c r="C183" s="67"/>
      <c r="D183" s="67"/>
      <c r="E183" s="67"/>
      <c r="F183" s="67"/>
    </row>
    <row r="185" spans="1:6" ht="16.05" customHeight="1" x14ac:dyDescent="0.3">
      <c r="A185" s="78" t="s">
        <v>1606</v>
      </c>
      <c r="B185" s="66"/>
      <c r="C185" s="66"/>
      <c r="D185" s="66"/>
    </row>
    <row r="186" spans="1:6" ht="78" customHeight="1" x14ac:dyDescent="0.3">
      <c r="A186" s="66" t="s">
        <v>1607</v>
      </c>
      <c r="B186" s="66"/>
      <c r="C186" s="66"/>
      <c r="D186" s="66"/>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1022</v>
      </c>
      <c r="B1" s="65"/>
      <c r="C1" s="65"/>
      <c r="D1" s="65"/>
      <c r="E1" s="65"/>
      <c r="F1" s="65"/>
      <c r="G1" s="65"/>
      <c r="H1" s="65"/>
      <c r="I1" s="65"/>
      <c r="J1" s="65"/>
      <c r="K1" s="65"/>
      <c r="L1" s="65"/>
      <c r="M1" s="65"/>
      <c r="N1" s="65"/>
      <c r="O1" s="65"/>
    </row>
    <row r="2" spans="1:16" ht="22.05" customHeight="1" x14ac:dyDescent="0.3">
      <c r="A2" t="s">
        <v>21</v>
      </c>
      <c r="B2" t="s">
        <v>899</v>
      </c>
      <c r="C2" t="s">
        <v>1023</v>
      </c>
      <c r="D2" t="s">
        <v>1024</v>
      </c>
      <c r="E2" t="s">
        <v>1025</v>
      </c>
      <c r="F2" t="s">
        <v>32</v>
      </c>
      <c r="G2" t="s">
        <v>33</v>
      </c>
      <c r="H2" t="s">
        <v>1026</v>
      </c>
      <c r="I2" t="s">
        <v>1027</v>
      </c>
      <c r="J2" t="s">
        <v>1028</v>
      </c>
      <c r="K2" t="s">
        <v>1029</v>
      </c>
      <c r="L2" t="s">
        <v>1030</v>
      </c>
      <c r="M2" t="s">
        <v>971</v>
      </c>
      <c r="N2" t="s">
        <v>1031</v>
      </c>
      <c r="O2" t="s">
        <v>1032</v>
      </c>
      <c r="P2" t="s">
        <v>1033</v>
      </c>
    </row>
    <row r="3" spans="1:16" ht="16.05" customHeight="1" x14ac:dyDescent="0.3">
      <c r="A3" t="s">
        <v>62</v>
      </c>
      <c r="B3" t="s">
        <v>63</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64</v>
      </c>
      <c r="P3" t="str">
        <f>IFERROR(INDEX(MATRIZ_174!$C:$C,MATCH(A3,MATRIZ_174!$A:$A,0)),"")</f>
        <v>PUNO</v>
      </c>
    </row>
    <row r="4" spans="1:16" ht="16.05" customHeight="1" x14ac:dyDescent="0.3">
      <c r="A4" t="s">
        <v>70</v>
      </c>
      <c r="B4" t="s">
        <v>71</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72</v>
      </c>
      <c r="P4" t="str">
        <f>IFERROR(INDEX(MATRIZ_174!$C:$C,MATCH(A4,MATRIZ_174!$A:$A,0)),"")</f>
        <v>AYACUCHO</v>
      </c>
    </row>
    <row r="5" spans="1:16" ht="16.05" customHeight="1" x14ac:dyDescent="0.3">
      <c r="A5" t="s">
        <v>75</v>
      </c>
      <c r="B5" t="s">
        <v>76</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77</v>
      </c>
      <c r="P5" t="str">
        <f>IFERROR(INDEX(MATRIZ_174!$C:$C,MATCH(A5,MATRIZ_174!$A:$A,0)),"")</f>
        <v>JUNIN</v>
      </c>
    </row>
    <row r="6" spans="1:16" ht="16.05" customHeight="1" x14ac:dyDescent="0.3">
      <c r="A6" t="s">
        <v>78</v>
      </c>
      <c r="B6" t="s">
        <v>79</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80</v>
      </c>
      <c r="P6" t="str">
        <f>IFERROR(INDEX(MATRIZ_174!$C:$C,MATCH(A6,MATRIZ_174!$A:$A,0)),"")</f>
        <v>CUSCO</v>
      </c>
    </row>
    <row r="7" spans="1:16" ht="16.05" customHeight="1" x14ac:dyDescent="0.3">
      <c r="A7" t="s">
        <v>81</v>
      </c>
      <c r="B7" t="s">
        <v>82</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1</v>
      </c>
      <c r="N7" t="str">
        <f>IFERROR(ISCAM_Score!AC8,"")</f>
        <v>⬜  Pendiente de instrumento</v>
      </c>
      <c r="O7" t="s">
        <v>80</v>
      </c>
      <c r="P7" t="str">
        <f>IFERROR(INDEX(MATRIZ_174!$C:$C,MATCH(A7,MATRIZ_174!$A:$A,0)),"")</f>
        <v>CUSCO</v>
      </c>
    </row>
    <row r="8" spans="1:16" ht="16.05" customHeight="1" x14ac:dyDescent="0.3">
      <c r="A8" t="s">
        <v>84</v>
      </c>
      <c r="B8" t="s">
        <v>85</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80</v>
      </c>
      <c r="P8" t="str">
        <f>IFERROR(INDEX(MATRIZ_174!$C:$C,MATCH(A8,MATRIZ_174!$A:$A,0)),"")</f>
        <v>CUSCO</v>
      </c>
    </row>
    <row r="9" spans="1:16" ht="16.05" customHeight="1" x14ac:dyDescent="0.3">
      <c r="A9" t="s">
        <v>86</v>
      </c>
      <c r="B9" t="s">
        <v>87</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80</v>
      </c>
      <c r="P9" t="str">
        <f>IFERROR(INDEX(MATRIZ_174!$C:$C,MATCH(A9,MATRIZ_174!$A:$A,0)),"")</f>
        <v>CUSCO</v>
      </c>
    </row>
    <row r="10" spans="1:16" ht="16.05" customHeight="1" x14ac:dyDescent="0.3">
      <c r="A10" t="s">
        <v>88</v>
      </c>
      <c r="B10" t="s">
        <v>89</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80</v>
      </c>
      <c r="P10" t="str">
        <f>IFERROR(INDEX(MATRIZ_174!$C:$C,MATCH(A10,MATRIZ_174!$A:$A,0)),"")</f>
        <v>CUSCO</v>
      </c>
    </row>
    <row r="11" spans="1:16" ht="16.05" customHeight="1" x14ac:dyDescent="0.3">
      <c r="A11" t="s">
        <v>90</v>
      </c>
      <c r="B11" t="s">
        <v>91</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80</v>
      </c>
      <c r="P11" t="str">
        <f>IFERROR(INDEX(MATRIZ_174!$C:$C,MATCH(A11,MATRIZ_174!$A:$A,0)),"")</f>
        <v>CUSCO</v>
      </c>
    </row>
    <row r="12" spans="1:16" ht="16.05" customHeight="1" x14ac:dyDescent="0.3">
      <c r="A12" t="s">
        <v>92</v>
      </c>
      <c r="B12" t="s">
        <v>93</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80</v>
      </c>
      <c r="P12" t="str">
        <f>IFERROR(INDEX(MATRIZ_174!$C:$C,MATCH(A12,MATRIZ_174!$A:$A,0)),"")</f>
        <v>CUSCO</v>
      </c>
    </row>
    <row r="13" spans="1:16" ht="16.05" customHeight="1" x14ac:dyDescent="0.3">
      <c r="A13" t="s">
        <v>95</v>
      </c>
      <c r="B13" t="s">
        <v>96</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80</v>
      </c>
      <c r="P13" t="str">
        <f>IFERROR(INDEX(MATRIZ_174!$C:$C,MATCH(A13,MATRIZ_174!$A:$A,0)),"")</f>
        <v>CUSCO</v>
      </c>
    </row>
    <row r="14" spans="1:16" ht="16.05" customHeight="1" x14ac:dyDescent="0.3">
      <c r="A14" t="s">
        <v>97</v>
      </c>
      <c r="B14" t="s">
        <v>98</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72</v>
      </c>
      <c r="P14" t="str">
        <f>IFERROR(INDEX(MATRIZ_174!$C:$C,MATCH(A14,MATRIZ_174!$A:$A,0)),"")</f>
        <v>AYACUCHO</v>
      </c>
    </row>
    <row r="15" spans="1:16" ht="16.05" customHeight="1" x14ac:dyDescent="0.3">
      <c r="A15" t="s">
        <v>99</v>
      </c>
      <c r="B15" t="s">
        <v>100</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64</v>
      </c>
      <c r="P15" t="str">
        <f>IFERROR(INDEX(MATRIZ_174!$C:$C,MATCH(A15,MATRIZ_174!$A:$A,0)),"")</f>
        <v>PUNO</v>
      </c>
    </row>
    <row r="16" spans="1:16" ht="16.05" customHeight="1" x14ac:dyDescent="0.3">
      <c r="A16" t="s">
        <v>101</v>
      </c>
      <c r="B16" t="s">
        <v>102</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103</v>
      </c>
      <c r="P16" t="str">
        <f>IFERROR(INDEX(MATRIZ_174!$C:$C,MATCH(A16,MATRIZ_174!$A:$A,0)),"")</f>
        <v>PIURA</v>
      </c>
    </row>
    <row r="17" spans="1:16" ht="16.05" customHeight="1" x14ac:dyDescent="0.3">
      <c r="A17" t="s">
        <v>104</v>
      </c>
      <c r="B17" t="s">
        <v>105</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80</v>
      </c>
      <c r="P17" t="str">
        <f>IFERROR(INDEX(MATRIZ_174!$C:$C,MATCH(A17,MATRIZ_174!$A:$A,0)),"")</f>
        <v>CUSCO</v>
      </c>
    </row>
    <row r="18" spans="1:16" ht="16.05" customHeight="1" x14ac:dyDescent="0.3">
      <c r="A18" t="s">
        <v>107</v>
      </c>
      <c r="B18" t="s">
        <v>108</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109</v>
      </c>
      <c r="P18" t="str">
        <f>IFERROR(INDEX(MATRIZ_174!$C:$C,MATCH(A18,MATRIZ_174!$A:$A,0)),"")</f>
        <v>UCAYALI</v>
      </c>
    </row>
    <row r="19" spans="1:16" ht="16.05" customHeight="1" x14ac:dyDescent="0.3">
      <c r="A19" t="s">
        <v>110</v>
      </c>
      <c r="B19" t="s">
        <v>111</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112</v>
      </c>
      <c r="P19" t="str">
        <f>IFERROR(INDEX(MATRIZ_174!$C:$C,MATCH(A19,MATRIZ_174!$A:$A,0)),"")</f>
        <v>AMAZONAS</v>
      </c>
    </row>
    <row r="20" spans="1:16" ht="16.05" customHeight="1" x14ac:dyDescent="0.3">
      <c r="A20" t="s">
        <v>113</v>
      </c>
      <c r="B20" t="s">
        <v>114</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80</v>
      </c>
      <c r="P20" t="str">
        <f>IFERROR(INDEX(MATRIZ_174!$C:$C,MATCH(A20,MATRIZ_174!$A:$A,0)),"")</f>
        <v>CUSCO</v>
      </c>
    </row>
    <row r="21" spans="1:16" ht="16.05" customHeight="1" x14ac:dyDescent="0.3">
      <c r="A21" t="s">
        <v>115</v>
      </c>
      <c r="B21" t="s">
        <v>116</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109</v>
      </c>
      <c r="P21" t="str">
        <f>IFERROR(INDEX(MATRIZ_174!$C:$C,MATCH(A21,MATRIZ_174!$A:$A,0)),"")</f>
        <v>UCAYALI</v>
      </c>
    </row>
    <row r="22" spans="1:16" ht="16.05" customHeight="1" x14ac:dyDescent="0.3">
      <c r="A22" t="s">
        <v>117</v>
      </c>
      <c r="B22" t="s">
        <v>118</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119</v>
      </c>
      <c r="P22" t="str">
        <f>IFERROR(INDEX(MATRIZ_174!$C:$C,MATCH(A22,MATRIZ_174!$A:$A,0)),"")</f>
        <v>HUANUCO</v>
      </c>
    </row>
    <row r="23" spans="1:16" ht="16.05" customHeight="1" x14ac:dyDescent="0.3">
      <c r="A23" t="s">
        <v>120</v>
      </c>
      <c r="B23" t="s">
        <v>121</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109</v>
      </c>
      <c r="P23" t="str">
        <f>IFERROR(INDEX(MATRIZ_174!$C:$C,MATCH(A23,MATRIZ_174!$A:$A,0)),"")</f>
        <v>UCAYALI</v>
      </c>
    </row>
    <row r="24" spans="1:16" ht="16.05" customHeight="1" x14ac:dyDescent="0.3">
      <c r="A24" t="s">
        <v>122</v>
      </c>
      <c r="B24" t="s">
        <v>123</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109</v>
      </c>
      <c r="P24" t="str">
        <f>IFERROR(INDEX(MATRIZ_174!$C:$C,MATCH(A24,MATRIZ_174!$A:$A,0)),"")</f>
        <v>UCAYALI</v>
      </c>
    </row>
    <row r="25" spans="1:16" ht="16.05" customHeight="1" x14ac:dyDescent="0.3">
      <c r="A25" t="s">
        <v>125</v>
      </c>
      <c r="B25" t="s">
        <v>126</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109</v>
      </c>
      <c r="P25" t="str">
        <f>IFERROR(INDEX(MATRIZ_174!$C:$C,MATCH(A25,MATRIZ_174!$A:$A,0)),"")</f>
        <v>UCAYALI</v>
      </c>
    </row>
    <row r="26" spans="1:16" ht="16.05" customHeight="1" x14ac:dyDescent="0.3">
      <c r="A26" t="s">
        <v>127</v>
      </c>
      <c r="B26" t="s">
        <v>128</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109</v>
      </c>
      <c r="P26" t="str">
        <f>IFERROR(INDEX(MATRIZ_174!$C:$C,MATCH(A26,MATRIZ_174!$A:$A,0)),"")</f>
        <v>UCAYALI</v>
      </c>
    </row>
    <row r="27" spans="1:16" ht="16.05" customHeight="1" x14ac:dyDescent="0.3">
      <c r="A27" t="s">
        <v>129</v>
      </c>
      <c r="B27" t="s">
        <v>130</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109</v>
      </c>
      <c r="P27" t="str">
        <f>IFERROR(INDEX(MATRIZ_174!$C:$C,MATCH(A27,MATRIZ_174!$A:$A,0)),"")</f>
        <v>UCAYALI</v>
      </c>
    </row>
    <row r="28" spans="1:16" ht="16.05" customHeight="1" x14ac:dyDescent="0.3">
      <c r="A28" t="s">
        <v>131</v>
      </c>
      <c r="B28" t="s">
        <v>132</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109</v>
      </c>
      <c r="P28" t="str">
        <f>IFERROR(INDEX(MATRIZ_174!$C:$C,MATCH(A28,MATRIZ_174!$A:$A,0)),"")</f>
        <v>UCAYALI</v>
      </c>
    </row>
    <row r="29" spans="1:16" ht="16.05" customHeight="1" x14ac:dyDescent="0.3">
      <c r="A29" t="s">
        <v>133</v>
      </c>
      <c r="B29" t="s">
        <v>134</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109</v>
      </c>
      <c r="P29" t="str">
        <f>IFERROR(INDEX(MATRIZ_174!$C:$C,MATCH(A29,MATRIZ_174!$A:$A,0)),"")</f>
        <v>UCAYALI</v>
      </c>
    </row>
    <row r="30" spans="1:16" ht="16.05" customHeight="1" x14ac:dyDescent="0.3">
      <c r="A30" t="s">
        <v>135</v>
      </c>
      <c r="B30" t="s">
        <v>136</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64</v>
      </c>
      <c r="P30" t="str">
        <f>IFERROR(INDEX(MATRIZ_174!$C:$C,MATCH(A30,MATRIZ_174!$A:$A,0)),"")</f>
        <v>PUNO</v>
      </c>
    </row>
    <row r="31" spans="1:16" ht="16.05" customHeight="1" x14ac:dyDescent="0.3">
      <c r="A31" t="s">
        <v>137</v>
      </c>
      <c r="B31" t="s">
        <v>138</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139</v>
      </c>
      <c r="P31" t="str">
        <f>IFERROR(INDEX(MATRIZ_174!$C:$C,MATCH(A31,MATRIZ_174!$A:$A,0)),"")</f>
        <v>SAN MARTIN</v>
      </c>
    </row>
    <row r="32" spans="1:16" ht="16.05" customHeight="1" x14ac:dyDescent="0.3">
      <c r="A32" t="s">
        <v>140</v>
      </c>
      <c r="B32" t="s">
        <v>141</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139</v>
      </c>
      <c r="P32" t="str">
        <f>IFERROR(INDEX(MATRIZ_174!$C:$C,MATCH(A32,MATRIZ_174!$A:$A,0)),"")</f>
        <v>SAN MARTIN</v>
      </c>
    </row>
    <row r="33" spans="1:16" ht="16.05" customHeight="1" x14ac:dyDescent="0.3">
      <c r="A33" t="s">
        <v>142</v>
      </c>
      <c r="B33" t="s">
        <v>143</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139</v>
      </c>
      <c r="P33" t="str">
        <f>IFERROR(INDEX(MATRIZ_174!$C:$C,MATCH(A33,MATRIZ_174!$A:$A,0)),"")</f>
        <v>SAN MARTIN</v>
      </c>
    </row>
    <row r="34" spans="1:16" ht="16.05" customHeight="1" x14ac:dyDescent="0.3">
      <c r="A34" t="s">
        <v>144</v>
      </c>
      <c r="B34" t="s">
        <v>145</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139</v>
      </c>
      <c r="P34" t="str">
        <f>IFERROR(INDEX(MATRIZ_174!$C:$C,MATCH(A34,MATRIZ_174!$A:$A,0)),"")</f>
        <v>SAN MARTIN</v>
      </c>
    </row>
    <row r="35" spans="1:16" ht="16.05" customHeight="1" x14ac:dyDescent="0.3">
      <c r="A35" t="s">
        <v>146</v>
      </c>
      <c r="B35" t="s">
        <v>147</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80</v>
      </c>
      <c r="P35" t="str">
        <f>IFERROR(INDEX(MATRIZ_174!$C:$C,MATCH(A35,MATRIZ_174!$A:$A,0)),"")</f>
        <v>CUSCO</v>
      </c>
    </row>
    <row r="36" spans="1:16" ht="16.05" customHeight="1" x14ac:dyDescent="0.3">
      <c r="A36" t="s">
        <v>148</v>
      </c>
      <c r="B36" t="s">
        <v>149</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150</v>
      </c>
      <c r="P36" t="str">
        <f>IFERROR(INDEX(MATRIZ_174!$C:$C,MATCH(A36,MATRIZ_174!$A:$A,0)),"")</f>
        <v>CAJAMARCA</v>
      </c>
    </row>
    <row r="37" spans="1:16" ht="16.05" customHeight="1" x14ac:dyDescent="0.3">
      <c r="A37" t="s">
        <v>151</v>
      </c>
      <c r="B37" t="s">
        <v>152</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112</v>
      </c>
      <c r="P37" t="str">
        <f>IFERROR(INDEX(MATRIZ_174!$C:$C,MATCH(A37,MATRIZ_174!$A:$A,0)),"")</f>
        <v>AMAZONAS</v>
      </c>
    </row>
    <row r="38" spans="1:16" ht="16.05" customHeight="1" x14ac:dyDescent="0.3">
      <c r="A38" t="s">
        <v>153</v>
      </c>
      <c r="B38" t="s">
        <v>154</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112</v>
      </c>
      <c r="P38" t="str">
        <f>IFERROR(INDEX(MATRIZ_174!$C:$C,MATCH(A38,MATRIZ_174!$A:$A,0)),"")</f>
        <v>AMAZONAS</v>
      </c>
    </row>
    <row r="39" spans="1:16" ht="16.05" customHeight="1" x14ac:dyDescent="0.3">
      <c r="A39" t="s">
        <v>155</v>
      </c>
      <c r="B39" t="s">
        <v>156</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112</v>
      </c>
      <c r="P39" t="str">
        <f>IFERROR(INDEX(MATRIZ_174!$C:$C,MATCH(A39,MATRIZ_174!$A:$A,0)),"")</f>
        <v>AMAZONAS</v>
      </c>
    </row>
    <row r="40" spans="1:16" ht="16.05" customHeight="1" x14ac:dyDescent="0.3">
      <c r="A40" t="s">
        <v>157</v>
      </c>
      <c r="B40" t="s">
        <v>158</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112</v>
      </c>
      <c r="P40" t="str">
        <f>IFERROR(INDEX(MATRIZ_174!$C:$C,MATCH(A40,MATRIZ_174!$A:$A,0)),"")</f>
        <v>AMAZONAS</v>
      </c>
    </row>
    <row r="41" spans="1:16" ht="16.05" customHeight="1" x14ac:dyDescent="0.3">
      <c r="A41" t="s">
        <v>159</v>
      </c>
      <c r="B41" t="s">
        <v>160</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112</v>
      </c>
      <c r="P41" t="str">
        <f>IFERROR(INDEX(MATRIZ_174!$C:$C,MATCH(A41,MATRIZ_174!$A:$A,0)),"")</f>
        <v>AMAZONAS</v>
      </c>
    </row>
    <row r="42" spans="1:16" ht="16.05" customHeight="1" x14ac:dyDescent="0.3">
      <c r="A42" t="s">
        <v>161</v>
      </c>
      <c r="B42" t="s">
        <v>162</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103</v>
      </c>
      <c r="P42" t="str">
        <f>IFERROR(INDEX(MATRIZ_174!$C:$C,MATCH(A42,MATRIZ_174!$A:$A,0)),"")</f>
        <v>PIURA</v>
      </c>
    </row>
    <row r="43" spans="1:16" ht="16.05" customHeight="1" x14ac:dyDescent="0.3">
      <c r="A43" t="s">
        <v>163</v>
      </c>
      <c r="B43" t="s">
        <v>164</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77</v>
      </c>
      <c r="P43" t="str">
        <f>IFERROR(INDEX(MATRIZ_174!$C:$C,MATCH(A43,MATRIZ_174!$A:$A,0)),"")</f>
        <v>JUNIN</v>
      </c>
    </row>
    <row r="44" spans="1:16" ht="16.05" customHeight="1" x14ac:dyDescent="0.3">
      <c r="A44" t="s">
        <v>165</v>
      </c>
      <c r="B44" t="s">
        <v>166</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77</v>
      </c>
      <c r="P44" t="str">
        <f>IFERROR(INDEX(MATRIZ_174!$C:$C,MATCH(A44,MATRIZ_174!$A:$A,0)),"")</f>
        <v>JUNIN</v>
      </c>
    </row>
    <row r="45" spans="1:16" ht="16.05" customHeight="1" x14ac:dyDescent="0.3">
      <c r="A45" t="s">
        <v>167</v>
      </c>
      <c r="B45" t="s">
        <v>168</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77</v>
      </c>
      <c r="P45" t="str">
        <f>IFERROR(INDEX(MATRIZ_174!$C:$C,MATCH(A45,MATRIZ_174!$A:$A,0)),"")</f>
        <v>JUNIN</v>
      </c>
    </row>
    <row r="46" spans="1:16" ht="16.05" customHeight="1" x14ac:dyDescent="0.3">
      <c r="A46" t="s">
        <v>169</v>
      </c>
      <c r="B46" t="s">
        <v>170</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77</v>
      </c>
      <c r="P46" t="str">
        <f>IFERROR(INDEX(MATRIZ_174!$C:$C,MATCH(A46,MATRIZ_174!$A:$A,0)),"")</f>
        <v>JUNIN</v>
      </c>
    </row>
    <row r="47" spans="1:16" ht="16.05" customHeight="1" x14ac:dyDescent="0.3">
      <c r="A47" t="s">
        <v>171</v>
      </c>
      <c r="B47" t="s">
        <v>172</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77</v>
      </c>
      <c r="P47" t="str">
        <f>IFERROR(INDEX(MATRIZ_174!$C:$C,MATCH(A47,MATRIZ_174!$A:$A,0)),"")</f>
        <v>JUNIN</v>
      </c>
    </row>
    <row r="48" spans="1:16" ht="16.05" customHeight="1" x14ac:dyDescent="0.3">
      <c r="A48" t="s">
        <v>173</v>
      </c>
      <c r="B48" t="s">
        <v>174</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77</v>
      </c>
      <c r="P48" t="str">
        <f>IFERROR(INDEX(MATRIZ_174!$C:$C,MATCH(A48,MATRIZ_174!$A:$A,0)),"")</f>
        <v>JUNIN</v>
      </c>
    </row>
    <row r="49" spans="1:16" ht="16.05" customHeight="1" x14ac:dyDescent="0.3">
      <c r="A49" t="s">
        <v>175</v>
      </c>
      <c r="B49" t="s">
        <v>176</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77</v>
      </c>
      <c r="P49" t="str">
        <f>IFERROR(INDEX(MATRIZ_174!$C:$C,MATCH(A49,MATRIZ_174!$A:$A,0)),"")</f>
        <v>JUNIN</v>
      </c>
    </row>
    <row r="50" spans="1:16" ht="16.05" customHeight="1" x14ac:dyDescent="0.3">
      <c r="A50" t="s">
        <v>177</v>
      </c>
      <c r="B50" t="s">
        <v>178</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179</v>
      </c>
      <c r="P50" t="str">
        <f>IFERROR(INDEX(MATRIZ_174!$C:$C,MATCH(A50,MATRIZ_174!$A:$A,0)),"")</f>
        <v>LAMBAYEQUE</v>
      </c>
    </row>
    <row r="51" spans="1:16" ht="16.05" customHeight="1" x14ac:dyDescent="0.3">
      <c r="A51" t="s">
        <v>180</v>
      </c>
      <c r="B51" t="s">
        <v>181</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150</v>
      </c>
      <c r="P51" t="str">
        <f>IFERROR(INDEX(MATRIZ_174!$C:$C,MATCH(A51,MATRIZ_174!$A:$A,0)),"")</f>
        <v>CAJAMARCA</v>
      </c>
    </row>
    <row r="52" spans="1:16" ht="16.05" customHeight="1" x14ac:dyDescent="0.3">
      <c r="A52" t="s">
        <v>182</v>
      </c>
      <c r="B52" t="s">
        <v>183</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80</v>
      </c>
      <c r="P52" t="str">
        <f>IFERROR(INDEX(MATRIZ_174!$C:$C,MATCH(A52,MATRIZ_174!$A:$A,0)),"")</f>
        <v>CUSCO</v>
      </c>
    </row>
    <row r="53" spans="1:16" ht="16.05" customHeight="1" x14ac:dyDescent="0.3">
      <c r="A53" t="s">
        <v>184</v>
      </c>
      <c r="B53" t="s">
        <v>185</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139</v>
      </c>
      <c r="P53" t="str">
        <f>IFERROR(INDEX(MATRIZ_174!$C:$C,MATCH(A53,MATRIZ_174!$A:$A,0)),"")</f>
        <v>SAN MARTIN</v>
      </c>
    </row>
    <row r="54" spans="1:16" ht="16.05" customHeight="1" x14ac:dyDescent="0.3">
      <c r="A54" t="s">
        <v>186</v>
      </c>
      <c r="B54" t="s">
        <v>187</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139</v>
      </c>
      <c r="P54" t="str">
        <f>IFERROR(INDEX(MATRIZ_174!$C:$C,MATCH(A54,MATRIZ_174!$A:$A,0)),"")</f>
        <v>SAN MARTIN</v>
      </c>
    </row>
    <row r="55" spans="1:16" ht="16.05" customHeight="1" x14ac:dyDescent="0.3">
      <c r="A55" t="s">
        <v>188</v>
      </c>
      <c r="B55" t="s">
        <v>189</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139</v>
      </c>
      <c r="P55" t="str">
        <f>IFERROR(INDEX(MATRIZ_174!$C:$C,MATCH(A55,MATRIZ_174!$A:$A,0)),"")</f>
        <v>SAN MARTIN</v>
      </c>
    </row>
    <row r="56" spans="1:16" ht="16.05" customHeight="1" x14ac:dyDescent="0.3">
      <c r="A56" t="s">
        <v>190</v>
      </c>
      <c r="B56" t="s">
        <v>191</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192</v>
      </c>
      <c r="P56" t="str">
        <f>IFERROR(INDEX(MATRIZ_174!$C:$C,MATCH(A56,MATRIZ_174!$A:$A,0)),"")</f>
        <v>LORETO</v>
      </c>
    </row>
    <row r="57" spans="1:16" ht="16.05" customHeight="1" x14ac:dyDescent="0.3">
      <c r="A57" t="s">
        <v>193</v>
      </c>
      <c r="B57" t="s">
        <v>194</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80</v>
      </c>
      <c r="P57" t="str">
        <f>IFERROR(INDEX(MATRIZ_174!$C:$C,MATCH(A57,MATRIZ_174!$A:$A,0)),"")</f>
        <v>CUSCO</v>
      </c>
    </row>
    <row r="58" spans="1:16" ht="16.05" customHeight="1" x14ac:dyDescent="0.3">
      <c r="A58" t="s">
        <v>195</v>
      </c>
      <c r="B58" t="s">
        <v>196</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103</v>
      </c>
      <c r="P58" t="str">
        <f>IFERROR(INDEX(MATRIZ_174!$C:$C,MATCH(A58,MATRIZ_174!$A:$A,0)),"")</f>
        <v>PIURA</v>
      </c>
    </row>
    <row r="59" spans="1:16" ht="16.05" customHeight="1" x14ac:dyDescent="0.3">
      <c r="A59" t="s">
        <v>197</v>
      </c>
      <c r="B59" t="s">
        <v>198</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103</v>
      </c>
      <c r="P59" t="str">
        <f>IFERROR(INDEX(MATRIZ_174!$C:$C,MATCH(A59,MATRIZ_174!$A:$A,0)),"")</f>
        <v>PIURA</v>
      </c>
    </row>
    <row r="60" spans="1:16" ht="16.05" customHeight="1" x14ac:dyDescent="0.3">
      <c r="A60" t="s">
        <v>199</v>
      </c>
      <c r="B60" t="s">
        <v>200</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201</v>
      </c>
      <c r="P60" t="str">
        <f>IFERROR(INDEX(MATRIZ_174!$C:$C,MATCH(A60,MATRIZ_174!$A:$A,0)),"")</f>
        <v>APURIMAC</v>
      </c>
    </row>
    <row r="61" spans="1:16" ht="16.05" customHeight="1" x14ac:dyDescent="0.3">
      <c r="A61" t="s">
        <v>202</v>
      </c>
      <c r="B61" t="s">
        <v>203</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119</v>
      </c>
      <c r="P61" t="str">
        <f>IFERROR(INDEX(MATRIZ_174!$C:$C,MATCH(A61,MATRIZ_174!$A:$A,0)),"")</f>
        <v>HUANUCO</v>
      </c>
    </row>
    <row r="62" spans="1:16" ht="16.05" customHeight="1" x14ac:dyDescent="0.3">
      <c r="A62" t="s">
        <v>204</v>
      </c>
      <c r="B62" t="s">
        <v>205</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103</v>
      </c>
      <c r="P62" t="str">
        <f>IFERROR(INDEX(MATRIZ_174!$C:$C,MATCH(A62,MATRIZ_174!$A:$A,0)),"")</f>
        <v>PIURA</v>
      </c>
    </row>
    <row r="63" spans="1:16" ht="16.05" customHeight="1" x14ac:dyDescent="0.3">
      <c r="A63" t="s">
        <v>206</v>
      </c>
      <c r="B63" t="s">
        <v>207</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103</v>
      </c>
      <c r="P63" t="str">
        <f>IFERROR(INDEX(MATRIZ_174!$C:$C,MATCH(A63,MATRIZ_174!$A:$A,0)),"")</f>
        <v>PIURA</v>
      </c>
    </row>
    <row r="64" spans="1:16" ht="16.05" customHeight="1" x14ac:dyDescent="0.3">
      <c r="A64" t="s">
        <v>208</v>
      </c>
      <c r="B64" t="s">
        <v>209</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139</v>
      </c>
      <c r="P64" t="str">
        <f>IFERROR(INDEX(MATRIZ_174!$C:$C,MATCH(A64,MATRIZ_174!$A:$A,0)),"")</f>
        <v>SAN MARTIN</v>
      </c>
    </row>
    <row r="65" spans="1:16" ht="16.05" customHeight="1" x14ac:dyDescent="0.3">
      <c r="A65" t="s">
        <v>210</v>
      </c>
      <c r="B65" t="s">
        <v>211</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139</v>
      </c>
      <c r="P65" t="str">
        <f>IFERROR(INDEX(MATRIZ_174!$C:$C,MATCH(A65,MATRIZ_174!$A:$A,0)),"")</f>
        <v>SAN MARTIN</v>
      </c>
    </row>
    <row r="66" spans="1:16" ht="16.05" customHeight="1" x14ac:dyDescent="0.3">
      <c r="A66" t="s">
        <v>212</v>
      </c>
      <c r="B66" t="s">
        <v>213</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80</v>
      </c>
      <c r="P66" t="str">
        <f>IFERROR(INDEX(MATRIZ_174!$C:$C,MATCH(A66,MATRIZ_174!$A:$A,0)),"")</f>
        <v>CUSCO</v>
      </c>
    </row>
    <row r="67" spans="1:16" ht="16.05" customHeight="1" x14ac:dyDescent="0.3">
      <c r="A67" t="s">
        <v>214</v>
      </c>
      <c r="B67" t="s">
        <v>215</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112</v>
      </c>
      <c r="P67" t="str">
        <f>IFERROR(INDEX(MATRIZ_174!$C:$C,MATCH(A67,MATRIZ_174!$A:$A,0)),"")</f>
        <v>AMAZONAS</v>
      </c>
    </row>
    <row r="68" spans="1:16" ht="16.05" customHeight="1" x14ac:dyDescent="0.3">
      <c r="A68" t="s">
        <v>216</v>
      </c>
      <c r="B68" t="s">
        <v>217</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112</v>
      </c>
      <c r="P68" t="str">
        <f>IFERROR(INDEX(MATRIZ_174!$C:$C,MATCH(A68,MATRIZ_174!$A:$A,0)),"")</f>
        <v>AMAZONAS</v>
      </c>
    </row>
    <row r="69" spans="1:16" ht="16.05" customHeight="1" x14ac:dyDescent="0.3">
      <c r="A69" t="s">
        <v>218</v>
      </c>
      <c r="B69" t="s">
        <v>219</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179</v>
      </c>
      <c r="P69" t="str">
        <f>IFERROR(INDEX(MATRIZ_174!$C:$C,MATCH(A69,MATRIZ_174!$A:$A,0)),"")</f>
        <v>LAMBAYEQUE</v>
      </c>
    </row>
    <row r="70" spans="1:16" ht="16.05" customHeight="1" x14ac:dyDescent="0.3">
      <c r="A70" t="s">
        <v>220</v>
      </c>
      <c r="B70" t="s">
        <v>221</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139</v>
      </c>
      <c r="P70" t="str">
        <f>IFERROR(INDEX(MATRIZ_174!$C:$C,MATCH(A70,MATRIZ_174!$A:$A,0)),"")</f>
        <v>SAN MARTIN</v>
      </c>
    </row>
    <row r="71" spans="1:16" ht="16.05" customHeight="1" x14ac:dyDescent="0.3">
      <c r="A71" t="s">
        <v>223</v>
      </c>
      <c r="B71" t="s">
        <v>224</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139</v>
      </c>
      <c r="P71" t="str">
        <f>IFERROR(INDEX(MATRIZ_174!$C:$C,MATCH(A71,MATRIZ_174!$A:$A,0)),"")</f>
        <v>SAN MARTIN</v>
      </c>
    </row>
    <row r="72" spans="1:16" ht="16.05" customHeight="1" x14ac:dyDescent="0.3">
      <c r="A72" t="s">
        <v>225</v>
      </c>
      <c r="B72" t="s">
        <v>226</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139</v>
      </c>
      <c r="P72" t="str">
        <f>IFERROR(INDEX(MATRIZ_174!$C:$C,MATCH(A72,MATRIZ_174!$A:$A,0)),"")</f>
        <v>SAN MARTIN</v>
      </c>
    </row>
    <row r="73" spans="1:16" ht="16.05" customHeight="1" x14ac:dyDescent="0.3">
      <c r="A73" t="s">
        <v>227</v>
      </c>
      <c r="B73" t="s">
        <v>228</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139</v>
      </c>
      <c r="P73" t="str">
        <f>IFERROR(INDEX(MATRIZ_174!$C:$C,MATCH(A73,MATRIZ_174!$A:$A,0)),"")</f>
        <v>SAN MARTIN</v>
      </c>
    </row>
    <row r="74" spans="1:16" ht="16.05" customHeight="1" x14ac:dyDescent="0.3">
      <c r="A74" t="s">
        <v>229</v>
      </c>
      <c r="B74" t="s">
        <v>230</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139</v>
      </c>
      <c r="P74" t="str">
        <f>IFERROR(INDEX(MATRIZ_174!$C:$C,MATCH(A74,MATRIZ_174!$A:$A,0)),"")</f>
        <v>SAN MARTIN</v>
      </c>
    </row>
    <row r="75" spans="1:16" ht="16.05" customHeight="1" x14ac:dyDescent="0.3">
      <c r="A75" t="s">
        <v>231</v>
      </c>
      <c r="B75" t="s">
        <v>232</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192</v>
      </c>
      <c r="P75" t="str">
        <f>IFERROR(INDEX(MATRIZ_174!$C:$C,MATCH(A75,MATRIZ_174!$A:$A,0)),"")</f>
        <v>LORETO</v>
      </c>
    </row>
    <row r="76" spans="1:16" ht="16.05" customHeight="1" x14ac:dyDescent="0.3">
      <c r="A76" t="s">
        <v>233</v>
      </c>
      <c r="B76" t="s">
        <v>234</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192</v>
      </c>
      <c r="P76" t="str">
        <f>IFERROR(INDEX(MATRIZ_174!$C:$C,MATCH(A76,MATRIZ_174!$A:$A,0)),"")</f>
        <v>LORETO</v>
      </c>
    </row>
    <row r="77" spans="1:16" ht="16.05" customHeight="1" x14ac:dyDescent="0.3">
      <c r="A77" t="s">
        <v>235</v>
      </c>
      <c r="B77" t="s">
        <v>236</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150</v>
      </c>
      <c r="P77" t="str">
        <f>IFERROR(INDEX(MATRIZ_174!$C:$C,MATCH(A77,MATRIZ_174!$A:$A,0)),"")</f>
        <v>CAJAMARCA</v>
      </c>
    </row>
    <row r="78" spans="1:16" ht="16.05" customHeight="1" x14ac:dyDescent="0.3">
      <c r="A78" t="s">
        <v>237</v>
      </c>
      <c r="B78" t="s">
        <v>238</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119</v>
      </c>
      <c r="P78" t="str">
        <f>IFERROR(INDEX(MATRIZ_174!$C:$C,MATCH(A78,MATRIZ_174!$A:$A,0)),"")</f>
        <v>HUANUCO</v>
      </c>
    </row>
    <row r="79" spans="1:16" ht="16.05" customHeight="1" x14ac:dyDescent="0.3">
      <c r="A79" t="s">
        <v>239</v>
      </c>
      <c r="B79" t="s">
        <v>240</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241</v>
      </c>
      <c r="P79" t="str">
        <f>IFERROR(INDEX(MATRIZ_174!$C:$C,MATCH(A79,MATRIZ_174!$A:$A,0)),"")</f>
        <v>MADRE DE DIOS</v>
      </c>
    </row>
    <row r="80" spans="1:16" ht="16.05" customHeight="1" x14ac:dyDescent="0.3">
      <c r="A80" t="s">
        <v>242</v>
      </c>
      <c r="B80" t="s">
        <v>243</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112</v>
      </c>
      <c r="P80" t="str">
        <f>IFERROR(INDEX(MATRIZ_174!$C:$C,MATCH(A80,MATRIZ_174!$A:$A,0)),"")</f>
        <v>AMAZONAS</v>
      </c>
    </row>
    <row r="81" spans="1:16" ht="16.05" customHeight="1" x14ac:dyDescent="0.3">
      <c r="A81" t="s">
        <v>245</v>
      </c>
      <c r="B81" t="s">
        <v>246</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80</v>
      </c>
      <c r="P81" t="str">
        <f>IFERROR(INDEX(MATRIZ_174!$C:$C,MATCH(A81,MATRIZ_174!$A:$A,0)),"")</f>
        <v>CUSCO</v>
      </c>
    </row>
    <row r="82" spans="1:16" ht="16.05" customHeight="1" x14ac:dyDescent="0.3">
      <c r="A82" t="s">
        <v>247</v>
      </c>
      <c r="B82" t="s">
        <v>248</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249</v>
      </c>
      <c r="P82" t="str">
        <f>IFERROR(INDEX(MATRIZ_174!$C:$C,MATCH(A82,MATRIZ_174!$A:$A,0)),"")</f>
        <v>PASCO</v>
      </c>
    </row>
    <row r="83" spans="1:16" ht="16.05" customHeight="1" x14ac:dyDescent="0.3">
      <c r="A83" t="s">
        <v>250</v>
      </c>
      <c r="B83" t="s">
        <v>251</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249</v>
      </c>
      <c r="P83" t="str">
        <f>IFERROR(INDEX(MATRIZ_174!$C:$C,MATCH(A83,MATRIZ_174!$A:$A,0)),"")</f>
        <v>PASCO</v>
      </c>
    </row>
    <row r="84" spans="1:16" ht="16.05" customHeight="1" x14ac:dyDescent="0.3">
      <c r="A84" t="s">
        <v>252</v>
      </c>
      <c r="B84" t="s">
        <v>253</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77</v>
      </c>
      <c r="P84" t="str">
        <f>IFERROR(INDEX(MATRIZ_174!$C:$C,MATCH(A84,MATRIZ_174!$A:$A,0)),"")</f>
        <v>JUNIN</v>
      </c>
    </row>
    <row r="85" spans="1:16" ht="16.05" customHeight="1" x14ac:dyDescent="0.3">
      <c r="A85" t="s">
        <v>254</v>
      </c>
      <c r="B85" t="s">
        <v>255</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77</v>
      </c>
      <c r="P85" t="str">
        <f>IFERROR(INDEX(MATRIZ_174!$C:$C,MATCH(A85,MATRIZ_174!$A:$A,0)),"")</f>
        <v>JUNIN</v>
      </c>
    </row>
    <row r="86" spans="1:16" ht="16.05" customHeight="1" x14ac:dyDescent="0.3">
      <c r="A86" t="s">
        <v>256</v>
      </c>
      <c r="B86" t="s">
        <v>257</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249</v>
      </c>
      <c r="P86" t="str">
        <f>IFERROR(INDEX(MATRIZ_174!$C:$C,MATCH(A86,MATRIZ_174!$A:$A,0)),"")</f>
        <v>PASCO</v>
      </c>
    </row>
    <row r="87" spans="1:16" ht="16.05" customHeight="1" x14ac:dyDescent="0.3">
      <c r="A87" t="s">
        <v>258</v>
      </c>
      <c r="B87" t="s">
        <v>259</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249</v>
      </c>
      <c r="P87" t="str">
        <f>IFERROR(INDEX(MATRIZ_174!$C:$C,MATCH(A87,MATRIZ_174!$A:$A,0)),"")</f>
        <v>PASCO</v>
      </c>
    </row>
    <row r="88" spans="1:16" ht="16.05" customHeight="1" x14ac:dyDescent="0.3">
      <c r="A88" t="s">
        <v>260</v>
      </c>
      <c r="B88" t="s">
        <v>261</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249</v>
      </c>
      <c r="P88" t="str">
        <f>IFERROR(INDEX(MATRIZ_174!$C:$C,MATCH(A88,MATRIZ_174!$A:$A,0)),"")</f>
        <v>PASCO</v>
      </c>
    </row>
    <row r="89" spans="1:16" ht="16.05" customHeight="1" x14ac:dyDescent="0.3">
      <c r="A89" t="s">
        <v>262</v>
      </c>
      <c r="B89" t="s">
        <v>263</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249</v>
      </c>
      <c r="P89" t="str">
        <f>IFERROR(INDEX(MATRIZ_174!$C:$C,MATCH(A89,MATRIZ_174!$A:$A,0)),"")</f>
        <v>PASCO</v>
      </c>
    </row>
    <row r="90" spans="1:16" ht="16.05" customHeight="1" x14ac:dyDescent="0.3">
      <c r="A90" t="s">
        <v>264</v>
      </c>
      <c r="B90" t="s">
        <v>265</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77</v>
      </c>
      <c r="P90" t="str">
        <f>IFERROR(INDEX(MATRIZ_174!$C:$C,MATCH(A90,MATRIZ_174!$A:$A,0)),"")</f>
        <v>JUNIN</v>
      </c>
    </row>
    <row r="91" spans="1:16" ht="16.05" customHeight="1" x14ac:dyDescent="0.3">
      <c r="A91" t="s">
        <v>266</v>
      </c>
      <c r="B91" t="s">
        <v>267</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77</v>
      </c>
      <c r="P91" t="str">
        <f>IFERROR(INDEX(MATRIZ_174!$C:$C,MATCH(A91,MATRIZ_174!$A:$A,0)),"")</f>
        <v>JUNIN</v>
      </c>
    </row>
    <row r="92" spans="1:16" ht="16.05" customHeight="1" x14ac:dyDescent="0.3">
      <c r="A92" t="s">
        <v>268</v>
      </c>
      <c r="B92" t="s">
        <v>269</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150</v>
      </c>
      <c r="P92" t="str">
        <f>IFERROR(INDEX(MATRIZ_174!$C:$C,MATCH(A92,MATRIZ_174!$A:$A,0)),"")</f>
        <v>CAJAMARCA</v>
      </c>
    </row>
    <row r="93" spans="1:16" ht="16.05" customHeight="1" x14ac:dyDescent="0.3">
      <c r="A93" t="s">
        <v>270</v>
      </c>
      <c r="B93" t="s">
        <v>271</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139</v>
      </c>
      <c r="P93" t="str">
        <f>IFERROR(INDEX(MATRIZ_174!$C:$C,MATCH(A93,MATRIZ_174!$A:$A,0)),"")</f>
        <v>SAN MARTIN</v>
      </c>
    </row>
    <row r="94" spans="1:16" ht="16.05" customHeight="1" x14ac:dyDescent="0.3">
      <c r="A94" t="s">
        <v>272</v>
      </c>
      <c r="B94" t="s">
        <v>273</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139</v>
      </c>
      <c r="P94" t="str">
        <f>IFERROR(INDEX(MATRIZ_174!$C:$C,MATCH(A94,MATRIZ_174!$A:$A,0)),"")</f>
        <v>SAN MARTIN</v>
      </c>
    </row>
    <row r="95" spans="1:16" ht="16.05" customHeight="1" x14ac:dyDescent="0.3">
      <c r="A95" t="s">
        <v>274</v>
      </c>
      <c r="B95" t="s">
        <v>275</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119</v>
      </c>
      <c r="P95" t="str">
        <f>IFERROR(INDEX(MATRIZ_174!$C:$C,MATCH(A95,MATRIZ_174!$A:$A,0)),"")</f>
        <v>HUANUCO</v>
      </c>
    </row>
    <row r="96" spans="1:16" ht="16.05" customHeight="1" x14ac:dyDescent="0.3">
      <c r="A96" t="s">
        <v>276</v>
      </c>
      <c r="B96" t="s">
        <v>277</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119</v>
      </c>
      <c r="P96" t="str">
        <f>IFERROR(INDEX(MATRIZ_174!$C:$C,MATCH(A96,MATRIZ_174!$A:$A,0)),"")</f>
        <v>HUANUCO</v>
      </c>
    </row>
    <row r="97" spans="1:16" ht="16.05" customHeight="1" x14ac:dyDescent="0.3">
      <c r="A97" t="s">
        <v>278</v>
      </c>
      <c r="B97" t="s">
        <v>279</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119</v>
      </c>
      <c r="P97" t="str">
        <f>IFERROR(INDEX(MATRIZ_174!$C:$C,MATCH(A97,MATRIZ_174!$A:$A,0)),"")</f>
        <v>HUANUCO</v>
      </c>
    </row>
    <row r="98" spans="1:16" ht="16.05" customHeight="1" x14ac:dyDescent="0.3">
      <c r="A98" t="s">
        <v>280</v>
      </c>
      <c r="B98" t="s">
        <v>281</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119</v>
      </c>
      <c r="P98" t="str">
        <f>IFERROR(INDEX(MATRIZ_174!$C:$C,MATCH(A98,MATRIZ_174!$A:$A,0)),"")</f>
        <v>HUANUCO</v>
      </c>
    </row>
    <row r="99" spans="1:16" ht="16.05" customHeight="1" x14ac:dyDescent="0.3">
      <c r="A99" t="s">
        <v>282</v>
      </c>
      <c r="B99" t="s">
        <v>283</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119</v>
      </c>
      <c r="P99" t="str">
        <f>IFERROR(INDEX(MATRIZ_174!$C:$C,MATCH(A99,MATRIZ_174!$A:$A,0)),"")</f>
        <v>HUANUCO</v>
      </c>
    </row>
    <row r="100" spans="1:16" ht="16.05" customHeight="1" x14ac:dyDescent="0.3">
      <c r="A100" t="s">
        <v>285</v>
      </c>
      <c r="B100" t="s">
        <v>286</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80</v>
      </c>
      <c r="P100" t="str">
        <f>IFERROR(INDEX(MATRIZ_174!$C:$C,MATCH(A100,MATRIZ_174!$A:$A,0)),"")</f>
        <v>CUSCO</v>
      </c>
    </row>
    <row r="101" spans="1:16" ht="16.05" customHeight="1" x14ac:dyDescent="0.3">
      <c r="A101" t="s">
        <v>287</v>
      </c>
      <c r="B101" t="s">
        <v>288</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112</v>
      </c>
      <c r="P101" t="str">
        <f>IFERROR(INDEX(MATRIZ_174!$C:$C,MATCH(A101,MATRIZ_174!$A:$A,0)),"")</f>
        <v>AMAZONAS</v>
      </c>
    </row>
    <row r="102" spans="1:16" ht="16.05" customHeight="1" x14ac:dyDescent="0.3">
      <c r="A102" t="s">
        <v>289</v>
      </c>
      <c r="B102" t="s">
        <v>290</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119</v>
      </c>
      <c r="P102" t="str">
        <f>IFERROR(INDEX(MATRIZ_174!$C:$C,MATCH(A102,MATRIZ_174!$A:$A,0)),"")</f>
        <v>HUANUCO</v>
      </c>
    </row>
    <row r="103" spans="1:16" ht="16.05" customHeight="1" x14ac:dyDescent="0.3">
      <c r="A103" t="s">
        <v>291</v>
      </c>
      <c r="B103" t="s">
        <v>292</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192</v>
      </c>
      <c r="P103" t="str">
        <f>IFERROR(INDEX(MATRIZ_174!$C:$C,MATCH(A103,MATRIZ_174!$A:$A,0)),"")</f>
        <v>LORETO</v>
      </c>
    </row>
    <row r="104" spans="1:16" ht="16.05" customHeight="1" x14ac:dyDescent="0.3">
      <c r="A104" t="s">
        <v>293</v>
      </c>
      <c r="B104" t="s">
        <v>294</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241</v>
      </c>
      <c r="P104" t="str">
        <f>IFERROR(INDEX(MATRIZ_174!$C:$C,MATCH(A104,MATRIZ_174!$A:$A,0)),"")</f>
        <v>MADRE DE DIOS</v>
      </c>
    </row>
    <row r="105" spans="1:16" ht="16.05" customHeight="1" x14ac:dyDescent="0.3">
      <c r="A105" t="s">
        <v>295</v>
      </c>
      <c r="B105" t="s">
        <v>296</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112</v>
      </c>
      <c r="P105" t="str">
        <f>IFERROR(INDEX(MATRIZ_174!$C:$C,MATCH(A105,MATRIZ_174!$A:$A,0)),"")</f>
        <v>AMAZONAS</v>
      </c>
    </row>
    <row r="106" spans="1:16" ht="16.05" customHeight="1" x14ac:dyDescent="0.3">
      <c r="A106" t="s">
        <v>297</v>
      </c>
      <c r="B106" t="s">
        <v>298</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139</v>
      </c>
      <c r="P106" t="str">
        <f>IFERROR(INDEX(MATRIZ_174!$C:$C,MATCH(A106,MATRIZ_174!$A:$A,0)),"")</f>
        <v>SAN MARTIN</v>
      </c>
    </row>
    <row r="107" spans="1:16" ht="16.05" customHeight="1" x14ac:dyDescent="0.3">
      <c r="A107" t="s">
        <v>299</v>
      </c>
      <c r="B107" t="s">
        <v>300</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109</v>
      </c>
      <c r="P107" t="str">
        <f>IFERROR(INDEX(MATRIZ_174!$C:$C,MATCH(A107,MATRIZ_174!$A:$A,0)),"")</f>
        <v>UCAYALI</v>
      </c>
    </row>
    <row r="108" spans="1:16" ht="16.05" customHeight="1" x14ac:dyDescent="0.3">
      <c r="A108" t="s">
        <v>301</v>
      </c>
      <c r="B108" t="s">
        <v>302</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109</v>
      </c>
      <c r="P108" t="str">
        <f>IFERROR(INDEX(MATRIZ_174!$C:$C,MATCH(A108,MATRIZ_174!$A:$A,0)),"")</f>
        <v>UCAYALI</v>
      </c>
    </row>
    <row r="109" spans="1:16" ht="16.05" customHeight="1" x14ac:dyDescent="0.3">
      <c r="A109" t="s">
        <v>303</v>
      </c>
      <c r="B109" t="s">
        <v>304</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72</v>
      </c>
      <c r="P109" t="str">
        <f>IFERROR(INDEX(MATRIZ_174!$C:$C,MATCH(A109,MATRIZ_174!$A:$A,0)),"")</f>
        <v>AYACUCHO</v>
      </c>
    </row>
    <row r="110" spans="1:16" ht="16.05" customHeight="1" x14ac:dyDescent="0.3">
      <c r="A110" t="s">
        <v>305</v>
      </c>
      <c r="B110" t="s">
        <v>306</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119</v>
      </c>
      <c r="P110" t="str">
        <f>IFERROR(INDEX(MATRIZ_174!$C:$C,MATCH(A110,MATRIZ_174!$A:$A,0)),"")</f>
        <v>HUANUCO</v>
      </c>
    </row>
    <row r="111" spans="1:16" ht="16.05" customHeight="1" x14ac:dyDescent="0.3">
      <c r="A111" t="s">
        <v>307</v>
      </c>
      <c r="B111" t="s">
        <v>308</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112</v>
      </c>
      <c r="P111" t="str">
        <f>IFERROR(INDEX(MATRIZ_174!$C:$C,MATCH(A111,MATRIZ_174!$A:$A,0)),"")</f>
        <v>AMAZONAS</v>
      </c>
    </row>
    <row r="112" spans="1:16" ht="16.05" customHeight="1" x14ac:dyDescent="0.3">
      <c r="A112" t="s">
        <v>309</v>
      </c>
      <c r="B112" t="s">
        <v>310</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119</v>
      </c>
      <c r="P112" t="str">
        <f>IFERROR(INDEX(MATRIZ_174!$C:$C,MATCH(A112,MATRIZ_174!$A:$A,0)),"")</f>
        <v>HUANUCO</v>
      </c>
    </row>
    <row r="113" spans="1:16" ht="16.05" customHeight="1" x14ac:dyDescent="0.3">
      <c r="A113" t="s">
        <v>311</v>
      </c>
      <c r="B113" t="s">
        <v>312</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150</v>
      </c>
      <c r="P113" t="str">
        <f>IFERROR(INDEX(MATRIZ_174!$C:$C,MATCH(A113,MATRIZ_174!$A:$A,0)),"")</f>
        <v>CAJAMARCA</v>
      </c>
    </row>
    <row r="114" spans="1:16" ht="16.05" customHeight="1" x14ac:dyDescent="0.3">
      <c r="A114" t="s">
        <v>313</v>
      </c>
      <c r="B114" t="s">
        <v>314</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241</v>
      </c>
      <c r="P114" t="str">
        <f>IFERROR(INDEX(MATRIZ_174!$C:$C,MATCH(A114,MATRIZ_174!$A:$A,0)),"")</f>
        <v>MADRE DE DIOS</v>
      </c>
    </row>
    <row r="115" spans="1:16" ht="16.05" customHeight="1" x14ac:dyDescent="0.3">
      <c r="A115" t="s">
        <v>315</v>
      </c>
      <c r="B115" t="s">
        <v>316</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139</v>
      </c>
      <c r="P115" t="str">
        <f>IFERROR(INDEX(MATRIZ_174!$C:$C,MATCH(A115,MATRIZ_174!$A:$A,0)),"")</f>
        <v>SAN MARTIN</v>
      </c>
    </row>
    <row r="116" spans="1:16" ht="16.05" customHeight="1" x14ac:dyDescent="0.3">
      <c r="A116" t="s">
        <v>317</v>
      </c>
      <c r="B116" t="s">
        <v>318</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241</v>
      </c>
      <c r="P116" t="str">
        <f>IFERROR(INDEX(MATRIZ_174!$C:$C,MATCH(A116,MATRIZ_174!$A:$A,0)),"")</f>
        <v>MADRE DE DIOS</v>
      </c>
    </row>
    <row r="117" spans="1:16" ht="16.05" customHeight="1" x14ac:dyDescent="0.3">
      <c r="A117" t="s">
        <v>319</v>
      </c>
      <c r="B117" t="s">
        <v>320</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179</v>
      </c>
      <c r="P117" t="str">
        <f>IFERROR(INDEX(MATRIZ_174!$C:$C,MATCH(A117,MATRIZ_174!$A:$A,0)),"")</f>
        <v>LAMBAYEQUE</v>
      </c>
    </row>
    <row r="118" spans="1:16" ht="16.05" customHeight="1" x14ac:dyDescent="0.3">
      <c r="A118" t="s">
        <v>321</v>
      </c>
      <c r="B118" t="s">
        <v>322</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109</v>
      </c>
      <c r="P118" t="str">
        <f>IFERROR(INDEX(MATRIZ_174!$C:$C,MATCH(A118,MATRIZ_174!$A:$A,0)),"")</f>
        <v>UCAYALI</v>
      </c>
    </row>
    <row r="119" spans="1:16" ht="16.05" customHeight="1" x14ac:dyDescent="0.3">
      <c r="A119" t="s">
        <v>323</v>
      </c>
      <c r="B119" t="s">
        <v>324</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109</v>
      </c>
      <c r="P119" t="str">
        <f>IFERROR(INDEX(MATRIZ_174!$C:$C,MATCH(A119,MATRIZ_174!$A:$A,0)),"")</f>
        <v>UCAYALI</v>
      </c>
    </row>
    <row r="120" spans="1:16" ht="16.05" customHeight="1" x14ac:dyDescent="0.3">
      <c r="A120" t="s">
        <v>325</v>
      </c>
      <c r="B120" t="s">
        <v>326</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150</v>
      </c>
      <c r="P120" t="str">
        <f>IFERROR(INDEX(MATRIZ_174!$C:$C,MATCH(A120,MATRIZ_174!$A:$A,0)),"")</f>
        <v>CAJAMARCA</v>
      </c>
    </row>
    <row r="121" spans="1:16" ht="16.05" customHeight="1" x14ac:dyDescent="0.3">
      <c r="A121" t="s">
        <v>327</v>
      </c>
      <c r="B121" t="s">
        <v>328</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249</v>
      </c>
      <c r="P121" t="str">
        <f>IFERROR(INDEX(MATRIZ_174!$C:$C,MATCH(A121,MATRIZ_174!$A:$A,0)),"")</f>
        <v>PASCO</v>
      </c>
    </row>
    <row r="122" spans="1:16" ht="16.05" customHeight="1" x14ac:dyDescent="0.3">
      <c r="A122" t="s">
        <v>329</v>
      </c>
      <c r="B122" t="s">
        <v>330</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119</v>
      </c>
      <c r="P122" t="str">
        <f>IFERROR(INDEX(MATRIZ_174!$C:$C,MATCH(A122,MATRIZ_174!$A:$A,0)),"")</f>
        <v>HUANUCO</v>
      </c>
    </row>
    <row r="123" spans="1:16" ht="16.05" customHeight="1" x14ac:dyDescent="0.3">
      <c r="A123" t="s">
        <v>331</v>
      </c>
      <c r="B123" t="s">
        <v>332</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77</v>
      </c>
      <c r="P123" t="str">
        <f>IFERROR(INDEX(MATRIZ_174!$C:$C,MATCH(A123,MATRIZ_174!$A:$A,0)),"")</f>
        <v>JUNIN</v>
      </c>
    </row>
    <row r="124" spans="1:16" ht="16.05" customHeight="1" x14ac:dyDescent="0.3">
      <c r="A124" t="s">
        <v>333</v>
      </c>
      <c r="B124" t="s">
        <v>334</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112</v>
      </c>
      <c r="P124" t="str">
        <f>IFERROR(INDEX(MATRIZ_174!$C:$C,MATCH(A124,MATRIZ_174!$A:$A,0)),"")</f>
        <v>AMAZONAS</v>
      </c>
    </row>
    <row r="125" spans="1:16" ht="16.05" customHeight="1" x14ac:dyDescent="0.3">
      <c r="A125" t="s">
        <v>336</v>
      </c>
      <c r="B125" t="s">
        <v>337</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77</v>
      </c>
      <c r="P125" t="str">
        <f>IFERROR(INDEX(MATRIZ_174!$C:$C,MATCH(A125,MATRIZ_174!$A:$A,0)),"")</f>
        <v>JUNIN</v>
      </c>
    </row>
    <row r="126" spans="1:16" ht="16.05" customHeight="1" x14ac:dyDescent="0.3">
      <c r="A126" t="s">
        <v>338</v>
      </c>
      <c r="B126" t="s">
        <v>339</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77</v>
      </c>
      <c r="P126" t="str">
        <f>IFERROR(INDEX(MATRIZ_174!$C:$C,MATCH(A126,MATRIZ_174!$A:$A,0)),"")</f>
        <v>JUNIN</v>
      </c>
    </row>
    <row r="127" spans="1:16" ht="16.05" customHeight="1" x14ac:dyDescent="0.3">
      <c r="A127" t="s">
        <v>340</v>
      </c>
      <c r="B127" t="s">
        <v>341</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77</v>
      </c>
      <c r="P127" t="str">
        <f>IFERROR(INDEX(MATRIZ_174!$C:$C,MATCH(A127,MATRIZ_174!$A:$A,0)),"")</f>
        <v>JUNIN</v>
      </c>
    </row>
    <row r="128" spans="1:16" ht="16.05" customHeight="1" x14ac:dyDescent="0.3">
      <c r="A128" t="s">
        <v>342</v>
      </c>
      <c r="B128" t="s">
        <v>343</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112</v>
      </c>
      <c r="P128" t="str">
        <f>IFERROR(INDEX(MATRIZ_174!$C:$C,MATCH(A128,MATRIZ_174!$A:$A,0)),"")</f>
        <v>AMAZONAS</v>
      </c>
    </row>
    <row r="129" spans="1:16" ht="16.05" customHeight="1" x14ac:dyDescent="0.3">
      <c r="A129" t="s">
        <v>344</v>
      </c>
      <c r="B129" t="s">
        <v>345</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109</v>
      </c>
      <c r="P129" t="str">
        <f>IFERROR(INDEX(MATRIZ_174!$C:$C,MATCH(A129,MATRIZ_174!$A:$A,0)),"")</f>
        <v>UCAYALI</v>
      </c>
    </row>
    <row r="130" spans="1:16" ht="16.05" customHeight="1" x14ac:dyDescent="0.3">
      <c r="A130" t="s">
        <v>346</v>
      </c>
      <c r="B130" t="s">
        <v>347</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249</v>
      </c>
      <c r="P130" t="str">
        <f>IFERROR(INDEX(MATRIZ_174!$C:$C,MATCH(A130,MATRIZ_174!$A:$A,0)),"")</f>
        <v>PASCO</v>
      </c>
    </row>
    <row r="131" spans="1:16" ht="16.05" customHeight="1" x14ac:dyDescent="0.3">
      <c r="A131" t="s">
        <v>349</v>
      </c>
      <c r="B131" t="s">
        <v>350</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77</v>
      </c>
      <c r="P131" t="str">
        <f>IFERROR(INDEX(MATRIZ_174!$C:$C,MATCH(A131,MATRIZ_174!$A:$A,0)),"")</f>
        <v>JUNIN</v>
      </c>
    </row>
    <row r="132" spans="1:16" ht="16.05" customHeight="1" x14ac:dyDescent="0.3">
      <c r="A132" t="s">
        <v>351</v>
      </c>
      <c r="B132" t="s">
        <v>352</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109</v>
      </c>
      <c r="P132" t="str">
        <f>IFERROR(INDEX(MATRIZ_174!$C:$C,MATCH(A132,MATRIZ_174!$A:$A,0)),"")</f>
        <v>UCAYALI</v>
      </c>
    </row>
    <row r="133" spans="1:16" ht="16.05" customHeight="1" x14ac:dyDescent="0.3">
      <c r="A133" t="s">
        <v>353</v>
      </c>
      <c r="B133" t="s">
        <v>354</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103</v>
      </c>
      <c r="P133" t="str">
        <f>IFERROR(INDEX(MATRIZ_174!$C:$C,MATCH(A133,MATRIZ_174!$A:$A,0)),"")</f>
        <v>PIURA</v>
      </c>
    </row>
    <row r="134" spans="1:16" ht="16.05" customHeight="1" x14ac:dyDescent="0.3">
      <c r="A134" t="s">
        <v>355</v>
      </c>
      <c r="B134" t="s">
        <v>356</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77</v>
      </c>
      <c r="P134" t="str">
        <f>IFERROR(INDEX(MATRIZ_174!$C:$C,MATCH(A134,MATRIZ_174!$A:$A,0)),"")</f>
        <v>JUNIN</v>
      </c>
    </row>
    <row r="135" spans="1:16" ht="16.05" customHeight="1" x14ac:dyDescent="0.3">
      <c r="A135" t="s">
        <v>358</v>
      </c>
      <c r="B135" t="s">
        <v>359</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139</v>
      </c>
      <c r="P135" t="str">
        <f>IFERROR(INDEX(MATRIZ_174!$C:$C,MATCH(A135,MATRIZ_174!$A:$A,0)),"")</f>
        <v>SAN MARTIN</v>
      </c>
    </row>
    <row r="136" spans="1:16" ht="16.05" customHeight="1" x14ac:dyDescent="0.3">
      <c r="A136" t="s">
        <v>361</v>
      </c>
      <c r="B136" t="s">
        <v>362</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77</v>
      </c>
      <c r="P136" t="str">
        <f>IFERROR(INDEX(MATRIZ_174!$C:$C,MATCH(A136,MATRIZ_174!$A:$A,0)),"")</f>
        <v>JUNIN</v>
      </c>
    </row>
    <row r="137" spans="1:16" ht="16.05" customHeight="1" x14ac:dyDescent="0.3">
      <c r="A137" t="s">
        <v>363</v>
      </c>
      <c r="B137" t="s">
        <v>364</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80</v>
      </c>
      <c r="P137" t="str">
        <f>IFERROR(INDEX(MATRIZ_174!$C:$C,MATCH(A137,MATRIZ_174!$A:$A,0)),"")</f>
        <v>CUSCO</v>
      </c>
    </row>
    <row r="138" spans="1:16" ht="16.05" customHeight="1" x14ac:dyDescent="0.3">
      <c r="A138" t="s">
        <v>365</v>
      </c>
      <c r="B138" t="s">
        <v>366</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112</v>
      </c>
      <c r="P138" t="str">
        <f>IFERROR(INDEX(MATRIZ_174!$C:$C,MATCH(A138,MATRIZ_174!$A:$A,0)),"")</f>
        <v>AMAZONAS</v>
      </c>
    </row>
    <row r="139" spans="1:16" ht="16.05" customHeight="1" x14ac:dyDescent="0.3">
      <c r="A139" t="s">
        <v>367</v>
      </c>
      <c r="B139" t="s">
        <v>368</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192</v>
      </c>
      <c r="P139" t="str">
        <f>IFERROR(INDEX(MATRIZ_174!$C:$C,MATCH(A139,MATRIZ_174!$A:$A,0)),"")</f>
        <v>LORETO</v>
      </c>
    </row>
    <row r="140" spans="1:16" ht="16.05" customHeight="1" x14ac:dyDescent="0.3">
      <c r="A140" t="s">
        <v>369</v>
      </c>
      <c r="B140" t="s">
        <v>370</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77</v>
      </c>
      <c r="P140" t="str">
        <f>IFERROR(INDEX(MATRIZ_174!$C:$C,MATCH(A140,MATRIZ_174!$A:$A,0)),"")</f>
        <v>JUNIN</v>
      </c>
    </row>
    <row r="141" spans="1:16" ht="16.05" customHeight="1" x14ac:dyDescent="0.3">
      <c r="A141" t="s">
        <v>371</v>
      </c>
      <c r="B141" t="s">
        <v>372</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80</v>
      </c>
      <c r="P141" t="str">
        <f>IFERROR(INDEX(MATRIZ_174!$C:$C,MATCH(A141,MATRIZ_174!$A:$A,0)),"")</f>
        <v>CUSCO</v>
      </c>
    </row>
    <row r="142" spans="1:16" ht="16.05" customHeight="1" x14ac:dyDescent="0.3">
      <c r="A142" t="s">
        <v>373</v>
      </c>
      <c r="B142" t="s">
        <v>374</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80</v>
      </c>
      <c r="P142" t="str">
        <f>IFERROR(INDEX(MATRIZ_174!$C:$C,MATCH(A142,MATRIZ_174!$A:$A,0)),"")</f>
        <v>CUSCO</v>
      </c>
    </row>
    <row r="143" spans="1:16" ht="16.05" customHeight="1" x14ac:dyDescent="0.3">
      <c r="A143" t="s">
        <v>375</v>
      </c>
      <c r="B143" t="s">
        <v>376</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139</v>
      </c>
      <c r="P143" t="str">
        <f>IFERROR(INDEX(MATRIZ_174!$C:$C,MATCH(A143,MATRIZ_174!$A:$A,0)),"")</f>
        <v>SAN MARTIN</v>
      </c>
    </row>
    <row r="144" spans="1:16" ht="16.05" customHeight="1" x14ac:dyDescent="0.3">
      <c r="A144" t="s">
        <v>377</v>
      </c>
      <c r="B144" t="s">
        <v>378</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80</v>
      </c>
      <c r="P144" t="str">
        <f>IFERROR(INDEX(MATRIZ_174!$C:$C,MATCH(A144,MATRIZ_174!$A:$A,0)),"")</f>
        <v>CUSCO</v>
      </c>
    </row>
    <row r="145" spans="1:16" ht="16.05" customHeight="1" x14ac:dyDescent="0.3">
      <c r="A145" t="s">
        <v>379</v>
      </c>
      <c r="B145" t="s">
        <v>380</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80</v>
      </c>
      <c r="P145" t="str">
        <f>IFERROR(INDEX(MATRIZ_174!$C:$C,MATCH(A145,MATRIZ_174!$A:$A,0)),"")</f>
        <v>CUSCO</v>
      </c>
    </row>
    <row r="146" spans="1:16" ht="16.05" customHeight="1" x14ac:dyDescent="0.3">
      <c r="A146" t="s">
        <v>381</v>
      </c>
      <c r="B146" t="s">
        <v>382</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77</v>
      </c>
      <c r="P146" t="str">
        <f>IFERROR(INDEX(MATRIZ_174!$C:$C,MATCH(A146,MATRIZ_174!$A:$A,0)),"")</f>
        <v>JUNIN</v>
      </c>
    </row>
    <row r="147" spans="1:16" ht="16.05" customHeight="1" x14ac:dyDescent="0.3">
      <c r="A147" t="s">
        <v>383</v>
      </c>
      <c r="B147" t="s">
        <v>384</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241</v>
      </c>
      <c r="P147" t="str">
        <f>IFERROR(INDEX(MATRIZ_174!$C:$C,MATCH(A147,MATRIZ_174!$A:$A,0)),"")</f>
        <v>MADRE DE DIOS</v>
      </c>
    </row>
    <row r="148" spans="1:16" ht="16.05" customHeight="1" x14ac:dyDescent="0.3">
      <c r="A148" t="s">
        <v>385</v>
      </c>
      <c r="B148" t="s">
        <v>386</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80</v>
      </c>
      <c r="P148" t="str">
        <f>IFERROR(INDEX(MATRIZ_174!$C:$C,MATCH(A148,MATRIZ_174!$A:$A,0)),"")</f>
        <v>CUSCO</v>
      </c>
    </row>
    <row r="149" spans="1:16" ht="16.05" customHeight="1" x14ac:dyDescent="0.3">
      <c r="A149" t="s">
        <v>387</v>
      </c>
      <c r="B149" t="s">
        <v>388</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150</v>
      </c>
      <c r="P149" t="str">
        <f>IFERROR(INDEX(MATRIZ_174!$C:$C,MATCH(A149,MATRIZ_174!$A:$A,0)),"")</f>
        <v>CAJAMARCA</v>
      </c>
    </row>
    <row r="150" spans="1:16" ht="16.05" customHeight="1" x14ac:dyDescent="0.3">
      <c r="A150" t="s">
        <v>389</v>
      </c>
      <c r="B150" t="s">
        <v>390</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103</v>
      </c>
      <c r="P150" t="str">
        <f>IFERROR(INDEX(MATRIZ_174!$C:$C,MATCH(A150,MATRIZ_174!$A:$A,0)),"")</f>
        <v>PIURA</v>
      </c>
    </row>
    <row r="151" spans="1:16" ht="16.05" customHeight="1" x14ac:dyDescent="0.3">
      <c r="A151" t="s">
        <v>391</v>
      </c>
      <c r="B151" t="s">
        <v>392</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179</v>
      </c>
      <c r="P151" t="str">
        <f>IFERROR(INDEX(MATRIZ_174!$C:$C,MATCH(A151,MATRIZ_174!$A:$A,0)),"")</f>
        <v>LAMBAYEQUE</v>
      </c>
    </row>
    <row r="152" spans="1:16" ht="16.05" customHeight="1" x14ac:dyDescent="0.3">
      <c r="A152" t="s">
        <v>393</v>
      </c>
      <c r="B152" t="s">
        <v>394</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80</v>
      </c>
      <c r="P152" t="str">
        <f>IFERROR(INDEX(MATRIZ_174!$C:$C,MATCH(A152,MATRIZ_174!$A:$A,0)),"")</f>
        <v>CUSCO</v>
      </c>
    </row>
    <row r="153" spans="1:16" ht="16.05" customHeight="1" x14ac:dyDescent="0.3">
      <c r="A153" t="s">
        <v>395</v>
      </c>
      <c r="B153" t="s">
        <v>396</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80</v>
      </c>
      <c r="P153" t="str">
        <f>IFERROR(INDEX(MATRIZ_174!$C:$C,MATCH(A153,MATRIZ_174!$A:$A,0)),"")</f>
        <v>CUSCO</v>
      </c>
    </row>
    <row r="154" spans="1:16" ht="16.05" customHeight="1" x14ac:dyDescent="0.3">
      <c r="A154" t="s">
        <v>397</v>
      </c>
      <c r="B154" t="s">
        <v>398</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77</v>
      </c>
      <c r="P154" t="str">
        <f>IFERROR(INDEX(MATRIZ_174!$C:$C,MATCH(A154,MATRIZ_174!$A:$A,0)),"")</f>
        <v>JUNIN</v>
      </c>
    </row>
    <row r="155" spans="1:16" ht="16.05" customHeight="1" x14ac:dyDescent="0.3">
      <c r="A155" t="s">
        <v>399</v>
      </c>
      <c r="B155" t="s">
        <v>400</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109</v>
      </c>
      <c r="P155" t="str">
        <f>IFERROR(INDEX(MATRIZ_174!$C:$C,MATCH(A155,MATRIZ_174!$A:$A,0)),"")</f>
        <v>UCAYALI</v>
      </c>
    </row>
    <row r="156" spans="1:16" ht="16.05" customHeight="1" x14ac:dyDescent="0.3">
      <c r="A156" t="s">
        <v>401</v>
      </c>
      <c r="B156" t="s">
        <v>402</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179</v>
      </c>
      <c r="P156" t="str">
        <f>IFERROR(INDEX(MATRIZ_174!$C:$C,MATCH(A156,MATRIZ_174!$A:$A,0)),"")</f>
        <v>LAMBAYEQUE</v>
      </c>
    </row>
    <row r="157" spans="1:16" ht="16.05" customHeight="1" x14ac:dyDescent="0.3">
      <c r="A157" t="s">
        <v>403</v>
      </c>
      <c r="B157" t="s">
        <v>404</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139</v>
      </c>
      <c r="P157" t="str">
        <f>IFERROR(INDEX(MATRIZ_174!$C:$C,MATCH(A157,MATRIZ_174!$A:$A,0)),"")</f>
        <v>SAN MARTIN</v>
      </c>
    </row>
    <row r="158" spans="1:16" ht="16.05" customHeight="1" x14ac:dyDescent="0.3">
      <c r="A158" t="s">
        <v>406</v>
      </c>
      <c r="B158" t="s">
        <v>407</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77</v>
      </c>
      <c r="P158" t="str">
        <f>IFERROR(INDEX(MATRIZ_174!$C:$C,MATCH(A158,MATRIZ_174!$A:$A,0)),"")</f>
        <v>JUNIN</v>
      </c>
    </row>
    <row r="159" spans="1:16" ht="16.05" customHeight="1" x14ac:dyDescent="0.3">
      <c r="A159" t="s">
        <v>408</v>
      </c>
      <c r="B159" t="s">
        <v>409</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139</v>
      </c>
      <c r="P159" t="str">
        <f>IFERROR(INDEX(MATRIZ_174!$C:$C,MATCH(A159,MATRIZ_174!$A:$A,0)),"")</f>
        <v>SAN MARTIN</v>
      </c>
    </row>
    <row r="160" spans="1:16" ht="16.05" customHeight="1" x14ac:dyDescent="0.3">
      <c r="A160" t="s">
        <v>410</v>
      </c>
      <c r="B160" t="s">
        <v>411</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103</v>
      </c>
      <c r="P160" t="str">
        <f>IFERROR(INDEX(MATRIZ_174!$C:$C,MATCH(A160,MATRIZ_174!$A:$A,0)),"")</f>
        <v>PIURA</v>
      </c>
    </row>
    <row r="161" spans="1:16" ht="16.05" customHeight="1" x14ac:dyDescent="0.3">
      <c r="A161" t="s">
        <v>413</v>
      </c>
      <c r="B161" t="s">
        <v>414</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179</v>
      </c>
      <c r="P161" t="str">
        <f>IFERROR(INDEX(MATRIZ_174!$C:$C,MATCH(A161,MATRIZ_174!$A:$A,0)),"")</f>
        <v>LAMBAYEQUE</v>
      </c>
    </row>
    <row r="162" spans="1:16" ht="16.05" customHeight="1" x14ac:dyDescent="0.3">
      <c r="A162" t="s">
        <v>415</v>
      </c>
      <c r="B162" t="s">
        <v>416</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103</v>
      </c>
      <c r="P162" t="str">
        <f>IFERROR(INDEX(MATRIZ_174!$C:$C,MATCH(A162,MATRIZ_174!$A:$A,0)),"")</f>
        <v>PIURA</v>
      </c>
    </row>
    <row r="163" spans="1:16" ht="16.05" customHeight="1" x14ac:dyDescent="0.3">
      <c r="A163" t="s">
        <v>417</v>
      </c>
      <c r="B163" t="s">
        <v>418</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150</v>
      </c>
      <c r="P163" t="str">
        <f>IFERROR(INDEX(MATRIZ_174!$C:$C,MATCH(A163,MATRIZ_174!$A:$A,0)),"")</f>
        <v>CAJAMARCA</v>
      </c>
    </row>
    <row r="164" spans="1:16" ht="16.05" customHeight="1" x14ac:dyDescent="0.3">
      <c r="A164" t="s">
        <v>419</v>
      </c>
      <c r="B164" t="s">
        <v>420</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112</v>
      </c>
      <c r="P164" t="str">
        <f>IFERROR(INDEX(MATRIZ_174!$C:$C,MATCH(A164,MATRIZ_174!$A:$A,0)),"")</f>
        <v>AMAZONAS</v>
      </c>
    </row>
    <row r="165" spans="1:16" ht="16.05" customHeight="1" x14ac:dyDescent="0.3">
      <c r="A165" t="s">
        <v>421</v>
      </c>
      <c r="B165" t="s">
        <v>422</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179</v>
      </c>
      <c r="P165" t="str">
        <f>IFERROR(INDEX(MATRIZ_174!$C:$C,MATCH(A165,MATRIZ_174!$A:$A,0)),"")</f>
        <v>LAMBAYEQUE</v>
      </c>
    </row>
    <row r="166" spans="1:16" ht="16.05" customHeight="1" x14ac:dyDescent="0.3">
      <c r="A166" t="s">
        <v>423</v>
      </c>
      <c r="B166" t="s">
        <v>424</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241</v>
      </c>
      <c r="P166" t="str">
        <f>IFERROR(INDEX(MATRIZ_174!$C:$C,MATCH(A166,MATRIZ_174!$A:$A,0)),"")</f>
        <v>MADRE DE DIOS</v>
      </c>
    </row>
    <row r="167" spans="1:16" ht="16.05" customHeight="1" x14ac:dyDescent="0.3">
      <c r="A167" t="s">
        <v>425</v>
      </c>
      <c r="B167" t="s">
        <v>426</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139</v>
      </c>
      <c r="P167" t="str">
        <f>IFERROR(INDEX(MATRIZ_174!$C:$C,MATCH(A167,MATRIZ_174!$A:$A,0)),"")</f>
        <v>SAN MARTIN</v>
      </c>
    </row>
    <row r="168" spans="1:16" ht="16.05" customHeight="1" x14ac:dyDescent="0.3">
      <c r="A168" t="s">
        <v>427</v>
      </c>
      <c r="B168" t="s">
        <v>428</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112</v>
      </c>
      <c r="P168" t="str">
        <f>IFERROR(INDEX(MATRIZ_174!$C:$C,MATCH(A168,MATRIZ_174!$A:$A,0)),"")</f>
        <v>AMAZONAS</v>
      </c>
    </row>
    <row r="169" spans="1:16" ht="16.05" customHeight="1" x14ac:dyDescent="0.3">
      <c r="A169" t="s">
        <v>429</v>
      </c>
      <c r="B169" t="s">
        <v>430</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150</v>
      </c>
      <c r="P169" t="str">
        <f>IFERROR(INDEX(MATRIZ_174!$C:$C,MATCH(A169,MATRIZ_174!$A:$A,0)),"")</f>
        <v>CAJAMARCA</v>
      </c>
    </row>
    <row r="170" spans="1:16" ht="16.05" customHeight="1" x14ac:dyDescent="0.3">
      <c r="A170" t="s">
        <v>431</v>
      </c>
      <c r="B170" t="s">
        <v>432</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109</v>
      </c>
      <c r="P170" t="str">
        <f>IFERROR(INDEX(MATRIZ_174!$C:$C,MATCH(A170,MATRIZ_174!$A:$A,0)),"")</f>
        <v>UCAYALI</v>
      </c>
    </row>
    <row r="171" spans="1:16" ht="16.05" customHeight="1" x14ac:dyDescent="0.3">
      <c r="A171" t="s">
        <v>433</v>
      </c>
      <c r="B171" t="s">
        <v>434</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139</v>
      </c>
      <c r="P171" t="str">
        <f>IFERROR(INDEX(MATRIZ_174!$C:$C,MATCH(A171,MATRIZ_174!$A:$A,0)),"")</f>
        <v>SAN MARTIN</v>
      </c>
    </row>
    <row r="172" spans="1:16" ht="16.05" customHeight="1" x14ac:dyDescent="0.3">
      <c r="A172" t="s">
        <v>435</v>
      </c>
      <c r="B172" t="s">
        <v>436</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112</v>
      </c>
      <c r="P172" t="str">
        <f>IFERROR(INDEX(MATRIZ_174!$C:$C,MATCH(A172,MATRIZ_174!$A:$A,0)),"")</f>
        <v>AMAZONAS</v>
      </c>
    </row>
    <row r="173" spans="1:16" ht="16.05" customHeight="1" x14ac:dyDescent="0.3">
      <c r="A173" t="s">
        <v>437</v>
      </c>
      <c r="B173" t="s">
        <v>438</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179</v>
      </c>
      <c r="P173" t="str">
        <f>IFERROR(INDEX(MATRIZ_174!$C:$C,MATCH(A173,MATRIZ_174!$A:$A,0)),"")</f>
        <v>LAMBAYEQUE</v>
      </c>
    </row>
    <row r="174" spans="1:16" ht="16.05" customHeight="1" x14ac:dyDescent="0.3">
      <c r="A174" t="s">
        <v>439</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441</v>
      </c>
      <c r="B175" t="s">
        <v>442</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109</v>
      </c>
      <c r="P175" t="str">
        <f>IFERROR(INDEX(MATRIZ_174!$C:$C,MATCH(A175,MATRIZ_174!$A:$A,0)),"")</f>
        <v>UCAYALI</v>
      </c>
    </row>
    <row r="176" spans="1:16" ht="16.05" customHeight="1" x14ac:dyDescent="0.3">
      <c r="A176" t="s">
        <v>443</v>
      </c>
      <c r="B176" t="s">
        <v>444</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112</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1034</v>
      </c>
      <c r="B179" s="65"/>
      <c r="C179" s="65"/>
      <c r="D179" s="65"/>
      <c r="E179" s="65"/>
      <c r="F179" s="65"/>
      <c r="G179" s="65"/>
      <c r="K179" t="str">
        <f>IFERROR(INDEX(MATRIZ_174!$U:$U,MATCH(A179,MATRIZ_174!$A:$A,0)),"")</f>
        <v/>
      </c>
    </row>
    <row r="180" spans="1:11" ht="18" customHeight="1" x14ac:dyDescent="0.3">
      <c r="A180" t="s">
        <v>1035</v>
      </c>
      <c r="B180" s="65">
        <f>COUNTA(A3:A176)</f>
        <v>174</v>
      </c>
      <c r="C180" s="65"/>
      <c r="D180" s="65"/>
      <c r="K180" t="str">
        <f>IFERROR(INDEX(MATRIZ_174!$U:$U,MATCH(A180,MATRIZ_174!$A:$A,0)),"")</f>
        <v/>
      </c>
    </row>
    <row r="181" spans="1:11" ht="18" customHeight="1" x14ac:dyDescent="0.3">
      <c r="A181" t="s">
        <v>1036</v>
      </c>
      <c r="B181" s="65">
        <f>COUNTIF(F3:F176,"&gt;0")</f>
        <v>36</v>
      </c>
      <c r="C181" s="65"/>
      <c r="D181" s="65"/>
      <c r="K181" t="str">
        <f>IFERROR(INDEX(MATRIZ_174!$U:$U,MATCH(A181,MATRIZ_174!$A:$A,0)),"")</f>
        <v/>
      </c>
    </row>
    <row r="182" spans="1:11" ht="18" customHeight="1" x14ac:dyDescent="0.3">
      <c r="A182" t="s">
        <v>1037</v>
      </c>
      <c r="B182" s="65">
        <f>COUNTIF(C3:C176,"&lt;34")-COUNTIF(C3:C176,0)</f>
        <v>0</v>
      </c>
      <c r="C182" s="65"/>
      <c r="D182" s="65"/>
      <c r="K182" t="str">
        <f>IFERROR(INDEX(MATRIZ_174!$U:$U,MATCH(A182,MATRIZ_174!$A:$A,0)),"")</f>
        <v/>
      </c>
    </row>
    <row r="183" spans="1:11" ht="18" customHeight="1" x14ac:dyDescent="0.3">
      <c r="A183" t="s">
        <v>1038</v>
      </c>
      <c r="B183" s="65">
        <f>COUNTIFS(C3:C176,"&gt;=34",C3:C176,"&lt;67")</f>
        <v>0</v>
      </c>
      <c r="C183" s="65"/>
      <c r="D183" s="65"/>
      <c r="K183" t="str">
        <f>IFERROR(INDEX(MATRIZ_174!$U:$U,MATCH(A183,MATRIZ_174!$A:$A,0)),"")</f>
        <v/>
      </c>
    </row>
    <row r="184" spans="1:11" ht="18" customHeight="1" x14ac:dyDescent="0.3">
      <c r="A184" t="s">
        <v>1039</v>
      </c>
      <c r="B184" s="65">
        <f>COUNTIF(C3:C176,"&gt;=67")</f>
        <v>0</v>
      </c>
      <c r="C184" s="65"/>
      <c r="D184" s="65"/>
      <c r="K184" t="str">
        <f>IFERROR(INDEX(MATRIZ_174!$U:$U,MATCH(A184,MATRIZ_174!$A:$A,0)),"")</f>
        <v/>
      </c>
    </row>
    <row r="185" spans="1:11" ht="18" customHeight="1" x14ac:dyDescent="0.3">
      <c r="A185" t="s">
        <v>1073</v>
      </c>
      <c r="B185" s="65">
        <f>COUNTIF(C3:C176,"—")</f>
        <v>174</v>
      </c>
      <c r="C185" s="65"/>
      <c r="D185" s="65"/>
      <c r="K185" t="str">
        <f>IFERROR(INDEX(MATRIZ_174!$U:$U,MATCH(A185,MATRIZ_174!$A:$A,0)),"")</f>
        <v/>
      </c>
    </row>
    <row r="186" spans="1:11" ht="18" customHeight="1" x14ac:dyDescent="0.3">
      <c r="A186" t="s">
        <v>1086</v>
      </c>
      <c r="B186" s="65" t="str">
        <f>IFERROR(ROUND(AVERAGE(MATRIZ_174!S3:S176),1),"—")</f>
        <v>—</v>
      </c>
      <c r="C186" s="65"/>
      <c r="D186" s="65"/>
      <c r="K186" t="str">
        <f>IFERROR(INDEX(MATRIZ_174!$U:$U,MATCH(A186,MATRIZ_174!$A:$A,0)),"")</f>
        <v/>
      </c>
    </row>
    <row r="187" spans="1:11" ht="18" customHeight="1" x14ac:dyDescent="0.3">
      <c r="A187" t="s">
        <v>1040</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1041</v>
      </c>
      <c r="B1" s="65"/>
      <c r="C1" s="65"/>
      <c r="D1" s="65"/>
      <c r="E1" s="65"/>
      <c r="F1" s="65"/>
      <c r="G1" s="65"/>
      <c r="H1" s="65"/>
      <c r="I1" s="65"/>
      <c r="J1" s="65"/>
    </row>
    <row r="2" spans="1:13" x14ac:dyDescent="0.3">
      <c r="A2" t="s">
        <v>1042</v>
      </c>
      <c r="B2" t="s">
        <v>1043</v>
      </c>
      <c r="C2" t="s">
        <v>1044</v>
      </c>
      <c r="D2" t="s">
        <v>1045</v>
      </c>
      <c r="E2" t="s">
        <v>1046</v>
      </c>
      <c r="F2" t="s">
        <v>1047</v>
      </c>
      <c r="G2" t="s">
        <v>1048</v>
      </c>
      <c r="H2" t="s">
        <v>1049</v>
      </c>
      <c r="I2" t="s">
        <v>1050</v>
      </c>
      <c r="J2" t="s">
        <v>1051</v>
      </c>
      <c r="K2" t="s">
        <v>1052</v>
      </c>
      <c r="L2" t="s">
        <v>1053</v>
      </c>
      <c r="M2" t="s">
        <v>1069</v>
      </c>
    </row>
    <row r="3" spans="1:13" ht="18" customHeight="1" x14ac:dyDescent="0.3">
      <c r="A3" t="s">
        <v>139</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77</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112</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150</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80</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109</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249</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103</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72</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64</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201</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241</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192</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179</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440</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1054</v>
      </c>
      <c r="B20" s="65"/>
      <c r="C20" s="65"/>
      <c r="D20" s="65"/>
      <c r="E20" s="65"/>
      <c r="F20" s="65"/>
      <c r="G20" s="65"/>
    </row>
    <row r="21" spans="1:13" ht="18" customHeight="1" x14ac:dyDescent="0.3">
      <c r="A21" s="65" t="s">
        <v>1055</v>
      </c>
      <c r="B21" s="65"/>
      <c r="C21" s="65"/>
      <c r="D21" s="65"/>
      <c r="E21" s="65"/>
      <c r="F21" s="65"/>
      <c r="G21" s="65"/>
    </row>
    <row r="22" spans="1:13" ht="18" customHeight="1" x14ac:dyDescent="0.3">
      <c r="A22" s="65" t="s">
        <v>1056</v>
      </c>
      <c r="B22" s="65"/>
      <c r="C22" s="65"/>
      <c r="D22" s="65"/>
      <c r="E22" s="65"/>
      <c r="F22" s="65"/>
      <c r="G22" s="65"/>
    </row>
    <row r="23" spans="1:13" ht="18" customHeight="1" x14ac:dyDescent="0.3">
      <c r="A23" s="65" t="s">
        <v>1057</v>
      </c>
      <c r="B23" s="65"/>
      <c r="C23" s="65"/>
      <c r="D23" s="65"/>
      <c r="E23" s="65"/>
      <c r="F23" s="65"/>
      <c r="G23" s="65"/>
    </row>
    <row r="24" spans="1:13" ht="18" customHeight="1" x14ac:dyDescent="0.3">
      <c r="A24" s="65" t="s">
        <v>1090</v>
      </c>
      <c r="B24" s="65"/>
      <c r="C24" s="65"/>
      <c r="D24" s="65"/>
      <c r="E24" s="65"/>
      <c r="F24" s="65"/>
      <c r="G24" s="65"/>
    </row>
    <row r="26" spans="1:13" x14ac:dyDescent="0.3">
      <c r="A26" s="65" t="s">
        <v>1089</v>
      </c>
      <c r="B26" s="65"/>
      <c r="C26" s="65"/>
      <c r="D26" s="65"/>
      <c r="E26" s="65"/>
      <c r="F26" s="65"/>
      <c r="G26" s="65"/>
    </row>
    <row r="28" spans="1:13" x14ac:dyDescent="0.3">
      <c r="A28" s="44" t="s">
        <v>1058</v>
      </c>
    </row>
    <row r="29" spans="1:13" x14ac:dyDescent="0.3">
      <c r="A29" s="45" t="s">
        <v>24</v>
      </c>
      <c r="B29" s="45" t="s">
        <v>1059</v>
      </c>
      <c r="C29" s="45" t="s">
        <v>983</v>
      </c>
      <c r="D29" s="45" t="s">
        <v>1060</v>
      </c>
      <c r="E29" s="45" t="s">
        <v>987</v>
      </c>
      <c r="F29" s="45" t="s">
        <v>1061</v>
      </c>
      <c r="G29" s="45" t="s">
        <v>1062</v>
      </c>
      <c r="H29" s="45" t="s">
        <v>1013</v>
      </c>
    </row>
    <row r="30" spans="1:13" x14ac:dyDescent="0.3">
      <c r="A30" s="46" t="s">
        <v>65</v>
      </c>
      <c r="B30" s="47">
        <f>COUNTIF(MATRIZ_174!$D$3:$D$176,A30)</f>
        <v>80</v>
      </c>
      <c r="C30" s="48" t="str">
        <f>IFERROR(AVERAGEIF(MATRIZ_174!$D$3:$D$176,$A30,ISCAM_Score!$AK$4:$AK$177),"—")</f>
        <v>—</v>
      </c>
      <c r="D30" s="48" t="str">
        <f>IFERROR(AVERAGEIF(MATRIZ_174!$D$3:$D$176,$A30,ISCAM_Score!$AI$4:$AI$177),"—")</f>
        <v>—</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73</v>
      </c>
      <c r="B31" s="47">
        <f>COUNTIF(MATRIZ_174!$D$3:$D$176,A31)</f>
        <v>83</v>
      </c>
      <c r="C31" s="48" t="str">
        <f>IFERROR(AVERAGEIF(MATRIZ_174!$D$3:$D$176,$A31,ISCAM_Score!$AK$4:$AK$177),"—")</f>
        <v>—</v>
      </c>
      <c r="D31" s="48" t="str">
        <f>IFERROR(AVERAGEIF(MATRIZ_174!$D$3:$D$176,$A31,ISCAM_Score!$AI$4:$AI$177),"—")</f>
        <v>—</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1063</v>
      </c>
      <c r="B32" s="47">
        <f>COUNTBLANK(MATRIZ_174!$D$3:$D$176)</f>
        <v>10</v>
      </c>
      <c r="C32" s="48" t="str">
        <f>IFERROR(AVERAGEIF(MATRIZ_174!$D$3:$D$176,"",ISCAM_Score!$AK$4:$AK$177),"—")</f>
        <v>—</v>
      </c>
      <c r="D32" s="48" t="str">
        <f>IFERROR(AVERAGEIF(MATRIZ_174!$D$3:$D$176,"",ISCAM_Score!$AI$4:$AI$177),"—")</f>
        <v>—</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1064</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1065</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2026-10-15T19:38:44Z</dcterms:modified>
</cp:coreProperties>
</file>