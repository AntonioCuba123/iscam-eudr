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70F24580-B66F-4370-942C-9864CFFB972D}"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4" r:id="rId3"/>
    <sheet name="CAPTURA" sheetId="15" r:id="rId4"/>
    <sheet name="NORMALIZADO" sheetId="16"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3" i="16" l="1"/>
  <c r="CL4" i="16"/>
  <c r="CL5" i="16"/>
  <c r="CL6" i="16"/>
  <c r="CL7" i="16"/>
  <c r="CL8" i="16"/>
  <c r="CL9" i="16"/>
  <c r="CL10" i="16"/>
  <c r="CL11" i="16"/>
  <c r="CL12" i="16"/>
  <c r="CL13" i="16"/>
  <c r="CL14" i="16"/>
  <c r="CL15" i="16"/>
  <c r="CL16" i="16"/>
  <c r="CL17" i="16"/>
  <c r="CL18" i="16"/>
  <c r="CL19" i="16"/>
  <c r="CL20" i="16"/>
  <c r="CL21" i="16"/>
  <c r="CL22" i="16"/>
  <c r="CL23" i="16"/>
  <c r="CL24" i="16"/>
  <c r="CL25" i="16"/>
  <c r="CL26" i="16"/>
  <c r="CL27" i="16"/>
  <c r="CL28" i="16"/>
  <c r="CL29" i="16"/>
  <c r="CL30" i="16"/>
  <c r="CL31" i="16"/>
  <c r="CL32" i="16"/>
  <c r="CL33" i="16"/>
  <c r="CL34" i="16"/>
  <c r="CL35" i="16"/>
  <c r="CL36" i="16"/>
  <c r="CL37" i="16"/>
  <c r="CL38" i="16"/>
  <c r="CL39" i="16"/>
  <c r="CL40" i="16"/>
  <c r="CL41" i="16"/>
  <c r="CL42" i="16"/>
  <c r="CL43" i="16"/>
  <c r="CL44" i="16"/>
  <c r="CL45" i="16"/>
  <c r="CL46" i="16"/>
  <c r="CL47" i="16"/>
  <c r="CL48" i="16"/>
  <c r="CL49" i="16"/>
  <c r="CL50" i="16"/>
  <c r="CL51" i="16"/>
  <c r="CL52" i="16"/>
  <c r="CL53" i="16"/>
  <c r="CL54" i="16"/>
  <c r="CL55" i="16"/>
  <c r="CL56" i="16"/>
  <c r="CL57" i="16"/>
  <c r="CL58" i="16"/>
  <c r="CL59" i="16"/>
  <c r="CL60" i="16"/>
  <c r="CL61" i="16"/>
  <c r="CL62" i="16"/>
  <c r="CL63" i="16"/>
  <c r="CL64" i="16"/>
  <c r="CL65" i="16"/>
  <c r="CL66" i="16"/>
  <c r="CL67" i="16"/>
  <c r="CL68" i="16"/>
  <c r="CL69" i="16"/>
  <c r="CL70" i="16"/>
  <c r="CL71" i="16"/>
  <c r="CL72" i="16"/>
  <c r="CL73" i="16"/>
  <c r="CL74" i="16"/>
  <c r="CL75" i="16"/>
  <c r="CL76" i="16"/>
  <c r="CL77" i="16"/>
  <c r="CL78" i="16"/>
  <c r="CL79" i="16"/>
  <c r="CL80" i="16"/>
  <c r="CL81" i="16"/>
  <c r="CL82" i="16"/>
  <c r="CL83" i="16"/>
  <c r="CL84" i="16"/>
  <c r="CL85" i="16"/>
  <c r="CL86" i="16"/>
  <c r="CL87" i="16"/>
  <c r="CL88" i="16"/>
  <c r="CL89" i="16"/>
  <c r="CL90" i="16"/>
  <c r="CL91" i="16"/>
  <c r="CL92" i="16"/>
  <c r="CL93" i="16"/>
  <c r="CL94" i="16"/>
  <c r="CL95" i="16"/>
  <c r="CL96" i="16"/>
  <c r="CL97" i="16"/>
  <c r="CL98" i="16"/>
  <c r="CL99" i="16"/>
  <c r="CL100" i="16"/>
  <c r="CL101" i="16"/>
  <c r="CL102" i="16"/>
  <c r="CL103" i="16"/>
  <c r="CL104" i="16"/>
  <c r="CL105" i="16"/>
  <c r="CL106" i="16"/>
  <c r="CL107" i="16"/>
  <c r="CL108" i="16"/>
  <c r="CL109" i="16"/>
  <c r="CL110" i="16"/>
  <c r="CL111" i="16"/>
  <c r="CL112" i="16"/>
  <c r="CL113" i="16"/>
  <c r="CL114" i="16"/>
  <c r="CL115" i="16"/>
  <c r="CL116" i="16"/>
  <c r="CL117" i="16"/>
  <c r="CL118" i="16"/>
  <c r="CL119" i="16"/>
  <c r="CL120" i="16"/>
  <c r="CL121" i="16"/>
  <c r="CL122" i="16"/>
  <c r="CL123" i="16"/>
  <c r="CL124" i="16"/>
  <c r="CL125" i="16"/>
  <c r="CL126" i="16"/>
  <c r="CL127" i="16"/>
  <c r="CL128" i="16"/>
  <c r="CL129" i="16"/>
  <c r="CL130" i="16"/>
  <c r="CL131" i="16"/>
  <c r="CL132" i="16"/>
  <c r="CL133" i="16"/>
  <c r="CL134" i="16"/>
  <c r="CL135" i="16"/>
  <c r="CL136" i="16"/>
  <c r="CL137" i="16"/>
  <c r="CL138" i="16"/>
  <c r="CL139" i="16"/>
  <c r="CL140" i="16"/>
  <c r="CL141" i="16"/>
  <c r="CL142" i="16"/>
  <c r="CL143" i="16"/>
  <c r="CL144" i="16"/>
  <c r="CL145" i="16"/>
  <c r="CL146" i="16"/>
  <c r="CL147" i="16"/>
  <c r="CL148" i="16"/>
  <c r="CL149" i="16"/>
  <c r="CL150" i="16"/>
  <c r="CL151" i="16"/>
  <c r="CL152" i="16"/>
  <c r="CL153" i="16"/>
  <c r="CL154" i="16"/>
  <c r="CL155" i="16"/>
  <c r="CL156" i="16"/>
  <c r="CL157" i="16"/>
  <c r="CL158" i="16"/>
  <c r="CL159" i="16"/>
  <c r="CL160" i="16"/>
  <c r="CL161" i="16"/>
  <c r="CL162" i="16"/>
  <c r="CL163" i="16"/>
  <c r="CL164" i="16"/>
  <c r="CL165" i="16"/>
  <c r="CL166" i="16"/>
  <c r="CL167" i="16"/>
  <c r="CL168" i="16"/>
  <c r="CL169" i="16"/>
  <c r="CL170" i="16"/>
  <c r="CL171" i="16"/>
  <c r="CL172" i="16"/>
  <c r="CL173" i="16"/>
  <c r="CL174" i="16"/>
  <c r="CL175" i="16"/>
  <c r="CL176" i="1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3" i="6"/>
  <c r="O4" i="5"/>
  <c r="T5" i="3" s="1"/>
  <c r="O5" i="5"/>
  <c r="T6" i="3" s="1"/>
  <c r="O6" i="5"/>
  <c r="O7" i="5"/>
  <c r="O8" i="5"/>
  <c r="T9" i="3" s="1"/>
  <c r="O9" i="5"/>
  <c r="T10" i="3" s="1"/>
  <c r="O10" i="5"/>
  <c r="O11" i="5"/>
  <c r="T12" i="3" s="1"/>
  <c r="O12" i="5"/>
  <c r="O13" i="5"/>
  <c r="O14" i="5"/>
  <c r="T15" i="3" s="1"/>
  <c r="O15" i="5"/>
  <c r="T16" i="3" s="1"/>
  <c r="O16" i="5"/>
  <c r="T17" i="3" s="1"/>
  <c r="O17" i="5"/>
  <c r="O18" i="5"/>
  <c r="T19" i="3" s="1"/>
  <c r="O19" i="5"/>
  <c r="T20" i="3" s="1"/>
  <c r="O20" i="5"/>
  <c r="O21" i="5"/>
  <c r="T22" i="3" s="1"/>
  <c r="O22" i="5"/>
  <c r="T23" i="3" s="1"/>
  <c r="O23" i="5"/>
  <c r="T24" i="3" s="1"/>
  <c r="O24" i="5"/>
  <c r="T25" i="3" s="1"/>
  <c r="O25" i="5"/>
  <c r="T26" i="3" s="1"/>
  <c r="O26" i="5"/>
  <c r="T27" i="3" s="1"/>
  <c r="O27" i="5"/>
  <c r="T28" i="3" s="1"/>
  <c r="O28" i="5"/>
  <c r="T29" i="3" s="1"/>
  <c r="O29" i="5"/>
  <c r="T30" i="3" s="1"/>
  <c r="O30" i="5"/>
  <c r="T31" i="3" s="1"/>
  <c r="O31" i="5"/>
  <c r="T32" i="3" s="1"/>
  <c r="O32" i="5"/>
  <c r="T33" i="3" s="1"/>
  <c r="O33" i="5"/>
  <c r="T34" i="3" s="1"/>
  <c r="O34" i="5"/>
  <c r="T35" i="3" s="1"/>
  <c r="O35" i="5"/>
  <c r="T36" i="3" s="1"/>
  <c r="O36" i="5"/>
  <c r="O37" i="5"/>
  <c r="T38" i="3" s="1"/>
  <c r="O38" i="5"/>
  <c r="T39" i="3" s="1"/>
  <c r="O39" i="5"/>
  <c r="T40" i="3" s="1"/>
  <c r="O40" i="5"/>
  <c r="T41" i="3" s="1"/>
  <c r="O41" i="5"/>
  <c r="T42" i="3" s="1"/>
  <c r="O42" i="5"/>
  <c r="T43" i="3" s="1"/>
  <c r="O43" i="5"/>
  <c r="T44" i="3" s="1"/>
  <c r="O44" i="5"/>
  <c r="T45" i="3" s="1"/>
  <c r="O45" i="5"/>
  <c r="T46" i="3" s="1"/>
  <c r="O46" i="5"/>
  <c r="T47" i="3" s="1"/>
  <c r="O47" i="5"/>
  <c r="T48" i="3" s="1"/>
  <c r="O48" i="5"/>
  <c r="T49" i="3" s="1"/>
  <c r="O49" i="5"/>
  <c r="T50" i="3" s="1"/>
  <c r="O50" i="5"/>
  <c r="T51" i="3" s="1"/>
  <c r="O51" i="5"/>
  <c r="T52" i="3" s="1"/>
  <c r="O52" i="5"/>
  <c r="T53" i="3" s="1"/>
  <c r="O53" i="5"/>
  <c r="T54" i="3" s="1"/>
  <c r="O54" i="5"/>
  <c r="T55" i="3" s="1"/>
  <c r="O55" i="5"/>
  <c r="T56" i="3" s="1"/>
  <c r="O56" i="5"/>
  <c r="T57" i="3" s="1"/>
  <c r="O57" i="5"/>
  <c r="T58" i="3" s="1"/>
  <c r="O58" i="5"/>
  <c r="T59" i="3" s="1"/>
  <c r="O59" i="5"/>
  <c r="T60" i="3" s="1"/>
  <c r="O60" i="5"/>
  <c r="T61" i="3" s="1"/>
  <c r="O61" i="5"/>
  <c r="T62" i="3" s="1"/>
  <c r="O62" i="5"/>
  <c r="T63" i="3" s="1"/>
  <c r="O63" i="5"/>
  <c r="T64" i="3" s="1"/>
  <c r="O64" i="5"/>
  <c r="T65" i="3" s="1"/>
  <c r="O65" i="5"/>
  <c r="T66" i="3" s="1"/>
  <c r="O66" i="5"/>
  <c r="T67" i="3" s="1"/>
  <c r="O67" i="5"/>
  <c r="T68" i="3" s="1"/>
  <c r="O68" i="5"/>
  <c r="T69" i="3" s="1"/>
  <c r="O69" i="5"/>
  <c r="T70" i="3" s="1"/>
  <c r="O70" i="5"/>
  <c r="O71" i="5"/>
  <c r="T72" i="3" s="1"/>
  <c r="O72" i="5"/>
  <c r="T73" i="3" s="1"/>
  <c r="O73" i="5"/>
  <c r="O74" i="5"/>
  <c r="T75" i="3" s="1"/>
  <c r="O75" i="5"/>
  <c r="T76" i="3" s="1"/>
  <c r="O76" i="5"/>
  <c r="T77" i="3" s="1"/>
  <c r="O77" i="5"/>
  <c r="T78" i="3" s="1"/>
  <c r="O78" i="5"/>
  <c r="T79" i="3" s="1"/>
  <c r="O79" i="5"/>
  <c r="T80" i="3" s="1"/>
  <c r="O80" i="5"/>
  <c r="O81" i="5"/>
  <c r="T82" i="3" s="1"/>
  <c r="O82" i="5"/>
  <c r="T83" i="3" s="1"/>
  <c r="O83" i="5"/>
  <c r="T84" i="3" s="1"/>
  <c r="O84" i="5"/>
  <c r="T85" i="3" s="1"/>
  <c r="O85" i="5"/>
  <c r="T86" i="3" s="1"/>
  <c r="O86" i="5"/>
  <c r="T87" i="3" s="1"/>
  <c r="O87" i="5"/>
  <c r="T88" i="3" s="1"/>
  <c r="O88" i="5"/>
  <c r="T89" i="3" s="1"/>
  <c r="O89" i="5"/>
  <c r="T90" i="3" s="1"/>
  <c r="O90" i="5"/>
  <c r="T91" i="3" s="1"/>
  <c r="O91" i="5"/>
  <c r="T92" i="3" s="1"/>
  <c r="O92" i="5"/>
  <c r="T93" i="3" s="1"/>
  <c r="O93" i="5"/>
  <c r="T94" i="3" s="1"/>
  <c r="O94" i="5"/>
  <c r="T95" i="3" s="1"/>
  <c r="O95" i="5"/>
  <c r="T96" i="3" s="1"/>
  <c r="O96" i="5"/>
  <c r="T97" i="3" s="1"/>
  <c r="O97" i="5"/>
  <c r="T98" i="3" s="1"/>
  <c r="O98" i="5"/>
  <c r="T99" i="3" s="1"/>
  <c r="O99" i="5"/>
  <c r="T100" i="3" s="1"/>
  <c r="O100" i="5"/>
  <c r="T101" i="3" s="1"/>
  <c r="O101" i="5"/>
  <c r="T102" i="3" s="1"/>
  <c r="O102" i="5"/>
  <c r="T103" i="3" s="1"/>
  <c r="O103" i="5"/>
  <c r="T104" i="3" s="1"/>
  <c r="O104" i="5"/>
  <c r="T105" i="3" s="1"/>
  <c r="O105" i="5"/>
  <c r="T106" i="3" s="1"/>
  <c r="O106" i="5"/>
  <c r="O107" i="5"/>
  <c r="T108" i="3" s="1"/>
  <c r="O108" i="5"/>
  <c r="T109" i="3" s="1"/>
  <c r="O109" i="5"/>
  <c r="T110" i="3" s="1"/>
  <c r="O110" i="5"/>
  <c r="T111" i="3" s="1"/>
  <c r="O111" i="5"/>
  <c r="T112" i="3" s="1"/>
  <c r="O112" i="5"/>
  <c r="T113" i="3" s="1"/>
  <c r="O113" i="5"/>
  <c r="T114" i="3" s="1"/>
  <c r="O114" i="5"/>
  <c r="T115" i="3" s="1"/>
  <c r="O115" i="5"/>
  <c r="T116" i="3" s="1"/>
  <c r="O116" i="5"/>
  <c r="T117" i="3" s="1"/>
  <c r="O117" i="5"/>
  <c r="T118" i="3" s="1"/>
  <c r="O118" i="5"/>
  <c r="T119" i="3" s="1"/>
  <c r="O119" i="5"/>
  <c r="T120" i="3" s="1"/>
  <c r="O120" i="5"/>
  <c r="T121" i="3" s="1"/>
  <c r="O121" i="5"/>
  <c r="T122" i="3" s="1"/>
  <c r="O122" i="5"/>
  <c r="T123" i="3" s="1"/>
  <c r="O123" i="5"/>
  <c r="T124" i="3" s="1"/>
  <c r="O124" i="5"/>
  <c r="O125" i="5"/>
  <c r="T126" i="3" s="1"/>
  <c r="O126" i="5"/>
  <c r="T127" i="3" s="1"/>
  <c r="O127" i="5"/>
  <c r="T128" i="3" s="1"/>
  <c r="O128" i="5"/>
  <c r="T129" i="3" s="1"/>
  <c r="O129" i="5"/>
  <c r="T130" i="3" s="1"/>
  <c r="O130" i="5"/>
  <c r="O131" i="5"/>
  <c r="T132" i="3" s="1"/>
  <c r="O132" i="5"/>
  <c r="T133" i="3" s="1"/>
  <c r="O133" i="5"/>
  <c r="T134" i="3" s="1"/>
  <c r="O134" i="5"/>
  <c r="O135" i="5"/>
  <c r="O136" i="5"/>
  <c r="T137" i="3" s="1"/>
  <c r="O137" i="5"/>
  <c r="T138" i="3" s="1"/>
  <c r="O138" i="5"/>
  <c r="T139" i="3" s="1"/>
  <c r="O139" i="5"/>
  <c r="T140" i="3" s="1"/>
  <c r="O140" i="5"/>
  <c r="T141" i="3" s="1"/>
  <c r="O141" i="5"/>
  <c r="T142" i="3" s="1"/>
  <c r="O142" i="5"/>
  <c r="T143" i="3" s="1"/>
  <c r="O143" i="5"/>
  <c r="O144" i="5"/>
  <c r="T145" i="3" s="1"/>
  <c r="O145" i="5"/>
  <c r="T146" i="3" s="1"/>
  <c r="O146" i="5"/>
  <c r="O147" i="5"/>
  <c r="T148" i="3" s="1"/>
  <c r="O148" i="5"/>
  <c r="T149" i="3" s="1"/>
  <c r="O149" i="5"/>
  <c r="O150" i="5"/>
  <c r="T151" i="3" s="1"/>
  <c r="O151" i="5"/>
  <c r="T152" i="3" s="1"/>
  <c r="O152" i="5"/>
  <c r="T153" i="3" s="1"/>
  <c r="O153" i="5"/>
  <c r="T154" i="3" s="1"/>
  <c r="O154" i="5"/>
  <c r="O155" i="5"/>
  <c r="T156" i="3" s="1"/>
  <c r="O156" i="5"/>
  <c r="T157" i="3" s="1"/>
  <c r="O157" i="5"/>
  <c r="O158" i="5"/>
  <c r="T159" i="3" s="1"/>
  <c r="O159" i="5"/>
  <c r="T160" i="3" s="1"/>
  <c r="O160" i="5"/>
  <c r="T161" i="3" s="1"/>
  <c r="O161" i="5"/>
  <c r="T162" i="3" s="1"/>
  <c r="O162" i="5"/>
  <c r="T163" i="3" s="1"/>
  <c r="O163" i="5"/>
  <c r="T164" i="3" s="1"/>
  <c r="O164" i="5"/>
  <c r="T165" i="3" s="1"/>
  <c r="O165" i="5"/>
  <c r="T166" i="3" s="1"/>
  <c r="O166" i="5"/>
  <c r="T167" i="3" s="1"/>
  <c r="O167" i="5"/>
  <c r="T168" i="3" s="1"/>
  <c r="O168" i="5"/>
  <c r="T169" i="3" s="1"/>
  <c r="O169" i="5"/>
  <c r="T170" i="3" s="1"/>
  <c r="O170" i="5"/>
  <c r="T171" i="3" s="1"/>
  <c r="O171" i="5"/>
  <c r="O172" i="5"/>
  <c r="T173" i="3" s="1"/>
  <c r="O173" i="5"/>
  <c r="T174" i="3" s="1"/>
  <c r="O174" i="5"/>
  <c r="T175" i="3" s="1"/>
  <c r="O175" i="5"/>
  <c r="T176" i="3" s="1"/>
  <c r="O176" i="5"/>
  <c r="T177" i="3" s="1"/>
  <c r="O3" i="5"/>
  <c r="T4" i="3" s="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G161" i="6" s="1"/>
  <c r="M162" i="5"/>
  <c r="G162" i="6" s="1"/>
  <c r="M163" i="5"/>
  <c r="G163" i="6" s="1"/>
  <c r="M164" i="5"/>
  <c r="G164" i="6" s="1"/>
  <c r="M165" i="5"/>
  <c r="G165" i="6" s="1"/>
  <c r="M166" i="5"/>
  <c r="M167" i="5"/>
  <c r="M168" i="5"/>
  <c r="M169" i="5"/>
  <c r="M170" i="5"/>
  <c r="M171" i="5"/>
  <c r="M172" i="5"/>
  <c r="M173" i="5"/>
  <c r="M174" i="5"/>
  <c r="M175" i="5"/>
  <c r="M176" i="5"/>
  <c r="M3" i="5"/>
  <c r="CA3" i="16"/>
  <c r="CA4" i="16"/>
  <c r="CA5" i="16"/>
  <c r="CA6" i="16"/>
  <c r="CA7" i="16"/>
  <c r="CA8" i="16"/>
  <c r="CA9" i="16"/>
  <c r="CA10" i="16"/>
  <c r="CA11" i="16"/>
  <c r="CA12" i="16"/>
  <c r="CA13" i="16"/>
  <c r="CA14" i="16"/>
  <c r="CA15" i="16"/>
  <c r="CA16" i="16"/>
  <c r="CA17" i="16"/>
  <c r="CA18" i="16"/>
  <c r="CA19" i="16"/>
  <c r="CA20" i="16"/>
  <c r="CA21" i="16"/>
  <c r="CA22" i="16"/>
  <c r="CA23" i="16"/>
  <c r="CA24" i="16"/>
  <c r="CA25" i="16"/>
  <c r="CA26" i="16"/>
  <c r="CA27" i="16"/>
  <c r="CA28" i="16"/>
  <c r="CA29" i="16"/>
  <c r="CA30" i="16"/>
  <c r="CA31" i="16"/>
  <c r="CA32" i="16"/>
  <c r="CA33" i="16"/>
  <c r="CA34" i="16"/>
  <c r="CA35" i="16"/>
  <c r="CA36" i="16"/>
  <c r="CA37" i="16"/>
  <c r="CA38" i="16"/>
  <c r="CA39" i="16"/>
  <c r="CA40" i="16"/>
  <c r="CA41" i="16"/>
  <c r="CA42" i="16"/>
  <c r="CA43" i="16"/>
  <c r="CA44" i="16"/>
  <c r="CA45" i="16"/>
  <c r="CA46" i="16"/>
  <c r="CA47" i="16"/>
  <c r="CA48" i="16"/>
  <c r="CA49" i="16"/>
  <c r="CA50" i="16"/>
  <c r="CA51" i="16"/>
  <c r="CA52" i="16"/>
  <c r="CA53" i="16"/>
  <c r="CA54" i="16"/>
  <c r="CA55" i="16"/>
  <c r="CA56" i="16"/>
  <c r="CA57" i="16"/>
  <c r="CA58" i="16"/>
  <c r="CA59" i="16"/>
  <c r="CA60" i="16"/>
  <c r="CA61" i="16"/>
  <c r="CA62" i="16"/>
  <c r="CA63" i="16"/>
  <c r="CA64" i="16"/>
  <c r="CA65" i="16"/>
  <c r="CA66"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90" i="16"/>
  <c r="CA91" i="16"/>
  <c r="CA92" i="16"/>
  <c r="CA93" i="16"/>
  <c r="CA94" i="16"/>
  <c r="CA95" i="16"/>
  <c r="CA96" i="16"/>
  <c r="CA97" i="16"/>
  <c r="CA98" i="16"/>
  <c r="CA99" i="16"/>
  <c r="CA100" i="16"/>
  <c r="CA101" i="16"/>
  <c r="CA102" i="16"/>
  <c r="CA103" i="16"/>
  <c r="CA104" i="16"/>
  <c r="CA105" i="16"/>
  <c r="CA106" i="16"/>
  <c r="CA107" i="16"/>
  <c r="CA108" i="16"/>
  <c r="CA109" i="16"/>
  <c r="CA110" i="16"/>
  <c r="CA111" i="16"/>
  <c r="CA112" i="16"/>
  <c r="CA113" i="16"/>
  <c r="CA114" i="16"/>
  <c r="CA115" i="16"/>
  <c r="CA116" i="16"/>
  <c r="CA117" i="16"/>
  <c r="CA118" i="16"/>
  <c r="CA119" i="16"/>
  <c r="CA120" i="16"/>
  <c r="CA121" i="16"/>
  <c r="CA122" i="16"/>
  <c r="CA123" i="16"/>
  <c r="CA124" i="16"/>
  <c r="CA125"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62" i="16"/>
  <c r="CA163" i="16"/>
  <c r="CA164" i="16"/>
  <c r="CA165" i="16"/>
  <c r="CA166" i="16"/>
  <c r="CA167" i="16"/>
  <c r="CA168" i="16"/>
  <c r="CA169" i="16"/>
  <c r="CA170" i="16"/>
  <c r="CA171" i="16"/>
  <c r="CA172" i="16"/>
  <c r="CA173" i="16"/>
  <c r="CA174" i="16"/>
  <c r="CA175" i="16"/>
  <c r="CA176" i="16"/>
  <c r="BZ3" i="16"/>
  <c r="BZ4" i="16"/>
  <c r="BZ5" i="16"/>
  <c r="BZ6" i="16"/>
  <c r="BZ7" i="16"/>
  <c r="BZ8" i="16"/>
  <c r="BZ9" i="16"/>
  <c r="BZ10" i="16"/>
  <c r="BZ11" i="16"/>
  <c r="BZ12" i="16"/>
  <c r="BZ13" i="16"/>
  <c r="BZ14" i="16"/>
  <c r="BZ15" i="16"/>
  <c r="BZ16" i="16"/>
  <c r="BZ17" i="16"/>
  <c r="BZ18" i="16"/>
  <c r="BZ19" i="16"/>
  <c r="BZ20" i="16"/>
  <c r="BZ21" i="16"/>
  <c r="BZ22" i="16"/>
  <c r="BZ23" i="16"/>
  <c r="BZ24" i="16"/>
  <c r="BZ25" i="16"/>
  <c r="BZ26" i="16"/>
  <c r="BZ27" i="16"/>
  <c r="BZ28" i="16"/>
  <c r="BZ29" i="16"/>
  <c r="BZ30" i="16"/>
  <c r="BZ31" i="16"/>
  <c r="BZ32" i="16"/>
  <c r="BZ33" i="16"/>
  <c r="BZ34" i="16"/>
  <c r="BZ35" i="16"/>
  <c r="BZ36" i="16"/>
  <c r="BZ37" i="16"/>
  <c r="BZ38" i="16"/>
  <c r="BZ39" i="16"/>
  <c r="BZ40" i="16"/>
  <c r="BZ41" i="16"/>
  <c r="BZ42" i="16"/>
  <c r="BZ43" i="16"/>
  <c r="BZ44" i="16"/>
  <c r="BZ45" i="16"/>
  <c r="BZ46" i="16"/>
  <c r="BZ47" i="16"/>
  <c r="BZ48" i="16"/>
  <c r="BZ49" i="16"/>
  <c r="BZ50" i="16"/>
  <c r="BZ51" i="16"/>
  <c r="BZ52" i="16"/>
  <c r="BZ53" i="16"/>
  <c r="BZ54" i="16"/>
  <c r="BZ55" i="16"/>
  <c r="BZ56" i="16"/>
  <c r="BZ57" i="16"/>
  <c r="BZ58" i="16"/>
  <c r="BZ59" i="16"/>
  <c r="BZ60" i="16"/>
  <c r="BZ61" i="16"/>
  <c r="BZ62" i="16"/>
  <c r="BZ63" i="16"/>
  <c r="BZ64" i="16"/>
  <c r="BZ65" i="16"/>
  <c r="BZ66"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90" i="16"/>
  <c r="BZ91" i="16"/>
  <c r="BZ92" i="16"/>
  <c r="BZ93" i="16"/>
  <c r="BZ94" i="16"/>
  <c r="BZ95" i="16"/>
  <c r="BZ96" i="16"/>
  <c r="BZ97" i="16"/>
  <c r="BZ98" i="16"/>
  <c r="BZ99" i="16"/>
  <c r="BZ100" i="16"/>
  <c r="BZ101" i="16"/>
  <c r="BZ102" i="16"/>
  <c r="BZ103" i="16"/>
  <c r="BZ104" i="16"/>
  <c r="BZ105" i="16"/>
  <c r="BZ106" i="16"/>
  <c r="BZ107" i="16"/>
  <c r="BZ108" i="16"/>
  <c r="BZ109" i="16"/>
  <c r="BZ110" i="16"/>
  <c r="BZ111" i="16"/>
  <c r="BZ112" i="16"/>
  <c r="BZ113" i="16"/>
  <c r="BZ114" i="16"/>
  <c r="BZ115" i="16"/>
  <c r="BZ116" i="16"/>
  <c r="BZ117" i="16"/>
  <c r="BZ118" i="16"/>
  <c r="BZ119" i="16"/>
  <c r="BZ120" i="16"/>
  <c r="BZ121" i="16"/>
  <c r="BZ122" i="16"/>
  <c r="BZ123" i="16"/>
  <c r="BZ124" i="16"/>
  <c r="BZ125"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62" i="16"/>
  <c r="BZ163" i="16"/>
  <c r="BZ164" i="16"/>
  <c r="BZ165" i="16"/>
  <c r="BZ166" i="16"/>
  <c r="BZ167" i="16"/>
  <c r="BZ168" i="16"/>
  <c r="BZ169" i="16"/>
  <c r="BZ170" i="16"/>
  <c r="BZ171" i="16"/>
  <c r="BZ172" i="16"/>
  <c r="BZ173" i="16"/>
  <c r="BZ174" i="16"/>
  <c r="BZ175" i="16"/>
  <c r="BZ176" i="16"/>
  <c r="BY3" i="16"/>
  <c r="Z3" i="5" s="1"/>
  <c r="BY4" i="16"/>
  <c r="Z4" i="5" s="1"/>
  <c r="BY5" i="16"/>
  <c r="Z5" i="5" s="1"/>
  <c r="BY6" i="16"/>
  <c r="Z6" i="5" s="1"/>
  <c r="BY7" i="16"/>
  <c r="Z7" i="5" s="1"/>
  <c r="BY8" i="16"/>
  <c r="Z8" i="5" s="1"/>
  <c r="BY9" i="16"/>
  <c r="Z9" i="5" s="1"/>
  <c r="BY10" i="16"/>
  <c r="Z10" i="5" s="1"/>
  <c r="BY11" i="16"/>
  <c r="Z11" i="5" s="1"/>
  <c r="BY12" i="16"/>
  <c r="Z12" i="5" s="1"/>
  <c r="BY13" i="16"/>
  <c r="Z13" i="5" s="1"/>
  <c r="BY14" i="16"/>
  <c r="Z14" i="5" s="1"/>
  <c r="BY15" i="16"/>
  <c r="Z15" i="5" s="1"/>
  <c r="BY16" i="16"/>
  <c r="Z16" i="5" s="1"/>
  <c r="BY17" i="16"/>
  <c r="Z17" i="5" s="1"/>
  <c r="BY18" i="16"/>
  <c r="Z18" i="5" s="1"/>
  <c r="BY19" i="16"/>
  <c r="Z19" i="5" s="1"/>
  <c r="BY20" i="16"/>
  <c r="Z20" i="5" s="1"/>
  <c r="BY21" i="16"/>
  <c r="Z21" i="5" s="1"/>
  <c r="BY22" i="16"/>
  <c r="Z22" i="5" s="1"/>
  <c r="BY23" i="16"/>
  <c r="Z23" i="5" s="1"/>
  <c r="BY24" i="16"/>
  <c r="Z24" i="5" s="1"/>
  <c r="BY25" i="16"/>
  <c r="Z25" i="5" s="1"/>
  <c r="BY26" i="16"/>
  <c r="Z26" i="5" s="1"/>
  <c r="BY27" i="16"/>
  <c r="Z27" i="5" s="1"/>
  <c r="BY28" i="16"/>
  <c r="Z28" i="5" s="1"/>
  <c r="BY29" i="16"/>
  <c r="Z29" i="5" s="1"/>
  <c r="BY30" i="16"/>
  <c r="Z30" i="5" s="1"/>
  <c r="BY31" i="16"/>
  <c r="Z31" i="5" s="1"/>
  <c r="BY32" i="16"/>
  <c r="Z32" i="5" s="1"/>
  <c r="BY33" i="16"/>
  <c r="Z33" i="5" s="1"/>
  <c r="BY34" i="16"/>
  <c r="Z34" i="5" s="1"/>
  <c r="BY35" i="16"/>
  <c r="Z35" i="5" s="1"/>
  <c r="BY36" i="16"/>
  <c r="Z36" i="5" s="1"/>
  <c r="BY37" i="16"/>
  <c r="Z37" i="5" s="1"/>
  <c r="BY38" i="16"/>
  <c r="Z38" i="5" s="1"/>
  <c r="BY39" i="16"/>
  <c r="Z39" i="5" s="1"/>
  <c r="BY40" i="16"/>
  <c r="Z40" i="5" s="1"/>
  <c r="BY41" i="16"/>
  <c r="Z41" i="5" s="1"/>
  <c r="BY42" i="16"/>
  <c r="Z42" i="5" s="1"/>
  <c r="BY43" i="16"/>
  <c r="Z43" i="5" s="1"/>
  <c r="BY44" i="16"/>
  <c r="Z44" i="5" s="1"/>
  <c r="BY45" i="16"/>
  <c r="Z45" i="5" s="1"/>
  <c r="BY46" i="16"/>
  <c r="Z46" i="5" s="1"/>
  <c r="BY47" i="16"/>
  <c r="Z47" i="5" s="1"/>
  <c r="BY48" i="16"/>
  <c r="Z48" i="5" s="1"/>
  <c r="BY49" i="16"/>
  <c r="Z49" i="5" s="1"/>
  <c r="BY50" i="16"/>
  <c r="Z50" i="5" s="1"/>
  <c r="BY51" i="16"/>
  <c r="Z51" i="5" s="1"/>
  <c r="BY52" i="16"/>
  <c r="Z52" i="5" s="1"/>
  <c r="BY53" i="16"/>
  <c r="Z53" i="5" s="1"/>
  <c r="BY54" i="16"/>
  <c r="Z54" i="5" s="1"/>
  <c r="BY55" i="16"/>
  <c r="Z55" i="5" s="1"/>
  <c r="BY56" i="16"/>
  <c r="Z56" i="5" s="1"/>
  <c r="BY57" i="16"/>
  <c r="Z57" i="5" s="1"/>
  <c r="BY58" i="16"/>
  <c r="Z58" i="5" s="1"/>
  <c r="BY59" i="16"/>
  <c r="Z59" i="5" s="1"/>
  <c r="BY60" i="16"/>
  <c r="Z60" i="5" s="1"/>
  <c r="BY61" i="16"/>
  <c r="Z61" i="5" s="1"/>
  <c r="BY62" i="16"/>
  <c r="Z62" i="5" s="1"/>
  <c r="BY63" i="16"/>
  <c r="Z63" i="5" s="1"/>
  <c r="BY64" i="16"/>
  <c r="Z64" i="5" s="1"/>
  <c r="BY65" i="16"/>
  <c r="Z65" i="5" s="1"/>
  <c r="BY66" i="16"/>
  <c r="Z66" i="5" s="1"/>
  <c r="BY67" i="16"/>
  <c r="Z67" i="5" s="1"/>
  <c r="BY68" i="16"/>
  <c r="Z68" i="5" s="1"/>
  <c r="BY69" i="16"/>
  <c r="Z69" i="5" s="1"/>
  <c r="BY70" i="16"/>
  <c r="Z70" i="5" s="1"/>
  <c r="BY71" i="16"/>
  <c r="Z71" i="5" s="1"/>
  <c r="BY72" i="16"/>
  <c r="Z72" i="5" s="1"/>
  <c r="BY73" i="16"/>
  <c r="Z73" i="5" s="1"/>
  <c r="BY74" i="16"/>
  <c r="Z74" i="5" s="1"/>
  <c r="BY75" i="16"/>
  <c r="Z75" i="5" s="1"/>
  <c r="BY76" i="16"/>
  <c r="Z76" i="5" s="1"/>
  <c r="BY77" i="16"/>
  <c r="Z77" i="5" s="1"/>
  <c r="BY78" i="16"/>
  <c r="Z78" i="5" s="1"/>
  <c r="BY79" i="16"/>
  <c r="Z79" i="5" s="1"/>
  <c r="BY80" i="16"/>
  <c r="Z80" i="5" s="1"/>
  <c r="BY81" i="16"/>
  <c r="Z81" i="5" s="1"/>
  <c r="BY82" i="16"/>
  <c r="Z82" i="5" s="1"/>
  <c r="BY83" i="16"/>
  <c r="Z83" i="5" s="1"/>
  <c r="BY84" i="16"/>
  <c r="Z84" i="5" s="1"/>
  <c r="BY85" i="16"/>
  <c r="Z85" i="5" s="1"/>
  <c r="BY86" i="16"/>
  <c r="Z86" i="5" s="1"/>
  <c r="BY87" i="16"/>
  <c r="Z87" i="5" s="1"/>
  <c r="BY88" i="16"/>
  <c r="Z88" i="5" s="1"/>
  <c r="BY89" i="16"/>
  <c r="Z89" i="5" s="1"/>
  <c r="BY90" i="16"/>
  <c r="Z90" i="5" s="1"/>
  <c r="BY91" i="16"/>
  <c r="Z91" i="5" s="1"/>
  <c r="BY92" i="16"/>
  <c r="Z92" i="5" s="1"/>
  <c r="BY93" i="16"/>
  <c r="Z93" i="5" s="1"/>
  <c r="BY94" i="16"/>
  <c r="Z94" i="5" s="1"/>
  <c r="BY95" i="16"/>
  <c r="Z95" i="5" s="1"/>
  <c r="BY96" i="16"/>
  <c r="Z96" i="5" s="1"/>
  <c r="BY97" i="16"/>
  <c r="Z97" i="5" s="1"/>
  <c r="BY98" i="16"/>
  <c r="Z98" i="5" s="1"/>
  <c r="BY99" i="16"/>
  <c r="Z99" i="5" s="1"/>
  <c r="BY100" i="16"/>
  <c r="Z100" i="5" s="1"/>
  <c r="BY101" i="16"/>
  <c r="Z101" i="5" s="1"/>
  <c r="BY102" i="16"/>
  <c r="Z102" i="5" s="1"/>
  <c r="BY103" i="16"/>
  <c r="Z103" i="5" s="1"/>
  <c r="BY104" i="16"/>
  <c r="Z104" i="5" s="1"/>
  <c r="BY105" i="16"/>
  <c r="Z105" i="5" s="1"/>
  <c r="BY106" i="16"/>
  <c r="Z106" i="5" s="1"/>
  <c r="BY107" i="16"/>
  <c r="Z107" i="5" s="1"/>
  <c r="BY108" i="16"/>
  <c r="Z108" i="5" s="1"/>
  <c r="BY109" i="16"/>
  <c r="Z109" i="5" s="1"/>
  <c r="BY110" i="16"/>
  <c r="Z110" i="5" s="1"/>
  <c r="BY111" i="16"/>
  <c r="Z111" i="5" s="1"/>
  <c r="BY112" i="16"/>
  <c r="Z112" i="5" s="1"/>
  <c r="BY113" i="16"/>
  <c r="Z113" i="5" s="1"/>
  <c r="BY114" i="16"/>
  <c r="Z114" i="5" s="1"/>
  <c r="BY115" i="16"/>
  <c r="Z115" i="5" s="1"/>
  <c r="BY116" i="16"/>
  <c r="Z116" i="5" s="1"/>
  <c r="BY117" i="16"/>
  <c r="Z117" i="5" s="1"/>
  <c r="BY118" i="16"/>
  <c r="Z118" i="5" s="1"/>
  <c r="BY119" i="16"/>
  <c r="Z119" i="5" s="1"/>
  <c r="BY120" i="16"/>
  <c r="Z120" i="5" s="1"/>
  <c r="BY121" i="16"/>
  <c r="Z121" i="5" s="1"/>
  <c r="BY122" i="16"/>
  <c r="Z122" i="5" s="1"/>
  <c r="BY123" i="16"/>
  <c r="Z123" i="5" s="1"/>
  <c r="BY124" i="16"/>
  <c r="Z124" i="5" s="1"/>
  <c r="BY125" i="16"/>
  <c r="Z125" i="5" s="1"/>
  <c r="BY126" i="16"/>
  <c r="Z126" i="5" s="1"/>
  <c r="BY127" i="16"/>
  <c r="Z127" i="5" s="1"/>
  <c r="BY128" i="16"/>
  <c r="Z128" i="5" s="1"/>
  <c r="BY129" i="16"/>
  <c r="Z129" i="5" s="1"/>
  <c r="BY130" i="16"/>
  <c r="Z130" i="5" s="1"/>
  <c r="BY131" i="16"/>
  <c r="Z131" i="5" s="1"/>
  <c r="BY132" i="16"/>
  <c r="Z132" i="5" s="1"/>
  <c r="BY133" i="16"/>
  <c r="Z133" i="5" s="1"/>
  <c r="BY134" i="16"/>
  <c r="Z134" i="5" s="1"/>
  <c r="BY135" i="16"/>
  <c r="Z135" i="5" s="1"/>
  <c r="BY136" i="16"/>
  <c r="Z136" i="5" s="1"/>
  <c r="BY137" i="16"/>
  <c r="Z137" i="5" s="1"/>
  <c r="BY138" i="16"/>
  <c r="Z138" i="5" s="1"/>
  <c r="BY139" i="16"/>
  <c r="Z139" i="5" s="1"/>
  <c r="BY140" i="16"/>
  <c r="Z140" i="5" s="1"/>
  <c r="BY141" i="16"/>
  <c r="Z141" i="5" s="1"/>
  <c r="BY142" i="16"/>
  <c r="Z142" i="5" s="1"/>
  <c r="BY143" i="16"/>
  <c r="Z143" i="5" s="1"/>
  <c r="BY144" i="16"/>
  <c r="Z144" i="5" s="1"/>
  <c r="BY145" i="16"/>
  <c r="Z145" i="5" s="1"/>
  <c r="BY146" i="16"/>
  <c r="Z146" i="5" s="1"/>
  <c r="BY147" i="16"/>
  <c r="Z147" i="5" s="1"/>
  <c r="BY148" i="16"/>
  <c r="Z148" i="5" s="1"/>
  <c r="BY149" i="16"/>
  <c r="Z149" i="5" s="1"/>
  <c r="BY150" i="16"/>
  <c r="Z150" i="5" s="1"/>
  <c r="BY151" i="16"/>
  <c r="Z151" i="5" s="1"/>
  <c r="BY152" i="16"/>
  <c r="Z152" i="5" s="1"/>
  <c r="BY153" i="16"/>
  <c r="Z153" i="5" s="1"/>
  <c r="BY154" i="16"/>
  <c r="Z154" i="5" s="1"/>
  <c r="BY155" i="16"/>
  <c r="Z155" i="5" s="1"/>
  <c r="BY156" i="16"/>
  <c r="Z156" i="5" s="1"/>
  <c r="BY157" i="16"/>
  <c r="Z157" i="5" s="1"/>
  <c r="BY158" i="16"/>
  <c r="Z158" i="5" s="1"/>
  <c r="BY159" i="16"/>
  <c r="Z159" i="5" s="1"/>
  <c r="BY160" i="16"/>
  <c r="Z160" i="5" s="1"/>
  <c r="BY161" i="16"/>
  <c r="Z161" i="5" s="1"/>
  <c r="BY162" i="16"/>
  <c r="Z162" i="5" s="1"/>
  <c r="BY163" i="16"/>
  <c r="Z163" i="5" s="1"/>
  <c r="BY164" i="16"/>
  <c r="Z164" i="5" s="1"/>
  <c r="BY165" i="16"/>
  <c r="Z165" i="5" s="1"/>
  <c r="BY166" i="16"/>
  <c r="Z166" i="5" s="1"/>
  <c r="BY167" i="16"/>
  <c r="Z167" i="5" s="1"/>
  <c r="BY168" i="16"/>
  <c r="Z168" i="5" s="1"/>
  <c r="BY169" i="16"/>
  <c r="Z169" i="5" s="1"/>
  <c r="BY170" i="16"/>
  <c r="Z170" i="5" s="1"/>
  <c r="BY171" i="16"/>
  <c r="Z171" i="5" s="1"/>
  <c r="BY172" i="16"/>
  <c r="Z172" i="5" s="1"/>
  <c r="BY173" i="16"/>
  <c r="Z173" i="5" s="1"/>
  <c r="BY174" i="16"/>
  <c r="Z174" i="5" s="1"/>
  <c r="BY175" i="16"/>
  <c r="Z175" i="5" s="1"/>
  <c r="BY176" i="16"/>
  <c r="Z176" i="5" s="1"/>
  <c r="BX3" i="16"/>
  <c r="Y3" i="5" s="1"/>
  <c r="BX4" i="16"/>
  <c r="Y4" i="5" s="1"/>
  <c r="BX5" i="16"/>
  <c r="Y5" i="5" s="1"/>
  <c r="BX6" i="16"/>
  <c r="Y6" i="5" s="1"/>
  <c r="BX7" i="16"/>
  <c r="Y7" i="5" s="1"/>
  <c r="BX8" i="16"/>
  <c r="Y8" i="5" s="1"/>
  <c r="BX9" i="16"/>
  <c r="Y9" i="5" s="1"/>
  <c r="BX10" i="16"/>
  <c r="Y10" i="5" s="1"/>
  <c r="BX11" i="16"/>
  <c r="Y11" i="5" s="1"/>
  <c r="BX12" i="16"/>
  <c r="Y12" i="5" s="1"/>
  <c r="BX13" i="16"/>
  <c r="Y13" i="5" s="1"/>
  <c r="BX14" i="16"/>
  <c r="Y14" i="5" s="1"/>
  <c r="BX15" i="16"/>
  <c r="Y15" i="5" s="1"/>
  <c r="BX16" i="16"/>
  <c r="Y16" i="5" s="1"/>
  <c r="BX17" i="16"/>
  <c r="Y17" i="5" s="1"/>
  <c r="BX18" i="16"/>
  <c r="Y18" i="5" s="1"/>
  <c r="BX19" i="16"/>
  <c r="Y19" i="5" s="1"/>
  <c r="BX20" i="16"/>
  <c r="Y20" i="5" s="1"/>
  <c r="BX21" i="16"/>
  <c r="Y21" i="5" s="1"/>
  <c r="BX22" i="16"/>
  <c r="Y22" i="5" s="1"/>
  <c r="BX23" i="16"/>
  <c r="Y23" i="5" s="1"/>
  <c r="BX24" i="16"/>
  <c r="Y24" i="5" s="1"/>
  <c r="BX25" i="16"/>
  <c r="Y25" i="5" s="1"/>
  <c r="BX26" i="16"/>
  <c r="Y26" i="5" s="1"/>
  <c r="BX27" i="16"/>
  <c r="Y27" i="5" s="1"/>
  <c r="BX28" i="16"/>
  <c r="Y28" i="5" s="1"/>
  <c r="BX29" i="16"/>
  <c r="Y29" i="5" s="1"/>
  <c r="BX30" i="16"/>
  <c r="Y30" i="5" s="1"/>
  <c r="BX31" i="16"/>
  <c r="Y31" i="5" s="1"/>
  <c r="BX32" i="16"/>
  <c r="Y32" i="5" s="1"/>
  <c r="BX33" i="16"/>
  <c r="Y33" i="5" s="1"/>
  <c r="BX34" i="16"/>
  <c r="Y34" i="5" s="1"/>
  <c r="BX35" i="16"/>
  <c r="Y35" i="5" s="1"/>
  <c r="BX36" i="16"/>
  <c r="Y36" i="5" s="1"/>
  <c r="BX37" i="16"/>
  <c r="Y37" i="5" s="1"/>
  <c r="BX38" i="16"/>
  <c r="Y38" i="5" s="1"/>
  <c r="BX39" i="16"/>
  <c r="Y39" i="5" s="1"/>
  <c r="BX40" i="16"/>
  <c r="Y40" i="5" s="1"/>
  <c r="BX41" i="16"/>
  <c r="Y41" i="5" s="1"/>
  <c r="BX42" i="16"/>
  <c r="Y42" i="5" s="1"/>
  <c r="BX43" i="16"/>
  <c r="Y43" i="5" s="1"/>
  <c r="BX44" i="16"/>
  <c r="Y44" i="5" s="1"/>
  <c r="BX45" i="16"/>
  <c r="Y45" i="5" s="1"/>
  <c r="BX46" i="16"/>
  <c r="Y46" i="5" s="1"/>
  <c r="BX47" i="16"/>
  <c r="Y47" i="5" s="1"/>
  <c r="BX48" i="16"/>
  <c r="Y48" i="5" s="1"/>
  <c r="BX49" i="16"/>
  <c r="Y49" i="5" s="1"/>
  <c r="BX50" i="16"/>
  <c r="Y50" i="5" s="1"/>
  <c r="BX51" i="16"/>
  <c r="Y51" i="5" s="1"/>
  <c r="BX52" i="16"/>
  <c r="Y52" i="5" s="1"/>
  <c r="BX53" i="16"/>
  <c r="Y53" i="5" s="1"/>
  <c r="BX54" i="16"/>
  <c r="Y54" i="5" s="1"/>
  <c r="BX55" i="16"/>
  <c r="Y55" i="5" s="1"/>
  <c r="BX56" i="16"/>
  <c r="Y56" i="5" s="1"/>
  <c r="BX57" i="16"/>
  <c r="Y57" i="5" s="1"/>
  <c r="BX58" i="16"/>
  <c r="Y58" i="5" s="1"/>
  <c r="BX59" i="16"/>
  <c r="Y59" i="5" s="1"/>
  <c r="BX60" i="16"/>
  <c r="Y60" i="5" s="1"/>
  <c r="BX61" i="16"/>
  <c r="Y61" i="5" s="1"/>
  <c r="BX62" i="16"/>
  <c r="Y62" i="5" s="1"/>
  <c r="BX63" i="16"/>
  <c r="Y63" i="5" s="1"/>
  <c r="BX64" i="16"/>
  <c r="Y64" i="5" s="1"/>
  <c r="BX65" i="16"/>
  <c r="Y65" i="5" s="1"/>
  <c r="BX66" i="16"/>
  <c r="Y66" i="5" s="1"/>
  <c r="BX67" i="16"/>
  <c r="Y67" i="5" s="1"/>
  <c r="BX68" i="16"/>
  <c r="Y68" i="5" s="1"/>
  <c r="BX69" i="16"/>
  <c r="Y69" i="5" s="1"/>
  <c r="BX70" i="16"/>
  <c r="Y70" i="5" s="1"/>
  <c r="BX71" i="16"/>
  <c r="Y71" i="5" s="1"/>
  <c r="BX72" i="16"/>
  <c r="Y72" i="5" s="1"/>
  <c r="BX73" i="16"/>
  <c r="Y73" i="5" s="1"/>
  <c r="BX74" i="16"/>
  <c r="Y74" i="5" s="1"/>
  <c r="BX75" i="16"/>
  <c r="Y75" i="5" s="1"/>
  <c r="BX76" i="16"/>
  <c r="Y76" i="5" s="1"/>
  <c r="BX77" i="16"/>
  <c r="Y77" i="5" s="1"/>
  <c r="BX78" i="16"/>
  <c r="Y78" i="5" s="1"/>
  <c r="BX79" i="16"/>
  <c r="Y79" i="5" s="1"/>
  <c r="BX80" i="16"/>
  <c r="Y80" i="5" s="1"/>
  <c r="BX81" i="16"/>
  <c r="Y81" i="5" s="1"/>
  <c r="BX82" i="16"/>
  <c r="Y82" i="5" s="1"/>
  <c r="BX83" i="16"/>
  <c r="Y83" i="5" s="1"/>
  <c r="BX84" i="16"/>
  <c r="Y84" i="5" s="1"/>
  <c r="BX85" i="16"/>
  <c r="Y85" i="5" s="1"/>
  <c r="BX86" i="16"/>
  <c r="Y86" i="5" s="1"/>
  <c r="BX87" i="16"/>
  <c r="Y87" i="5" s="1"/>
  <c r="BX88" i="16"/>
  <c r="Y88" i="5" s="1"/>
  <c r="BX89" i="16"/>
  <c r="Y89" i="5" s="1"/>
  <c r="BX90" i="16"/>
  <c r="Y90" i="5" s="1"/>
  <c r="BX91" i="16"/>
  <c r="Y91" i="5" s="1"/>
  <c r="BX92" i="16"/>
  <c r="Y92" i="5" s="1"/>
  <c r="BX93" i="16"/>
  <c r="Y93" i="5" s="1"/>
  <c r="BX94" i="16"/>
  <c r="Y94" i="5" s="1"/>
  <c r="BX95" i="16"/>
  <c r="Y95" i="5" s="1"/>
  <c r="BX96" i="16"/>
  <c r="Y96" i="5" s="1"/>
  <c r="BX97" i="16"/>
  <c r="Y97" i="5" s="1"/>
  <c r="BX98" i="16"/>
  <c r="Y98" i="5" s="1"/>
  <c r="BX99" i="16"/>
  <c r="Y99" i="5" s="1"/>
  <c r="BX100" i="16"/>
  <c r="Y100" i="5" s="1"/>
  <c r="BX101" i="16"/>
  <c r="Y101" i="5" s="1"/>
  <c r="BX102" i="16"/>
  <c r="Y102" i="5" s="1"/>
  <c r="BX103" i="16"/>
  <c r="Y103" i="5" s="1"/>
  <c r="BX104" i="16"/>
  <c r="Y104" i="5" s="1"/>
  <c r="BX105" i="16"/>
  <c r="Y105" i="5" s="1"/>
  <c r="BX106" i="16"/>
  <c r="Y106" i="5" s="1"/>
  <c r="BX107" i="16"/>
  <c r="Y107" i="5" s="1"/>
  <c r="BX108" i="16"/>
  <c r="Y108" i="5" s="1"/>
  <c r="BX109" i="16"/>
  <c r="Y109" i="5" s="1"/>
  <c r="BX110" i="16"/>
  <c r="Y110" i="5" s="1"/>
  <c r="BX111" i="16"/>
  <c r="Y111" i="5" s="1"/>
  <c r="BX112" i="16"/>
  <c r="Y112" i="5" s="1"/>
  <c r="BX113" i="16"/>
  <c r="Y113" i="5" s="1"/>
  <c r="BX114" i="16"/>
  <c r="Y114" i="5" s="1"/>
  <c r="BX115" i="16"/>
  <c r="Y115" i="5" s="1"/>
  <c r="BX116" i="16"/>
  <c r="Y116" i="5" s="1"/>
  <c r="BX117" i="16"/>
  <c r="Y117" i="5" s="1"/>
  <c r="BX118" i="16"/>
  <c r="Y118" i="5" s="1"/>
  <c r="BX119" i="16"/>
  <c r="Y119" i="5" s="1"/>
  <c r="BX120" i="16"/>
  <c r="Y120" i="5" s="1"/>
  <c r="BX121" i="16"/>
  <c r="Y121" i="5" s="1"/>
  <c r="BX122" i="16"/>
  <c r="Y122" i="5" s="1"/>
  <c r="BX123" i="16"/>
  <c r="Y123" i="5" s="1"/>
  <c r="BX124" i="16"/>
  <c r="Y124" i="5" s="1"/>
  <c r="BX125" i="16"/>
  <c r="Y125" i="5" s="1"/>
  <c r="BX126" i="16"/>
  <c r="Y126" i="5" s="1"/>
  <c r="BX127" i="16"/>
  <c r="Y127" i="5" s="1"/>
  <c r="BX128" i="16"/>
  <c r="Y128" i="5" s="1"/>
  <c r="BX129" i="16"/>
  <c r="Y129" i="5" s="1"/>
  <c r="BX130" i="16"/>
  <c r="Y130" i="5" s="1"/>
  <c r="BX131" i="16"/>
  <c r="Y131" i="5" s="1"/>
  <c r="BX132" i="16"/>
  <c r="Y132" i="5" s="1"/>
  <c r="BX133" i="16"/>
  <c r="Y133" i="5" s="1"/>
  <c r="BX134" i="16"/>
  <c r="Y134" i="5" s="1"/>
  <c r="BX135" i="16"/>
  <c r="Y135" i="5" s="1"/>
  <c r="BX136" i="16"/>
  <c r="Y136" i="5" s="1"/>
  <c r="BX137" i="16"/>
  <c r="Y137" i="5" s="1"/>
  <c r="BX138" i="16"/>
  <c r="Y138" i="5" s="1"/>
  <c r="BX139" i="16"/>
  <c r="Y139" i="5" s="1"/>
  <c r="BX140" i="16"/>
  <c r="Y140" i="5" s="1"/>
  <c r="BX141" i="16"/>
  <c r="Y141" i="5" s="1"/>
  <c r="BX142" i="16"/>
  <c r="Y142" i="5" s="1"/>
  <c r="BX143" i="16"/>
  <c r="Y143" i="5" s="1"/>
  <c r="BX144" i="16"/>
  <c r="Y144" i="5" s="1"/>
  <c r="BX145" i="16"/>
  <c r="Y145" i="5" s="1"/>
  <c r="BX146" i="16"/>
  <c r="Y146" i="5" s="1"/>
  <c r="BX147" i="16"/>
  <c r="Y147" i="5" s="1"/>
  <c r="BX148" i="16"/>
  <c r="Y148" i="5" s="1"/>
  <c r="BX149" i="16"/>
  <c r="Y149" i="5" s="1"/>
  <c r="BX150" i="16"/>
  <c r="Y150" i="5" s="1"/>
  <c r="BX151" i="16"/>
  <c r="Y151" i="5" s="1"/>
  <c r="BX152" i="16"/>
  <c r="Y152" i="5" s="1"/>
  <c r="BX153" i="16"/>
  <c r="Y153" i="5" s="1"/>
  <c r="BX154" i="16"/>
  <c r="Y154" i="5" s="1"/>
  <c r="BX155" i="16"/>
  <c r="Y155" i="5" s="1"/>
  <c r="BX156" i="16"/>
  <c r="Y156" i="5" s="1"/>
  <c r="BX157" i="16"/>
  <c r="Y157" i="5" s="1"/>
  <c r="BX158" i="16"/>
  <c r="Y158" i="5" s="1"/>
  <c r="BX159" i="16"/>
  <c r="Y159" i="5" s="1"/>
  <c r="BX160" i="16"/>
  <c r="Y160" i="5" s="1"/>
  <c r="BX161" i="16"/>
  <c r="Y161" i="5" s="1"/>
  <c r="BX162" i="16"/>
  <c r="Y162" i="5" s="1"/>
  <c r="BX163" i="16"/>
  <c r="Y163" i="5" s="1"/>
  <c r="BX164" i="16"/>
  <c r="Y164" i="5" s="1"/>
  <c r="BX165" i="16"/>
  <c r="Y165" i="5" s="1"/>
  <c r="BX166" i="16"/>
  <c r="Y166" i="5" s="1"/>
  <c r="BX167" i="16"/>
  <c r="Y167" i="5" s="1"/>
  <c r="BX168" i="16"/>
  <c r="Y168" i="5" s="1"/>
  <c r="BX169" i="16"/>
  <c r="Y169" i="5" s="1"/>
  <c r="BX170" i="16"/>
  <c r="Y170" i="5" s="1"/>
  <c r="BX171" i="16"/>
  <c r="Y171" i="5" s="1"/>
  <c r="BX172" i="16"/>
  <c r="Y172" i="5" s="1"/>
  <c r="BX173" i="16"/>
  <c r="Y173" i="5" s="1"/>
  <c r="BX174" i="16"/>
  <c r="Y174" i="5" s="1"/>
  <c r="BX175" i="16"/>
  <c r="Y175" i="5" s="1"/>
  <c r="BX176" i="16"/>
  <c r="Y176" i="5" s="1"/>
  <c r="BW3" i="16"/>
  <c r="X3" i="5" s="1"/>
  <c r="BW4" i="16"/>
  <c r="X4" i="5" s="1"/>
  <c r="BW5" i="16"/>
  <c r="X5" i="5" s="1"/>
  <c r="BW6" i="16"/>
  <c r="X6" i="5" s="1"/>
  <c r="BW7" i="16"/>
  <c r="X7" i="5" s="1"/>
  <c r="BW8" i="16"/>
  <c r="X8" i="5" s="1"/>
  <c r="BW9" i="16"/>
  <c r="X9" i="5" s="1"/>
  <c r="BW10" i="16"/>
  <c r="X10" i="5" s="1"/>
  <c r="BW11" i="16"/>
  <c r="X11" i="5" s="1"/>
  <c r="BW12" i="16"/>
  <c r="X12" i="5" s="1"/>
  <c r="BW13" i="16"/>
  <c r="X13" i="5" s="1"/>
  <c r="BW14" i="16"/>
  <c r="X14" i="5" s="1"/>
  <c r="BW15" i="16"/>
  <c r="X15" i="5" s="1"/>
  <c r="BW16" i="16"/>
  <c r="X16" i="5" s="1"/>
  <c r="BW17" i="16"/>
  <c r="X17" i="5" s="1"/>
  <c r="BW18" i="16"/>
  <c r="X18" i="5" s="1"/>
  <c r="BW19" i="16"/>
  <c r="X19" i="5" s="1"/>
  <c r="BW20" i="16"/>
  <c r="X20" i="5" s="1"/>
  <c r="BW21" i="16"/>
  <c r="X21" i="5" s="1"/>
  <c r="BW22" i="16"/>
  <c r="X22" i="5" s="1"/>
  <c r="BW23" i="16"/>
  <c r="X23" i="5" s="1"/>
  <c r="BW24" i="16"/>
  <c r="X24" i="5" s="1"/>
  <c r="BW25" i="16"/>
  <c r="X25" i="5" s="1"/>
  <c r="BW26" i="16"/>
  <c r="X26" i="5" s="1"/>
  <c r="BW27" i="16"/>
  <c r="X27" i="5" s="1"/>
  <c r="BW28" i="16"/>
  <c r="X28" i="5" s="1"/>
  <c r="BW29" i="16"/>
  <c r="X29" i="5" s="1"/>
  <c r="BW30" i="16"/>
  <c r="X30" i="5" s="1"/>
  <c r="BW31" i="16"/>
  <c r="X31" i="5" s="1"/>
  <c r="BW32" i="16"/>
  <c r="X32" i="5" s="1"/>
  <c r="BW33" i="16"/>
  <c r="X33" i="5" s="1"/>
  <c r="BW34" i="16"/>
  <c r="X34" i="5" s="1"/>
  <c r="BW35" i="16"/>
  <c r="X35" i="5" s="1"/>
  <c r="BW36" i="16"/>
  <c r="X36" i="5" s="1"/>
  <c r="BW37" i="16"/>
  <c r="X37" i="5" s="1"/>
  <c r="BW38" i="16"/>
  <c r="X38" i="5" s="1"/>
  <c r="BW39" i="16"/>
  <c r="X39" i="5" s="1"/>
  <c r="BW40" i="16"/>
  <c r="X40" i="5" s="1"/>
  <c r="BW41" i="16"/>
  <c r="X41" i="5" s="1"/>
  <c r="BW42" i="16"/>
  <c r="X42" i="5" s="1"/>
  <c r="BW43" i="16"/>
  <c r="X43" i="5" s="1"/>
  <c r="BW44" i="16"/>
  <c r="X44" i="5" s="1"/>
  <c r="BW45" i="16"/>
  <c r="X45" i="5" s="1"/>
  <c r="BW46" i="16"/>
  <c r="X46" i="5" s="1"/>
  <c r="BW47" i="16"/>
  <c r="X47" i="5" s="1"/>
  <c r="BW48" i="16"/>
  <c r="X48" i="5" s="1"/>
  <c r="BW49" i="16"/>
  <c r="X49" i="5" s="1"/>
  <c r="BW50" i="16"/>
  <c r="X50" i="5" s="1"/>
  <c r="BW51" i="16"/>
  <c r="X51" i="5" s="1"/>
  <c r="BW52" i="16"/>
  <c r="X52" i="5" s="1"/>
  <c r="BW53" i="16"/>
  <c r="X53" i="5" s="1"/>
  <c r="BW54" i="16"/>
  <c r="X54" i="5" s="1"/>
  <c r="BW55" i="16"/>
  <c r="X55" i="5" s="1"/>
  <c r="BW56" i="16"/>
  <c r="X56" i="5" s="1"/>
  <c r="BW57" i="16"/>
  <c r="X57" i="5" s="1"/>
  <c r="BW58" i="16"/>
  <c r="X58" i="5" s="1"/>
  <c r="BW59" i="16"/>
  <c r="X59" i="5" s="1"/>
  <c r="BW60" i="16"/>
  <c r="X60" i="5" s="1"/>
  <c r="BW61" i="16"/>
  <c r="X61" i="5" s="1"/>
  <c r="BW62" i="16"/>
  <c r="X62" i="5" s="1"/>
  <c r="BW63" i="16"/>
  <c r="X63" i="5" s="1"/>
  <c r="BW64" i="16"/>
  <c r="X64" i="5" s="1"/>
  <c r="BW65" i="16"/>
  <c r="X65" i="5" s="1"/>
  <c r="BW66" i="16"/>
  <c r="X66" i="5" s="1"/>
  <c r="BW67" i="16"/>
  <c r="X67" i="5" s="1"/>
  <c r="BW68" i="16"/>
  <c r="X68" i="5" s="1"/>
  <c r="BW69" i="16"/>
  <c r="X69" i="5" s="1"/>
  <c r="BW70" i="16"/>
  <c r="X70" i="5" s="1"/>
  <c r="BW71" i="16"/>
  <c r="X71" i="5" s="1"/>
  <c r="BW72" i="16"/>
  <c r="X72" i="5" s="1"/>
  <c r="BW73" i="16"/>
  <c r="X73" i="5" s="1"/>
  <c r="BW74" i="16"/>
  <c r="X74" i="5" s="1"/>
  <c r="BW75" i="16"/>
  <c r="X75" i="5" s="1"/>
  <c r="BW76" i="16"/>
  <c r="X76" i="5" s="1"/>
  <c r="BW77" i="16"/>
  <c r="X77" i="5" s="1"/>
  <c r="BW78" i="16"/>
  <c r="X78" i="5" s="1"/>
  <c r="BW79" i="16"/>
  <c r="X79" i="5" s="1"/>
  <c r="BW80" i="16"/>
  <c r="X80" i="5" s="1"/>
  <c r="BW81" i="16"/>
  <c r="X81" i="5" s="1"/>
  <c r="BW82" i="16"/>
  <c r="X82" i="5" s="1"/>
  <c r="BW83" i="16"/>
  <c r="X83" i="5" s="1"/>
  <c r="BW84" i="16"/>
  <c r="X84" i="5" s="1"/>
  <c r="BW85" i="16"/>
  <c r="X85" i="5" s="1"/>
  <c r="BW86" i="16"/>
  <c r="X86" i="5" s="1"/>
  <c r="BW87" i="16"/>
  <c r="X87" i="5" s="1"/>
  <c r="BW88" i="16"/>
  <c r="X88" i="5" s="1"/>
  <c r="BW89" i="16"/>
  <c r="X89" i="5" s="1"/>
  <c r="BW90" i="16"/>
  <c r="X90" i="5" s="1"/>
  <c r="BW91" i="16"/>
  <c r="X91" i="5" s="1"/>
  <c r="BW92" i="16"/>
  <c r="X92" i="5" s="1"/>
  <c r="BW93" i="16"/>
  <c r="X93" i="5" s="1"/>
  <c r="BW94" i="16"/>
  <c r="X94" i="5" s="1"/>
  <c r="BW95" i="16"/>
  <c r="X95" i="5" s="1"/>
  <c r="BW96" i="16"/>
  <c r="X96" i="5" s="1"/>
  <c r="BW97" i="16"/>
  <c r="X97" i="5" s="1"/>
  <c r="BW98" i="16"/>
  <c r="X98" i="5" s="1"/>
  <c r="BW99" i="16"/>
  <c r="X99" i="5" s="1"/>
  <c r="BW100" i="16"/>
  <c r="X100" i="5" s="1"/>
  <c r="BW101" i="16"/>
  <c r="X101" i="5" s="1"/>
  <c r="BW102" i="16"/>
  <c r="X102" i="5" s="1"/>
  <c r="BW103" i="16"/>
  <c r="X103" i="5" s="1"/>
  <c r="BW104" i="16"/>
  <c r="X104" i="5" s="1"/>
  <c r="BW105" i="16"/>
  <c r="X105" i="5" s="1"/>
  <c r="BW106" i="16"/>
  <c r="X106" i="5" s="1"/>
  <c r="BW107" i="16"/>
  <c r="X107" i="5" s="1"/>
  <c r="BW108" i="16"/>
  <c r="X108" i="5" s="1"/>
  <c r="BW109" i="16"/>
  <c r="X109" i="5" s="1"/>
  <c r="BW110" i="16"/>
  <c r="X110" i="5" s="1"/>
  <c r="BW111" i="16"/>
  <c r="X111" i="5" s="1"/>
  <c r="BW112" i="16"/>
  <c r="X112" i="5" s="1"/>
  <c r="BW113" i="16"/>
  <c r="X113" i="5" s="1"/>
  <c r="BW114" i="16"/>
  <c r="X114" i="5" s="1"/>
  <c r="BW115" i="16"/>
  <c r="X115" i="5" s="1"/>
  <c r="BW116" i="16"/>
  <c r="X116" i="5" s="1"/>
  <c r="BW117" i="16"/>
  <c r="X117" i="5" s="1"/>
  <c r="BW118" i="16"/>
  <c r="X118" i="5" s="1"/>
  <c r="BW119" i="16"/>
  <c r="X119" i="5" s="1"/>
  <c r="BW120" i="16"/>
  <c r="X120" i="5" s="1"/>
  <c r="BW121" i="16"/>
  <c r="X121" i="5" s="1"/>
  <c r="BW122" i="16"/>
  <c r="X122" i="5" s="1"/>
  <c r="BW123" i="16"/>
  <c r="X123" i="5" s="1"/>
  <c r="BW124" i="16"/>
  <c r="X124" i="5" s="1"/>
  <c r="BW125" i="16"/>
  <c r="X125" i="5" s="1"/>
  <c r="BW126" i="16"/>
  <c r="X126" i="5" s="1"/>
  <c r="BW127" i="16"/>
  <c r="X127" i="5" s="1"/>
  <c r="BW128" i="16"/>
  <c r="X128" i="5" s="1"/>
  <c r="BW129" i="16"/>
  <c r="X129" i="5" s="1"/>
  <c r="BW130" i="16"/>
  <c r="X130" i="5" s="1"/>
  <c r="BW131" i="16"/>
  <c r="X131" i="5" s="1"/>
  <c r="BW132" i="16"/>
  <c r="X132" i="5" s="1"/>
  <c r="BW133" i="16"/>
  <c r="X133" i="5" s="1"/>
  <c r="BW134" i="16"/>
  <c r="X134" i="5" s="1"/>
  <c r="BW135" i="16"/>
  <c r="X135" i="5" s="1"/>
  <c r="BW136" i="16"/>
  <c r="X136" i="5" s="1"/>
  <c r="BW137" i="16"/>
  <c r="X137" i="5" s="1"/>
  <c r="BW138" i="16"/>
  <c r="X138" i="5" s="1"/>
  <c r="BW139" i="16"/>
  <c r="X139" i="5" s="1"/>
  <c r="BW140" i="16"/>
  <c r="X140" i="5" s="1"/>
  <c r="BW141" i="16"/>
  <c r="X141" i="5" s="1"/>
  <c r="BW142" i="16"/>
  <c r="X142" i="5" s="1"/>
  <c r="BW143" i="16"/>
  <c r="X143" i="5" s="1"/>
  <c r="BW144" i="16"/>
  <c r="X144" i="5" s="1"/>
  <c r="BW145" i="16"/>
  <c r="X145" i="5" s="1"/>
  <c r="BW146" i="16"/>
  <c r="X146" i="5" s="1"/>
  <c r="BW147" i="16"/>
  <c r="X147" i="5" s="1"/>
  <c r="BW148" i="16"/>
  <c r="X148" i="5" s="1"/>
  <c r="BW149" i="16"/>
  <c r="X149" i="5" s="1"/>
  <c r="BW150" i="16"/>
  <c r="X150" i="5" s="1"/>
  <c r="BW151" i="16"/>
  <c r="X151" i="5" s="1"/>
  <c r="BW152" i="16"/>
  <c r="X152" i="5" s="1"/>
  <c r="BW153" i="16"/>
  <c r="X153" i="5" s="1"/>
  <c r="BW154" i="16"/>
  <c r="X154" i="5" s="1"/>
  <c r="BW155" i="16"/>
  <c r="X155" i="5" s="1"/>
  <c r="BW156" i="16"/>
  <c r="X156" i="5" s="1"/>
  <c r="BW157" i="16"/>
  <c r="X157" i="5" s="1"/>
  <c r="BW158" i="16"/>
  <c r="X158" i="5" s="1"/>
  <c r="BW159" i="16"/>
  <c r="X159" i="5" s="1"/>
  <c r="BW160" i="16"/>
  <c r="X160" i="5" s="1"/>
  <c r="BW161" i="16"/>
  <c r="X161" i="5" s="1"/>
  <c r="BW162" i="16"/>
  <c r="X162" i="5" s="1"/>
  <c r="BW163" i="16"/>
  <c r="X163" i="5" s="1"/>
  <c r="BW164" i="16"/>
  <c r="X164" i="5" s="1"/>
  <c r="BW165" i="16"/>
  <c r="X165" i="5" s="1"/>
  <c r="BW166" i="16"/>
  <c r="X166" i="5" s="1"/>
  <c r="BW167" i="16"/>
  <c r="X167" i="5" s="1"/>
  <c r="BW168" i="16"/>
  <c r="X168" i="5" s="1"/>
  <c r="BW169" i="16"/>
  <c r="X169" i="5" s="1"/>
  <c r="BW170" i="16"/>
  <c r="X170" i="5" s="1"/>
  <c r="BW171" i="16"/>
  <c r="X171" i="5" s="1"/>
  <c r="BW172" i="16"/>
  <c r="X172" i="5" s="1"/>
  <c r="BW173" i="16"/>
  <c r="X173" i="5" s="1"/>
  <c r="BW174" i="16"/>
  <c r="X174" i="5" s="1"/>
  <c r="BW175" i="16"/>
  <c r="X175" i="5" s="1"/>
  <c r="BW176" i="16"/>
  <c r="X176" i="5" s="1"/>
  <c r="BV3" i="16"/>
  <c r="W3" i="5" s="1"/>
  <c r="BV4" i="16"/>
  <c r="W4" i="5" s="1"/>
  <c r="BV5" i="16"/>
  <c r="W5" i="5" s="1"/>
  <c r="BV6" i="16"/>
  <c r="W6" i="5" s="1"/>
  <c r="BV7" i="16"/>
  <c r="W7" i="5" s="1"/>
  <c r="BV8" i="16"/>
  <c r="W8" i="5" s="1"/>
  <c r="BV9" i="16"/>
  <c r="W9" i="5" s="1"/>
  <c r="BV10" i="16"/>
  <c r="W10" i="5" s="1"/>
  <c r="BV11" i="16"/>
  <c r="W11" i="5" s="1"/>
  <c r="BV12" i="16"/>
  <c r="W12" i="5" s="1"/>
  <c r="BV13" i="16"/>
  <c r="W13" i="5" s="1"/>
  <c r="BV14" i="16"/>
  <c r="W14" i="5" s="1"/>
  <c r="BV15" i="16"/>
  <c r="W15" i="5" s="1"/>
  <c r="BV16" i="16"/>
  <c r="W16" i="5" s="1"/>
  <c r="BV17" i="16"/>
  <c r="W17" i="5" s="1"/>
  <c r="BV18" i="16"/>
  <c r="W18" i="5" s="1"/>
  <c r="BV19" i="16"/>
  <c r="W19" i="5" s="1"/>
  <c r="BV20" i="16"/>
  <c r="W20" i="5" s="1"/>
  <c r="BV21" i="16"/>
  <c r="W21" i="5" s="1"/>
  <c r="BV22" i="16"/>
  <c r="W22" i="5" s="1"/>
  <c r="BV23" i="16"/>
  <c r="W23" i="5" s="1"/>
  <c r="BV24" i="16"/>
  <c r="W24" i="5" s="1"/>
  <c r="BV25" i="16"/>
  <c r="W25" i="5" s="1"/>
  <c r="BV26" i="16"/>
  <c r="W26" i="5" s="1"/>
  <c r="BV27" i="16"/>
  <c r="W27" i="5" s="1"/>
  <c r="BV28" i="16"/>
  <c r="W28" i="5" s="1"/>
  <c r="BV29" i="16"/>
  <c r="W29" i="5" s="1"/>
  <c r="BV30" i="16"/>
  <c r="W30" i="5" s="1"/>
  <c r="BV31" i="16"/>
  <c r="W31" i="5" s="1"/>
  <c r="BV32" i="16"/>
  <c r="W32" i="5" s="1"/>
  <c r="BV33" i="16"/>
  <c r="W33" i="5" s="1"/>
  <c r="BV34" i="16"/>
  <c r="W34" i="5" s="1"/>
  <c r="BV35" i="16"/>
  <c r="W35" i="5" s="1"/>
  <c r="BV36" i="16"/>
  <c r="W36" i="5" s="1"/>
  <c r="BV37" i="16"/>
  <c r="W37" i="5" s="1"/>
  <c r="BV38" i="16"/>
  <c r="W38" i="5" s="1"/>
  <c r="BV39" i="16"/>
  <c r="W39" i="5" s="1"/>
  <c r="BV40" i="16"/>
  <c r="W40" i="5" s="1"/>
  <c r="BV41" i="16"/>
  <c r="W41" i="5" s="1"/>
  <c r="BV42" i="16"/>
  <c r="W42" i="5" s="1"/>
  <c r="BV43" i="16"/>
  <c r="W43" i="5" s="1"/>
  <c r="BV44" i="16"/>
  <c r="W44" i="5" s="1"/>
  <c r="BV45" i="16"/>
  <c r="W45" i="5" s="1"/>
  <c r="BV46" i="16"/>
  <c r="W46" i="5" s="1"/>
  <c r="BV47" i="16"/>
  <c r="W47" i="5" s="1"/>
  <c r="BV48" i="16"/>
  <c r="W48" i="5" s="1"/>
  <c r="BV49" i="16"/>
  <c r="W49" i="5" s="1"/>
  <c r="BV50" i="16"/>
  <c r="W50" i="5" s="1"/>
  <c r="BV51" i="16"/>
  <c r="W51" i="5" s="1"/>
  <c r="BV52" i="16"/>
  <c r="W52" i="5" s="1"/>
  <c r="BV53" i="16"/>
  <c r="W53" i="5" s="1"/>
  <c r="BV54" i="16"/>
  <c r="W54" i="5" s="1"/>
  <c r="BV55" i="16"/>
  <c r="W55" i="5" s="1"/>
  <c r="BV56" i="16"/>
  <c r="W56" i="5" s="1"/>
  <c r="BV57" i="16"/>
  <c r="W57" i="5" s="1"/>
  <c r="BV58" i="16"/>
  <c r="W58" i="5" s="1"/>
  <c r="BV59" i="16"/>
  <c r="W59" i="5" s="1"/>
  <c r="BV60" i="16"/>
  <c r="W60" i="5" s="1"/>
  <c r="BV61" i="16"/>
  <c r="W61" i="5" s="1"/>
  <c r="BV62" i="16"/>
  <c r="W62" i="5" s="1"/>
  <c r="BV63" i="16"/>
  <c r="W63" i="5" s="1"/>
  <c r="BV64" i="16"/>
  <c r="W64" i="5" s="1"/>
  <c r="BV65" i="16"/>
  <c r="W65" i="5" s="1"/>
  <c r="BV66" i="16"/>
  <c r="W66" i="5" s="1"/>
  <c r="BV67" i="16"/>
  <c r="W67" i="5" s="1"/>
  <c r="BV68" i="16"/>
  <c r="W68" i="5" s="1"/>
  <c r="BV69" i="16"/>
  <c r="W69" i="5" s="1"/>
  <c r="BV70" i="16"/>
  <c r="W70" i="5" s="1"/>
  <c r="BV71" i="16"/>
  <c r="W71" i="5" s="1"/>
  <c r="BV72" i="16"/>
  <c r="W72" i="5" s="1"/>
  <c r="BV73" i="16"/>
  <c r="W73" i="5" s="1"/>
  <c r="BV74" i="16"/>
  <c r="W74" i="5" s="1"/>
  <c r="BV75" i="16"/>
  <c r="W75" i="5" s="1"/>
  <c r="BV76" i="16"/>
  <c r="W76" i="5" s="1"/>
  <c r="BV77" i="16"/>
  <c r="W77" i="5" s="1"/>
  <c r="BV78" i="16"/>
  <c r="W78" i="5" s="1"/>
  <c r="BV79" i="16"/>
  <c r="W79" i="5" s="1"/>
  <c r="BV80" i="16"/>
  <c r="W80" i="5" s="1"/>
  <c r="BV81" i="16"/>
  <c r="W81" i="5" s="1"/>
  <c r="BV82" i="16"/>
  <c r="W82" i="5" s="1"/>
  <c r="BV83" i="16"/>
  <c r="W83" i="5" s="1"/>
  <c r="BV84" i="16"/>
  <c r="W84" i="5" s="1"/>
  <c r="BV85" i="16"/>
  <c r="W85" i="5" s="1"/>
  <c r="BV86" i="16"/>
  <c r="W86" i="5" s="1"/>
  <c r="BV87" i="16"/>
  <c r="W87" i="5" s="1"/>
  <c r="BV88" i="16"/>
  <c r="W88" i="5" s="1"/>
  <c r="BV89" i="16"/>
  <c r="W89" i="5" s="1"/>
  <c r="BV90" i="16"/>
  <c r="W90" i="5" s="1"/>
  <c r="BV91" i="16"/>
  <c r="W91" i="5" s="1"/>
  <c r="BV92" i="16"/>
  <c r="W92" i="5" s="1"/>
  <c r="BV93" i="16"/>
  <c r="W93" i="5" s="1"/>
  <c r="BV94" i="16"/>
  <c r="W94" i="5" s="1"/>
  <c r="BV95" i="16"/>
  <c r="W95" i="5" s="1"/>
  <c r="BV96" i="16"/>
  <c r="W96" i="5" s="1"/>
  <c r="BV97" i="16"/>
  <c r="W97" i="5" s="1"/>
  <c r="BV98" i="16"/>
  <c r="W98" i="5" s="1"/>
  <c r="BV99" i="16"/>
  <c r="W99" i="5" s="1"/>
  <c r="BV100" i="16"/>
  <c r="W100" i="5" s="1"/>
  <c r="BV101" i="16"/>
  <c r="W101" i="5" s="1"/>
  <c r="BV102" i="16"/>
  <c r="W102" i="5" s="1"/>
  <c r="BV103" i="16"/>
  <c r="W103" i="5" s="1"/>
  <c r="BV104" i="16"/>
  <c r="W104" i="5" s="1"/>
  <c r="BV105" i="16"/>
  <c r="W105" i="5" s="1"/>
  <c r="BV106" i="16"/>
  <c r="W106" i="5" s="1"/>
  <c r="BV107" i="16"/>
  <c r="W107" i="5" s="1"/>
  <c r="BV108" i="16"/>
  <c r="W108" i="5" s="1"/>
  <c r="BV109" i="16"/>
  <c r="W109" i="5" s="1"/>
  <c r="BV110" i="16"/>
  <c r="W110" i="5" s="1"/>
  <c r="BV111" i="16"/>
  <c r="W111" i="5" s="1"/>
  <c r="BV112" i="16"/>
  <c r="W112" i="5" s="1"/>
  <c r="BV113" i="16"/>
  <c r="W113" i="5" s="1"/>
  <c r="BV114" i="16"/>
  <c r="W114" i="5" s="1"/>
  <c r="BV115" i="16"/>
  <c r="W115" i="5" s="1"/>
  <c r="BV116" i="16"/>
  <c r="W116" i="5" s="1"/>
  <c r="BV117" i="16"/>
  <c r="W117" i="5" s="1"/>
  <c r="BV118" i="16"/>
  <c r="W118" i="5" s="1"/>
  <c r="BV119" i="16"/>
  <c r="W119" i="5" s="1"/>
  <c r="BV120" i="16"/>
  <c r="W120" i="5" s="1"/>
  <c r="BV121" i="16"/>
  <c r="W121" i="5" s="1"/>
  <c r="BV122" i="16"/>
  <c r="W122" i="5" s="1"/>
  <c r="BV123" i="16"/>
  <c r="W123" i="5" s="1"/>
  <c r="BV124" i="16"/>
  <c r="W124" i="5" s="1"/>
  <c r="BV125" i="16"/>
  <c r="W125" i="5" s="1"/>
  <c r="BV126" i="16"/>
  <c r="W126" i="5" s="1"/>
  <c r="BV127" i="16"/>
  <c r="W127" i="5" s="1"/>
  <c r="BV128" i="16"/>
  <c r="W128" i="5" s="1"/>
  <c r="BV129" i="16"/>
  <c r="W129" i="5" s="1"/>
  <c r="BV130" i="16"/>
  <c r="W130" i="5" s="1"/>
  <c r="BV131" i="16"/>
  <c r="W131" i="5" s="1"/>
  <c r="BV132" i="16"/>
  <c r="W132" i="5" s="1"/>
  <c r="BV133" i="16"/>
  <c r="W133" i="5" s="1"/>
  <c r="BV134" i="16"/>
  <c r="W134" i="5" s="1"/>
  <c r="BV135" i="16"/>
  <c r="W135" i="5" s="1"/>
  <c r="BV136" i="16"/>
  <c r="W136" i="5" s="1"/>
  <c r="BV137" i="16"/>
  <c r="W137" i="5" s="1"/>
  <c r="BV138" i="16"/>
  <c r="W138" i="5" s="1"/>
  <c r="BV139" i="16"/>
  <c r="W139" i="5" s="1"/>
  <c r="BV140" i="16"/>
  <c r="W140" i="5" s="1"/>
  <c r="BV141" i="16"/>
  <c r="W141" i="5" s="1"/>
  <c r="BV142" i="16"/>
  <c r="W142" i="5" s="1"/>
  <c r="BV143" i="16"/>
  <c r="W143" i="5" s="1"/>
  <c r="BV144" i="16"/>
  <c r="W144" i="5" s="1"/>
  <c r="BV145" i="16"/>
  <c r="W145" i="5" s="1"/>
  <c r="BV146" i="16"/>
  <c r="W146" i="5" s="1"/>
  <c r="BV147" i="16"/>
  <c r="W147" i="5" s="1"/>
  <c r="BV148" i="16"/>
  <c r="W148" i="5" s="1"/>
  <c r="BV149" i="16"/>
  <c r="W149" i="5" s="1"/>
  <c r="BV150" i="16"/>
  <c r="W150" i="5" s="1"/>
  <c r="BV151" i="16"/>
  <c r="W151" i="5" s="1"/>
  <c r="BV152" i="16"/>
  <c r="W152" i="5" s="1"/>
  <c r="BV153" i="16"/>
  <c r="W153" i="5" s="1"/>
  <c r="BV154" i="16"/>
  <c r="W154" i="5" s="1"/>
  <c r="AE155" i="3" s="1"/>
  <c r="BV155" i="16"/>
  <c r="W155" i="5" s="1"/>
  <c r="AE156" i="3" s="1"/>
  <c r="BV156" i="16"/>
  <c r="W156" i="5" s="1"/>
  <c r="AE157" i="3" s="1"/>
  <c r="BV157" i="16"/>
  <c r="W157" i="5" s="1"/>
  <c r="BV158" i="16"/>
  <c r="W158" i="5" s="1"/>
  <c r="AE159" i="3" s="1"/>
  <c r="BV159" i="16"/>
  <c r="W159" i="5" s="1"/>
  <c r="BV160" i="16"/>
  <c r="W160" i="5" s="1"/>
  <c r="BV161" i="16"/>
  <c r="W161" i="5" s="1"/>
  <c r="BV162" i="16"/>
  <c r="W162" i="5" s="1"/>
  <c r="BV163" i="16"/>
  <c r="W163" i="5" s="1"/>
  <c r="BV164" i="16"/>
  <c r="W164" i="5" s="1"/>
  <c r="BV165" i="16"/>
  <c r="W165" i="5" s="1"/>
  <c r="AE166" i="3" s="1"/>
  <c r="BV166" i="16"/>
  <c r="W166" i="5" s="1"/>
  <c r="BV167" i="16"/>
  <c r="W167" i="5" s="1"/>
  <c r="BV168" i="16"/>
  <c r="W168" i="5" s="1"/>
  <c r="BV169" i="16"/>
  <c r="W169" i="5" s="1"/>
  <c r="BV170" i="16"/>
  <c r="W170" i="5" s="1"/>
  <c r="BV171" i="16"/>
  <c r="W171" i="5" s="1"/>
  <c r="AE172" i="3" s="1"/>
  <c r="BV172" i="16"/>
  <c r="W172" i="5" s="1"/>
  <c r="BV173" i="16"/>
  <c r="W173" i="5" s="1"/>
  <c r="BV174" i="16"/>
  <c r="W174" i="5" s="1"/>
  <c r="BV175" i="16"/>
  <c r="W175" i="5" s="1"/>
  <c r="BV176" i="16"/>
  <c r="W176" i="5" s="1"/>
  <c r="AE177" i="3" s="1"/>
  <c r="BU3" i="16"/>
  <c r="BU4" i="16"/>
  <c r="BU5" i="16"/>
  <c r="BU6" i="16"/>
  <c r="BU7" i="16"/>
  <c r="BU8" i="16"/>
  <c r="BU9" i="16"/>
  <c r="BU10" i="16"/>
  <c r="BU11" i="16"/>
  <c r="BU12" i="16"/>
  <c r="BU13" i="16"/>
  <c r="BU14" i="16"/>
  <c r="BU15" i="16"/>
  <c r="BU16" i="16"/>
  <c r="BU17" i="16"/>
  <c r="BU18" i="16"/>
  <c r="BU19" i="16"/>
  <c r="BU20" i="16"/>
  <c r="BU21" i="16"/>
  <c r="BU22" i="16"/>
  <c r="BU23" i="16"/>
  <c r="BU24" i="16"/>
  <c r="BU25" i="16"/>
  <c r="BU26" i="16"/>
  <c r="BU27" i="16"/>
  <c r="BU28" i="16"/>
  <c r="BU29" i="16"/>
  <c r="BU30" i="16"/>
  <c r="BU31" i="16"/>
  <c r="BU32" i="16"/>
  <c r="BU33" i="16"/>
  <c r="BU34" i="16"/>
  <c r="BU35" i="16"/>
  <c r="BU36" i="16"/>
  <c r="BU37" i="16"/>
  <c r="BU38" i="16"/>
  <c r="BU39" i="16"/>
  <c r="BU40" i="16"/>
  <c r="BU41" i="16"/>
  <c r="BU42" i="16"/>
  <c r="BU43" i="16"/>
  <c r="BU44" i="16"/>
  <c r="BU45" i="16"/>
  <c r="BU46" i="16"/>
  <c r="BU47" i="16"/>
  <c r="BU48" i="16"/>
  <c r="BU49" i="16"/>
  <c r="BU50" i="16"/>
  <c r="BU51" i="16"/>
  <c r="BU52" i="16"/>
  <c r="BU53" i="16"/>
  <c r="BU54" i="16"/>
  <c r="BU55" i="16"/>
  <c r="BU56" i="16"/>
  <c r="BU57" i="16"/>
  <c r="BU58" i="16"/>
  <c r="BU59" i="16"/>
  <c r="BU60" i="16"/>
  <c r="BU61" i="16"/>
  <c r="BU62" i="16"/>
  <c r="BU63" i="16"/>
  <c r="BU64" i="16"/>
  <c r="BU65" i="16"/>
  <c r="BU66"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90" i="16"/>
  <c r="BU91" i="16"/>
  <c r="BU92" i="16"/>
  <c r="BU93" i="16"/>
  <c r="BU94" i="16"/>
  <c r="BU95" i="16"/>
  <c r="BU96" i="16"/>
  <c r="BU97" i="16"/>
  <c r="BU98" i="16"/>
  <c r="BU99" i="16"/>
  <c r="BU100" i="16"/>
  <c r="BU101" i="16"/>
  <c r="BU102" i="16"/>
  <c r="BU103" i="16"/>
  <c r="BU104" i="16"/>
  <c r="BU105" i="16"/>
  <c r="BU106" i="16"/>
  <c r="BU107" i="16"/>
  <c r="BU108" i="16"/>
  <c r="BU109" i="16"/>
  <c r="BU110" i="16"/>
  <c r="BU111" i="16"/>
  <c r="BU112" i="16"/>
  <c r="BU113" i="16"/>
  <c r="BU114" i="16"/>
  <c r="BU115" i="16"/>
  <c r="BU116" i="16"/>
  <c r="BU117" i="16"/>
  <c r="BU118" i="16"/>
  <c r="BU119" i="16"/>
  <c r="BU120" i="16"/>
  <c r="BU121" i="16"/>
  <c r="BU122" i="16"/>
  <c r="BU123" i="16"/>
  <c r="BU124" i="16"/>
  <c r="BU125"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162" i="16"/>
  <c r="BU163" i="16"/>
  <c r="BU164" i="16"/>
  <c r="BU165" i="16"/>
  <c r="BU166" i="16"/>
  <c r="BU167" i="16"/>
  <c r="BU168" i="16"/>
  <c r="BU169" i="16"/>
  <c r="BU170" i="16"/>
  <c r="BU171" i="16"/>
  <c r="BU172" i="16"/>
  <c r="BU173" i="16"/>
  <c r="BU174" i="16"/>
  <c r="BU175" i="16"/>
  <c r="BU176" i="16"/>
  <c r="BT3" i="16"/>
  <c r="BT4" i="16"/>
  <c r="BT5" i="16"/>
  <c r="BT6" i="16"/>
  <c r="BT7" i="16"/>
  <c r="BT8" i="16"/>
  <c r="BT9" i="16"/>
  <c r="BT10" i="16"/>
  <c r="BT11" i="16"/>
  <c r="BT12" i="16"/>
  <c r="BT13" i="16"/>
  <c r="BT14" i="16"/>
  <c r="BT15" i="16"/>
  <c r="BT16" i="16"/>
  <c r="BT17" i="16"/>
  <c r="BT18" i="16"/>
  <c r="BT19" i="16"/>
  <c r="BT20" i="16"/>
  <c r="BT21" i="16"/>
  <c r="BT22" i="16"/>
  <c r="BT23" i="16"/>
  <c r="BT24" i="16"/>
  <c r="BT25" i="16"/>
  <c r="BT26" i="16"/>
  <c r="BT27" i="16"/>
  <c r="BT28" i="16"/>
  <c r="BT29" i="16"/>
  <c r="BT30" i="16"/>
  <c r="BT31" i="16"/>
  <c r="BT32" i="16"/>
  <c r="BT33" i="16"/>
  <c r="BT34" i="16"/>
  <c r="BT35" i="16"/>
  <c r="BT36" i="16"/>
  <c r="BT37" i="16"/>
  <c r="BT38" i="16"/>
  <c r="BT39" i="16"/>
  <c r="BT40" i="16"/>
  <c r="BT41" i="16"/>
  <c r="BT42" i="16"/>
  <c r="BT43" i="16"/>
  <c r="BT44" i="16"/>
  <c r="BT45" i="16"/>
  <c r="BT46" i="16"/>
  <c r="BT47" i="16"/>
  <c r="BT48" i="16"/>
  <c r="BT49" i="16"/>
  <c r="BT50" i="16"/>
  <c r="BT51" i="16"/>
  <c r="BT52" i="16"/>
  <c r="BT53" i="16"/>
  <c r="BT54" i="16"/>
  <c r="BT55" i="16"/>
  <c r="BT56" i="16"/>
  <c r="BT57" i="16"/>
  <c r="BT58" i="16"/>
  <c r="BT59" i="16"/>
  <c r="BT60" i="16"/>
  <c r="BT61" i="16"/>
  <c r="BT62" i="16"/>
  <c r="BT63" i="16"/>
  <c r="BT64" i="16"/>
  <c r="BT65" i="16"/>
  <c r="BT6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0" i="16"/>
  <c r="BT91" i="16"/>
  <c r="BT92" i="16"/>
  <c r="BT93" i="16"/>
  <c r="BT94" i="16"/>
  <c r="BT95" i="16"/>
  <c r="BT96" i="16"/>
  <c r="BT97" i="16"/>
  <c r="BT98" i="16"/>
  <c r="BT99" i="16"/>
  <c r="BT100" i="16"/>
  <c r="BT101" i="16"/>
  <c r="BT102" i="16"/>
  <c r="BT103" i="16"/>
  <c r="BT104" i="16"/>
  <c r="BT105" i="16"/>
  <c r="BT106" i="16"/>
  <c r="BT107" i="16"/>
  <c r="BT108" i="16"/>
  <c r="BT109" i="16"/>
  <c r="BT110" i="16"/>
  <c r="BT111" i="16"/>
  <c r="BT112" i="16"/>
  <c r="BT113" i="16"/>
  <c r="BT114" i="16"/>
  <c r="BT115" i="16"/>
  <c r="BT116" i="16"/>
  <c r="BT117" i="16"/>
  <c r="BT118" i="16"/>
  <c r="BT119" i="16"/>
  <c r="BT120" i="16"/>
  <c r="BT121" i="16"/>
  <c r="BT122" i="16"/>
  <c r="BT123" i="16"/>
  <c r="BT124" i="16"/>
  <c r="BT125" i="16"/>
  <c r="BT126" i="16"/>
  <c r="BT127" i="16"/>
  <c r="BT128" i="16"/>
  <c r="BT129" i="16"/>
  <c r="BT130" i="16"/>
  <c r="BT131" i="16"/>
  <c r="BT132" i="16"/>
  <c r="BT133" i="16"/>
  <c r="BT134" i="16"/>
  <c r="BT135" i="16"/>
  <c r="BT136" i="16"/>
  <c r="BT137" i="16"/>
  <c r="BT138" i="16"/>
  <c r="BT139" i="16"/>
  <c r="BT140" i="16"/>
  <c r="BT141" i="16"/>
  <c r="BT142" i="16"/>
  <c r="BT143" i="16"/>
  <c r="BT144" i="16"/>
  <c r="BT145" i="16"/>
  <c r="BT146" i="16"/>
  <c r="BT147" i="16"/>
  <c r="BT148" i="16"/>
  <c r="BT149" i="16"/>
  <c r="BT150" i="16"/>
  <c r="BT151" i="16"/>
  <c r="BT152" i="16"/>
  <c r="BT153" i="16"/>
  <c r="BT154" i="16"/>
  <c r="BT155" i="16"/>
  <c r="BT156" i="16"/>
  <c r="BT157" i="16"/>
  <c r="BT158" i="16"/>
  <c r="BT159" i="16"/>
  <c r="BT160" i="16"/>
  <c r="BT161" i="16"/>
  <c r="BT162" i="16"/>
  <c r="BT163" i="16"/>
  <c r="BT164" i="16"/>
  <c r="BT165" i="16"/>
  <c r="BT166" i="16"/>
  <c r="BT167" i="16"/>
  <c r="BT168" i="16"/>
  <c r="BT169" i="16"/>
  <c r="BT170" i="16"/>
  <c r="BT171" i="16"/>
  <c r="BT172" i="16"/>
  <c r="BT173" i="16"/>
  <c r="BT174" i="16"/>
  <c r="BT175" i="16"/>
  <c r="BT176" i="16"/>
  <c r="BS3" i="16"/>
  <c r="CK3" i="16" s="1"/>
  <c r="BS4" i="16"/>
  <c r="CK4" i="16" s="1"/>
  <c r="BS5" i="16"/>
  <c r="CK5" i="16" s="1"/>
  <c r="BS6" i="16"/>
  <c r="CK6" i="16" s="1"/>
  <c r="BS7" i="16"/>
  <c r="CK7" i="16" s="1"/>
  <c r="BS8" i="16"/>
  <c r="CK8" i="16" s="1"/>
  <c r="BS9" i="16"/>
  <c r="CK9" i="16" s="1"/>
  <c r="BS10" i="16"/>
  <c r="CK10" i="16" s="1"/>
  <c r="BS11" i="16"/>
  <c r="CK11" i="16" s="1"/>
  <c r="BS12" i="16"/>
  <c r="CK12" i="16" s="1"/>
  <c r="BS13" i="16"/>
  <c r="CK13" i="16" s="1"/>
  <c r="BS14" i="16"/>
  <c r="CK14" i="16" s="1"/>
  <c r="BS15" i="16"/>
  <c r="CK15" i="16" s="1"/>
  <c r="BS16" i="16"/>
  <c r="CK16" i="16" s="1"/>
  <c r="BS17" i="16"/>
  <c r="CK17" i="16" s="1"/>
  <c r="BS18" i="16"/>
  <c r="CK18" i="16" s="1"/>
  <c r="BS19" i="16"/>
  <c r="CK19" i="16" s="1"/>
  <c r="BS20" i="16"/>
  <c r="CK20" i="16" s="1"/>
  <c r="BS21" i="16"/>
  <c r="CK21" i="16" s="1"/>
  <c r="BS22" i="16"/>
  <c r="CK22" i="16" s="1"/>
  <c r="BS23" i="16"/>
  <c r="CK23" i="16" s="1"/>
  <c r="BS24" i="16"/>
  <c r="CK24" i="16" s="1"/>
  <c r="BS25" i="16"/>
  <c r="CK25" i="16" s="1"/>
  <c r="BS26" i="16"/>
  <c r="CK26" i="16" s="1"/>
  <c r="BS27" i="16"/>
  <c r="CK27" i="16" s="1"/>
  <c r="BS28" i="16"/>
  <c r="CK28" i="16" s="1"/>
  <c r="BS29" i="16"/>
  <c r="CK29" i="16" s="1"/>
  <c r="BS30" i="16"/>
  <c r="CK30" i="16" s="1"/>
  <c r="BS31" i="16"/>
  <c r="CK31" i="16" s="1"/>
  <c r="BS32" i="16"/>
  <c r="CK32" i="16" s="1"/>
  <c r="BS33" i="16"/>
  <c r="CK33" i="16" s="1"/>
  <c r="BS34" i="16"/>
  <c r="CK34" i="16" s="1"/>
  <c r="BS35" i="16"/>
  <c r="CK35" i="16" s="1"/>
  <c r="BS36" i="16"/>
  <c r="CK36" i="16" s="1"/>
  <c r="BS37" i="16"/>
  <c r="CK37" i="16" s="1"/>
  <c r="BS38" i="16"/>
  <c r="CK38" i="16" s="1"/>
  <c r="BS39" i="16"/>
  <c r="CK39" i="16" s="1"/>
  <c r="BS40" i="16"/>
  <c r="CK40" i="16" s="1"/>
  <c r="BS41" i="16"/>
  <c r="CK41" i="16" s="1"/>
  <c r="BS42" i="16"/>
  <c r="CK42" i="16" s="1"/>
  <c r="BS43" i="16"/>
  <c r="CK43" i="16" s="1"/>
  <c r="BS44" i="16"/>
  <c r="CK44" i="16" s="1"/>
  <c r="BS45" i="16"/>
  <c r="CK45" i="16" s="1"/>
  <c r="BS46" i="16"/>
  <c r="CK46" i="16" s="1"/>
  <c r="BS47" i="16"/>
  <c r="CK47" i="16" s="1"/>
  <c r="BS48" i="16"/>
  <c r="CK48" i="16" s="1"/>
  <c r="BS49" i="16"/>
  <c r="CK49" i="16" s="1"/>
  <c r="BS50" i="16"/>
  <c r="CK50" i="16" s="1"/>
  <c r="BS51" i="16"/>
  <c r="CK51" i="16" s="1"/>
  <c r="BS52" i="16"/>
  <c r="CK52" i="16" s="1"/>
  <c r="BS53" i="16"/>
  <c r="CK53" i="16" s="1"/>
  <c r="BS54" i="16"/>
  <c r="CK54" i="16" s="1"/>
  <c r="BS55" i="16"/>
  <c r="CK55" i="16" s="1"/>
  <c r="BS56" i="16"/>
  <c r="CK56" i="16" s="1"/>
  <c r="BS57" i="16"/>
  <c r="CK57" i="16" s="1"/>
  <c r="BS58" i="16"/>
  <c r="CK58" i="16" s="1"/>
  <c r="BS59" i="16"/>
  <c r="CK59" i="16" s="1"/>
  <c r="BS60" i="16"/>
  <c r="CK60" i="16" s="1"/>
  <c r="BS61" i="16"/>
  <c r="CK61" i="16" s="1"/>
  <c r="BS62" i="16"/>
  <c r="CK62" i="16" s="1"/>
  <c r="BS63" i="16"/>
  <c r="CK63" i="16" s="1"/>
  <c r="BS64" i="16"/>
  <c r="CK64" i="16" s="1"/>
  <c r="BS65" i="16"/>
  <c r="CK65" i="16" s="1"/>
  <c r="BS66" i="16"/>
  <c r="CK66" i="16" s="1"/>
  <c r="BS67" i="16"/>
  <c r="CK67" i="16" s="1"/>
  <c r="BS68" i="16"/>
  <c r="CK68" i="16" s="1"/>
  <c r="BS69" i="16"/>
  <c r="CK69" i="16" s="1"/>
  <c r="BS70" i="16"/>
  <c r="CK70" i="16" s="1"/>
  <c r="BS71" i="16"/>
  <c r="CK71" i="16" s="1"/>
  <c r="BS72" i="16"/>
  <c r="CK72" i="16" s="1"/>
  <c r="BS73" i="16"/>
  <c r="CK73" i="16" s="1"/>
  <c r="BS74" i="16"/>
  <c r="CK74" i="16" s="1"/>
  <c r="BS75" i="16"/>
  <c r="CK75" i="16" s="1"/>
  <c r="BS76" i="16"/>
  <c r="CK76" i="16" s="1"/>
  <c r="BS77" i="16"/>
  <c r="CK77" i="16" s="1"/>
  <c r="BS78" i="16"/>
  <c r="CK78" i="16" s="1"/>
  <c r="BS79" i="16"/>
  <c r="CK79" i="16" s="1"/>
  <c r="BS80" i="16"/>
  <c r="CK80" i="16" s="1"/>
  <c r="BS81" i="16"/>
  <c r="CK81" i="16" s="1"/>
  <c r="BS82" i="16"/>
  <c r="CK82" i="16" s="1"/>
  <c r="BS83" i="16"/>
  <c r="CK83" i="16" s="1"/>
  <c r="BS84" i="16"/>
  <c r="CK84" i="16" s="1"/>
  <c r="BS85" i="16"/>
  <c r="CK85" i="16" s="1"/>
  <c r="BS86" i="16"/>
  <c r="CK86" i="16" s="1"/>
  <c r="BS87" i="16"/>
  <c r="CK87" i="16" s="1"/>
  <c r="BS88" i="16"/>
  <c r="CK88" i="16" s="1"/>
  <c r="BS89" i="16"/>
  <c r="CK89" i="16" s="1"/>
  <c r="BS90" i="16"/>
  <c r="CK90" i="16" s="1"/>
  <c r="BS91" i="16"/>
  <c r="CK91" i="16" s="1"/>
  <c r="BS92" i="16"/>
  <c r="CK92" i="16" s="1"/>
  <c r="BS93" i="16"/>
  <c r="CK93" i="16" s="1"/>
  <c r="BS94" i="16"/>
  <c r="CK94" i="16" s="1"/>
  <c r="BS95" i="16"/>
  <c r="CK95" i="16" s="1"/>
  <c r="BS96" i="16"/>
  <c r="CK96" i="16" s="1"/>
  <c r="BS97" i="16"/>
  <c r="CK97" i="16" s="1"/>
  <c r="BS98" i="16"/>
  <c r="CK98" i="16" s="1"/>
  <c r="BS99" i="16"/>
  <c r="CK99" i="16" s="1"/>
  <c r="BS100" i="16"/>
  <c r="CK100" i="16" s="1"/>
  <c r="BS101" i="16"/>
  <c r="CK101" i="16" s="1"/>
  <c r="BS102" i="16"/>
  <c r="CK102" i="16" s="1"/>
  <c r="BS103" i="16"/>
  <c r="CK103" i="16" s="1"/>
  <c r="BS104" i="16"/>
  <c r="CK104" i="16" s="1"/>
  <c r="BS105" i="16"/>
  <c r="CK105" i="16" s="1"/>
  <c r="BS106" i="16"/>
  <c r="CK106" i="16" s="1"/>
  <c r="BS107" i="16"/>
  <c r="CK107" i="16" s="1"/>
  <c r="BS108" i="16"/>
  <c r="CK108" i="16" s="1"/>
  <c r="BS109" i="16"/>
  <c r="CK109" i="16" s="1"/>
  <c r="BS110" i="16"/>
  <c r="CK110" i="16" s="1"/>
  <c r="BS111" i="16"/>
  <c r="CK111" i="16" s="1"/>
  <c r="BS112" i="16"/>
  <c r="CK112" i="16" s="1"/>
  <c r="BS113" i="16"/>
  <c r="CK113" i="16" s="1"/>
  <c r="BS114" i="16"/>
  <c r="CK114" i="16" s="1"/>
  <c r="BS115" i="16"/>
  <c r="CK115" i="16" s="1"/>
  <c r="BS116" i="16"/>
  <c r="CK116" i="16" s="1"/>
  <c r="BS117" i="16"/>
  <c r="CK117" i="16" s="1"/>
  <c r="BS118" i="16"/>
  <c r="CK118" i="16" s="1"/>
  <c r="BS119" i="16"/>
  <c r="CK119" i="16" s="1"/>
  <c r="BS120" i="16"/>
  <c r="CK120" i="16" s="1"/>
  <c r="BS121" i="16"/>
  <c r="CK121" i="16" s="1"/>
  <c r="BS122" i="16"/>
  <c r="CK122" i="16" s="1"/>
  <c r="BS123" i="16"/>
  <c r="CK123" i="16" s="1"/>
  <c r="BS124" i="16"/>
  <c r="CK124" i="16" s="1"/>
  <c r="BS125" i="16"/>
  <c r="CK125" i="16" s="1"/>
  <c r="BS126" i="16"/>
  <c r="CK126" i="16" s="1"/>
  <c r="BS127" i="16"/>
  <c r="CK127" i="16" s="1"/>
  <c r="BS128" i="16"/>
  <c r="CK128" i="16" s="1"/>
  <c r="BS129" i="16"/>
  <c r="CK129" i="16" s="1"/>
  <c r="BS130" i="16"/>
  <c r="CK130" i="16" s="1"/>
  <c r="BS131" i="16"/>
  <c r="CK131" i="16" s="1"/>
  <c r="BS132" i="16"/>
  <c r="CK132" i="16" s="1"/>
  <c r="BS133" i="16"/>
  <c r="CK133" i="16" s="1"/>
  <c r="BS134" i="16"/>
  <c r="CK134" i="16" s="1"/>
  <c r="BS135" i="16"/>
  <c r="CK135" i="16" s="1"/>
  <c r="BS136" i="16"/>
  <c r="CK136" i="16" s="1"/>
  <c r="BS137" i="16"/>
  <c r="CK137" i="16" s="1"/>
  <c r="BS138" i="16"/>
  <c r="CK138" i="16" s="1"/>
  <c r="BS139" i="16"/>
  <c r="CK139" i="16" s="1"/>
  <c r="BS140" i="16"/>
  <c r="CK140" i="16" s="1"/>
  <c r="BS141" i="16"/>
  <c r="CK141" i="16" s="1"/>
  <c r="BS142" i="16"/>
  <c r="CK142" i="16" s="1"/>
  <c r="BS143" i="16"/>
  <c r="CK143" i="16" s="1"/>
  <c r="BS144" i="16"/>
  <c r="CK144" i="16" s="1"/>
  <c r="BS145" i="16"/>
  <c r="CK145" i="16" s="1"/>
  <c r="BS146" i="16"/>
  <c r="CK146" i="16" s="1"/>
  <c r="BS147" i="16"/>
  <c r="CK147" i="16" s="1"/>
  <c r="BS148" i="16"/>
  <c r="CK148" i="16" s="1"/>
  <c r="BS149" i="16"/>
  <c r="CK149" i="16" s="1"/>
  <c r="BS150" i="16"/>
  <c r="CK150" i="16" s="1"/>
  <c r="BS151" i="16"/>
  <c r="CK151" i="16" s="1"/>
  <c r="BS152" i="16"/>
  <c r="CK152" i="16" s="1"/>
  <c r="BS153" i="16"/>
  <c r="CK153" i="16" s="1"/>
  <c r="BS154" i="16"/>
  <c r="CK154" i="16" s="1"/>
  <c r="BS155" i="16"/>
  <c r="CK155" i="16" s="1"/>
  <c r="BS156" i="16"/>
  <c r="CK156" i="16" s="1"/>
  <c r="BS157" i="16"/>
  <c r="CK157" i="16" s="1"/>
  <c r="BS158" i="16"/>
  <c r="CK158" i="16" s="1"/>
  <c r="BS159" i="16"/>
  <c r="CK159" i="16" s="1"/>
  <c r="BS160" i="16"/>
  <c r="CK160" i="16" s="1"/>
  <c r="BS161" i="16"/>
  <c r="CK161" i="16" s="1"/>
  <c r="BS162" i="16"/>
  <c r="CK162" i="16" s="1"/>
  <c r="BS163" i="16"/>
  <c r="CK163" i="16" s="1"/>
  <c r="BS164" i="16"/>
  <c r="CK164" i="16" s="1"/>
  <c r="BS165" i="16"/>
  <c r="CK165" i="16" s="1"/>
  <c r="BS166" i="16"/>
  <c r="CK166" i="16" s="1"/>
  <c r="BS167" i="16"/>
  <c r="CK167" i="16" s="1"/>
  <c r="BS168" i="16"/>
  <c r="CK168" i="16" s="1"/>
  <c r="BS169" i="16"/>
  <c r="CK169" i="16" s="1"/>
  <c r="BS170" i="16"/>
  <c r="CK170" i="16" s="1"/>
  <c r="BS171" i="16"/>
  <c r="CK171" i="16" s="1"/>
  <c r="BS172" i="16"/>
  <c r="CK172" i="16" s="1"/>
  <c r="BS173" i="16"/>
  <c r="CK173" i="16" s="1"/>
  <c r="BS174" i="16"/>
  <c r="CK174" i="16" s="1"/>
  <c r="BS175" i="16"/>
  <c r="CK175" i="16" s="1"/>
  <c r="BS176" i="16"/>
  <c r="CK176" i="16" s="1"/>
  <c r="BR3" i="16"/>
  <c r="BR4" i="16"/>
  <c r="BR5" i="16"/>
  <c r="BR6" i="16"/>
  <c r="BR7" i="16"/>
  <c r="BR8" i="16"/>
  <c r="BR9" i="16"/>
  <c r="BR10" i="16"/>
  <c r="BR11" i="16"/>
  <c r="BR12" i="16"/>
  <c r="BR13" i="16"/>
  <c r="BR14" i="16"/>
  <c r="BR15" i="16"/>
  <c r="BR16" i="16"/>
  <c r="BR17" i="16"/>
  <c r="BR18" i="16"/>
  <c r="BR19" i="16"/>
  <c r="BR20" i="16"/>
  <c r="BR21" i="16"/>
  <c r="BR22" i="16"/>
  <c r="BR23" i="16"/>
  <c r="BR24" i="16"/>
  <c r="BR25" i="16"/>
  <c r="BR26" i="16"/>
  <c r="BR27" i="16"/>
  <c r="BR28" i="16"/>
  <c r="BR29" i="16"/>
  <c r="BR30" i="16"/>
  <c r="BR31" i="16"/>
  <c r="BR32" i="16"/>
  <c r="BR33" i="16"/>
  <c r="BR34" i="16"/>
  <c r="BR35" i="16"/>
  <c r="BR36" i="16"/>
  <c r="BR37" i="16"/>
  <c r="BR38" i="16"/>
  <c r="BR39" i="16"/>
  <c r="BR40" i="16"/>
  <c r="BR41" i="16"/>
  <c r="BR42" i="16"/>
  <c r="BR43" i="16"/>
  <c r="BR44" i="16"/>
  <c r="BR45" i="16"/>
  <c r="BR46" i="16"/>
  <c r="BR47" i="16"/>
  <c r="BR48" i="16"/>
  <c r="BR49" i="16"/>
  <c r="BR50" i="16"/>
  <c r="BR51" i="16"/>
  <c r="BR52" i="16"/>
  <c r="BR53" i="16"/>
  <c r="BR54" i="16"/>
  <c r="BR55" i="16"/>
  <c r="BR56" i="16"/>
  <c r="BR57" i="16"/>
  <c r="BR58" i="16"/>
  <c r="BR59" i="16"/>
  <c r="BR60" i="16"/>
  <c r="BR61" i="16"/>
  <c r="BR62" i="16"/>
  <c r="BR63" i="16"/>
  <c r="BR64" i="16"/>
  <c r="BR65" i="16"/>
  <c r="BR66"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90" i="16"/>
  <c r="BR91" i="16"/>
  <c r="BR92" i="16"/>
  <c r="BR93" i="16"/>
  <c r="BR94" i="16"/>
  <c r="BR95" i="16"/>
  <c r="BR96" i="16"/>
  <c r="BR97" i="16"/>
  <c r="BR98" i="16"/>
  <c r="BR99" i="16"/>
  <c r="BR100" i="16"/>
  <c r="BR101" i="16"/>
  <c r="BR102" i="16"/>
  <c r="BR103" i="16"/>
  <c r="BR104" i="16"/>
  <c r="BR105" i="16"/>
  <c r="BR106" i="16"/>
  <c r="BR107" i="16"/>
  <c r="BR108" i="16"/>
  <c r="BR109" i="16"/>
  <c r="BR110" i="16"/>
  <c r="BR111" i="16"/>
  <c r="BR112" i="16"/>
  <c r="BR113" i="16"/>
  <c r="BR114" i="16"/>
  <c r="BR115" i="16"/>
  <c r="BR116" i="16"/>
  <c r="BR117" i="16"/>
  <c r="BR118" i="16"/>
  <c r="BR119" i="16"/>
  <c r="BR120" i="16"/>
  <c r="BR121" i="16"/>
  <c r="BR122" i="16"/>
  <c r="BR123" i="16"/>
  <c r="BR124" i="16"/>
  <c r="BR125"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162" i="16"/>
  <c r="BR163" i="16"/>
  <c r="BR164" i="16"/>
  <c r="BR165" i="16"/>
  <c r="BR166" i="16"/>
  <c r="BR167" i="16"/>
  <c r="BR168" i="16"/>
  <c r="BR169" i="16"/>
  <c r="BR170" i="16"/>
  <c r="BR171" i="16"/>
  <c r="BR172" i="16"/>
  <c r="BR173" i="16"/>
  <c r="BR174" i="16"/>
  <c r="BR175" i="16"/>
  <c r="BR176" i="16"/>
  <c r="BQ3" i="16"/>
  <c r="BQ4" i="16"/>
  <c r="BQ5" i="16"/>
  <c r="BQ6" i="16"/>
  <c r="BQ7" i="16"/>
  <c r="BQ8" i="16"/>
  <c r="BQ9" i="16"/>
  <c r="BQ10" i="16"/>
  <c r="BQ11" i="16"/>
  <c r="BQ12" i="16"/>
  <c r="BQ13" i="16"/>
  <c r="BQ14" i="16"/>
  <c r="BQ15" i="16"/>
  <c r="BQ16" i="16"/>
  <c r="BQ17" i="16"/>
  <c r="BQ18" i="16"/>
  <c r="BQ19" i="16"/>
  <c r="BQ20" i="16"/>
  <c r="BQ21" i="16"/>
  <c r="BQ22" i="16"/>
  <c r="BQ23" i="16"/>
  <c r="BQ24" i="16"/>
  <c r="BQ25" i="16"/>
  <c r="BQ26" i="16"/>
  <c r="BQ27" i="16"/>
  <c r="BQ28" i="16"/>
  <c r="BQ29" i="16"/>
  <c r="BQ30" i="16"/>
  <c r="BQ31" i="16"/>
  <c r="BQ32" i="16"/>
  <c r="BQ33" i="16"/>
  <c r="BQ34" i="16"/>
  <c r="BQ35" i="16"/>
  <c r="BQ36" i="16"/>
  <c r="BQ37" i="16"/>
  <c r="BQ38" i="16"/>
  <c r="BQ39" i="16"/>
  <c r="BQ40" i="16"/>
  <c r="BQ41" i="16"/>
  <c r="BQ42" i="16"/>
  <c r="BQ43" i="16"/>
  <c r="BQ44" i="16"/>
  <c r="BQ45" i="16"/>
  <c r="BQ46" i="16"/>
  <c r="BQ47" i="16"/>
  <c r="BQ48" i="16"/>
  <c r="BQ49" i="16"/>
  <c r="BQ50" i="16"/>
  <c r="BQ51" i="16"/>
  <c r="BQ52" i="16"/>
  <c r="BQ53" i="16"/>
  <c r="BQ54" i="16"/>
  <c r="BQ55" i="16"/>
  <c r="BQ56" i="16"/>
  <c r="BQ57" i="16"/>
  <c r="BQ58" i="16"/>
  <c r="BQ59" i="16"/>
  <c r="BQ60" i="16"/>
  <c r="BQ61" i="16"/>
  <c r="BQ62" i="16"/>
  <c r="BQ63" i="16"/>
  <c r="BQ64" i="16"/>
  <c r="BQ65" i="16"/>
  <c r="BQ66" i="16"/>
  <c r="BQ67" i="16"/>
  <c r="BQ68" i="16"/>
  <c r="BQ69" i="16"/>
  <c r="BQ70" i="16"/>
  <c r="BQ71" i="16"/>
  <c r="BQ72" i="16"/>
  <c r="BQ73" i="16"/>
  <c r="BQ74" i="16"/>
  <c r="BQ75" i="16"/>
  <c r="BQ76" i="16"/>
  <c r="BQ77" i="16"/>
  <c r="BQ78" i="16"/>
  <c r="BQ79" i="16"/>
  <c r="BQ80" i="16"/>
  <c r="BQ81" i="16"/>
  <c r="BQ82" i="16"/>
  <c r="BQ83" i="16"/>
  <c r="BQ84" i="16"/>
  <c r="BQ85" i="16"/>
  <c r="BQ86" i="16"/>
  <c r="BQ87" i="16"/>
  <c r="BQ88" i="16"/>
  <c r="BQ89" i="16"/>
  <c r="BQ90" i="16"/>
  <c r="BQ91" i="16"/>
  <c r="BQ92" i="16"/>
  <c r="BQ93" i="16"/>
  <c r="BQ94" i="16"/>
  <c r="BQ95" i="16"/>
  <c r="BQ96" i="16"/>
  <c r="BQ97" i="16"/>
  <c r="BQ98" i="16"/>
  <c r="BQ99" i="16"/>
  <c r="BQ100" i="16"/>
  <c r="BQ101" i="16"/>
  <c r="BQ102" i="16"/>
  <c r="BQ103" i="16"/>
  <c r="BQ104" i="16"/>
  <c r="BQ105" i="16"/>
  <c r="BQ106" i="16"/>
  <c r="BQ107" i="16"/>
  <c r="BQ108" i="16"/>
  <c r="BQ109" i="16"/>
  <c r="BQ110" i="16"/>
  <c r="BQ111" i="16"/>
  <c r="BQ112" i="16"/>
  <c r="BQ113" i="16"/>
  <c r="BQ114" i="16"/>
  <c r="BQ115" i="16"/>
  <c r="BQ116" i="16"/>
  <c r="BQ117" i="16"/>
  <c r="BQ118" i="16"/>
  <c r="BQ119" i="16"/>
  <c r="BQ120" i="16"/>
  <c r="BQ121" i="16"/>
  <c r="BQ122" i="16"/>
  <c r="BQ123" i="16"/>
  <c r="BQ124" i="16"/>
  <c r="BQ125"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62" i="16"/>
  <c r="BQ163" i="16"/>
  <c r="BQ164" i="16"/>
  <c r="BQ165" i="16"/>
  <c r="BQ166" i="16"/>
  <c r="BQ167" i="16"/>
  <c r="BQ168" i="16"/>
  <c r="BQ169" i="16"/>
  <c r="BQ170" i="16"/>
  <c r="BQ171" i="16"/>
  <c r="BQ172" i="16"/>
  <c r="BQ173" i="16"/>
  <c r="BQ174" i="16"/>
  <c r="BQ175" i="16"/>
  <c r="BQ176" i="16"/>
  <c r="BP3" i="16"/>
  <c r="BP4" i="16"/>
  <c r="BP5" i="16"/>
  <c r="BP6" i="16"/>
  <c r="BP7" i="16"/>
  <c r="BP8" i="16"/>
  <c r="BP9" i="16"/>
  <c r="BP10" i="16"/>
  <c r="BP11" i="16"/>
  <c r="BP12" i="16"/>
  <c r="BP13" i="16"/>
  <c r="BP14" i="16"/>
  <c r="BP15" i="16"/>
  <c r="BP16" i="16"/>
  <c r="BP17" i="16"/>
  <c r="BP18" i="16"/>
  <c r="BP19" i="16"/>
  <c r="BP20" i="16"/>
  <c r="BP21" i="16"/>
  <c r="BP22" i="16"/>
  <c r="BP23" i="16"/>
  <c r="BP24" i="16"/>
  <c r="BP25" i="16"/>
  <c r="BP26" i="16"/>
  <c r="BP27" i="16"/>
  <c r="BP28" i="16"/>
  <c r="BP29" i="16"/>
  <c r="BP30" i="16"/>
  <c r="BP31" i="16"/>
  <c r="BP32" i="16"/>
  <c r="BP33" i="16"/>
  <c r="BP34" i="16"/>
  <c r="BP35" i="16"/>
  <c r="BP36" i="16"/>
  <c r="BP37" i="16"/>
  <c r="BP38" i="16"/>
  <c r="BP39" i="16"/>
  <c r="BP40" i="16"/>
  <c r="BP41" i="16"/>
  <c r="BP42" i="16"/>
  <c r="BP43" i="16"/>
  <c r="BP44" i="16"/>
  <c r="BP45" i="16"/>
  <c r="BP46" i="16"/>
  <c r="BP47" i="16"/>
  <c r="BP48" i="16"/>
  <c r="BP49" i="16"/>
  <c r="BP50" i="16"/>
  <c r="BP51" i="16"/>
  <c r="BP52" i="16"/>
  <c r="BP53" i="16"/>
  <c r="BP54" i="16"/>
  <c r="BP55" i="16"/>
  <c r="BP56" i="16"/>
  <c r="BP57" i="16"/>
  <c r="BP58" i="16"/>
  <c r="BP59" i="16"/>
  <c r="BP60" i="16"/>
  <c r="BP61" i="16"/>
  <c r="BP62" i="16"/>
  <c r="BP63" i="16"/>
  <c r="BP64" i="16"/>
  <c r="BP65" i="16"/>
  <c r="BP66"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90" i="16"/>
  <c r="BP91" i="16"/>
  <c r="BP92" i="16"/>
  <c r="BP93" i="16"/>
  <c r="BP94" i="16"/>
  <c r="BP95" i="16"/>
  <c r="BP96" i="16"/>
  <c r="BP97" i="16"/>
  <c r="BP98" i="16"/>
  <c r="BP99" i="16"/>
  <c r="BP100" i="16"/>
  <c r="BP101" i="16"/>
  <c r="BP102" i="16"/>
  <c r="BP103" i="16"/>
  <c r="BP104" i="16"/>
  <c r="BP105" i="16"/>
  <c r="BP106" i="16"/>
  <c r="BP107" i="16"/>
  <c r="BP108" i="16"/>
  <c r="BP109" i="16"/>
  <c r="BP110" i="16"/>
  <c r="BP111" i="16"/>
  <c r="BP112" i="16"/>
  <c r="BP113" i="16"/>
  <c r="BP114" i="16"/>
  <c r="BP115" i="16"/>
  <c r="BP116" i="16"/>
  <c r="BP117" i="16"/>
  <c r="BP118" i="16"/>
  <c r="BP119" i="16"/>
  <c r="BP120" i="16"/>
  <c r="BP121" i="16"/>
  <c r="BP122" i="16"/>
  <c r="BP123" i="16"/>
  <c r="BP124" i="16"/>
  <c r="BP125"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162" i="16"/>
  <c r="BP163" i="16"/>
  <c r="BP164" i="16"/>
  <c r="BP165" i="16"/>
  <c r="BP166" i="16"/>
  <c r="BP167" i="16"/>
  <c r="BP168" i="16"/>
  <c r="BP169" i="16"/>
  <c r="BP170" i="16"/>
  <c r="BP171" i="16"/>
  <c r="BP172" i="16"/>
  <c r="BP173" i="16"/>
  <c r="BP174" i="16"/>
  <c r="BP175" i="16"/>
  <c r="BP176" i="16"/>
  <c r="BO3" i="16"/>
  <c r="BO4" i="16"/>
  <c r="BO5" i="16"/>
  <c r="BO6" i="16"/>
  <c r="BO7" i="16"/>
  <c r="BO8" i="16"/>
  <c r="BO9" i="16"/>
  <c r="BO10" i="16"/>
  <c r="BO11" i="16"/>
  <c r="BO12" i="16"/>
  <c r="BO13" i="16"/>
  <c r="BO14" i="16"/>
  <c r="BO15" i="16"/>
  <c r="BO16" i="16"/>
  <c r="BO17" i="16"/>
  <c r="BO18" i="16"/>
  <c r="BO19" i="16"/>
  <c r="BO20" i="16"/>
  <c r="BO21" i="16"/>
  <c r="BO22" i="16"/>
  <c r="BO23" i="16"/>
  <c r="BO24" i="16"/>
  <c r="BO25" i="16"/>
  <c r="BO26" i="16"/>
  <c r="BO27" i="16"/>
  <c r="BO28" i="16"/>
  <c r="BO29" i="16"/>
  <c r="BO30" i="16"/>
  <c r="BO31" i="16"/>
  <c r="BO32" i="16"/>
  <c r="BO33" i="16"/>
  <c r="BO34" i="16"/>
  <c r="BO35" i="16"/>
  <c r="BO36" i="16"/>
  <c r="BO37" i="16"/>
  <c r="BO38" i="16"/>
  <c r="BO39" i="16"/>
  <c r="BO40" i="16"/>
  <c r="BO41" i="16"/>
  <c r="BO42" i="16"/>
  <c r="BO43" i="16"/>
  <c r="BO44" i="16"/>
  <c r="BO45" i="16"/>
  <c r="BO46" i="16"/>
  <c r="BO47" i="16"/>
  <c r="BO48" i="16"/>
  <c r="BO49" i="16"/>
  <c r="BO50" i="16"/>
  <c r="BO51" i="16"/>
  <c r="BO52" i="16"/>
  <c r="BO53" i="16"/>
  <c r="BO54" i="16"/>
  <c r="BO55" i="16"/>
  <c r="BO56" i="16"/>
  <c r="BO57" i="16"/>
  <c r="BO58" i="16"/>
  <c r="BO59" i="16"/>
  <c r="BO60" i="16"/>
  <c r="BO61" i="16"/>
  <c r="BO62" i="16"/>
  <c r="BO63" i="16"/>
  <c r="BO64" i="16"/>
  <c r="BO65" i="16"/>
  <c r="BO66"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90" i="16"/>
  <c r="BO91" i="16"/>
  <c r="BO92" i="16"/>
  <c r="BO93" i="16"/>
  <c r="BO94" i="16"/>
  <c r="BO95" i="16"/>
  <c r="BO96" i="16"/>
  <c r="BO97" i="16"/>
  <c r="BO98" i="16"/>
  <c r="BO99" i="16"/>
  <c r="BO100" i="16"/>
  <c r="BO101" i="16"/>
  <c r="BO102" i="16"/>
  <c r="BO103" i="16"/>
  <c r="BO104" i="16"/>
  <c r="BO105" i="16"/>
  <c r="BO106" i="16"/>
  <c r="BO107" i="16"/>
  <c r="BO108" i="16"/>
  <c r="BO109" i="16"/>
  <c r="BO110" i="16"/>
  <c r="BO111" i="16"/>
  <c r="BO112" i="16"/>
  <c r="BO113" i="16"/>
  <c r="BO114" i="16"/>
  <c r="BO115" i="16"/>
  <c r="BO116" i="16"/>
  <c r="BO117" i="16"/>
  <c r="BO118" i="16"/>
  <c r="BO119" i="16"/>
  <c r="BO120" i="16"/>
  <c r="BO121" i="16"/>
  <c r="BO122" i="16"/>
  <c r="BO123" i="16"/>
  <c r="BO124" i="16"/>
  <c r="BO125"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62" i="16"/>
  <c r="BO163" i="16"/>
  <c r="BO164" i="16"/>
  <c r="BO165" i="16"/>
  <c r="BO166" i="16"/>
  <c r="BO167" i="16"/>
  <c r="BO168" i="16"/>
  <c r="BO169" i="16"/>
  <c r="BO170" i="16"/>
  <c r="BO171" i="16"/>
  <c r="BO172" i="16"/>
  <c r="BO173" i="16"/>
  <c r="BO174" i="16"/>
  <c r="BO175" i="16"/>
  <c r="BO176" i="16"/>
  <c r="BN3" i="16"/>
  <c r="CJ3" i="16" s="1"/>
  <c r="BN4" i="16"/>
  <c r="CJ4" i="16" s="1"/>
  <c r="BN5" i="16"/>
  <c r="CJ5" i="16" s="1"/>
  <c r="BN6" i="16"/>
  <c r="CJ6" i="16" s="1"/>
  <c r="BN7" i="16"/>
  <c r="CJ7" i="16" s="1"/>
  <c r="BN8" i="16"/>
  <c r="CJ8" i="16" s="1"/>
  <c r="BN9" i="16"/>
  <c r="CJ9" i="16" s="1"/>
  <c r="BN10" i="16"/>
  <c r="CJ10" i="16" s="1"/>
  <c r="BN11" i="16"/>
  <c r="CJ11" i="16" s="1"/>
  <c r="BN12" i="16"/>
  <c r="CJ12" i="16" s="1"/>
  <c r="BN13" i="16"/>
  <c r="CJ13" i="16" s="1"/>
  <c r="BN14" i="16"/>
  <c r="CJ14" i="16" s="1"/>
  <c r="BN15" i="16"/>
  <c r="CJ15" i="16" s="1"/>
  <c r="BN16" i="16"/>
  <c r="CJ16" i="16" s="1"/>
  <c r="BN17" i="16"/>
  <c r="CJ17" i="16" s="1"/>
  <c r="BN18" i="16"/>
  <c r="CJ18" i="16" s="1"/>
  <c r="BN19" i="16"/>
  <c r="CJ19" i="16" s="1"/>
  <c r="BN20" i="16"/>
  <c r="CJ20" i="16" s="1"/>
  <c r="BN21" i="16"/>
  <c r="CJ21" i="16" s="1"/>
  <c r="BN22" i="16"/>
  <c r="CJ22" i="16" s="1"/>
  <c r="BN23" i="16"/>
  <c r="CJ23" i="16" s="1"/>
  <c r="BN24" i="16"/>
  <c r="CJ24" i="16" s="1"/>
  <c r="BN25" i="16"/>
  <c r="CJ25" i="16" s="1"/>
  <c r="BN26" i="16"/>
  <c r="CJ26" i="16" s="1"/>
  <c r="BN27" i="16"/>
  <c r="CJ27" i="16" s="1"/>
  <c r="BN28" i="16"/>
  <c r="CJ28" i="16" s="1"/>
  <c r="BN29" i="16"/>
  <c r="CJ29" i="16" s="1"/>
  <c r="BN30" i="16"/>
  <c r="CJ30" i="16" s="1"/>
  <c r="BN31" i="16"/>
  <c r="CJ31" i="16" s="1"/>
  <c r="BN32" i="16"/>
  <c r="CJ32" i="16" s="1"/>
  <c r="BN33" i="16"/>
  <c r="CJ33" i="16" s="1"/>
  <c r="BN34" i="16"/>
  <c r="CJ34" i="16" s="1"/>
  <c r="BN35" i="16"/>
  <c r="CJ35" i="16" s="1"/>
  <c r="BN36" i="16"/>
  <c r="CJ36" i="16" s="1"/>
  <c r="BN37" i="16"/>
  <c r="CJ37" i="16" s="1"/>
  <c r="BN38" i="16"/>
  <c r="CJ38" i="16" s="1"/>
  <c r="BN39" i="16"/>
  <c r="CJ39" i="16" s="1"/>
  <c r="BN40" i="16"/>
  <c r="CJ40" i="16" s="1"/>
  <c r="BN41" i="16"/>
  <c r="CJ41" i="16" s="1"/>
  <c r="BN42" i="16"/>
  <c r="CJ42" i="16" s="1"/>
  <c r="BN43" i="16"/>
  <c r="CJ43" i="16" s="1"/>
  <c r="BN44" i="16"/>
  <c r="CJ44" i="16" s="1"/>
  <c r="BN45" i="16"/>
  <c r="CJ45" i="16" s="1"/>
  <c r="BN46" i="16"/>
  <c r="CJ46" i="16" s="1"/>
  <c r="BN47" i="16"/>
  <c r="CJ47" i="16" s="1"/>
  <c r="BN48" i="16"/>
  <c r="CJ48" i="16" s="1"/>
  <c r="BN49" i="16"/>
  <c r="CJ49" i="16" s="1"/>
  <c r="BN50" i="16"/>
  <c r="CJ50" i="16" s="1"/>
  <c r="BN51" i="16"/>
  <c r="CJ51" i="16" s="1"/>
  <c r="BN52" i="16"/>
  <c r="CJ52" i="16" s="1"/>
  <c r="BN53" i="16"/>
  <c r="CJ53" i="16" s="1"/>
  <c r="BN54" i="16"/>
  <c r="CJ54" i="16" s="1"/>
  <c r="BN55" i="16"/>
  <c r="CJ55" i="16" s="1"/>
  <c r="BN56" i="16"/>
  <c r="CJ56" i="16" s="1"/>
  <c r="BN57" i="16"/>
  <c r="CJ57" i="16" s="1"/>
  <c r="BN58" i="16"/>
  <c r="CJ58" i="16" s="1"/>
  <c r="BN59" i="16"/>
  <c r="CJ59" i="16" s="1"/>
  <c r="BN60" i="16"/>
  <c r="CJ60" i="16" s="1"/>
  <c r="BN61" i="16"/>
  <c r="CJ61" i="16" s="1"/>
  <c r="BN62" i="16"/>
  <c r="CJ62" i="16" s="1"/>
  <c r="BN63" i="16"/>
  <c r="CJ63" i="16" s="1"/>
  <c r="BN64" i="16"/>
  <c r="CJ64" i="16" s="1"/>
  <c r="BN65" i="16"/>
  <c r="CJ65" i="16" s="1"/>
  <c r="BN66" i="16"/>
  <c r="CJ66" i="16" s="1"/>
  <c r="BN67" i="16"/>
  <c r="BN68" i="16"/>
  <c r="CJ68" i="16" s="1"/>
  <c r="BN69" i="16"/>
  <c r="CJ69" i="16" s="1"/>
  <c r="BN70" i="16"/>
  <c r="CJ70" i="16" s="1"/>
  <c r="BN71" i="16"/>
  <c r="CJ71" i="16" s="1"/>
  <c r="BN72" i="16"/>
  <c r="CJ72" i="16" s="1"/>
  <c r="BN73" i="16"/>
  <c r="CJ73" i="16" s="1"/>
  <c r="BN74" i="16"/>
  <c r="CJ74" i="16" s="1"/>
  <c r="BN75" i="16"/>
  <c r="CJ75" i="16" s="1"/>
  <c r="BN76" i="16"/>
  <c r="CJ76" i="16" s="1"/>
  <c r="BN77" i="16"/>
  <c r="CJ77" i="16" s="1"/>
  <c r="BN78" i="16"/>
  <c r="CJ78" i="16" s="1"/>
  <c r="BN79" i="16"/>
  <c r="CJ79" i="16" s="1"/>
  <c r="BN80" i="16"/>
  <c r="CJ80" i="16" s="1"/>
  <c r="BN81" i="16"/>
  <c r="CJ81" i="16" s="1"/>
  <c r="BN82" i="16"/>
  <c r="CJ82" i="16" s="1"/>
  <c r="BN83" i="16"/>
  <c r="CJ83" i="16" s="1"/>
  <c r="BN84" i="16"/>
  <c r="CJ84" i="16" s="1"/>
  <c r="BN85" i="16"/>
  <c r="CJ85" i="16" s="1"/>
  <c r="BN86" i="16"/>
  <c r="CJ86" i="16" s="1"/>
  <c r="BN87" i="16"/>
  <c r="CJ87" i="16" s="1"/>
  <c r="BN88" i="16"/>
  <c r="CJ88" i="16" s="1"/>
  <c r="BN89" i="16"/>
  <c r="CJ89" i="16" s="1"/>
  <c r="BN90" i="16"/>
  <c r="CJ90" i="16" s="1"/>
  <c r="BN91" i="16"/>
  <c r="CJ91" i="16" s="1"/>
  <c r="BN92" i="16"/>
  <c r="CJ92" i="16" s="1"/>
  <c r="BN93" i="16"/>
  <c r="CJ93" i="16" s="1"/>
  <c r="BN94" i="16"/>
  <c r="CJ94" i="16" s="1"/>
  <c r="BN95" i="16"/>
  <c r="CJ95" i="16" s="1"/>
  <c r="BN96" i="16"/>
  <c r="CJ96" i="16" s="1"/>
  <c r="BN97" i="16"/>
  <c r="CJ97" i="16" s="1"/>
  <c r="BN98" i="16"/>
  <c r="CJ98" i="16" s="1"/>
  <c r="BN99" i="16"/>
  <c r="CJ99" i="16" s="1"/>
  <c r="BN100" i="16"/>
  <c r="CJ100" i="16" s="1"/>
  <c r="BN101" i="16"/>
  <c r="CJ101" i="16" s="1"/>
  <c r="BN102" i="16"/>
  <c r="BN103" i="16"/>
  <c r="BN104" i="16"/>
  <c r="BN105" i="16"/>
  <c r="BN106" i="16"/>
  <c r="BN107" i="16"/>
  <c r="BN108" i="16"/>
  <c r="BN109" i="16"/>
  <c r="BN110" i="16"/>
  <c r="BN111" i="16"/>
  <c r="BN112" i="16"/>
  <c r="BN113" i="16"/>
  <c r="BN114" i="16"/>
  <c r="BN115" i="16"/>
  <c r="BN116" i="16"/>
  <c r="BN117" i="16"/>
  <c r="BN118" i="16"/>
  <c r="BN119" i="16"/>
  <c r="BN120" i="16"/>
  <c r="BN121" i="16"/>
  <c r="BN122" i="16"/>
  <c r="BN123" i="16"/>
  <c r="BN124" i="16"/>
  <c r="BN125" i="16"/>
  <c r="BN126" i="16"/>
  <c r="BN127" i="16"/>
  <c r="BN128" i="16"/>
  <c r="BN129" i="16"/>
  <c r="BN130" i="16"/>
  <c r="BN131" i="16"/>
  <c r="BN132" i="16"/>
  <c r="BN133" i="16"/>
  <c r="BN134" i="16"/>
  <c r="BN135" i="16"/>
  <c r="BN136" i="16"/>
  <c r="BN137" i="16"/>
  <c r="BN138" i="16"/>
  <c r="BN139" i="16"/>
  <c r="BN140" i="16"/>
  <c r="BN141" i="16"/>
  <c r="BN142" i="16"/>
  <c r="BN143" i="16"/>
  <c r="BN144" i="16"/>
  <c r="BN145" i="16"/>
  <c r="BN146" i="16"/>
  <c r="BN147" i="16"/>
  <c r="BN148" i="16"/>
  <c r="BN149" i="16"/>
  <c r="BN150" i="16"/>
  <c r="BN151" i="16"/>
  <c r="BN152" i="16"/>
  <c r="BN153" i="16"/>
  <c r="BN154" i="16"/>
  <c r="BN155" i="16"/>
  <c r="BN156" i="16"/>
  <c r="BN157" i="16"/>
  <c r="BN158" i="16"/>
  <c r="BN159" i="16"/>
  <c r="BN160" i="16"/>
  <c r="BN161" i="16"/>
  <c r="BN162" i="16"/>
  <c r="BN163" i="16"/>
  <c r="BN164" i="16"/>
  <c r="BN165" i="16"/>
  <c r="BN166" i="16"/>
  <c r="BN167" i="16"/>
  <c r="BN168" i="16"/>
  <c r="BN169" i="16"/>
  <c r="BN170" i="16"/>
  <c r="BN171" i="16"/>
  <c r="BN172" i="16"/>
  <c r="BN173" i="16"/>
  <c r="BN174" i="16"/>
  <c r="BN175" i="16"/>
  <c r="BN176" i="16"/>
  <c r="BM3" i="16"/>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90" i="16"/>
  <c r="BL91" i="16"/>
  <c r="BL92" i="16"/>
  <c r="BL93" i="16"/>
  <c r="BL94" i="16"/>
  <c r="BL95" i="16"/>
  <c r="BL96" i="16"/>
  <c r="BL97" i="16"/>
  <c r="BL98" i="16"/>
  <c r="BL99" i="16"/>
  <c r="BL100" i="16"/>
  <c r="BL101" i="16"/>
  <c r="BL102" i="16"/>
  <c r="BL103" i="16"/>
  <c r="BL104" i="16"/>
  <c r="BL105" i="16"/>
  <c r="BL106" i="16"/>
  <c r="BL107" i="16"/>
  <c r="BL108" i="16"/>
  <c r="BL109" i="16"/>
  <c r="BL110" i="16"/>
  <c r="BL111" i="16"/>
  <c r="BL112" i="16"/>
  <c r="BL113" i="16"/>
  <c r="BL114" i="16"/>
  <c r="BL115" i="16"/>
  <c r="BL116" i="16"/>
  <c r="BL117" i="16"/>
  <c r="BL118" i="16"/>
  <c r="BL119" i="16"/>
  <c r="BL120" i="16"/>
  <c r="BL121" i="16"/>
  <c r="BL122" i="16"/>
  <c r="BL123" i="16"/>
  <c r="BL124" i="16"/>
  <c r="BL125"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162" i="16"/>
  <c r="BL163" i="16"/>
  <c r="BL164" i="16"/>
  <c r="BL165" i="16"/>
  <c r="BL166" i="16"/>
  <c r="BL167" i="16"/>
  <c r="BL168" i="16"/>
  <c r="BL169" i="16"/>
  <c r="BL170" i="16"/>
  <c r="BL171" i="16"/>
  <c r="BL172" i="16"/>
  <c r="BL173" i="16"/>
  <c r="BL174" i="16"/>
  <c r="BL175" i="16"/>
  <c r="BL176" i="16"/>
  <c r="BK3" i="16"/>
  <c r="BK4" i="16"/>
  <c r="BK5" i="16"/>
  <c r="BK6" i="16"/>
  <c r="BK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58" i="16"/>
  <c r="BK59" i="16"/>
  <c r="BK60" i="16"/>
  <c r="BK61" i="16"/>
  <c r="BK62" i="16"/>
  <c r="BK63" i="16"/>
  <c r="BK64" i="16"/>
  <c r="BK65"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90" i="16"/>
  <c r="BK91" i="16"/>
  <c r="BK92" i="16"/>
  <c r="BK93" i="16"/>
  <c r="BK94" i="16"/>
  <c r="BK95" i="16"/>
  <c r="BK96" i="16"/>
  <c r="BK97" i="16"/>
  <c r="BK98" i="16"/>
  <c r="BK99" i="16"/>
  <c r="BK100" i="16"/>
  <c r="BK101" i="16"/>
  <c r="BK102" i="16"/>
  <c r="BK103" i="16"/>
  <c r="BK104" i="16"/>
  <c r="BK105" i="16"/>
  <c r="BK106" i="16"/>
  <c r="BK107" i="16"/>
  <c r="BK108" i="16"/>
  <c r="BK109" i="16"/>
  <c r="BK110" i="16"/>
  <c r="BK111" i="16"/>
  <c r="BK112" i="16"/>
  <c r="BK113" i="16"/>
  <c r="BK114" i="16"/>
  <c r="BK115" i="16"/>
  <c r="BK116" i="16"/>
  <c r="BK117" i="16"/>
  <c r="BK118" i="16"/>
  <c r="BK119" i="16"/>
  <c r="BK120" i="16"/>
  <c r="BK121" i="16"/>
  <c r="BK122" i="16"/>
  <c r="BK123" i="16"/>
  <c r="BK124" i="16"/>
  <c r="BK125"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62" i="16"/>
  <c r="BK163" i="16"/>
  <c r="BK164" i="16"/>
  <c r="BK165" i="16"/>
  <c r="BK166" i="16"/>
  <c r="BK167" i="16"/>
  <c r="BK168" i="16"/>
  <c r="BK169" i="16"/>
  <c r="BK170" i="16"/>
  <c r="BK171" i="16"/>
  <c r="BK172" i="16"/>
  <c r="BK173" i="16"/>
  <c r="BK174" i="16"/>
  <c r="BK175" i="16"/>
  <c r="BK176" i="16"/>
  <c r="BJ3" i="16"/>
  <c r="BJ4" i="16"/>
  <c r="BJ5" i="16"/>
  <c r="BJ6" i="16"/>
  <c r="BJ7" i="16"/>
  <c r="BJ8" i="16"/>
  <c r="BJ9" i="16"/>
  <c r="BJ10" i="16"/>
  <c r="BJ11" i="16"/>
  <c r="BJ12" i="16"/>
  <c r="BJ13" i="16"/>
  <c r="BJ14" i="16"/>
  <c r="BJ15" i="16"/>
  <c r="BJ16" i="16"/>
  <c r="BJ17" i="16"/>
  <c r="BJ18" i="16"/>
  <c r="BJ19" i="16"/>
  <c r="BJ20" i="16"/>
  <c r="BJ21" i="16"/>
  <c r="BJ22" i="16"/>
  <c r="BJ23" i="16"/>
  <c r="BJ24" i="16"/>
  <c r="BJ25" i="16"/>
  <c r="BJ26" i="16"/>
  <c r="BJ27" i="16"/>
  <c r="BJ28" i="16"/>
  <c r="BJ29" i="16"/>
  <c r="BJ30" i="16"/>
  <c r="BJ31" i="16"/>
  <c r="BJ32" i="16"/>
  <c r="BJ33" i="16"/>
  <c r="BJ34" i="16"/>
  <c r="BJ35" i="16"/>
  <c r="BJ36" i="16"/>
  <c r="BJ37" i="16"/>
  <c r="BJ38" i="16"/>
  <c r="BJ39" i="16"/>
  <c r="BJ40" i="16"/>
  <c r="BJ41" i="16"/>
  <c r="BJ42" i="16"/>
  <c r="BJ43" i="16"/>
  <c r="BJ44" i="16"/>
  <c r="BJ45" i="16"/>
  <c r="BJ46" i="16"/>
  <c r="BJ47" i="16"/>
  <c r="BJ48" i="16"/>
  <c r="BJ49" i="16"/>
  <c r="BJ50" i="16"/>
  <c r="BJ51" i="16"/>
  <c r="BJ52" i="16"/>
  <c r="BJ53" i="16"/>
  <c r="CI53" i="16" s="1"/>
  <c r="BJ54" i="16"/>
  <c r="CI54" i="16" s="1"/>
  <c r="BJ55" i="16"/>
  <c r="CI55" i="16" s="1"/>
  <c r="BJ56" i="16"/>
  <c r="CI56" i="16" s="1"/>
  <c r="BJ57" i="16"/>
  <c r="CI57" i="16" s="1"/>
  <c r="BJ58" i="16"/>
  <c r="CI58" i="16" s="1"/>
  <c r="BJ59" i="16"/>
  <c r="CI59" i="16" s="1"/>
  <c r="BJ60" i="16"/>
  <c r="CI60" i="16" s="1"/>
  <c r="BJ61" i="16"/>
  <c r="CI61" i="16" s="1"/>
  <c r="BJ62" i="16"/>
  <c r="CI62" i="16" s="1"/>
  <c r="BJ63" i="16"/>
  <c r="CI63" i="16" s="1"/>
  <c r="BJ64" i="16"/>
  <c r="CI64" i="16" s="1"/>
  <c r="BJ65" i="16"/>
  <c r="CI65" i="16" s="1"/>
  <c r="BJ66" i="16"/>
  <c r="CI66" i="16" s="1"/>
  <c r="BJ67" i="16"/>
  <c r="CI67" i="16" s="1"/>
  <c r="BJ68" i="16"/>
  <c r="CI68" i="16" s="1"/>
  <c r="BJ69" i="16"/>
  <c r="CI69" i="16" s="1"/>
  <c r="BJ70" i="16"/>
  <c r="CI70" i="16" s="1"/>
  <c r="BJ71" i="16"/>
  <c r="CI71" i="16" s="1"/>
  <c r="BJ72" i="16"/>
  <c r="CI72" i="16" s="1"/>
  <c r="BJ73" i="16"/>
  <c r="CI73" i="16" s="1"/>
  <c r="BJ74" i="16"/>
  <c r="CI74" i="16" s="1"/>
  <c r="BJ75" i="16"/>
  <c r="CI75" i="16" s="1"/>
  <c r="BJ76" i="16"/>
  <c r="CI76" i="16" s="1"/>
  <c r="BJ77" i="16"/>
  <c r="CI77" i="16" s="1"/>
  <c r="BJ78" i="16"/>
  <c r="CI78" i="16" s="1"/>
  <c r="BJ79" i="16"/>
  <c r="CI79" i="16" s="1"/>
  <c r="BJ80" i="16"/>
  <c r="CI80" i="16" s="1"/>
  <c r="BJ81" i="16"/>
  <c r="CI81" i="16" s="1"/>
  <c r="BJ82" i="16"/>
  <c r="CI82" i="16" s="1"/>
  <c r="BJ83" i="16"/>
  <c r="CI83" i="16" s="1"/>
  <c r="BJ84" i="16"/>
  <c r="CI84" i="16" s="1"/>
  <c r="BJ85" i="16"/>
  <c r="CI85" i="16" s="1"/>
  <c r="BJ86" i="16"/>
  <c r="CI86" i="16" s="1"/>
  <c r="BJ87" i="16"/>
  <c r="CI87" i="16" s="1"/>
  <c r="BJ88" i="16"/>
  <c r="CI88" i="16" s="1"/>
  <c r="BJ89" i="16"/>
  <c r="CI89" i="16" s="1"/>
  <c r="BJ90" i="16"/>
  <c r="CI90" i="16" s="1"/>
  <c r="BJ91" i="16"/>
  <c r="CI91" i="16" s="1"/>
  <c r="BJ92" i="16"/>
  <c r="CI92" i="16" s="1"/>
  <c r="BJ93" i="16"/>
  <c r="CI93" i="16" s="1"/>
  <c r="BJ94" i="16"/>
  <c r="CI94" i="16" s="1"/>
  <c r="BJ95" i="16"/>
  <c r="CI95" i="16" s="1"/>
  <c r="BJ96" i="16"/>
  <c r="CI96" i="16" s="1"/>
  <c r="BJ97" i="16"/>
  <c r="CI97" i="16" s="1"/>
  <c r="BJ98" i="16"/>
  <c r="CI98" i="16" s="1"/>
  <c r="BJ99" i="16"/>
  <c r="CI99" i="16" s="1"/>
  <c r="BJ100" i="16"/>
  <c r="CI100" i="16" s="1"/>
  <c r="BJ101" i="16"/>
  <c r="CI101" i="16" s="1"/>
  <c r="BJ102" i="16"/>
  <c r="CI102" i="16" s="1"/>
  <c r="BJ103" i="16"/>
  <c r="CI103" i="16" s="1"/>
  <c r="BJ104" i="16"/>
  <c r="CI104" i="16" s="1"/>
  <c r="BJ105" i="16"/>
  <c r="CI105" i="16" s="1"/>
  <c r="BJ106" i="16"/>
  <c r="CI106" i="16" s="1"/>
  <c r="BJ107" i="16"/>
  <c r="CI107" i="16" s="1"/>
  <c r="BJ108" i="16"/>
  <c r="CI108" i="16" s="1"/>
  <c r="BJ109" i="16"/>
  <c r="CI109" i="16" s="1"/>
  <c r="BJ110" i="16"/>
  <c r="CI110" i="16" s="1"/>
  <c r="BJ111" i="16"/>
  <c r="CI111" i="16" s="1"/>
  <c r="BJ112" i="16"/>
  <c r="CI112" i="16" s="1"/>
  <c r="BJ113" i="16"/>
  <c r="CI113" i="16" s="1"/>
  <c r="BJ114" i="16"/>
  <c r="CI114" i="16" s="1"/>
  <c r="BJ115" i="16"/>
  <c r="CI115" i="16" s="1"/>
  <c r="BJ116" i="16"/>
  <c r="CI116" i="16" s="1"/>
  <c r="BJ117" i="16"/>
  <c r="CI117" i="16" s="1"/>
  <c r="BJ118" i="16"/>
  <c r="CI118" i="16" s="1"/>
  <c r="BJ119" i="16"/>
  <c r="CI119" i="16" s="1"/>
  <c r="BJ120" i="16"/>
  <c r="CI120" i="16" s="1"/>
  <c r="BJ121" i="16"/>
  <c r="BJ122" i="16"/>
  <c r="CI122" i="16" s="1"/>
  <c r="BJ123" i="16"/>
  <c r="CI123" i="16" s="1"/>
  <c r="BJ124" i="16"/>
  <c r="CI124" i="16" s="1"/>
  <c r="BJ125" i="16"/>
  <c r="CI125" i="16" s="1"/>
  <c r="BJ126" i="16"/>
  <c r="CI126" i="16" s="1"/>
  <c r="BJ127" i="16"/>
  <c r="CI127" i="16" s="1"/>
  <c r="BJ128" i="16"/>
  <c r="CI128" i="16" s="1"/>
  <c r="BJ129" i="16"/>
  <c r="CI129" i="16" s="1"/>
  <c r="BJ130" i="16"/>
  <c r="CI130" i="16" s="1"/>
  <c r="BJ131" i="16"/>
  <c r="CI131" i="16" s="1"/>
  <c r="BJ132" i="16"/>
  <c r="CI132" i="16" s="1"/>
  <c r="BJ133" i="16"/>
  <c r="CI133" i="16" s="1"/>
  <c r="BJ134" i="16"/>
  <c r="CI134" i="16" s="1"/>
  <c r="BJ135" i="16"/>
  <c r="CI135" i="16" s="1"/>
  <c r="BJ136" i="16"/>
  <c r="CI136" i="16" s="1"/>
  <c r="BJ137" i="16"/>
  <c r="CI137" i="16" s="1"/>
  <c r="BJ138" i="16"/>
  <c r="CI138" i="16" s="1"/>
  <c r="BJ139" i="16"/>
  <c r="CI139" i="16" s="1"/>
  <c r="BJ140" i="16"/>
  <c r="CI140" i="16" s="1"/>
  <c r="BJ141" i="16"/>
  <c r="CI141" i="16" s="1"/>
  <c r="BJ142" i="16"/>
  <c r="CI142" i="16" s="1"/>
  <c r="BJ143" i="16"/>
  <c r="CI143" i="16" s="1"/>
  <c r="BJ144" i="16"/>
  <c r="CI144" i="16" s="1"/>
  <c r="BJ145" i="16"/>
  <c r="CI145" i="16" s="1"/>
  <c r="BJ146" i="16"/>
  <c r="CI146" i="16" s="1"/>
  <c r="BJ147" i="16"/>
  <c r="CI147" i="16" s="1"/>
  <c r="BJ148" i="16"/>
  <c r="CI148" i="16" s="1"/>
  <c r="BJ149" i="16"/>
  <c r="CI149" i="16" s="1"/>
  <c r="BJ150" i="16"/>
  <c r="CI150" i="16" s="1"/>
  <c r="BJ151" i="16"/>
  <c r="CI151" i="16" s="1"/>
  <c r="BJ152" i="16"/>
  <c r="CI152" i="16" s="1"/>
  <c r="BJ153" i="16"/>
  <c r="CI153" i="16" s="1"/>
  <c r="BJ154" i="16"/>
  <c r="CI154" i="16" s="1"/>
  <c r="BJ155" i="16"/>
  <c r="CI155" i="16" s="1"/>
  <c r="BJ156" i="16"/>
  <c r="CI156" i="16" s="1"/>
  <c r="BJ157" i="16"/>
  <c r="CI157" i="16" s="1"/>
  <c r="BJ158" i="16"/>
  <c r="CI158" i="16" s="1"/>
  <c r="BJ159" i="16"/>
  <c r="CI159" i="16" s="1"/>
  <c r="BJ160" i="16"/>
  <c r="CI160" i="16" s="1"/>
  <c r="BJ161" i="16"/>
  <c r="CI161" i="16" s="1"/>
  <c r="BJ162" i="16"/>
  <c r="CI162" i="16" s="1"/>
  <c r="BJ163" i="16"/>
  <c r="CI163" i="16" s="1"/>
  <c r="BJ164" i="16"/>
  <c r="CI164" i="16" s="1"/>
  <c r="BJ165" i="16"/>
  <c r="CI165" i="16" s="1"/>
  <c r="BJ166" i="16"/>
  <c r="CI166" i="16" s="1"/>
  <c r="BJ167" i="16"/>
  <c r="CI167" i="16" s="1"/>
  <c r="BJ168" i="16"/>
  <c r="CI168" i="16" s="1"/>
  <c r="BJ169" i="16"/>
  <c r="CI169" i="16" s="1"/>
  <c r="BJ170" i="16"/>
  <c r="CI170" i="16" s="1"/>
  <c r="BJ171" i="16"/>
  <c r="CI171" i="16" s="1"/>
  <c r="BJ172" i="16"/>
  <c r="CI172" i="16" s="1"/>
  <c r="BJ173" i="16"/>
  <c r="CI173" i="16" s="1"/>
  <c r="BJ174" i="16"/>
  <c r="CI174" i="16" s="1"/>
  <c r="BJ175" i="16"/>
  <c r="CI175" i="16" s="1"/>
  <c r="BJ176" i="16"/>
  <c r="CI176" i="16" s="1"/>
  <c r="BI3" i="16"/>
  <c r="BI4" i="16"/>
  <c r="BI5" i="16"/>
  <c r="BI6" i="16"/>
  <c r="BI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H3" i="16"/>
  <c r="BH4" i="16"/>
  <c r="BH5" i="16"/>
  <c r="BH6" i="16"/>
  <c r="BH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58" i="16"/>
  <c r="BH59" i="16"/>
  <c r="BH60" i="16"/>
  <c r="BH61" i="16"/>
  <c r="BH62" i="16"/>
  <c r="BH63" i="16"/>
  <c r="BH64" i="16"/>
  <c r="BH65" i="16"/>
  <c r="BH66"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90" i="16"/>
  <c r="BH91" i="16"/>
  <c r="BH92" i="16"/>
  <c r="BH93" i="16"/>
  <c r="BH94" i="16"/>
  <c r="BH95" i="16"/>
  <c r="BH96" i="16"/>
  <c r="BH97" i="16"/>
  <c r="BH98" i="16"/>
  <c r="BH99" i="16"/>
  <c r="BH100" i="16"/>
  <c r="BH101" i="16"/>
  <c r="BH102" i="16"/>
  <c r="BH103" i="16"/>
  <c r="BH104" i="16"/>
  <c r="BH105" i="16"/>
  <c r="BH106" i="16"/>
  <c r="BH107" i="16"/>
  <c r="BH108" i="16"/>
  <c r="BH109" i="16"/>
  <c r="BH110" i="16"/>
  <c r="BH111" i="16"/>
  <c r="BH112" i="16"/>
  <c r="BH113" i="16"/>
  <c r="BH114" i="16"/>
  <c r="BH115" i="16"/>
  <c r="BH116" i="16"/>
  <c r="BH117" i="16"/>
  <c r="BH118" i="16"/>
  <c r="BH119" i="16"/>
  <c r="BH120" i="16"/>
  <c r="BH121" i="16"/>
  <c r="BH122" i="16"/>
  <c r="BH123" i="16"/>
  <c r="BH124" i="16"/>
  <c r="BH125"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62" i="16"/>
  <c r="BH163" i="16"/>
  <c r="BH164" i="16"/>
  <c r="BH165" i="16"/>
  <c r="BH166" i="16"/>
  <c r="BH167" i="16"/>
  <c r="BH168" i="16"/>
  <c r="BH169" i="16"/>
  <c r="BH170" i="16"/>
  <c r="BH171" i="16"/>
  <c r="BH172" i="16"/>
  <c r="BH173" i="16"/>
  <c r="BH174" i="16"/>
  <c r="BH175" i="16"/>
  <c r="BH176" i="16"/>
  <c r="BG3" i="16"/>
  <c r="BG4" i="16"/>
  <c r="BG5" i="16"/>
  <c r="BG6" i="16"/>
  <c r="BG7" i="16"/>
  <c r="BG8" i="16"/>
  <c r="BG9" i="16"/>
  <c r="BG10" i="16"/>
  <c r="BG11" i="16"/>
  <c r="BG12" i="16"/>
  <c r="BG13" i="16"/>
  <c r="BG14" i="16"/>
  <c r="BG15" i="16"/>
  <c r="BG16" i="16"/>
  <c r="BG17" i="16"/>
  <c r="BG18" i="16"/>
  <c r="BG19" i="16"/>
  <c r="BG20" i="16"/>
  <c r="BG21" i="16"/>
  <c r="BG22" i="16"/>
  <c r="BG23" i="16"/>
  <c r="BG24" i="16"/>
  <c r="BG25" i="16"/>
  <c r="BG26" i="16"/>
  <c r="BG27" i="16"/>
  <c r="BG28" i="16"/>
  <c r="BG29" i="16"/>
  <c r="BG30" i="16"/>
  <c r="BG31" i="16"/>
  <c r="BG32" i="16"/>
  <c r="BG33"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G58" i="16"/>
  <c r="BG59" i="16"/>
  <c r="BG60" i="16"/>
  <c r="BG61" i="16"/>
  <c r="BG62" i="16"/>
  <c r="BG63" i="16"/>
  <c r="BG64" i="16"/>
  <c r="BG65" i="16"/>
  <c r="BG66"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90" i="16"/>
  <c r="BG91" i="16"/>
  <c r="BG92" i="16"/>
  <c r="BG93" i="16"/>
  <c r="BG94" i="16"/>
  <c r="BG95" i="16"/>
  <c r="BG96" i="16"/>
  <c r="BG97" i="16"/>
  <c r="BG98" i="16"/>
  <c r="BG99" i="16"/>
  <c r="BG100" i="16"/>
  <c r="BG101" i="16"/>
  <c r="BG102" i="16"/>
  <c r="BG103" i="16"/>
  <c r="BG104" i="16"/>
  <c r="BG105" i="16"/>
  <c r="BG106" i="16"/>
  <c r="BG107" i="16"/>
  <c r="BG108" i="16"/>
  <c r="BG109" i="16"/>
  <c r="BG110" i="16"/>
  <c r="BG111" i="16"/>
  <c r="BG112" i="16"/>
  <c r="BG113" i="16"/>
  <c r="BG114" i="16"/>
  <c r="BG115" i="16"/>
  <c r="BG116" i="16"/>
  <c r="BG117" i="16"/>
  <c r="BG118" i="16"/>
  <c r="BG119" i="16"/>
  <c r="BG120" i="16"/>
  <c r="BG121" i="16"/>
  <c r="BG122" i="16"/>
  <c r="BG123" i="16"/>
  <c r="BG124" i="16"/>
  <c r="BG125"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162" i="16"/>
  <c r="BG163" i="16"/>
  <c r="BG164" i="16"/>
  <c r="BG165" i="16"/>
  <c r="BG166" i="16"/>
  <c r="BG167" i="16"/>
  <c r="BG168" i="16"/>
  <c r="BG169" i="16"/>
  <c r="BG170" i="16"/>
  <c r="BG171" i="16"/>
  <c r="BG172" i="16"/>
  <c r="BG173" i="16"/>
  <c r="BG174" i="16"/>
  <c r="BG175" i="16"/>
  <c r="BG176" i="16"/>
  <c r="BF3" i="16"/>
  <c r="BF4" i="16"/>
  <c r="BF5" i="16"/>
  <c r="BF6" i="16"/>
  <c r="BF7" i="16"/>
  <c r="BF8" i="16"/>
  <c r="BF9" i="16"/>
  <c r="BF10" i="16"/>
  <c r="BF11" i="16"/>
  <c r="BF12" i="16"/>
  <c r="BF13" i="16"/>
  <c r="BF14" i="16"/>
  <c r="BF15" i="16"/>
  <c r="BF16" i="16"/>
  <c r="BF17" i="16"/>
  <c r="BF18" i="16"/>
  <c r="BF19" i="16"/>
  <c r="BF20" i="16"/>
  <c r="BF21" i="16"/>
  <c r="BF22" i="16"/>
  <c r="BF23" i="16"/>
  <c r="BF24" i="16"/>
  <c r="BF25" i="16"/>
  <c r="BF26" i="16"/>
  <c r="BF27" i="16"/>
  <c r="BF28" i="16"/>
  <c r="BF29" i="16"/>
  <c r="BF30" i="16"/>
  <c r="BF31" i="16"/>
  <c r="BF32" i="16"/>
  <c r="BF33" i="16"/>
  <c r="BF34" i="16"/>
  <c r="BF35" i="16"/>
  <c r="BF36" i="16"/>
  <c r="BF37" i="16"/>
  <c r="BF38" i="16"/>
  <c r="BF39" i="16"/>
  <c r="BF40" i="16"/>
  <c r="BF41" i="16"/>
  <c r="BF42" i="16"/>
  <c r="BF43" i="16"/>
  <c r="BF44" i="16"/>
  <c r="BF45" i="16"/>
  <c r="BF46" i="16"/>
  <c r="BF47" i="16"/>
  <c r="BF48" i="16"/>
  <c r="BF49" i="16"/>
  <c r="BF50" i="16"/>
  <c r="BF51" i="16"/>
  <c r="BF52" i="16"/>
  <c r="BF53" i="16"/>
  <c r="BF54" i="16"/>
  <c r="BF55" i="16"/>
  <c r="BF56" i="16"/>
  <c r="BF57" i="16"/>
  <c r="BF58" i="16"/>
  <c r="BF59" i="16"/>
  <c r="BF60" i="16"/>
  <c r="BF61" i="16"/>
  <c r="BF62" i="16"/>
  <c r="BF63" i="16"/>
  <c r="BF64" i="16"/>
  <c r="BF65" i="16"/>
  <c r="BF66"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90" i="16"/>
  <c r="BF91" i="16"/>
  <c r="BF92" i="16"/>
  <c r="BF93" i="16"/>
  <c r="BF94" i="16"/>
  <c r="BF95" i="16"/>
  <c r="BF96" i="16"/>
  <c r="BF97" i="16"/>
  <c r="BF98" i="16"/>
  <c r="BF99" i="16"/>
  <c r="BF100" i="16"/>
  <c r="BF101" i="16"/>
  <c r="BF102" i="16"/>
  <c r="BF103" i="16"/>
  <c r="BF104" i="16"/>
  <c r="BF105" i="16"/>
  <c r="BF106" i="16"/>
  <c r="BF107" i="16"/>
  <c r="BF108" i="16"/>
  <c r="BF109" i="16"/>
  <c r="BF110" i="16"/>
  <c r="BF111" i="16"/>
  <c r="BF112" i="16"/>
  <c r="BF113" i="16"/>
  <c r="BF114" i="16"/>
  <c r="BF115" i="16"/>
  <c r="BF116" i="16"/>
  <c r="BF117" i="16"/>
  <c r="BF118" i="16"/>
  <c r="BF119" i="16"/>
  <c r="BF120" i="16"/>
  <c r="BF121" i="16"/>
  <c r="BF122" i="16"/>
  <c r="BF123" i="16"/>
  <c r="BF124" i="16"/>
  <c r="BF125"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62" i="16"/>
  <c r="BF163" i="16"/>
  <c r="BF164" i="16"/>
  <c r="BF165" i="16"/>
  <c r="BF166" i="16"/>
  <c r="BF167" i="16"/>
  <c r="BF168" i="16"/>
  <c r="BF169" i="16"/>
  <c r="BF170" i="16"/>
  <c r="BF171" i="16"/>
  <c r="BF172" i="16"/>
  <c r="BF173" i="16"/>
  <c r="BF174" i="16"/>
  <c r="BF175" i="16"/>
  <c r="BF176" i="16"/>
  <c r="BE3" i="16"/>
  <c r="BE4" i="16"/>
  <c r="BE5" i="16"/>
  <c r="BE6" i="16"/>
  <c r="BE7" i="16"/>
  <c r="BE8" i="16"/>
  <c r="BE9" i="16"/>
  <c r="BE10" i="16"/>
  <c r="BE11" i="16"/>
  <c r="BE12" i="16"/>
  <c r="BE13" i="16"/>
  <c r="BE14" i="16"/>
  <c r="BE15" i="16"/>
  <c r="BE16" i="16"/>
  <c r="BE17" i="16"/>
  <c r="BE18" i="16"/>
  <c r="BE19" i="16"/>
  <c r="BE20" i="16"/>
  <c r="BE21" i="16"/>
  <c r="BE22" i="16"/>
  <c r="BE23" i="16"/>
  <c r="BE24" i="16"/>
  <c r="BE25" i="16"/>
  <c r="BE26" i="16"/>
  <c r="BE27" i="16"/>
  <c r="BE28" i="16"/>
  <c r="BE29" i="16"/>
  <c r="BE30" i="16"/>
  <c r="BE31" i="16"/>
  <c r="BE32" i="16"/>
  <c r="BE33" i="16"/>
  <c r="BE34" i="16"/>
  <c r="BE35" i="16"/>
  <c r="BE36" i="16"/>
  <c r="BE37" i="16"/>
  <c r="BE38" i="16"/>
  <c r="BE39" i="16"/>
  <c r="BE40" i="16"/>
  <c r="BE41" i="16"/>
  <c r="BE42" i="16"/>
  <c r="BE43" i="16"/>
  <c r="BE44" i="16"/>
  <c r="BE45" i="16"/>
  <c r="BE46" i="16"/>
  <c r="BE47" i="16"/>
  <c r="BE48" i="16"/>
  <c r="BE49" i="16"/>
  <c r="BE50" i="16"/>
  <c r="BE51" i="16"/>
  <c r="BE52" i="16"/>
  <c r="BE53" i="16"/>
  <c r="BE54" i="16"/>
  <c r="BE55" i="16"/>
  <c r="BE56" i="16"/>
  <c r="BE57" i="16"/>
  <c r="BE58" i="16"/>
  <c r="BE59" i="16"/>
  <c r="BE60" i="16"/>
  <c r="BE61" i="16"/>
  <c r="BE62" i="16"/>
  <c r="BE63" i="16"/>
  <c r="BE64" i="16"/>
  <c r="BE65" i="16"/>
  <c r="BE66" i="16"/>
  <c r="BE67" i="16"/>
  <c r="BE68" i="16"/>
  <c r="BE69" i="16"/>
  <c r="BE70" i="16"/>
  <c r="BE71" i="16"/>
  <c r="BE72" i="16"/>
  <c r="BE73" i="16"/>
  <c r="BE74" i="16"/>
  <c r="BE75" i="16"/>
  <c r="BE76" i="16"/>
  <c r="BE77" i="16"/>
  <c r="BE78" i="16"/>
  <c r="BE79" i="16"/>
  <c r="BE80" i="16"/>
  <c r="BE81" i="16"/>
  <c r="BE82" i="16"/>
  <c r="BE83" i="16"/>
  <c r="BE84" i="16"/>
  <c r="BE85" i="16"/>
  <c r="BE86" i="16"/>
  <c r="BE87" i="16"/>
  <c r="BE88" i="16"/>
  <c r="BE89" i="16"/>
  <c r="BE90" i="16"/>
  <c r="BE91" i="16"/>
  <c r="BE92" i="16"/>
  <c r="BE93" i="16"/>
  <c r="BE94" i="16"/>
  <c r="BE95" i="16"/>
  <c r="BE96" i="16"/>
  <c r="BE97" i="16"/>
  <c r="BE98" i="16"/>
  <c r="BE99" i="16"/>
  <c r="BE100" i="16"/>
  <c r="BE101" i="16"/>
  <c r="BE102" i="16"/>
  <c r="BE103" i="16"/>
  <c r="BE104" i="16"/>
  <c r="BE105" i="16"/>
  <c r="BE106" i="16"/>
  <c r="BE107" i="16"/>
  <c r="BE108" i="16"/>
  <c r="BE109" i="16"/>
  <c r="BE110" i="16"/>
  <c r="BE111" i="16"/>
  <c r="BE112" i="16"/>
  <c r="BE113" i="16"/>
  <c r="BE114" i="16"/>
  <c r="BE115" i="16"/>
  <c r="BE116" i="16"/>
  <c r="BE117" i="16"/>
  <c r="BE118" i="16"/>
  <c r="BE119" i="16"/>
  <c r="BE120" i="16"/>
  <c r="BE121" i="16"/>
  <c r="BE122" i="16"/>
  <c r="BE123" i="16"/>
  <c r="BE124" i="16"/>
  <c r="BE125" i="16"/>
  <c r="BE126" i="16"/>
  <c r="BE127" i="16"/>
  <c r="BE128" i="16"/>
  <c r="BE129" i="16"/>
  <c r="BE130" i="16"/>
  <c r="BE131" i="16"/>
  <c r="BE132" i="16"/>
  <c r="BE133" i="16"/>
  <c r="BE134" i="16"/>
  <c r="BE135" i="16"/>
  <c r="BE136" i="16"/>
  <c r="BE137" i="16"/>
  <c r="BE138" i="16"/>
  <c r="BE139" i="16"/>
  <c r="BE140" i="16"/>
  <c r="BE141" i="16"/>
  <c r="BE142" i="16"/>
  <c r="BE143" i="16"/>
  <c r="BE144" i="16"/>
  <c r="BE145" i="16"/>
  <c r="BE146" i="16"/>
  <c r="BE147" i="16"/>
  <c r="BE148" i="16"/>
  <c r="BE149" i="16"/>
  <c r="BE150" i="16"/>
  <c r="BE151" i="16"/>
  <c r="BE152" i="16"/>
  <c r="BE153" i="16"/>
  <c r="BE154" i="16"/>
  <c r="BE155" i="16"/>
  <c r="BE156" i="16"/>
  <c r="BE157" i="16"/>
  <c r="BE158" i="16"/>
  <c r="BE159" i="16"/>
  <c r="BE160" i="16"/>
  <c r="BE161" i="16"/>
  <c r="BE162" i="16"/>
  <c r="BE163" i="16"/>
  <c r="BE164" i="16"/>
  <c r="BE165" i="16"/>
  <c r="BE166" i="16"/>
  <c r="BE167" i="16"/>
  <c r="BE168" i="16"/>
  <c r="BE169" i="16"/>
  <c r="BE170" i="16"/>
  <c r="BE171" i="16"/>
  <c r="BE172" i="16"/>
  <c r="BE173" i="16"/>
  <c r="BE174" i="16"/>
  <c r="BE175" i="16"/>
  <c r="BE176" i="16"/>
  <c r="BD3" i="16"/>
  <c r="BD4" i="16"/>
  <c r="BD5" i="16"/>
  <c r="BD6" i="16"/>
  <c r="BD7" i="16"/>
  <c r="BD8" i="16"/>
  <c r="BD9" i="16"/>
  <c r="BD10" i="16"/>
  <c r="BD11" i="16"/>
  <c r="BD12" i="16"/>
  <c r="BD13" i="16"/>
  <c r="BD14" i="16"/>
  <c r="BD15" i="16"/>
  <c r="BD16" i="16"/>
  <c r="BD17" i="16"/>
  <c r="BD18" i="16"/>
  <c r="BD19" i="16"/>
  <c r="BD20" i="16"/>
  <c r="BD21" i="16"/>
  <c r="BD22" i="16"/>
  <c r="BD23" i="16"/>
  <c r="BD24" i="16"/>
  <c r="BD25" i="16"/>
  <c r="BD26" i="16"/>
  <c r="BD27" i="16"/>
  <c r="BD28" i="16"/>
  <c r="BD29" i="16"/>
  <c r="BD30" i="16"/>
  <c r="BD31" i="16"/>
  <c r="BD32" i="16"/>
  <c r="BD33" i="16"/>
  <c r="BD34" i="16"/>
  <c r="BD35" i="16"/>
  <c r="BD36" i="16"/>
  <c r="BD37" i="16"/>
  <c r="BD38" i="16"/>
  <c r="BD39" i="16"/>
  <c r="BD40" i="16"/>
  <c r="BD41" i="16"/>
  <c r="BD42" i="16"/>
  <c r="BD43" i="16"/>
  <c r="BD44" i="16"/>
  <c r="BD45" i="16"/>
  <c r="BD46" i="16"/>
  <c r="BD47" i="16"/>
  <c r="BD48" i="16"/>
  <c r="BD49" i="16"/>
  <c r="BD50" i="16"/>
  <c r="BD51" i="16"/>
  <c r="BD52" i="16"/>
  <c r="BD53" i="16"/>
  <c r="BD54" i="16"/>
  <c r="BD55" i="16"/>
  <c r="BD56" i="16"/>
  <c r="BD57" i="16"/>
  <c r="BD58" i="16"/>
  <c r="BD59" i="16"/>
  <c r="BD60" i="16"/>
  <c r="BD61" i="16"/>
  <c r="BD62" i="16"/>
  <c r="BD63" i="16"/>
  <c r="BD64" i="16"/>
  <c r="BD65" i="16"/>
  <c r="BD66" i="16"/>
  <c r="BD67" i="16"/>
  <c r="BD68" i="16"/>
  <c r="BD69" i="16"/>
  <c r="BD70" i="16"/>
  <c r="BD71" i="16"/>
  <c r="BD72" i="16"/>
  <c r="BD73" i="16"/>
  <c r="BD74" i="16"/>
  <c r="BD75" i="16"/>
  <c r="BD76" i="16"/>
  <c r="BD77" i="16"/>
  <c r="BD78" i="16"/>
  <c r="BD79" i="16"/>
  <c r="BD80" i="16"/>
  <c r="BD81" i="16"/>
  <c r="BD82" i="16"/>
  <c r="BD83" i="16"/>
  <c r="BD84" i="16"/>
  <c r="BD85" i="16"/>
  <c r="BD86" i="16"/>
  <c r="BD87" i="16"/>
  <c r="BD88" i="16"/>
  <c r="BD89" i="16"/>
  <c r="BD90" i="16"/>
  <c r="BD91" i="16"/>
  <c r="BD92" i="16"/>
  <c r="BD93" i="16"/>
  <c r="BD94" i="16"/>
  <c r="BD95" i="16"/>
  <c r="BD96" i="16"/>
  <c r="BD97" i="16"/>
  <c r="BD98" i="16"/>
  <c r="BD99" i="16"/>
  <c r="BD100" i="16"/>
  <c r="BD101" i="16"/>
  <c r="BD102" i="16"/>
  <c r="BD103" i="16"/>
  <c r="BD104" i="16"/>
  <c r="BD105" i="16"/>
  <c r="BD106" i="16"/>
  <c r="BD107" i="16"/>
  <c r="BD108" i="16"/>
  <c r="BD109" i="16"/>
  <c r="BD110" i="16"/>
  <c r="BD111" i="16"/>
  <c r="BD112" i="16"/>
  <c r="BD113" i="16"/>
  <c r="BD114" i="16"/>
  <c r="BD115" i="16"/>
  <c r="BD116" i="16"/>
  <c r="BD117" i="16"/>
  <c r="BD118" i="16"/>
  <c r="BD119" i="16"/>
  <c r="BD120" i="16"/>
  <c r="BD121" i="16"/>
  <c r="BD122" i="16"/>
  <c r="BD123" i="16"/>
  <c r="BD124" i="16"/>
  <c r="BD125" i="16"/>
  <c r="BD126" i="16"/>
  <c r="BD127" i="16"/>
  <c r="BD128" i="16"/>
  <c r="BD129" i="16"/>
  <c r="BD130" i="16"/>
  <c r="BD131" i="16"/>
  <c r="BD132" i="16"/>
  <c r="BD133" i="16"/>
  <c r="BD134" i="16"/>
  <c r="BD135" i="16"/>
  <c r="BD136" i="16"/>
  <c r="BD137" i="16"/>
  <c r="BD138" i="16"/>
  <c r="BD139" i="16"/>
  <c r="BD140" i="16"/>
  <c r="BD141" i="16"/>
  <c r="BD142" i="16"/>
  <c r="BD143" i="16"/>
  <c r="BD144" i="16"/>
  <c r="BD145" i="16"/>
  <c r="BD146" i="16"/>
  <c r="BD147" i="16"/>
  <c r="BD148" i="16"/>
  <c r="BD149" i="16"/>
  <c r="BD150" i="16"/>
  <c r="BD151" i="16"/>
  <c r="BD152" i="16"/>
  <c r="BD153" i="16"/>
  <c r="BD154" i="16"/>
  <c r="BD155" i="16"/>
  <c r="BD156" i="16"/>
  <c r="BD157" i="16"/>
  <c r="BD158" i="16"/>
  <c r="BD159" i="16"/>
  <c r="BD160" i="16"/>
  <c r="BD161" i="16"/>
  <c r="BD162" i="16"/>
  <c r="BD163" i="16"/>
  <c r="BD164" i="16"/>
  <c r="BD165" i="16"/>
  <c r="BD166" i="16"/>
  <c r="BD167" i="16"/>
  <c r="BD168" i="16"/>
  <c r="BD169" i="16"/>
  <c r="BD170" i="16"/>
  <c r="BD171" i="16"/>
  <c r="BD172" i="16"/>
  <c r="BD173" i="16"/>
  <c r="BD174" i="16"/>
  <c r="BD175" i="16"/>
  <c r="BD176" i="16"/>
  <c r="BC3" i="16"/>
  <c r="BC4" i="16"/>
  <c r="BC5" i="16"/>
  <c r="BC6" i="16"/>
  <c r="BC7" i="16"/>
  <c r="BC8" i="16"/>
  <c r="BC9" i="16"/>
  <c r="BC10" i="16"/>
  <c r="BC11" i="16"/>
  <c r="BC12" i="16"/>
  <c r="BC13" i="16"/>
  <c r="BC14" i="16"/>
  <c r="BC15" i="16"/>
  <c r="BC16" i="16"/>
  <c r="BC17" i="16"/>
  <c r="BC18" i="16"/>
  <c r="BC19" i="16"/>
  <c r="BC20" i="16"/>
  <c r="BC21" i="16"/>
  <c r="BC22" i="16"/>
  <c r="BC23" i="16"/>
  <c r="BC24" i="16"/>
  <c r="BC25" i="16"/>
  <c r="BC26" i="16"/>
  <c r="BC27" i="16"/>
  <c r="BC28" i="16"/>
  <c r="BC29" i="16"/>
  <c r="BC30" i="16"/>
  <c r="BC31" i="16"/>
  <c r="BC32" i="16"/>
  <c r="BC33" i="16"/>
  <c r="BC34" i="16"/>
  <c r="BC35" i="16"/>
  <c r="BC36" i="16"/>
  <c r="BC37" i="16"/>
  <c r="BC38" i="16"/>
  <c r="BC39" i="16"/>
  <c r="BC40" i="16"/>
  <c r="BC41" i="16"/>
  <c r="BC42" i="16"/>
  <c r="BC43" i="16"/>
  <c r="BC44" i="16"/>
  <c r="BC45" i="16"/>
  <c r="BC46" i="16"/>
  <c r="BC47" i="16"/>
  <c r="BC48" i="16"/>
  <c r="BC49" i="16"/>
  <c r="BC50" i="16"/>
  <c r="BC51" i="16"/>
  <c r="BC52" i="16"/>
  <c r="BC53" i="16"/>
  <c r="BC54" i="16"/>
  <c r="BC55" i="16"/>
  <c r="BC56" i="16"/>
  <c r="BC57" i="16"/>
  <c r="BC58" i="16"/>
  <c r="BC59" i="16"/>
  <c r="BC60" i="16"/>
  <c r="BC61" i="16"/>
  <c r="BC62" i="16"/>
  <c r="BC63" i="16"/>
  <c r="BC64" i="16"/>
  <c r="BC65" i="16"/>
  <c r="BC66" i="16"/>
  <c r="BC67" i="16"/>
  <c r="BC68" i="16"/>
  <c r="BC69" i="16"/>
  <c r="BC70" i="16"/>
  <c r="BC71" i="16"/>
  <c r="BC72" i="16"/>
  <c r="BC73" i="16"/>
  <c r="BC74" i="16"/>
  <c r="BC75" i="16"/>
  <c r="BC76" i="16"/>
  <c r="BC77" i="16"/>
  <c r="BC78" i="16"/>
  <c r="BC79" i="16"/>
  <c r="BC80" i="16"/>
  <c r="BC81" i="16"/>
  <c r="BC82" i="16"/>
  <c r="BC83" i="16"/>
  <c r="BC84" i="16"/>
  <c r="BC85" i="16"/>
  <c r="BC86" i="16"/>
  <c r="BC87" i="16"/>
  <c r="BC88" i="16"/>
  <c r="BC89" i="16"/>
  <c r="BC90" i="16"/>
  <c r="BC91" i="16"/>
  <c r="BC92" i="16"/>
  <c r="BC93" i="16"/>
  <c r="BC94" i="16"/>
  <c r="BC95" i="16"/>
  <c r="BC96" i="16"/>
  <c r="BC97" i="16"/>
  <c r="BC98" i="16"/>
  <c r="BC99" i="16"/>
  <c r="BC100" i="16"/>
  <c r="BC101" i="16"/>
  <c r="BC102" i="16"/>
  <c r="BC103" i="16"/>
  <c r="BC104" i="16"/>
  <c r="BC105" i="16"/>
  <c r="BC106" i="16"/>
  <c r="BC107" i="16"/>
  <c r="BC108" i="16"/>
  <c r="BC109" i="16"/>
  <c r="BC110" i="16"/>
  <c r="BC111" i="16"/>
  <c r="BC112" i="16"/>
  <c r="BC113" i="16"/>
  <c r="BC114" i="16"/>
  <c r="BC115" i="16"/>
  <c r="BC116" i="16"/>
  <c r="BC117" i="16"/>
  <c r="BC118" i="16"/>
  <c r="BC119" i="16"/>
  <c r="BC120" i="16"/>
  <c r="BC121" i="16"/>
  <c r="BC122" i="16"/>
  <c r="BC123" i="16"/>
  <c r="BC124" i="16"/>
  <c r="BC125" i="16"/>
  <c r="BC126" i="16"/>
  <c r="BC127" i="16"/>
  <c r="BC128" i="16"/>
  <c r="BC129" i="16"/>
  <c r="BC130" i="16"/>
  <c r="BC131" i="16"/>
  <c r="BC132" i="16"/>
  <c r="BC133" i="16"/>
  <c r="BC134" i="16"/>
  <c r="BC135" i="16"/>
  <c r="BC136" i="16"/>
  <c r="BC137" i="16"/>
  <c r="BC138" i="16"/>
  <c r="BC139" i="16"/>
  <c r="BC140" i="16"/>
  <c r="BC141" i="16"/>
  <c r="BC142" i="16"/>
  <c r="BC143" i="16"/>
  <c r="BC144" i="16"/>
  <c r="BC145" i="16"/>
  <c r="BC146" i="16"/>
  <c r="BC147" i="16"/>
  <c r="BC148" i="16"/>
  <c r="BC149" i="16"/>
  <c r="BC150" i="16"/>
  <c r="BC151" i="16"/>
  <c r="BC152" i="16"/>
  <c r="BC153" i="16"/>
  <c r="BC154" i="16"/>
  <c r="BC155" i="16"/>
  <c r="BC156" i="16"/>
  <c r="BC157" i="16"/>
  <c r="BC158" i="16"/>
  <c r="BC159" i="16"/>
  <c r="BC160" i="16"/>
  <c r="BC161" i="16"/>
  <c r="BC162" i="16"/>
  <c r="BC163" i="16"/>
  <c r="BC164" i="16"/>
  <c r="BC165" i="16"/>
  <c r="BC166" i="16"/>
  <c r="BC167" i="16"/>
  <c r="BC168" i="16"/>
  <c r="BC169" i="16"/>
  <c r="BC170" i="16"/>
  <c r="BC171" i="16"/>
  <c r="BC172" i="16"/>
  <c r="BC173" i="16"/>
  <c r="BC174" i="16"/>
  <c r="BC175" i="16"/>
  <c r="BC176" i="16"/>
  <c r="BB3" i="16"/>
  <c r="BB4" i="16"/>
  <c r="BB5" i="16"/>
  <c r="BB6" i="16"/>
  <c r="BB7" i="16"/>
  <c r="BB8" i="16"/>
  <c r="BB9" i="16"/>
  <c r="BB10" i="16"/>
  <c r="BB11" i="16"/>
  <c r="BB12" i="16"/>
  <c r="BB13" i="16"/>
  <c r="BB14" i="16"/>
  <c r="BB15" i="16"/>
  <c r="BB16" i="16"/>
  <c r="BB17" i="16"/>
  <c r="BB18" i="16"/>
  <c r="BB19" i="16"/>
  <c r="BB20" i="16"/>
  <c r="BB21" i="16"/>
  <c r="BB22" i="16"/>
  <c r="BB23" i="16"/>
  <c r="BB24" i="16"/>
  <c r="BB25" i="16"/>
  <c r="BB26" i="16"/>
  <c r="BB27" i="16"/>
  <c r="BB28" i="16"/>
  <c r="BB29" i="16"/>
  <c r="BB30" i="16"/>
  <c r="BB31" i="16"/>
  <c r="BB32" i="16"/>
  <c r="BB33" i="16"/>
  <c r="BB34" i="16"/>
  <c r="BB35" i="16"/>
  <c r="BB36" i="16"/>
  <c r="BB37" i="16"/>
  <c r="BB38" i="16"/>
  <c r="BB39" i="16"/>
  <c r="BB40" i="16"/>
  <c r="BB41" i="16"/>
  <c r="BB42" i="16"/>
  <c r="BB43" i="16"/>
  <c r="BB44" i="16"/>
  <c r="BB45" i="16"/>
  <c r="BB46" i="16"/>
  <c r="BB47" i="16"/>
  <c r="BB48" i="16"/>
  <c r="BB49" i="16"/>
  <c r="BB50" i="16"/>
  <c r="BB51" i="16"/>
  <c r="BB52" i="16"/>
  <c r="BB53" i="16"/>
  <c r="BB54" i="16"/>
  <c r="BB55" i="16"/>
  <c r="BB56" i="16"/>
  <c r="BB57" i="16"/>
  <c r="BB58" i="16"/>
  <c r="BB59" i="16"/>
  <c r="BB60" i="16"/>
  <c r="BB61" i="16"/>
  <c r="BB62" i="16"/>
  <c r="BB63" i="16"/>
  <c r="BB64" i="16"/>
  <c r="BB65" i="16"/>
  <c r="BB66" i="16"/>
  <c r="BB67" i="16"/>
  <c r="BB68" i="16"/>
  <c r="BB69" i="16"/>
  <c r="BB70" i="16"/>
  <c r="BB71" i="16"/>
  <c r="BB72" i="16"/>
  <c r="BB73" i="16"/>
  <c r="BB74" i="16"/>
  <c r="BB75" i="16"/>
  <c r="BB76" i="16"/>
  <c r="BB77" i="16"/>
  <c r="BB78" i="16"/>
  <c r="BB79" i="16"/>
  <c r="BB80" i="16"/>
  <c r="BB81" i="16"/>
  <c r="BB82" i="16"/>
  <c r="BB83" i="16"/>
  <c r="BB84" i="16"/>
  <c r="BB85" i="16"/>
  <c r="BB86" i="16"/>
  <c r="BB87" i="16"/>
  <c r="BB88" i="16"/>
  <c r="BB89" i="16"/>
  <c r="BB90" i="16"/>
  <c r="BB91" i="16"/>
  <c r="BB92" i="16"/>
  <c r="BB93" i="16"/>
  <c r="BB94" i="16"/>
  <c r="BB95" i="16"/>
  <c r="BB96" i="16"/>
  <c r="BB97" i="16"/>
  <c r="BB98" i="16"/>
  <c r="BB99" i="16"/>
  <c r="BB100" i="16"/>
  <c r="BB101" i="16"/>
  <c r="BB102" i="16"/>
  <c r="BB103" i="16"/>
  <c r="BB104" i="16"/>
  <c r="BB105" i="16"/>
  <c r="BB106" i="16"/>
  <c r="BB107" i="16"/>
  <c r="BB108" i="16"/>
  <c r="BB109" i="16"/>
  <c r="BB110" i="16"/>
  <c r="BB111" i="16"/>
  <c r="BB112" i="16"/>
  <c r="BB113" i="16"/>
  <c r="BB114" i="16"/>
  <c r="BB115" i="16"/>
  <c r="BB116" i="16"/>
  <c r="BB117" i="16"/>
  <c r="BB118" i="16"/>
  <c r="BB119" i="16"/>
  <c r="BB120" i="16"/>
  <c r="BB121" i="16"/>
  <c r="BB122" i="16"/>
  <c r="BB123" i="16"/>
  <c r="BB124" i="16"/>
  <c r="BB125" i="16"/>
  <c r="BB126" i="16"/>
  <c r="BB127" i="16"/>
  <c r="BB128" i="16"/>
  <c r="BB129" i="16"/>
  <c r="BB130" i="16"/>
  <c r="BB131" i="16"/>
  <c r="BB132" i="16"/>
  <c r="BB133" i="16"/>
  <c r="BB134" i="16"/>
  <c r="BB135" i="16"/>
  <c r="BB136" i="16"/>
  <c r="BB137" i="16"/>
  <c r="BB138" i="16"/>
  <c r="BB139" i="16"/>
  <c r="BB140" i="16"/>
  <c r="BB141" i="16"/>
  <c r="BB142" i="16"/>
  <c r="BB143" i="16"/>
  <c r="BB144" i="16"/>
  <c r="BB145" i="16"/>
  <c r="BB146" i="16"/>
  <c r="BB147" i="16"/>
  <c r="BB148" i="16"/>
  <c r="BB149" i="16"/>
  <c r="BB150" i="16"/>
  <c r="BB151" i="16"/>
  <c r="BB152" i="16"/>
  <c r="BB153" i="16"/>
  <c r="BB154" i="16"/>
  <c r="BB155" i="16"/>
  <c r="BB156" i="16"/>
  <c r="BB157" i="16"/>
  <c r="BB158" i="16"/>
  <c r="BB159" i="16"/>
  <c r="BB160" i="16"/>
  <c r="BB161" i="16"/>
  <c r="BB162" i="16"/>
  <c r="BB163" i="16"/>
  <c r="BB164" i="16"/>
  <c r="BB165" i="16"/>
  <c r="BB166" i="16"/>
  <c r="BB167" i="16"/>
  <c r="BB168" i="16"/>
  <c r="BB169" i="16"/>
  <c r="BB170" i="16"/>
  <c r="BB171" i="16"/>
  <c r="BB172" i="16"/>
  <c r="BB173" i="16"/>
  <c r="BB174" i="16"/>
  <c r="BB175" i="16"/>
  <c r="BB176" i="16"/>
  <c r="BA3" i="16"/>
  <c r="BA4" i="16"/>
  <c r="BA5" i="16"/>
  <c r="BA6" i="16"/>
  <c r="BA7" i="16"/>
  <c r="BA8" i="16"/>
  <c r="BA9" i="16"/>
  <c r="BA10" i="16"/>
  <c r="BA11" i="16"/>
  <c r="BA12" i="16"/>
  <c r="BA13" i="16"/>
  <c r="BA14" i="16"/>
  <c r="BA15" i="16"/>
  <c r="BA16" i="16"/>
  <c r="BA17" i="16"/>
  <c r="BA18" i="16"/>
  <c r="BA19" i="16"/>
  <c r="BA20" i="16"/>
  <c r="BA21" i="16"/>
  <c r="BA22" i="16"/>
  <c r="BA23" i="16"/>
  <c r="BA24" i="16"/>
  <c r="BA25" i="16"/>
  <c r="BA26" i="16"/>
  <c r="BA27" i="16"/>
  <c r="BA28" i="16"/>
  <c r="BA29" i="16"/>
  <c r="BA30" i="16"/>
  <c r="BA31" i="16"/>
  <c r="BA32" i="16"/>
  <c r="BA33" i="16"/>
  <c r="BA34" i="16"/>
  <c r="BA35" i="16"/>
  <c r="BA36" i="16"/>
  <c r="BA37"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A62" i="16"/>
  <c r="BA63" i="16"/>
  <c r="BA64" i="16"/>
  <c r="BA65" i="16"/>
  <c r="BA66"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A91" i="16"/>
  <c r="BA92" i="16"/>
  <c r="BA93" i="16"/>
  <c r="BA94" i="16"/>
  <c r="BA95" i="16"/>
  <c r="BA96" i="16"/>
  <c r="BA97" i="16"/>
  <c r="BA98" i="16"/>
  <c r="BA99" i="16"/>
  <c r="BA100" i="16"/>
  <c r="BA101" i="16"/>
  <c r="BA102" i="16"/>
  <c r="BA103" i="16"/>
  <c r="BA104" i="16"/>
  <c r="BA105" i="16"/>
  <c r="BA106" i="16"/>
  <c r="BA107" i="16"/>
  <c r="BA108" i="16"/>
  <c r="BA109" i="16"/>
  <c r="BA110" i="16"/>
  <c r="BA111" i="16"/>
  <c r="BA112" i="16"/>
  <c r="BA113" i="16"/>
  <c r="BA114" i="16"/>
  <c r="BA115" i="16"/>
  <c r="BA116" i="16"/>
  <c r="BA117" i="16"/>
  <c r="BA118" i="16"/>
  <c r="BA119" i="16"/>
  <c r="BA120" i="16"/>
  <c r="BA121" i="16"/>
  <c r="BA122" i="16"/>
  <c r="BA123" i="16"/>
  <c r="BA124" i="16"/>
  <c r="BA125" i="16"/>
  <c r="BA126" i="16"/>
  <c r="BA127" i="16"/>
  <c r="BA128" i="16"/>
  <c r="BA129" i="16"/>
  <c r="BA130" i="16"/>
  <c r="BA131" i="16"/>
  <c r="BA132" i="16"/>
  <c r="BA133" i="16"/>
  <c r="BA134" i="16"/>
  <c r="BA135" i="16"/>
  <c r="BA136" i="16"/>
  <c r="BA137" i="16"/>
  <c r="BA138" i="16"/>
  <c r="BA139" i="16"/>
  <c r="BA140" i="16"/>
  <c r="BA141" i="16"/>
  <c r="BA142" i="16"/>
  <c r="BA143" i="16"/>
  <c r="BA144" i="16"/>
  <c r="BA145" i="16"/>
  <c r="BA146" i="16"/>
  <c r="BA147" i="16"/>
  <c r="BA148" i="16"/>
  <c r="BA149" i="16"/>
  <c r="BA150" i="16"/>
  <c r="BA151" i="16"/>
  <c r="BA152" i="16"/>
  <c r="BA153" i="16"/>
  <c r="BA154" i="16"/>
  <c r="BA155" i="16"/>
  <c r="BA156" i="16"/>
  <c r="BA157" i="16"/>
  <c r="BA158" i="16"/>
  <c r="BA159" i="16"/>
  <c r="BA160" i="16"/>
  <c r="BA161" i="16"/>
  <c r="BA162" i="16"/>
  <c r="BA163" i="16"/>
  <c r="BA164" i="16"/>
  <c r="BA165" i="16"/>
  <c r="BA166" i="16"/>
  <c r="BA167" i="16"/>
  <c r="BA168" i="16"/>
  <c r="BA169" i="16"/>
  <c r="BA170" i="16"/>
  <c r="BA171" i="16"/>
  <c r="BA172" i="16"/>
  <c r="BA173" i="16"/>
  <c r="BA174" i="16"/>
  <c r="BA175" i="16"/>
  <c r="BA176" i="16"/>
  <c r="AZ3" i="16"/>
  <c r="AZ4" i="16"/>
  <c r="AZ5" i="16"/>
  <c r="AZ6" i="16"/>
  <c r="AZ7" i="16"/>
  <c r="AZ8" i="16"/>
  <c r="AZ9" i="16"/>
  <c r="AZ10" i="16"/>
  <c r="AZ11" i="16"/>
  <c r="AZ12" i="16"/>
  <c r="AZ13" i="16"/>
  <c r="AZ14" i="16"/>
  <c r="AZ15" i="16"/>
  <c r="AZ16" i="16"/>
  <c r="AZ17" i="16"/>
  <c r="AZ18" i="16"/>
  <c r="AZ19" i="16"/>
  <c r="AZ20" i="16"/>
  <c r="AZ21" i="16"/>
  <c r="AZ22" i="16"/>
  <c r="AZ23" i="16"/>
  <c r="AZ24" i="16"/>
  <c r="AZ25" i="16"/>
  <c r="AZ26" i="16"/>
  <c r="AZ27" i="16"/>
  <c r="AZ28" i="16"/>
  <c r="AZ29" i="16"/>
  <c r="AZ30" i="16"/>
  <c r="AZ31" i="16"/>
  <c r="AZ32" i="16"/>
  <c r="AZ33" i="16"/>
  <c r="AZ34" i="16"/>
  <c r="AZ35" i="16"/>
  <c r="AZ36" i="16"/>
  <c r="AZ37" i="16"/>
  <c r="AZ38" i="16"/>
  <c r="AZ39" i="16"/>
  <c r="AZ40" i="16"/>
  <c r="AZ41" i="16"/>
  <c r="AZ42" i="16"/>
  <c r="AZ43" i="16"/>
  <c r="AZ44"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Y3" i="16"/>
  <c r="AY4" i="16"/>
  <c r="AY5" i="16"/>
  <c r="AY6" i="16"/>
  <c r="AY7" i="16"/>
  <c r="AY8" i="16"/>
  <c r="AY9" i="16"/>
  <c r="AY10" i="16"/>
  <c r="AY11" i="16"/>
  <c r="AY12" i="16"/>
  <c r="AY13" i="16"/>
  <c r="AY14" i="16"/>
  <c r="AY15" i="16"/>
  <c r="AY16" i="16"/>
  <c r="AY17" i="16"/>
  <c r="AY18" i="16"/>
  <c r="AY19" i="16"/>
  <c r="AY20" i="16"/>
  <c r="AY21" i="16"/>
  <c r="AY22" i="16"/>
  <c r="AY23" i="16"/>
  <c r="AY24" i="16"/>
  <c r="AY25" i="16"/>
  <c r="AY26" i="16"/>
  <c r="AY27" i="16"/>
  <c r="AY28" i="16"/>
  <c r="AY29" i="16"/>
  <c r="AY30" i="16"/>
  <c r="AY31" i="16"/>
  <c r="AY32" i="16"/>
  <c r="AY33" i="16"/>
  <c r="AY34" i="16"/>
  <c r="AY35" i="16"/>
  <c r="AY36" i="16"/>
  <c r="AY37" i="16"/>
  <c r="AY38" i="16"/>
  <c r="AY39" i="16"/>
  <c r="AY40" i="16"/>
  <c r="AY41" i="16"/>
  <c r="AY42" i="16"/>
  <c r="AY43" i="16"/>
  <c r="AY44" i="16"/>
  <c r="AY45" i="16"/>
  <c r="AY46" i="16"/>
  <c r="AY47" i="16"/>
  <c r="AY48" i="16"/>
  <c r="AY49" i="16"/>
  <c r="AY50" i="16"/>
  <c r="AY51" i="16"/>
  <c r="AY52" i="16"/>
  <c r="AY53" i="16"/>
  <c r="AY54" i="16"/>
  <c r="AY55" i="16"/>
  <c r="AY56" i="16"/>
  <c r="AY57" i="16"/>
  <c r="AY58" i="16"/>
  <c r="AY59" i="16"/>
  <c r="AY60" i="16"/>
  <c r="AY61" i="16"/>
  <c r="AY62" i="16"/>
  <c r="AY63" i="16"/>
  <c r="AY64" i="16"/>
  <c r="AY65" i="16"/>
  <c r="AY66" i="16"/>
  <c r="AY67" i="16"/>
  <c r="AY68" i="16"/>
  <c r="AY69" i="16"/>
  <c r="AY70" i="16"/>
  <c r="AY71" i="16"/>
  <c r="AY72" i="16"/>
  <c r="AY73" i="16"/>
  <c r="AY74" i="16"/>
  <c r="AY75" i="16"/>
  <c r="AY76" i="16"/>
  <c r="AY77" i="16"/>
  <c r="AY78" i="16"/>
  <c r="AY79" i="16"/>
  <c r="AY80" i="16"/>
  <c r="AY81" i="16"/>
  <c r="AY82" i="16"/>
  <c r="AY83" i="16"/>
  <c r="AY84" i="16"/>
  <c r="AY85" i="16"/>
  <c r="AY86" i="16"/>
  <c r="AY87" i="16"/>
  <c r="AY88" i="16"/>
  <c r="AY89" i="16"/>
  <c r="AY90" i="16"/>
  <c r="AY91" i="16"/>
  <c r="AY92" i="16"/>
  <c r="AY93" i="16"/>
  <c r="AY94" i="16"/>
  <c r="AY95" i="16"/>
  <c r="AY96" i="16"/>
  <c r="AY97" i="16"/>
  <c r="AY98" i="16"/>
  <c r="AY99" i="16"/>
  <c r="AY100" i="16"/>
  <c r="AY101" i="16"/>
  <c r="AY102" i="16"/>
  <c r="AY103" i="16"/>
  <c r="AY104" i="16"/>
  <c r="AY105" i="16"/>
  <c r="AY106" i="16"/>
  <c r="AY107" i="16"/>
  <c r="AY108" i="16"/>
  <c r="AY109" i="16"/>
  <c r="AY110" i="16"/>
  <c r="AY111" i="16"/>
  <c r="AY112" i="16"/>
  <c r="AY113" i="16"/>
  <c r="AY114" i="16"/>
  <c r="AY115" i="16"/>
  <c r="AY116" i="16"/>
  <c r="AY117" i="16"/>
  <c r="AY118" i="16"/>
  <c r="AY119" i="16"/>
  <c r="AY120" i="16"/>
  <c r="AY121" i="16"/>
  <c r="AY122" i="16"/>
  <c r="AY123" i="16"/>
  <c r="AY124" i="16"/>
  <c r="AY125" i="16"/>
  <c r="AY126" i="16"/>
  <c r="AY127" i="16"/>
  <c r="AY128" i="16"/>
  <c r="AY129" i="16"/>
  <c r="AY130" i="16"/>
  <c r="AY131" i="16"/>
  <c r="AY132" i="16"/>
  <c r="AY133" i="16"/>
  <c r="AY134" i="16"/>
  <c r="AY135" i="16"/>
  <c r="AY136" i="16"/>
  <c r="AY137" i="16"/>
  <c r="AY138" i="16"/>
  <c r="AY139" i="16"/>
  <c r="AY140" i="16"/>
  <c r="AY141" i="16"/>
  <c r="AY142" i="16"/>
  <c r="AY143" i="16"/>
  <c r="AY144" i="16"/>
  <c r="AY145" i="16"/>
  <c r="AY146" i="16"/>
  <c r="AY147" i="16"/>
  <c r="AY148" i="16"/>
  <c r="AY149" i="16"/>
  <c r="AY150" i="16"/>
  <c r="AY151" i="16"/>
  <c r="AY152" i="16"/>
  <c r="AY153" i="16"/>
  <c r="AY154" i="16"/>
  <c r="AY155" i="16"/>
  <c r="AY156" i="16"/>
  <c r="AY157" i="16"/>
  <c r="AY158" i="16"/>
  <c r="AY159" i="16"/>
  <c r="AY160" i="16"/>
  <c r="AY161" i="16"/>
  <c r="AY162" i="16"/>
  <c r="AY163" i="16"/>
  <c r="AY164" i="16"/>
  <c r="AY165" i="16"/>
  <c r="AY166" i="16"/>
  <c r="AY167" i="16"/>
  <c r="AY168" i="16"/>
  <c r="AY169" i="16"/>
  <c r="AY170" i="16"/>
  <c r="AY171" i="16"/>
  <c r="AY172" i="16"/>
  <c r="AY173" i="16"/>
  <c r="AY174" i="16"/>
  <c r="AY175" i="16"/>
  <c r="AY176" i="16"/>
  <c r="AX3" i="16"/>
  <c r="AX4" i="16"/>
  <c r="AX5" i="16"/>
  <c r="AX6" i="16"/>
  <c r="AX7" i="16"/>
  <c r="AX8" i="16"/>
  <c r="AX9" i="16"/>
  <c r="AX10" i="16"/>
  <c r="AX11" i="16"/>
  <c r="AX12" i="16"/>
  <c r="AX13" i="16"/>
  <c r="AX14" i="16"/>
  <c r="AX15" i="16"/>
  <c r="AX16" i="16"/>
  <c r="AX17" i="16"/>
  <c r="AX18" i="16"/>
  <c r="AX19" i="16"/>
  <c r="AX20" i="16"/>
  <c r="AX21" i="16"/>
  <c r="AX22" i="16"/>
  <c r="AX23" i="16"/>
  <c r="AX24" i="16"/>
  <c r="AX25" i="16"/>
  <c r="AX26" i="16"/>
  <c r="AX27" i="16"/>
  <c r="AX28" i="16"/>
  <c r="AX29" i="16"/>
  <c r="AX30" i="16"/>
  <c r="AX31" i="16"/>
  <c r="AX32" i="16"/>
  <c r="AX33" i="16"/>
  <c r="AX34" i="16"/>
  <c r="AX35" i="16"/>
  <c r="AX36" i="16"/>
  <c r="AX37" i="16"/>
  <c r="AX38" i="16"/>
  <c r="AX39" i="16"/>
  <c r="AX40" i="16"/>
  <c r="AX41" i="16"/>
  <c r="AX42" i="16"/>
  <c r="AX43" i="16"/>
  <c r="AX44" i="16"/>
  <c r="AX45" i="16"/>
  <c r="AX46" i="16"/>
  <c r="AX47" i="16"/>
  <c r="AX48" i="16"/>
  <c r="AX49" i="16"/>
  <c r="AX50" i="16"/>
  <c r="AX51" i="16"/>
  <c r="AX52" i="16"/>
  <c r="AX53" i="16"/>
  <c r="AX54" i="16"/>
  <c r="AX55" i="16"/>
  <c r="AX56" i="16"/>
  <c r="AX57" i="16"/>
  <c r="AX58" i="16"/>
  <c r="AX59" i="16"/>
  <c r="AX60" i="16"/>
  <c r="AX61" i="16"/>
  <c r="AX62" i="16"/>
  <c r="AX63" i="16"/>
  <c r="AX64" i="16"/>
  <c r="AX65" i="16"/>
  <c r="AX66" i="16"/>
  <c r="AX67" i="16"/>
  <c r="AX68" i="16"/>
  <c r="AX69" i="16"/>
  <c r="AX70" i="16"/>
  <c r="AX71" i="16"/>
  <c r="AX72" i="16"/>
  <c r="AX73" i="16"/>
  <c r="AX74" i="16"/>
  <c r="AX75" i="16"/>
  <c r="AX76" i="16"/>
  <c r="AX77" i="16"/>
  <c r="AX78" i="16"/>
  <c r="AX79" i="16"/>
  <c r="AX80" i="16"/>
  <c r="AX81" i="16"/>
  <c r="AX82" i="16"/>
  <c r="AX83" i="16"/>
  <c r="AX84" i="16"/>
  <c r="AX85" i="16"/>
  <c r="AX86" i="16"/>
  <c r="AX87" i="16"/>
  <c r="AX88" i="16"/>
  <c r="AX89" i="16"/>
  <c r="AX90" i="16"/>
  <c r="AX91" i="16"/>
  <c r="AX92" i="16"/>
  <c r="AX93" i="16"/>
  <c r="AX94" i="16"/>
  <c r="AX95" i="16"/>
  <c r="AX96" i="16"/>
  <c r="AX97" i="16"/>
  <c r="AX98" i="16"/>
  <c r="AX99" i="16"/>
  <c r="AX100" i="16"/>
  <c r="AX101" i="16"/>
  <c r="AX102" i="16"/>
  <c r="AX103" i="16"/>
  <c r="AX104" i="16"/>
  <c r="AX105" i="16"/>
  <c r="AX106" i="16"/>
  <c r="AX107" i="16"/>
  <c r="AX108" i="16"/>
  <c r="AX109" i="16"/>
  <c r="AX110" i="16"/>
  <c r="AX111" i="16"/>
  <c r="AX112" i="16"/>
  <c r="AX113" i="16"/>
  <c r="AX114" i="16"/>
  <c r="AX115" i="16"/>
  <c r="AX116" i="16"/>
  <c r="AX117" i="16"/>
  <c r="AX118" i="16"/>
  <c r="AX119" i="16"/>
  <c r="AX120" i="16"/>
  <c r="AX121" i="16"/>
  <c r="AX122" i="16"/>
  <c r="AX123" i="16"/>
  <c r="AX124" i="16"/>
  <c r="AX125" i="16"/>
  <c r="AX126" i="16"/>
  <c r="AX127" i="16"/>
  <c r="AX128" i="16"/>
  <c r="AX129" i="16"/>
  <c r="AX130" i="16"/>
  <c r="AX131" i="16"/>
  <c r="AX132" i="16"/>
  <c r="AX133" i="16"/>
  <c r="AX134" i="16"/>
  <c r="AX135" i="16"/>
  <c r="AX136" i="16"/>
  <c r="AX137" i="16"/>
  <c r="AX138" i="16"/>
  <c r="AX139" i="16"/>
  <c r="AX140" i="16"/>
  <c r="AX141" i="16"/>
  <c r="AX142" i="16"/>
  <c r="AX143" i="16"/>
  <c r="AX144" i="16"/>
  <c r="AX145" i="16"/>
  <c r="AX146" i="16"/>
  <c r="AX147" i="16"/>
  <c r="AX148" i="16"/>
  <c r="AX149" i="16"/>
  <c r="AX150" i="16"/>
  <c r="AX151" i="16"/>
  <c r="AX152" i="16"/>
  <c r="AX153" i="16"/>
  <c r="AX154" i="16"/>
  <c r="AX155" i="16"/>
  <c r="AX156" i="16"/>
  <c r="AX157" i="16"/>
  <c r="AX158" i="16"/>
  <c r="AX159" i="16"/>
  <c r="AX160" i="16"/>
  <c r="AX161" i="16"/>
  <c r="AX162" i="16"/>
  <c r="AX163" i="16"/>
  <c r="AX164" i="16"/>
  <c r="AX165" i="16"/>
  <c r="AX166" i="16"/>
  <c r="AX167" i="16"/>
  <c r="AX168" i="16"/>
  <c r="AX169" i="16"/>
  <c r="AX170" i="16"/>
  <c r="AX171" i="16"/>
  <c r="AX172" i="16"/>
  <c r="AX173" i="16"/>
  <c r="AX174" i="16"/>
  <c r="AX175" i="16"/>
  <c r="AX176" i="16"/>
  <c r="AW3" i="16"/>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V3" i="16"/>
  <c r="AV4" i="16"/>
  <c r="AV5" i="16"/>
  <c r="AV6" i="16"/>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U3" i="16"/>
  <c r="AU4" i="16"/>
  <c r="AU5" i="16"/>
  <c r="AU6" i="16"/>
  <c r="AU7" i="16"/>
  <c r="AU8" i="16"/>
  <c r="AU9" i="16"/>
  <c r="AU10" i="16"/>
  <c r="AU11" i="16"/>
  <c r="AU12" i="16"/>
  <c r="AU13" i="16"/>
  <c r="AU14" i="16"/>
  <c r="AU15" i="16"/>
  <c r="AU16" i="16"/>
  <c r="AU17" i="16"/>
  <c r="AU18" i="16"/>
  <c r="AU19" i="16"/>
  <c r="AU20" i="16"/>
  <c r="AU21" i="16"/>
  <c r="AU22" i="16"/>
  <c r="AU23" i="16"/>
  <c r="AU24" i="16"/>
  <c r="AU25" i="16"/>
  <c r="AU26" i="16"/>
  <c r="AU27" i="16"/>
  <c r="AU28" i="16"/>
  <c r="AU29" i="16"/>
  <c r="AU30" i="16"/>
  <c r="AU31" i="16"/>
  <c r="AU32" i="16"/>
  <c r="AU33" i="16"/>
  <c r="AU34" i="16"/>
  <c r="AU35" i="16"/>
  <c r="AU36" i="16"/>
  <c r="AU37" i="16"/>
  <c r="AU38" i="16"/>
  <c r="AU39" i="16"/>
  <c r="AU40" i="16"/>
  <c r="AU41" i="16"/>
  <c r="AU42" i="16"/>
  <c r="AU43" i="16"/>
  <c r="AU44" i="16"/>
  <c r="AU45" i="16"/>
  <c r="AU46" i="16"/>
  <c r="AU47" i="16"/>
  <c r="AU48" i="16"/>
  <c r="AU49" i="16"/>
  <c r="AU50" i="16"/>
  <c r="AU51" i="16"/>
  <c r="AU52" i="16"/>
  <c r="AU53" i="16"/>
  <c r="AU54" i="16"/>
  <c r="AU55" i="16"/>
  <c r="AU56" i="16"/>
  <c r="AU57" i="16"/>
  <c r="AU58" i="16"/>
  <c r="AU59" i="16"/>
  <c r="AU60" i="16"/>
  <c r="AU61" i="16"/>
  <c r="AU62" i="16"/>
  <c r="AU63" i="16"/>
  <c r="AU64" i="16"/>
  <c r="AU65" i="16"/>
  <c r="AU66" i="16"/>
  <c r="AU67" i="16"/>
  <c r="AU68" i="16"/>
  <c r="AU69" i="16"/>
  <c r="AU70" i="16"/>
  <c r="AU71" i="16"/>
  <c r="AU72" i="16"/>
  <c r="AU73" i="16"/>
  <c r="AU74" i="16"/>
  <c r="AU75" i="16"/>
  <c r="AU76" i="16"/>
  <c r="AU77" i="16"/>
  <c r="AU78" i="16"/>
  <c r="AU79" i="16"/>
  <c r="AU80" i="16"/>
  <c r="AU81" i="16"/>
  <c r="AU82" i="16"/>
  <c r="AU83" i="16"/>
  <c r="AU84" i="16"/>
  <c r="AU85" i="16"/>
  <c r="AU86" i="16"/>
  <c r="AU87" i="16"/>
  <c r="AU88" i="16"/>
  <c r="AU89" i="16"/>
  <c r="AU90" i="16"/>
  <c r="AU91" i="16"/>
  <c r="AU92" i="16"/>
  <c r="AU93" i="16"/>
  <c r="AU94" i="16"/>
  <c r="AU95" i="16"/>
  <c r="AU96" i="16"/>
  <c r="AU97" i="16"/>
  <c r="AU98" i="16"/>
  <c r="AU99" i="16"/>
  <c r="AU100" i="16"/>
  <c r="AU101" i="16"/>
  <c r="AU102" i="16"/>
  <c r="AU103" i="16"/>
  <c r="AU104" i="16"/>
  <c r="AU105" i="16"/>
  <c r="AU106" i="16"/>
  <c r="AU107" i="16"/>
  <c r="AU108" i="16"/>
  <c r="AU109" i="16"/>
  <c r="AU110" i="16"/>
  <c r="AU111" i="16"/>
  <c r="AU112" i="16"/>
  <c r="AU113" i="16"/>
  <c r="AU114" i="16"/>
  <c r="AU115" i="16"/>
  <c r="AU116" i="16"/>
  <c r="AU117" i="16"/>
  <c r="AU118" i="16"/>
  <c r="AU119" i="16"/>
  <c r="AU120" i="16"/>
  <c r="AU121" i="16"/>
  <c r="AU122" i="16"/>
  <c r="AU123" i="16"/>
  <c r="AU124" i="16"/>
  <c r="AU125" i="16"/>
  <c r="AU126" i="16"/>
  <c r="AU127" i="16"/>
  <c r="AU128" i="16"/>
  <c r="AU129" i="16"/>
  <c r="AU130" i="16"/>
  <c r="AU131" i="16"/>
  <c r="AU132" i="16"/>
  <c r="AU133" i="16"/>
  <c r="AU134" i="16"/>
  <c r="AU135" i="16"/>
  <c r="AU136" i="16"/>
  <c r="AU137" i="16"/>
  <c r="AU138" i="16"/>
  <c r="AU139" i="16"/>
  <c r="AU140" i="16"/>
  <c r="AU141" i="16"/>
  <c r="AU142" i="16"/>
  <c r="AU143" i="16"/>
  <c r="AU144" i="16"/>
  <c r="AU145" i="16"/>
  <c r="AU146" i="16"/>
  <c r="AU147" i="16"/>
  <c r="AU148" i="16"/>
  <c r="AU149" i="16"/>
  <c r="AU150" i="16"/>
  <c r="AU151" i="16"/>
  <c r="AU152" i="16"/>
  <c r="AU153" i="16"/>
  <c r="AU154" i="16"/>
  <c r="AU155" i="16"/>
  <c r="AU156" i="16"/>
  <c r="AU157" i="16"/>
  <c r="AU158" i="16"/>
  <c r="AU159" i="16"/>
  <c r="AU160" i="16"/>
  <c r="AU161" i="16"/>
  <c r="AU162" i="16"/>
  <c r="AU163" i="16"/>
  <c r="AU164" i="16"/>
  <c r="AU165" i="16"/>
  <c r="AU166" i="16"/>
  <c r="AU167" i="16"/>
  <c r="AU168" i="16"/>
  <c r="AU169" i="16"/>
  <c r="AU170" i="16"/>
  <c r="AU171" i="16"/>
  <c r="AU172" i="16"/>
  <c r="AU173" i="16"/>
  <c r="AU174" i="16"/>
  <c r="AU175" i="16"/>
  <c r="AU176" i="16"/>
  <c r="AT3" i="16"/>
  <c r="AT4" i="16"/>
  <c r="AT5" i="16"/>
  <c r="AT6" i="16"/>
  <c r="AT7" i="16"/>
  <c r="AT8" i="16"/>
  <c r="AT9" i="16"/>
  <c r="AT10" i="16"/>
  <c r="AT11" i="16"/>
  <c r="AT12" i="16"/>
  <c r="AT13" i="16"/>
  <c r="AT14" i="16"/>
  <c r="AT15" i="16"/>
  <c r="AT16" i="16"/>
  <c r="AT17" i="16"/>
  <c r="AT18" i="16"/>
  <c r="AT19" i="16"/>
  <c r="AT20" i="16"/>
  <c r="AT21" i="16"/>
  <c r="AT22" i="16"/>
  <c r="AT23" i="16"/>
  <c r="AT24" i="16"/>
  <c r="AT25" i="16"/>
  <c r="AT26" i="16"/>
  <c r="AT27" i="16"/>
  <c r="AT28" i="16"/>
  <c r="AT29" i="16"/>
  <c r="AT30" i="16"/>
  <c r="AT31" i="16"/>
  <c r="AT32" i="16"/>
  <c r="AT33" i="16"/>
  <c r="AT34" i="16"/>
  <c r="AT35" i="16"/>
  <c r="AT36" i="16"/>
  <c r="AT37" i="16"/>
  <c r="AT38" i="16"/>
  <c r="AT39" i="16"/>
  <c r="AT40" i="16"/>
  <c r="AT41" i="16"/>
  <c r="AT42" i="16"/>
  <c r="AT43" i="16"/>
  <c r="AT44" i="16"/>
  <c r="AT45" i="16"/>
  <c r="AT46" i="16"/>
  <c r="AT47" i="16"/>
  <c r="AT48" i="16"/>
  <c r="AT49" i="16"/>
  <c r="AT50" i="16"/>
  <c r="AT51" i="16"/>
  <c r="AT52" i="16"/>
  <c r="AT53" i="16"/>
  <c r="AT54" i="16"/>
  <c r="AT55" i="16"/>
  <c r="AT56" i="16"/>
  <c r="AT57" i="16"/>
  <c r="AT58" i="16"/>
  <c r="AT59" i="16"/>
  <c r="AT60" i="16"/>
  <c r="AT61" i="16"/>
  <c r="AT62" i="16"/>
  <c r="AT63" i="16"/>
  <c r="AT64" i="16"/>
  <c r="AT65" i="16"/>
  <c r="AT66" i="16"/>
  <c r="AT67" i="16"/>
  <c r="AT68" i="16"/>
  <c r="AT69" i="16"/>
  <c r="AT70" i="16"/>
  <c r="AT71" i="16"/>
  <c r="AT72" i="16"/>
  <c r="AT73" i="16"/>
  <c r="AT74" i="16"/>
  <c r="AT75" i="16"/>
  <c r="AT76" i="16"/>
  <c r="AT77" i="16"/>
  <c r="AT78" i="16"/>
  <c r="AT79" i="16"/>
  <c r="AT80" i="16"/>
  <c r="AT81" i="16"/>
  <c r="AT82" i="16"/>
  <c r="AT83" i="16"/>
  <c r="AT84" i="16"/>
  <c r="AT85" i="16"/>
  <c r="AT86" i="16"/>
  <c r="AT87" i="16"/>
  <c r="AT88" i="16"/>
  <c r="AT89" i="16"/>
  <c r="AT90" i="16"/>
  <c r="AT91" i="16"/>
  <c r="AT92" i="16"/>
  <c r="AT93" i="16"/>
  <c r="AT94" i="16"/>
  <c r="AT95" i="16"/>
  <c r="AT96" i="16"/>
  <c r="AT97" i="16"/>
  <c r="AT98" i="16"/>
  <c r="AT99" i="16"/>
  <c r="AT100" i="16"/>
  <c r="AT101" i="16"/>
  <c r="AT102" i="16"/>
  <c r="AT103" i="16"/>
  <c r="AT104" i="16"/>
  <c r="AT105" i="16"/>
  <c r="AT106" i="16"/>
  <c r="AT107" i="16"/>
  <c r="AT108" i="16"/>
  <c r="AT109" i="16"/>
  <c r="AT110" i="16"/>
  <c r="AT111" i="16"/>
  <c r="AT112" i="16"/>
  <c r="AT113" i="16"/>
  <c r="AT114" i="16"/>
  <c r="AT115" i="16"/>
  <c r="AT116" i="16"/>
  <c r="AT117" i="16"/>
  <c r="AT118" i="16"/>
  <c r="AT119" i="16"/>
  <c r="AT120" i="16"/>
  <c r="AT121" i="16"/>
  <c r="AT122" i="16"/>
  <c r="AT123" i="16"/>
  <c r="AT124" i="16"/>
  <c r="AT125" i="16"/>
  <c r="AT126" i="16"/>
  <c r="AT127" i="16"/>
  <c r="AT128" i="16"/>
  <c r="AT129" i="16"/>
  <c r="AT130" i="16"/>
  <c r="AT131" i="16"/>
  <c r="AT132" i="16"/>
  <c r="AT133" i="16"/>
  <c r="AT134" i="16"/>
  <c r="AT135" i="16"/>
  <c r="AT136" i="16"/>
  <c r="AT137" i="16"/>
  <c r="AT138" i="16"/>
  <c r="AT139" i="16"/>
  <c r="AT140" i="16"/>
  <c r="AT141" i="16"/>
  <c r="AT142" i="16"/>
  <c r="AT143" i="16"/>
  <c r="AT144" i="16"/>
  <c r="AT145" i="16"/>
  <c r="AT146" i="16"/>
  <c r="AT147" i="16"/>
  <c r="AT148" i="16"/>
  <c r="AT149" i="16"/>
  <c r="AT150" i="16"/>
  <c r="AT151" i="16"/>
  <c r="AT152" i="16"/>
  <c r="AT153" i="16"/>
  <c r="AT154" i="16"/>
  <c r="AT155" i="16"/>
  <c r="AT156" i="16"/>
  <c r="AT157" i="16"/>
  <c r="AT158" i="16"/>
  <c r="AT159" i="16"/>
  <c r="AT160" i="16"/>
  <c r="AT161" i="16"/>
  <c r="AT162" i="16"/>
  <c r="AT163" i="16"/>
  <c r="AT164" i="16"/>
  <c r="AT165" i="16"/>
  <c r="AT166" i="16"/>
  <c r="AT167" i="16"/>
  <c r="AT168" i="16"/>
  <c r="AT169" i="16"/>
  <c r="AT170" i="16"/>
  <c r="AT171" i="16"/>
  <c r="AT172" i="16"/>
  <c r="AT173" i="16"/>
  <c r="AT174" i="16"/>
  <c r="AT175" i="16"/>
  <c r="AT176" i="16"/>
  <c r="AS3" i="16"/>
  <c r="AS4" i="16"/>
  <c r="AS5" i="16"/>
  <c r="AS6" i="16"/>
  <c r="AS7" i="16"/>
  <c r="AS8" i="16"/>
  <c r="AS9" i="16"/>
  <c r="AS10" i="16"/>
  <c r="AS11" i="16"/>
  <c r="AS12" i="16"/>
  <c r="AS13" i="16"/>
  <c r="AS14" i="16"/>
  <c r="AS15" i="16"/>
  <c r="AS16" i="16"/>
  <c r="AS17" i="16"/>
  <c r="AS18" i="16"/>
  <c r="AS19" i="16"/>
  <c r="AS20" i="16"/>
  <c r="AS21" i="16"/>
  <c r="AS22" i="16"/>
  <c r="AS23" i="16"/>
  <c r="AS24" i="16"/>
  <c r="AS25" i="16"/>
  <c r="AS26" i="16"/>
  <c r="AS27" i="16"/>
  <c r="AS28" i="16"/>
  <c r="AS29" i="16"/>
  <c r="AS30" i="16"/>
  <c r="AS31" i="16"/>
  <c r="AS32" i="16"/>
  <c r="AS33" i="16"/>
  <c r="AS34" i="16"/>
  <c r="AS35" i="16"/>
  <c r="AS36" i="16"/>
  <c r="AS37" i="16"/>
  <c r="AS38" i="16"/>
  <c r="AS39" i="16"/>
  <c r="AS40" i="16"/>
  <c r="AS41" i="16"/>
  <c r="AS42" i="16"/>
  <c r="AS43" i="16"/>
  <c r="AS44" i="16"/>
  <c r="AS45" i="16"/>
  <c r="AS46" i="16"/>
  <c r="AS47" i="16"/>
  <c r="AS48" i="16"/>
  <c r="AS49" i="16"/>
  <c r="AS50" i="16"/>
  <c r="AS51" i="16"/>
  <c r="AS52" i="16"/>
  <c r="AS53" i="16"/>
  <c r="AS54" i="16"/>
  <c r="AS55" i="16"/>
  <c r="AS56" i="16"/>
  <c r="AS57" i="16"/>
  <c r="AS58" i="16"/>
  <c r="AS59" i="16"/>
  <c r="AS60" i="16"/>
  <c r="AS61" i="16"/>
  <c r="AS62" i="16"/>
  <c r="AS63" i="16"/>
  <c r="AS64" i="16"/>
  <c r="AS65" i="16"/>
  <c r="AS66" i="16"/>
  <c r="AS67" i="16"/>
  <c r="AS68" i="16"/>
  <c r="AS69" i="16"/>
  <c r="AS70" i="16"/>
  <c r="AS71" i="16"/>
  <c r="AS72" i="16"/>
  <c r="AS73" i="16"/>
  <c r="AS74" i="16"/>
  <c r="AS75" i="16"/>
  <c r="AS76" i="16"/>
  <c r="AS77" i="16"/>
  <c r="AS78" i="16"/>
  <c r="AS79" i="16"/>
  <c r="AS80" i="16"/>
  <c r="AS81" i="16"/>
  <c r="AS82" i="16"/>
  <c r="AS83" i="16"/>
  <c r="AS84" i="16"/>
  <c r="AS85" i="16"/>
  <c r="AS86" i="16"/>
  <c r="AS87" i="16"/>
  <c r="AS88" i="16"/>
  <c r="AS89" i="16"/>
  <c r="AS90" i="16"/>
  <c r="AS91" i="16"/>
  <c r="AS92" i="16"/>
  <c r="AS93" i="16"/>
  <c r="AS94" i="16"/>
  <c r="AS95" i="16"/>
  <c r="AS96" i="16"/>
  <c r="AS97" i="16"/>
  <c r="AS98" i="16"/>
  <c r="AS99" i="16"/>
  <c r="AS100" i="16"/>
  <c r="AS101" i="16"/>
  <c r="AS102" i="16"/>
  <c r="AS103" i="16"/>
  <c r="AS104" i="16"/>
  <c r="AS105" i="16"/>
  <c r="AS106" i="16"/>
  <c r="AS107" i="16"/>
  <c r="AS108" i="16"/>
  <c r="AS109" i="16"/>
  <c r="AS110" i="16"/>
  <c r="AS111" i="16"/>
  <c r="AS112" i="16"/>
  <c r="AS113" i="16"/>
  <c r="AS114" i="16"/>
  <c r="AS115" i="16"/>
  <c r="AS116" i="16"/>
  <c r="AS117" i="16"/>
  <c r="AS118" i="16"/>
  <c r="AS119" i="16"/>
  <c r="AS120" i="16"/>
  <c r="AS121" i="16"/>
  <c r="AS122" i="16"/>
  <c r="AS123" i="16"/>
  <c r="AS124" i="16"/>
  <c r="AS125" i="16"/>
  <c r="AS126" i="16"/>
  <c r="AS127" i="16"/>
  <c r="AS128" i="16"/>
  <c r="AS129" i="16"/>
  <c r="AS130" i="16"/>
  <c r="AS131" i="16"/>
  <c r="AS132" i="16"/>
  <c r="AS133" i="16"/>
  <c r="AS134" i="16"/>
  <c r="AS135" i="16"/>
  <c r="AS136" i="16"/>
  <c r="AS137" i="16"/>
  <c r="AS138" i="16"/>
  <c r="AS139" i="16"/>
  <c r="AS140" i="16"/>
  <c r="AS141" i="16"/>
  <c r="AS142" i="16"/>
  <c r="AS143" i="16"/>
  <c r="AS144" i="16"/>
  <c r="AS145" i="16"/>
  <c r="AS146" i="16"/>
  <c r="AS147" i="16"/>
  <c r="AS148"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R3" i="16"/>
  <c r="AR4" i="16"/>
  <c r="AR5" i="16"/>
  <c r="AR6" i="16"/>
  <c r="AR7" i="16"/>
  <c r="AR8" i="16"/>
  <c r="AR9" i="16"/>
  <c r="AR10" i="16"/>
  <c r="AR11" i="16"/>
  <c r="AR12" i="16"/>
  <c r="AR13" i="16"/>
  <c r="AR14" i="16"/>
  <c r="AR15" i="16"/>
  <c r="AR16" i="16"/>
  <c r="AR17" i="16"/>
  <c r="AR18" i="16"/>
  <c r="AR19" i="16"/>
  <c r="AR20" i="16"/>
  <c r="AR21" i="16"/>
  <c r="AR22" i="16"/>
  <c r="AR23" i="16"/>
  <c r="AR24" i="16"/>
  <c r="AR25" i="16"/>
  <c r="AR26" i="16"/>
  <c r="AR27" i="16"/>
  <c r="AR28" i="16"/>
  <c r="AR29" i="16"/>
  <c r="AR30" i="16"/>
  <c r="AR31" i="16"/>
  <c r="AR32" i="16"/>
  <c r="AR33" i="16"/>
  <c r="AR34" i="16"/>
  <c r="AR35" i="16"/>
  <c r="AR36" i="16"/>
  <c r="AR37" i="16"/>
  <c r="AR38" i="16"/>
  <c r="AR39" i="16"/>
  <c r="AR40" i="16"/>
  <c r="AR41" i="16"/>
  <c r="AR42" i="16"/>
  <c r="AR43" i="16"/>
  <c r="AR44" i="16"/>
  <c r="AR45" i="16"/>
  <c r="AR46" i="16"/>
  <c r="AR47" i="16"/>
  <c r="AR48" i="16"/>
  <c r="AR49" i="16"/>
  <c r="AR50" i="16"/>
  <c r="AR51" i="16"/>
  <c r="AR52" i="16"/>
  <c r="AR53" i="16"/>
  <c r="AR54" i="16"/>
  <c r="AR55" i="16"/>
  <c r="AR56" i="16"/>
  <c r="AR57" i="16"/>
  <c r="AR58" i="16"/>
  <c r="AR59" i="16"/>
  <c r="AR60" i="16"/>
  <c r="AR61" i="16"/>
  <c r="AR62" i="16"/>
  <c r="AR63" i="16"/>
  <c r="AR64" i="16"/>
  <c r="AR65" i="16"/>
  <c r="AR66" i="16"/>
  <c r="AR67" i="16"/>
  <c r="AR68" i="16"/>
  <c r="AR69" i="16"/>
  <c r="AR70" i="16"/>
  <c r="AR71" i="16"/>
  <c r="AR72" i="16"/>
  <c r="AR73" i="16"/>
  <c r="AR74" i="16"/>
  <c r="AR75" i="16"/>
  <c r="AR76" i="16"/>
  <c r="AR77" i="16"/>
  <c r="AR78" i="16"/>
  <c r="AR79" i="16"/>
  <c r="AR80" i="16"/>
  <c r="AR81" i="16"/>
  <c r="AR82" i="16"/>
  <c r="AR83" i="16"/>
  <c r="AR84" i="16"/>
  <c r="AR85" i="16"/>
  <c r="AR86" i="16"/>
  <c r="AR87" i="16"/>
  <c r="AR88" i="16"/>
  <c r="AR89" i="16"/>
  <c r="AR90" i="16"/>
  <c r="AR91" i="16"/>
  <c r="AR92" i="16"/>
  <c r="AR93" i="16"/>
  <c r="AR94" i="16"/>
  <c r="AR95" i="16"/>
  <c r="AR96" i="16"/>
  <c r="AR97" i="16"/>
  <c r="AR98" i="16"/>
  <c r="AR99" i="16"/>
  <c r="AR100" i="16"/>
  <c r="AR101" i="16"/>
  <c r="AR102" i="16"/>
  <c r="AR103" i="16"/>
  <c r="AR104" i="16"/>
  <c r="AR105" i="16"/>
  <c r="AR106" i="16"/>
  <c r="AR107" i="16"/>
  <c r="AR108" i="16"/>
  <c r="AR109" i="16"/>
  <c r="AR110" i="16"/>
  <c r="AR111" i="16"/>
  <c r="AR112" i="16"/>
  <c r="AR113" i="16"/>
  <c r="AR114" i="16"/>
  <c r="AR115" i="16"/>
  <c r="AR116" i="16"/>
  <c r="AR117" i="16"/>
  <c r="AR118" i="16"/>
  <c r="AR119" i="16"/>
  <c r="AR120" i="16"/>
  <c r="AR121" i="16"/>
  <c r="AR122" i="16"/>
  <c r="AR123" i="16"/>
  <c r="AR124" i="16"/>
  <c r="AR125" i="16"/>
  <c r="AR126" i="16"/>
  <c r="AR127" i="16"/>
  <c r="AR128" i="16"/>
  <c r="AR129" i="16"/>
  <c r="AR130" i="16"/>
  <c r="AR131" i="16"/>
  <c r="AR132" i="16"/>
  <c r="AR133" i="16"/>
  <c r="AR134" i="16"/>
  <c r="AR135" i="16"/>
  <c r="AR136" i="16"/>
  <c r="AR137" i="16"/>
  <c r="AR138" i="16"/>
  <c r="AR139" i="16"/>
  <c r="AR140" i="16"/>
  <c r="AR141" i="16"/>
  <c r="AR142" i="16"/>
  <c r="AR143" i="16"/>
  <c r="AR144" i="16"/>
  <c r="AR145" i="16"/>
  <c r="AR146" i="16"/>
  <c r="AR147" i="16"/>
  <c r="AR148" i="16"/>
  <c r="AR149" i="16"/>
  <c r="AR150" i="16"/>
  <c r="AR151" i="16"/>
  <c r="AR152" i="16"/>
  <c r="AR153" i="16"/>
  <c r="AR154" i="16"/>
  <c r="AR155" i="16"/>
  <c r="AR156" i="16"/>
  <c r="AR157" i="16"/>
  <c r="AR158" i="16"/>
  <c r="AR159" i="16"/>
  <c r="AR160" i="16"/>
  <c r="AR161" i="16"/>
  <c r="AR162" i="16"/>
  <c r="AR163" i="16"/>
  <c r="AR164" i="16"/>
  <c r="AR165" i="16"/>
  <c r="AR166" i="16"/>
  <c r="AR167" i="16"/>
  <c r="AR168" i="16"/>
  <c r="AR169" i="16"/>
  <c r="AR170" i="16"/>
  <c r="AR171" i="16"/>
  <c r="AR172" i="16"/>
  <c r="AR173" i="16"/>
  <c r="AR174" i="16"/>
  <c r="AR175" i="16"/>
  <c r="AR176" i="16"/>
  <c r="AQ3" i="16"/>
  <c r="AQ4" i="16"/>
  <c r="AQ5" i="16"/>
  <c r="AQ6" i="16"/>
  <c r="AQ7" i="16"/>
  <c r="AQ8" i="16"/>
  <c r="AQ9" i="16"/>
  <c r="AQ10" i="16"/>
  <c r="AQ11" i="16"/>
  <c r="AQ12" i="16"/>
  <c r="AQ13" i="16"/>
  <c r="AQ14" i="16"/>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AP90" i="16"/>
  <c r="AP91" i="16"/>
  <c r="AP92" i="16"/>
  <c r="AP93" i="16"/>
  <c r="AP94" i="16"/>
  <c r="AP95" i="16"/>
  <c r="AP96" i="16"/>
  <c r="AP97" i="16"/>
  <c r="AP98" i="16"/>
  <c r="AP99" i="16"/>
  <c r="AP100" i="16"/>
  <c r="AP101" i="16"/>
  <c r="AP102" i="16"/>
  <c r="AP103" i="16"/>
  <c r="AP104" i="16"/>
  <c r="AP105" i="16"/>
  <c r="AP106" i="16"/>
  <c r="AP107" i="16"/>
  <c r="AP108" i="16"/>
  <c r="AP109" i="16"/>
  <c r="AP110" i="16"/>
  <c r="AP111" i="16"/>
  <c r="AP112" i="16"/>
  <c r="AP113" i="16"/>
  <c r="AP114" i="16"/>
  <c r="AP115" i="16"/>
  <c r="AP116" i="16"/>
  <c r="AP117" i="16"/>
  <c r="AP118" i="16"/>
  <c r="AP119" i="16"/>
  <c r="AP120" i="16"/>
  <c r="AP121" i="16"/>
  <c r="AP122" i="16"/>
  <c r="AP123" i="16"/>
  <c r="AP124" i="16"/>
  <c r="AP125" i="16"/>
  <c r="AP126" i="16"/>
  <c r="AP127" i="16"/>
  <c r="AP128" i="16"/>
  <c r="AP129" i="16"/>
  <c r="AP130" i="16"/>
  <c r="AP131" i="16"/>
  <c r="AP132" i="16"/>
  <c r="AP133" i="16"/>
  <c r="AP134" i="16"/>
  <c r="AP135" i="16"/>
  <c r="AP136" i="16"/>
  <c r="AP137" i="16"/>
  <c r="AP138" i="16"/>
  <c r="AP139" i="16"/>
  <c r="AP140" i="16"/>
  <c r="AP141" i="16"/>
  <c r="AP142" i="16"/>
  <c r="AP143" i="16"/>
  <c r="AP144" i="16"/>
  <c r="AP145" i="16"/>
  <c r="AP146" i="16"/>
  <c r="AP147" i="16"/>
  <c r="AP148" i="16"/>
  <c r="AP149" i="16"/>
  <c r="AP150" i="16"/>
  <c r="AP151" i="16"/>
  <c r="AP152" i="16"/>
  <c r="AP153" i="16"/>
  <c r="AP154" i="16"/>
  <c r="AP155" i="16"/>
  <c r="AP156" i="16"/>
  <c r="AP157" i="16"/>
  <c r="AP158" i="16"/>
  <c r="AP159" i="16"/>
  <c r="AP160" i="16"/>
  <c r="AP161" i="16"/>
  <c r="AP162" i="16"/>
  <c r="AP163" i="16"/>
  <c r="AP164" i="16"/>
  <c r="AP165" i="16"/>
  <c r="AP166" i="16"/>
  <c r="AP167" i="16"/>
  <c r="AP168" i="16"/>
  <c r="AP169" i="16"/>
  <c r="AP170" i="16"/>
  <c r="AP171" i="16"/>
  <c r="AP172" i="16"/>
  <c r="AP173" i="16"/>
  <c r="AP174" i="16"/>
  <c r="AP175" i="16"/>
  <c r="AP176" i="16"/>
  <c r="AO3" i="16"/>
  <c r="AO4" i="16"/>
  <c r="AO5" i="16"/>
  <c r="AO6" i="16"/>
  <c r="AO7" i="16"/>
  <c r="AO8" i="16"/>
  <c r="AO9" i="16"/>
  <c r="AO10" i="16"/>
  <c r="AO11" i="16"/>
  <c r="AO12" i="16"/>
  <c r="AO13" i="16"/>
  <c r="AO14" i="16"/>
  <c r="AO15" i="16"/>
  <c r="AO16" i="16"/>
  <c r="AO17" i="16"/>
  <c r="AO18" i="16"/>
  <c r="AO19" i="16"/>
  <c r="AO20" i="16"/>
  <c r="AO21" i="16"/>
  <c r="AO22" i="16"/>
  <c r="AO23" i="16"/>
  <c r="AO24" i="16"/>
  <c r="AO25" i="16"/>
  <c r="AO26" i="16"/>
  <c r="AO27" i="16"/>
  <c r="AO28" i="16"/>
  <c r="AO29" i="16"/>
  <c r="AO30" i="16"/>
  <c r="AO31" i="16"/>
  <c r="AO32" i="16"/>
  <c r="AO33" i="16"/>
  <c r="AO34" i="16"/>
  <c r="AO35" i="16"/>
  <c r="AO36" i="16"/>
  <c r="AO37" i="16"/>
  <c r="AO38" i="16"/>
  <c r="AO39" i="16"/>
  <c r="AO40" i="16"/>
  <c r="AO41" i="16"/>
  <c r="AO42" i="16"/>
  <c r="AO43" i="16"/>
  <c r="AO44" i="16"/>
  <c r="AO45" i="16"/>
  <c r="AO46" i="16"/>
  <c r="AO47" i="16"/>
  <c r="AO48" i="16"/>
  <c r="AO49" i="16"/>
  <c r="AO50" i="16"/>
  <c r="AO51" i="16"/>
  <c r="AO52" i="16"/>
  <c r="AO53" i="16"/>
  <c r="AO54" i="16"/>
  <c r="AO55" i="16"/>
  <c r="AO56" i="16"/>
  <c r="AO57" i="16"/>
  <c r="AO58" i="16"/>
  <c r="AO59" i="16"/>
  <c r="AO60" i="16"/>
  <c r="AO61" i="16"/>
  <c r="AO62" i="16"/>
  <c r="AO63" i="16"/>
  <c r="AO64" i="16"/>
  <c r="AO65" i="16"/>
  <c r="AO66" i="16"/>
  <c r="AO67" i="16"/>
  <c r="AO68" i="16"/>
  <c r="AO69" i="16"/>
  <c r="AO70" i="16"/>
  <c r="AO71" i="16"/>
  <c r="AO72" i="16"/>
  <c r="AO73" i="16"/>
  <c r="AO74" i="16"/>
  <c r="AO75" i="16"/>
  <c r="AO76" i="16"/>
  <c r="AO77" i="16"/>
  <c r="AO78" i="16"/>
  <c r="AO79" i="16"/>
  <c r="AO80" i="16"/>
  <c r="AO81" i="16"/>
  <c r="AO82" i="16"/>
  <c r="AO83" i="16"/>
  <c r="AO84" i="16"/>
  <c r="AO85" i="16"/>
  <c r="AO86" i="16"/>
  <c r="AO87" i="16"/>
  <c r="AO88" i="16"/>
  <c r="AO89" i="16"/>
  <c r="AO90" i="16"/>
  <c r="AO91" i="16"/>
  <c r="AO92" i="16"/>
  <c r="AO93" i="16"/>
  <c r="AO94" i="16"/>
  <c r="AO95" i="16"/>
  <c r="AO96" i="16"/>
  <c r="AO97" i="16"/>
  <c r="AO98" i="16"/>
  <c r="AO99" i="16"/>
  <c r="AO100" i="16"/>
  <c r="AO101" i="16"/>
  <c r="AO102" i="16"/>
  <c r="AO103" i="16"/>
  <c r="AO104" i="16"/>
  <c r="AO105" i="16"/>
  <c r="AO106" i="16"/>
  <c r="AO107" i="16"/>
  <c r="AO108" i="16"/>
  <c r="AO109" i="16"/>
  <c r="AO110" i="16"/>
  <c r="AO111" i="16"/>
  <c r="AO112" i="16"/>
  <c r="AO113" i="16"/>
  <c r="AO114" i="16"/>
  <c r="AO115" i="16"/>
  <c r="AO116" i="16"/>
  <c r="AO117" i="16"/>
  <c r="AO118" i="16"/>
  <c r="AO119" i="16"/>
  <c r="AO120" i="16"/>
  <c r="AO121" i="16"/>
  <c r="AO122" i="16"/>
  <c r="AO123" i="16"/>
  <c r="AO124" i="16"/>
  <c r="AO125" i="16"/>
  <c r="AO126" i="16"/>
  <c r="AO127" i="16"/>
  <c r="AO128" i="16"/>
  <c r="AO129" i="16"/>
  <c r="AO130" i="16"/>
  <c r="AO131" i="16"/>
  <c r="AO132" i="16"/>
  <c r="AO133" i="16"/>
  <c r="AO134" i="16"/>
  <c r="AO135" i="16"/>
  <c r="AO136" i="16"/>
  <c r="AO137" i="16"/>
  <c r="AO138" i="16"/>
  <c r="AO139" i="16"/>
  <c r="AO140" i="16"/>
  <c r="AO141" i="16"/>
  <c r="AO142" i="16"/>
  <c r="AO143" i="16"/>
  <c r="AO144" i="16"/>
  <c r="AO145" i="16"/>
  <c r="AO146" i="16"/>
  <c r="AO147" i="16"/>
  <c r="AO148" i="16"/>
  <c r="AO149" i="16"/>
  <c r="AO150" i="16"/>
  <c r="AO151" i="16"/>
  <c r="AO152" i="16"/>
  <c r="AO153" i="16"/>
  <c r="AO154" i="16"/>
  <c r="AO155" i="16"/>
  <c r="AO156" i="16"/>
  <c r="AO157" i="16"/>
  <c r="AO158" i="16"/>
  <c r="AO159" i="16"/>
  <c r="AO160" i="16"/>
  <c r="AO161" i="16"/>
  <c r="AO162" i="16"/>
  <c r="AO163" i="16"/>
  <c r="AO164" i="16"/>
  <c r="AO165" i="16"/>
  <c r="AO166" i="16"/>
  <c r="AO167" i="16"/>
  <c r="AO168" i="16"/>
  <c r="AO169" i="16"/>
  <c r="AO170" i="16"/>
  <c r="AO171" i="16"/>
  <c r="AO172" i="16"/>
  <c r="AO173" i="16"/>
  <c r="AO174" i="16"/>
  <c r="AO175" i="16"/>
  <c r="AO176" i="16"/>
  <c r="AN3" i="16"/>
  <c r="AN4" i="16"/>
  <c r="AN5" i="16"/>
  <c r="AN6" i="16"/>
  <c r="AN7" i="16"/>
  <c r="AN8" i="16"/>
  <c r="AN9" i="16"/>
  <c r="AN10" i="16"/>
  <c r="AN11" i="16"/>
  <c r="AN12" i="16"/>
  <c r="AN13" i="16"/>
  <c r="AN14" i="16"/>
  <c r="AN15" i="16"/>
  <c r="AN16" i="16"/>
  <c r="AN17" i="16"/>
  <c r="AN18" i="16"/>
  <c r="AN19" i="16"/>
  <c r="AN20" i="16"/>
  <c r="AN21" i="16"/>
  <c r="AN22" i="16"/>
  <c r="AN23" i="16"/>
  <c r="AN24" i="16"/>
  <c r="AN25" i="16"/>
  <c r="AN26" i="16"/>
  <c r="AN27" i="16"/>
  <c r="AN28" i="16"/>
  <c r="AN29" i="16"/>
  <c r="AN30" i="16"/>
  <c r="AN31" i="16"/>
  <c r="AN32" i="16"/>
  <c r="AN33" i="16"/>
  <c r="AN34" i="16"/>
  <c r="AN35" i="16"/>
  <c r="AN36" i="16"/>
  <c r="AN37" i="16"/>
  <c r="AN38" i="16"/>
  <c r="AN39" i="16"/>
  <c r="AN40" i="16"/>
  <c r="AN41" i="16"/>
  <c r="AN42" i="16"/>
  <c r="AN43" i="16"/>
  <c r="AN44" i="16"/>
  <c r="AN45" i="16"/>
  <c r="AN46" i="16"/>
  <c r="AN47" i="16"/>
  <c r="AN48" i="16"/>
  <c r="AN49" i="16"/>
  <c r="AN50" i="16"/>
  <c r="AN51" i="16"/>
  <c r="AN52" i="16"/>
  <c r="AN53" i="16"/>
  <c r="AN54" i="16"/>
  <c r="AN55" i="16"/>
  <c r="AN56" i="16"/>
  <c r="AN57" i="16"/>
  <c r="AN58" i="16"/>
  <c r="AN59" i="16"/>
  <c r="AN60" i="16"/>
  <c r="AN61" i="16"/>
  <c r="AN62" i="16"/>
  <c r="AN63" i="16"/>
  <c r="AN64" i="16"/>
  <c r="AN65" i="16"/>
  <c r="AN66" i="16"/>
  <c r="AN67" i="16"/>
  <c r="AN68" i="16"/>
  <c r="AN69" i="16"/>
  <c r="AN70" i="16"/>
  <c r="AN71" i="16"/>
  <c r="AN72" i="16"/>
  <c r="AN73" i="16"/>
  <c r="AN74" i="16"/>
  <c r="AN75" i="16"/>
  <c r="AN76" i="16"/>
  <c r="AN77" i="16"/>
  <c r="AN78" i="16"/>
  <c r="AN79" i="16"/>
  <c r="AN80" i="16"/>
  <c r="AN81" i="16"/>
  <c r="AN82" i="16"/>
  <c r="AN83" i="16"/>
  <c r="AN84" i="16"/>
  <c r="AN85" i="16"/>
  <c r="AN86" i="16"/>
  <c r="AN87" i="16"/>
  <c r="AN88" i="16"/>
  <c r="AN89" i="16"/>
  <c r="AN90" i="16"/>
  <c r="AN91" i="16"/>
  <c r="AN92" i="16"/>
  <c r="AN93" i="16"/>
  <c r="AN94" i="16"/>
  <c r="AN95" i="16"/>
  <c r="AN96" i="16"/>
  <c r="AN97" i="16"/>
  <c r="AN98" i="16"/>
  <c r="AN99" i="16"/>
  <c r="AN100" i="16"/>
  <c r="AN101" i="16"/>
  <c r="AN102" i="16"/>
  <c r="AN103" i="16"/>
  <c r="AN104" i="16"/>
  <c r="AN105" i="16"/>
  <c r="AN106" i="16"/>
  <c r="AN107" i="16"/>
  <c r="AN108" i="16"/>
  <c r="AN109" i="16"/>
  <c r="AN110" i="16"/>
  <c r="AN111" i="16"/>
  <c r="AN112" i="16"/>
  <c r="AN113" i="16"/>
  <c r="AN114" i="16"/>
  <c r="AN115" i="16"/>
  <c r="AN116" i="16"/>
  <c r="AN117" i="16"/>
  <c r="AN118" i="16"/>
  <c r="AN119" i="16"/>
  <c r="AN120" i="16"/>
  <c r="AN121" i="16"/>
  <c r="AN122" i="16"/>
  <c r="AN123" i="16"/>
  <c r="AN124" i="16"/>
  <c r="AN125" i="16"/>
  <c r="AN126" i="16"/>
  <c r="AN127" i="16"/>
  <c r="AN128" i="16"/>
  <c r="AN129" i="16"/>
  <c r="AN130" i="16"/>
  <c r="AN131" i="16"/>
  <c r="AN132" i="16"/>
  <c r="AN133" i="16"/>
  <c r="AN134" i="16"/>
  <c r="AN135" i="16"/>
  <c r="AN136" i="16"/>
  <c r="AN137" i="16"/>
  <c r="AN138" i="16"/>
  <c r="AN139" i="16"/>
  <c r="AN140" i="16"/>
  <c r="AN141" i="16"/>
  <c r="AN142" i="16"/>
  <c r="AN143" i="16"/>
  <c r="AN144" i="16"/>
  <c r="AN145" i="16"/>
  <c r="AN146" i="16"/>
  <c r="AN147" i="16"/>
  <c r="AN148" i="16"/>
  <c r="AN149" i="16"/>
  <c r="AN150" i="16"/>
  <c r="AN151" i="16"/>
  <c r="AN152" i="16"/>
  <c r="AN153" i="16"/>
  <c r="AN154" i="16"/>
  <c r="AN155" i="16"/>
  <c r="AN156" i="16"/>
  <c r="AN157" i="16"/>
  <c r="AN158" i="16"/>
  <c r="AN159" i="16"/>
  <c r="AN160" i="16"/>
  <c r="AN161" i="16"/>
  <c r="AN162" i="16"/>
  <c r="AN163" i="16"/>
  <c r="AN164" i="16"/>
  <c r="AN165" i="16"/>
  <c r="AN166" i="16"/>
  <c r="AN167" i="16"/>
  <c r="AN168" i="16"/>
  <c r="AN169" i="16"/>
  <c r="AN170" i="16"/>
  <c r="AN171" i="16"/>
  <c r="AN172" i="16"/>
  <c r="AN173" i="16"/>
  <c r="AN174" i="16"/>
  <c r="AN175" i="16"/>
  <c r="AN176" i="16"/>
  <c r="AM3" i="16"/>
  <c r="AM4" i="16"/>
  <c r="AM5" i="16"/>
  <c r="AM6" i="16"/>
  <c r="AM7" i="16"/>
  <c r="AM8" i="16"/>
  <c r="AM9" i="16"/>
  <c r="AM10" i="16"/>
  <c r="AM11" i="16"/>
  <c r="AM12" i="16"/>
  <c r="AM13" i="16"/>
  <c r="AM14" i="16"/>
  <c r="AM15" i="16"/>
  <c r="AM16" i="16"/>
  <c r="AM17" i="16"/>
  <c r="AM18" i="16"/>
  <c r="AM19" i="16"/>
  <c r="AM20" i="16"/>
  <c r="AM21" i="16"/>
  <c r="AM22" i="16"/>
  <c r="AM23" i="16"/>
  <c r="AM24" i="16"/>
  <c r="AM25" i="16"/>
  <c r="AM26" i="16"/>
  <c r="AM27" i="16"/>
  <c r="AM28" i="16"/>
  <c r="AM29" i="16"/>
  <c r="AM30" i="16"/>
  <c r="AM31" i="16"/>
  <c r="AM32" i="16"/>
  <c r="AM33" i="16"/>
  <c r="AM34" i="16"/>
  <c r="AM35" i="16"/>
  <c r="AM36" i="16"/>
  <c r="AM37" i="16"/>
  <c r="AM38" i="16"/>
  <c r="AM39" i="16"/>
  <c r="AM40" i="16"/>
  <c r="AM41" i="16"/>
  <c r="AM42" i="16"/>
  <c r="AM43" i="16"/>
  <c r="AM44" i="16"/>
  <c r="AM45" i="16"/>
  <c r="AM46" i="16"/>
  <c r="AM47" i="16"/>
  <c r="AM48" i="16"/>
  <c r="AM49" i="16"/>
  <c r="AM50" i="16"/>
  <c r="AM51" i="16"/>
  <c r="AM52" i="16"/>
  <c r="AM53" i="16"/>
  <c r="AM54" i="16"/>
  <c r="AM55" i="16"/>
  <c r="AM56" i="16"/>
  <c r="AM57" i="16"/>
  <c r="AM58" i="16"/>
  <c r="AM59" i="16"/>
  <c r="AM60" i="16"/>
  <c r="AM61" i="16"/>
  <c r="AM62" i="16"/>
  <c r="AM63" i="16"/>
  <c r="AM64" i="16"/>
  <c r="AM65" i="16"/>
  <c r="AM66" i="16"/>
  <c r="AM67" i="16"/>
  <c r="AM68" i="16"/>
  <c r="AM69" i="16"/>
  <c r="AM70" i="16"/>
  <c r="AM71" i="16"/>
  <c r="AM72" i="16"/>
  <c r="AM73" i="16"/>
  <c r="AM74" i="16"/>
  <c r="AM75" i="16"/>
  <c r="AM76" i="16"/>
  <c r="AM77" i="16"/>
  <c r="AM78" i="16"/>
  <c r="AM79" i="16"/>
  <c r="AM80" i="16"/>
  <c r="AM81" i="16"/>
  <c r="AM82" i="16"/>
  <c r="AM83" i="16"/>
  <c r="AM84" i="16"/>
  <c r="AM85" i="16"/>
  <c r="AM86" i="16"/>
  <c r="AM87" i="16"/>
  <c r="AM88" i="16"/>
  <c r="AM89" i="16"/>
  <c r="AM90" i="16"/>
  <c r="AM91" i="16"/>
  <c r="AM92" i="16"/>
  <c r="AM93" i="16"/>
  <c r="AM94" i="16"/>
  <c r="AM95" i="16"/>
  <c r="AM96" i="16"/>
  <c r="AM97" i="16"/>
  <c r="AM98" i="16"/>
  <c r="AM99" i="16"/>
  <c r="AM100" i="16"/>
  <c r="AM101" i="16"/>
  <c r="AM102" i="16"/>
  <c r="AM103" i="16"/>
  <c r="AM104" i="16"/>
  <c r="AM105" i="16"/>
  <c r="AM106" i="16"/>
  <c r="AM107" i="16"/>
  <c r="AM108" i="16"/>
  <c r="AM109" i="16"/>
  <c r="AM110" i="16"/>
  <c r="AM111" i="16"/>
  <c r="AM112" i="16"/>
  <c r="AM113" i="16"/>
  <c r="AM114" i="16"/>
  <c r="AM115" i="16"/>
  <c r="AM116" i="16"/>
  <c r="AM117" i="16"/>
  <c r="AM118" i="16"/>
  <c r="AM119" i="16"/>
  <c r="AM120" i="16"/>
  <c r="AM121" i="16"/>
  <c r="AM122" i="16"/>
  <c r="AM123" i="16"/>
  <c r="AM124" i="16"/>
  <c r="AM125" i="16"/>
  <c r="AM126" i="16"/>
  <c r="AM127" i="16"/>
  <c r="AM128" i="16"/>
  <c r="AM129" i="16"/>
  <c r="AM130" i="16"/>
  <c r="AM131" i="16"/>
  <c r="AM132" i="16"/>
  <c r="AM133" i="16"/>
  <c r="AM134" i="16"/>
  <c r="AM135" i="16"/>
  <c r="AM136" i="16"/>
  <c r="AM137" i="16"/>
  <c r="AM138" i="16"/>
  <c r="AM139" i="16"/>
  <c r="AM140" i="16"/>
  <c r="AM141" i="16"/>
  <c r="AM142" i="16"/>
  <c r="AM143" i="16"/>
  <c r="AM144" i="16"/>
  <c r="AM145" i="16"/>
  <c r="AM146" i="16"/>
  <c r="AM147" i="16"/>
  <c r="AM148" i="16"/>
  <c r="AM149" i="16"/>
  <c r="AM150" i="16"/>
  <c r="AM151" i="16"/>
  <c r="AM152" i="16"/>
  <c r="AM153" i="16"/>
  <c r="AM154" i="16"/>
  <c r="AM155" i="16"/>
  <c r="AM156" i="16"/>
  <c r="AM157" i="16"/>
  <c r="AM158" i="16"/>
  <c r="AM159" i="16"/>
  <c r="AM160" i="16"/>
  <c r="AM161" i="16"/>
  <c r="AM162" i="16"/>
  <c r="AM163" i="16"/>
  <c r="AM164" i="16"/>
  <c r="AM165" i="16"/>
  <c r="AM166" i="16"/>
  <c r="AM167" i="16"/>
  <c r="AM168" i="16"/>
  <c r="AM169" i="16"/>
  <c r="AM170" i="16"/>
  <c r="AM171" i="16"/>
  <c r="AM172" i="16"/>
  <c r="AM173" i="16"/>
  <c r="AM174" i="16"/>
  <c r="AM175" i="16"/>
  <c r="AM176" i="16"/>
  <c r="AL3" i="16"/>
  <c r="AL4" i="16"/>
  <c r="AL5" i="16"/>
  <c r="AL6" i="16"/>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L34" i="16"/>
  <c r="AL35" i="16"/>
  <c r="AL36" i="16"/>
  <c r="AL37" i="16"/>
  <c r="AL38" i="16"/>
  <c r="AL39" i="16"/>
  <c r="AL40" i="16"/>
  <c r="AL41" i="16"/>
  <c r="AL42" i="16"/>
  <c r="AL43" i="16"/>
  <c r="AL44" i="16"/>
  <c r="AL45" i="16"/>
  <c r="AL46" i="16"/>
  <c r="AL47" i="16"/>
  <c r="AL48" i="16"/>
  <c r="AL49" i="16"/>
  <c r="AL50" i="16"/>
  <c r="AL51" i="16"/>
  <c r="AL52" i="16"/>
  <c r="AL53" i="16"/>
  <c r="AL54" i="16"/>
  <c r="AL55" i="16"/>
  <c r="AL56" i="16"/>
  <c r="AL57" i="16"/>
  <c r="AL58" i="16"/>
  <c r="AL59" i="16"/>
  <c r="AL60" i="16"/>
  <c r="AL61" i="16"/>
  <c r="AL62" i="16"/>
  <c r="AL63" i="16"/>
  <c r="AL64" i="16"/>
  <c r="AL65" i="16"/>
  <c r="AL66" i="16"/>
  <c r="AL67" i="16"/>
  <c r="AL68" i="16"/>
  <c r="AL69" i="16"/>
  <c r="AL70" i="16"/>
  <c r="AL71" i="16"/>
  <c r="AL72" i="16"/>
  <c r="AL73" i="16"/>
  <c r="AL74" i="16"/>
  <c r="AL75" i="16"/>
  <c r="AL76" i="16"/>
  <c r="AL77" i="16"/>
  <c r="AL78" i="16"/>
  <c r="AL79" i="16"/>
  <c r="AL80" i="16"/>
  <c r="AL81" i="16"/>
  <c r="AL82" i="16"/>
  <c r="AL83" i="16"/>
  <c r="AL84" i="16"/>
  <c r="AL85" i="16"/>
  <c r="AL86" i="16"/>
  <c r="AL87" i="16"/>
  <c r="AL88" i="16"/>
  <c r="AL89" i="16"/>
  <c r="AL90" i="16"/>
  <c r="AL91" i="16"/>
  <c r="AL92" i="16"/>
  <c r="AL93" i="16"/>
  <c r="AL94" i="16"/>
  <c r="AL95" i="16"/>
  <c r="AL96" i="16"/>
  <c r="AL97" i="16"/>
  <c r="AL98" i="16"/>
  <c r="AL99" i="16"/>
  <c r="AL100" i="16"/>
  <c r="AL101" i="16"/>
  <c r="AL102" i="16"/>
  <c r="AL103" i="16"/>
  <c r="AL104" i="16"/>
  <c r="AL105" i="16"/>
  <c r="AL106" i="16"/>
  <c r="AL107" i="16"/>
  <c r="AL108" i="16"/>
  <c r="AL109" i="16"/>
  <c r="AL110" i="16"/>
  <c r="AL111" i="16"/>
  <c r="AL112" i="16"/>
  <c r="AL113" i="16"/>
  <c r="AL114" i="16"/>
  <c r="AL115" i="16"/>
  <c r="AL116" i="16"/>
  <c r="AL117" i="16"/>
  <c r="AL118" i="16"/>
  <c r="AL119" i="16"/>
  <c r="AL120" i="16"/>
  <c r="AL121" i="16"/>
  <c r="AL122" i="16"/>
  <c r="AL123" i="16"/>
  <c r="AL124" i="16"/>
  <c r="AL125" i="16"/>
  <c r="AL126" i="16"/>
  <c r="AL127" i="16"/>
  <c r="AL128" i="16"/>
  <c r="AL129" i="16"/>
  <c r="AL130" i="16"/>
  <c r="AL131" i="16"/>
  <c r="AL132" i="16"/>
  <c r="AL133" i="16"/>
  <c r="AL134" i="16"/>
  <c r="AL135" i="16"/>
  <c r="AL136" i="16"/>
  <c r="AL137" i="16"/>
  <c r="AL138" i="16"/>
  <c r="AL139" i="16"/>
  <c r="AL140" i="16"/>
  <c r="AL141" i="16"/>
  <c r="AL142" i="16"/>
  <c r="AL143" i="16"/>
  <c r="AL144" i="16"/>
  <c r="AL145" i="16"/>
  <c r="AL146" i="16"/>
  <c r="AL147" i="16"/>
  <c r="AL148" i="16"/>
  <c r="AL149" i="16"/>
  <c r="AL150" i="16"/>
  <c r="AL151" i="16"/>
  <c r="AL152" i="16"/>
  <c r="AL153" i="16"/>
  <c r="AL154" i="16"/>
  <c r="AL155" i="16"/>
  <c r="AL156" i="16"/>
  <c r="AL157" i="16"/>
  <c r="AL158" i="16"/>
  <c r="AL159" i="16"/>
  <c r="AL160" i="16"/>
  <c r="AL161" i="16"/>
  <c r="AL162" i="16"/>
  <c r="AL163" i="16"/>
  <c r="AL164" i="16"/>
  <c r="AL165" i="16"/>
  <c r="AL166" i="16"/>
  <c r="AL167" i="16"/>
  <c r="AL168" i="16"/>
  <c r="AL169" i="16"/>
  <c r="AL170" i="16"/>
  <c r="AL171" i="16"/>
  <c r="AL172" i="16"/>
  <c r="AL173" i="16"/>
  <c r="AL174" i="16"/>
  <c r="AL175" i="16"/>
  <c r="AL176" i="16"/>
  <c r="AK3" i="16"/>
  <c r="AK4" i="16"/>
  <c r="AK5" i="16"/>
  <c r="AK6" i="16"/>
  <c r="AK7" i="16"/>
  <c r="AK8" i="16"/>
  <c r="AK9" i="16"/>
  <c r="AK10" i="16"/>
  <c r="AK11" i="16"/>
  <c r="AK12" i="16"/>
  <c r="AK13" i="16"/>
  <c r="AK14" i="16"/>
  <c r="AK15" i="16"/>
  <c r="AK16" i="16"/>
  <c r="AK17" i="16"/>
  <c r="AK18" i="16"/>
  <c r="AK19" i="16"/>
  <c r="AK20" i="16"/>
  <c r="AK21" i="16"/>
  <c r="AK22" i="16"/>
  <c r="AK23" i="16"/>
  <c r="AK24" i="16"/>
  <c r="AK25" i="16"/>
  <c r="AK26" i="16"/>
  <c r="AK27" i="16"/>
  <c r="AK28" i="16"/>
  <c r="AK29" i="16"/>
  <c r="AK30" i="16"/>
  <c r="AK31" i="16"/>
  <c r="AK32" i="16"/>
  <c r="AK33" i="16"/>
  <c r="AK34" i="16"/>
  <c r="AK35" i="16"/>
  <c r="AK36" i="16"/>
  <c r="AK37" i="16"/>
  <c r="AK38" i="16"/>
  <c r="AK39" i="16"/>
  <c r="AK40" i="16"/>
  <c r="AK41" i="16"/>
  <c r="AK42" i="16"/>
  <c r="AK43" i="16"/>
  <c r="AK44" i="16"/>
  <c r="AK45" i="16"/>
  <c r="AK46" i="16"/>
  <c r="AK47" i="16"/>
  <c r="AK48" i="16"/>
  <c r="AK49" i="16"/>
  <c r="AK50" i="16"/>
  <c r="AK51" i="16"/>
  <c r="AK52" i="16"/>
  <c r="AK53" i="16"/>
  <c r="AK54" i="16"/>
  <c r="AK55" i="16"/>
  <c r="AK56" i="16"/>
  <c r="AK57" i="16"/>
  <c r="AK58" i="16"/>
  <c r="AK59" i="16"/>
  <c r="AK60" i="16"/>
  <c r="AK61" i="16"/>
  <c r="AK62" i="16"/>
  <c r="AK63" i="16"/>
  <c r="AK64" i="16"/>
  <c r="AK65" i="16"/>
  <c r="AK66" i="16"/>
  <c r="AK67" i="16"/>
  <c r="AK68" i="16"/>
  <c r="AK69" i="16"/>
  <c r="AK70" i="16"/>
  <c r="AK71" i="16"/>
  <c r="AK72" i="16"/>
  <c r="AK73" i="16"/>
  <c r="AK74" i="16"/>
  <c r="AK75" i="16"/>
  <c r="AK76" i="16"/>
  <c r="AK77" i="16"/>
  <c r="AK78" i="16"/>
  <c r="AK79" i="16"/>
  <c r="AK80" i="16"/>
  <c r="AK81" i="16"/>
  <c r="AK82" i="16"/>
  <c r="AK83" i="16"/>
  <c r="AK84" i="16"/>
  <c r="AK85" i="16"/>
  <c r="AK86" i="16"/>
  <c r="AK87" i="16"/>
  <c r="AK88" i="16"/>
  <c r="AK89" i="16"/>
  <c r="AK90" i="16"/>
  <c r="AK91" i="16"/>
  <c r="AK92" i="16"/>
  <c r="AK93" i="16"/>
  <c r="AK94" i="16"/>
  <c r="AK95" i="16"/>
  <c r="AK96" i="16"/>
  <c r="AK97" i="16"/>
  <c r="AK98" i="16"/>
  <c r="AK99" i="16"/>
  <c r="AK100" i="16"/>
  <c r="AK101" i="16"/>
  <c r="AK102" i="16"/>
  <c r="AK103" i="16"/>
  <c r="AK104" i="16"/>
  <c r="AK105" i="16"/>
  <c r="AK106" i="16"/>
  <c r="AK107" i="16"/>
  <c r="AK108" i="16"/>
  <c r="AK109" i="16"/>
  <c r="AK110" i="16"/>
  <c r="AK111" i="16"/>
  <c r="AK112" i="16"/>
  <c r="AK113" i="16"/>
  <c r="AK114" i="16"/>
  <c r="AK115" i="16"/>
  <c r="AK116" i="16"/>
  <c r="AK117" i="16"/>
  <c r="AK118" i="16"/>
  <c r="AK119" i="16"/>
  <c r="AK120" i="16"/>
  <c r="AK121" i="16"/>
  <c r="AK122" i="16"/>
  <c r="AK123" i="16"/>
  <c r="AK124" i="16"/>
  <c r="AK125" i="16"/>
  <c r="AK126" i="16"/>
  <c r="AK127" i="16"/>
  <c r="AK128" i="16"/>
  <c r="AK129" i="16"/>
  <c r="AK130" i="16"/>
  <c r="AK131" i="16"/>
  <c r="AK132" i="16"/>
  <c r="AK133" i="16"/>
  <c r="AK134" i="16"/>
  <c r="AK135" i="16"/>
  <c r="AK136" i="16"/>
  <c r="AK137" i="16"/>
  <c r="AK138" i="16"/>
  <c r="AK139" i="16"/>
  <c r="AK140" i="16"/>
  <c r="AK141" i="16"/>
  <c r="AK142" i="16"/>
  <c r="AK143" i="16"/>
  <c r="AK144" i="16"/>
  <c r="AK145" i="16"/>
  <c r="AK146" i="16"/>
  <c r="AK147" i="16"/>
  <c r="AK148" i="16"/>
  <c r="AK149" i="16"/>
  <c r="AK150" i="16"/>
  <c r="AK151" i="16"/>
  <c r="AK152" i="16"/>
  <c r="AK153" i="16"/>
  <c r="AK154" i="16"/>
  <c r="AK155" i="16"/>
  <c r="AK156" i="16"/>
  <c r="AK157" i="16"/>
  <c r="AK158" i="16"/>
  <c r="AK159" i="16"/>
  <c r="AK160" i="16"/>
  <c r="CF160" i="16" s="1"/>
  <c r="AK161" i="16"/>
  <c r="CF161" i="16" s="1"/>
  <c r="AK162" i="16"/>
  <c r="CF162" i="16" s="1"/>
  <c r="AK163" i="16"/>
  <c r="CF163" i="16" s="1"/>
  <c r="AK164" i="16"/>
  <c r="CF164" i="16" s="1"/>
  <c r="AK165" i="16"/>
  <c r="CF165" i="16" s="1"/>
  <c r="AK166" i="16"/>
  <c r="CF166" i="16" s="1"/>
  <c r="AK167" i="16"/>
  <c r="CF167" i="16" s="1"/>
  <c r="AK168" i="16"/>
  <c r="CF168" i="16" s="1"/>
  <c r="AK169" i="16"/>
  <c r="CF169" i="16" s="1"/>
  <c r="AK170" i="16"/>
  <c r="CF170" i="16" s="1"/>
  <c r="AK171" i="16"/>
  <c r="CF171" i="16" s="1"/>
  <c r="AK172" i="16"/>
  <c r="CF172" i="16" s="1"/>
  <c r="AK173" i="16"/>
  <c r="CF173" i="16" s="1"/>
  <c r="AK174" i="16"/>
  <c r="CF174" i="16" s="1"/>
  <c r="AK175" i="16"/>
  <c r="CF175" i="16" s="1"/>
  <c r="AK176" i="16"/>
  <c r="CF176" i="16" s="1"/>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41" i="16"/>
  <c r="AJ42" i="16"/>
  <c r="AJ43" i="16"/>
  <c r="AJ44" i="16"/>
  <c r="AJ45" i="16"/>
  <c r="AJ46" i="16"/>
  <c r="AJ47" i="16"/>
  <c r="AJ48" i="16"/>
  <c r="AJ49" i="16"/>
  <c r="AJ50" i="16"/>
  <c r="AJ51" i="16"/>
  <c r="AJ52" i="16"/>
  <c r="AJ53" i="16"/>
  <c r="AJ54" i="16"/>
  <c r="AJ55" i="16"/>
  <c r="AJ56" i="16"/>
  <c r="AJ57" i="16"/>
  <c r="AJ58" i="16"/>
  <c r="AJ59" i="16"/>
  <c r="AJ60" i="16"/>
  <c r="AJ61" i="16"/>
  <c r="AJ62" i="16"/>
  <c r="AJ63" i="16"/>
  <c r="AJ64" i="16"/>
  <c r="AJ65" i="16"/>
  <c r="AJ66" i="16"/>
  <c r="AJ67" i="16"/>
  <c r="AJ68" i="16"/>
  <c r="AJ69" i="16"/>
  <c r="AJ70" i="16"/>
  <c r="AJ71" i="16"/>
  <c r="AJ72" i="16"/>
  <c r="AJ73" i="16"/>
  <c r="AJ74" i="16"/>
  <c r="AJ75" i="16"/>
  <c r="AJ76" i="16"/>
  <c r="AJ77" i="16"/>
  <c r="AJ78" i="16"/>
  <c r="AJ79" i="16"/>
  <c r="AJ80" i="16"/>
  <c r="AJ81" i="16"/>
  <c r="AJ82" i="16"/>
  <c r="AJ83" i="16"/>
  <c r="AJ84" i="16"/>
  <c r="AJ85" i="16"/>
  <c r="AJ86" i="16"/>
  <c r="AJ87" i="16"/>
  <c r="AJ88" i="16"/>
  <c r="AJ89" i="16"/>
  <c r="AJ90" i="16"/>
  <c r="AJ91" i="16"/>
  <c r="AJ92" i="16"/>
  <c r="AJ93" i="16"/>
  <c r="AJ94" i="16"/>
  <c r="AJ95" i="16"/>
  <c r="AJ96" i="16"/>
  <c r="AJ97" i="16"/>
  <c r="AJ98" i="16"/>
  <c r="AJ99" i="16"/>
  <c r="AJ100" i="16"/>
  <c r="AJ101" i="16"/>
  <c r="AJ102" i="16"/>
  <c r="AJ103" i="16"/>
  <c r="AJ104" i="16"/>
  <c r="AJ105" i="16"/>
  <c r="AJ106" i="16"/>
  <c r="AJ107" i="16"/>
  <c r="AJ108" i="16"/>
  <c r="AJ109" i="16"/>
  <c r="AJ110" i="16"/>
  <c r="AJ111" i="16"/>
  <c r="AJ112" i="16"/>
  <c r="AJ113" i="16"/>
  <c r="AJ114" i="16"/>
  <c r="AJ115" i="16"/>
  <c r="AJ116" i="16"/>
  <c r="AJ117" i="16"/>
  <c r="AJ118" i="16"/>
  <c r="AJ119" i="16"/>
  <c r="AJ120" i="16"/>
  <c r="AJ121" i="16"/>
  <c r="AJ122" i="16"/>
  <c r="AJ123" i="16"/>
  <c r="AJ124" i="16"/>
  <c r="AJ125" i="16"/>
  <c r="AJ126" i="16"/>
  <c r="AJ127" i="16"/>
  <c r="AJ128" i="16"/>
  <c r="AJ129" i="16"/>
  <c r="AJ130" i="16"/>
  <c r="AJ131" i="16"/>
  <c r="AJ132" i="16"/>
  <c r="AJ133" i="16"/>
  <c r="AJ134" i="16"/>
  <c r="AJ135" i="16"/>
  <c r="AJ136" i="16"/>
  <c r="AJ137" i="16"/>
  <c r="AJ138" i="16"/>
  <c r="AJ139" i="16"/>
  <c r="AJ140" i="16"/>
  <c r="AJ141" i="16"/>
  <c r="AJ142" i="16"/>
  <c r="AJ143" i="16"/>
  <c r="AJ144" i="16"/>
  <c r="AJ145" i="16"/>
  <c r="AJ146" i="16"/>
  <c r="AJ147" i="16"/>
  <c r="AJ148" i="16"/>
  <c r="AJ149" i="16"/>
  <c r="AJ150" i="16"/>
  <c r="AJ151" i="16"/>
  <c r="AJ152" i="16"/>
  <c r="AJ153" i="16"/>
  <c r="AJ154" i="16"/>
  <c r="AJ155" i="16"/>
  <c r="AJ156" i="16"/>
  <c r="AJ157" i="16"/>
  <c r="AJ158" i="16"/>
  <c r="AJ159" i="16"/>
  <c r="AJ160" i="16"/>
  <c r="AJ161" i="16"/>
  <c r="AJ162" i="16"/>
  <c r="AJ163" i="16"/>
  <c r="AJ164" i="16"/>
  <c r="AJ165" i="16"/>
  <c r="AJ166" i="16"/>
  <c r="AJ167" i="16"/>
  <c r="AJ168" i="16"/>
  <c r="AJ169" i="16"/>
  <c r="AJ170" i="16"/>
  <c r="AJ171" i="16"/>
  <c r="AJ172" i="16"/>
  <c r="AJ173" i="16"/>
  <c r="AJ174" i="16"/>
  <c r="AJ175" i="16"/>
  <c r="AJ176" i="16"/>
  <c r="AI3" i="16"/>
  <c r="AI4" i="16"/>
  <c r="AI5" i="16"/>
  <c r="AI6" i="16"/>
  <c r="AI7" i="16"/>
  <c r="AI8" i="16"/>
  <c r="AI9" i="16"/>
  <c r="AI10" i="16"/>
  <c r="AI11" i="16"/>
  <c r="AI12" i="16"/>
  <c r="AI13" i="16"/>
  <c r="AI14" i="16"/>
  <c r="AI15" i="16"/>
  <c r="AI16" i="16"/>
  <c r="AI17" i="16"/>
  <c r="AI18" i="16"/>
  <c r="AI19" i="16"/>
  <c r="AI20" i="16"/>
  <c r="AI21" i="16"/>
  <c r="AI22" i="16"/>
  <c r="AI23" i="16"/>
  <c r="AI24" i="16"/>
  <c r="AI25" i="16"/>
  <c r="AI26" i="16"/>
  <c r="AI27" i="16"/>
  <c r="AI28" i="16"/>
  <c r="AI29" i="16"/>
  <c r="AI30" i="16"/>
  <c r="AI31" i="16"/>
  <c r="AI32" i="16"/>
  <c r="AI33" i="16"/>
  <c r="AI34" i="16"/>
  <c r="AI35" i="16"/>
  <c r="AI36" i="16"/>
  <c r="AI37" i="16"/>
  <c r="AI38" i="16"/>
  <c r="AI39" i="16"/>
  <c r="AI40" i="16"/>
  <c r="AI41" i="16"/>
  <c r="AI42" i="16"/>
  <c r="AI43" i="16"/>
  <c r="AI44" i="16"/>
  <c r="AI45" i="16"/>
  <c r="AI46" i="16"/>
  <c r="AI47" i="16"/>
  <c r="AI48" i="16"/>
  <c r="AI49" i="16"/>
  <c r="AI50" i="16"/>
  <c r="AI51" i="16"/>
  <c r="AI52" i="16"/>
  <c r="AI53" i="16"/>
  <c r="AI54" i="16"/>
  <c r="AI55" i="16"/>
  <c r="AI56" i="16"/>
  <c r="AI57" i="16"/>
  <c r="AI58" i="16"/>
  <c r="AI59" i="16"/>
  <c r="AI60" i="16"/>
  <c r="AI61" i="16"/>
  <c r="AI62" i="16"/>
  <c r="AI63" i="16"/>
  <c r="AI64" i="16"/>
  <c r="AI65" i="16"/>
  <c r="AI66" i="16"/>
  <c r="AI67" i="16"/>
  <c r="AI68" i="16"/>
  <c r="AI69" i="16"/>
  <c r="AI70" i="16"/>
  <c r="AI71" i="16"/>
  <c r="AI72" i="16"/>
  <c r="AI73" i="16"/>
  <c r="AI74" i="16"/>
  <c r="AI75" i="16"/>
  <c r="AI76" i="16"/>
  <c r="AI77" i="16"/>
  <c r="AI78" i="16"/>
  <c r="AI79" i="16"/>
  <c r="AI80" i="16"/>
  <c r="AI81" i="16"/>
  <c r="AI82" i="16"/>
  <c r="AI83" i="16"/>
  <c r="AI84" i="16"/>
  <c r="AI85" i="16"/>
  <c r="AI86" i="16"/>
  <c r="AI87" i="16"/>
  <c r="AI88" i="16"/>
  <c r="AI89" i="16"/>
  <c r="AI90" i="16"/>
  <c r="AI91" i="16"/>
  <c r="AI92" i="16"/>
  <c r="AI93" i="16"/>
  <c r="AI94" i="16"/>
  <c r="AI95" i="16"/>
  <c r="AI96" i="16"/>
  <c r="AI97" i="16"/>
  <c r="AI98" i="16"/>
  <c r="AI99" i="16"/>
  <c r="AI100" i="16"/>
  <c r="AI101" i="16"/>
  <c r="AI102" i="16"/>
  <c r="AI103" i="16"/>
  <c r="AI104" i="16"/>
  <c r="AI105" i="16"/>
  <c r="AI106" i="16"/>
  <c r="AI107" i="16"/>
  <c r="AI108" i="16"/>
  <c r="AI109" i="16"/>
  <c r="AI110" i="16"/>
  <c r="AI111" i="16"/>
  <c r="AI112" i="16"/>
  <c r="AI113" i="16"/>
  <c r="AI114" i="16"/>
  <c r="AI115" i="16"/>
  <c r="AI116" i="16"/>
  <c r="AI117" i="16"/>
  <c r="AI118" i="16"/>
  <c r="AI119" i="16"/>
  <c r="AI120" i="16"/>
  <c r="AI121" i="16"/>
  <c r="AI122" i="16"/>
  <c r="AI123" i="16"/>
  <c r="AI124" i="16"/>
  <c r="AI125" i="16"/>
  <c r="AI126" i="16"/>
  <c r="AI127" i="16"/>
  <c r="AI128" i="16"/>
  <c r="AI129" i="16"/>
  <c r="AI130" i="16"/>
  <c r="AI131" i="16"/>
  <c r="AI132" i="16"/>
  <c r="AI133" i="16"/>
  <c r="AI134" i="16"/>
  <c r="AI135" i="16"/>
  <c r="AI136" i="16"/>
  <c r="AI137" i="16"/>
  <c r="AI138" i="16"/>
  <c r="AI139" i="16"/>
  <c r="AI140" i="16"/>
  <c r="AI141" i="16"/>
  <c r="AI142" i="16"/>
  <c r="AI143" i="16"/>
  <c r="AI144" i="16"/>
  <c r="AI145" i="16"/>
  <c r="AI146" i="16"/>
  <c r="AI147" i="16"/>
  <c r="AI148" i="16"/>
  <c r="AI149" i="16"/>
  <c r="AI150" i="16"/>
  <c r="AI151" i="16"/>
  <c r="AI152" i="16"/>
  <c r="AI153" i="16"/>
  <c r="AI154" i="16"/>
  <c r="AI155" i="16"/>
  <c r="AI156" i="16"/>
  <c r="AI157" i="16"/>
  <c r="AI158" i="16"/>
  <c r="AI159" i="16"/>
  <c r="AI160" i="16"/>
  <c r="AI161" i="16"/>
  <c r="AI162" i="16"/>
  <c r="AI163" i="16"/>
  <c r="AI164" i="16"/>
  <c r="AI165" i="16"/>
  <c r="AI166" i="16"/>
  <c r="AI167" i="16"/>
  <c r="AI168" i="16"/>
  <c r="AI169" i="16"/>
  <c r="AI170" i="16"/>
  <c r="AI171" i="16"/>
  <c r="AI172" i="16"/>
  <c r="AI173" i="16"/>
  <c r="AI174" i="16"/>
  <c r="AI175" i="16"/>
  <c r="AI176" i="16"/>
  <c r="AH3" i="16"/>
  <c r="AH4" i="16"/>
  <c r="AH5" i="16"/>
  <c r="AH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34" i="16"/>
  <c r="AH35" i="16"/>
  <c r="AH36" i="16"/>
  <c r="AH37" i="16"/>
  <c r="AH38" i="16"/>
  <c r="AH39" i="16"/>
  <c r="AH40" i="16"/>
  <c r="AH41" i="16"/>
  <c r="AH42" i="16"/>
  <c r="AH43" i="16"/>
  <c r="AH44" i="16"/>
  <c r="AH45" i="16"/>
  <c r="AH46" i="16"/>
  <c r="AH47" i="16"/>
  <c r="AH48" i="16"/>
  <c r="AH49" i="16"/>
  <c r="AH50" i="16"/>
  <c r="AH51" i="16"/>
  <c r="AH52" i="16"/>
  <c r="AH53" i="16"/>
  <c r="AH54" i="16"/>
  <c r="AH55" i="16"/>
  <c r="AH56" i="16"/>
  <c r="AH57" i="16"/>
  <c r="AH58" i="16"/>
  <c r="AH59" i="16"/>
  <c r="AH60" i="16"/>
  <c r="AH61" i="16"/>
  <c r="AH62" i="16"/>
  <c r="AH63" i="16"/>
  <c r="AH64" i="16"/>
  <c r="AH65" i="16"/>
  <c r="AH66" i="16"/>
  <c r="AH67" i="16"/>
  <c r="AH68" i="16"/>
  <c r="AH69" i="16"/>
  <c r="AH70" i="16"/>
  <c r="AH71" i="16"/>
  <c r="AH72" i="16"/>
  <c r="AH73" i="16"/>
  <c r="AH74" i="16"/>
  <c r="AH75" i="16"/>
  <c r="AH76" i="16"/>
  <c r="AH77" i="16"/>
  <c r="AH78" i="16"/>
  <c r="AH79" i="16"/>
  <c r="AH80" i="16"/>
  <c r="AH81" i="16"/>
  <c r="AH82" i="16"/>
  <c r="AH83" i="16"/>
  <c r="AH84" i="16"/>
  <c r="AH85" i="16"/>
  <c r="AH86" i="16"/>
  <c r="AH87" i="16"/>
  <c r="AH88" i="16"/>
  <c r="AH89" i="16"/>
  <c r="AH90" i="16"/>
  <c r="AH91" i="16"/>
  <c r="AH92" i="16"/>
  <c r="AH93" i="16"/>
  <c r="AH94" i="16"/>
  <c r="AH95" i="16"/>
  <c r="AH96" i="16"/>
  <c r="AH97" i="16"/>
  <c r="AH98" i="16"/>
  <c r="AH99" i="16"/>
  <c r="AH100" i="16"/>
  <c r="AH101" i="16"/>
  <c r="AH102" i="16"/>
  <c r="AH103" i="16"/>
  <c r="AH104" i="16"/>
  <c r="AH105" i="16"/>
  <c r="AH106" i="16"/>
  <c r="AH107" i="16"/>
  <c r="AH108" i="16"/>
  <c r="AH109" i="16"/>
  <c r="AH110" i="16"/>
  <c r="AH111" i="16"/>
  <c r="AH112" i="16"/>
  <c r="AH113" i="16"/>
  <c r="AH114" i="16"/>
  <c r="AH115" i="16"/>
  <c r="AH116" i="16"/>
  <c r="AH117" i="16"/>
  <c r="AH118" i="16"/>
  <c r="AH119" i="16"/>
  <c r="AH120" i="16"/>
  <c r="AH121" i="16"/>
  <c r="AH122" i="16"/>
  <c r="AH123" i="16"/>
  <c r="AH124" i="16"/>
  <c r="AH125" i="16"/>
  <c r="AH126" i="16"/>
  <c r="AH127" i="16"/>
  <c r="AH128" i="16"/>
  <c r="AH129" i="16"/>
  <c r="AH130" i="16"/>
  <c r="AH131" i="16"/>
  <c r="AH132" i="16"/>
  <c r="AH133" i="16"/>
  <c r="AH134" i="16"/>
  <c r="AH135" i="16"/>
  <c r="AH136" i="16"/>
  <c r="AH137" i="16"/>
  <c r="AH138" i="16"/>
  <c r="AH139" i="16"/>
  <c r="AH140" i="16"/>
  <c r="AH141" i="16"/>
  <c r="AH142" i="16"/>
  <c r="AH143" i="16"/>
  <c r="AH144" i="16"/>
  <c r="AH145" i="16"/>
  <c r="AH146" i="16"/>
  <c r="AH147" i="16"/>
  <c r="AH148" i="16"/>
  <c r="AH149" i="16"/>
  <c r="AH150" i="16"/>
  <c r="AH151" i="16"/>
  <c r="AH152" i="16"/>
  <c r="AH153" i="16"/>
  <c r="AH154" i="16"/>
  <c r="AH155" i="16"/>
  <c r="AH156" i="16"/>
  <c r="AH157" i="16"/>
  <c r="AH158" i="16"/>
  <c r="AH159" i="16"/>
  <c r="AH160" i="16"/>
  <c r="AH161" i="16"/>
  <c r="AH162" i="16"/>
  <c r="AH163" i="16"/>
  <c r="AH164" i="16"/>
  <c r="AH165" i="16"/>
  <c r="AH166" i="16"/>
  <c r="AH167" i="16"/>
  <c r="AH168" i="16"/>
  <c r="AH169" i="16"/>
  <c r="AH170" i="16"/>
  <c r="AH171" i="16"/>
  <c r="AH172" i="16"/>
  <c r="AH173" i="16"/>
  <c r="AH174" i="16"/>
  <c r="AH175" i="16"/>
  <c r="AH176" i="16"/>
  <c r="AG3" i="16"/>
  <c r="CE3" i="16" s="1"/>
  <c r="AG4" i="16"/>
  <c r="CE4" i="16" s="1"/>
  <c r="AG5" i="16"/>
  <c r="CE5" i="16" s="1"/>
  <c r="AG6" i="16"/>
  <c r="CE6" i="16" s="1"/>
  <c r="AG7" i="16"/>
  <c r="CE7" i="16" s="1"/>
  <c r="AG8" i="16"/>
  <c r="CE8" i="16" s="1"/>
  <c r="AG9" i="16"/>
  <c r="CE9" i="16" s="1"/>
  <c r="AG10" i="16"/>
  <c r="CE10" i="16" s="1"/>
  <c r="AG11" i="16"/>
  <c r="CE11" i="16" s="1"/>
  <c r="AG12" i="16"/>
  <c r="CE12" i="16" s="1"/>
  <c r="AG13" i="16"/>
  <c r="CE13" i="16" s="1"/>
  <c r="AG14" i="16"/>
  <c r="CE14" i="16" s="1"/>
  <c r="AG15" i="16"/>
  <c r="CE15" i="16" s="1"/>
  <c r="AG16" i="16"/>
  <c r="CE16" i="16" s="1"/>
  <c r="AG17" i="16"/>
  <c r="CE17" i="16" s="1"/>
  <c r="AG18" i="16"/>
  <c r="CE18" i="16" s="1"/>
  <c r="AG19" i="16"/>
  <c r="CE19" i="16" s="1"/>
  <c r="AG20" i="16"/>
  <c r="CE20" i="16" s="1"/>
  <c r="AG21" i="16"/>
  <c r="CE21" i="16" s="1"/>
  <c r="AG22" i="16"/>
  <c r="CE22" i="16" s="1"/>
  <c r="AG23" i="16"/>
  <c r="CE23" i="16" s="1"/>
  <c r="AG24" i="16"/>
  <c r="CE24" i="16" s="1"/>
  <c r="AG25" i="16"/>
  <c r="CE25" i="16" s="1"/>
  <c r="AG26" i="16"/>
  <c r="CE26" i="16" s="1"/>
  <c r="AG27" i="16"/>
  <c r="CE27" i="16" s="1"/>
  <c r="AG28" i="16"/>
  <c r="AG29" i="16"/>
  <c r="AG30" i="16"/>
  <c r="AG31" i="16"/>
  <c r="AG32" i="16"/>
  <c r="AG33" i="16"/>
  <c r="AG34" i="16"/>
  <c r="AG35" i="16"/>
  <c r="AG36" i="16"/>
  <c r="AG37" i="16"/>
  <c r="AG38" i="16"/>
  <c r="AG39" i="16"/>
  <c r="AG40" i="16"/>
  <c r="AG41" i="16"/>
  <c r="AG42" i="16"/>
  <c r="AG43" i="16"/>
  <c r="AG44" i="16"/>
  <c r="AG45" i="16"/>
  <c r="AG46" i="16"/>
  <c r="AG47" i="16"/>
  <c r="AG48" i="16"/>
  <c r="AG49" i="16"/>
  <c r="AG50" i="16"/>
  <c r="AG51" i="16"/>
  <c r="AG52" i="16"/>
  <c r="AG53" i="16"/>
  <c r="AG54" i="16"/>
  <c r="AG55" i="16"/>
  <c r="AG56" i="16"/>
  <c r="AG57" i="16"/>
  <c r="AG58" i="16"/>
  <c r="AG59" i="16"/>
  <c r="AG60" i="16"/>
  <c r="AG61" i="16"/>
  <c r="AG62" i="16"/>
  <c r="AG63" i="16"/>
  <c r="AG64" i="16"/>
  <c r="AG65" i="16"/>
  <c r="AG66" i="16"/>
  <c r="AG67" i="16"/>
  <c r="AG68" i="16"/>
  <c r="AG69" i="16"/>
  <c r="AG70" i="16"/>
  <c r="AG71" i="16"/>
  <c r="AG72" i="16"/>
  <c r="AG73" i="16"/>
  <c r="AG74" i="16"/>
  <c r="AG75" i="16"/>
  <c r="AG76" i="16"/>
  <c r="AG77" i="16"/>
  <c r="AG78" i="16"/>
  <c r="AG79" i="16"/>
  <c r="AG80" i="16"/>
  <c r="AG81" i="16"/>
  <c r="AG82" i="16"/>
  <c r="AG83" i="16"/>
  <c r="AG84" i="16"/>
  <c r="AG85" i="16"/>
  <c r="AG86" i="16"/>
  <c r="AG87" i="16"/>
  <c r="AG88" i="16"/>
  <c r="AG89" i="16"/>
  <c r="AG90" i="16"/>
  <c r="AG91" i="16"/>
  <c r="AG92" i="16"/>
  <c r="AG93" i="16"/>
  <c r="AG94" i="16"/>
  <c r="AG95" i="16"/>
  <c r="AG96" i="16"/>
  <c r="AG97" i="16"/>
  <c r="AG98" i="16"/>
  <c r="AG99" i="16"/>
  <c r="AG100" i="16"/>
  <c r="AG101" i="16"/>
  <c r="AG102" i="16"/>
  <c r="AG103" i="16"/>
  <c r="AG104" i="16"/>
  <c r="AG105" i="16"/>
  <c r="AG106" i="16"/>
  <c r="AG107" i="16"/>
  <c r="AG108" i="16"/>
  <c r="AG109" i="16"/>
  <c r="AG110" i="16"/>
  <c r="AG111" i="16"/>
  <c r="AG112" i="16"/>
  <c r="AG113" i="16"/>
  <c r="AG114" i="16"/>
  <c r="AG115" i="16"/>
  <c r="AG116" i="16"/>
  <c r="AG117" i="16"/>
  <c r="AG118" i="16"/>
  <c r="AG119" i="16"/>
  <c r="AG120" i="16"/>
  <c r="AG121" i="16"/>
  <c r="AG122" i="16"/>
  <c r="AG123" i="16"/>
  <c r="AG124" i="16"/>
  <c r="AG125" i="16"/>
  <c r="AG126" i="16"/>
  <c r="AG127" i="16"/>
  <c r="AG128" i="16"/>
  <c r="AG129" i="16"/>
  <c r="AG130" i="16"/>
  <c r="AG131" i="16"/>
  <c r="AG132" i="16"/>
  <c r="AG133" i="16"/>
  <c r="AG134" i="16"/>
  <c r="AG135" i="16"/>
  <c r="AG136" i="16"/>
  <c r="AG137" i="16"/>
  <c r="AG138" i="16"/>
  <c r="AG139" i="16"/>
  <c r="AG140" i="16"/>
  <c r="AG141" i="16"/>
  <c r="AG142" i="16"/>
  <c r="AG143" i="16"/>
  <c r="AG144" i="16"/>
  <c r="AG145" i="16"/>
  <c r="AG146" i="16"/>
  <c r="AG147" i="16"/>
  <c r="AG148" i="16"/>
  <c r="AG149" i="16"/>
  <c r="AG150" i="16"/>
  <c r="AG151" i="16"/>
  <c r="AG152" i="16"/>
  <c r="AG153" i="16"/>
  <c r="AG154" i="16"/>
  <c r="AG155" i="16"/>
  <c r="AG156" i="16"/>
  <c r="AG157" i="16"/>
  <c r="AG158" i="16"/>
  <c r="AG159" i="16"/>
  <c r="AG160" i="16"/>
  <c r="AG161" i="16"/>
  <c r="AG162" i="16"/>
  <c r="AG163" i="16"/>
  <c r="AG164" i="16"/>
  <c r="AG165" i="16"/>
  <c r="AG166" i="16"/>
  <c r="AG167" i="16"/>
  <c r="AG168" i="16"/>
  <c r="AG169" i="16"/>
  <c r="AG170" i="16"/>
  <c r="AG171" i="16"/>
  <c r="AG172" i="16"/>
  <c r="AG173" i="16"/>
  <c r="AG174" i="16"/>
  <c r="AG175" i="16"/>
  <c r="AG176" i="16"/>
  <c r="AF3" i="16"/>
  <c r="AF4" i="16"/>
  <c r="AF5" i="16"/>
  <c r="AF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56" i="16"/>
  <c r="AF57" i="16"/>
  <c r="AF58" i="16"/>
  <c r="AF59" i="16"/>
  <c r="AF60" i="16"/>
  <c r="AF61" i="16"/>
  <c r="AF62" i="16"/>
  <c r="AF63" i="16"/>
  <c r="AF64" i="16"/>
  <c r="AF65" i="16"/>
  <c r="AF66" i="16"/>
  <c r="AF67" i="16"/>
  <c r="AF68" i="16"/>
  <c r="AF69" i="16"/>
  <c r="AF70" i="16"/>
  <c r="AF71" i="16"/>
  <c r="AF72" i="16"/>
  <c r="AF73" i="16"/>
  <c r="AF74" i="16"/>
  <c r="AF75" i="16"/>
  <c r="AF76" i="16"/>
  <c r="AF77" i="16"/>
  <c r="AF78" i="16"/>
  <c r="AF79" i="16"/>
  <c r="AF80" i="16"/>
  <c r="AF81" i="16"/>
  <c r="AF82" i="16"/>
  <c r="AF83" i="16"/>
  <c r="AF84" i="16"/>
  <c r="AF85" i="16"/>
  <c r="AF86" i="16"/>
  <c r="AF87" i="16"/>
  <c r="AF88" i="16"/>
  <c r="AF89" i="16"/>
  <c r="AF90" i="16"/>
  <c r="AF91" i="16"/>
  <c r="AF92" i="16"/>
  <c r="AF93" i="16"/>
  <c r="AF94" i="16"/>
  <c r="AF95" i="16"/>
  <c r="AF96" i="16"/>
  <c r="AF97" i="16"/>
  <c r="AF98" i="16"/>
  <c r="AF99" i="16"/>
  <c r="AF100" i="16"/>
  <c r="AF101" i="16"/>
  <c r="AF102" i="16"/>
  <c r="AF103" i="16"/>
  <c r="AF104" i="16"/>
  <c r="AF105" i="16"/>
  <c r="AF106" i="16"/>
  <c r="AF107" i="16"/>
  <c r="AF108" i="16"/>
  <c r="AF109" i="16"/>
  <c r="AF110" i="16"/>
  <c r="AF111" i="16"/>
  <c r="AF112" i="16"/>
  <c r="AF113" i="16"/>
  <c r="AF114" i="16"/>
  <c r="AF115" i="16"/>
  <c r="AF116" i="16"/>
  <c r="AF117" i="16"/>
  <c r="AF118" i="16"/>
  <c r="AF119" i="16"/>
  <c r="AF120" i="16"/>
  <c r="AF121" i="16"/>
  <c r="AF122" i="16"/>
  <c r="AF123" i="16"/>
  <c r="AF124" i="16"/>
  <c r="AF125" i="16"/>
  <c r="AF126" i="16"/>
  <c r="AF127" i="16"/>
  <c r="AF128" i="16"/>
  <c r="AF129" i="16"/>
  <c r="AF130" i="16"/>
  <c r="AF131" i="16"/>
  <c r="AF132" i="16"/>
  <c r="AF133" i="16"/>
  <c r="AF134" i="16"/>
  <c r="AF135" i="16"/>
  <c r="AF136" i="16"/>
  <c r="AF137" i="16"/>
  <c r="AF138" i="16"/>
  <c r="AF139" i="16"/>
  <c r="AF140" i="16"/>
  <c r="AF141" i="16"/>
  <c r="AF142" i="16"/>
  <c r="AF143" i="16"/>
  <c r="AF144" i="16"/>
  <c r="AF145" i="16"/>
  <c r="AF146" i="16"/>
  <c r="AF147" i="16"/>
  <c r="AF148" i="16"/>
  <c r="AF149" i="16"/>
  <c r="AF150" i="16"/>
  <c r="AF151" i="16"/>
  <c r="AF152" i="16"/>
  <c r="AF153" i="16"/>
  <c r="AF154" i="16"/>
  <c r="AF155" i="16"/>
  <c r="AF156" i="16"/>
  <c r="AF157" i="16"/>
  <c r="AF158" i="16"/>
  <c r="AF159" i="16"/>
  <c r="AF160" i="16"/>
  <c r="AF161" i="16"/>
  <c r="AF162" i="16"/>
  <c r="AF163" i="16"/>
  <c r="AF164" i="16"/>
  <c r="AF165" i="16"/>
  <c r="AF166" i="16"/>
  <c r="AF167" i="16"/>
  <c r="AF168" i="16"/>
  <c r="AF169" i="16"/>
  <c r="AF170" i="16"/>
  <c r="AF171" i="16"/>
  <c r="AF172" i="16"/>
  <c r="AF173" i="16"/>
  <c r="AF174" i="16"/>
  <c r="AF175" i="16"/>
  <c r="AF176"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D3" i="16"/>
  <c r="AD4" i="16"/>
  <c r="AD5" i="16"/>
  <c r="AD6" i="16"/>
  <c r="AD7" i="16"/>
  <c r="AD8" i="16"/>
  <c r="AD9" i="16"/>
  <c r="AD10" i="16"/>
  <c r="AD11" i="16"/>
  <c r="AD12" i="16"/>
  <c r="AD13" i="16"/>
  <c r="AD14" i="16"/>
  <c r="AD15" i="16"/>
  <c r="AD16" i="16"/>
  <c r="AD17" i="16"/>
  <c r="AD18" i="16"/>
  <c r="AD19" i="16"/>
  <c r="AD20" i="16"/>
  <c r="AD21" i="16"/>
  <c r="AD22" i="16"/>
  <c r="AD23" i="16"/>
  <c r="AD24" i="16"/>
  <c r="AD25" i="16"/>
  <c r="AD26" i="16"/>
  <c r="AD27" i="16"/>
  <c r="AD28" i="16"/>
  <c r="AD29" i="16"/>
  <c r="AD30" i="16"/>
  <c r="AD31" i="16"/>
  <c r="AD32" i="16"/>
  <c r="AD33" i="16"/>
  <c r="AD34" i="16"/>
  <c r="AD35" i="16"/>
  <c r="AD36" i="16"/>
  <c r="AD37" i="16"/>
  <c r="AD38" i="16"/>
  <c r="AD39" i="16"/>
  <c r="AD40" i="16"/>
  <c r="AD41" i="16"/>
  <c r="AD42" i="16"/>
  <c r="AD43" i="16"/>
  <c r="AD44" i="16"/>
  <c r="AD45" i="16"/>
  <c r="AD46" i="16"/>
  <c r="AD47" i="16"/>
  <c r="AD48" i="16"/>
  <c r="AD49" i="16"/>
  <c r="AD50" i="16"/>
  <c r="AD51" i="16"/>
  <c r="AD52" i="16"/>
  <c r="AD53" i="16"/>
  <c r="AD54" i="16"/>
  <c r="AD55" i="16"/>
  <c r="AD56" i="16"/>
  <c r="AD57" i="16"/>
  <c r="AD58" i="16"/>
  <c r="AD59" i="16"/>
  <c r="AD60" i="16"/>
  <c r="AD61" i="16"/>
  <c r="AD62" i="16"/>
  <c r="AD63" i="16"/>
  <c r="AD64" i="16"/>
  <c r="AD65" i="16"/>
  <c r="AD66" i="16"/>
  <c r="AD67" i="16"/>
  <c r="AD68" i="16"/>
  <c r="AD69" i="16"/>
  <c r="AD70" i="16"/>
  <c r="AD71" i="16"/>
  <c r="AD72" i="16"/>
  <c r="AD73" i="16"/>
  <c r="AD74" i="16"/>
  <c r="AD75" i="16"/>
  <c r="AD76" i="16"/>
  <c r="AD77" i="16"/>
  <c r="AD78" i="16"/>
  <c r="AD79" i="16"/>
  <c r="AD80" i="16"/>
  <c r="AD81" i="16"/>
  <c r="AD82" i="16"/>
  <c r="AD83" i="16"/>
  <c r="AD84" i="16"/>
  <c r="AD85" i="16"/>
  <c r="AD86" i="16"/>
  <c r="AD87" i="16"/>
  <c r="AD88" i="16"/>
  <c r="AD89" i="16"/>
  <c r="AD90" i="16"/>
  <c r="AD91" i="16"/>
  <c r="AD92" i="16"/>
  <c r="AD93" i="16"/>
  <c r="AD94" i="16"/>
  <c r="AD95" i="16"/>
  <c r="AD96" i="16"/>
  <c r="AD97" i="16"/>
  <c r="AD98" i="16"/>
  <c r="AD99" i="16"/>
  <c r="AD100" i="16"/>
  <c r="AD101" i="16"/>
  <c r="AD102" i="16"/>
  <c r="AD103" i="16"/>
  <c r="AD104" i="16"/>
  <c r="AD105" i="16"/>
  <c r="AD106" i="16"/>
  <c r="AD107" i="16"/>
  <c r="AD108" i="16"/>
  <c r="AD109" i="16"/>
  <c r="AD110" i="16"/>
  <c r="AD111" i="16"/>
  <c r="AD112" i="16"/>
  <c r="AD113" i="16"/>
  <c r="AD114" i="16"/>
  <c r="AD115" i="16"/>
  <c r="AD116" i="16"/>
  <c r="AD117" i="16"/>
  <c r="AD118" i="16"/>
  <c r="AD119" i="16"/>
  <c r="AD120" i="16"/>
  <c r="AD121" i="16"/>
  <c r="AD122" i="16"/>
  <c r="AD123" i="16"/>
  <c r="AD124" i="16"/>
  <c r="AD125" i="16"/>
  <c r="AD126" i="16"/>
  <c r="AD127" i="16"/>
  <c r="AD128" i="16"/>
  <c r="AD129" i="16"/>
  <c r="AD130" i="16"/>
  <c r="AD131" i="16"/>
  <c r="AD132" i="16"/>
  <c r="AD133" i="16"/>
  <c r="AD134" i="16"/>
  <c r="AD135" i="16"/>
  <c r="AD136" i="16"/>
  <c r="AD137" i="16"/>
  <c r="AD138" i="16"/>
  <c r="AD139" i="16"/>
  <c r="AD140" i="16"/>
  <c r="AD141" i="16"/>
  <c r="AD142" i="16"/>
  <c r="AD143" i="16"/>
  <c r="AD144" i="16"/>
  <c r="AD145" i="16"/>
  <c r="AD146" i="16"/>
  <c r="AD147" i="16"/>
  <c r="AD148" i="16"/>
  <c r="AD149" i="16"/>
  <c r="AD150" i="16"/>
  <c r="AD151" i="16"/>
  <c r="AD152" i="16"/>
  <c r="AD153" i="16"/>
  <c r="AD154" i="16"/>
  <c r="AD155" i="16"/>
  <c r="AD156" i="16"/>
  <c r="AD157" i="16"/>
  <c r="AD158" i="16"/>
  <c r="AD159" i="16"/>
  <c r="AD160" i="16"/>
  <c r="AD161" i="16"/>
  <c r="AD162" i="16"/>
  <c r="AD163" i="16"/>
  <c r="AD164" i="16"/>
  <c r="AD165" i="16"/>
  <c r="AD166" i="16"/>
  <c r="AD167" i="16"/>
  <c r="AD168" i="16"/>
  <c r="AD169" i="16"/>
  <c r="AD170" i="16"/>
  <c r="AD171" i="16"/>
  <c r="AD172" i="16"/>
  <c r="AD173" i="16"/>
  <c r="AD174" i="16"/>
  <c r="AD175" i="16"/>
  <c r="AD176" i="16"/>
  <c r="AC3" i="16"/>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A3" i="16"/>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79" i="16"/>
  <c r="W80" i="16"/>
  <c r="W81" i="16"/>
  <c r="W82" i="16"/>
  <c r="W83" i="16"/>
  <c r="W84" i="16"/>
  <c r="W85" i="16"/>
  <c r="W86" i="16"/>
  <c r="W87" i="16"/>
  <c r="W88" i="16"/>
  <c r="W89" i="16"/>
  <c r="W90" i="16"/>
  <c r="W91" i="16"/>
  <c r="W92" i="16"/>
  <c r="W93" i="16"/>
  <c r="W94" i="16"/>
  <c r="W95" i="16"/>
  <c r="W96" i="16"/>
  <c r="W97" i="16"/>
  <c r="W98" i="16"/>
  <c r="W99" i="16"/>
  <c r="W100" i="16"/>
  <c r="W101" i="16"/>
  <c r="W102" i="16"/>
  <c r="W103"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W169" i="16"/>
  <c r="W170" i="16"/>
  <c r="W171" i="16"/>
  <c r="W172" i="16"/>
  <c r="W173" i="16"/>
  <c r="W174" i="16"/>
  <c r="W175" i="16"/>
  <c r="W176"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L3" i="16"/>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CB65" i="16" s="1"/>
  <c r="H66" i="16"/>
  <c r="CB66" i="16" s="1"/>
  <c r="H67" i="16"/>
  <c r="CB67" i="16" s="1"/>
  <c r="H68" i="16"/>
  <c r="CB68" i="16" s="1"/>
  <c r="H69" i="16"/>
  <c r="CB69" i="16" s="1"/>
  <c r="H70" i="16"/>
  <c r="CB70" i="16" s="1"/>
  <c r="H71" i="16"/>
  <c r="CB71" i="16" s="1"/>
  <c r="H72" i="16"/>
  <c r="CB72" i="16" s="1"/>
  <c r="H73" i="16"/>
  <c r="CB73" i="16" s="1"/>
  <c r="H74" i="16"/>
  <c r="CB74" i="16" s="1"/>
  <c r="H75" i="16"/>
  <c r="CB75" i="16" s="1"/>
  <c r="H76" i="16"/>
  <c r="CB76" i="16" s="1"/>
  <c r="H77" i="16"/>
  <c r="CB77" i="16" s="1"/>
  <c r="H78" i="16"/>
  <c r="CB78" i="16" s="1"/>
  <c r="H79" i="16"/>
  <c r="CB79" i="16" s="1"/>
  <c r="H80" i="16"/>
  <c r="CB80" i="16" s="1"/>
  <c r="H81" i="16"/>
  <c r="CB81" i="16" s="1"/>
  <c r="H82" i="16"/>
  <c r="CB82" i="16" s="1"/>
  <c r="H83" i="16"/>
  <c r="CB83" i="16" s="1"/>
  <c r="H84" i="16"/>
  <c r="CB84" i="16" s="1"/>
  <c r="H85" i="16"/>
  <c r="CB85" i="16" s="1"/>
  <c r="H86" i="16"/>
  <c r="CB86" i="16" s="1"/>
  <c r="H87" i="16"/>
  <c r="CB87" i="16" s="1"/>
  <c r="H88" i="16"/>
  <c r="CB88" i="16" s="1"/>
  <c r="H89" i="16"/>
  <c r="CB89" i="16" s="1"/>
  <c r="H90" i="16"/>
  <c r="CB90" i="16" s="1"/>
  <c r="H91" i="16"/>
  <c r="CB91" i="16" s="1"/>
  <c r="H92" i="16"/>
  <c r="CB92" i="16" s="1"/>
  <c r="H93" i="16"/>
  <c r="CB93" i="16" s="1"/>
  <c r="H94" i="16"/>
  <c r="CB94" i="16" s="1"/>
  <c r="H95" i="16"/>
  <c r="CB95" i="16" s="1"/>
  <c r="H96" i="16"/>
  <c r="CB96" i="16" s="1"/>
  <c r="H97" i="16"/>
  <c r="CB97" i="16" s="1"/>
  <c r="H98" i="16"/>
  <c r="CB98" i="16" s="1"/>
  <c r="H99" i="16"/>
  <c r="CB99" i="16" s="1"/>
  <c r="H100" i="16"/>
  <c r="CB100" i="16" s="1"/>
  <c r="H101" i="16"/>
  <c r="CB101" i="16" s="1"/>
  <c r="H102" i="16"/>
  <c r="CB102" i="16" s="1"/>
  <c r="H103" i="16"/>
  <c r="CB103" i="16" s="1"/>
  <c r="H104" i="16"/>
  <c r="CB104" i="16" s="1"/>
  <c r="H105" i="16"/>
  <c r="CB105" i="16" s="1"/>
  <c r="H106" i="16"/>
  <c r="CB106" i="16" s="1"/>
  <c r="H107" i="16"/>
  <c r="CB107" i="16" s="1"/>
  <c r="H108" i="16"/>
  <c r="CB108" i="16" s="1"/>
  <c r="H109" i="16"/>
  <c r="CB109" i="16" s="1"/>
  <c r="H110" i="16"/>
  <c r="CB110" i="16" s="1"/>
  <c r="H111" i="16"/>
  <c r="CB111" i="16" s="1"/>
  <c r="H112" i="16"/>
  <c r="CB112" i="16" s="1"/>
  <c r="H113" i="16"/>
  <c r="CB113" i="16" s="1"/>
  <c r="H114" i="16"/>
  <c r="CB114" i="16" s="1"/>
  <c r="H115" i="16"/>
  <c r="CB115" i="16" s="1"/>
  <c r="H116" i="16"/>
  <c r="CB116" i="16" s="1"/>
  <c r="H117" i="16"/>
  <c r="CB117" i="16" s="1"/>
  <c r="H118" i="16"/>
  <c r="CB118" i="16" s="1"/>
  <c r="H119" i="16"/>
  <c r="CB119" i="16" s="1"/>
  <c r="H120" i="16"/>
  <c r="CB120" i="16" s="1"/>
  <c r="H121" i="16"/>
  <c r="CB121" i="16" s="1"/>
  <c r="H122" i="16"/>
  <c r="CB122" i="16" s="1"/>
  <c r="H123" i="16"/>
  <c r="CB123" i="16" s="1"/>
  <c r="H124" i="16"/>
  <c r="CB124" i="16" s="1"/>
  <c r="H125" i="16"/>
  <c r="CB125" i="16" s="1"/>
  <c r="H126" i="16"/>
  <c r="CB126" i="16" s="1"/>
  <c r="H127" i="16"/>
  <c r="CB127" i="16" s="1"/>
  <c r="H128" i="16"/>
  <c r="CB128" i="16" s="1"/>
  <c r="H129" i="16"/>
  <c r="CB129" i="16" s="1"/>
  <c r="H130" i="16"/>
  <c r="CB130" i="16" s="1"/>
  <c r="H131" i="16"/>
  <c r="CB131" i="16" s="1"/>
  <c r="H132" i="16"/>
  <c r="CB132" i="16" s="1"/>
  <c r="H133" i="16"/>
  <c r="CB133" i="16" s="1"/>
  <c r="H134" i="16"/>
  <c r="CB134" i="16" s="1"/>
  <c r="H135" i="16"/>
  <c r="CB135" i="16" s="1"/>
  <c r="H136" i="16"/>
  <c r="CB136" i="16" s="1"/>
  <c r="H137" i="16"/>
  <c r="CB137" i="16" s="1"/>
  <c r="H138" i="16"/>
  <c r="CB138" i="16" s="1"/>
  <c r="H139" i="16"/>
  <c r="CB139" i="16" s="1"/>
  <c r="H140" i="16"/>
  <c r="CB140" i="16" s="1"/>
  <c r="H141" i="16"/>
  <c r="CB141" i="16" s="1"/>
  <c r="H142" i="16"/>
  <c r="CB142" i="16" s="1"/>
  <c r="H143" i="16"/>
  <c r="CB143" i="16" s="1"/>
  <c r="H144" i="16"/>
  <c r="CB144" i="16" s="1"/>
  <c r="H145" i="16"/>
  <c r="CB145" i="16" s="1"/>
  <c r="H146" i="16"/>
  <c r="CB146" i="16" s="1"/>
  <c r="H147" i="16"/>
  <c r="CB147" i="16" s="1"/>
  <c r="H148" i="16"/>
  <c r="CB148" i="16" s="1"/>
  <c r="H149" i="16"/>
  <c r="CB149" i="16" s="1"/>
  <c r="H150" i="16"/>
  <c r="CB150" i="16" s="1"/>
  <c r="H151" i="16"/>
  <c r="CB151" i="16" s="1"/>
  <c r="H152" i="16"/>
  <c r="CB152" i="16" s="1"/>
  <c r="H153" i="16"/>
  <c r="CB153" i="16" s="1"/>
  <c r="H154" i="16"/>
  <c r="CB154" i="16" s="1"/>
  <c r="H155" i="16"/>
  <c r="CB155" i="16" s="1"/>
  <c r="H156" i="16"/>
  <c r="CB156" i="16" s="1"/>
  <c r="H157" i="16"/>
  <c r="CB157" i="16" s="1"/>
  <c r="H158" i="16"/>
  <c r="CB158" i="16" s="1"/>
  <c r="H159" i="16"/>
  <c r="CB159" i="16" s="1"/>
  <c r="H160" i="16"/>
  <c r="CB160" i="16" s="1"/>
  <c r="H161" i="16"/>
  <c r="CB161" i="16" s="1"/>
  <c r="H162" i="16"/>
  <c r="CB162" i="16" s="1"/>
  <c r="H163" i="16"/>
  <c r="CB163" i="16" s="1"/>
  <c r="H164" i="16"/>
  <c r="CB164" i="16" s="1"/>
  <c r="H165" i="16"/>
  <c r="CB165" i="16" s="1"/>
  <c r="H166" i="16"/>
  <c r="CB166" i="16" s="1"/>
  <c r="H167" i="16"/>
  <c r="CB167" i="16" s="1"/>
  <c r="H168" i="16"/>
  <c r="CB168" i="16" s="1"/>
  <c r="H169" i="16"/>
  <c r="CB169" i="16" s="1"/>
  <c r="H170" i="16"/>
  <c r="CB170" i="16" s="1"/>
  <c r="H171" i="16"/>
  <c r="CB171" i="16" s="1"/>
  <c r="H172" i="16"/>
  <c r="CB172" i="16" s="1"/>
  <c r="H173" i="16"/>
  <c r="CB173" i="16" s="1"/>
  <c r="H174" i="16"/>
  <c r="CB174" i="16" s="1"/>
  <c r="H175" i="16"/>
  <c r="CB175" i="16" s="1"/>
  <c r="H176" i="16"/>
  <c r="CB176" i="16" s="1"/>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P175" i="6"/>
  <c r="P174" i="6"/>
  <c r="P173" i="6"/>
  <c r="P172" i="6"/>
  <c r="P171" i="6"/>
  <c r="P170" i="6"/>
  <c r="P169" i="6"/>
  <c r="P168" i="6"/>
  <c r="P167" i="6"/>
  <c r="P166" i="6"/>
  <c r="P165" i="6"/>
  <c r="L165" i="6"/>
  <c r="P164" i="6"/>
  <c r="L164" i="6"/>
  <c r="P163" i="6"/>
  <c r="L163" i="6"/>
  <c r="P162" i="6"/>
  <c r="L162" i="6"/>
  <c r="P161" i="6"/>
  <c r="L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AO175" i="5"/>
  <c r="AJ176" i="3" s="1"/>
  <c r="AO174" i="5"/>
  <c r="AJ175" i="3" s="1"/>
  <c r="AO173" i="5"/>
  <c r="AJ174" i="3" s="1"/>
  <c r="AO172" i="5"/>
  <c r="AJ173" i="3" s="1"/>
  <c r="AO171" i="5"/>
  <c r="AJ172" i="3" s="1"/>
  <c r="AO170" i="5"/>
  <c r="AJ171" i="3" s="1"/>
  <c r="AO169" i="5"/>
  <c r="AJ170" i="3" s="1"/>
  <c r="AO168" i="5"/>
  <c r="AJ169" i="3" s="1"/>
  <c r="AO167" i="5"/>
  <c r="AJ168" i="3" s="1"/>
  <c r="AO166" i="5"/>
  <c r="AJ167" i="3" s="1"/>
  <c r="AO165" i="5"/>
  <c r="AJ166" i="3" s="1"/>
  <c r="AO164" i="5"/>
  <c r="AJ165" i="3" s="1"/>
  <c r="AO163" i="5"/>
  <c r="AJ164" i="3" s="1"/>
  <c r="AO162" i="5"/>
  <c r="AJ163" i="3" s="1"/>
  <c r="AO161" i="5"/>
  <c r="AJ162" i="3" s="1"/>
  <c r="AO160" i="5"/>
  <c r="AJ161" i="3" s="1"/>
  <c r="AO159" i="5"/>
  <c r="AJ160" i="3" s="1"/>
  <c r="AO158" i="5"/>
  <c r="AJ159" i="3" s="1"/>
  <c r="AO157" i="5"/>
  <c r="AJ158" i="3" s="1"/>
  <c r="AO156" i="5"/>
  <c r="AJ157" i="3" s="1"/>
  <c r="AO155" i="5"/>
  <c r="AJ156" i="3" s="1"/>
  <c r="AO154" i="5"/>
  <c r="AJ155" i="3" s="1"/>
  <c r="AO153" i="5"/>
  <c r="AJ154" i="3" s="1"/>
  <c r="AO152" i="5"/>
  <c r="AJ153" i="3" s="1"/>
  <c r="AO151" i="5"/>
  <c r="AJ152" i="3" s="1"/>
  <c r="AO150" i="5"/>
  <c r="AJ151" i="3" s="1"/>
  <c r="AO149" i="5"/>
  <c r="AJ150" i="3" s="1"/>
  <c r="AO148" i="5"/>
  <c r="AJ149" i="3" s="1"/>
  <c r="AO147" i="5"/>
  <c r="AJ148" i="3" s="1"/>
  <c r="AO146" i="5"/>
  <c r="AJ147" i="3" s="1"/>
  <c r="AO145" i="5"/>
  <c r="AJ146" i="3" s="1"/>
  <c r="AO144" i="5"/>
  <c r="AJ145" i="3" s="1"/>
  <c r="AO143" i="5"/>
  <c r="AJ144" i="3" s="1"/>
  <c r="AO142" i="5"/>
  <c r="AJ143" i="3" s="1"/>
  <c r="AO141" i="5"/>
  <c r="AJ142" i="3" s="1"/>
  <c r="AO140" i="5"/>
  <c r="AJ141" i="3" s="1"/>
  <c r="AO139" i="5"/>
  <c r="AJ140" i="3" s="1"/>
  <c r="AO138" i="5"/>
  <c r="AJ139" i="3" s="1"/>
  <c r="AO137" i="5"/>
  <c r="AJ138" i="3" s="1"/>
  <c r="AO136" i="5"/>
  <c r="AJ137" i="3" s="1"/>
  <c r="AO135" i="5"/>
  <c r="AJ136" i="3" s="1"/>
  <c r="AO134" i="5"/>
  <c r="AJ135" i="3" s="1"/>
  <c r="AO133" i="5"/>
  <c r="AJ134" i="3" s="1"/>
  <c r="AO132" i="5"/>
  <c r="AJ133" i="3" s="1"/>
  <c r="AO131" i="5"/>
  <c r="AJ132" i="3" s="1"/>
  <c r="AO130" i="5"/>
  <c r="AJ131" i="3" s="1"/>
  <c r="AO129" i="5"/>
  <c r="AJ130" i="3" s="1"/>
  <c r="AO128" i="5"/>
  <c r="AJ129" i="3" s="1"/>
  <c r="AO127" i="5"/>
  <c r="AJ128" i="3" s="1"/>
  <c r="AO126" i="5"/>
  <c r="AJ127" i="3" s="1"/>
  <c r="AO125" i="5"/>
  <c r="AJ126" i="3" s="1"/>
  <c r="AO124" i="5"/>
  <c r="AJ125" i="3" s="1"/>
  <c r="AO123" i="5"/>
  <c r="AJ124" i="3" s="1"/>
  <c r="AO122" i="5"/>
  <c r="AJ123" i="3" s="1"/>
  <c r="AO121" i="5"/>
  <c r="AJ122" i="3" s="1"/>
  <c r="AO120" i="5"/>
  <c r="AJ121" i="3" s="1"/>
  <c r="AO119" i="5"/>
  <c r="AJ120" i="3" s="1"/>
  <c r="AO118" i="5"/>
  <c r="AJ119" i="3" s="1"/>
  <c r="AO117" i="5"/>
  <c r="AJ118" i="3" s="1"/>
  <c r="AO116" i="5"/>
  <c r="AJ117" i="3" s="1"/>
  <c r="AO115" i="5"/>
  <c r="AJ116" i="3" s="1"/>
  <c r="AO114" i="5"/>
  <c r="AJ115" i="3" s="1"/>
  <c r="AO113" i="5"/>
  <c r="AJ114" i="3" s="1"/>
  <c r="AO112" i="5"/>
  <c r="AJ113" i="3" s="1"/>
  <c r="AO111" i="5"/>
  <c r="AJ112" i="3" s="1"/>
  <c r="AO110" i="5"/>
  <c r="AJ111" i="3" s="1"/>
  <c r="AO109" i="5"/>
  <c r="AJ110" i="3" s="1"/>
  <c r="AO108" i="5"/>
  <c r="AJ109" i="3" s="1"/>
  <c r="AO107" i="5"/>
  <c r="AJ108" i="3" s="1"/>
  <c r="AO106" i="5"/>
  <c r="AJ107" i="3" s="1"/>
  <c r="AO105" i="5"/>
  <c r="AJ106" i="3" s="1"/>
  <c r="AO104" i="5"/>
  <c r="AJ105" i="3" s="1"/>
  <c r="AO103" i="5"/>
  <c r="AJ104" i="3" s="1"/>
  <c r="AO102" i="5"/>
  <c r="AJ103" i="3" s="1"/>
  <c r="AO101" i="5"/>
  <c r="AJ102" i="3" s="1"/>
  <c r="AO100" i="5"/>
  <c r="AJ101" i="3" s="1"/>
  <c r="AO99" i="5"/>
  <c r="AJ100" i="3" s="1"/>
  <c r="AO98" i="5"/>
  <c r="AJ99" i="3" s="1"/>
  <c r="AO97" i="5"/>
  <c r="AJ98" i="3" s="1"/>
  <c r="AO96" i="5"/>
  <c r="AJ97" i="3" s="1"/>
  <c r="AO95" i="5"/>
  <c r="AJ96" i="3" s="1"/>
  <c r="AO94" i="5"/>
  <c r="AJ95" i="3" s="1"/>
  <c r="AO93" i="5"/>
  <c r="AJ94" i="3" s="1"/>
  <c r="AO92" i="5"/>
  <c r="AJ93" i="3" s="1"/>
  <c r="AO91" i="5"/>
  <c r="AJ92" i="3" s="1"/>
  <c r="AO90" i="5"/>
  <c r="AJ91" i="3" s="1"/>
  <c r="AO89" i="5"/>
  <c r="AJ90" i="3" s="1"/>
  <c r="AO88" i="5"/>
  <c r="AJ89" i="3" s="1"/>
  <c r="AO87" i="5"/>
  <c r="AJ88" i="3" s="1"/>
  <c r="AO86" i="5"/>
  <c r="AJ87" i="3" s="1"/>
  <c r="AO85" i="5"/>
  <c r="AJ86" i="3" s="1"/>
  <c r="AO84" i="5"/>
  <c r="AJ85" i="3" s="1"/>
  <c r="AO83" i="5"/>
  <c r="AJ84" i="3" s="1"/>
  <c r="AO82" i="5"/>
  <c r="AJ83" i="3" s="1"/>
  <c r="AO81" i="5"/>
  <c r="AJ82" i="3" s="1"/>
  <c r="AO80" i="5"/>
  <c r="AJ81" i="3" s="1"/>
  <c r="AO79" i="5"/>
  <c r="AJ80" i="3" s="1"/>
  <c r="AO78" i="5"/>
  <c r="AJ79" i="3" s="1"/>
  <c r="AO77" i="5"/>
  <c r="AJ78" i="3" s="1"/>
  <c r="AO76" i="5"/>
  <c r="AJ77" i="3" s="1"/>
  <c r="AO75" i="5"/>
  <c r="AJ76" i="3" s="1"/>
  <c r="AO74" i="5"/>
  <c r="AJ75" i="3" s="1"/>
  <c r="AO73" i="5"/>
  <c r="AJ74" i="3" s="1"/>
  <c r="AO72" i="5"/>
  <c r="AJ73" i="3" s="1"/>
  <c r="AO71" i="5"/>
  <c r="AJ72" i="3" s="1"/>
  <c r="AO70" i="5"/>
  <c r="AJ71" i="3" s="1"/>
  <c r="AO69" i="5"/>
  <c r="AJ70" i="3" s="1"/>
  <c r="AO68" i="5"/>
  <c r="AJ69" i="3" s="1"/>
  <c r="AO67" i="5"/>
  <c r="AJ68" i="3" s="1"/>
  <c r="AO66" i="5"/>
  <c r="AJ67" i="3" s="1"/>
  <c r="AO65" i="5"/>
  <c r="AJ66" i="3" s="1"/>
  <c r="AO64" i="5"/>
  <c r="AJ65" i="3" s="1"/>
  <c r="AO63" i="5"/>
  <c r="AJ64" i="3" s="1"/>
  <c r="AO62" i="5"/>
  <c r="AJ63" i="3" s="1"/>
  <c r="AO61" i="5"/>
  <c r="AJ62" i="3" s="1"/>
  <c r="AO60" i="5"/>
  <c r="AJ61" i="3" s="1"/>
  <c r="AO59" i="5"/>
  <c r="AJ60" i="3" s="1"/>
  <c r="AO58" i="5"/>
  <c r="AJ59" i="3" s="1"/>
  <c r="AO57" i="5"/>
  <c r="AJ58" i="3" s="1"/>
  <c r="AO56" i="5"/>
  <c r="AJ57" i="3" s="1"/>
  <c r="AO55" i="5"/>
  <c r="AJ56" i="3" s="1"/>
  <c r="AO54" i="5"/>
  <c r="AJ55" i="3" s="1"/>
  <c r="AO53" i="5"/>
  <c r="AJ54" i="3" s="1"/>
  <c r="AO52" i="5"/>
  <c r="AJ53" i="3" s="1"/>
  <c r="AO51" i="5"/>
  <c r="AJ52" i="3" s="1"/>
  <c r="AO50" i="5"/>
  <c r="AJ51" i="3" s="1"/>
  <c r="AO49" i="5"/>
  <c r="AJ50" i="3" s="1"/>
  <c r="AO48" i="5"/>
  <c r="AJ49" i="3" s="1"/>
  <c r="AO47" i="5"/>
  <c r="AJ48" i="3" s="1"/>
  <c r="AO46" i="5"/>
  <c r="AJ47" i="3" s="1"/>
  <c r="AO45" i="5"/>
  <c r="AJ46" i="3" s="1"/>
  <c r="AO44" i="5"/>
  <c r="AJ45" i="3" s="1"/>
  <c r="AO43" i="5"/>
  <c r="AJ44" i="3" s="1"/>
  <c r="AO42" i="5"/>
  <c r="AJ43" i="3" s="1"/>
  <c r="AO41" i="5"/>
  <c r="AJ42" i="3" s="1"/>
  <c r="AO40" i="5"/>
  <c r="AJ41" i="3" s="1"/>
  <c r="AO39" i="5"/>
  <c r="AJ40" i="3" s="1"/>
  <c r="AO38" i="5"/>
  <c r="AJ39" i="3" s="1"/>
  <c r="AO37" i="5"/>
  <c r="AJ38" i="3" s="1"/>
  <c r="AO36" i="5"/>
  <c r="AJ37" i="3" s="1"/>
  <c r="AO35" i="5"/>
  <c r="AJ36" i="3" s="1"/>
  <c r="AO34" i="5"/>
  <c r="AJ35" i="3" s="1"/>
  <c r="AO33" i="5"/>
  <c r="AJ34" i="3" s="1"/>
  <c r="AO32" i="5"/>
  <c r="AJ33" i="3" s="1"/>
  <c r="AO31" i="5"/>
  <c r="AJ32" i="3" s="1"/>
  <c r="AO30" i="5"/>
  <c r="AJ31" i="3" s="1"/>
  <c r="AO29" i="5"/>
  <c r="AJ30" i="3" s="1"/>
  <c r="AO28" i="5"/>
  <c r="AJ29" i="3" s="1"/>
  <c r="AO27" i="5"/>
  <c r="AJ28" i="3" s="1"/>
  <c r="AO26" i="5"/>
  <c r="AJ27" i="3" s="1"/>
  <c r="AO25" i="5"/>
  <c r="AJ26" i="3" s="1"/>
  <c r="AO24" i="5"/>
  <c r="AJ25" i="3" s="1"/>
  <c r="AO23" i="5"/>
  <c r="AJ24" i="3" s="1"/>
  <c r="AO22" i="5"/>
  <c r="AJ23" i="3" s="1"/>
  <c r="AO21" i="5"/>
  <c r="AJ22" i="3" s="1"/>
  <c r="AO20" i="5"/>
  <c r="AJ21" i="3" s="1"/>
  <c r="AO19" i="5"/>
  <c r="AJ20" i="3" s="1"/>
  <c r="AO18" i="5"/>
  <c r="AJ19" i="3" s="1"/>
  <c r="AO17" i="5"/>
  <c r="AJ18" i="3" s="1"/>
  <c r="AO16" i="5"/>
  <c r="AJ17" i="3" s="1"/>
  <c r="AO15" i="5"/>
  <c r="AJ16" i="3" s="1"/>
  <c r="AO14" i="5"/>
  <c r="AJ15" i="3" s="1"/>
  <c r="AO13" i="5"/>
  <c r="AJ14" i="3" s="1"/>
  <c r="AO12" i="5"/>
  <c r="AJ13" i="3" s="1"/>
  <c r="AO11" i="5"/>
  <c r="AJ12" i="3" s="1"/>
  <c r="AO10" i="5"/>
  <c r="AJ11" i="3" s="1"/>
  <c r="AO9" i="5"/>
  <c r="AJ10" i="3" s="1"/>
  <c r="AO8" i="5"/>
  <c r="AJ9" i="3" s="1"/>
  <c r="AO7" i="5"/>
  <c r="AJ8" i="3" s="1"/>
  <c r="AO6" i="5"/>
  <c r="AJ7" i="3" s="1"/>
  <c r="AO5" i="5"/>
  <c r="AJ6" i="3" s="1"/>
  <c r="AO4" i="5"/>
  <c r="AJ5" i="3" s="1"/>
  <c r="AO3" i="5"/>
  <c r="AJ4" i="3" s="1"/>
  <c r="CJ102" i="16" l="1"/>
  <c r="CJ103" i="16"/>
  <c r="CJ104" i="16"/>
  <c r="CJ105" i="16"/>
  <c r="CJ106" i="16"/>
  <c r="CJ107" i="16"/>
  <c r="CJ108" i="16"/>
  <c r="CJ109" i="16"/>
  <c r="CJ110" i="16"/>
  <c r="CJ111" i="16"/>
  <c r="CJ112" i="16"/>
  <c r="CJ113" i="16"/>
  <c r="CJ114" i="16"/>
  <c r="CJ115" i="16"/>
  <c r="CJ116" i="16"/>
  <c r="CJ117" i="16"/>
  <c r="CJ118" i="16"/>
  <c r="CJ119" i="16"/>
  <c r="CJ120" i="16"/>
  <c r="CJ121" i="16"/>
  <c r="CJ122" i="16"/>
  <c r="CJ123" i="16"/>
  <c r="CJ124" i="16"/>
  <c r="CH76" i="16"/>
  <c r="CH77" i="16"/>
  <c r="CH78" i="16"/>
  <c r="CH79" i="16"/>
  <c r="CH80" i="16"/>
  <c r="CH81" i="16"/>
  <c r="CH82" i="16"/>
  <c r="CH83" i="16"/>
  <c r="CH84" i="16"/>
  <c r="CH85" i="16"/>
  <c r="CH86" i="16"/>
  <c r="CH87" i="16"/>
  <c r="CH88" i="16"/>
  <c r="CH89" i="16"/>
  <c r="CH90" i="16"/>
  <c r="CH91" i="16"/>
  <c r="CH92" i="16"/>
  <c r="CH93" i="16"/>
  <c r="CH94" i="16"/>
  <c r="CH95" i="16"/>
  <c r="CH96" i="16"/>
  <c r="CH97" i="16"/>
  <c r="CH98" i="16"/>
  <c r="CH99" i="16"/>
  <c r="CH100" i="16"/>
  <c r="CH101" i="16"/>
  <c r="CH102" i="16"/>
  <c r="CH103" i="16"/>
  <c r="CH104" i="16"/>
  <c r="CH105" i="16"/>
  <c r="CH107" i="16"/>
  <c r="CH108" i="16"/>
  <c r="CH109" i="16"/>
  <c r="CH110" i="16"/>
  <c r="CH111" i="16"/>
  <c r="CH112" i="16"/>
  <c r="CH113" i="16"/>
  <c r="CH114" i="16"/>
  <c r="CH115" i="16"/>
  <c r="CH116" i="16"/>
  <c r="CH117" i="16"/>
  <c r="CH118" i="16"/>
  <c r="CH119" i="16"/>
  <c r="CH120" i="16"/>
  <c r="CH121" i="16"/>
  <c r="CH122" i="16"/>
  <c r="CH123" i="16"/>
  <c r="CH124" i="16"/>
  <c r="CH125" i="16"/>
  <c r="CH126" i="16"/>
  <c r="CH127" i="16"/>
  <c r="CH128" i="16"/>
  <c r="CH129" i="16"/>
  <c r="CH130" i="16"/>
  <c r="CH131" i="16"/>
  <c r="CH132" i="16"/>
  <c r="CH133" i="16"/>
  <c r="CH134" i="16"/>
  <c r="CH135" i="16"/>
  <c r="CH136" i="16"/>
  <c r="CH137" i="16"/>
  <c r="CH138" i="16"/>
  <c r="CH139" i="16"/>
  <c r="CH140" i="16"/>
  <c r="CH141" i="16"/>
  <c r="CH142" i="16"/>
  <c r="CH143" i="16"/>
  <c r="CH144" i="16"/>
  <c r="CH145" i="16"/>
  <c r="CH146" i="16"/>
  <c r="CH147" i="16"/>
  <c r="CH148" i="16"/>
  <c r="CH149" i="16"/>
  <c r="CH150" i="16"/>
  <c r="CH151" i="16"/>
  <c r="CH152" i="16"/>
  <c r="CH153" i="16"/>
  <c r="CH154" i="16"/>
  <c r="CH155" i="16"/>
  <c r="CH156" i="16"/>
  <c r="CH157" i="16"/>
  <c r="CH158" i="16"/>
  <c r="CH159" i="16"/>
  <c r="CH160" i="16"/>
  <c r="CH161" i="16"/>
  <c r="CH162" i="16"/>
  <c r="CH163" i="16"/>
  <c r="CH164" i="16"/>
  <c r="CH165" i="16"/>
  <c r="CH166" i="16"/>
  <c r="CH167" i="16"/>
  <c r="CH168" i="16"/>
  <c r="CH169" i="16"/>
  <c r="CH170" i="16"/>
  <c r="CH171" i="16"/>
  <c r="CH172" i="16"/>
  <c r="CH173" i="16"/>
  <c r="CB3" i="16"/>
  <c r="E4" i="3" s="1"/>
  <c r="CB4" i="16"/>
  <c r="E5" i="3" s="1"/>
  <c r="CB5" i="16"/>
  <c r="E6" i="3" s="1"/>
  <c r="CB6" i="16"/>
  <c r="E7" i="3" s="1"/>
  <c r="CB7" i="16"/>
  <c r="E8" i="3" s="1"/>
  <c r="CB8" i="16"/>
  <c r="E9" i="3" s="1"/>
  <c r="CB9" i="16"/>
  <c r="E10" i="3" s="1"/>
  <c r="CB10" i="16"/>
  <c r="E11" i="3" s="1"/>
  <c r="CB11" i="16"/>
  <c r="E12" i="3" s="1"/>
  <c r="CB12" i="16"/>
  <c r="E13" i="3" s="1"/>
  <c r="CB13" i="16"/>
  <c r="E14" i="3" s="1"/>
  <c r="CB14" i="16"/>
  <c r="E15" i="3" s="1"/>
  <c r="CB15" i="16"/>
  <c r="E16" i="3" s="1"/>
  <c r="CB16" i="16"/>
  <c r="E17" i="3" s="1"/>
  <c r="CB17" i="16"/>
  <c r="E18" i="3" s="1"/>
  <c r="CB18" i="16"/>
  <c r="E19" i="3" s="1"/>
  <c r="CB19" i="16"/>
  <c r="E20" i="3" s="1"/>
  <c r="CB20" i="16"/>
  <c r="E21" i="3" s="1"/>
  <c r="CB21" i="16"/>
  <c r="E22" i="3" s="1"/>
  <c r="CB22" i="16"/>
  <c r="E23" i="3" s="1"/>
  <c r="CB23" i="16"/>
  <c r="E24" i="3" s="1"/>
  <c r="CB24" i="16"/>
  <c r="E25" i="3" s="1"/>
  <c r="CB25" i="16"/>
  <c r="E26" i="3" s="1"/>
  <c r="CB26" i="16"/>
  <c r="E27" i="3" s="1"/>
  <c r="CB27" i="16"/>
  <c r="E28" i="3" s="1"/>
  <c r="CB28" i="16"/>
  <c r="E29" i="3" s="1"/>
  <c r="CB29" i="16"/>
  <c r="E30" i="3" s="1"/>
  <c r="CB30" i="16"/>
  <c r="E31" i="3" s="1"/>
  <c r="CB31" i="16"/>
  <c r="E32" i="3" s="1"/>
  <c r="CB32" i="16"/>
  <c r="E33" i="3" s="1"/>
  <c r="CB33" i="16"/>
  <c r="E34" i="3" s="1"/>
  <c r="CB34" i="16"/>
  <c r="E35" i="3" s="1"/>
  <c r="CB35" i="16"/>
  <c r="E36" i="3" s="1"/>
  <c r="CB36" i="16"/>
  <c r="E37" i="3" s="1"/>
  <c r="CB37" i="16"/>
  <c r="E38" i="3" s="1"/>
  <c r="CB38" i="16"/>
  <c r="E39" i="3" s="1"/>
  <c r="CB39" i="16"/>
  <c r="E40" i="3" s="1"/>
  <c r="CB40" i="16"/>
  <c r="E41" i="3" s="1"/>
  <c r="CB41" i="16"/>
  <c r="E42" i="3" s="1"/>
  <c r="CB42" i="16"/>
  <c r="E43" i="3" s="1"/>
  <c r="CB43" i="16"/>
  <c r="E44" i="3" s="1"/>
  <c r="CB44" i="16"/>
  <c r="E45" i="3" s="1"/>
  <c r="CB45" i="16"/>
  <c r="E46" i="3" s="1"/>
  <c r="CB46" i="16"/>
  <c r="E47" i="3" s="1"/>
  <c r="CB47" i="16"/>
  <c r="E48" i="3" s="1"/>
  <c r="CB48" i="16"/>
  <c r="E49" i="3" s="1"/>
  <c r="CB49" i="16"/>
  <c r="E50" i="3" s="1"/>
  <c r="CB50" i="16"/>
  <c r="E51" i="3" s="1"/>
  <c r="CB51" i="16"/>
  <c r="E52" i="3" s="1"/>
  <c r="CB52" i="16"/>
  <c r="E53" i="3" s="1"/>
  <c r="CB53" i="16"/>
  <c r="E54" i="3" s="1"/>
  <c r="CB54" i="16"/>
  <c r="E55" i="3" s="1"/>
  <c r="CB55" i="16"/>
  <c r="E56" i="3" s="1"/>
  <c r="CB56" i="16"/>
  <c r="E57" i="3" s="1"/>
  <c r="CB57" i="16"/>
  <c r="E58" i="3" s="1"/>
  <c r="CB58" i="16"/>
  <c r="E59" i="3" s="1"/>
  <c r="CB59" i="16"/>
  <c r="E60" i="3" s="1"/>
  <c r="CB60" i="16"/>
  <c r="E61" i="3" s="1"/>
  <c r="CB61" i="16"/>
  <c r="E62" i="3" s="1"/>
  <c r="CB62" i="16"/>
  <c r="E63" i="3" s="1"/>
  <c r="CB63" i="16"/>
  <c r="E64" i="3" s="1"/>
  <c r="CB64" i="16"/>
  <c r="E65" i="3" s="1"/>
  <c r="O136" i="3"/>
  <c r="CI3" i="16"/>
  <c r="L4" i="3" s="1"/>
  <c r="CI4" i="16"/>
  <c r="L5" i="3" s="1"/>
  <c r="CI5" i="16"/>
  <c r="L6" i="3" s="1"/>
  <c r="CI6" i="16"/>
  <c r="L7" i="3" s="1"/>
  <c r="CI7" i="16"/>
  <c r="L8" i="3" s="1"/>
  <c r="CI8" i="16"/>
  <c r="L9" i="3" s="1"/>
  <c r="CI9" i="16"/>
  <c r="L10" i="3" s="1"/>
  <c r="CI10" i="16"/>
  <c r="L11" i="3" s="1"/>
  <c r="CI11" i="16"/>
  <c r="L12" i="3" s="1"/>
  <c r="CI12" i="16"/>
  <c r="L13" i="3" s="1"/>
  <c r="CI13" i="16"/>
  <c r="L14" i="3" s="1"/>
  <c r="CI14" i="16"/>
  <c r="L15" i="3" s="1"/>
  <c r="CI15" i="16"/>
  <c r="L16" i="3" s="1"/>
  <c r="CI16" i="16"/>
  <c r="L17" i="3" s="1"/>
  <c r="CI17" i="16"/>
  <c r="L18" i="3" s="1"/>
  <c r="CI18" i="16"/>
  <c r="L19" i="3" s="1"/>
  <c r="CI19" i="16"/>
  <c r="L20" i="3" s="1"/>
  <c r="CI20" i="16"/>
  <c r="L21" i="3" s="1"/>
  <c r="CI21" i="16"/>
  <c r="L22" i="3" s="1"/>
  <c r="CI22" i="16"/>
  <c r="L23" i="3" s="1"/>
  <c r="CI23" i="16"/>
  <c r="L24" i="3" s="1"/>
  <c r="CI24" i="16"/>
  <c r="L25" i="3" s="1"/>
  <c r="CI25" i="16"/>
  <c r="L26" i="3" s="1"/>
  <c r="CI26" i="16"/>
  <c r="L27" i="3" s="1"/>
  <c r="CI27" i="16"/>
  <c r="L28" i="3" s="1"/>
  <c r="CI28" i="16"/>
  <c r="L29" i="3" s="1"/>
  <c r="CI29" i="16"/>
  <c r="L30" i="3" s="1"/>
  <c r="CI30" i="16"/>
  <c r="L31" i="3" s="1"/>
  <c r="CI31" i="16"/>
  <c r="L32" i="3" s="1"/>
  <c r="CI32" i="16"/>
  <c r="L33" i="3" s="1"/>
  <c r="CI33" i="16"/>
  <c r="L34" i="3" s="1"/>
  <c r="CI34" i="16"/>
  <c r="L35" i="3" s="1"/>
  <c r="CI35" i="16"/>
  <c r="L36" i="3" s="1"/>
  <c r="CI36" i="16"/>
  <c r="L37" i="3" s="1"/>
  <c r="CI37" i="16"/>
  <c r="L38" i="3" s="1"/>
  <c r="CI38" i="16"/>
  <c r="L39" i="3" s="1"/>
  <c r="CI39" i="16"/>
  <c r="L40" i="3" s="1"/>
  <c r="CI40" i="16"/>
  <c r="L41" i="3" s="1"/>
  <c r="CI41" i="16"/>
  <c r="L42" i="3" s="1"/>
  <c r="CI42" i="16"/>
  <c r="L43" i="3" s="1"/>
  <c r="CI43" i="16"/>
  <c r="L44" i="3" s="1"/>
  <c r="CI44" i="16"/>
  <c r="L45" i="3" s="1"/>
  <c r="CI45" i="16"/>
  <c r="L46" i="3" s="1"/>
  <c r="CI46" i="16"/>
  <c r="L47" i="3" s="1"/>
  <c r="CI47" i="16"/>
  <c r="L48" i="3" s="1"/>
  <c r="CI48" i="16"/>
  <c r="L49" i="3" s="1"/>
  <c r="CI49" i="16"/>
  <c r="L50" i="3" s="1"/>
  <c r="CI50" i="16"/>
  <c r="L51" i="3" s="1"/>
  <c r="CI51" i="16"/>
  <c r="L52" i="3" s="1"/>
  <c r="CI52" i="16"/>
  <c r="L53" i="3" s="1"/>
  <c r="CH106" i="16"/>
  <c r="K107" i="3" s="1"/>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G17" i="3"/>
  <c r="AG31" i="3"/>
  <c r="AG34" i="3"/>
  <c r="AG36" i="3"/>
  <c r="AG38" i="3"/>
  <c r="AG40" i="3"/>
  <c r="AG42" i="3"/>
  <c r="AG44" i="3"/>
  <c r="AG46" i="3"/>
  <c r="AG48" i="3"/>
  <c r="AG50" i="3"/>
  <c r="AG53" i="3"/>
  <c r="AG54" i="3"/>
  <c r="AG56" i="3"/>
  <c r="AG58" i="3"/>
  <c r="AG60" i="3"/>
  <c r="AG62" i="3"/>
  <c r="AG63" i="3"/>
  <c r="AG65" i="3"/>
  <c r="AG67" i="3"/>
  <c r="AG68" i="3"/>
  <c r="AG70" i="3"/>
  <c r="AG72" i="3"/>
  <c r="AG74" i="3"/>
  <c r="AG76" i="3"/>
  <c r="AG78" i="3"/>
  <c r="AG80" i="3"/>
  <c r="AG82" i="3"/>
  <c r="AG84" i="3"/>
  <c r="AG86" i="3"/>
  <c r="AG88" i="3"/>
  <c r="AG91" i="3"/>
  <c r="AG93" i="3"/>
  <c r="AG95" i="3"/>
  <c r="AG97" i="3"/>
  <c r="AG99" i="3"/>
  <c r="AG101" i="3"/>
  <c r="AG103" i="3"/>
  <c r="AG105" i="3"/>
  <c r="AG107" i="3"/>
  <c r="AG109" i="3"/>
  <c r="AG111" i="3"/>
  <c r="AG113" i="3"/>
  <c r="AG115" i="3"/>
  <c r="AG117" i="3"/>
  <c r="AG119" i="3"/>
  <c r="AG121" i="3"/>
  <c r="AG123" i="3"/>
  <c r="AG125" i="3"/>
  <c r="AG127" i="3"/>
  <c r="AG129" i="3"/>
  <c r="AG131" i="3"/>
  <c r="AG133" i="3"/>
  <c r="AG135" i="3"/>
  <c r="AG137" i="3"/>
  <c r="AG139" i="3"/>
  <c r="AG141" i="3"/>
  <c r="AG143" i="3"/>
  <c r="AG145" i="3"/>
  <c r="AG147" i="3"/>
  <c r="AG148" i="3"/>
  <c r="AG150" i="3"/>
  <c r="AG152" i="3"/>
  <c r="AG154" i="3"/>
  <c r="AG155" i="3"/>
  <c r="AG156" i="3"/>
  <c r="AG157" i="3"/>
  <c r="AG158" i="3"/>
  <c r="AG159" i="3"/>
  <c r="AG160" i="3"/>
  <c r="AG161" i="3"/>
  <c r="AG162" i="3"/>
  <c r="AG163" i="3"/>
  <c r="AG164" i="3"/>
  <c r="AG165" i="3"/>
  <c r="AG166" i="3"/>
  <c r="AG167" i="3"/>
  <c r="AG168" i="3"/>
  <c r="AG169" i="3"/>
  <c r="AG171" i="3"/>
  <c r="AG173" i="3"/>
  <c r="AG174" i="3"/>
  <c r="AG176" i="3"/>
  <c r="AG5" i="3"/>
  <c r="AG6" i="3"/>
  <c r="AG7" i="3"/>
  <c r="AG8" i="3"/>
  <c r="AG9" i="3"/>
  <c r="AG10" i="3"/>
  <c r="AG11" i="3"/>
  <c r="AG12" i="3"/>
  <c r="AG13" i="3"/>
  <c r="AG14" i="3"/>
  <c r="AG15" i="3"/>
  <c r="AG16" i="3"/>
  <c r="AG18" i="3"/>
  <c r="AG19" i="3"/>
  <c r="AG20" i="3"/>
  <c r="AG21" i="3"/>
  <c r="AG22" i="3"/>
  <c r="AG23" i="3"/>
  <c r="AG24" i="3"/>
  <c r="AG25" i="3"/>
  <c r="AG26" i="3"/>
  <c r="AG27" i="3"/>
  <c r="AG28" i="3"/>
  <c r="AG29" i="3"/>
  <c r="AG30" i="3"/>
  <c r="AG32" i="3"/>
  <c r="AG33" i="3"/>
  <c r="AG35" i="3"/>
  <c r="AG37" i="3"/>
  <c r="AG39" i="3"/>
  <c r="AG41" i="3"/>
  <c r="AG43" i="3"/>
  <c r="AG45" i="3"/>
  <c r="AG47" i="3"/>
  <c r="AG49" i="3"/>
  <c r="AG51" i="3"/>
  <c r="AG52" i="3"/>
  <c r="AG55" i="3"/>
  <c r="AG57" i="3"/>
  <c r="AG59" i="3"/>
  <c r="AG61" i="3"/>
  <c r="AG64" i="3"/>
  <c r="AG66" i="3"/>
  <c r="AG69" i="3"/>
  <c r="AG71" i="3"/>
  <c r="AG73" i="3"/>
  <c r="AG75" i="3"/>
  <c r="AG77" i="3"/>
  <c r="AG79" i="3"/>
  <c r="AG81" i="3"/>
  <c r="AG83" i="3"/>
  <c r="AG85" i="3"/>
  <c r="AG87" i="3"/>
  <c r="AG89" i="3"/>
  <c r="AG90" i="3"/>
  <c r="AG92" i="3"/>
  <c r="AG94" i="3"/>
  <c r="AG96" i="3"/>
  <c r="AG98" i="3"/>
  <c r="AG100" i="3"/>
  <c r="AG102" i="3"/>
  <c r="AG104" i="3"/>
  <c r="AG106" i="3"/>
  <c r="AG108" i="3"/>
  <c r="AG110" i="3"/>
  <c r="AG112" i="3"/>
  <c r="AG114" i="3"/>
  <c r="AG116" i="3"/>
  <c r="AG118" i="3"/>
  <c r="AG120" i="3"/>
  <c r="AG122" i="3"/>
  <c r="AG124" i="3"/>
  <c r="AG126" i="3"/>
  <c r="AG128" i="3"/>
  <c r="AG130" i="3"/>
  <c r="AG132" i="3"/>
  <c r="AG134" i="3"/>
  <c r="AG136" i="3"/>
  <c r="AG138" i="3"/>
  <c r="AG140" i="3"/>
  <c r="AG142" i="3"/>
  <c r="AG144" i="3"/>
  <c r="AG146" i="3"/>
  <c r="AG149" i="3"/>
  <c r="AG151" i="3"/>
  <c r="AG153" i="3"/>
  <c r="AG170" i="3"/>
  <c r="AG172" i="3"/>
  <c r="AG175" i="3"/>
  <c r="AG177" i="3"/>
  <c r="AF39" i="3"/>
  <c r="AF52" i="3"/>
  <c r="AF56" i="3"/>
  <c r="AF58" i="3"/>
  <c r="AF60" i="3"/>
  <c r="AF63" i="3"/>
  <c r="AF65" i="3"/>
  <c r="AF67" i="3"/>
  <c r="AF69" i="3"/>
  <c r="AF71" i="3"/>
  <c r="AF73" i="3"/>
  <c r="AF75" i="3"/>
  <c r="AF77" i="3"/>
  <c r="AF79" i="3"/>
  <c r="AF81" i="3"/>
  <c r="AF83" i="3"/>
  <c r="AF85" i="3"/>
  <c r="AF87" i="3"/>
  <c r="AF89" i="3"/>
  <c r="AF91" i="3"/>
  <c r="AF93" i="3"/>
  <c r="AF95" i="3"/>
  <c r="AF97" i="3"/>
  <c r="AF99" i="3"/>
  <c r="AF101" i="3"/>
  <c r="AF103" i="3"/>
  <c r="AF105" i="3"/>
  <c r="AF107" i="3"/>
  <c r="AF109" i="3"/>
  <c r="AF111" i="3"/>
  <c r="AF113" i="3"/>
  <c r="AF115" i="3"/>
  <c r="AF117" i="3"/>
  <c r="AF119" i="3"/>
  <c r="AF121" i="3"/>
  <c r="AF123" i="3"/>
  <c r="AF125" i="3"/>
  <c r="AF127" i="3"/>
  <c r="AF129" i="3"/>
  <c r="AF130" i="3"/>
  <c r="AF131" i="3"/>
  <c r="AF132" i="3"/>
  <c r="AF133" i="3"/>
  <c r="AF134" i="3"/>
  <c r="AF135" i="3"/>
  <c r="AF136" i="3"/>
  <c r="AF137" i="3"/>
  <c r="AF138" i="3"/>
  <c r="AF139" i="3"/>
  <c r="AF140" i="3"/>
  <c r="AF141" i="3"/>
  <c r="AF142" i="3"/>
  <c r="AF143" i="3"/>
  <c r="AF144" i="3"/>
  <c r="AF145" i="3"/>
  <c r="AF146" i="3"/>
  <c r="AF148" i="3"/>
  <c r="AF150"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40" i="3"/>
  <c r="AF41" i="3"/>
  <c r="AF42" i="3"/>
  <c r="AF43" i="3"/>
  <c r="AF44" i="3"/>
  <c r="AF45" i="3"/>
  <c r="AF46" i="3"/>
  <c r="AF47" i="3"/>
  <c r="AF48" i="3"/>
  <c r="AF49" i="3"/>
  <c r="AF50" i="3"/>
  <c r="AF51" i="3"/>
  <c r="AF53" i="3"/>
  <c r="AF54" i="3"/>
  <c r="AF55" i="3"/>
  <c r="AF57" i="3"/>
  <c r="AF59" i="3"/>
  <c r="AF61" i="3"/>
  <c r="AF62" i="3"/>
  <c r="AF64" i="3"/>
  <c r="AF66" i="3"/>
  <c r="AF68" i="3"/>
  <c r="AF70" i="3"/>
  <c r="AF72" i="3"/>
  <c r="AF74" i="3"/>
  <c r="AF76" i="3"/>
  <c r="AF78" i="3"/>
  <c r="AF80" i="3"/>
  <c r="AF82" i="3"/>
  <c r="AF84" i="3"/>
  <c r="AF86" i="3"/>
  <c r="AF88" i="3"/>
  <c r="AF90" i="3"/>
  <c r="AF92" i="3"/>
  <c r="AF94" i="3"/>
  <c r="AF96" i="3"/>
  <c r="AF98" i="3"/>
  <c r="AF100" i="3"/>
  <c r="AF102" i="3"/>
  <c r="AF104" i="3"/>
  <c r="AF106" i="3"/>
  <c r="AF108" i="3"/>
  <c r="AF110" i="3"/>
  <c r="AF112" i="3"/>
  <c r="AF114" i="3"/>
  <c r="AF116" i="3"/>
  <c r="AF118" i="3"/>
  <c r="AF120" i="3"/>
  <c r="AF122" i="3"/>
  <c r="AF124" i="3"/>
  <c r="AF126" i="3"/>
  <c r="AF128" i="3"/>
  <c r="AF147" i="3"/>
  <c r="AF149" i="3"/>
  <c r="AF151" i="3"/>
  <c r="AE176" i="3"/>
  <c r="AE175" i="3"/>
  <c r="AE174" i="3"/>
  <c r="AE173" i="3"/>
  <c r="AE171" i="3"/>
  <c r="AE170" i="3"/>
  <c r="AE169" i="3"/>
  <c r="AE168" i="3"/>
  <c r="AE167" i="3"/>
  <c r="AE165" i="3"/>
  <c r="AE164" i="3"/>
  <c r="AE163" i="3"/>
  <c r="AE162" i="3"/>
  <c r="AE161" i="3"/>
  <c r="AE160" i="3"/>
  <c r="AE158" i="3"/>
  <c r="AE154" i="3"/>
  <c r="AE153" i="3"/>
  <c r="AE152" i="3"/>
  <c r="CJ67" i="16"/>
  <c r="M68" i="3" s="1"/>
  <c r="CJ125" i="16"/>
  <c r="M126" i="3" s="1"/>
  <c r="CJ126" i="16"/>
  <c r="M127" i="3" s="1"/>
  <c r="CJ127" i="16"/>
  <c r="M128" i="3" s="1"/>
  <c r="CJ128" i="16"/>
  <c r="M129" i="3" s="1"/>
  <c r="CJ129" i="16"/>
  <c r="M130" i="3" s="1"/>
  <c r="CJ130" i="16"/>
  <c r="M131" i="3" s="1"/>
  <c r="CJ131" i="16"/>
  <c r="M132" i="3" s="1"/>
  <c r="CJ132" i="16"/>
  <c r="M133" i="3" s="1"/>
  <c r="CJ133" i="16"/>
  <c r="M134" i="3" s="1"/>
  <c r="CJ134" i="16"/>
  <c r="M135" i="3" s="1"/>
  <c r="CJ135" i="16"/>
  <c r="M136" i="3" s="1"/>
  <c r="CJ136" i="16"/>
  <c r="M137" i="3" s="1"/>
  <c r="CJ137" i="16"/>
  <c r="M138" i="3" s="1"/>
  <c r="CJ138" i="16"/>
  <c r="M139" i="3" s="1"/>
  <c r="CJ139" i="16"/>
  <c r="M140" i="3" s="1"/>
  <c r="CH50" i="16"/>
  <c r="K51" i="3" s="1"/>
  <c r="CH51" i="16"/>
  <c r="K52" i="3" s="1"/>
  <c r="CH52" i="16"/>
  <c r="K53" i="3" s="1"/>
  <c r="CH53" i="16"/>
  <c r="K54" i="3" s="1"/>
  <c r="CH54" i="16"/>
  <c r="K55" i="3" s="1"/>
  <c r="CH55" i="16"/>
  <c r="K56" i="3" s="1"/>
  <c r="CH56" i="16"/>
  <c r="K57" i="3" s="1"/>
  <c r="CH57" i="16"/>
  <c r="K58" i="3" s="1"/>
  <c r="CH58" i="16"/>
  <c r="K59" i="3" s="1"/>
  <c r="CH59" i="16"/>
  <c r="K60" i="3" s="1"/>
  <c r="CH60" i="16"/>
  <c r="K61" i="3" s="1"/>
  <c r="CH61" i="16"/>
  <c r="K62" i="3" s="1"/>
  <c r="CH62" i="16"/>
  <c r="K63" i="3" s="1"/>
  <c r="CH63" i="16"/>
  <c r="K64" i="3" s="1"/>
  <c r="CH64" i="16"/>
  <c r="K65" i="3" s="1"/>
  <c r="CH65" i="16"/>
  <c r="K66" i="3" s="1"/>
  <c r="CH66" i="16"/>
  <c r="K67" i="3" s="1"/>
  <c r="CH67" i="16"/>
  <c r="K68" i="3" s="1"/>
  <c r="CH68" i="16"/>
  <c r="K69" i="3" s="1"/>
  <c r="CH69" i="16"/>
  <c r="K70" i="3" s="1"/>
  <c r="CH70" i="16"/>
  <c r="K71" i="3" s="1"/>
  <c r="CH71" i="16"/>
  <c r="K72" i="3" s="1"/>
  <c r="CH72" i="16"/>
  <c r="K73" i="3" s="1"/>
  <c r="CH73" i="16"/>
  <c r="K74" i="3" s="1"/>
  <c r="CH74" i="16"/>
  <c r="K75" i="3" s="1"/>
  <c r="CH75" i="16"/>
  <c r="K76" i="3" s="1"/>
  <c r="CF3" i="16"/>
  <c r="CF4" i="16"/>
  <c r="CF5" i="16"/>
  <c r="CF6" i="16"/>
  <c r="CF7" i="16"/>
  <c r="CF8" i="16"/>
  <c r="CF9" i="16"/>
  <c r="CF10" i="16"/>
  <c r="CF11" i="16"/>
  <c r="CF12" i="16"/>
  <c r="CF13" i="16"/>
  <c r="CF14" i="16"/>
  <c r="CF15" i="16"/>
  <c r="CF16" i="16"/>
  <c r="CF17" i="16"/>
  <c r="CF18" i="16"/>
  <c r="CF19" i="16"/>
  <c r="CF20" i="16"/>
  <c r="CF21" i="16"/>
  <c r="CF22" i="16"/>
  <c r="CF23" i="16"/>
  <c r="CF24" i="16"/>
  <c r="CF25" i="16"/>
  <c r="CF26" i="16"/>
  <c r="CF27" i="16"/>
  <c r="CF28" i="16"/>
  <c r="CF29" i="16"/>
  <c r="CF30" i="16"/>
  <c r="CF31" i="16"/>
  <c r="CF33" i="16"/>
  <c r="CF34" i="16"/>
  <c r="CF35" i="16"/>
  <c r="CF36" i="16"/>
  <c r="CF37" i="16"/>
  <c r="CF38" i="16"/>
  <c r="CF39" i="16"/>
  <c r="CF40" i="16"/>
  <c r="CF41" i="16"/>
  <c r="CF42" i="16"/>
  <c r="CF43" i="16"/>
  <c r="CF44" i="16"/>
  <c r="CF45" i="16"/>
  <c r="CF46" i="16"/>
  <c r="CF47" i="16"/>
  <c r="CF48" i="16"/>
  <c r="CF49" i="16"/>
  <c r="CF50" i="16"/>
  <c r="CF51" i="16"/>
  <c r="CF52" i="16"/>
  <c r="CF53" i="16"/>
  <c r="CF54" i="16"/>
  <c r="CF55" i="16"/>
  <c r="CF56" i="16"/>
  <c r="CF57" i="16"/>
  <c r="CF58" i="16"/>
  <c r="CF59" i="16"/>
  <c r="CF60" i="16"/>
  <c r="CF61" i="16"/>
  <c r="CF62" i="16"/>
  <c r="CF63" i="16"/>
  <c r="CF64" i="16"/>
  <c r="CF65" i="16"/>
  <c r="CF66" i="16"/>
  <c r="CF67" i="16"/>
  <c r="CF68" i="16"/>
  <c r="CF69" i="16"/>
  <c r="CF70" i="16"/>
  <c r="CF71" i="16"/>
  <c r="CF72" i="16"/>
  <c r="CF73" i="16"/>
  <c r="CF74" i="16"/>
  <c r="CF75" i="16"/>
  <c r="CF76" i="16"/>
  <c r="CF77" i="16"/>
  <c r="CF78" i="16"/>
  <c r="CF79" i="16"/>
  <c r="CF80" i="16"/>
  <c r="CF81" i="16"/>
  <c r="CF82" i="16"/>
  <c r="CF83" i="16"/>
  <c r="CF84" i="16"/>
  <c r="CF85" i="16"/>
  <c r="CF86" i="16"/>
  <c r="CF87" i="16"/>
  <c r="CF88" i="16"/>
  <c r="CF89" i="16"/>
  <c r="CF90" i="16"/>
  <c r="CF91" i="16"/>
  <c r="CF92" i="16"/>
  <c r="CF93" i="16"/>
  <c r="CF94" i="16"/>
  <c r="CF95" i="16"/>
  <c r="CF96" i="16"/>
  <c r="CF97" i="16"/>
  <c r="CF98" i="16"/>
  <c r="CF99" i="16"/>
  <c r="CF100" i="16"/>
  <c r="CF101" i="16"/>
  <c r="CF102" i="16"/>
  <c r="CF103" i="16"/>
  <c r="CF104" i="16"/>
  <c r="CF105" i="16"/>
  <c r="CF106" i="16"/>
  <c r="CF107" i="16"/>
  <c r="CF108" i="16"/>
  <c r="CF109" i="16"/>
  <c r="CF110" i="16"/>
  <c r="CF111" i="16"/>
  <c r="CF112" i="16"/>
  <c r="CF113" i="16"/>
  <c r="CF114" i="16"/>
  <c r="CF115" i="16"/>
  <c r="CF116" i="16"/>
  <c r="CF117" i="16"/>
  <c r="CF118" i="16"/>
  <c r="CF119" i="16"/>
  <c r="CF120" i="16"/>
  <c r="CF121" i="16"/>
  <c r="CF122" i="16"/>
  <c r="CF123" i="16"/>
  <c r="CF124" i="16"/>
  <c r="CF125" i="16"/>
  <c r="CF126" i="16"/>
  <c r="CF127" i="16"/>
  <c r="CF128" i="16"/>
  <c r="CF129" i="16"/>
  <c r="CF130" i="16"/>
  <c r="CF131" i="16"/>
  <c r="CF132" i="16"/>
  <c r="CF133" i="16"/>
  <c r="CF134" i="16"/>
  <c r="CF135" i="16"/>
  <c r="CF136" i="16"/>
  <c r="CF137" i="16"/>
  <c r="CF138" i="16"/>
  <c r="CF139" i="16"/>
  <c r="CF140" i="16"/>
  <c r="CF141" i="16"/>
  <c r="CF142" i="16"/>
  <c r="CF143" i="16"/>
  <c r="CF144" i="16"/>
  <c r="CF145" i="16"/>
  <c r="CF146" i="16"/>
  <c r="CF147" i="16"/>
  <c r="CF148" i="16"/>
  <c r="CF149" i="16"/>
  <c r="CF150" i="16"/>
  <c r="CF151" i="16"/>
  <c r="CF152" i="16"/>
  <c r="CF153" i="16"/>
  <c r="CF154" i="16"/>
  <c r="CF155" i="16"/>
  <c r="CF156" i="16"/>
  <c r="CF157" i="16"/>
  <c r="CF158" i="16"/>
  <c r="CF159" i="16"/>
  <c r="CE28" i="16"/>
  <c r="H29" i="3" s="1"/>
  <c r="CE29" i="16"/>
  <c r="H30" i="3" s="1"/>
  <c r="CE30" i="16"/>
  <c r="H31" i="3" s="1"/>
  <c r="CE31" i="16"/>
  <c r="H32" i="3" s="1"/>
  <c r="CE32" i="16"/>
  <c r="H33" i="3" s="1"/>
  <c r="CE33" i="16"/>
  <c r="H34" i="3" s="1"/>
  <c r="CE34" i="16"/>
  <c r="H35" i="3" s="1"/>
  <c r="CE35" i="16"/>
  <c r="H36" i="3" s="1"/>
  <c r="CE36" i="16"/>
  <c r="H37" i="3" s="1"/>
  <c r="CE37" i="16"/>
  <c r="H38" i="3" s="1"/>
  <c r="CE38" i="16"/>
  <c r="H39" i="3" s="1"/>
  <c r="CE39" i="16"/>
  <c r="H40" i="3" s="1"/>
  <c r="CE40" i="16"/>
  <c r="H41" i="3" s="1"/>
  <c r="CE41" i="16"/>
  <c r="H42" i="3" s="1"/>
  <c r="CE42" i="16"/>
  <c r="H43" i="3" s="1"/>
  <c r="CE43" i="16"/>
  <c r="H44" i="3" s="1"/>
  <c r="CE44" i="16"/>
  <c r="H45" i="3" s="1"/>
  <c r="CE45" i="16"/>
  <c r="H46" i="3" s="1"/>
  <c r="CE46" i="16"/>
  <c r="H47" i="3" s="1"/>
  <c r="CE47" i="16"/>
  <c r="H48" i="3" s="1"/>
  <c r="CE48" i="16"/>
  <c r="H49" i="3" s="1"/>
  <c r="CE49" i="16"/>
  <c r="H50" i="3" s="1"/>
  <c r="CE50" i="16"/>
  <c r="H51" i="3" s="1"/>
  <c r="CE51" i="16"/>
  <c r="H52" i="3" s="1"/>
  <c r="CE52" i="16"/>
  <c r="H53" i="3" s="1"/>
  <c r="CE53" i="16"/>
  <c r="H54" i="3" s="1"/>
  <c r="CE54" i="16"/>
  <c r="H55" i="3" s="1"/>
  <c r="CE55" i="16"/>
  <c r="H56" i="3" s="1"/>
  <c r="CE56" i="16"/>
  <c r="H57" i="3" s="1"/>
  <c r="CE57" i="16"/>
  <c r="H58" i="3" s="1"/>
  <c r="CE58" i="16"/>
  <c r="H59" i="3" s="1"/>
  <c r="CE59" i="16"/>
  <c r="H60" i="3" s="1"/>
  <c r="CE60" i="16"/>
  <c r="H61" i="3" s="1"/>
  <c r="E13" i="7" s="1"/>
  <c r="CE61" i="16"/>
  <c r="H62" i="3" s="1"/>
  <c r="CE62" i="16"/>
  <c r="H63" i="3" s="1"/>
  <c r="CE63" i="16"/>
  <c r="H64" i="3" s="1"/>
  <c r="CE64" i="16"/>
  <c r="H65" i="3" s="1"/>
  <c r="CE65" i="16"/>
  <c r="H66" i="3" s="1"/>
  <c r="CE66" i="16"/>
  <c r="H67" i="3" s="1"/>
  <c r="CE67" i="16"/>
  <c r="H68" i="3" s="1"/>
  <c r="CE68" i="16"/>
  <c r="H69" i="3" s="1"/>
  <c r="CE69" i="16"/>
  <c r="H70" i="3" s="1"/>
  <c r="CE70" i="16"/>
  <c r="H71" i="3" s="1"/>
  <c r="CE71" i="16"/>
  <c r="H72" i="3" s="1"/>
  <c r="CE72" i="16"/>
  <c r="H73" i="3" s="1"/>
  <c r="CE73" i="16"/>
  <c r="H74" i="3" s="1"/>
  <c r="CE74" i="16"/>
  <c r="H75" i="3" s="1"/>
  <c r="CE75" i="16"/>
  <c r="H76" i="3" s="1"/>
  <c r="CE76" i="16"/>
  <c r="H77" i="3" s="1"/>
  <c r="CE77" i="16"/>
  <c r="H78" i="3" s="1"/>
  <c r="CE78" i="16"/>
  <c r="H79" i="3" s="1"/>
  <c r="CE79" i="16"/>
  <c r="H80" i="3" s="1"/>
  <c r="CE80" i="16"/>
  <c r="H81" i="3" s="1"/>
  <c r="CE81" i="16"/>
  <c r="H82" i="3" s="1"/>
  <c r="CE82" i="16"/>
  <c r="H83" i="3" s="1"/>
  <c r="CE83" i="16"/>
  <c r="H84" i="3" s="1"/>
  <c r="CE84" i="16"/>
  <c r="H85" i="3" s="1"/>
  <c r="CE85" i="16"/>
  <c r="H86" i="3" s="1"/>
  <c r="CE86" i="16"/>
  <c r="H87" i="3" s="1"/>
  <c r="CE87" i="16"/>
  <c r="H88" i="3" s="1"/>
  <c r="CE88" i="16"/>
  <c r="H89" i="3" s="1"/>
  <c r="CE89" i="16"/>
  <c r="H90" i="3" s="1"/>
  <c r="CE90" i="16"/>
  <c r="H91" i="3" s="1"/>
  <c r="CE91" i="16"/>
  <c r="H92" i="3" s="1"/>
  <c r="CE92" i="16"/>
  <c r="H93" i="3" s="1"/>
  <c r="CE93" i="16"/>
  <c r="H94" i="3" s="1"/>
  <c r="CE94" i="16"/>
  <c r="H95" i="3" s="1"/>
  <c r="CE95" i="16"/>
  <c r="H96" i="3" s="1"/>
  <c r="CE96" i="16"/>
  <c r="H97" i="3" s="1"/>
  <c r="CE97" i="16"/>
  <c r="H98" i="3" s="1"/>
  <c r="CE98" i="16"/>
  <c r="H99" i="3" s="1"/>
  <c r="CE99" i="16"/>
  <c r="H100" i="3" s="1"/>
  <c r="CE100" i="16"/>
  <c r="H101" i="3" s="1"/>
  <c r="CE101" i="16"/>
  <c r="H102" i="3" s="1"/>
  <c r="CE102" i="16"/>
  <c r="H103" i="3" s="1"/>
  <c r="CE103" i="16"/>
  <c r="H104" i="3" s="1"/>
  <c r="CE104" i="16"/>
  <c r="H105" i="3" s="1"/>
  <c r="CE105" i="16"/>
  <c r="H106" i="3" s="1"/>
  <c r="CE106" i="16"/>
  <c r="H107" i="3" s="1"/>
  <c r="CE107" i="16"/>
  <c r="H108" i="3" s="1"/>
  <c r="CE108" i="16"/>
  <c r="H109" i="3" s="1"/>
  <c r="CE109" i="16"/>
  <c r="H110" i="3" s="1"/>
  <c r="CE110" i="16"/>
  <c r="H111" i="3" s="1"/>
  <c r="CE111" i="16"/>
  <c r="H112" i="3" s="1"/>
  <c r="CE112" i="16"/>
  <c r="H113" i="3" s="1"/>
  <c r="CE113" i="16"/>
  <c r="H114" i="3" s="1"/>
  <c r="CE114" i="16"/>
  <c r="H115" i="3" s="1"/>
  <c r="CE115" i="16"/>
  <c r="H116" i="3" s="1"/>
  <c r="CE116" i="16"/>
  <c r="H117" i="3" s="1"/>
  <c r="CE117" i="16"/>
  <c r="H118" i="3" s="1"/>
  <c r="CE118" i="16"/>
  <c r="H119" i="3" s="1"/>
  <c r="CE119" i="16"/>
  <c r="H120" i="3" s="1"/>
  <c r="CE120" i="16"/>
  <c r="H121" i="3" s="1"/>
  <c r="CE121" i="16"/>
  <c r="H122" i="3" s="1"/>
  <c r="CE122" i="16"/>
  <c r="H123" i="3" s="1"/>
  <c r="CE123" i="16"/>
  <c r="H124" i="3" s="1"/>
  <c r="CE124" i="16"/>
  <c r="H125" i="3" s="1"/>
  <c r="CE125" i="16"/>
  <c r="H126" i="3" s="1"/>
  <c r="CE126" i="16"/>
  <c r="H127" i="3" s="1"/>
  <c r="CE127" i="16"/>
  <c r="H128" i="3" s="1"/>
  <c r="CE128" i="16"/>
  <c r="H129" i="3" s="1"/>
  <c r="CE129" i="16"/>
  <c r="H130" i="3" s="1"/>
  <c r="CE130" i="16"/>
  <c r="H131" i="3" s="1"/>
  <c r="CE131" i="16"/>
  <c r="H132" i="3" s="1"/>
  <c r="CE132" i="16"/>
  <c r="H133" i="3" s="1"/>
  <c r="CE133" i="16"/>
  <c r="H134" i="3" s="1"/>
  <c r="CE134" i="16"/>
  <c r="H135" i="3" s="1"/>
  <c r="CE135" i="16"/>
  <c r="H136" i="3" s="1"/>
  <c r="CE136" i="16"/>
  <c r="H137" i="3" s="1"/>
  <c r="CE137" i="16"/>
  <c r="H138" i="3" s="1"/>
  <c r="CE138" i="16"/>
  <c r="H139" i="3" s="1"/>
  <c r="CE139" i="16"/>
  <c r="H140" i="3" s="1"/>
  <c r="CE140" i="16"/>
  <c r="H141" i="3" s="1"/>
  <c r="CE141" i="16"/>
  <c r="H142" i="3" s="1"/>
  <c r="CE142" i="16"/>
  <c r="H143" i="3" s="1"/>
  <c r="CE143" i="16"/>
  <c r="H144" i="3" s="1"/>
  <c r="CE144" i="16"/>
  <c r="H145" i="3" s="1"/>
  <c r="CE145" i="16"/>
  <c r="H146" i="3" s="1"/>
  <c r="CE146" i="16"/>
  <c r="H147" i="3" s="1"/>
  <c r="CE147" i="16"/>
  <c r="H148" i="3" s="1"/>
  <c r="CE148" i="16"/>
  <c r="H149" i="3" s="1"/>
  <c r="CE149" i="16"/>
  <c r="H150" i="3" s="1"/>
  <c r="CE150" i="16"/>
  <c r="H151" i="3" s="1"/>
  <c r="CE151" i="16"/>
  <c r="H152" i="3" s="1"/>
  <c r="CE152" i="16"/>
  <c r="H153" i="3" s="1"/>
  <c r="CE153" i="16"/>
  <c r="H154" i="3" s="1"/>
  <c r="CE154" i="16"/>
  <c r="H155" i="3" s="1"/>
  <c r="CE155" i="16"/>
  <c r="H156" i="3" s="1"/>
  <c r="CE156" i="16"/>
  <c r="H157" i="3" s="1"/>
  <c r="CE157" i="16"/>
  <c r="H158" i="3" s="1"/>
  <c r="CE158" i="16"/>
  <c r="H159" i="3" s="1"/>
  <c r="CE159" i="16"/>
  <c r="H160" i="3" s="1"/>
  <c r="CE160" i="16"/>
  <c r="H161" i="3" s="1"/>
  <c r="CE161" i="16"/>
  <c r="H162" i="3" s="1"/>
  <c r="CE162" i="16"/>
  <c r="H163" i="3" s="1"/>
  <c r="CE163" i="16"/>
  <c r="H164" i="3" s="1"/>
  <c r="CE164" i="16"/>
  <c r="H165" i="3" s="1"/>
  <c r="CE165" i="16"/>
  <c r="H166" i="3" s="1"/>
  <c r="CE166" i="16"/>
  <c r="H167" i="3" s="1"/>
  <c r="CE167" i="16"/>
  <c r="H168" i="3" s="1"/>
  <c r="CE168" i="16"/>
  <c r="H169" i="3" s="1"/>
  <c r="CE169" i="16"/>
  <c r="H170" i="3" s="1"/>
  <c r="CE170" i="16"/>
  <c r="H171" i="3" s="1"/>
  <c r="CE171" i="16"/>
  <c r="H172" i="3" s="1"/>
  <c r="CE172" i="16"/>
  <c r="H173" i="3" s="1"/>
  <c r="CE173" i="16"/>
  <c r="H174" i="3" s="1"/>
  <c r="CE174" i="16"/>
  <c r="H175" i="3" s="1"/>
  <c r="CE175" i="16"/>
  <c r="H176" i="3" s="1"/>
  <c r="CE176" i="16"/>
  <c r="H177" i="3" s="1"/>
  <c r="CC3" i="16"/>
  <c r="CC4" i="16"/>
  <c r="CC5" i="16"/>
  <c r="CC6" i="16"/>
  <c r="CC7" i="16"/>
  <c r="CC8" i="16"/>
  <c r="CC9" i="16"/>
  <c r="CC10" i="16"/>
  <c r="CC11" i="16"/>
  <c r="CC12" i="16"/>
  <c r="CC13" i="16"/>
  <c r="CC14" i="16"/>
  <c r="CC15" i="16"/>
  <c r="CC16" i="16"/>
  <c r="CC17" i="16"/>
  <c r="CC18" i="16"/>
  <c r="CC19" i="16"/>
  <c r="CC20" i="16"/>
  <c r="CC21" i="16"/>
  <c r="CC22" i="16"/>
  <c r="CC23" i="16"/>
  <c r="CC24" i="16"/>
  <c r="CC25" i="16"/>
  <c r="CC26" i="16"/>
  <c r="CC27" i="16"/>
  <c r="CC28" i="16"/>
  <c r="CC29" i="16"/>
  <c r="CC30" i="16"/>
  <c r="CC31" i="16"/>
  <c r="CC32" i="16"/>
  <c r="CC33" i="16"/>
  <c r="CC34" i="16"/>
  <c r="CC35" i="16"/>
  <c r="CC36" i="16"/>
  <c r="CC37" i="16"/>
  <c r="CC38" i="16"/>
  <c r="CC39" i="16"/>
  <c r="CC40" i="16"/>
  <c r="CC41" i="16"/>
  <c r="CC43" i="16"/>
  <c r="CC44" i="16"/>
  <c r="CC45" i="16"/>
  <c r="CC46" i="16"/>
  <c r="CC47" i="16"/>
  <c r="CC48" i="16"/>
  <c r="CC49" i="16"/>
  <c r="CC50" i="16"/>
  <c r="CC51" i="16"/>
  <c r="CC52" i="16"/>
  <c r="CC53" i="16"/>
  <c r="CC54" i="16"/>
  <c r="CC55" i="16"/>
  <c r="CC56" i="16"/>
  <c r="CC57" i="16"/>
  <c r="CC58" i="16"/>
  <c r="CC59" i="16"/>
  <c r="CC60" i="16"/>
  <c r="CC61" i="16"/>
  <c r="CC62" i="16"/>
  <c r="CC63" i="16"/>
  <c r="CC64" i="16"/>
  <c r="CC65" i="16"/>
  <c r="CC66" i="16"/>
  <c r="CC67" i="16"/>
  <c r="CC68" i="16"/>
  <c r="CC69" i="16"/>
  <c r="CC70" i="16"/>
  <c r="CC71" i="16"/>
  <c r="CC72" i="16"/>
  <c r="CC73" i="16"/>
  <c r="CC74" i="16"/>
  <c r="CC75" i="16"/>
  <c r="CC76" i="16"/>
  <c r="CC77" i="16"/>
  <c r="CC78" i="16"/>
  <c r="CC79" i="16"/>
  <c r="CC80" i="16"/>
  <c r="CC81" i="16"/>
  <c r="CC82" i="16"/>
  <c r="CC83" i="16"/>
  <c r="CC84" i="16"/>
  <c r="CC85" i="16"/>
  <c r="CC86" i="16"/>
  <c r="CC87" i="16"/>
  <c r="CC88" i="16"/>
  <c r="CC89" i="16"/>
  <c r="CC90" i="16"/>
  <c r="CC91" i="16"/>
  <c r="CC92" i="16"/>
  <c r="CC93" i="16"/>
  <c r="CC94" i="16"/>
  <c r="CC95" i="16"/>
  <c r="CC96" i="16"/>
  <c r="CC97" i="16"/>
  <c r="CC98" i="16"/>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4" i="3"/>
  <c r="CI121" i="16"/>
  <c r="L122" i="3" s="1"/>
  <c r="CJ140" i="16"/>
  <c r="M141" i="3" s="1"/>
  <c r="CJ141" i="16"/>
  <c r="M142" i="3" s="1"/>
  <c r="CJ142" i="16"/>
  <c r="M143" i="3" s="1"/>
  <c r="CJ143" i="16"/>
  <c r="M144" i="3" s="1"/>
  <c r="CJ144" i="16"/>
  <c r="M145" i="3" s="1"/>
  <c r="CJ145" i="16"/>
  <c r="M146" i="3" s="1"/>
  <c r="CJ146" i="16"/>
  <c r="M147" i="3" s="1"/>
  <c r="CJ147" i="16"/>
  <c r="M148" i="3" s="1"/>
  <c r="CJ148" i="16"/>
  <c r="M149" i="3" s="1"/>
  <c r="CJ149" i="16"/>
  <c r="M150" i="3" s="1"/>
  <c r="CJ150" i="16"/>
  <c r="M151" i="3" s="1"/>
  <c r="CJ151" i="16"/>
  <c r="M152" i="3" s="1"/>
  <c r="CJ152" i="16"/>
  <c r="M153" i="3" s="1"/>
  <c r="CJ153" i="16"/>
  <c r="M154" i="3" s="1"/>
  <c r="CJ154" i="16"/>
  <c r="M155" i="3" s="1"/>
  <c r="CJ155" i="16"/>
  <c r="M156" i="3" s="1"/>
  <c r="CJ156" i="16"/>
  <c r="M157" i="3" s="1"/>
  <c r="CJ157" i="16"/>
  <c r="M158" i="3" s="1"/>
  <c r="CJ158" i="16"/>
  <c r="M159" i="3" s="1"/>
  <c r="CJ159" i="16"/>
  <c r="M160" i="3" s="1"/>
  <c r="CJ160" i="16"/>
  <c r="M161" i="3" s="1"/>
  <c r="CJ161" i="16"/>
  <c r="M162" i="3" s="1"/>
  <c r="CJ162" i="16"/>
  <c r="M163" i="3" s="1"/>
  <c r="CJ163" i="16"/>
  <c r="M164" i="3" s="1"/>
  <c r="CJ164" i="16"/>
  <c r="M165" i="3" s="1"/>
  <c r="CJ165" i="16"/>
  <c r="M166" i="3" s="1"/>
  <c r="CJ166" i="16"/>
  <c r="M167" i="3" s="1"/>
  <c r="CJ167" i="16"/>
  <c r="M168" i="3" s="1"/>
  <c r="CJ168" i="16"/>
  <c r="M169" i="3" s="1"/>
  <c r="CJ169" i="16"/>
  <c r="M170" i="3" s="1"/>
  <c r="CJ170" i="16"/>
  <c r="M171" i="3" s="1"/>
  <c r="CJ171" i="16"/>
  <c r="M172" i="3" s="1"/>
  <c r="CJ172" i="16"/>
  <c r="M173" i="3" s="1"/>
  <c r="CJ173" i="16"/>
  <c r="M174" i="3" s="1"/>
  <c r="CJ174" i="16"/>
  <c r="M175" i="3" s="1"/>
  <c r="CJ175" i="16"/>
  <c r="M176" i="3" s="1"/>
  <c r="CJ176" i="16"/>
  <c r="M177" i="3" s="1"/>
  <c r="CH3" i="16"/>
  <c r="K4" i="3" s="1"/>
  <c r="CH4" i="16"/>
  <c r="K5" i="3" s="1"/>
  <c r="CH5" i="16"/>
  <c r="K6" i="3" s="1"/>
  <c r="CH6" i="16"/>
  <c r="K7" i="3" s="1"/>
  <c r="T7" i="3" s="1"/>
  <c r="CH7" i="16"/>
  <c r="K8" i="3" s="1"/>
  <c r="T8" i="3" s="1"/>
  <c r="CH8" i="16"/>
  <c r="K9" i="3" s="1"/>
  <c r="CH9" i="16"/>
  <c r="K10" i="3" s="1"/>
  <c r="CH10" i="16"/>
  <c r="K11" i="3" s="1"/>
  <c r="T11" i="3" s="1"/>
  <c r="CH11" i="16"/>
  <c r="K12" i="3" s="1"/>
  <c r="CH12" i="16"/>
  <c r="K13" i="3" s="1"/>
  <c r="T13" i="3" s="1"/>
  <c r="CH13" i="16"/>
  <c r="K14" i="3" s="1"/>
  <c r="T14" i="3" s="1"/>
  <c r="CH14" i="16"/>
  <c r="K15" i="3" s="1"/>
  <c r="CH15" i="16"/>
  <c r="K16" i="3" s="1"/>
  <c r="CH16" i="16"/>
  <c r="K17" i="3" s="1"/>
  <c r="CH17" i="16"/>
  <c r="K18" i="3" s="1"/>
  <c r="CH18" i="16"/>
  <c r="K19" i="3" s="1"/>
  <c r="CH19" i="16"/>
  <c r="K20" i="3" s="1"/>
  <c r="CH20" i="16"/>
  <c r="K21" i="3" s="1"/>
  <c r="CH21" i="16"/>
  <c r="K22" i="3" s="1"/>
  <c r="CH22" i="16"/>
  <c r="K23" i="3" s="1"/>
  <c r="CH23" i="16"/>
  <c r="K24" i="3" s="1"/>
  <c r="CH24" i="16"/>
  <c r="K25" i="3" s="1"/>
  <c r="CH25" i="16"/>
  <c r="K26" i="3" s="1"/>
  <c r="CH26" i="16"/>
  <c r="K27" i="3" s="1"/>
  <c r="CH27" i="16"/>
  <c r="K28" i="3" s="1"/>
  <c r="CH28" i="16"/>
  <c r="K29" i="3" s="1"/>
  <c r="CH29" i="16"/>
  <c r="K30" i="3" s="1"/>
  <c r="CH30" i="16"/>
  <c r="K31" i="3" s="1"/>
  <c r="CH31" i="16"/>
  <c r="K32" i="3" s="1"/>
  <c r="CH32" i="16"/>
  <c r="K33" i="3" s="1"/>
  <c r="CH33" i="16"/>
  <c r="K34" i="3" s="1"/>
  <c r="CH34" i="16"/>
  <c r="K35" i="3" s="1"/>
  <c r="CH35" i="16"/>
  <c r="K36" i="3" s="1"/>
  <c r="CH36" i="16"/>
  <c r="K37" i="3" s="1"/>
  <c r="CH37" i="16"/>
  <c r="K38" i="3" s="1"/>
  <c r="CH38" i="16"/>
  <c r="K39" i="3" s="1"/>
  <c r="CH39" i="16"/>
  <c r="K40" i="3" s="1"/>
  <c r="CH40" i="16"/>
  <c r="K41" i="3" s="1"/>
  <c r="CH41" i="16"/>
  <c r="K42" i="3" s="1"/>
  <c r="CH42" i="16"/>
  <c r="K43" i="3" s="1"/>
  <c r="CH43" i="16"/>
  <c r="K44" i="3" s="1"/>
  <c r="CH44" i="16"/>
  <c r="K45" i="3" s="1"/>
  <c r="CH45" i="16"/>
  <c r="K46" i="3" s="1"/>
  <c r="CH46" i="16"/>
  <c r="K47" i="3" s="1"/>
  <c r="CH47" i="16"/>
  <c r="K48" i="3" s="1"/>
  <c r="CH48" i="16"/>
  <c r="K49" i="3" s="1"/>
  <c r="CH49" i="16"/>
  <c r="K50" i="3" s="1"/>
  <c r="CH174" i="16"/>
  <c r="K175" i="3" s="1"/>
  <c r="CH175" i="16"/>
  <c r="K176" i="3" s="1"/>
  <c r="CH176" i="16"/>
  <c r="K177" i="3" s="1"/>
  <c r="CG3" i="16"/>
  <c r="CG4" i="16"/>
  <c r="CG5" i="16"/>
  <c r="CG6" i="16"/>
  <c r="CG7" i="16"/>
  <c r="CG8" i="16"/>
  <c r="CG9" i="16"/>
  <c r="CG10" i="16"/>
  <c r="CG11" i="16"/>
  <c r="CG12" i="16"/>
  <c r="CG13" i="16"/>
  <c r="CG14" i="16"/>
  <c r="CG15" i="16"/>
  <c r="CG16" i="16"/>
  <c r="CG17" i="16"/>
  <c r="CG18" i="16"/>
  <c r="CG19" i="16"/>
  <c r="CG20" i="16"/>
  <c r="CG21" i="16"/>
  <c r="CG22" i="16"/>
  <c r="CG23" i="16"/>
  <c r="CG24" i="16"/>
  <c r="CG25" i="16"/>
  <c r="CG26" i="16"/>
  <c r="CG27" i="16"/>
  <c r="CG28" i="16"/>
  <c r="CG29" i="16"/>
  <c r="CG30" i="16"/>
  <c r="CG31" i="16"/>
  <c r="CG32" i="16"/>
  <c r="CG33" i="16"/>
  <c r="CG34" i="16"/>
  <c r="CG35" i="16"/>
  <c r="CG36" i="16"/>
  <c r="CG37" i="16"/>
  <c r="CG38" i="16"/>
  <c r="CG39" i="16"/>
  <c r="CG40" i="16"/>
  <c r="CG41" i="16"/>
  <c r="CG42" i="16"/>
  <c r="CG43" i="16"/>
  <c r="CG44" i="16"/>
  <c r="CG45" i="16"/>
  <c r="CG46" i="16"/>
  <c r="CG47" i="16"/>
  <c r="CG48" i="16"/>
  <c r="CG49" i="16"/>
  <c r="CG50" i="16"/>
  <c r="CG51" i="16"/>
  <c r="CG52" i="16"/>
  <c r="CG53" i="16"/>
  <c r="CG54" i="16"/>
  <c r="CG55" i="16"/>
  <c r="CG56" i="16"/>
  <c r="CG57" i="16"/>
  <c r="CG58" i="16"/>
  <c r="CG59" i="16"/>
  <c r="CG60" i="16"/>
  <c r="CG61" i="16"/>
  <c r="CG62" i="16"/>
  <c r="CG63" i="16"/>
  <c r="CG64" i="16"/>
  <c r="CG65" i="16"/>
  <c r="CG66" i="16"/>
  <c r="CG67" i="16"/>
  <c r="CG68" i="16"/>
  <c r="CG69" i="16"/>
  <c r="CG70" i="16"/>
  <c r="CG71" i="16"/>
  <c r="CG72" i="16"/>
  <c r="CG73" i="16"/>
  <c r="CG74" i="16"/>
  <c r="CG75" i="16"/>
  <c r="CG76" i="16"/>
  <c r="CG77" i="16"/>
  <c r="CG78" i="16"/>
  <c r="CG79" i="16"/>
  <c r="CG80" i="16"/>
  <c r="CG81" i="16"/>
  <c r="CG82" i="16"/>
  <c r="CG83" i="16"/>
  <c r="CG84" i="16"/>
  <c r="CG85" i="16"/>
  <c r="CG86" i="16"/>
  <c r="CG87" i="16"/>
  <c r="CG88" i="16"/>
  <c r="CG89" i="16"/>
  <c r="CG90" i="16"/>
  <c r="CG91" i="16"/>
  <c r="CG92" i="16"/>
  <c r="CG93" i="16"/>
  <c r="CG94" i="16"/>
  <c r="CG95" i="16"/>
  <c r="CG96" i="16"/>
  <c r="CG97" i="16"/>
  <c r="CG98" i="16"/>
  <c r="CG99" i="16"/>
  <c r="CG100" i="16"/>
  <c r="CG101" i="16"/>
  <c r="CG102" i="16"/>
  <c r="CG103" i="16"/>
  <c r="CG104" i="16"/>
  <c r="CG105" i="16"/>
  <c r="CG106" i="16"/>
  <c r="CG107" i="16"/>
  <c r="CG108" i="16"/>
  <c r="CG109" i="16"/>
  <c r="CG110" i="16"/>
  <c r="CG111" i="16"/>
  <c r="CG112" i="16"/>
  <c r="CG113" i="16"/>
  <c r="CG114" i="16"/>
  <c r="CG115" i="16"/>
  <c r="CG116" i="16"/>
  <c r="CG117" i="16"/>
  <c r="CG118" i="16"/>
  <c r="CG119" i="16"/>
  <c r="CG120" i="16"/>
  <c r="CG121" i="16"/>
  <c r="CG122" i="16"/>
  <c r="CG123" i="16"/>
  <c r="CG124" i="16"/>
  <c r="CG125" i="16"/>
  <c r="CG126" i="16"/>
  <c r="CG127" i="16"/>
  <c r="CG128" i="16"/>
  <c r="CG129" i="16"/>
  <c r="CG130" i="16"/>
  <c r="CG131" i="16"/>
  <c r="CG132" i="16"/>
  <c r="CG133" i="16"/>
  <c r="CG134" i="16"/>
  <c r="CG135" i="16"/>
  <c r="CG136" i="16"/>
  <c r="CG137" i="16"/>
  <c r="CG138" i="16"/>
  <c r="CG139" i="16"/>
  <c r="CG140" i="16"/>
  <c r="CG141" i="16"/>
  <c r="CG142" i="16"/>
  <c r="CG143" i="16"/>
  <c r="CG144" i="16"/>
  <c r="CG145" i="16"/>
  <c r="CG146" i="16"/>
  <c r="CG147" i="16"/>
  <c r="CG148" i="16"/>
  <c r="CG149" i="16"/>
  <c r="CG150" i="16"/>
  <c r="CG151" i="16"/>
  <c r="CG152" i="16"/>
  <c r="CG153" i="16"/>
  <c r="CG154" i="16"/>
  <c r="CG155" i="16"/>
  <c r="CG156" i="16"/>
  <c r="CG157" i="16"/>
  <c r="CG158" i="16"/>
  <c r="CG159" i="16"/>
  <c r="CG160" i="16"/>
  <c r="CG161" i="16"/>
  <c r="CG162" i="16"/>
  <c r="CG163" i="16"/>
  <c r="CG164" i="16"/>
  <c r="CG165" i="16"/>
  <c r="CG166" i="16"/>
  <c r="CG167" i="16"/>
  <c r="CG168" i="16"/>
  <c r="CG169" i="16"/>
  <c r="CG170" i="16"/>
  <c r="CG171" i="16"/>
  <c r="CG172" i="16"/>
  <c r="CG173" i="16"/>
  <c r="CG174" i="16"/>
  <c r="CG175" i="16"/>
  <c r="CG176" i="16"/>
  <c r="CF32" i="16"/>
  <c r="CC42" i="16"/>
  <c r="CD5" i="16"/>
  <c r="G6" i="3" s="1"/>
  <c r="Q6" i="3" s="1"/>
  <c r="CD8" i="16"/>
  <c r="G9" i="3" s="1"/>
  <c r="Q9" i="3" s="1"/>
  <c r="CD10" i="16"/>
  <c r="G11" i="3" s="1"/>
  <c r="Q11" i="3" s="1"/>
  <c r="CD12" i="16"/>
  <c r="G13" i="3" s="1"/>
  <c r="Q13" i="3" s="1"/>
  <c r="CD14" i="16"/>
  <c r="G15" i="3" s="1"/>
  <c r="Q15" i="3" s="1"/>
  <c r="CD16" i="16"/>
  <c r="G17" i="3" s="1"/>
  <c r="Q17" i="3" s="1"/>
  <c r="CD18" i="16"/>
  <c r="G19" i="3" s="1"/>
  <c r="Q19" i="3" s="1"/>
  <c r="CD20" i="16"/>
  <c r="G21" i="3" s="1"/>
  <c r="Q21" i="3" s="1"/>
  <c r="CD22" i="16"/>
  <c r="G23" i="3" s="1"/>
  <c r="Q23" i="3" s="1"/>
  <c r="CD24" i="16"/>
  <c r="G25" i="3" s="1"/>
  <c r="Q25" i="3" s="1"/>
  <c r="CD26" i="16"/>
  <c r="G27" i="3" s="1"/>
  <c r="Q27" i="3" s="1"/>
  <c r="CD28" i="16"/>
  <c r="G29" i="3" s="1"/>
  <c r="CD30" i="16"/>
  <c r="G31" i="3" s="1"/>
  <c r="CD32" i="16"/>
  <c r="G33" i="3" s="1"/>
  <c r="CD34" i="16"/>
  <c r="G35" i="3" s="1"/>
  <c r="CD36" i="16"/>
  <c r="G37" i="3" s="1"/>
  <c r="CD38" i="16"/>
  <c r="G39" i="3" s="1"/>
  <c r="CD40" i="16"/>
  <c r="G41" i="3" s="1"/>
  <c r="CD42" i="16"/>
  <c r="G43" i="3" s="1"/>
  <c r="CD44" i="16"/>
  <c r="G45" i="3" s="1"/>
  <c r="CD46" i="16"/>
  <c r="G47" i="3" s="1"/>
  <c r="CD48" i="16"/>
  <c r="G49" i="3" s="1"/>
  <c r="CD50" i="16"/>
  <c r="G51" i="3" s="1"/>
  <c r="CD52" i="16"/>
  <c r="G53" i="3" s="1"/>
  <c r="CD54" i="16"/>
  <c r="G55" i="3" s="1"/>
  <c r="CD56" i="16"/>
  <c r="G57" i="3" s="1"/>
  <c r="CD58" i="16"/>
  <c r="G59" i="3" s="1"/>
  <c r="CD60" i="16"/>
  <c r="G61" i="3" s="1"/>
  <c r="CD62" i="16"/>
  <c r="G63" i="3" s="1"/>
  <c r="CD64" i="16"/>
  <c r="G65" i="3" s="1"/>
  <c r="CD66" i="16"/>
  <c r="G67" i="3" s="1"/>
  <c r="CD68" i="16"/>
  <c r="G69" i="3" s="1"/>
  <c r="CD70" i="16"/>
  <c r="G71" i="3" s="1"/>
  <c r="CD72" i="16"/>
  <c r="G73" i="3" s="1"/>
  <c r="CD74" i="16"/>
  <c r="G75" i="3" s="1"/>
  <c r="CD76" i="16"/>
  <c r="G77" i="3" s="1"/>
  <c r="CD78" i="16"/>
  <c r="G79" i="3" s="1"/>
  <c r="CD80" i="16"/>
  <c r="G81" i="3" s="1"/>
  <c r="CD82" i="16"/>
  <c r="G83" i="3" s="1"/>
  <c r="CD84" i="16"/>
  <c r="G85" i="3" s="1"/>
  <c r="CD86" i="16"/>
  <c r="G87" i="3" s="1"/>
  <c r="CD88" i="16"/>
  <c r="G89" i="3" s="1"/>
  <c r="CD90" i="16"/>
  <c r="G91" i="3" s="1"/>
  <c r="CD92" i="16"/>
  <c r="G93" i="3" s="1"/>
  <c r="CD94" i="16"/>
  <c r="G95" i="3" s="1"/>
  <c r="CD96" i="16"/>
  <c r="G97" i="3" s="1"/>
  <c r="CD99" i="16"/>
  <c r="G100" i="3" s="1"/>
  <c r="CD101" i="16"/>
  <c r="G102" i="3" s="1"/>
  <c r="CD103" i="16"/>
  <c r="G104" i="3" s="1"/>
  <c r="CD105" i="16"/>
  <c r="G106" i="3" s="1"/>
  <c r="CD107" i="16"/>
  <c r="G108" i="3" s="1"/>
  <c r="CD109" i="16"/>
  <c r="G110" i="3" s="1"/>
  <c r="CD111" i="16"/>
  <c r="G112" i="3" s="1"/>
  <c r="CD113" i="16"/>
  <c r="G114" i="3" s="1"/>
  <c r="CD115" i="16"/>
  <c r="G116" i="3" s="1"/>
  <c r="CD117" i="16"/>
  <c r="G118" i="3" s="1"/>
  <c r="CD119" i="16"/>
  <c r="G120" i="3" s="1"/>
  <c r="CD121" i="16"/>
  <c r="G122" i="3" s="1"/>
  <c r="CD124" i="16"/>
  <c r="G125" i="3" s="1"/>
  <c r="CD126" i="16"/>
  <c r="G127" i="3" s="1"/>
  <c r="CD128" i="16"/>
  <c r="G129" i="3" s="1"/>
  <c r="CD130" i="16"/>
  <c r="G131" i="3" s="1"/>
  <c r="CD132" i="16"/>
  <c r="G133" i="3" s="1"/>
  <c r="CD134" i="16"/>
  <c r="G135" i="3" s="1"/>
  <c r="CD136" i="16"/>
  <c r="G137" i="3" s="1"/>
  <c r="CD138" i="16"/>
  <c r="G139" i="3" s="1"/>
  <c r="CD140" i="16"/>
  <c r="G141" i="3" s="1"/>
  <c r="CD143" i="16"/>
  <c r="G144" i="3" s="1"/>
  <c r="CD145" i="16"/>
  <c r="G146" i="3" s="1"/>
  <c r="CD147" i="16"/>
  <c r="G148" i="3" s="1"/>
  <c r="CD149" i="16"/>
  <c r="G150" i="3" s="1"/>
  <c r="CD151" i="16"/>
  <c r="G152" i="3" s="1"/>
  <c r="CD153" i="16"/>
  <c r="G154" i="3" s="1"/>
  <c r="CD155" i="16"/>
  <c r="G156" i="3" s="1"/>
  <c r="CD157" i="16"/>
  <c r="G158" i="3" s="1"/>
  <c r="CD159" i="16"/>
  <c r="G160" i="3" s="1"/>
  <c r="CD161" i="16"/>
  <c r="G162" i="3" s="1"/>
  <c r="CD164" i="16"/>
  <c r="G165" i="3" s="1"/>
  <c r="CD166" i="16"/>
  <c r="G167" i="3" s="1"/>
  <c r="CD168" i="16"/>
  <c r="G169" i="3" s="1"/>
  <c r="CD169" i="16"/>
  <c r="G170" i="3" s="1"/>
  <c r="CD171" i="16"/>
  <c r="G172" i="3" s="1"/>
  <c r="CD173" i="16"/>
  <c r="G174" i="3" s="1"/>
  <c r="CD175" i="16"/>
  <c r="G176" i="3" s="1"/>
  <c r="CD3" i="16"/>
  <c r="G4" i="3" s="1"/>
  <c r="CD4" i="16"/>
  <c r="G5" i="3" s="1"/>
  <c r="CD6" i="16"/>
  <c r="G7" i="3" s="1"/>
  <c r="CD7" i="16"/>
  <c r="G8" i="3" s="1"/>
  <c r="CD9" i="16"/>
  <c r="G10" i="3" s="1"/>
  <c r="CD11" i="16"/>
  <c r="G12" i="3" s="1"/>
  <c r="CD13" i="16"/>
  <c r="G14" i="3" s="1"/>
  <c r="CD15" i="16"/>
  <c r="G16" i="3" s="1"/>
  <c r="CD17" i="16"/>
  <c r="G18" i="3" s="1"/>
  <c r="CD19" i="16"/>
  <c r="G20" i="3" s="1"/>
  <c r="CD21" i="16"/>
  <c r="G22" i="3" s="1"/>
  <c r="CD23" i="16"/>
  <c r="G24" i="3" s="1"/>
  <c r="CD25" i="16"/>
  <c r="G26" i="3" s="1"/>
  <c r="CD27" i="16"/>
  <c r="G28" i="3" s="1"/>
  <c r="CD29" i="16"/>
  <c r="G30" i="3" s="1"/>
  <c r="CD31" i="16"/>
  <c r="G32" i="3" s="1"/>
  <c r="CD33" i="16"/>
  <c r="G34" i="3" s="1"/>
  <c r="CD35" i="16"/>
  <c r="G36" i="3" s="1"/>
  <c r="CD37" i="16"/>
  <c r="G38" i="3" s="1"/>
  <c r="CD39" i="16"/>
  <c r="G40" i="3" s="1"/>
  <c r="CD41" i="16"/>
  <c r="G42" i="3" s="1"/>
  <c r="CD43" i="16"/>
  <c r="G44" i="3" s="1"/>
  <c r="CD45" i="16"/>
  <c r="G46" i="3" s="1"/>
  <c r="CD47" i="16"/>
  <c r="G48" i="3" s="1"/>
  <c r="CD49" i="16"/>
  <c r="G50" i="3" s="1"/>
  <c r="CD51" i="16"/>
  <c r="G52" i="3" s="1"/>
  <c r="CD53" i="16"/>
  <c r="G54" i="3" s="1"/>
  <c r="CD55" i="16"/>
  <c r="G56" i="3" s="1"/>
  <c r="CD57" i="16"/>
  <c r="G58" i="3" s="1"/>
  <c r="CD59" i="16"/>
  <c r="G60" i="3" s="1"/>
  <c r="CD61" i="16"/>
  <c r="G62" i="3" s="1"/>
  <c r="CD63" i="16"/>
  <c r="G64" i="3" s="1"/>
  <c r="CD65" i="16"/>
  <c r="G66" i="3" s="1"/>
  <c r="CD67" i="16"/>
  <c r="G68" i="3" s="1"/>
  <c r="CD69" i="16"/>
  <c r="G70" i="3" s="1"/>
  <c r="CD71" i="16"/>
  <c r="G72" i="3" s="1"/>
  <c r="CD73" i="16"/>
  <c r="G74" i="3" s="1"/>
  <c r="CD75" i="16"/>
  <c r="G76" i="3" s="1"/>
  <c r="CD77" i="16"/>
  <c r="G78" i="3" s="1"/>
  <c r="CD79" i="16"/>
  <c r="G80" i="3" s="1"/>
  <c r="CD81" i="16"/>
  <c r="G82" i="3" s="1"/>
  <c r="CD83" i="16"/>
  <c r="G84" i="3" s="1"/>
  <c r="CD85" i="16"/>
  <c r="G86" i="3" s="1"/>
  <c r="CD87" i="16"/>
  <c r="G88" i="3" s="1"/>
  <c r="CD89" i="16"/>
  <c r="G90" i="3" s="1"/>
  <c r="CD91" i="16"/>
  <c r="G92" i="3" s="1"/>
  <c r="CD93" i="16"/>
  <c r="G94" i="3" s="1"/>
  <c r="CD95" i="16"/>
  <c r="G96" i="3" s="1"/>
  <c r="CD97" i="16"/>
  <c r="G98" i="3" s="1"/>
  <c r="CD98" i="16"/>
  <c r="G99" i="3" s="1"/>
  <c r="CD100" i="16"/>
  <c r="G101" i="3" s="1"/>
  <c r="CD102" i="16"/>
  <c r="G103" i="3" s="1"/>
  <c r="CD104" i="16"/>
  <c r="G105" i="3" s="1"/>
  <c r="CD106" i="16"/>
  <c r="G107" i="3" s="1"/>
  <c r="CD108" i="16"/>
  <c r="G109" i="3" s="1"/>
  <c r="CD110" i="16"/>
  <c r="G111" i="3" s="1"/>
  <c r="CD112" i="16"/>
  <c r="G113" i="3" s="1"/>
  <c r="CD114" i="16"/>
  <c r="G115" i="3" s="1"/>
  <c r="CD116" i="16"/>
  <c r="G117" i="3" s="1"/>
  <c r="CD118" i="16"/>
  <c r="G119" i="3" s="1"/>
  <c r="CD120" i="16"/>
  <c r="G121" i="3" s="1"/>
  <c r="CD122" i="16"/>
  <c r="G123" i="3" s="1"/>
  <c r="CD123" i="16"/>
  <c r="G124" i="3" s="1"/>
  <c r="CD125" i="16"/>
  <c r="G126" i="3" s="1"/>
  <c r="CD127" i="16"/>
  <c r="G128" i="3" s="1"/>
  <c r="CD129" i="16"/>
  <c r="G130" i="3" s="1"/>
  <c r="CD131" i="16"/>
  <c r="G132" i="3" s="1"/>
  <c r="CD133" i="16"/>
  <c r="G134" i="3" s="1"/>
  <c r="CD135" i="16"/>
  <c r="G136" i="3" s="1"/>
  <c r="CD137" i="16"/>
  <c r="G138" i="3" s="1"/>
  <c r="CD139" i="16"/>
  <c r="G140" i="3" s="1"/>
  <c r="CD141" i="16"/>
  <c r="G142" i="3" s="1"/>
  <c r="CD142" i="16"/>
  <c r="G143" i="3" s="1"/>
  <c r="CD144" i="16"/>
  <c r="G145" i="3" s="1"/>
  <c r="CD146" i="16"/>
  <c r="G147" i="3" s="1"/>
  <c r="CD148" i="16"/>
  <c r="G149" i="3" s="1"/>
  <c r="CD150" i="16"/>
  <c r="G151" i="3" s="1"/>
  <c r="CD152" i="16"/>
  <c r="G153" i="3" s="1"/>
  <c r="CD154" i="16"/>
  <c r="G155" i="3" s="1"/>
  <c r="CD156" i="16"/>
  <c r="G157" i="3" s="1"/>
  <c r="CD158" i="16"/>
  <c r="G159" i="3" s="1"/>
  <c r="CD160" i="16"/>
  <c r="G161" i="3" s="1"/>
  <c r="CD162" i="16"/>
  <c r="G163" i="3" s="1"/>
  <c r="CD163" i="16"/>
  <c r="G164" i="3" s="1"/>
  <c r="CD165" i="16"/>
  <c r="G166" i="3" s="1"/>
  <c r="CD167" i="16"/>
  <c r="G168" i="3" s="1"/>
  <c r="CD170" i="16"/>
  <c r="G171" i="3" s="1"/>
  <c r="CD172" i="16"/>
  <c r="G173" i="3" s="1"/>
  <c r="CD174" i="16"/>
  <c r="G175" i="3" s="1"/>
  <c r="CD176" i="16"/>
  <c r="G177" i="3" s="1"/>
  <c r="CC99" i="16"/>
  <c r="CC100" i="16"/>
  <c r="CC101" i="16"/>
  <c r="CC102" i="16"/>
  <c r="CC103" i="16"/>
  <c r="CC104" i="16"/>
  <c r="CC105" i="16"/>
  <c r="CC106" i="16"/>
  <c r="CC107" i="16"/>
  <c r="CC108" i="16"/>
  <c r="CC109" i="16"/>
  <c r="CC110" i="16"/>
  <c r="CC111" i="16"/>
  <c r="CC112" i="16"/>
  <c r="CC113" i="16"/>
  <c r="CC114" i="16"/>
  <c r="CC115" i="16"/>
  <c r="CC116" i="16"/>
  <c r="CC117" i="16"/>
  <c r="CC118" i="16"/>
  <c r="CC119" i="16"/>
  <c r="CC120" i="16"/>
  <c r="CC121" i="16"/>
  <c r="CC122" i="16"/>
  <c r="CC123" i="16"/>
  <c r="CC124" i="16"/>
  <c r="CC125" i="16"/>
  <c r="CC126" i="16"/>
  <c r="CC127" i="16"/>
  <c r="CC128" i="16"/>
  <c r="CC129" i="16"/>
  <c r="CC130" i="16"/>
  <c r="CC131" i="16"/>
  <c r="CC132" i="16"/>
  <c r="CC133" i="16"/>
  <c r="CC134" i="16"/>
  <c r="CC135" i="16"/>
  <c r="CC136" i="16"/>
  <c r="CC137" i="16"/>
  <c r="CC138" i="16"/>
  <c r="CC139" i="16"/>
  <c r="CC140" i="16"/>
  <c r="CC141" i="16"/>
  <c r="CC142" i="16"/>
  <c r="CC143" i="16"/>
  <c r="CC144" i="16"/>
  <c r="CC145" i="16"/>
  <c r="CC146" i="16"/>
  <c r="CC147" i="16"/>
  <c r="CC148" i="16"/>
  <c r="CC149" i="16"/>
  <c r="CC150" i="16"/>
  <c r="CC151" i="16"/>
  <c r="CC152" i="16"/>
  <c r="CC153" i="16"/>
  <c r="CC154" i="16"/>
  <c r="CC155" i="16"/>
  <c r="CC156" i="16"/>
  <c r="CC157" i="16"/>
  <c r="CC158" i="16"/>
  <c r="CC159" i="16"/>
  <c r="CC160" i="16"/>
  <c r="CC161" i="16"/>
  <c r="CC162" i="16"/>
  <c r="CC163" i="16"/>
  <c r="CC164" i="16"/>
  <c r="CC165" i="16"/>
  <c r="CC166" i="16"/>
  <c r="CC167" i="16"/>
  <c r="CC168" i="16"/>
  <c r="CC169" i="16"/>
  <c r="CC170" i="16"/>
  <c r="CC171" i="16"/>
  <c r="CC172" i="16"/>
  <c r="CC173" i="16"/>
  <c r="CC174" i="16"/>
  <c r="CC175" i="16"/>
  <c r="CC176" i="16"/>
  <c r="O135"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K13" i="7" s="1"/>
  <c r="N62" i="3"/>
  <c r="N63" i="3"/>
  <c r="N64" i="3"/>
  <c r="N65" i="3"/>
  <c r="N66" i="3"/>
  <c r="N67" i="3"/>
  <c r="N68" i="3"/>
  <c r="N69" i="3"/>
  <c r="N70" i="3"/>
  <c r="N71" i="3"/>
  <c r="N72" i="3"/>
  <c r="N73" i="3"/>
  <c r="N74" i="3"/>
  <c r="N75" i="3"/>
  <c r="N76" i="3"/>
  <c r="N77" i="3"/>
  <c r="N78" i="3"/>
  <c r="N79" i="3"/>
  <c r="N80" i="3"/>
  <c r="N81" i="3"/>
  <c r="N82" i="3"/>
  <c r="N83" i="3"/>
  <c r="N84" i="3"/>
  <c r="N85" i="3"/>
  <c r="N86" i="3"/>
  <c r="O168" i="3"/>
  <c r="O169" i="3"/>
  <c r="O170" i="3"/>
  <c r="O171" i="3"/>
  <c r="O172" i="3"/>
  <c r="O173" i="3"/>
  <c r="O174" i="3"/>
  <c r="O175" i="3"/>
  <c r="O176" i="3"/>
  <c r="O177"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M4" i="3"/>
  <c r="M5" i="3"/>
  <c r="M6" i="3"/>
  <c r="M8" i="3"/>
  <c r="M9" i="3"/>
  <c r="M10" i="3"/>
  <c r="M11" i="3"/>
  <c r="M12" i="3"/>
  <c r="M13" i="3"/>
  <c r="M14" i="3"/>
  <c r="M15" i="3"/>
  <c r="M16" i="3"/>
  <c r="M17"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M109" i="3"/>
  <c r="M115" i="3"/>
  <c r="M119" i="3"/>
  <c r="M122" i="3"/>
  <c r="H4" i="3"/>
  <c r="H5" i="3"/>
  <c r="H6" i="3"/>
  <c r="H7" i="3"/>
  <c r="H8" i="3"/>
  <c r="H9" i="3"/>
  <c r="H10" i="3"/>
  <c r="H11" i="3"/>
  <c r="H12" i="3"/>
  <c r="H13" i="3"/>
  <c r="H14" i="3"/>
  <c r="H15" i="3"/>
  <c r="H16" i="3"/>
  <c r="H17" i="3"/>
  <c r="H18" i="3"/>
  <c r="H19" i="3"/>
  <c r="H20" i="3"/>
  <c r="H21" i="3"/>
  <c r="H22" i="3"/>
  <c r="H23" i="3"/>
  <c r="H24" i="3"/>
  <c r="H25" i="3"/>
  <c r="H26" i="3"/>
  <c r="H27" i="3"/>
  <c r="H28" i="3"/>
  <c r="M110" i="3"/>
  <c r="M113" i="3"/>
  <c r="M118" i="3"/>
  <c r="M123" i="3"/>
  <c r="M7" i="3"/>
  <c r="M112" i="3"/>
  <c r="M114" i="3"/>
  <c r="M117" i="3"/>
  <c r="M121" i="3"/>
  <c r="M124" i="3"/>
  <c r="M111" i="3"/>
  <c r="M116" i="3"/>
  <c r="M120" i="3"/>
  <c r="M125"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4" i="3"/>
  <c r="M18" i="3"/>
  <c r="M19" i="3"/>
  <c r="M20" i="3"/>
  <c r="M21" i="3"/>
  <c r="M22" i="3"/>
  <c r="M23" i="3"/>
  <c r="M24" i="3"/>
  <c r="M25" i="3"/>
  <c r="M26" i="3"/>
  <c r="M27" i="3"/>
  <c r="M28" i="3"/>
  <c r="M29" i="3"/>
  <c r="M39" i="3"/>
  <c r="M40" i="3"/>
  <c r="M41" i="3"/>
  <c r="M42" i="3"/>
  <c r="M43" i="3"/>
  <c r="M44" i="3"/>
  <c r="M45" i="3"/>
  <c r="M46" i="3"/>
  <c r="M47" i="3"/>
  <c r="M48" i="3"/>
  <c r="M49" i="3"/>
  <c r="M50" i="3"/>
  <c r="M51" i="3"/>
  <c r="M52" i="3"/>
  <c r="M53" i="3"/>
  <c r="M54" i="3"/>
  <c r="M55" i="3"/>
  <c r="M56" i="3"/>
  <c r="M57" i="3"/>
  <c r="M58" i="3"/>
  <c r="M59" i="3"/>
  <c r="M60" i="3"/>
  <c r="M61" i="3"/>
  <c r="J13" i="7" s="1"/>
  <c r="M62" i="3"/>
  <c r="M63" i="3"/>
  <c r="M64" i="3"/>
  <c r="M65" i="3"/>
  <c r="M66" i="3"/>
  <c r="M67"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L54" i="3"/>
  <c r="L55" i="3"/>
  <c r="L56" i="3"/>
  <c r="L57" i="3"/>
  <c r="L58" i="3"/>
  <c r="L59" i="3"/>
  <c r="L60" i="3"/>
  <c r="L61" i="3"/>
  <c r="I13" i="7" s="1"/>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E130" i="3"/>
  <c r="M30" i="3"/>
  <c r="M31" i="3"/>
  <c r="M32" i="3"/>
  <c r="M33" i="3"/>
  <c r="M34" i="3"/>
  <c r="M35" i="3"/>
  <c r="M36" i="3"/>
  <c r="M37" i="3"/>
  <c r="M38" i="3"/>
  <c r="K77" i="3"/>
  <c r="K78" i="3"/>
  <c r="K79" i="3"/>
  <c r="K80" i="3"/>
  <c r="K81" i="3"/>
  <c r="T81" i="3" s="1"/>
  <c r="K82" i="3"/>
  <c r="K83" i="3"/>
  <c r="K84" i="3"/>
  <c r="K85" i="3"/>
  <c r="K86" i="3"/>
  <c r="K87" i="3"/>
  <c r="K88" i="3"/>
  <c r="K89" i="3"/>
  <c r="K90" i="3"/>
  <c r="K91" i="3"/>
  <c r="K92" i="3"/>
  <c r="K93" i="3"/>
  <c r="K94" i="3"/>
  <c r="K95" i="3"/>
  <c r="K96" i="3"/>
  <c r="K97" i="3"/>
  <c r="K98" i="3"/>
  <c r="K99" i="3"/>
  <c r="K100" i="3"/>
  <c r="K101" i="3"/>
  <c r="K102" i="3"/>
  <c r="K103" i="3"/>
  <c r="K104" i="3"/>
  <c r="K105" i="3"/>
  <c r="K106" i="3"/>
  <c r="G160" i="6"/>
  <c r="G159" i="6"/>
  <c r="G158" i="6"/>
  <c r="G157" i="6"/>
  <c r="G156" i="6"/>
  <c r="G154" i="6"/>
  <c r="G153" i="6"/>
  <c r="G152" i="6"/>
  <c r="G151" i="6"/>
  <c r="G150" i="6"/>
  <c r="G149" i="6"/>
  <c r="G137" i="6"/>
  <c r="G136" i="6"/>
  <c r="G135" i="6"/>
  <c r="G134" i="6"/>
  <c r="G133" i="6"/>
  <c r="G132" i="6"/>
  <c r="G131" i="6"/>
  <c r="G130" i="6"/>
  <c r="G128" i="6"/>
  <c r="G127" i="6"/>
  <c r="G125" i="6"/>
  <c r="G124" i="6"/>
  <c r="G123" i="6"/>
  <c r="G122" i="6"/>
  <c r="G121" i="6"/>
  <c r="G120" i="6"/>
  <c r="G119" i="6"/>
  <c r="G109" i="6"/>
  <c r="G108" i="6"/>
  <c r="G107" i="6"/>
  <c r="G106" i="6"/>
  <c r="G78" i="6"/>
  <c r="G77" i="6"/>
  <c r="G76" i="6"/>
  <c r="G75" i="6"/>
  <c r="G74" i="6"/>
  <c r="G73" i="6"/>
  <c r="G72" i="6"/>
  <c r="G71" i="6"/>
  <c r="G70" i="6"/>
  <c r="G69" i="6"/>
  <c r="G68" i="6"/>
  <c r="G67" i="6"/>
  <c r="G66" i="6"/>
  <c r="G65" i="6"/>
  <c r="G64" i="6"/>
  <c r="G63" i="6"/>
  <c r="G62" i="6"/>
  <c r="G61" i="6"/>
  <c r="G60" i="6"/>
  <c r="G59" i="6"/>
  <c r="K108" i="3"/>
  <c r="K109" i="3"/>
  <c r="K110" i="3"/>
  <c r="K111" i="3"/>
  <c r="K112" i="3"/>
  <c r="K113" i="3"/>
  <c r="K114" i="3"/>
  <c r="K115" i="3"/>
  <c r="K116" i="3"/>
  <c r="K117" i="3"/>
  <c r="K118" i="3"/>
  <c r="K119" i="3"/>
  <c r="K120" i="3"/>
  <c r="K121" i="3"/>
  <c r="K122" i="3"/>
  <c r="K123" i="3"/>
  <c r="K124" i="3"/>
  <c r="K125" i="3"/>
  <c r="T125" i="3" s="1"/>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L160" i="6"/>
  <c r="L159" i="6"/>
  <c r="L158" i="6"/>
  <c r="L157" i="6"/>
  <c r="L156" i="6"/>
  <c r="L153" i="6"/>
  <c r="L152" i="6"/>
  <c r="L151" i="6"/>
  <c r="L150" i="6"/>
  <c r="L149" i="6"/>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L13" i="7" s="1"/>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L137" i="6"/>
  <c r="L136" i="6"/>
  <c r="L135" i="6"/>
  <c r="L134" i="6"/>
  <c r="L133" i="6"/>
  <c r="L132" i="6"/>
  <c r="L131" i="6"/>
  <c r="L128" i="6"/>
  <c r="L127" i="6"/>
  <c r="L126" i="6"/>
  <c r="L125" i="6"/>
  <c r="L124" i="6"/>
  <c r="L123" i="6"/>
  <c r="L122" i="6"/>
  <c r="L121" i="6"/>
  <c r="L120" i="6"/>
  <c r="L119" i="6"/>
  <c r="L109" i="6"/>
  <c r="L108" i="6"/>
  <c r="L107" i="6"/>
  <c r="L106" i="6"/>
  <c r="L78" i="6"/>
  <c r="L77" i="6"/>
  <c r="L76" i="6"/>
  <c r="L75" i="6"/>
  <c r="L74" i="6"/>
  <c r="L73" i="6"/>
  <c r="L72" i="6"/>
  <c r="L71" i="6"/>
  <c r="L70" i="6"/>
  <c r="L69" i="6"/>
  <c r="L68" i="6"/>
  <c r="L67" i="6"/>
  <c r="L66" i="6"/>
  <c r="L65" i="6"/>
  <c r="L64" i="6"/>
  <c r="L63" i="6"/>
  <c r="L62" i="6"/>
  <c r="L61" i="6"/>
  <c r="L60" i="6"/>
  <c r="L59" i="6"/>
  <c r="B197" i="3"/>
  <c r="C197" i="3" s="1"/>
  <c r="AH4" i="3"/>
  <c r="B196" i="3"/>
  <c r="C196" i="3" s="1"/>
  <c r="AG4" i="3"/>
  <c r="B195" i="3"/>
  <c r="C195" i="3" s="1"/>
  <c r="AF4" i="3"/>
  <c r="B194" i="3"/>
  <c r="C194" i="3" s="1"/>
  <c r="AE4" i="3"/>
  <c r="L130" i="6"/>
  <c r="L129" i="6"/>
  <c r="G129" i="6"/>
  <c r="L118" i="6"/>
  <c r="L110"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L84" i="6"/>
  <c r="G84" i="6"/>
  <c r="L83" i="6"/>
  <c r="G83" i="6"/>
  <c r="L82" i="6"/>
  <c r="G82" i="6"/>
  <c r="L81" i="6"/>
  <c r="G81" i="6"/>
  <c r="L80" i="6"/>
  <c r="G80" i="6"/>
  <c r="L79" i="6"/>
  <c r="G79" i="6"/>
  <c r="G58" i="6"/>
  <c r="G57" i="6"/>
  <c r="G56" i="6"/>
  <c r="G55" i="6"/>
  <c r="G54" i="6"/>
  <c r="G53" i="6"/>
  <c r="G52" i="6"/>
  <c r="G51" i="6"/>
  <c r="G50" i="6"/>
  <c r="G49" i="6"/>
  <c r="G48" i="6"/>
  <c r="G47" i="6"/>
  <c r="G46" i="6"/>
  <c r="G45" i="6"/>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L58" i="6"/>
  <c r="L57" i="6"/>
  <c r="L56" i="6"/>
  <c r="L55" i="6"/>
  <c r="L54" i="6"/>
  <c r="L53" i="6"/>
  <c r="L52" i="6"/>
  <c r="L51" i="6"/>
  <c r="L50" i="6"/>
  <c r="L49" i="6"/>
  <c r="L48" i="6"/>
  <c r="L47" i="6"/>
  <c r="L46" i="6"/>
  <c r="L45" i="6"/>
  <c r="L44" i="6"/>
  <c r="B181" i="6"/>
  <c r="B187" i="6"/>
  <c r="L148" i="6"/>
  <c r="G148" i="6"/>
  <c r="L147" i="6"/>
  <c r="G147" i="6"/>
  <c r="L146" i="6"/>
  <c r="G146" i="6"/>
  <c r="L145" i="6"/>
  <c r="G145" i="6"/>
  <c r="L144" i="6"/>
  <c r="G144" i="6"/>
  <c r="L143" i="6"/>
  <c r="G143" i="6"/>
  <c r="L142" i="6"/>
  <c r="G142" i="6"/>
  <c r="L141" i="6"/>
  <c r="G141" i="6"/>
  <c r="L140" i="6"/>
  <c r="G140" i="6"/>
  <c r="L139" i="6"/>
  <c r="G139" i="6"/>
  <c r="L138" i="6"/>
  <c r="G138" i="6"/>
  <c r="G44" i="6"/>
  <c r="L43" i="6"/>
  <c r="G43" i="6"/>
  <c r="L42" i="6"/>
  <c r="G42" i="6"/>
  <c r="L41" i="6"/>
  <c r="G41" i="6"/>
  <c r="L40" i="6"/>
  <c r="G40" i="6"/>
  <c r="L39" i="6"/>
  <c r="G39" i="6"/>
  <c r="L38" i="6"/>
  <c r="G38" i="6"/>
  <c r="L37" i="6"/>
  <c r="G37" i="6"/>
  <c r="L36" i="6"/>
  <c r="G36" i="6"/>
  <c r="L35" i="6"/>
  <c r="G35" i="6"/>
  <c r="L34" i="6"/>
  <c r="G34" i="6"/>
  <c r="L33" i="6"/>
  <c r="G33" i="6"/>
  <c r="L32" i="6"/>
  <c r="G32" i="6"/>
  <c r="L31" i="6"/>
  <c r="G31" i="6"/>
  <c r="L30" i="6"/>
  <c r="G30" i="6"/>
  <c r="L29" i="6"/>
  <c r="G29" i="6"/>
  <c r="L28" i="6"/>
  <c r="G28" i="6"/>
  <c r="L27" i="6"/>
  <c r="G27" i="6"/>
  <c r="L26" i="6"/>
  <c r="G26" i="6"/>
  <c r="L25" i="6"/>
  <c r="G25" i="6"/>
  <c r="L24" i="6"/>
  <c r="G24" i="6"/>
  <c r="L23" i="6"/>
  <c r="G23" i="6"/>
  <c r="L22" i="6"/>
  <c r="G22" i="6"/>
  <c r="L21" i="6"/>
  <c r="G21" i="6"/>
  <c r="L20" i="6"/>
  <c r="G20" i="6"/>
  <c r="L19" i="6"/>
  <c r="G19" i="6"/>
  <c r="L18" i="6"/>
  <c r="G18" i="6"/>
  <c r="L17" i="6"/>
  <c r="G17" i="6"/>
  <c r="L16" i="6"/>
  <c r="G16" i="6"/>
  <c r="L15" i="6"/>
  <c r="G15" i="6"/>
  <c r="L14" i="6"/>
  <c r="G14" i="6"/>
  <c r="L13" i="6"/>
  <c r="G13" i="6"/>
  <c r="L12" i="6"/>
  <c r="G12" i="6"/>
  <c r="L11" i="6"/>
  <c r="G11" i="6"/>
  <c r="L10" i="6"/>
  <c r="G10" i="6"/>
  <c r="L9" i="6"/>
  <c r="G9" i="6"/>
  <c r="L8" i="6"/>
  <c r="G8" i="6"/>
  <c r="L7" i="6"/>
  <c r="G7" i="6"/>
  <c r="L6" i="6"/>
  <c r="G6" i="6"/>
  <c r="L5" i="6"/>
  <c r="G5" i="6"/>
  <c r="L4" i="6"/>
  <c r="G4" i="6"/>
  <c r="L3" i="6"/>
  <c r="G3" i="6"/>
  <c r="T144" i="3" l="1"/>
  <c r="T147" i="3"/>
  <c r="T107" i="3"/>
  <c r="T74" i="3"/>
  <c r="T71" i="3"/>
  <c r="Q137" i="3"/>
  <c r="Q139" i="3"/>
  <c r="Q141" i="3"/>
  <c r="Q144" i="3"/>
  <c r="Q146" i="3"/>
  <c r="Q148" i="3"/>
  <c r="Q150" i="3"/>
  <c r="Q152" i="3"/>
  <c r="Q154" i="3"/>
  <c r="Q156" i="3"/>
  <c r="Q158" i="3"/>
  <c r="Q160" i="3"/>
  <c r="Q162" i="3"/>
  <c r="Q165" i="3"/>
  <c r="Q167" i="3"/>
  <c r="Q169" i="3"/>
  <c r="Q170" i="3"/>
  <c r="Q172" i="3"/>
  <c r="Q174" i="3"/>
  <c r="Q176" i="3"/>
  <c r="Q138" i="3"/>
  <c r="Q140" i="3"/>
  <c r="Q142" i="3"/>
  <c r="Q143" i="3"/>
  <c r="Q145" i="3"/>
  <c r="Q147" i="3"/>
  <c r="Q149" i="3"/>
  <c r="Q151" i="3"/>
  <c r="Q153" i="3"/>
  <c r="Q155" i="3"/>
  <c r="Q157" i="3"/>
  <c r="Q159" i="3"/>
  <c r="Q161" i="3"/>
  <c r="Q163" i="3"/>
  <c r="Q164" i="3"/>
  <c r="Q166" i="3"/>
  <c r="Q168" i="3"/>
  <c r="Q171" i="3"/>
  <c r="Q173" i="3"/>
  <c r="Q175" i="3"/>
  <c r="Q177" i="3"/>
  <c r="Q31" i="3"/>
  <c r="Q33" i="3"/>
  <c r="Q39" i="3"/>
  <c r="Q41" i="3"/>
  <c r="Q45" i="3"/>
  <c r="Q49" i="3"/>
  <c r="Q53" i="3"/>
  <c r="Q59" i="3"/>
  <c r="Q61" i="3"/>
  <c r="Q65" i="3"/>
  <c r="Q69" i="3"/>
  <c r="Q75" i="3"/>
  <c r="Q79" i="3"/>
  <c r="Q83" i="3"/>
  <c r="Q87" i="3"/>
  <c r="Q89" i="3"/>
  <c r="Q95" i="3"/>
  <c r="Q100" i="3"/>
  <c r="Q104" i="3"/>
  <c r="Q108" i="3"/>
  <c r="Q112" i="3"/>
  <c r="Q116" i="3"/>
  <c r="Q120" i="3"/>
  <c r="Q125" i="3"/>
  <c r="Q129" i="3"/>
  <c r="Q133" i="3"/>
  <c r="Q5" i="3"/>
  <c r="Q8" i="3"/>
  <c r="Q14" i="3"/>
  <c r="Q20" i="3"/>
  <c r="Q26" i="3"/>
  <c r="Q32" i="3"/>
  <c r="Q36" i="3"/>
  <c r="Q42" i="3"/>
  <c r="Q48" i="3"/>
  <c r="Q54" i="3"/>
  <c r="Q60" i="3"/>
  <c r="Q66" i="3"/>
  <c r="Q72" i="3"/>
  <c r="Q76" i="3"/>
  <c r="Q82" i="3"/>
  <c r="Q88" i="3"/>
  <c r="Q94" i="3"/>
  <c r="Q99" i="3"/>
  <c r="Q105" i="3"/>
  <c r="Q111" i="3"/>
  <c r="Q117" i="3"/>
  <c r="Q123" i="3"/>
  <c r="Q128" i="3"/>
  <c r="Q134" i="3"/>
  <c r="T21" i="3"/>
  <c r="Q29" i="3"/>
  <c r="Q35" i="3"/>
  <c r="Q37" i="3"/>
  <c r="Q43" i="3"/>
  <c r="Q47" i="3"/>
  <c r="Q51" i="3"/>
  <c r="Q55" i="3"/>
  <c r="Q57" i="3"/>
  <c r="Q63" i="3"/>
  <c r="Q67" i="3"/>
  <c r="Q71" i="3"/>
  <c r="Q73" i="3"/>
  <c r="Q77" i="3"/>
  <c r="Q81" i="3"/>
  <c r="Q85" i="3"/>
  <c r="Q91" i="3"/>
  <c r="Q93" i="3"/>
  <c r="Q97" i="3"/>
  <c r="Q102" i="3"/>
  <c r="Q106" i="3"/>
  <c r="Q110" i="3"/>
  <c r="Q114" i="3"/>
  <c r="Q118" i="3"/>
  <c r="Q122" i="3"/>
  <c r="Q127" i="3"/>
  <c r="Q131" i="3"/>
  <c r="Q135" i="3"/>
  <c r="Q4" i="3"/>
  <c r="Q7" i="3"/>
  <c r="Q12" i="3"/>
  <c r="Q18" i="3"/>
  <c r="Q24" i="3"/>
  <c r="Q28" i="3"/>
  <c r="Q34" i="3"/>
  <c r="Q40" i="3"/>
  <c r="Q46" i="3"/>
  <c r="Q52" i="3"/>
  <c r="Q56" i="3"/>
  <c r="Q62" i="3"/>
  <c r="Q68" i="3"/>
  <c r="Q74" i="3"/>
  <c r="Q80" i="3"/>
  <c r="Q86" i="3"/>
  <c r="Q92" i="3"/>
  <c r="Q98" i="3"/>
  <c r="Q101" i="3"/>
  <c r="Q107" i="3"/>
  <c r="Q113" i="3"/>
  <c r="Q119" i="3"/>
  <c r="Q124" i="3"/>
  <c r="Q130" i="3"/>
  <c r="Q136" i="3"/>
  <c r="T37" i="3"/>
  <c r="T18" i="3"/>
  <c r="Q10" i="3"/>
  <c r="Q16" i="3"/>
  <c r="Q22" i="3"/>
  <c r="Q30" i="3"/>
  <c r="Q38" i="3"/>
  <c r="Q44" i="3"/>
  <c r="Q50" i="3"/>
  <c r="Q58" i="3"/>
  <c r="Q64" i="3"/>
  <c r="Q70" i="3"/>
  <c r="Q78" i="3"/>
  <c r="Q84" i="3"/>
  <c r="Q90" i="3"/>
  <c r="Q96" i="3"/>
  <c r="Q103" i="3"/>
  <c r="Q109" i="3"/>
  <c r="Q115" i="3"/>
  <c r="Q121" i="3"/>
  <c r="Q126" i="3"/>
  <c r="Q132" i="3"/>
  <c r="T131" i="3"/>
  <c r="T150" i="3"/>
  <c r="T155" i="3"/>
  <c r="T172" i="3"/>
  <c r="T135" i="3"/>
  <c r="T136" i="3"/>
  <c r="T158" i="3"/>
  <c r="B186" i="3"/>
  <c r="C186" i="3" s="1"/>
  <c r="B183" i="3"/>
  <c r="C183" i="3" s="1"/>
  <c r="J3" i="6"/>
  <c r="J4" i="3"/>
  <c r="J5" i="3"/>
  <c r="J4" i="6"/>
  <c r="J5" i="6"/>
  <c r="J6" i="3"/>
  <c r="J7" i="3"/>
  <c r="J6" i="6"/>
  <c r="J8" i="3"/>
  <c r="J7" i="6"/>
  <c r="J8" i="6"/>
  <c r="J9" i="3"/>
  <c r="J9" i="6"/>
  <c r="J10" i="3"/>
  <c r="J11" i="3"/>
  <c r="J10" i="6"/>
  <c r="J11" i="6"/>
  <c r="J12" i="3"/>
  <c r="J13" i="3"/>
  <c r="J12" i="6"/>
  <c r="J14" i="3"/>
  <c r="J13" i="6"/>
  <c r="J14" i="6"/>
  <c r="J15" i="3"/>
  <c r="J15" i="6"/>
  <c r="J16" i="3"/>
  <c r="J17" i="3"/>
  <c r="J16" i="6"/>
  <c r="J18" i="3"/>
  <c r="J17" i="6"/>
  <c r="J19" i="3"/>
  <c r="J18" i="6"/>
  <c r="J20" i="3"/>
  <c r="J19" i="6"/>
  <c r="J21" i="3"/>
  <c r="J20" i="6"/>
  <c r="J21" i="6"/>
  <c r="J22" i="3"/>
  <c r="J22" i="6"/>
  <c r="J23" i="3"/>
  <c r="J23" i="6"/>
  <c r="J24" i="3"/>
  <c r="J24" i="6"/>
  <c r="J25" i="3"/>
  <c r="J25" i="6"/>
  <c r="J26" i="3"/>
  <c r="J26" i="6"/>
  <c r="J27" i="3"/>
  <c r="J28" i="3"/>
  <c r="J27" i="6"/>
  <c r="J28" i="6"/>
  <c r="J29" i="3"/>
  <c r="J30" i="3"/>
  <c r="J29" i="6"/>
  <c r="J30" i="6"/>
  <c r="J31" i="3"/>
  <c r="J32" i="3"/>
  <c r="J31" i="6"/>
  <c r="J33" i="3"/>
  <c r="J32" i="6"/>
  <c r="J34" i="3"/>
  <c r="J33" i="6"/>
  <c r="J35" i="3"/>
  <c r="J34" i="6"/>
  <c r="J36" i="3"/>
  <c r="J35" i="6"/>
  <c r="J37" i="3"/>
  <c r="J36" i="6"/>
  <c r="J38" i="3"/>
  <c r="J37" i="6"/>
  <c r="J38" i="6"/>
  <c r="J39" i="3"/>
  <c r="J39" i="6"/>
  <c r="J40" i="3"/>
  <c r="J40" i="6"/>
  <c r="J41" i="3"/>
  <c r="J42" i="3"/>
  <c r="J41" i="6"/>
  <c r="J42" i="6"/>
  <c r="J43" i="3"/>
  <c r="J44" i="3"/>
  <c r="J43" i="6"/>
  <c r="J45" i="3"/>
  <c r="J44" i="6"/>
  <c r="J45" i="6"/>
  <c r="J46" i="3"/>
  <c r="J47" i="3"/>
  <c r="J46" i="6"/>
  <c r="J48" i="3"/>
  <c r="J47" i="6"/>
  <c r="J49" i="3"/>
  <c r="J48" i="6"/>
  <c r="J50" i="3"/>
  <c r="J49" i="6"/>
  <c r="J51" i="3"/>
  <c r="J50" i="6"/>
  <c r="J52" i="3"/>
  <c r="J51" i="6"/>
  <c r="J53" i="3"/>
  <c r="J52" i="6"/>
  <c r="J54" i="3"/>
  <c r="J53" i="6"/>
  <c r="J54" i="6"/>
  <c r="J55" i="3"/>
  <c r="J56" i="3"/>
  <c r="J55" i="6"/>
  <c r="J57" i="3"/>
  <c r="J56" i="6"/>
  <c r="J57" i="6"/>
  <c r="J58" i="3"/>
  <c r="J59" i="3"/>
  <c r="J58" i="6"/>
  <c r="I4" i="6"/>
  <c r="I5" i="3"/>
  <c r="I8" i="6"/>
  <c r="I9" i="3"/>
  <c r="I12" i="3"/>
  <c r="I11" i="6"/>
  <c r="I16" i="6"/>
  <c r="I17" i="3"/>
  <c r="I19" i="3"/>
  <c r="I18" i="6"/>
  <c r="B192" i="3"/>
  <c r="C192" i="3" s="1"/>
  <c r="B190" i="3"/>
  <c r="C190" i="3" s="1"/>
  <c r="B191" i="3"/>
  <c r="C191" i="3" s="1"/>
  <c r="B185" i="3"/>
  <c r="C185" i="3" s="1"/>
  <c r="J60" i="3"/>
  <c r="J59" i="6"/>
  <c r="J61" i="3"/>
  <c r="J60" i="6"/>
  <c r="J61" i="6"/>
  <c r="J62" i="3"/>
  <c r="J63" i="3"/>
  <c r="J62" i="6"/>
  <c r="J65" i="3"/>
  <c r="J64" i="6"/>
  <c r="J65" i="6"/>
  <c r="J66" i="3"/>
  <c r="J67" i="3"/>
  <c r="J66" i="6"/>
  <c r="J68" i="3"/>
  <c r="J67" i="6"/>
  <c r="J69" i="3"/>
  <c r="J68" i="6"/>
  <c r="J69" i="6"/>
  <c r="J70" i="3"/>
  <c r="J72" i="3"/>
  <c r="J71" i="6"/>
  <c r="J73" i="3"/>
  <c r="J72" i="6"/>
  <c r="J73" i="6"/>
  <c r="J74" i="3"/>
  <c r="J75" i="3"/>
  <c r="J74" i="6"/>
  <c r="J76" i="3"/>
  <c r="J75" i="6"/>
  <c r="J77" i="3"/>
  <c r="J76" i="6"/>
  <c r="J77" i="6"/>
  <c r="J78" i="3"/>
  <c r="J79" i="3"/>
  <c r="J78" i="6"/>
  <c r="J80" i="3"/>
  <c r="J79" i="6"/>
  <c r="J81" i="3"/>
  <c r="J80" i="6"/>
  <c r="J81" i="6"/>
  <c r="J82" i="3"/>
  <c r="J83" i="3"/>
  <c r="J82" i="6"/>
  <c r="J84" i="3"/>
  <c r="J83" i="6"/>
  <c r="J84" i="6"/>
  <c r="J85" i="3"/>
  <c r="J86" i="3"/>
  <c r="J85" i="6"/>
  <c r="J86" i="6"/>
  <c r="J87" i="3"/>
  <c r="J88" i="3"/>
  <c r="J87" i="6"/>
  <c r="J89" i="3"/>
  <c r="J88" i="6"/>
  <c r="J89" i="6"/>
  <c r="J90" i="3"/>
  <c r="J91" i="3"/>
  <c r="J90" i="6"/>
  <c r="J92" i="3"/>
  <c r="J91" i="6"/>
  <c r="J93" i="3"/>
  <c r="J92" i="6"/>
  <c r="J93" i="6"/>
  <c r="J94" i="3"/>
  <c r="J95" i="3"/>
  <c r="J94" i="6"/>
  <c r="J95" i="6"/>
  <c r="J96" i="3"/>
  <c r="J96" i="6"/>
  <c r="J97" i="3"/>
  <c r="J98" i="3"/>
  <c r="J97" i="6"/>
  <c r="J99" i="3"/>
  <c r="J98" i="6"/>
  <c r="J100" i="3"/>
  <c r="J99" i="6"/>
  <c r="J101" i="3"/>
  <c r="J100" i="6"/>
  <c r="J101" i="6"/>
  <c r="J102" i="3"/>
  <c r="J103" i="3"/>
  <c r="J102" i="6"/>
  <c r="J105" i="3"/>
  <c r="J104" i="6"/>
  <c r="J105" i="6"/>
  <c r="J106" i="3"/>
  <c r="J107" i="3"/>
  <c r="J106" i="6"/>
  <c r="J108" i="3"/>
  <c r="J107" i="6"/>
  <c r="J109" i="3"/>
  <c r="J108" i="6"/>
  <c r="J109" i="6"/>
  <c r="J110" i="3"/>
  <c r="J111" i="3"/>
  <c r="J110" i="6"/>
  <c r="J112" i="3"/>
  <c r="J111" i="6"/>
  <c r="J113" i="3"/>
  <c r="J112" i="6"/>
  <c r="J113" i="6"/>
  <c r="J114" i="3"/>
  <c r="J115" i="3"/>
  <c r="J114" i="6"/>
  <c r="J116" i="3"/>
  <c r="J115" i="6"/>
  <c r="J117" i="3"/>
  <c r="J116" i="6"/>
  <c r="J118" i="3"/>
  <c r="J117" i="6"/>
  <c r="J118" i="6"/>
  <c r="J119" i="3"/>
  <c r="J119" i="6"/>
  <c r="J120" i="3"/>
  <c r="J121" i="3"/>
  <c r="J120" i="6"/>
  <c r="J121" i="6"/>
  <c r="J122" i="3"/>
  <c r="J123" i="3"/>
  <c r="J122" i="6"/>
  <c r="J124" i="3"/>
  <c r="J123" i="6"/>
  <c r="J125" i="3"/>
  <c r="J124" i="6"/>
  <c r="J125" i="6"/>
  <c r="J126" i="3"/>
  <c r="J127" i="3"/>
  <c r="J126" i="6"/>
  <c r="J128" i="3"/>
  <c r="J127" i="6"/>
  <c r="J129" i="3"/>
  <c r="J128" i="6"/>
  <c r="J129" i="6"/>
  <c r="J130" i="3"/>
  <c r="J131" i="3"/>
  <c r="J130" i="6"/>
  <c r="J133" i="3"/>
  <c r="J132" i="6"/>
  <c r="J133" i="6"/>
  <c r="J134" i="3"/>
  <c r="J135" i="3"/>
  <c r="J134" i="6"/>
  <c r="J136" i="3"/>
  <c r="J135" i="6"/>
  <c r="J137" i="3"/>
  <c r="J136" i="6"/>
  <c r="J137" i="6"/>
  <c r="J138" i="3"/>
  <c r="J139" i="3"/>
  <c r="J138" i="6"/>
  <c r="J140" i="3"/>
  <c r="J139" i="6"/>
  <c r="J140" i="6"/>
  <c r="J141" i="3"/>
  <c r="J142" i="3"/>
  <c r="J141" i="6"/>
  <c r="J143" i="3"/>
  <c r="J142" i="6"/>
  <c r="J143" i="6"/>
  <c r="J144" i="3"/>
  <c r="J145" i="3"/>
  <c r="J144" i="6"/>
  <c r="J145" i="6"/>
  <c r="J146" i="3"/>
  <c r="J147" i="3"/>
  <c r="J146" i="6"/>
  <c r="J147" i="6"/>
  <c r="J148" i="3"/>
  <c r="J149" i="3"/>
  <c r="J148" i="6"/>
  <c r="J150" i="3"/>
  <c r="J149" i="6"/>
  <c r="J151" i="3"/>
  <c r="J150" i="6"/>
  <c r="J151" i="6"/>
  <c r="J152" i="3"/>
  <c r="J153" i="3"/>
  <c r="J152" i="6"/>
  <c r="J154" i="3"/>
  <c r="J153" i="6"/>
  <c r="J155" i="3"/>
  <c r="J154" i="6"/>
  <c r="J155" i="6"/>
  <c r="J156" i="3"/>
  <c r="J157" i="3"/>
  <c r="J156" i="6"/>
  <c r="J158" i="3"/>
  <c r="J157" i="6"/>
  <c r="J159" i="3"/>
  <c r="J158" i="6"/>
  <c r="J159" i="6"/>
  <c r="J160" i="3"/>
  <c r="J161" i="3"/>
  <c r="J160" i="6"/>
  <c r="J161" i="6"/>
  <c r="J162" i="3"/>
  <c r="J163" i="3"/>
  <c r="J162" i="6"/>
  <c r="J163" i="6"/>
  <c r="J164" i="3"/>
  <c r="J165" i="3"/>
  <c r="J164" i="6"/>
  <c r="J166" i="3"/>
  <c r="J165" i="6"/>
  <c r="J167" i="3"/>
  <c r="J166" i="6"/>
  <c r="J167" i="6"/>
  <c r="J168" i="3"/>
  <c r="J169" i="3"/>
  <c r="J168" i="6"/>
  <c r="J170" i="3"/>
  <c r="J169" i="6"/>
  <c r="J171" i="3"/>
  <c r="S171" i="3" s="1"/>
  <c r="J170" i="6"/>
  <c r="J171" i="6"/>
  <c r="J172" i="3"/>
  <c r="S172" i="3" s="1"/>
  <c r="J173" i="3"/>
  <c r="S173" i="3" s="1"/>
  <c r="J172" i="6"/>
  <c r="J174" i="3"/>
  <c r="J173" i="6"/>
  <c r="J174" i="6"/>
  <c r="J175" i="3"/>
  <c r="J176" i="3"/>
  <c r="J175" i="6"/>
  <c r="J177" i="3"/>
  <c r="J176" i="6"/>
  <c r="H65" i="6"/>
  <c r="F66" i="3"/>
  <c r="V66" i="3" s="1"/>
  <c r="AA66" i="3" s="1"/>
  <c r="F67" i="3"/>
  <c r="V67" i="3" s="1"/>
  <c r="AA67" i="3" s="1"/>
  <c r="H66" i="6"/>
  <c r="F68" i="3"/>
  <c r="V68" i="3" s="1"/>
  <c r="AA68" i="3" s="1"/>
  <c r="H67" i="6"/>
  <c r="H68" i="6"/>
  <c r="F69" i="3"/>
  <c r="V69" i="3" s="1"/>
  <c r="AA69" i="3" s="1"/>
  <c r="H69" i="6"/>
  <c r="F70" i="3"/>
  <c r="V70" i="3" s="1"/>
  <c r="AA70" i="3" s="1"/>
  <c r="F71" i="3"/>
  <c r="V71" i="3" s="1"/>
  <c r="AA71" i="3" s="1"/>
  <c r="H70" i="6"/>
  <c r="F72" i="3"/>
  <c r="V72" i="3" s="1"/>
  <c r="AA72" i="3" s="1"/>
  <c r="H71" i="6"/>
  <c r="F73" i="3"/>
  <c r="V73" i="3" s="1"/>
  <c r="AA73" i="3" s="1"/>
  <c r="H72" i="6"/>
  <c r="H73" i="6"/>
  <c r="F74" i="3"/>
  <c r="V74" i="3" s="1"/>
  <c r="AA74" i="3" s="1"/>
  <c r="F75" i="3"/>
  <c r="V75" i="3" s="1"/>
  <c r="AA75" i="3" s="1"/>
  <c r="H74" i="6"/>
  <c r="F76" i="3"/>
  <c r="V76" i="3" s="1"/>
  <c r="AA76" i="3" s="1"/>
  <c r="H75" i="6"/>
  <c r="F77" i="3"/>
  <c r="V77" i="3" s="1"/>
  <c r="AA77" i="3" s="1"/>
  <c r="H76" i="6"/>
  <c r="H77" i="6"/>
  <c r="F78" i="3"/>
  <c r="V78" i="3" s="1"/>
  <c r="AA78" i="3" s="1"/>
  <c r="F79" i="3"/>
  <c r="V79" i="3" s="1"/>
  <c r="AA79" i="3" s="1"/>
  <c r="H78" i="6"/>
  <c r="F80" i="3"/>
  <c r="V80" i="3" s="1"/>
  <c r="AA80" i="3" s="1"/>
  <c r="H79" i="6"/>
  <c r="F81" i="3"/>
  <c r="V81" i="3" s="1"/>
  <c r="AA81" i="3" s="1"/>
  <c r="H80" i="6"/>
  <c r="H81" i="6"/>
  <c r="F82" i="3"/>
  <c r="V82" i="3" s="1"/>
  <c r="AA82" i="3" s="1"/>
  <c r="F83" i="3"/>
  <c r="V83" i="3" s="1"/>
  <c r="AA83" i="3" s="1"/>
  <c r="H82" i="6"/>
  <c r="F84" i="3"/>
  <c r="V84" i="3" s="1"/>
  <c r="AA84" i="3" s="1"/>
  <c r="H83" i="6"/>
  <c r="F85" i="3"/>
  <c r="V85" i="3" s="1"/>
  <c r="AA85" i="3" s="1"/>
  <c r="H84" i="6"/>
  <c r="H85" i="6"/>
  <c r="F86" i="3"/>
  <c r="V86" i="3" s="1"/>
  <c r="AA86" i="3" s="1"/>
  <c r="F87" i="3"/>
  <c r="V87" i="3" s="1"/>
  <c r="AA87" i="3" s="1"/>
  <c r="H86" i="6"/>
  <c r="F88" i="3"/>
  <c r="V88" i="3" s="1"/>
  <c r="AA88" i="3" s="1"/>
  <c r="H87" i="6"/>
  <c r="H88" i="6"/>
  <c r="F89" i="3"/>
  <c r="V89" i="3" s="1"/>
  <c r="AA89" i="3" s="1"/>
  <c r="F90" i="3"/>
  <c r="V90" i="3" s="1"/>
  <c r="AA90" i="3" s="1"/>
  <c r="H89" i="6"/>
  <c r="F91" i="3"/>
  <c r="V91" i="3" s="1"/>
  <c r="AA91" i="3" s="1"/>
  <c r="H90" i="6"/>
  <c r="H91" i="6"/>
  <c r="F92" i="3"/>
  <c r="V92" i="3" s="1"/>
  <c r="AA92" i="3" s="1"/>
  <c r="H92" i="6"/>
  <c r="F93" i="3"/>
  <c r="V93" i="3" s="1"/>
  <c r="AA93" i="3" s="1"/>
  <c r="F94" i="3"/>
  <c r="V94" i="3" s="1"/>
  <c r="AA94" i="3" s="1"/>
  <c r="H93" i="6"/>
  <c r="F95" i="3"/>
  <c r="V95" i="3" s="1"/>
  <c r="AA95" i="3" s="1"/>
  <c r="H94" i="6"/>
  <c r="F96" i="3"/>
  <c r="V96" i="3" s="1"/>
  <c r="AA96" i="3" s="1"/>
  <c r="H95" i="6"/>
  <c r="H96" i="6"/>
  <c r="F97" i="3"/>
  <c r="V97" i="3" s="1"/>
  <c r="AA97" i="3" s="1"/>
  <c r="F98" i="3"/>
  <c r="V98" i="3" s="1"/>
  <c r="AA98" i="3" s="1"/>
  <c r="H97" i="6"/>
  <c r="F99" i="3"/>
  <c r="V99" i="3" s="1"/>
  <c r="AA99" i="3" s="1"/>
  <c r="H98" i="6"/>
  <c r="F100" i="3"/>
  <c r="V100" i="3" s="1"/>
  <c r="AA100" i="3" s="1"/>
  <c r="H99" i="6"/>
  <c r="H100" i="6"/>
  <c r="F101" i="3"/>
  <c r="V101" i="3" s="1"/>
  <c r="AA101" i="3" s="1"/>
  <c r="F102" i="3"/>
  <c r="V102" i="3" s="1"/>
  <c r="AA102" i="3" s="1"/>
  <c r="H101" i="6"/>
  <c r="I14" i="3"/>
  <c r="I13" i="6"/>
  <c r="I15" i="3"/>
  <c r="I14" i="6"/>
  <c r="I18" i="3"/>
  <c r="I17" i="6"/>
  <c r="I20" i="3"/>
  <c r="R20" i="3" s="1"/>
  <c r="I19" i="6"/>
  <c r="I23" i="3"/>
  <c r="R23" i="3" s="1"/>
  <c r="I22" i="6"/>
  <c r="I24" i="6"/>
  <c r="I25" i="3"/>
  <c r="R25" i="3" s="1"/>
  <c r="I26" i="3"/>
  <c r="R26" i="3" s="1"/>
  <c r="I25" i="6"/>
  <c r="I168" i="6"/>
  <c r="I169" i="3"/>
  <c r="I172" i="6"/>
  <c r="I173" i="3"/>
  <c r="I176" i="3"/>
  <c r="R176" i="3" s="1"/>
  <c r="I175" i="6"/>
  <c r="J64" i="3"/>
  <c r="J63" i="6"/>
  <c r="J70" i="6"/>
  <c r="J71" i="3"/>
  <c r="S71" i="3" s="1"/>
  <c r="B189" i="3"/>
  <c r="C189" i="3" s="1"/>
  <c r="I33" i="6"/>
  <c r="I34" i="3"/>
  <c r="R34" i="3" s="1"/>
  <c r="I36" i="6"/>
  <c r="I37" i="3"/>
  <c r="R37" i="3" s="1"/>
  <c r="I50" i="3"/>
  <c r="I49" i="6"/>
  <c r="I54" i="3"/>
  <c r="I53" i="6"/>
  <c r="I56" i="6"/>
  <c r="I57" i="3"/>
  <c r="I59" i="3"/>
  <c r="I58" i="6"/>
  <c r="I60" i="6"/>
  <c r="F13" i="7" s="1"/>
  <c r="I61" i="3"/>
  <c r="R61" i="3" s="1"/>
  <c r="I63" i="3"/>
  <c r="R63" i="3" s="1"/>
  <c r="I62" i="6"/>
  <c r="I65" i="3"/>
  <c r="R65" i="3" s="1"/>
  <c r="I64" i="6"/>
  <c r="I66" i="6"/>
  <c r="I67" i="3"/>
  <c r="R67" i="3" s="1"/>
  <c r="I69" i="3"/>
  <c r="R69" i="3" s="1"/>
  <c r="I68" i="6"/>
  <c r="I70" i="6"/>
  <c r="I71" i="3"/>
  <c r="R71" i="3" s="1"/>
  <c r="I71" i="6"/>
  <c r="I72" i="3"/>
  <c r="R72" i="3" s="1"/>
  <c r="I73" i="6"/>
  <c r="I74" i="3"/>
  <c r="R74" i="3" s="1"/>
  <c r="I75" i="6"/>
  <c r="I76" i="3"/>
  <c r="I77" i="6"/>
  <c r="I78" i="3"/>
  <c r="I80" i="3"/>
  <c r="I79" i="6"/>
  <c r="I81" i="6"/>
  <c r="I82" i="3"/>
  <c r="I85" i="3"/>
  <c r="I84" i="6"/>
  <c r="I87" i="3"/>
  <c r="I86" i="6"/>
  <c r="I88" i="3"/>
  <c r="I87" i="6"/>
  <c r="I90" i="6"/>
  <c r="I91" i="3"/>
  <c r="I93" i="3"/>
  <c r="I92" i="6"/>
  <c r="I94" i="6"/>
  <c r="I95" i="3"/>
  <c r="I97" i="6"/>
  <c r="I98" i="3"/>
  <c r="I101" i="3"/>
  <c r="I100" i="6"/>
  <c r="I102" i="6"/>
  <c r="I103" i="3"/>
  <c r="I105" i="6"/>
  <c r="I106" i="3"/>
  <c r="I108" i="6"/>
  <c r="I109" i="3"/>
  <c r="I112" i="3"/>
  <c r="I111" i="6"/>
  <c r="I114" i="6"/>
  <c r="I115" i="3"/>
  <c r="I117" i="6"/>
  <c r="I118" i="3"/>
  <c r="I120" i="6"/>
  <c r="I121" i="3"/>
  <c r="I125" i="3"/>
  <c r="I124" i="6"/>
  <c r="I127" i="6"/>
  <c r="I128" i="3"/>
  <c r="I132" i="3"/>
  <c r="I131" i="6"/>
  <c r="I135" i="3"/>
  <c r="I134" i="6"/>
  <c r="I137" i="6"/>
  <c r="I138" i="3"/>
  <c r="I141" i="6"/>
  <c r="I142" i="3"/>
  <c r="I146" i="3"/>
  <c r="I145" i="6"/>
  <c r="I148" i="6"/>
  <c r="I149" i="3"/>
  <c r="I153" i="3"/>
  <c r="I152" i="6"/>
  <c r="I157" i="3"/>
  <c r="I156" i="6"/>
  <c r="I160" i="6"/>
  <c r="I161" i="3"/>
  <c r="I164" i="6"/>
  <c r="I165" i="3"/>
  <c r="I168" i="3"/>
  <c r="I167" i="6"/>
  <c r="I172" i="3"/>
  <c r="I171" i="6"/>
  <c r="I177" i="3"/>
  <c r="I176" i="6"/>
  <c r="H3" i="6"/>
  <c r="F4" i="3"/>
  <c r="V4" i="3" s="1"/>
  <c r="AA4" i="3" s="1"/>
  <c r="H4" i="6"/>
  <c r="F5" i="3"/>
  <c r="V5" i="3" s="1"/>
  <c r="AA5" i="3" s="1"/>
  <c r="F6" i="3"/>
  <c r="V6" i="3" s="1"/>
  <c r="AA6" i="3" s="1"/>
  <c r="H5" i="6"/>
  <c r="H6" i="6"/>
  <c r="F7" i="3"/>
  <c r="V7" i="3" s="1"/>
  <c r="AA7" i="3" s="1"/>
  <c r="H7" i="6"/>
  <c r="F8" i="3"/>
  <c r="V8" i="3" s="1"/>
  <c r="AA8" i="3" s="1"/>
  <c r="H8" i="6"/>
  <c r="F9" i="3"/>
  <c r="V9" i="3" s="1"/>
  <c r="AA9" i="3" s="1"/>
  <c r="F10" i="3"/>
  <c r="V10" i="3" s="1"/>
  <c r="AA10" i="3" s="1"/>
  <c r="H9" i="6"/>
  <c r="F11" i="3"/>
  <c r="V11" i="3" s="1"/>
  <c r="AA11" i="3" s="1"/>
  <c r="H10" i="6"/>
  <c r="H11" i="6"/>
  <c r="F12" i="3"/>
  <c r="V12" i="3" s="1"/>
  <c r="AA12" i="3" s="1"/>
  <c r="H12" i="6"/>
  <c r="F13" i="3"/>
  <c r="V13" i="3" s="1"/>
  <c r="AA13" i="3" s="1"/>
  <c r="F14" i="3"/>
  <c r="V14" i="3" s="1"/>
  <c r="AA14" i="3" s="1"/>
  <c r="H13" i="6"/>
  <c r="H14" i="6"/>
  <c r="F15" i="3"/>
  <c r="V15" i="3" s="1"/>
  <c r="AA15" i="3" s="1"/>
  <c r="F16" i="3"/>
  <c r="V16" i="3" s="1"/>
  <c r="AA16" i="3" s="1"/>
  <c r="H15" i="6"/>
  <c r="H16" i="6"/>
  <c r="F17" i="3"/>
  <c r="V17" i="3" s="1"/>
  <c r="AA17" i="3" s="1"/>
  <c r="F18" i="3"/>
  <c r="V18" i="3" s="1"/>
  <c r="AA18" i="3" s="1"/>
  <c r="H17" i="6"/>
  <c r="H18" i="6"/>
  <c r="F19" i="3"/>
  <c r="V19" i="3" s="1"/>
  <c r="AA19" i="3" s="1"/>
  <c r="F20" i="3"/>
  <c r="V20" i="3" s="1"/>
  <c r="AA20" i="3" s="1"/>
  <c r="H19" i="6"/>
  <c r="H20" i="6"/>
  <c r="F21" i="3"/>
  <c r="V21" i="3" s="1"/>
  <c r="AA21" i="3" s="1"/>
  <c r="F22" i="3"/>
  <c r="V22" i="3" s="1"/>
  <c r="AA22" i="3" s="1"/>
  <c r="H21" i="6"/>
  <c r="F23" i="3"/>
  <c r="V23" i="3" s="1"/>
  <c r="AA23" i="3" s="1"/>
  <c r="H22" i="6"/>
  <c r="H23" i="6"/>
  <c r="F24" i="3"/>
  <c r="V24" i="3" s="1"/>
  <c r="AA24" i="3" s="1"/>
  <c r="F25" i="3"/>
  <c r="V25" i="3" s="1"/>
  <c r="AA25" i="3" s="1"/>
  <c r="H24" i="6"/>
  <c r="F26" i="3"/>
  <c r="V26" i="3" s="1"/>
  <c r="AA26" i="3" s="1"/>
  <c r="H25" i="6"/>
  <c r="F27" i="3"/>
  <c r="V27" i="3" s="1"/>
  <c r="AA27" i="3" s="1"/>
  <c r="H26" i="6"/>
  <c r="F28" i="3"/>
  <c r="V28" i="3" s="1"/>
  <c r="AA28" i="3" s="1"/>
  <c r="H27" i="6"/>
  <c r="H28" i="6"/>
  <c r="F29" i="3"/>
  <c r="V29" i="3" s="1"/>
  <c r="AA29" i="3" s="1"/>
  <c r="F30" i="3"/>
  <c r="V30" i="3" s="1"/>
  <c r="AA30" i="3" s="1"/>
  <c r="H29" i="6"/>
  <c r="F31" i="3"/>
  <c r="V31" i="3" s="1"/>
  <c r="AA31" i="3" s="1"/>
  <c r="H30" i="6"/>
  <c r="H31" i="6"/>
  <c r="F32" i="3"/>
  <c r="V32" i="3" s="1"/>
  <c r="AA32" i="3" s="1"/>
  <c r="F33" i="3"/>
  <c r="V33" i="3" s="1"/>
  <c r="AA33" i="3" s="1"/>
  <c r="H32" i="6"/>
  <c r="F34" i="3"/>
  <c r="V34" i="3" s="1"/>
  <c r="AA34" i="3" s="1"/>
  <c r="H33" i="6"/>
  <c r="H34" i="6"/>
  <c r="F35" i="3"/>
  <c r="V35" i="3" s="1"/>
  <c r="AA35" i="3" s="1"/>
  <c r="H35" i="6"/>
  <c r="F36" i="3"/>
  <c r="V36" i="3" s="1"/>
  <c r="AA36" i="3" s="1"/>
  <c r="F37" i="3"/>
  <c r="V37" i="3" s="1"/>
  <c r="AA37" i="3" s="1"/>
  <c r="H36" i="6"/>
  <c r="F38" i="3"/>
  <c r="H37" i="6"/>
  <c r="F39" i="3"/>
  <c r="V39" i="3" s="1"/>
  <c r="AA39" i="3" s="1"/>
  <c r="H38" i="6"/>
  <c r="H39" i="6"/>
  <c r="F40" i="3"/>
  <c r="V40" i="3" s="1"/>
  <c r="AA40" i="3" s="1"/>
  <c r="F41" i="3"/>
  <c r="V41" i="3" s="1"/>
  <c r="AA41" i="3" s="1"/>
  <c r="H40" i="6"/>
  <c r="H41" i="6"/>
  <c r="F42" i="3"/>
  <c r="V42" i="3" s="1"/>
  <c r="AA42" i="3" s="1"/>
  <c r="H42" i="6"/>
  <c r="F43" i="3"/>
  <c r="V43" i="3" s="1"/>
  <c r="AA43" i="3" s="1"/>
  <c r="H43" i="6"/>
  <c r="F44" i="3"/>
  <c r="V44" i="3" s="1"/>
  <c r="AA44" i="3" s="1"/>
  <c r="H44" i="6"/>
  <c r="F45" i="3"/>
  <c r="V45" i="3" s="1"/>
  <c r="AA45" i="3" s="1"/>
  <c r="F46" i="3"/>
  <c r="V46" i="3" s="1"/>
  <c r="AA46" i="3" s="1"/>
  <c r="H45" i="6"/>
  <c r="H46" i="6"/>
  <c r="F47" i="3"/>
  <c r="V47" i="3" s="1"/>
  <c r="AA47" i="3" s="1"/>
  <c r="H47" i="6"/>
  <c r="F48" i="3"/>
  <c r="V48" i="3" s="1"/>
  <c r="AA48" i="3" s="1"/>
  <c r="F49" i="3"/>
  <c r="V49" i="3" s="1"/>
  <c r="AA49" i="3" s="1"/>
  <c r="H48" i="6"/>
  <c r="F50" i="3"/>
  <c r="V50" i="3" s="1"/>
  <c r="AA50" i="3" s="1"/>
  <c r="H49" i="6"/>
  <c r="F51" i="3"/>
  <c r="V51" i="3" s="1"/>
  <c r="AA51" i="3" s="1"/>
  <c r="H50" i="6"/>
  <c r="F52" i="3"/>
  <c r="V52" i="3" s="1"/>
  <c r="AA52" i="3" s="1"/>
  <c r="H51" i="6"/>
  <c r="F53" i="3"/>
  <c r="V53" i="3" s="1"/>
  <c r="AA53" i="3" s="1"/>
  <c r="H52" i="6"/>
  <c r="H53" i="6"/>
  <c r="F54" i="3"/>
  <c r="V54" i="3" s="1"/>
  <c r="AA54" i="3" s="1"/>
  <c r="F55" i="3"/>
  <c r="V55" i="3" s="1"/>
  <c r="AA55" i="3" s="1"/>
  <c r="H54" i="6"/>
  <c r="F56" i="3"/>
  <c r="V56" i="3" s="1"/>
  <c r="AA56" i="3" s="1"/>
  <c r="H55" i="6"/>
  <c r="F57" i="3"/>
  <c r="V57" i="3" s="1"/>
  <c r="AA57" i="3" s="1"/>
  <c r="H56" i="6"/>
  <c r="H57" i="6"/>
  <c r="F58" i="3"/>
  <c r="V58" i="3" s="1"/>
  <c r="AA58" i="3" s="1"/>
  <c r="F59" i="3"/>
  <c r="V59" i="3" s="1"/>
  <c r="AA59" i="3" s="1"/>
  <c r="H58" i="6"/>
  <c r="F60" i="3"/>
  <c r="V60" i="3" s="1"/>
  <c r="AA60" i="3" s="1"/>
  <c r="H59" i="6"/>
  <c r="F61" i="3"/>
  <c r="V61" i="3" s="1"/>
  <c r="AA61" i="3" s="1"/>
  <c r="H60" i="6"/>
  <c r="H61" i="6"/>
  <c r="F62" i="3"/>
  <c r="V62" i="3" s="1"/>
  <c r="AA62" i="3" s="1"/>
  <c r="F63" i="3"/>
  <c r="V63" i="3" s="1"/>
  <c r="AA63" i="3" s="1"/>
  <c r="H62" i="6"/>
  <c r="F64" i="3"/>
  <c r="V64" i="3" s="1"/>
  <c r="AA64" i="3" s="1"/>
  <c r="H63" i="6"/>
  <c r="F65" i="3"/>
  <c r="V65" i="3" s="1"/>
  <c r="AA65" i="3" s="1"/>
  <c r="H64" i="6"/>
  <c r="I4" i="3"/>
  <c r="I3" i="6"/>
  <c r="I6" i="6"/>
  <c r="I7" i="3"/>
  <c r="I7" i="6"/>
  <c r="I8" i="3"/>
  <c r="I10" i="6"/>
  <c r="I11" i="3"/>
  <c r="I28" i="3"/>
  <c r="I27" i="6"/>
  <c r="I29" i="6"/>
  <c r="I30" i="3"/>
  <c r="I31" i="3"/>
  <c r="I30" i="6"/>
  <c r="I32" i="3"/>
  <c r="I31" i="6"/>
  <c r="I32" i="6"/>
  <c r="I33" i="3"/>
  <c r="I35" i="3"/>
  <c r="I34" i="6"/>
  <c r="I36" i="3"/>
  <c r="I35" i="6"/>
  <c r="I38" i="3"/>
  <c r="I37" i="6"/>
  <c r="I38" i="6"/>
  <c r="I39" i="3"/>
  <c r="I39" i="6"/>
  <c r="I40" i="3"/>
  <c r="I41" i="3"/>
  <c r="I40" i="6"/>
  <c r="I42" i="3"/>
  <c r="I41" i="6"/>
  <c r="I42" i="6"/>
  <c r="I43" i="3"/>
  <c r="I43" i="6"/>
  <c r="I44" i="3"/>
  <c r="I45" i="3"/>
  <c r="I44" i="6"/>
  <c r="I45" i="6"/>
  <c r="I46" i="3"/>
  <c r="I47" i="3"/>
  <c r="I46" i="6"/>
  <c r="I48" i="3"/>
  <c r="I47" i="6"/>
  <c r="I48" i="6"/>
  <c r="I49" i="3"/>
  <c r="I50" i="6"/>
  <c r="I51" i="3"/>
  <c r="I51" i="6"/>
  <c r="I52" i="3"/>
  <c r="I52" i="6"/>
  <c r="I53" i="3"/>
  <c r="I55" i="3"/>
  <c r="I54" i="6"/>
  <c r="I56" i="3"/>
  <c r="I55" i="6"/>
  <c r="I57" i="6"/>
  <c r="I58" i="3"/>
  <c r="I60" i="3"/>
  <c r="I59" i="6"/>
  <c r="I61" i="6"/>
  <c r="I62" i="3"/>
  <c r="I64" i="3"/>
  <c r="I63" i="6"/>
  <c r="I66" i="3"/>
  <c r="I65" i="6"/>
  <c r="I67" i="6"/>
  <c r="I68" i="3"/>
  <c r="I69" i="6"/>
  <c r="I70" i="3"/>
  <c r="I96" i="6"/>
  <c r="I97" i="3"/>
  <c r="I99" i="6"/>
  <c r="I100" i="3"/>
  <c r="I101" i="6"/>
  <c r="I102" i="3"/>
  <c r="I104" i="6"/>
  <c r="I105" i="3"/>
  <c r="I108" i="3"/>
  <c r="I107" i="6"/>
  <c r="I111" i="3"/>
  <c r="I110" i="6"/>
  <c r="I114" i="3"/>
  <c r="I113" i="6"/>
  <c r="I117" i="3"/>
  <c r="I116" i="6"/>
  <c r="I119" i="6"/>
  <c r="I120" i="3"/>
  <c r="I123" i="3"/>
  <c r="I122" i="6"/>
  <c r="I126" i="3"/>
  <c r="I125" i="6"/>
  <c r="I128" i="6"/>
  <c r="I129" i="3"/>
  <c r="I132" i="6"/>
  <c r="I133" i="3"/>
  <c r="I136" i="3"/>
  <c r="I135" i="6"/>
  <c r="I139" i="6"/>
  <c r="I140" i="3"/>
  <c r="I143" i="6"/>
  <c r="I144" i="3"/>
  <c r="I147" i="6"/>
  <c r="I148" i="3"/>
  <c r="I151" i="6"/>
  <c r="I152" i="3"/>
  <c r="I155" i="3"/>
  <c r="I154" i="6"/>
  <c r="I159" i="3"/>
  <c r="I158" i="6"/>
  <c r="I161" i="6"/>
  <c r="I162" i="3"/>
  <c r="I165" i="6"/>
  <c r="I166" i="3"/>
  <c r="I170" i="3"/>
  <c r="I169" i="6"/>
  <c r="I173" i="6"/>
  <c r="I174" i="3"/>
  <c r="H102" i="6"/>
  <c r="F103" i="3"/>
  <c r="V103" i="3" s="1"/>
  <c r="AA103" i="3" s="1"/>
  <c r="F104" i="3"/>
  <c r="V104" i="3" s="1"/>
  <c r="AA104" i="3" s="1"/>
  <c r="H103" i="6"/>
  <c r="H104" i="6"/>
  <c r="F105" i="3"/>
  <c r="V105" i="3" s="1"/>
  <c r="AA105" i="3" s="1"/>
  <c r="F106" i="3"/>
  <c r="V106" i="3" s="1"/>
  <c r="AA106" i="3" s="1"/>
  <c r="H105" i="6"/>
  <c r="H106" i="6"/>
  <c r="F107" i="3"/>
  <c r="V107" i="3" s="1"/>
  <c r="AA107" i="3" s="1"/>
  <c r="F108" i="3"/>
  <c r="V108" i="3" s="1"/>
  <c r="AA108" i="3" s="1"/>
  <c r="H107" i="6"/>
  <c r="H108" i="6"/>
  <c r="F109" i="3"/>
  <c r="V109" i="3" s="1"/>
  <c r="AA109" i="3" s="1"/>
  <c r="F110" i="3"/>
  <c r="V110" i="3" s="1"/>
  <c r="AA110" i="3" s="1"/>
  <c r="H109" i="6"/>
  <c r="F111" i="3"/>
  <c r="V111" i="3" s="1"/>
  <c r="AA111" i="3" s="1"/>
  <c r="H110" i="6"/>
  <c r="F112" i="3"/>
  <c r="V112" i="3" s="1"/>
  <c r="AA112" i="3" s="1"/>
  <c r="H111" i="6"/>
  <c r="F113" i="3"/>
  <c r="V113" i="3" s="1"/>
  <c r="AA113" i="3" s="1"/>
  <c r="H112" i="6"/>
  <c r="H113" i="6"/>
  <c r="F114" i="3"/>
  <c r="V114" i="3" s="1"/>
  <c r="AA114" i="3" s="1"/>
  <c r="F115" i="3"/>
  <c r="V115" i="3" s="1"/>
  <c r="AA115" i="3" s="1"/>
  <c r="H114" i="6"/>
  <c r="F116" i="3"/>
  <c r="V116" i="3" s="1"/>
  <c r="AA116" i="3" s="1"/>
  <c r="H115" i="6"/>
  <c r="F117" i="3"/>
  <c r="V117" i="3" s="1"/>
  <c r="AA117" i="3" s="1"/>
  <c r="H116" i="6"/>
  <c r="H117" i="6"/>
  <c r="F118" i="3"/>
  <c r="V118" i="3" s="1"/>
  <c r="AA118" i="3" s="1"/>
  <c r="F119" i="3"/>
  <c r="V119" i="3" s="1"/>
  <c r="AA119" i="3" s="1"/>
  <c r="H118" i="6"/>
  <c r="H119" i="6"/>
  <c r="F120" i="3"/>
  <c r="V120" i="3" s="1"/>
  <c r="AA120" i="3" s="1"/>
  <c r="F121" i="3"/>
  <c r="V121" i="3" s="1"/>
  <c r="AA121" i="3" s="1"/>
  <c r="H120" i="6"/>
  <c r="F122" i="3"/>
  <c r="V122" i="3" s="1"/>
  <c r="AA122" i="3" s="1"/>
  <c r="H121" i="6"/>
  <c r="H122" i="6"/>
  <c r="F123" i="3"/>
  <c r="V123" i="3" s="1"/>
  <c r="AA123" i="3" s="1"/>
  <c r="F124" i="3"/>
  <c r="V124" i="3" s="1"/>
  <c r="AA124" i="3" s="1"/>
  <c r="H123" i="6"/>
  <c r="F125" i="3"/>
  <c r="V125" i="3" s="1"/>
  <c r="AA125" i="3" s="1"/>
  <c r="H124" i="6"/>
  <c r="F126" i="3"/>
  <c r="V126" i="3" s="1"/>
  <c r="AA126" i="3" s="1"/>
  <c r="H125" i="6"/>
  <c r="H126" i="6"/>
  <c r="F127" i="3"/>
  <c r="V127" i="3" s="1"/>
  <c r="AA127" i="3" s="1"/>
  <c r="F128" i="3"/>
  <c r="V128" i="3" s="1"/>
  <c r="AA128" i="3" s="1"/>
  <c r="H127" i="6"/>
  <c r="H128" i="6"/>
  <c r="F129" i="3"/>
  <c r="V129" i="3" s="1"/>
  <c r="AA129" i="3" s="1"/>
  <c r="F130" i="3"/>
  <c r="V130" i="3" s="1"/>
  <c r="AA130" i="3" s="1"/>
  <c r="H129" i="6"/>
  <c r="F131" i="3"/>
  <c r="V131" i="3" s="1"/>
  <c r="AA131" i="3" s="1"/>
  <c r="H130" i="6"/>
  <c r="H131" i="6"/>
  <c r="F132" i="3"/>
  <c r="V132" i="3" s="1"/>
  <c r="AA132" i="3" s="1"/>
  <c r="H132" i="6"/>
  <c r="F133" i="3"/>
  <c r="V133" i="3" s="1"/>
  <c r="AA133" i="3" s="1"/>
  <c r="F134" i="3"/>
  <c r="V134" i="3" s="1"/>
  <c r="AA134" i="3" s="1"/>
  <c r="H133" i="6"/>
  <c r="F135" i="3"/>
  <c r="V135" i="3" s="1"/>
  <c r="AA135" i="3" s="1"/>
  <c r="H134" i="6"/>
  <c r="F136" i="3"/>
  <c r="V136" i="3" s="1"/>
  <c r="AA136" i="3" s="1"/>
  <c r="H135" i="6"/>
  <c r="H136" i="6"/>
  <c r="F137" i="3"/>
  <c r="V137" i="3" s="1"/>
  <c r="AA137" i="3" s="1"/>
  <c r="F138" i="3"/>
  <c r="V138" i="3" s="1"/>
  <c r="AA138" i="3" s="1"/>
  <c r="H137" i="6"/>
  <c r="F139" i="3"/>
  <c r="V139" i="3" s="1"/>
  <c r="AA139" i="3" s="1"/>
  <c r="H138" i="6"/>
  <c r="F140" i="3"/>
  <c r="V140" i="3" s="1"/>
  <c r="AA140" i="3" s="1"/>
  <c r="H139" i="6"/>
  <c r="F141" i="3"/>
  <c r="V141" i="3" s="1"/>
  <c r="AA141" i="3" s="1"/>
  <c r="H140" i="6"/>
  <c r="H141" i="6"/>
  <c r="F142" i="3"/>
  <c r="V142" i="3" s="1"/>
  <c r="AA142" i="3" s="1"/>
  <c r="H142" i="6"/>
  <c r="F143" i="3"/>
  <c r="V143" i="3" s="1"/>
  <c r="AA143" i="3" s="1"/>
  <c r="H143" i="6"/>
  <c r="F144" i="3"/>
  <c r="V144" i="3" s="1"/>
  <c r="AA144" i="3" s="1"/>
  <c r="F145" i="3"/>
  <c r="V145" i="3" s="1"/>
  <c r="AA145" i="3" s="1"/>
  <c r="H144" i="6"/>
  <c r="F146" i="3"/>
  <c r="V146" i="3" s="1"/>
  <c r="AA146" i="3" s="1"/>
  <c r="H145" i="6"/>
  <c r="H146" i="6"/>
  <c r="F147" i="3"/>
  <c r="V147" i="3" s="1"/>
  <c r="AA147" i="3" s="1"/>
  <c r="F148" i="3"/>
  <c r="V148" i="3" s="1"/>
  <c r="AA148" i="3" s="1"/>
  <c r="H147" i="6"/>
  <c r="H148" i="6"/>
  <c r="F149" i="3"/>
  <c r="V149" i="3" s="1"/>
  <c r="AA149" i="3" s="1"/>
  <c r="H152" i="6"/>
  <c r="F153" i="3"/>
  <c r="V153" i="3" s="1"/>
  <c r="AA153" i="3" s="1"/>
  <c r="F154" i="3"/>
  <c r="V154" i="3" s="1"/>
  <c r="AA154" i="3" s="1"/>
  <c r="H153" i="6"/>
  <c r="H154" i="6"/>
  <c r="F155" i="3"/>
  <c r="V155" i="3" s="1"/>
  <c r="AA155" i="3" s="1"/>
  <c r="F156" i="3"/>
  <c r="V156" i="3" s="1"/>
  <c r="AA156" i="3" s="1"/>
  <c r="H155" i="6"/>
  <c r="F157" i="3"/>
  <c r="V157" i="3" s="1"/>
  <c r="AA157" i="3" s="1"/>
  <c r="H156" i="6"/>
  <c r="H157" i="6"/>
  <c r="F158" i="3"/>
  <c r="V158" i="3" s="1"/>
  <c r="AA158" i="3" s="1"/>
  <c r="H158" i="6"/>
  <c r="F159" i="3"/>
  <c r="V159" i="3" s="1"/>
  <c r="AA159" i="3" s="1"/>
  <c r="F160" i="3"/>
  <c r="V160" i="3" s="1"/>
  <c r="AA160" i="3" s="1"/>
  <c r="H159" i="6"/>
  <c r="F161" i="3"/>
  <c r="V161" i="3" s="1"/>
  <c r="AA161" i="3" s="1"/>
  <c r="H160" i="6"/>
  <c r="H161" i="6"/>
  <c r="F162" i="3"/>
  <c r="V162" i="3" s="1"/>
  <c r="AA162" i="3" s="1"/>
  <c r="H162" i="6"/>
  <c r="F163" i="3"/>
  <c r="V163" i="3" s="1"/>
  <c r="AA163" i="3" s="1"/>
  <c r="H163" i="6"/>
  <c r="F164" i="3"/>
  <c r="V164" i="3" s="1"/>
  <c r="AA164" i="3" s="1"/>
  <c r="H164" i="6"/>
  <c r="F165" i="3"/>
  <c r="V165" i="3" s="1"/>
  <c r="AA165" i="3" s="1"/>
  <c r="H165" i="6"/>
  <c r="F166" i="3"/>
  <c r="V166" i="3" s="1"/>
  <c r="AA166" i="3" s="1"/>
  <c r="H166" i="6"/>
  <c r="F167" i="3"/>
  <c r="V167" i="3" s="1"/>
  <c r="AA167" i="3" s="1"/>
  <c r="F168" i="3"/>
  <c r="V168" i="3" s="1"/>
  <c r="AA168" i="3" s="1"/>
  <c r="H167" i="6"/>
  <c r="H168" i="6"/>
  <c r="F169" i="3"/>
  <c r="V169" i="3" s="1"/>
  <c r="AA169" i="3" s="1"/>
  <c r="F170" i="3"/>
  <c r="V170" i="3" s="1"/>
  <c r="AA170" i="3" s="1"/>
  <c r="H169" i="6"/>
  <c r="F171" i="3"/>
  <c r="V171" i="3" s="1"/>
  <c r="AA171" i="3" s="1"/>
  <c r="H170" i="6"/>
  <c r="H171" i="6"/>
  <c r="F172" i="3"/>
  <c r="V172" i="3" s="1"/>
  <c r="AA172" i="3" s="1"/>
  <c r="H172" i="6"/>
  <c r="F173" i="3"/>
  <c r="V173" i="3" s="1"/>
  <c r="AA173" i="3" s="1"/>
  <c r="H173" i="6"/>
  <c r="F174" i="3"/>
  <c r="V174" i="3" s="1"/>
  <c r="AA174" i="3" s="1"/>
  <c r="F175" i="3"/>
  <c r="V175" i="3" s="1"/>
  <c r="AA175" i="3" s="1"/>
  <c r="H174" i="6"/>
  <c r="H175" i="6"/>
  <c r="F176" i="3"/>
  <c r="V176" i="3" s="1"/>
  <c r="AA176" i="3" s="1"/>
  <c r="F177" i="3"/>
  <c r="V177" i="3" s="1"/>
  <c r="AA177" i="3" s="1"/>
  <c r="H176" i="6"/>
  <c r="I129" i="6"/>
  <c r="I130" i="3"/>
  <c r="I136" i="6"/>
  <c r="I137" i="3"/>
  <c r="I141" i="3"/>
  <c r="I140" i="6"/>
  <c r="I145" i="3"/>
  <c r="I144" i="6"/>
  <c r="I150" i="3"/>
  <c r="I149" i="6"/>
  <c r="I154" i="3"/>
  <c r="I153" i="6"/>
  <c r="I157" i="6"/>
  <c r="I158" i="3"/>
  <c r="I162" i="6"/>
  <c r="I163" i="3"/>
  <c r="I166" i="6"/>
  <c r="I167" i="3"/>
  <c r="I171" i="3"/>
  <c r="I170" i="6"/>
  <c r="I175" i="3"/>
  <c r="I174" i="6"/>
  <c r="F17" i="7" s="1"/>
  <c r="I5" i="6"/>
  <c r="I6" i="3"/>
  <c r="I10" i="3"/>
  <c r="I9" i="6"/>
  <c r="I13" i="3"/>
  <c r="I12" i="6"/>
  <c r="I15" i="6"/>
  <c r="I16" i="3"/>
  <c r="I21" i="3"/>
  <c r="I20" i="6"/>
  <c r="I21" i="6"/>
  <c r="I22" i="3"/>
  <c r="I23" i="6"/>
  <c r="I24" i="3"/>
  <c r="I26" i="6"/>
  <c r="I27" i="3"/>
  <c r="I28" i="6"/>
  <c r="I29" i="3"/>
  <c r="I73" i="3"/>
  <c r="I72" i="6"/>
  <c r="I75" i="3"/>
  <c r="I74" i="6"/>
  <c r="I77" i="3"/>
  <c r="I76" i="6"/>
  <c r="I78" i="6"/>
  <c r="I79" i="3"/>
  <c r="I80" i="6"/>
  <c r="I81" i="3"/>
  <c r="I82" i="6"/>
  <c r="I83" i="3"/>
  <c r="I83" i="6"/>
  <c r="I84" i="3"/>
  <c r="I86" i="3"/>
  <c r="I85" i="6"/>
  <c r="I89" i="3"/>
  <c r="I88" i="6"/>
  <c r="I90" i="3"/>
  <c r="I89" i="6"/>
  <c r="I92" i="3"/>
  <c r="I91" i="6"/>
  <c r="I93" i="6"/>
  <c r="I94" i="3"/>
  <c r="I96" i="3"/>
  <c r="I95" i="6"/>
  <c r="I98" i="6"/>
  <c r="I99" i="3"/>
  <c r="I103" i="6"/>
  <c r="I104" i="3"/>
  <c r="I107" i="3"/>
  <c r="I106" i="6"/>
  <c r="I109" i="6"/>
  <c r="I110" i="3"/>
  <c r="I112" i="6"/>
  <c r="I113" i="3"/>
  <c r="I116" i="3"/>
  <c r="I115" i="6"/>
  <c r="I118" i="6"/>
  <c r="I119" i="3"/>
  <c r="I122" i="3"/>
  <c r="I121" i="6"/>
  <c r="I124" i="3"/>
  <c r="I123" i="6"/>
  <c r="I127" i="3"/>
  <c r="I126" i="6"/>
  <c r="I130" i="6"/>
  <c r="I131" i="3"/>
  <c r="I134" i="3"/>
  <c r="I133" i="6"/>
  <c r="I139" i="3"/>
  <c r="I138" i="6"/>
  <c r="I143" i="3"/>
  <c r="I142" i="6"/>
  <c r="I146" i="6"/>
  <c r="I147" i="3"/>
  <c r="I151" i="3"/>
  <c r="I150" i="6"/>
  <c r="I155" i="6"/>
  <c r="I156" i="3"/>
  <c r="I160" i="3"/>
  <c r="I159" i="6"/>
  <c r="I163" i="6"/>
  <c r="I164" i="3"/>
  <c r="J103" i="6"/>
  <c r="J104" i="3"/>
  <c r="J131" i="6"/>
  <c r="J132" i="3"/>
  <c r="B193" i="3"/>
  <c r="C193" i="3" s="1"/>
  <c r="F150" i="3"/>
  <c r="V150" i="3" s="1"/>
  <c r="AA150" i="3" s="1"/>
  <c r="H149" i="6"/>
  <c r="H151" i="6"/>
  <c r="F152" i="3"/>
  <c r="V152" i="3" s="1"/>
  <c r="AA152" i="3" s="1"/>
  <c r="F151" i="3"/>
  <c r="V151" i="3" s="1"/>
  <c r="AA151" i="3" s="1"/>
  <c r="H150" i="6"/>
  <c r="K9" i="7"/>
  <c r="K14" i="7"/>
  <c r="L12" i="7"/>
  <c r="K12" i="7"/>
  <c r="I12" i="7"/>
  <c r="E12" i="7"/>
  <c r="B12" i="7"/>
  <c r="B11" i="7"/>
  <c r="B4" i="7"/>
  <c r="B7" i="7"/>
  <c r="B10" i="7"/>
  <c r="B8" i="7"/>
  <c r="B5" i="7"/>
  <c r="B6" i="7"/>
  <c r="B16" i="7"/>
  <c r="B15" i="7"/>
  <c r="B13" i="7"/>
  <c r="B14" i="7"/>
  <c r="B9" i="7"/>
  <c r="F12"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AP76" i="5" l="1"/>
  <c r="AT76" i="5" s="1"/>
  <c r="AP80" i="5"/>
  <c r="AP83" i="5"/>
  <c r="AT83" i="5" s="1"/>
  <c r="AP85" i="5"/>
  <c r="AP78" i="5"/>
  <c r="AT78" i="5" s="1"/>
  <c r="AP82" i="5"/>
  <c r="S174" i="3"/>
  <c r="S175" i="3"/>
  <c r="S176" i="3"/>
  <c r="S177" i="3"/>
  <c r="AP72" i="5"/>
  <c r="AP74" i="5"/>
  <c r="AP88" i="5"/>
  <c r="AT88" i="5" s="1"/>
  <c r="AP89" i="5"/>
  <c r="AT89" i="5" s="1"/>
  <c r="AP91" i="5"/>
  <c r="AT91" i="5" s="1"/>
  <c r="AP93" i="5"/>
  <c r="AT93" i="5" s="1"/>
  <c r="AP95" i="5"/>
  <c r="AT95" i="5" s="1"/>
  <c r="AP98" i="5"/>
  <c r="AT98" i="5" s="1"/>
  <c r="R14" i="3"/>
  <c r="R15" i="3"/>
  <c r="R18" i="3"/>
  <c r="R169" i="3"/>
  <c r="R173" i="3"/>
  <c r="R50" i="3"/>
  <c r="R54" i="3"/>
  <c r="R57" i="3"/>
  <c r="R59" i="3"/>
  <c r="S4" i="3"/>
  <c r="S5" i="3"/>
  <c r="S6" i="3"/>
  <c r="S7" i="3"/>
  <c r="S8" i="3"/>
  <c r="S9" i="3"/>
  <c r="S10" i="3"/>
  <c r="S11" i="3"/>
  <c r="S12" i="3"/>
  <c r="S13" i="3"/>
  <c r="S14" i="3"/>
  <c r="S15" i="3"/>
  <c r="S16" i="3"/>
  <c r="S17" i="3"/>
  <c r="S18" i="3"/>
  <c r="S19" i="3"/>
  <c r="S20" i="3"/>
  <c r="S21" i="3"/>
  <c r="S22" i="3"/>
  <c r="S23" i="3"/>
  <c r="S24"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AP81" i="5"/>
  <c r="AT81" i="5" s="1"/>
  <c r="AP87" i="5"/>
  <c r="AT87" i="5" s="1"/>
  <c r="AP90" i="5"/>
  <c r="AT90" i="5" s="1"/>
  <c r="AM91" i="3" s="1"/>
  <c r="AP92" i="5"/>
  <c r="AT92" i="5" s="1"/>
  <c r="AP97" i="5"/>
  <c r="AT97" i="5" s="1"/>
  <c r="AM98" i="3" s="1"/>
  <c r="AP100" i="5"/>
  <c r="AT100" i="5" s="1"/>
  <c r="AM101" i="3" s="1"/>
  <c r="R5" i="3"/>
  <c r="R9" i="3"/>
  <c r="R12" i="3"/>
  <c r="R17" i="3"/>
  <c r="R19" i="3"/>
  <c r="S60" i="3"/>
  <c r="S61" i="3"/>
  <c r="S62" i="3"/>
  <c r="S63" i="3"/>
  <c r="S65" i="3"/>
  <c r="S103"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AP65" i="5"/>
  <c r="AT65" i="5" s="1"/>
  <c r="AP67" i="5"/>
  <c r="AT67" i="5" s="1"/>
  <c r="AM68" i="3" s="1"/>
  <c r="AP69" i="5"/>
  <c r="AT69" i="5" s="1"/>
  <c r="AM70" i="3" s="1"/>
  <c r="AP77" i="5"/>
  <c r="AT77" i="5" s="1"/>
  <c r="AP79" i="5"/>
  <c r="AT79" i="5" s="1"/>
  <c r="AM80" i="3" s="1"/>
  <c r="AP84" i="5"/>
  <c r="AT84" i="5" s="1"/>
  <c r="AP86" i="5"/>
  <c r="AT86" i="5" s="1"/>
  <c r="AM87" i="3" s="1"/>
  <c r="AP94" i="5"/>
  <c r="AT94" i="5" s="1"/>
  <c r="AP96" i="5"/>
  <c r="AT96" i="5" s="1"/>
  <c r="AM97" i="3" s="1"/>
  <c r="AP99" i="5"/>
  <c r="AT99" i="5" s="1"/>
  <c r="AM100" i="3" s="1"/>
  <c r="AP101" i="5"/>
  <c r="AT101" i="5" s="1"/>
  <c r="AM102" i="3" s="1"/>
  <c r="S64" i="3"/>
  <c r="S104" i="3"/>
  <c r="S132" i="3"/>
  <c r="S25" i="3"/>
  <c r="S66" i="3"/>
  <c r="S67" i="3"/>
  <c r="S68" i="3"/>
  <c r="S69" i="3"/>
  <c r="S70" i="3"/>
  <c r="S73" i="3"/>
  <c r="S75" i="3"/>
  <c r="S76" i="3"/>
  <c r="S77" i="3"/>
  <c r="S78" i="3"/>
  <c r="S81" i="3"/>
  <c r="S83" i="3"/>
  <c r="S84" i="3"/>
  <c r="S85" i="3"/>
  <c r="S87" i="3"/>
  <c r="S88" i="3"/>
  <c r="S90" i="3"/>
  <c r="S91" i="3"/>
  <c r="S93" i="3"/>
  <c r="S94" i="3"/>
  <c r="S95" i="3"/>
  <c r="S96" i="3"/>
  <c r="S97" i="3"/>
  <c r="S98" i="3"/>
  <c r="S99" i="3"/>
  <c r="S100" i="3"/>
  <c r="S102" i="3"/>
  <c r="AP66" i="5"/>
  <c r="AT66" i="5" s="1"/>
  <c r="AP70" i="5"/>
  <c r="AT70" i="5" s="1"/>
  <c r="AP71" i="5"/>
  <c r="AT71" i="5" s="1"/>
  <c r="AP73" i="5"/>
  <c r="AT73" i="5" s="1"/>
  <c r="R76" i="3"/>
  <c r="R78" i="3"/>
  <c r="R80" i="3"/>
  <c r="R82" i="3"/>
  <c r="R85" i="3"/>
  <c r="R87" i="3"/>
  <c r="R88" i="3"/>
  <c r="R91" i="3"/>
  <c r="R93" i="3"/>
  <c r="R95" i="3"/>
  <c r="R98" i="3"/>
  <c r="R101" i="3"/>
  <c r="R103" i="3"/>
  <c r="R106" i="3"/>
  <c r="R109" i="3"/>
  <c r="R112" i="3"/>
  <c r="R115" i="3"/>
  <c r="R118" i="3"/>
  <c r="R121" i="3"/>
  <c r="R125" i="3"/>
  <c r="R128" i="3"/>
  <c r="R132" i="3"/>
  <c r="R135" i="3"/>
  <c r="R138" i="3"/>
  <c r="R142" i="3"/>
  <c r="R146" i="3"/>
  <c r="R149" i="3"/>
  <c r="R153" i="3"/>
  <c r="R157" i="3"/>
  <c r="R161" i="3"/>
  <c r="R165" i="3"/>
  <c r="R168" i="3"/>
  <c r="R172" i="3"/>
  <c r="R177" i="3"/>
  <c r="AP3" i="5"/>
  <c r="AP4" i="5"/>
  <c r="AT4" i="5" s="1"/>
  <c r="AP5" i="5"/>
  <c r="AT5" i="5" s="1"/>
  <c r="AP6" i="5"/>
  <c r="AT6" i="5" s="1"/>
  <c r="AP7" i="5"/>
  <c r="AT7" i="5" s="1"/>
  <c r="AP8" i="5"/>
  <c r="AT8" i="5" s="1"/>
  <c r="AP24" i="5"/>
  <c r="AT24" i="5" s="1"/>
  <c r="AP25" i="5"/>
  <c r="AT25" i="5" s="1"/>
  <c r="AP26" i="5"/>
  <c r="AT26" i="5" s="1"/>
  <c r="AP27" i="5"/>
  <c r="AT27" i="5" s="1"/>
  <c r="AP28" i="5"/>
  <c r="AT28" i="5" s="1"/>
  <c r="AP29" i="5"/>
  <c r="AT29" i="5" s="1"/>
  <c r="AP30" i="5"/>
  <c r="AT30" i="5" s="1"/>
  <c r="AP31" i="5"/>
  <c r="AT31" i="5" s="1"/>
  <c r="AP32" i="5"/>
  <c r="AT32" i="5" s="1"/>
  <c r="AM33" i="3" s="1"/>
  <c r="AP33" i="5"/>
  <c r="AT33" i="5" s="1"/>
  <c r="AM34" i="3" s="1"/>
  <c r="AP34" i="5"/>
  <c r="AT34" i="5" s="1"/>
  <c r="AM35" i="3" s="1"/>
  <c r="AP35" i="5"/>
  <c r="AT35" i="5" s="1"/>
  <c r="AM36" i="3" s="1"/>
  <c r="AP36" i="5"/>
  <c r="AT36" i="5" s="1"/>
  <c r="AM37" i="3" s="1"/>
  <c r="AP37" i="5"/>
  <c r="AT37" i="5" s="1"/>
  <c r="AM38" i="3" s="1"/>
  <c r="AP38" i="5"/>
  <c r="AT38" i="5" s="1"/>
  <c r="AM39" i="3" s="1"/>
  <c r="AP39" i="5"/>
  <c r="AT39" i="5" s="1"/>
  <c r="AM40" i="3" s="1"/>
  <c r="AP40" i="5"/>
  <c r="AT40" i="5" s="1"/>
  <c r="AM41" i="3" s="1"/>
  <c r="AP41" i="5"/>
  <c r="AT41" i="5" s="1"/>
  <c r="AM42" i="3" s="1"/>
  <c r="AP42" i="5"/>
  <c r="AT42" i="5" s="1"/>
  <c r="AM43" i="3" s="1"/>
  <c r="AP43" i="5"/>
  <c r="AT43" i="5" s="1"/>
  <c r="AM44" i="3" s="1"/>
  <c r="AP44" i="5"/>
  <c r="AT44" i="5" s="1"/>
  <c r="AM45" i="3" s="1"/>
  <c r="AP45" i="5"/>
  <c r="AT45" i="5" s="1"/>
  <c r="AM46" i="3" s="1"/>
  <c r="AP46" i="5"/>
  <c r="AT46" i="5" s="1"/>
  <c r="AM47" i="3" s="1"/>
  <c r="AP47" i="5"/>
  <c r="AT47" i="5" s="1"/>
  <c r="AM48" i="3" s="1"/>
  <c r="AP48" i="5"/>
  <c r="AT48" i="5" s="1"/>
  <c r="AM49" i="3" s="1"/>
  <c r="AP49" i="5"/>
  <c r="AT49" i="5" s="1"/>
  <c r="AM50" i="3" s="1"/>
  <c r="AP50" i="5"/>
  <c r="AT50" i="5" s="1"/>
  <c r="AM51" i="3" s="1"/>
  <c r="AP51" i="5"/>
  <c r="AT51" i="5" s="1"/>
  <c r="AM52" i="3" s="1"/>
  <c r="AP52" i="5"/>
  <c r="AT52" i="5" s="1"/>
  <c r="AM53" i="3" s="1"/>
  <c r="AP53" i="5"/>
  <c r="AT53" i="5" s="1"/>
  <c r="AM54" i="3" s="1"/>
  <c r="AP54" i="5"/>
  <c r="AT54" i="5" s="1"/>
  <c r="AM55" i="3" s="1"/>
  <c r="AP55" i="5"/>
  <c r="AT55" i="5" s="1"/>
  <c r="AM56" i="3" s="1"/>
  <c r="AP56" i="5"/>
  <c r="AT56" i="5" s="1"/>
  <c r="AM57" i="3" s="1"/>
  <c r="AP57" i="5"/>
  <c r="AT57" i="5" s="1"/>
  <c r="AM58" i="3" s="1"/>
  <c r="AP58" i="5"/>
  <c r="AT58" i="5" s="1"/>
  <c r="AM59" i="3" s="1"/>
  <c r="AP59" i="5"/>
  <c r="AT59" i="5" s="1"/>
  <c r="AM60" i="3" s="1"/>
  <c r="AP60" i="5"/>
  <c r="AT60" i="5" s="1"/>
  <c r="AM61" i="3" s="1"/>
  <c r="AP61" i="5"/>
  <c r="AT61" i="5" s="1"/>
  <c r="AM62" i="3" s="1"/>
  <c r="AP62" i="5"/>
  <c r="AT62" i="5" s="1"/>
  <c r="AM63" i="3" s="1"/>
  <c r="AP176" i="5"/>
  <c r="AT176" i="5" s="1"/>
  <c r="R130" i="3"/>
  <c r="R10" i="3"/>
  <c r="R16" i="3"/>
  <c r="R22" i="3"/>
  <c r="R24" i="3"/>
  <c r="R79" i="3"/>
  <c r="R81" i="3"/>
  <c r="R84" i="3"/>
  <c r="R96" i="3"/>
  <c r="R107" i="3"/>
  <c r="R110" i="3"/>
  <c r="R113" i="3"/>
  <c r="R119" i="3"/>
  <c r="R131" i="3"/>
  <c r="R143" i="3"/>
  <c r="R147" i="3"/>
  <c r="R156" i="3"/>
  <c r="R164" i="3"/>
  <c r="AP9" i="5"/>
  <c r="AT9" i="5" s="1"/>
  <c r="AP10" i="5"/>
  <c r="AT10" i="5" s="1"/>
  <c r="AP11" i="5"/>
  <c r="AT11" i="5" s="1"/>
  <c r="AP12" i="5"/>
  <c r="AT12" i="5" s="1"/>
  <c r="AP13" i="5"/>
  <c r="AT13" i="5" s="1"/>
  <c r="AP14" i="5"/>
  <c r="AT14" i="5" s="1"/>
  <c r="AP15" i="5"/>
  <c r="AT15" i="5" s="1"/>
  <c r="AP16" i="5"/>
  <c r="AT16" i="5" s="1"/>
  <c r="AP17" i="5"/>
  <c r="AT17" i="5" s="1"/>
  <c r="AP18" i="5"/>
  <c r="AT18" i="5" s="1"/>
  <c r="AP19" i="5"/>
  <c r="AT19" i="5" s="1"/>
  <c r="AP20" i="5"/>
  <c r="AT20" i="5" s="1"/>
  <c r="AP21" i="5"/>
  <c r="AT21" i="5" s="1"/>
  <c r="AP22" i="5"/>
  <c r="AT22" i="5" s="1"/>
  <c r="AP23" i="5"/>
  <c r="AT23" i="5" s="1"/>
  <c r="AP63" i="5"/>
  <c r="AT63" i="5" s="1"/>
  <c r="AM64" i="3" s="1"/>
  <c r="AP64" i="5"/>
  <c r="AT64" i="5" s="1"/>
  <c r="AM65" i="3" s="1"/>
  <c r="R4" i="3"/>
  <c r="R7" i="3"/>
  <c r="R8" i="3"/>
  <c r="R11" i="3"/>
  <c r="R28" i="3"/>
  <c r="R30" i="3"/>
  <c r="R31" i="3"/>
  <c r="R32" i="3"/>
  <c r="R33" i="3"/>
  <c r="R35" i="3"/>
  <c r="R36" i="3"/>
  <c r="R38" i="3"/>
  <c r="R39" i="3"/>
  <c r="R40" i="3"/>
  <c r="R41" i="3"/>
  <c r="R42" i="3"/>
  <c r="R43" i="3"/>
  <c r="R44" i="3"/>
  <c r="R45" i="3"/>
  <c r="R46" i="3"/>
  <c r="R47" i="3"/>
  <c r="R48" i="3"/>
  <c r="R49" i="3"/>
  <c r="R51" i="3"/>
  <c r="R52" i="3"/>
  <c r="R53" i="3"/>
  <c r="R55" i="3"/>
  <c r="R56" i="3"/>
  <c r="R58" i="3"/>
  <c r="R60" i="3"/>
  <c r="R62" i="3"/>
  <c r="R64" i="3"/>
  <c r="R66" i="3"/>
  <c r="R68" i="3"/>
  <c r="R70" i="3"/>
  <c r="R97" i="3"/>
  <c r="R100" i="3"/>
  <c r="R102" i="3"/>
  <c r="R105" i="3"/>
  <c r="R108" i="3"/>
  <c r="R111" i="3"/>
  <c r="R114" i="3"/>
  <c r="AP116" i="5"/>
  <c r="AT116" i="5" s="1"/>
  <c r="AM117" i="3" s="1"/>
  <c r="AP119" i="5"/>
  <c r="AT119" i="5" s="1"/>
  <c r="AM120" i="3" s="1"/>
  <c r="AP121" i="5"/>
  <c r="AT121" i="5" s="1"/>
  <c r="AM122" i="3" s="1"/>
  <c r="AP122" i="5"/>
  <c r="AT122" i="5" s="1"/>
  <c r="AM123" i="3" s="1"/>
  <c r="AP125" i="5"/>
  <c r="AT125" i="5" s="1"/>
  <c r="AM126" i="3" s="1"/>
  <c r="AP126" i="5"/>
  <c r="AT126" i="5" s="1"/>
  <c r="AM127" i="3" s="1"/>
  <c r="AP128" i="5"/>
  <c r="AT128" i="5" s="1"/>
  <c r="AM129" i="3" s="1"/>
  <c r="AP130" i="5"/>
  <c r="AT130" i="5" s="1"/>
  <c r="AM131" i="3" s="1"/>
  <c r="AP131" i="5"/>
  <c r="AT131" i="5" s="1"/>
  <c r="AM132" i="3" s="1"/>
  <c r="AP132" i="5"/>
  <c r="AT132" i="5" s="1"/>
  <c r="AM133" i="3" s="1"/>
  <c r="AP142" i="5"/>
  <c r="AT142" i="5" s="1"/>
  <c r="AP146" i="5"/>
  <c r="AT146" i="5" s="1"/>
  <c r="AP148" i="5"/>
  <c r="AT148" i="5" s="1"/>
  <c r="AP152" i="5"/>
  <c r="AT152" i="5" s="1"/>
  <c r="AP154" i="5"/>
  <c r="AT154" i="5" s="1"/>
  <c r="AP157" i="5"/>
  <c r="AT157" i="5" s="1"/>
  <c r="AP158" i="5"/>
  <c r="AT158" i="5" s="1"/>
  <c r="AP164" i="5"/>
  <c r="AT164" i="5" s="1"/>
  <c r="AP168" i="5"/>
  <c r="AT168" i="5" s="1"/>
  <c r="AP173" i="5"/>
  <c r="AT173" i="5" s="1"/>
  <c r="AP174" i="5"/>
  <c r="AT174" i="5" s="1"/>
  <c r="R137" i="3"/>
  <c r="R145" i="3"/>
  <c r="R171" i="3"/>
  <c r="R175" i="3"/>
  <c r="R6" i="3"/>
  <c r="R13" i="3"/>
  <c r="R21" i="3"/>
  <c r="R27" i="3"/>
  <c r="R29" i="3"/>
  <c r="R73" i="3"/>
  <c r="R75" i="3"/>
  <c r="R77" i="3"/>
  <c r="R83" i="3"/>
  <c r="R86" i="3"/>
  <c r="R89" i="3"/>
  <c r="R90" i="3"/>
  <c r="R92" i="3"/>
  <c r="R94" i="3"/>
  <c r="R99" i="3"/>
  <c r="R104" i="3"/>
  <c r="R116" i="3"/>
  <c r="R122" i="3"/>
  <c r="R124" i="3"/>
  <c r="R127" i="3"/>
  <c r="R134" i="3"/>
  <c r="R139" i="3"/>
  <c r="R151" i="3"/>
  <c r="R160" i="3"/>
  <c r="AP150" i="5"/>
  <c r="AT150" i="5" s="1"/>
  <c r="R117" i="3"/>
  <c r="R120" i="3"/>
  <c r="R123" i="3"/>
  <c r="R126" i="3"/>
  <c r="R129" i="3"/>
  <c r="R133" i="3"/>
  <c r="R136" i="3"/>
  <c r="R140" i="3"/>
  <c r="R144" i="3"/>
  <c r="R148" i="3"/>
  <c r="R152" i="3"/>
  <c r="R155" i="3"/>
  <c r="R159" i="3"/>
  <c r="R162" i="3"/>
  <c r="R166" i="3"/>
  <c r="R170" i="3"/>
  <c r="R174" i="3"/>
  <c r="AP102" i="5"/>
  <c r="AT102" i="5" s="1"/>
  <c r="AM103" i="3" s="1"/>
  <c r="AP103" i="5"/>
  <c r="AT103" i="5" s="1"/>
  <c r="AM104" i="3" s="1"/>
  <c r="AP104" i="5"/>
  <c r="AT104" i="5" s="1"/>
  <c r="AM105" i="3" s="1"/>
  <c r="AP105" i="5"/>
  <c r="AT105" i="5" s="1"/>
  <c r="AM106" i="3" s="1"/>
  <c r="AP106" i="5"/>
  <c r="AT106" i="5" s="1"/>
  <c r="AM107" i="3" s="1"/>
  <c r="AP107" i="5"/>
  <c r="AT107" i="5" s="1"/>
  <c r="AM108" i="3" s="1"/>
  <c r="AP108" i="5"/>
  <c r="AT108" i="5" s="1"/>
  <c r="AM109" i="3" s="1"/>
  <c r="AP109" i="5"/>
  <c r="AT109" i="5" s="1"/>
  <c r="AM110" i="3" s="1"/>
  <c r="AP110" i="5"/>
  <c r="AT110" i="5" s="1"/>
  <c r="AM111" i="3" s="1"/>
  <c r="AP111" i="5"/>
  <c r="AT111" i="5" s="1"/>
  <c r="AM112" i="3" s="1"/>
  <c r="AP112" i="5"/>
  <c r="AT112" i="5" s="1"/>
  <c r="AM113" i="3" s="1"/>
  <c r="AP113" i="5"/>
  <c r="AT113" i="5" s="1"/>
  <c r="AM114" i="3" s="1"/>
  <c r="AP114" i="5"/>
  <c r="AT114" i="5" s="1"/>
  <c r="AM115" i="3" s="1"/>
  <c r="AP115" i="5"/>
  <c r="AT115" i="5" s="1"/>
  <c r="AM116" i="3" s="1"/>
  <c r="AP117" i="5"/>
  <c r="AT117" i="5" s="1"/>
  <c r="AM118" i="3" s="1"/>
  <c r="AP118" i="5"/>
  <c r="AT118" i="5" s="1"/>
  <c r="AM119" i="3" s="1"/>
  <c r="AP120" i="5"/>
  <c r="AT120" i="5" s="1"/>
  <c r="AM121" i="3" s="1"/>
  <c r="AP123" i="5"/>
  <c r="AT123" i="5" s="1"/>
  <c r="AM124" i="3" s="1"/>
  <c r="AP124" i="5"/>
  <c r="AT124" i="5" s="1"/>
  <c r="AM125" i="3" s="1"/>
  <c r="AP127" i="5"/>
  <c r="AT127" i="5" s="1"/>
  <c r="AM128" i="3" s="1"/>
  <c r="AP129" i="5"/>
  <c r="AT129" i="5" s="1"/>
  <c r="AM130" i="3" s="1"/>
  <c r="AP133" i="5"/>
  <c r="AT133" i="5" s="1"/>
  <c r="AM134" i="3" s="1"/>
  <c r="AP134" i="5"/>
  <c r="AT134" i="5" s="1"/>
  <c r="AP135" i="5"/>
  <c r="AT135" i="5" s="1"/>
  <c r="AP136" i="5"/>
  <c r="AT136" i="5" s="1"/>
  <c r="AP137" i="5"/>
  <c r="AT137" i="5" s="1"/>
  <c r="AP138" i="5"/>
  <c r="AT138" i="5" s="1"/>
  <c r="AP139" i="5"/>
  <c r="AT139" i="5" s="1"/>
  <c r="AP140" i="5"/>
  <c r="AT140" i="5" s="1"/>
  <c r="AP141" i="5"/>
  <c r="AT141" i="5" s="1"/>
  <c r="AP143" i="5"/>
  <c r="AT143" i="5" s="1"/>
  <c r="AP144" i="5"/>
  <c r="AT144" i="5" s="1"/>
  <c r="AP145" i="5"/>
  <c r="AT145" i="5" s="1"/>
  <c r="AP147" i="5"/>
  <c r="AT147" i="5" s="1"/>
  <c r="AP153" i="5"/>
  <c r="AT153" i="5" s="1"/>
  <c r="AP155" i="5"/>
  <c r="AT155" i="5" s="1"/>
  <c r="AP156" i="5"/>
  <c r="AT156" i="5" s="1"/>
  <c r="AP159" i="5"/>
  <c r="AT159" i="5" s="1"/>
  <c r="AP160" i="5"/>
  <c r="AT160" i="5" s="1"/>
  <c r="AP161" i="5"/>
  <c r="AT161" i="5" s="1"/>
  <c r="AP162" i="5"/>
  <c r="AT162" i="5" s="1"/>
  <c r="AP163" i="5"/>
  <c r="AT163" i="5" s="1"/>
  <c r="AP165" i="5"/>
  <c r="AT165" i="5" s="1"/>
  <c r="AP166" i="5"/>
  <c r="AT166" i="5" s="1"/>
  <c r="AP167" i="5"/>
  <c r="AT167" i="5" s="1"/>
  <c r="AP169" i="5"/>
  <c r="AT169" i="5" s="1"/>
  <c r="AP170" i="5"/>
  <c r="AT170" i="5" s="1"/>
  <c r="AP171" i="5"/>
  <c r="AT171" i="5" s="1"/>
  <c r="AP172" i="5"/>
  <c r="AT172" i="5" s="1"/>
  <c r="AP175" i="5"/>
  <c r="AT175" i="5" s="1"/>
  <c r="R141" i="3"/>
  <c r="R150" i="3"/>
  <c r="R154" i="3"/>
  <c r="R158" i="3"/>
  <c r="R163" i="3"/>
  <c r="R167" i="3"/>
  <c r="AP149" i="5"/>
  <c r="AT149" i="5" s="1"/>
  <c r="AP151" i="5"/>
  <c r="AT151" i="5" s="1"/>
  <c r="S72" i="3"/>
  <c r="S74" i="3"/>
  <c r="S79" i="3"/>
  <c r="S80" i="3"/>
  <c r="S82" i="3"/>
  <c r="S86" i="3"/>
  <c r="S89" i="3"/>
  <c r="S92" i="3"/>
  <c r="S101" i="3"/>
  <c r="AP68" i="5"/>
  <c r="AT68" i="5" s="1"/>
  <c r="AP75" i="5"/>
  <c r="AT75" i="5" s="1"/>
  <c r="S66" i="5"/>
  <c r="T66" i="5" s="1"/>
  <c r="AI67" i="3"/>
  <c r="AI69" i="3"/>
  <c r="S68" i="5"/>
  <c r="T68" i="5" s="1"/>
  <c r="AI71" i="3"/>
  <c r="S70" i="5"/>
  <c r="AI72" i="3"/>
  <c r="S71" i="5"/>
  <c r="T71" i="5" s="1"/>
  <c r="AI73" i="3"/>
  <c r="S72" i="5"/>
  <c r="AI74" i="3"/>
  <c r="S73" i="5"/>
  <c r="AI75" i="3"/>
  <c r="S74" i="5"/>
  <c r="AI76" i="3"/>
  <c r="S75" i="5"/>
  <c r="T75" i="5" s="1"/>
  <c r="S76" i="5"/>
  <c r="T76" i="5" s="1"/>
  <c r="AI77" i="3"/>
  <c r="S78" i="5"/>
  <c r="T78" i="5" s="1"/>
  <c r="AI79" i="3"/>
  <c r="S80" i="5"/>
  <c r="AI81" i="3"/>
  <c r="S82" i="5"/>
  <c r="AI83" i="3"/>
  <c r="S83" i="5"/>
  <c r="T83" i="5" s="1"/>
  <c r="AI84" i="3"/>
  <c r="S85" i="5"/>
  <c r="AI86" i="3"/>
  <c r="S88" i="5"/>
  <c r="T88" i="5" s="1"/>
  <c r="AI89" i="3"/>
  <c r="S89" i="5"/>
  <c r="T89" i="5" s="1"/>
  <c r="AI90" i="3"/>
  <c r="S90" i="5"/>
  <c r="T90" i="5" s="1"/>
  <c r="AI91" i="3"/>
  <c r="S91" i="5"/>
  <c r="T91" i="5" s="1"/>
  <c r="AI92" i="3"/>
  <c r="S92" i="5"/>
  <c r="AI93" i="3"/>
  <c r="S93" i="5"/>
  <c r="T93" i="5" s="1"/>
  <c r="AI94" i="3"/>
  <c r="S95" i="5"/>
  <c r="T95" i="5" s="1"/>
  <c r="AI96" i="3"/>
  <c r="AI98" i="3"/>
  <c r="S97" i="5"/>
  <c r="T97" i="5" s="1"/>
  <c r="AI99" i="3"/>
  <c r="S98" i="5"/>
  <c r="T98" i="5" s="1"/>
  <c r="AI101" i="3"/>
  <c r="S100" i="5"/>
  <c r="T100" i="5" s="1"/>
  <c r="S3" i="5"/>
  <c r="B188" i="3"/>
  <c r="C188" i="3" s="1"/>
  <c r="F3" i="7"/>
  <c r="B187" i="3"/>
  <c r="C187" i="3" s="1"/>
  <c r="F6" i="7"/>
  <c r="F15" i="7"/>
  <c r="F10" i="7"/>
  <c r="F4" i="7"/>
  <c r="F7" i="7"/>
  <c r="F8" i="7"/>
  <c r="F11" i="7"/>
  <c r="V38" i="3"/>
  <c r="AA38" i="3" s="1"/>
  <c r="B184" i="3"/>
  <c r="C184" i="3" s="1"/>
  <c r="AQ65" i="5"/>
  <c r="AQ67" i="5"/>
  <c r="AQ69" i="5"/>
  <c r="F16" i="7"/>
  <c r="AQ96" i="5"/>
  <c r="AQ99" i="5"/>
  <c r="AQ101" i="5"/>
  <c r="AQ3" i="5"/>
  <c r="AQ4" i="5"/>
  <c r="AQ5" i="5"/>
  <c r="AQ6" i="5"/>
  <c r="AQ7" i="5"/>
  <c r="AQ8" i="5"/>
  <c r="AQ9" i="5"/>
  <c r="AQ10" i="5"/>
  <c r="AQ11" i="5"/>
  <c r="AQ12" i="5"/>
  <c r="AQ13" i="5"/>
  <c r="AQ14" i="5"/>
  <c r="AQ15" i="5"/>
  <c r="AQ16" i="5"/>
  <c r="AQ17" i="5"/>
  <c r="AQ18" i="5"/>
  <c r="AQ19" i="5"/>
  <c r="AQ20" i="5"/>
  <c r="AQ21" i="5"/>
  <c r="AQ22" i="5"/>
  <c r="AQ23" i="5"/>
  <c r="AQ24" i="5"/>
  <c r="AQ25" i="5"/>
  <c r="AQ26" i="5"/>
  <c r="AQ27" i="5"/>
  <c r="AQ28" i="5"/>
  <c r="AQ29" i="5"/>
  <c r="AQ30" i="5"/>
  <c r="AQ31" i="5"/>
  <c r="AQ32" i="5"/>
  <c r="AQ33" i="5"/>
  <c r="AQ34" i="5"/>
  <c r="AQ35" i="5"/>
  <c r="AQ36" i="5"/>
  <c r="AQ37" i="5"/>
  <c r="AQ38" i="5"/>
  <c r="AQ39" i="5"/>
  <c r="AQ40" i="5"/>
  <c r="AQ41" i="5"/>
  <c r="AQ42" i="5"/>
  <c r="AQ43" i="5"/>
  <c r="AQ44" i="5"/>
  <c r="AQ45" i="5"/>
  <c r="AQ46" i="5"/>
  <c r="AQ47" i="5"/>
  <c r="AQ48" i="5"/>
  <c r="AQ49" i="5"/>
  <c r="AQ50" i="5"/>
  <c r="AQ51" i="5"/>
  <c r="AQ52" i="5"/>
  <c r="AQ53" i="5"/>
  <c r="AQ54" i="5"/>
  <c r="AQ55" i="5"/>
  <c r="AQ56" i="5"/>
  <c r="AQ57" i="5"/>
  <c r="AQ58" i="5"/>
  <c r="AQ59" i="5"/>
  <c r="AQ60" i="5"/>
  <c r="AQ61" i="5"/>
  <c r="AQ62" i="5"/>
  <c r="AQ63" i="5"/>
  <c r="AQ64" i="5"/>
  <c r="AQ102" i="5"/>
  <c r="AQ103" i="5"/>
  <c r="AQ104" i="5"/>
  <c r="AQ105" i="5"/>
  <c r="AQ106" i="5"/>
  <c r="AQ107" i="5"/>
  <c r="AQ108" i="5"/>
  <c r="AQ109" i="5"/>
  <c r="AQ110" i="5"/>
  <c r="AQ111" i="5"/>
  <c r="AQ112" i="5"/>
  <c r="AQ113" i="5"/>
  <c r="AQ114" i="5"/>
  <c r="AQ115" i="5"/>
  <c r="AQ116" i="5"/>
  <c r="AQ117" i="5"/>
  <c r="AQ118" i="5"/>
  <c r="AQ119" i="5"/>
  <c r="AQ120" i="5"/>
  <c r="AQ121" i="5"/>
  <c r="AQ122" i="5"/>
  <c r="AQ123" i="5"/>
  <c r="AQ124" i="5"/>
  <c r="AQ125" i="5"/>
  <c r="AQ126" i="5"/>
  <c r="AQ127" i="5"/>
  <c r="AQ128" i="5"/>
  <c r="AQ129" i="5"/>
  <c r="AQ130" i="5"/>
  <c r="AQ131" i="5"/>
  <c r="AQ132" i="5"/>
  <c r="AQ133" i="5"/>
  <c r="AQ134" i="5"/>
  <c r="AQ135" i="5"/>
  <c r="AQ136" i="5"/>
  <c r="AQ137" i="5"/>
  <c r="AQ138" i="5"/>
  <c r="AQ139" i="5"/>
  <c r="AQ140" i="5"/>
  <c r="AQ141" i="5"/>
  <c r="AQ142" i="5"/>
  <c r="AQ143" i="5"/>
  <c r="AQ144" i="5"/>
  <c r="AQ145" i="5"/>
  <c r="AQ146" i="5"/>
  <c r="AQ147" i="5"/>
  <c r="AQ148" i="5"/>
  <c r="AQ152" i="5"/>
  <c r="AQ153" i="5"/>
  <c r="AQ154" i="5"/>
  <c r="AQ155" i="5"/>
  <c r="AQ156" i="5"/>
  <c r="AQ157" i="5"/>
  <c r="AQ158" i="5"/>
  <c r="AQ159" i="5"/>
  <c r="AQ160" i="5"/>
  <c r="AQ161" i="5"/>
  <c r="AQ162" i="5"/>
  <c r="AQ163" i="5"/>
  <c r="AQ164" i="5"/>
  <c r="AQ165" i="5"/>
  <c r="AQ166" i="5"/>
  <c r="AQ167" i="5"/>
  <c r="AQ168" i="5"/>
  <c r="AQ169" i="5"/>
  <c r="AQ170" i="5"/>
  <c r="AQ171" i="5"/>
  <c r="AQ172" i="5"/>
  <c r="AQ173" i="5"/>
  <c r="AQ174" i="5"/>
  <c r="AQ175" i="5"/>
  <c r="AQ176" i="5"/>
  <c r="AQ66" i="5"/>
  <c r="AQ68" i="5"/>
  <c r="F5" i="7"/>
  <c r="AQ70" i="5"/>
  <c r="AQ71" i="5"/>
  <c r="AQ73" i="5"/>
  <c r="AQ75" i="5"/>
  <c r="AQ77" i="5"/>
  <c r="F14" i="7"/>
  <c r="AQ79" i="5"/>
  <c r="AQ81" i="5"/>
  <c r="AQ84" i="5"/>
  <c r="F9" i="7"/>
  <c r="AQ86" i="5"/>
  <c r="AQ87" i="5"/>
  <c r="AQ90" i="5"/>
  <c r="AQ92" i="5"/>
  <c r="AQ94" i="5"/>
  <c r="AQ97" i="5"/>
  <c r="AQ100" i="5"/>
  <c r="AQ72" i="5"/>
  <c r="AQ74" i="5"/>
  <c r="AQ76" i="5"/>
  <c r="AM77" i="3" s="1"/>
  <c r="AQ78" i="5"/>
  <c r="AM79" i="3" s="1"/>
  <c r="AQ80" i="5"/>
  <c r="AQ82" i="5"/>
  <c r="AQ83" i="5"/>
  <c r="AM84" i="3" s="1"/>
  <c r="AQ85" i="5"/>
  <c r="AQ88" i="5"/>
  <c r="AM89" i="3" s="1"/>
  <c r="AQ89" i="5"/>
  <c r="AM90" i="3" s="1"/>
  <c r="AQ91" i="5"/>
  <c r="AM92" i="3" s="1"/>
  <c r="AQ93" i="5"/>
  <c r="AM94" i="3" s="1"/>
  <c r="AQ95" i="5"/>
  <c r="AM96" i="3" s="1"/>
  <c r="AQ98" i="5"/>
  <c r="AM99" i="3" s="1"/>
  <c r="AQ149" i="5"/>
  <c r="AQ151" i="5"/>
  <c r="AQ150" i="5"/>
  <c r="B3" i="7"/>
  <c r="AT80" i="5" l="1"/>
  <c r="AM81" i="3" s="1"/>
  <c r="AT85" i="5"/>
  <c r="AM86" i="3" s="1"/>
  <c r="AT82" i="5"/>
  <c r="AM83" i="3" s="1"/>
  <c r="AT72" i="5"/>
  <c r="AM73" i="3" s="1"/>
  <c r="AT74" i="5"/>
  <c r="AM75" i="3" s="1"/>
  <c r="T3" i="5"/>
  <c r="T92" i="5"/>
  <c r="T70" i="5"/>
  <c r="T72" i="5"/>
  <c r="T73" i="5"/>
  <c r="T74" i="5"/>
  <c r="T80" i="5"/>
  <c r="T82" i="5"/>
  <c r="T85" i="5"/>
  <c r="AT3" i="5"/>
  <c r="AM4" i="3" s="1"/>
  <c r="AI4" i="3"/>
  <c r="AM93" i="3"/>
  <c r="AM66" i="3"/>
  <c r="AM78" i="3"/>
  <c r="AM85" i="3"/>
  <c r="AM95" i="3"/>
  <c r="AM82" i="3"/>
  <c r="AI82" i="3"/>
  <c r="S81" i="5"/>
  <c r="T81" i="5" s="1"/>
  <c r="AM88" i="3"/>
  <c r="S87" i="5"/>
  <c r="T87" i="5" s="1"/>
  <c r="AI88" i="3"/>
  <c r="AI66" i="3"/>
  <c r="S65" i="5"/>
  <c r="T65" i="5" s="1"/>
  <c r="S67" i="5"/>
  <c r="T67" i="5" s="1"/>
  <c r="AI68" i="3"/>
  <c r="S69" i="5"/>
  <c r="T69" i="5" s="1"/>
  <c r="AI70" i="3"/>
  <c r="S77" i="5"/>
  <c r="T77" i="5" s="1"/>
  <c r="AI78" i="3"/>
  <c r="S79" i="5"/>
  <c r="T79" i="5" s="1"/>
  <c r="AI80" i="3"/>
  <c r="S84" i="5"/>
  <c r="T84" i="5" s="1"/>
  <c r="AI85" i="3"/>
  <c r="S86" i="5"/>
  <c r="T86" i="5" s="1"/>
  <c r="AI87" i="3"/>
  <c r="S94" i="5"/>
  <c r="T94" i="5" s="1"/>
  <c r="AI95" i="3"/>
  <c r="AI97" i="3"/>
  <c r="S96" i="5"/>
  <c r="T96" i="5" s="1"/>
  <c r="AI100" i="3"/>
  <c r="S99" i="5"/>
  <c r="T99" i="5" s="1"/>
  <c r="AI102" i="3"/>
  <c r="S101" i="5"/>
  <c r="T101" i="5" s="1"/>
  <c r="AI5" i="3"/>
  <c r="S4" i="5"/>
  <c r="T4" i="5" s="1"/>
  <c r="AM5" i="3"/>
  <c r="S5" i="5"/>
  <c r="T5" i="5" s="1"/>
  <c r="AI6" i="3"/>
  <c r="AM6" i="3"/>
  <c r="AI7" i="3"/>
  <c r="S6" i="5"/>
  <c r="T6" i="5" s="1"/>
  <c r="AM7" i="3"/>
  <c r="S7" i="5"/>
  <c r="T7" i="5" s="1"/>
  <c r="AM8" i="3"/>
  <c r="AI8" i="3"/>
  <c r="S8" i="5"/>
  <c r="T8" i="5" s="1"/>
  <c r="AI9" i="3"/>
  <c r="AM9" i="3"/>
  <c r="AM25" i="3"/>
  <c r="AI25" i="3"/>
  <c r="S24" i="5"/>
  <c r="T24" i="5" s="1"/>
  <c r="AM26" i="3"/>
  <c r="AI26" i="3"/>
  <c r="S25" i="5"/>
  <c r="T25" i="5" s="1"/>
  <c r="AI27" i="3"/>
  <c r="S26" i="5"/>
  <c r="T26" i="5" s="1"/>
  <c r="AM27" i="3"/>
  <c r="AI28" i="3"/>
  <c r="S27" i="5"/>
  <c r="T27" i="5" s="1"/>
  <c r="AM28" i="3"/>
  <c r="AI29" i="3"/>
  <c r="S28" i="5"/>
  <c r="T28" i="5" s="1"/>
  <c r="AM29" i="3"/>
  <c r="S29" i="5"/>
  <c r="T29" i="5" s="1"/>
  <c r="AM30" i="3"/>
  <c r="AI30" i="3"/>
  <c r="AI31" i="3"/>
  <c r="AM31" i="3"/>
  <c r="S30" i="5"/>
  <c r="T30" i="5" s="1"/>
  <c r="AI32" i="3"/>
  <c r="S31" i="5"/>
  <c r="T31" i="5" s="1"/>
  <c r="AM32" i="3"/>
  <c r="S9" i="5"/>
  <c r="T9" i="5" s="1"/>
  <c r="AI10" i="3"/>
  <c r="AM10" i="3"/>
  <c r="S10" i="5"/>
  <c r="T10" i="5" s="1"/>
  <c r="AI11" i="3"/>
  <c r="AM11" i="3"/>
  <c r="S11" i="5"/>
  <c r="T11" i="5" s="1"/>
  <c r="AI12" i="3"/>
  <c r="AM12" i="3"/>
  <c r="AI13" i="3"/>
  <c r="S12" i="5"/>
  <c r="T12" i="5" s="1"/>
  <c r="AM13" i="3"/>
  <c r="S13" i="5"/>
  <c r="T13" i="5" s="1"/>
  <c r="AI14" i="3"/>
  <c r="AM14" i="3"/>
  <c r="S14" i="5"/>
  <c r="T14" i="5" s="1"/>
  <c r="AI15" i="3"/>
  <c r="AM15" i="3"/>
  <c r="AI16" i="3"/>
  <c r="S15" i="5"/>
  <c r="T15" i="5" s="1"/>
  <c r="AM16" i="3"/>
  <c r="S16" i="5"/>
  <c r="T16" i="5" s="1"/>
  <c r="AM17" i="3"/>
  <c r="AI17" i="3"/>
  <c r="AI18" i="3"/>
  <c r="S17" i="5"/>
  <c r="T17" i="5" s="1"/>
  <c r="AM18" i="3"/>
  <c r="AI19" i="3"/>
  <c r="S18" i="5"/>
  <c r="T18" i="5" s="1"/>
  <c r="AM19" i="3"/>
  <c r="AM20" i="3"/>
  <c r="AI20" i="3"/>
  <c r="S19" i="5"/>
  <c r="T19" i="5" s="1"/>
  <c r="AM21" i="3"/>
  <c r="AI21" i="3"/>
  <c r="S20" i="5"/>
  <c r="T20" i="5" s="1"/>
  <c r="AI22" i="3"/>
  <c r="S21" i="5"/>
  <c r="T21" i="5" s="1"/>
  <c r="AM22" i="3"/>
  <c r="AI23" i="3"/>
  <c r="S22" i="5"/>
  <c r="T22" i="5" s="1"/>
  <c r="AM23" i="3"/>
  <c r="S23" i="5"/>
  <c r="T23" i="5" s="1"/>
  <c r="AI24" i="3"/>
  <c r="AM24" i="3"/>
  <c r="AM135" i="3"/>
  <c r="AM136" i="3"/>
  <c r="AM137" i="3"/>
  <c r="AM138" i="3"/>
  <c r="AM139" i="3"/>
  <c r="AM140" i="3"/>
  <c r="AM141" i="3"/>
  <c r="AM142" i="3"/>
  <c r="AM143" i="3"/>
  <c r="AM144" i="3"/>
  <c r="AM145" i="3"/>
  <c r="AM146" i="3"/>
  <c r="AM147" i="3"/>
  <c r="AM148" i="3"/>
  <c r="AM149"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67" i="3"/>
  <c r="AM69" i="3"/>
  <c r="AM71" i="3"/>
  <c r="AM72" i="3"/>
  <c r="AM74" i="3"/>
  <c r="AM76" i="3"/>
  <c r="AM150" i="3"/>
  <c r="AM152" i="3"/>
  <c r="AM151" i="3"/>
  <c r="S32" i="5"/>
  <c r="T32" i="5" s="1"/>
  <c r="AI33" i="3"/>
  <c r="S33" i="5"/>
  <c r="T33" i="5" s="1"/>
  <c r="AI34" i="3"/>
  <c r="S34" i="5"/>
  <c r="T34" i="5" s="1"/>
  <c r="AI35" i="3"/>
  <c r="AI36" i="3"/>
  <c r="S35" i="5"/>
  <c r="T35" i="5" s="1"/>
  <c r="S36" i="5"/>
  <c r="T36" i="5" s="1"/>
  <c r="AI37" i="3"/>
  <c r="AI38" i="3"/>
  <c r="S37" i="5"/>
  <c r="T37" i="5" s="1"/>
  <c r="AI39" i="3"/>
  <c r="S38" i="5"/>
  <c r="T38" i="5" s="1"/>
  <c r="AI40" i="3"/>
  <c r="S39" i="5"/>
  <c r="T39" i="5" s="1"/>
  <c r="AI41" i="3"/>
  <c r="S40" i="5"/>
  <c r="T40" i="5" s="1"/>
  <c r="S41" i="5"/>
  <c r="T41" i="5" s="1"/>
  <c r="AI42" i="3"/>
  <c r="AI43" i="3"/>
  <c r="S42" i="5"/>
  <c r="T42" i="5" s="1"/>
  <c r="S43" i="5"/>
  <c r="T43" i="5" s="1"/>
  <c r="AI44" i="3"/>
  <c r="AI45" i="3"/>
  <c r="S44" i="5"/>
  <c r="T44" i="5" s="1"/>
  <c r="S45" i="5"/>
  <c r="T45" i="5" s="1"/>
  <c r="AI46" i="3"/>
  <c r="S46" i="5"/>
  <c r="T46" i="5" s="1"/>
  <c r="AI47" i="3"/>
  <c r="S47" i="5"/>
  <c r="T47" i="5" s="1"/>
  <c r="AI48" i="3"/>
  <c r="S48" i="5"/>
  <c r="T48" i="5" s="1"/>
  <c r="AI49" i="3"/>
  <c r="S49" i="5"/>
  <c r="T49" i="5" s="1"/>
  <c r="AI50" i="3"/>
  <c r="S50" i="5"/>
  <c r="T50" i="5" s="1"/>
  <c r="AI51" i="3"/>
  <c r="S51" i="5"/>
  <c r="T51" i="5" s="1"/>
  <c r="AI52" i="3"/>
  <c r="S52" i="5"/>
  <c r="T52" i="5" s="1"/>
  <c r="AI53" i="3"/>
  <c r="S53" i="5"/>
  <c r="T53" i="5" s="1"/>
  <c r="AI54" i="3"/>
  <c r="S54" i="5"/>
  <c r="T54" i="5" s="1"/>
  <c r="AI55" i="3"/>
  <c r="S55" i="5"/>
  <c r="T55" i="5" s="1"/>
  <c r="AI56" i="3"/>
  <c r="S56" i="5"/>
  <c r="T56" i="5" s="1"/>
  <c r="AI57" i="3"/>
  <c r="S57" i="5"/>
  <c r="T57" i="5" s="1"/>
  <c r="AI58" i="3"/>
  <c r="S58" i="5"/>
  <c r="T58" i="5" s="1"/>
  <c r="AI59" i="3"/>
  <c r="S59" i="5"/>
  <c r="T59" i="5" s="1"/>
  <c r="AI60" i="3"/>
  <c r="S60" i="5"/>
  <c r="T60" i="5" s="1"/>
  <c r="AI61" i="3"/>
  <c r="S61" i="5"/>
  <c r="T61" i="5" s="1"/>
  <c r="AI62" i="3"/>
  <c r="S62" i="5"/>
  <c r="T62" i="5" s="1"/>
  <c r="AI63" i="3"/>
  <c r="S176" i="5"/>
  <c r="T176" i="5" s="1"/>
  <c r="AI177" i="3"/>
  <c r="S63" i="5"/>
  <c r="T63" i="5" s="1"/>
  <c r="AI64" i="3"/>
  <c r="S64" i="5"/>
  <c r="T64" i="5" s="1"/>
  <c r="AI65" i="3"/>
  <c r="S116" i="5"/>
  <c r="T116" i="5" s="1"/>
  <c r="AI117" i="3"/>
  <c r="AI120" i="3"/>
  <c r="S119" i="5"/>
  <c r="T119" i="5" s="1"/>
  <c r="S121" i="5"/>
  <c r="T121" i="5" s="1"/>
  <c r="AI122" i="3"/>
  <c r="AI123" i="3"/>
  <c r="S122" i="5"/>
  <c r="T122" i="5" s="1"/>
  <c r="S125" i="5"/>
  <c r="T125" i="5" s="1"/>
  <c r="AI126" i="3"/>
  <c r="S126" i="5"/>
  <c r="T126" i="5" s="1"/>
  <c r="AI127" i="3"/>
  <c r="AI129" i="3"/>
  <c r="S128" i="5"/>
  <c r="T128" i="5" s="1"/>
  <c r="AI131" i="3"/>
  <c r="S130" i="5"/>
  <c r="T130" i="5" s="1"/>
  <c r="AI132" i="3"/>
  <c r="S131" i="5"/>
  <c r="T131" i="5" s="1"/>
  <c r="AI133" i="3"/>
  <c r="S132" i="5"/>
  <c r="T132" i="5" s="1"/>
  <c r="AI143" i="3"/>
  <c r="S142" i="5"/>
  <c r="T142" i="5" s="1"/>
  <c r="AI147" i="3"/>
  <c r="S146" i="5"/>
  <c r="T146" i="5" s="1"/>
  <c r="S148" i="5"/>
  <c r="T148" i="5" s="1"/>
  <c r="AI149" i="3"/>
  <c r="S152" i="5"/>
  <c r="T152" i="5" s="1"/>
  <c r="AI153" i="3"/>
  <c r="AI155" i="3"/>
  <c r="S154" i="5"/>
  <c r="T154" i="5" s="1"/>
  <c r="S157" i="5"/>
  <c r="T157" i="5" s="1"/>
  <c r="AI158" i="3"/>
  <c r="AI159" i="3"/>
  <c r="S158" i="5"/>
  <c r="T158" i="5" s="1"/>
  <c r="S164" i="5"/>
  <c r="T164" i="5" s="1"/>
  <c r="AI165" i="3"/>
  <c r="AI169" i="3"/>
  <c r="S168" i="5"/>
  <c r="T168" i="5" s="1"/>
  <c r="AI174" i="3"/>
  <c r="S173" i="5"/>
  <c r="T173" i="5" s="1"/>
  <c r="AI175" i="3"/>
  <c r="S174" i="5"/>
  <c r="T174" i="5" s="1"/>
  <c r="S150" i="5"/>
  <c r="T150" i="5" s="1"/>
  <c r="AI151" i="3"/>
  <c r="AI103" i="3"/>
  <c r="S102" i="5"/>
  <c r="T102" i="5" s="1"/>
  <c r="AI104" i="3"/>
  <c r="S103" i="5"/>
  <c r="T103" i="5" s="1"/>
  <c r="AI105" i="3"/>
  <c r="S104" i="5"/>
  <c r="T104" i="5" s="1"/>
  <c r="AI106" i="3"/>
  <c r="S105" i="5"/>
  <c r="T105" i="5" s="1"/>
  <c r="AI107" i="3"/>
  <c r="S106" i="5"/>
  <c r="T106" i="5" s="1"/>
  <c r="AI108" i="3"/>
  <c r="S107" i="5"/>
  <c r="T107" i="5" s="1"/>
  <c r="S108" i="5"/>
  <c r="T108" i="5" s="1"/>
  <c r="AI109" i="3"/>
  <c r="S109" i="5"/>
  <c r="T109" i="5" s="1"/>
  <c r="AI110" i="3"/>
  <c r="AI111" i="3"/>
  <c r="S110" i="5"/>
  <c r="T110" i="5" s="1"/>
  <c r="AI112" i="3"/>
  <c r="S111" i="5"/>
  <c r="T111" i="5" s="1"/>
  <c r="S112" i="5"/>
  <c r="T112" i="5" s="1"/>
  <c r="AI113" i="3"/>
  <c r="AI114" i="3"/>
  <c r="S113" i="5"/>
  <c r="T113" i="5" s="1"/>
  <c r="AI115" i="3"/>
  <c r="S114" i="5"/>
  <c r="T114" i="5" s="1"/>
  <c r="AI116" i="3"/>
  <c r="S115" i="5"/>
  <c r="T115" i="5" s="1"/>
  <c r="S117" i="5"/>
  <c r="T117" i="5" s="1"/>
  <c r="AI118" i="3"/>
  <c r="S118" i="5"/>
  <c r="T118" i="5" s="1"/>
  <c r="AI119" i="3"/>
  <c r="AI121" i="3"/>
  <c r="S120" i="5"/>
  <c r="T120" i="5" s="1"/>
  <c r="S123" i="5"/>
  <c r="T123" i="5" s="1"/>
  <c r="AI124" i="3"/>
  <c r="AI125" i="3"/>
  <c r="S124" i="5"/>
  <c r="T124" i="5" s="1"/>
  <c r="S127" i="5"/>
  <c r="T127" i="5" s="1"/>
  <c r="AI128" i="3"/>
  <c r="AI130" i="3"/>
  <c r="S129" i="5"/>
  <c r="T129" i="5" s="1"/>
  <c r="AI134" i="3"/>
  <c r="S133" i="5"/>
  <c r="T133" i="5" s="1"/>
  <c r="AI135" i="3"/>
  <c r="S134" i="5"/>
  <c r="T134" i="5" s="1"/>
  <c r="S135" i="5"/>
  <c r="T135" i="5" s="1"/>
  <c r="AI136" i="3"/>
  <c r="AI137" i="3"/>
  <c r="S136" i="5"/>
  <c r="T136" i="5" s="1"/>
  <c r="S137" i="5"/>
  <c r="T137" i="5" s="1"/>
  <c r="AI138" i="3"/>
  <c r="AI139" i="3"/>
  <c r="S138" i="5"/>
  <c r="T138" i="5" s="1"/>
  <c r="S139" i="5"/>
  <c r="T139" i="5" s="1"/>
  <c r="AI140" i="3"/>
  <c r="S140" i="5"/>
  <c r="T140" i="5" s="1"/>
  <c r="AI141" i="3"/>
  <c r="S141" i="5"/>
  <c r="T141" i="5" s="1"/>
  <c r="AI142" i="3"/>
  <c r="AI144" i="3"/>
  <c r="S143" i="5"/>
  <c r="T143" i="5" s="1"/>
  <c r="S144" i="5"/>
  <c r="T144" i="5" s="1"/>
  <c r="AI145" i="3"/>
  <c r="AI146" i="3"/>
  <c r="S145" i="5"/>
  <c r="T145" i="5" s="1"/>
  <c r="AI148" i="3"/>
  <c r="S147" i="5"/>
  <c r="T147" i="5" s="1"/>
  <c r="AI154" i="3"/>
  <c r="S153" i="5"/>
  <c r="T153" i="5" s="1"/>
  <c r="S155" i="5"/>
  <c r="T155" i="5" s="1"/>
  <c r="AI156" i="3"/>
  <c r="S156" i="5"/>
  <c r="T156" i="5" s="1"/>
  <c r="AI157" i="3"/>
  <c r="S159" i="5"/>
  <c r="T159" i="5" s="1"/>
  <c r="AI160" i="3"/>
  <c r="S160" i="5"/>
  <c r="T160" i="5" s="1"/>
  <c r="AI161" i="3"/>
  <c r="S161" i="5"/>
  <c r="T161" i="5" s="1"/>
  <c r="AI162" i="3"/>
  <c r="AI163" i="3"/>
  <c r="S162" i="5"/>
  <c r="T162" i="5" s="1"/>
  <c r="S163" i="5"/>
  <c r="T163" i="5" s="1"/>
  <c r="AI164" i="3"/>
  <c r="S165" i="5"/>
  <c r="T165" i="5" s="1"/>
  <c r="AI166" i="3"/>
  <c r="AI167" i="3"/>
  <c r="S166" i="5"/>
  <c r="T166" i="5" s="1"/>
  <c r="AI168" i="3"/>
  <c r="S167" i="5"/>
  <c r="T167" i="5" s="1"/>
  <c r="AI170" i="3"/>
  <c r="S169" i="5"/>
  <c r="T169" i="5" s="1"/>
  <c r="AI171" i="3"/>
  <c r="S170" i="5"/>
  <c r="T170" i="5" s="1"/>
  <c r="S171" i="5"/>
  <c r="T171" i="5" s="1"/>
  <c r="AI172" i="3"/>
  <c r="AI173" i="3"/>
  <c r="S172" i="5"/>
  <c r="T172" i="5" s="1"/>
  <c r="S175" i="5"/>
  <c r="T175" i="5" s="1"/>
  <c r="AI176" i="3"/>
  <c r="AI150" i="3"/>
  <c r="S149" i="5"/>
  <c r="T149" i="5" s="1"/>
  <c r="S151" i="5"/>
  <c r="T151" i="5" s="1"/>
  <c r="AI152" i="3"/>
  <c r="D13" i="7"/>
  <c r="Z133" i="3"/>
  <c r="AB133" i="3" s="1"/>
  <c r="H3" i="7"/>
  <c r="Z130" i="3"/>
  <c r="AB130" i="3" s="1"/>
  <c r="Z61" i="3"/>
  <c r="AB61" i="3" s="1"/>
  <c r="Z30" i="3"/>
  <c r="AB30" i="3" s="1"/>
  <c r="P166" i="3"/>
  <c r="P165" i="3"/>
  <c r="P163" i="3"/>
  <c r="P159" i="3"/>
  <c r="P158" i="3"/>
  <c r="P145" i="3"/>
  <c r="P132" i="3"/>
  <c r="P131" i="3"/>
  <c r="P126" i="3"/>
  <c r="P124" i="3"/>
  <c r="P123" i="3"/>
  <c r="P121" i="3"/>
  <c r="Z4" i="3"/>
  <c r="Z32" i="3"/>
  <c r="Z46" i="3"/>
  <c r="Z99" i="3"/>
  <c r="Z123" i="3"/>
  <c r="Z166" i="3"/>
  <c r="AB166" i="3" s="1"/>
  <c r="P88" i="3"/>
  <c r="P69" i="3"/>
  <c r="G11" i="7"/>
  <c r="AK147" i="3"/>
  <c r="Z9" i="3"/>
  <c r="AB9" i="3" s="1"/>
  <c r="AK142" i="3"/>
  <c r="AK131" i="3"/>
  <c r="P43" i="3"/>
  <c r="AK124" i="3"/>
  <c r="Z116" i="3"/>
  <c r="Z26" i="3"/>
  <c r="Z102" i="3"/>
  <c r="Z106" i="3"/>
  <c r="Z120" i="3"/>
  <c r="AB120" i="3" s="1"/>
  <c r="Z126" i="3"/>
  <c r="Z140" i="3"/>
  <c r="AB140" i="3" s="1"/>
  <c r="AK116" i="3"/>
  <c r="AK93" i="3"/>
  <c r="Z143" i="3"/>
  <c r="Z128" i="3"/>
  <c r="AB128" i="3" s="1"/>
  <c r="Z10" i="3"/>
  <c r="AB10" i="3" s="1"/>
  <c r="AK6" i="3"/>
  <c r="AK130" i="3"/>
  <c r="AK134" i="3"/>
  <c r="AK157" i="3"/>
  <c r="AK14" i="3"/>
  <c r="AK15" i="3"/>
  <c r="Z83" i="3"/>
  <c r="Z147" i="3"/>
  <c r="AK29" i="3"/>
  <c r="P134" i="3"/>
  <c r="P37" i="3"/>
  <c r="Z40" i="3"/>
  <c r="AK10" i="3"/>
  <c r="Z27" i="3"/>
  <c r="AB27" i="3" s="1"/>
  <c r="Z148" i="3"/>
  <c r="AB148" i="3" s="1"/>
  <c r="Z161" i="3"/>
  <c r="AB161" i="3" s="1"/>
  <c r="AK165" i="3"/>
  <c r="H13" i="7"/>
  <c r="Z8" i="3"/>
  <c r="AK43" i="3"/>
  <c r="AK33" i="3"/>
  <c r="Z127" i="3"/>
  <c r="P17" i="3"/>
  <c r="AK26" i="3"/>
  <c r="C3" i="7"/>
  <c r="Z121" i="3"/>
  <c r="Z145" i="3"/>
  <c r="AK162" i="3"/>
  <c r="AK160" i="3"/>
  <c r="AK159" i="3"/>
  <c r="AK158" i="3"/>
  <c r="AK153" i="3"/>
  <c r="AK95" i="3"/>
  <c r="AK30" i="3"/>
  <c r="AK19" i="3"/>
  <c r="H4" i="7"/>
  <c r="H6" i="7"/>
  <c r="Z51" i="3"/>
  <c r="AB51" i="3" s="1"/>
  <c r="Z71" i="3"/>
  <c r="AB71" i="3" s="1"/>
  <c r="Z108" i="3"/>
  <c r="AB108" i="3" s="1"/>
  <c r="Z131" i="3"/>
  <c r="Z157" i="3"/>
  <c r="AK25" i="3"/>
  <c r="G6" i="7"/>
  <c r="G12" i="7"/>
  <c r="Z15" i="3"/>
  <c r="Z52" i="3"/>
  <c r="Z70" i="3"/>
  <c r="Z88" i="3"/>
  <c r="Z118" i="3"/>
  <c r="AK150" i="3"/>
  <c r="AK149" i="3"/>
  <c r="Z18" i="3"/>
  <c r="Z87" i="3"/>
  <c r="AB87" i="3" s="1"/>
  <c r="AK139" i="3"/>
  <c r="P54" i="3"/>
  <c r="D11" i="7"/>
  <c r="G8" i="7"/>
  <c r="Z12" i="3"/>
  <c r="Z42" i="3"/>
  <c r="AB42" i="3" s="1"/>
  <c r="Z67" i="3"/>
  <c r="Z100" i="3"/>
  <c r="Z115" i="3"/>
  <c r="Z158" i="3"/>
  <c r="AB158" i="3" s="1"/>
  <c r="AK96" i="3"/>
  <c r="AK88" i="3"/>
  <c r="AK82" i="3"/>
  <c r="AK80" i="3"/>
  <c r="AK7" i="3"/>
  <c r="Z17" i="3"/>
  <c r="AB17" i="3" s="1"/>
  <c r="Z29" i="3"/>
  <c r="Z66" i="3"/>
  <c r="Z77" i="3"/>
  <c r="AB77" i="3" s="1"/>
  <c r="Z86" i="3"/>
  <c r="AB86" i="3" s="1"/>
  <c r="Z95" i="3"/>
  <c r="Z124" i="3"/>
  <c r="Z139" i="3"/>
  <c r="AK136" i="3"/>
  <c r="AK90" i="3"/>
  <c r="AK65" i="3"/>
  <c r="AK37" i="3"/>
  <c r="AK174" i="3"/>
  <c r="Z122" i="3"/>
  <c r="AB122" i="3" s="1"/>
  <c r="Z105" i="3"/>
  <c r="Z74" i="3"/>
  <c r="Z49" i="3"/>
  <c r="Z28" i="3"/>
  <c r="Z39" i="3"/>
  <c r="AB39" i="3" s="1"/>
  <c r="AK146" i="3"/>
  <c r="AK50" i="3"/>
  <c r="AK126" i="3"/>
  <c r="AK122" i="3"/>
  <c r="AK133" i="3"/>
  <c r="AK68" i="3"/>
  <c r="H7" i="7"/>
  <c r="Z50" i="3"/>
  <c r="Z101" i="3"/>
  <c r="AB101" i="3" s="1"/>
  <c r="AK79" i="3"/>
  <c r="AL79" i="3" s="1"/>
  <c r="C78" i="6" s="1"/>
  <c r="AK54" i="3"/>
  <c r="AK52" i="3"/>
  <c r="C11" i="7"/>
  <c r="G7" i="7"/>
  <c r="C7" i="7"/>
  <c r="C13" i="7"/>
  <c r="AK73" i="3"/>
  <c r="AK11" i="3"/>
  <c r="Z54" i="3"/>
  <c r="C17" i="7"/>
  <c r="Z82" i="3"/>
  <c r="AB82" i="3" s="1"/>
  <c r="Z16" i="3"/>
  <c r="AB16" i="3" s="1"/>
  <c r="Z36" i="3"/>
  <c r="Z63" i="3"/>
  <c r="AB63" i="3" s="1"/>
  <c r="Z68" i="3"/>
  <c r="Z75" i="3"/>
  <c r="AB75" i="3" s="1"/>
  <c r="Z110" i="3"/>
  <c r="Z137" i="3"/>
  <c r="Z142" i="3"/>
  <c r="AB142" i="3" s="1"/>
  <c r="Z164" i="3"/>
  <c r="AB164" i="3" s="1"/>
  <c r="Z176" i="3"/>
  <c r="Z22" i="3"/>
  <c r="AK48" i="3"/>
  <c r="AK118" i="3"/>
  <c r="AK108" i="3"/>
  <c r="AK100" i="3"/>
  <c r="AK99" i="3"/>
  <c r="AK89" i="3"/>
  <c r="AK85" i="3"/>
  <c r="AK61" i="3"/>
  <c r="AK59" i="3"/>
  <c r="AK38" i="3"/>
  <c r="AK35" i="3"/>
  <c r="AK32" i="3"/>
  <c r="AK23" i="3"/>
  <c r="AK18" i="3"/>
  <c r="AK17" i="3"/>
  <c r="AK40" i="3"/>
  <c r="AK62" i="3"/>
  <c r="AK71" i="3"/>
  <c r="AK104" i="3"/>
  <c r="AK132" i="3"/>
  <c r="AK173" i="3"/>
  <c r="C8" i="7"/>
  <c r="C15" i="7"/>
  <c r="Z159" i="3"/>
  <c r="AB159" i="3" s="1"/>
  <c r="Z172" i="3"/>
  <c r="AK8" i="3"/>
  <c r="AK12" i="3"/>
  <c r="AK34" i="3"/>
  <c r="AK42" i="3"/>
  <c r="AK56" i="3"/>
  <c r="AL56" i="3" s="1"/>
  <c r="C55" i="6" s="1"/>
  <c r="AK66" i="3"/>
  <c r="AK69" i="3"/>
  <c r="AK92" i="3"/>
  <c r="AK117" i="3"/>
  <c r="AK121" i="3"/>
  <c r="AK127" i="3"/>
  <c r="AK145" i="3"/>
  <c r="AK163" i="3"/>
  <c r="AK166" i="3"/>
  <c r="AK175" i="3"/>
  <c r="P160" i="3"/>
  <c r="P130" i="3"/>
  <c r="P128" i="3"/>
  <c r="P119" i="3"/>
  <c r="P117" i="3"/>
  <c r="P115" i="3"/>
  <c r="P112" i="3"/>
  <c r="P102" i="3"/>
  <c r="P100" i="3"/>
  <c r="P92" i="3"/>
  <c r="P87" i="3"/>
  <c r="P83" i="3"/>
  <c r="P71" i="3"/>
  <c r="P64" i="3"/>
  <c r="P56" i="3"/>
  <c r="P19" i="3"/>
  <c r="P16" i="3"/>
  <c r="P12" i="3"/>
  <c r="P65" i="3"/>
  <c r="D5" i="7"/>
  <c r="Z173" i="3"/>
  <c r="AB173" i="3" s="1"/>
  <c r="AK86" i="3"/>
  <c r="AK60" i="3"/>
  <c r="Z20" i="3"/>
  <c r="AB20" i="3" s="1"/>
  <c r="Z62" i="3"/>
  <c r="AB62" i="3" s="1"/>
  <c r="Z69" i="3"/>
  <c r="AB69" i="3" s="1"/>
  <c r="Z80" i="3"/>
  <c r="AB80" i="3" s="1"/>
  <c r="Z92" i="3"/>
  <c r="Z114" i="3"/>
  <c r="AB114" i="3" s="1"/>
  <c r="Z125" i="3"/>
  <c r="AB125" i="3" s="1"/>
  <c r="Z153" i="3"/>
  <c r="AB153" i="3" s="1"/>
  <c r="Z174" i="3"/>
  <c r="Z90" i="3"/>
  <c r="AB90" i="3" s="1"/>
  <c r="AK76" i="3"/>
  <c r="AK58" i="3"/>
  <c r="AK177" i="3"/>
  <c r="AL177" i="3" s="1"/>
  <c r="C176" i="6" s="1"/>
  <c r="Z14" i="3"/>
  <c r="AB14" i="3" s="1"/>
  <c r="Z25" i="3"/>
  <c r="AB25" i="3" s="1"/>
  <c r="AK151" i="3"/>
  <c r="Z73" i="3"/>
  <c r="AB73" i="3" s="1"/>
  <c r="Z89" i="3"/>
  <c r="Z129" i="3"/>
  <c r="AB129" i="3" s="1"/>
  <c r="Z59" i="3"/>
  <c r="AB59" i="3" s="1"/>
  <c r="AK53" i="3"/>
  <c r="P72" i="3"/>
  <c r="Z117" i="3"/>
  <c r="AB117" i="3" s="1"/>
  <c r="AK75" i="3"/>
  <c r="AK47" i="3"/>
  <c r="D6" i="7"/>
  <c r="AK70" i="3"/>
  <c r="AK83" i="3"/>
  <c r="Z119" i="3"/>
  <c r="AB119" i="3" s="1"/>
  <c r="Z170" i="3"/>
  <c r="AB170" i="3" s="1"/>
  <c r="AK176" i="3"/>
  <c r="Z72" i="3"/>
  <c r="AB72" i="3" s="1"/>
  <c r="Z155" i="3"/>
  <c r="AB155" i="3" s="1"/>
  <c r="Z175" i="3"/>
  <c r="AB175" i="3" s="1"/>
  <c r="Z64" i="3"/>
  <c r="AK167" i="3"/>
  <c r="P18" i="3"/>
  <c r="P10" i="3"/>
  <c r="D4" i="7"/>
  <c r="AK164" i="3"/>
  <c r="AK144" i="3"/>
  <c r="AK20" i="3"/>
  <c r="C9" i="7"/>
  <c r="AK135" i="3"/>
  <c r="AK129" i="3"/>
  <c r="AK128" i="3"/>
  <c r="AK125" i="3"/>
  <c r="AK120" i="3"/>
  <c r="AK119" i="3"/>
  <c r="AK115" i="3"/>
  <c r="AK113" i="3"/>
  <c r="AK106" i="3"/>
  <c r="AK103" i="3"/>
  <c r="AK97" i="3"/>
  <c r="AK94" i="3"/>
  <c r="AK91" i="3"/>
  <c r="AK87" i="3"/>
  <c r="AK84" i="3"/>
  <c r="AK78" i="3"/>
  <c r="AK74" i="3"/>
  <c r="AK57" i="3"/>
  <c r="AK55" i="3"/>
  <c r="Z81" i="3"/>
  <c r="AB81" i="3" s="1"/>
  <c r="Z7" i="3"/>
  <c r="Z13" i="3"/>
  <c r="AB13" i="3" s="1"/>
  <c r="Z34" i="3"/>
  <c r="AB34" i="3" s="1"/>
  <c r="Z37" i="3"/>
  <c r="AB37" i="3" s="1"/>
  <c r="Z48" i="3"/>
  <c r="Z53" i="3"/>
  <c r="AB53" i="3" s="1"/>
  <c r="Z60" i="3"/>
  <c r="AB60" i="3" s="1"/>
  <c r="Z76" i="3"/>
  <c r="AB76" i="3" s="1"/>
  <c r="Z79" i="3"/>
  <c r="AB79" i="3" s="1"/>
  <c r="Z84" i="3"/>
  <c r="AB84" i="3" s="1"/>
  <c r="Z104" i="3"/>
  <c r="AB104" i="3" s="1"/>
  <c r="Z112" i="3"/>
  <c r="AB112" i="3" s="1"/>
  <c r="Z138" i="3"/>
  <c r="AB138" i="3" s="1"/>
  <c r="Z141" i="3"/>
  <c r="AB141" i="3" s="1"/>
  <c r="Z150" i="3"/>
  <c r="AB150" i="3" s="1"/>
  <c r="Z152" i="3"/>
  <c r="AB152" i="3" s="1"/>
  <c r="Z160" i="3"/>
  <c r="AB160" i="3" s="1"/>
  <c r="Z163" i="3"/>
  <c r="AB163" i="3" s="1"/>
  <c r="Z165" i="3"/>
  <c r="AB165" i="3" s="1"/>
  <c r="Z167" i="3"/>
  <c r="AB167" i="3" s="1"/>
  <c r="Z97" i="3"/>
  <c r="AB97" i="3" s="1"/>
  <c r="Z93" i="3"/>
  <c r="AB93" i="3" s="1"/>
  <c r="AK137" i="3"/>
  <c r="AK123" i="3"/>
  <c r="AK110" i="3"/>
  <c r="AK39" i="3"/>
  <c r="AK28" i="3"/>
  <c r="Z151" i="3"/>
  <c r="AB151" i="3" s="1"/>
  <c r="AK171" i="3"/>
  <c r="AK169" i="3"/>
  <c r="AK154" i="3"/>
  <c r="AK140" i="3"/>
  <c r="AK22" i="3"/>
  <c r="AK16" i="3"/>
  <c r="Z135" i="3"/>
  <c r="AB135" i="3" s="1"/>
  <c r="Z134" i="3"/>
  <c r="AB134" i="3" s="1"/>
  <c r="Z113" i="3"/>
  <c r="AB113" i="3" s="1"/>
  <c r="Z107" i="3"/>
  <c r="AB107" i="3" s="1"/>
  <c r="Z103" i="3"/>
  <c r="AB103" i="3" s="1"/>
  <c r="Z94" i="3"/>
  <c r="Z35" i="3"/>
  <c r="AB35" i="3" s="1"/>
  <c r="Z169" i="3"/>
  <c r="AB169" i="3" s="1"/>
  <c r="Z85" i="3"/>
  <c r="AB85" i="3" s="1"/>
  <c r="Z58" i="3"/>
  <c r="AB58" i="3" s="1"/>
  <c r="Z44" i="3"/>
  <c r="AB44" i="3" s="1"/>
  <c r="Z41" i="3"/>
  <c r="AB41" i="3" s="1"/>
  <c r="Z23" i="3"/>
  <c r="AB23" i="3" s="1"/>
  <c r="AK4" i="3"/>
  <c r="Z149" i="3"/>
  <c r="AB149" i="3" s="1"/>
  <c r="AK155" i="3"/>
  <c r="AK148" i="3"/>
  <c r="AK45" i="3"/>
  <c r="AK109" i="3"/>
  <c r="AK168" i="3"/>
  <c r="C12" i="7"/>
  <c r="C16" i="7"/>
  <c r="Z55" i="3"/>
  <c r="AB55" i="3" s="1"/>
  <c r="Z78" i="3"/>
  <c r="AB78" i="3" s="1"/>
  <c r="AB94" i="3"/>
  <c r="Z132" i="3"/>
  <c r="AB132" i="3" s="1"/>
  <c r="AK51" i="3"/>
  <c r="AK49" i="3"/>
  <c r="AK44" i="3"/>
  <c r="P176" i="3"/>
  <c r="P173" i="3"/>
  <c r="P133" i="3"/>
  <c r="P90" i="3"/>
  <c r="P70" i="3"/>
  <c r="P52" i="3"/>
  <c r="P34" i="3"/>
  <c r="P25" i="3"/>
  <c r="Z21" i="3"/>
  <c r="AB21" i="3" s="1"/>
  <c r="Z38" i="3"/>
  <c r="AB38" i="3" s="1"/>
  <c r="Z56" i="3"/>
  <c r="AB56" i="3" s="1"/>
  <c r="Z65" i="3"/>
  <c r="AB65" i="3" s="1"/>
  <c r="AK114" i="3"/>
  <c r="AK105" i="3"/>
  <c r="AK102" i="3"/>
  <c r="AK101" i="3"/>
  <c r="AL101" i="3" s="1"/>
  <c r="C100" i="6" s="1"/>
  <c r="AK98" i="3"/>
  <c r="AK81" i="3"/>
  <c r="AK72" i="3"/>
  <c r="AK67" i="3"/>
  <c r="AK46" i="3"/>
  <c r="AK27" i="3"/>
  <c r="AK24" i="3"/>
  <c r="Z45" i="3"/>
  <c r="AB45" i="3" s="1"/>
  <c r="AK21" i="3"/>
  <c r="AK9" i="3"/>
  <c r="Z162" i="3"/>
  <c r="Z144" i="3"/>
  <c r="AB144" i="3" s="1"/>
  <c r="Z109" i="3"/>
  <c r="AB109" i="3" s="1"/>
  <c r="Z98" i="3"/>
  <c r="Z96" i="3"/>
  <c r="AB96" i="3" s="1"/>
  <c r="Z6" i="3"/>
  <c r="AB6" i="3" s="1"/>
  <c r="Z31" i="3"/>
  <c r="Z47" i="3"/>
  <c r="AB47" i="3" s="1"/>
  <c r="Z24" i="3"/>
  <c r="AB24" i="3" s="1"/>
  <c r="Z11" i="3"/>
  <c r="AK5" i="3"/>
  <c r="Z146" i="3"/>
  <c r="AB146" i="3" s="1"/>
  <c r="AK172" i="3"/>
  <c r="AK143" i="3"/>
  <c r="AK141" i="3"/>
  <c r="AK138" i="3"/>
  <c r="AK107" i="3"/>
  <c r="AK111" i="3"/>
  <c r="AK112" i="3"/>
  <c r="AK13" i="3"/>
  <c r="C5" i="7"/>
  <c r="Z91" i="3"/>
  <c r="AB91" i="3" s="1"/>
  <c r="AK77" i="3"/>
  <c r="AK64" i="3"/>
  <c r="AK31" i="3"/>
  <c r="P175" i="3"/>
  <c r="P169" i="3"/>
  <c r="P155" i="3"/>
  <c r="P153" i="3"/>
  <c r="P20" i="3"/>
  <c r="P57" i="3"/>
  <c r="P15" i="3"/>
  <c r="G13" i="7"/>
  <c r="Z33" i="3"/>
  <c r="Z5" i="3"/>
  <c r="AB33" i="3"/>
  <c r="Z19" i="3"/>
  <c r="AB19" i="3" s="1"/>
  <c r="Z168" i="3"/>
  <c r="Z171" i="3"/>
  <c r="AB171" i="3" s="1"/>
  <c r="Z57" i="3"/>
  <c r="AB57" i="3" s="1"/>
  <c r="H11" i="7"/>
  <c r="P53" i="3"/>
  <c r="G9" i="7"/>
  <c r="AK41" i="3"/>
  <c r="Z43" i="3"/>
  <c r="AB43" i="3" s="1"/>
  <c r="P139" i="3"/>
  <c r="P111" i="3"/>
  <c r="P31" i="3"/>
  <c r="P6" i="3"/>
  <c r="G17" i="7"/>
  <c r="H8" i="7"/>
  <c r="AK161" i="3"/>
  <c r="P24" i="3"/>
  <c r="AK36" i="3"/>
  <c r="AK63" i="3"/>
  <c r="AL63" i="3" s="1"/>
  <c r="C62" i="6" s="1"/>
  <c r="H12" i="7"/>
  <c r="P120" i="3"/>
  <c r="H16" i="7"/>
  <c r="D14" i="7"/>
  <c r="P61" i="3"/>
  <c r="P58" i="3"/>
  <c r="P46" i="3"/>
  <c r="P33" i="3"/>
  <c r="P26" i="3"/>
  <c r="P21" i="3"/>
  <c r="P174" i="3"/>
  <c r="P172" i="3"/>
  <c r="P147" i="3"/>
  <c r="P144" i="3"/>
  <c r="P129" i="3"/>
  <c r="P116" i="3"/>
  <c r="P109" i="3"/>
  <c r="P108" i="3"/>
  <c r="P101" i="3"/>
  <c r="P99" i="3"/>
  <c r="P95" i="3"/>
  <c r="P86" i="3"/>
  <c r="P81" i="3"/>
  <c r="P62" i="3"/>
  <c r="P41" i="3"/>
  <c r="P8" i="3"/>
  <c r="P66" i="3"/>
  <c r="P22" i="3"/>
  <c r="P4" i="3"/>
  <c r="D12" i="7"/>
  <c r="D8" i="7"/>
  <c r="D7" i="7"/>
  <c r="D3" i="7"/>
  <c r="P27" i="3"/>
  <c r="Z136" i="3"/>
  <c r="Z154" i="3"/>
  <c r="AK170" i="3"/>
  <c r="Z156" i="3"/>
  <c r="Z177" i="3"/>
  <c r="H5" i="7"/>
  <c r="G14" i="7"/>
  <c r="AK156" i="3"/>
  <c r="AK152" i="3"/>
  <c r="P74" i="3"/>
  <c r="P28" i="3"/>
  <c r="C10" i="7"/>
  <c r="P170" i="3"/>
  <c r="P136" i="3"/>
  <c r="P110" i="3"/>
  <c r="P35" i="3"/>
  <c r="P36" i="3"/>
  <c r="G5" i="7"/>
  <c r="P47" i="3"/>
  <c r="G15" i="7"/>
  <c r="H14" i="7"/>
  <c r="Z111" i="3"/>
  <c r="G10" i="7"/>
  <c r="P51" i="3"/>
  <c r="P40" i="3"/>
  <c r="P14" i="3"/>
  <c r="P157" i="3"/>
  <c r="P149" i="3"/>
  <c r="P146" i="3"/>
  <c r="P143" i="3"/>
  <c r="P140" i="3"/>
  <c r="P137" i="3"/>
  <c r="P118" i="3"/>
  <c r="P113" i="3"/>
  <c r="P106" i="3"/>
  <c r="P104" i="3"/>
  <c r="P97" i="3"/>
  <c r="P80" i="3"/>
  <c r="P78" i="3"/>
  <c r="P77" i="3"/>
  <c r="P67" i="3"/>
  <c r="P50" i="3"/>
  <c r="P32" i="3"/>
  <c r="P30" i="3"/>
  <c r="P7" i="3"/>
  <c r="P42" i="3"/>
  <c r="P29" i="3"/>
  <c r="P5" i="3"/>
  <c r="G16" i="7"/>
  <c r="H10" i="7"/>
  <c r="P114" i="3"/>
  <c r="P91" i="3"/>
  <c r="P82" i="3"/>
  <c r="P9" i="3"/>
  <c r="H15" i="7"/>
  <c r="G3" i="7"/>
  <c r="H9" i="7"/>
  <c r="P171" i="3"/>
  <c r="P127" i="3"/>
  <c r="P105" i="3"/>
  <c r="P103" i="3"/>
  <c r="P94" i="3"/>
  <c r="P85" i="3"/>
  <c r="P75" i="3"/>
  <c r="P63" i="3"/>
  <c r="P38" i="3"/>
  <c r="P13" i="3"/>
  <c r="P11" i="3"/>
  <c r="P68" i="3"/>
  <c r="P48" i="3"/>
  <c r="P167" i="3"/>
  <c r="P164" i="3"/>
  <c r="P162" i="3"/>
  <c r="P161" i="3"/>
  <c r="P125" i="3"/>
  <c r="P122" i="3"/>
  <c r="P73" i="3"/>
  <c r="P60" i="3"/>
  <c r="D10" i="7"/>
  <c r="P156" i="3"/>
  <c r="P89" i="3"/>
  <c r="P45" i="3"/>
  <c r="C6" i="7"/>
  <c r="C4" i="7"/>
  <c r="P39" i="3"/>
  <c r="D9" i="7"/>
  <c r="C14" i="7"/>
  <c r="D15" i="7"/>
  <c r="P168" i="3"/>
  <c r="P150" i="3"/>
  <c r="P148" i="3"/>
  <c r="P142" i="3"/>
  <c r="P138" i="3"/>
  <c r="P135" i="3"/>
  <c r="P107" i="3"/>
  <c r="P93" i="3"/>
  <c r="P79" i="3"/>
  <c r="P59" i="3"/>
  <c r="P49" i="3"/>
  <c r="P44" i="3"/>
  <c r="P23" i="3"/>
  <c r="P154" i="3"/>
  <c r="P152" i="3"/>
  <c r="P177" i="3"/>
  <c r="P151" i="3"/>
  <c r="D16" i="7"/>
  <c r="P98" i="3"/>
  <c r="G4" i="7"/>
  <c r="P141" i="3"/>
  <c r="P96" i="3"/>
  <c r="P84" i="3"/>
  <c r="P76" i="3"/>
  <c r="P55" i="3"/>
  <c r="AL145" i="3" l="1"/>
  <c r="C144" i="6" s="1"/>
  <c r="AL105" i="3"/>
  <c r="C104" i="6" s="1"/>
  <c r="AL141" i="3"/>
  <c r="C140" i="6" s="1"/>
  <c r="AL41" i="3"/>
  <c r="C40" i="6" s="1"/>
  <c r="B186" i="6"/>
  <c r="AC57" i="3"/>
  <c r="N56" i="6" s="1"/>
  <c r="AC7" i="3"/>
  <c r="N6" i="6" s="1"/>
  <c r="AB7" i="3"/>
  <c r="AL67" i="3"/>
  <c r="C66" i="6" s="1"/>
  <c r="AL51" i="3"/>
  <c r="C50" i="6" s="1"/>
  <c r="AL27" i="3"/>
  <c r="C26" i="6" s="1"/>
  <c r="M17" i="7"/>
  <c r="AC171" i="3"/>
  <c r="N170" i="6" s="1"/>
  <c r="AC56" i="3"/>
  <c r="N55" i="6" s="1"/>
  <c r="AL156" i="3"/>
  <c r="C155" i="6" s="1"/>
  <c r="AC109" i="3"/>
  <c r="N108" i="6" s="1"/>
  <c r="AC125" i="3"/>
  <c r="N124" i="6" s="1"/>
  <c r="AC110" i="3"/>
  <c r="N109" i="6" s="1"/>
  <c r="AB110" i="3"/>
  <c r="AB5" i="3"/>
  <c r="AC5" i="3"/>
  <c r="N4" i="6" s="1"/>
  <c r="AL151" i="3"/>
  <c r="C150" i="6" s="1"/>
  <c r="AL172" i="3"/>
  <c r="C171" i="6" s="1"/>
  <c r="AL143" i="3"/>
  <c r="C142" i="6" s="1"/>
  <c r="AL138" i="3"/>
  <c r="C137" i="6" s="1"/>
  <c r="AL77" i="3"/>
  <c r="C76" i="6" s="1"/>
  <c r="AC119" i="3"/>
  <c r="N118" i="6" s="1"/>
  <c r="AC120" i="3"/>
  <c r="N119" i="6" s="1"/>
  <c r="AL86" i="3"/>
  <c r="C85" i="6" s="1"/>
  <c r="AC82" i="3"/>
  <c r="N81" i="6" s="1"/>
  <c r="AC114" i="3"/>
  <c r="N113" i="6" s="1"/>
  <c r="AC45" i="3"/>
  <c r="N44" i="6" s="1"/>
  <c r="AL44" i="3"/>
  <c r="C43" i="6" s="1"/>
  <c r="AL21" i="3"/>
  <c r="C20" i="6" s="1"/>
  <c r="AL73" i="3"/>
  <c r="C72" i="6" s="1"/>
  <c r="AC39" i="3"/>
  <c r="N38" i="6" s="1"/>
  <c r="AC75" i="3"/>
  <c r="N74" i="6" s="1"/>
  <c r="AC68" i="3"/>
  <c r="N67" i="6" s="1"/>
  <c r="AB68" i="3"/>
  <c r="AL65" i="3"/>
  <c r="C64" i="6" s="1"/>
  <c r="AL174" i="3"/>
  <c r="C173" i="6" s="1"/>
  <c r="AL126" i="3"/>
  <c r="C125" i="6" s="1"/>
  <c r="AL159" i="3"/>
  <c r="C158" i="6" s="1"/>
  <c r="AC53" i="3"/>
  <c r="N52" i="6" s="1"/>
  <c r="AL100" i="3"/>
  <c r="C99" i="6" s="1"/>
  <c r="AL76" i="3"/>
  <c r="C75" i="6" s="1"/>
  <c r="AL45" i="3"/>
  <c r="C44" i="6" s="1"/>
  <c r="AL148" i="3"/>
  <c r="C147" i="6" s="1"/>
  <c r="AL144" i="3"/>
  <c r="C143" i="6" s="1"/>
  <c r="AL135" i="3"/>
  <c r="C134" i="6" s="1"/>
  <c r="AL120" i="3"/>
  <c r="C119" i="6" s="1"/>
  <c r="AL75" i="3"/>
  <c r="C74" i="6" s="1"/>
  <c r="AL70" i="3"/>
  <c r="C69" i="6" s="1"/>
  <c r="AL57" i="3"/>
  <c r="C56" i="6" s="1"/>
  <c r="AL55" i="3"/>
  <c r="C54" i="6" s="1"/>
  <c r="AL47" i="3"/>
  <c r="C46" i="6" s="1"/>
  <c r="AL16" i="3"/>
  <c r="C15" i="6" s="1"/>
  <c r="AC81" i="3"/>
  <c r="N80" i="6" s="1"/>
  <c r="AC94" i="3"/>
  <c r="N93" i="6" s="1"/>
  <c r="AL102" i="3"/>
  <c r="C101" i="6" s="1"/>
  <c r="AL81" i="3"/>
  <c r="C80" i="6" s="1"/>
  <c r="AL154" i="3"/>
  <c r="C153" i="6" s="1"/>
  <c r="AL121" i="3"/>
  <c r="C120" i="6" s="1"/>
  <c r="AL106" i="3"/>
  <c r="C105" i="6" s="1"/>
  <c r="AL78" i="3"/>
  <c r="C77" i="6" s="1"/>
  <c r="AL53" i="3"/>
  <c r="C52" i="6" s="1"/>
  <c r="AC151" i="3"/>
  <c r="N150" i="6" s="1"/>
  <c r="AC103" i="3"/>
  <c r="N102" i="6" s="1"/>
  <c r="AL175" i="3"/>
  <c r="C174" i="6" s="1"/>
  <c r="AL168" i="3"/>
  <c r="C167" i="6" s="1"/>
  <c r="AC85" i="3"/>
  <c r="N84" i="6" s="1"/>
  <c r="AC58" i="3"/>
  <c r="N57" i="6" s="1"/>
  <c r="AC117" i="3"/>
  <c r="N116" i="6" s="1"/>
  <c r="AC77" i="3"/>
  <c r="N76" i="6" s="1"/>
  <c r="AL46" i="3"/>
  <c r="C45" i="6" s="1"/>
  <c r="AC96" i="3"/>
  <c r="N95" i="6" s="1"/>
  <c r="AL4" i="3"/>
  <c r="C3" i="6" s="1"/>
  <c r="AL111" i="3"/>
  <c r="C110" i="6" s="1"/>
  <c r="AL13" i="3"/>
  <c r="C12" i="6" s="1"/>
  <c r="AC84" i="3"/>
  <c r="N83" i="6" s="1"/>
  <c r="AL74" i="3"/>
  <c r="C73" i="6" s="1"/>
  <c r="AL39" i="3"/>
  <c r="C38" i="6" s="1"/>
  <c r="AL163" i="3"/>
  <c r="C162" i="6" s="1"/>
  <c r="AL119" i="3"/>
  <c r="C118" i="6" s="1"/>
  <c r="AL66" i="3"/>
  <c r="C65" i="6" s="1"/>
  <c r="AL167" i="3"/>
  <c r="C166" i="6" s="1"/>
  <c r="AC175" i="3"/>
  <c r="N174" i="6" s="1"/>
  <c r="AC155" i="3"/>
  <c r="N154" i="6" s="1"/>
  <c r="AL103" i="3"/>
  <c r="C102" i="6" s="1"/>
  <c r="AC97" i="3"/>
  <c r="N96" i="6" s="1"/>
  <c r="AL158" i="3"/>
  <c r="C157" i="6" s="1"/>
  <c r="AC59" i="3"/>
  <c r="N58" i="6" s="1"/>
  <c r="AC15" i="3"/>
  <c r="N14" i="6" s="1"/>
  <c r="AB15" i="3"/>
  <c r="AB115" i="3"/>
  <c r="AC115" i="3"/>
  <c r="N114" i="6" s="1"/>
  <c r="AB92" i="3"/>
  <c r="AC92" i="3"/>
  <c r="N91" i="6" s="1"/>
  <c r="AB174" i="3"/>
  <c r="AC174" i="3"/>
  <c r="N173" i="6" s="1"/>
  <c r="AB48" i="3"/>
  <c r="AC48" i="3"/>
  <c r="N47" i="6" s="1"/>
  <c r="M13" i="7"/>
  <c r="AC63" i="3"/>
  <c r="N62" i="6" s="1"/>
  <c r="AC142" i="3"/>
  <c r="N141" i="6" s="1"/>
  <c r="AL165" i="3"/>
  <c r="C164" i="6" s="1"/>
  <c r="AC148" i="3"/>
  <c r="N147" i="6" s="1"/>
  <c r="AC4" i="3"/>
  <c r="N3" i="6" s="1"/>
  <c r="AC161" i="3"/>
  <c r="N160" i="6" s="1"/>
  <c r="AL136" i="3"/>
  <c r="C135" i="6" s="1"/>
  <c r="AC27" i="3"/>
  <c r="N26" i="6" s="1"/>
  <c r="AL19" i="3"/>
  <c r="C18" i="6" s="1"/>
  <c r="B198" i="3"/>
  <c r="C198" i="3" s="1"/>
  <c r="AL30" i="3"/>
  <c r="C29" i="6" s="1"/>
  <c r="AL162" i="3"/>
  <c r="C161" i="6" s="1"/>
  <c r="AL130" i="3"/>
  <c r="C129" i="6" s="1"/>
  <c r="AL50" i="3"/>
  <c r="C49" i="6" s="1"/>
  <c r="AL43" i="3"/>
  <c r="C42" i="6" s="1"/>
  <c r="AL14" i="3"/>
  <c r="C13" i="6" s="1"/>
  <c r="AL160" i="3"/>
  <c r="C159" i="6" s="1"/>
  <c r="AL134" i="3"/>
  <c r="C133" i="6" s="1"/>
  <c r="AL95" i="3"/>
  <c r="C94" i="6" s="1"/>
  <c r="AC87" i="3"/>
  <c r="N86" i="6" s="1"/>
  <c r="AC86" i="3"/>
  <c r="N85" i="6" s="1"/>
  <c r="AL52" i="3"/>
  <c r="C51" i="6" s="1"/>
  <c r="M10" i="7"/>
  <c r="AC133" i="3"/>
  <c r="N132" i="6" s="1"/>
  <c r="B199" i="3"/>
  <c r="C199" i="3" s="1"/>
  <c r="AB83" i="3"/>
  <c r="AC83" i="3"/>
  <c r="N82" i="6" s="1"/>
  <c r="AB40" i="3"/>
  <c r="AC40" i="3"/>
  <c r="N39" i="6" s="1"/>
  <c r="AC158" i="3"/>
  <c r="N157" i="6" s="1"/>
  <c r="AL125" i="3"/>
  <c r="C124" i="6" s="1"/>
  <c r="AC17" i="3"/>
  <c r="N16" i="6" s="1"/>
  <c r="AC138" i="3"/>
  <c r="N137" i="6" s="1"/>
  <c r="AC30" i="3"/>
  <c r="N29" i="6" s="1"/>
  <c r="AL131" i="3"/>
  <c r="C130" i="6" s="1"/>
  <c r="AC150" i="3"/>
  <c r="N149" i="6" s="1"/>
  <c r="AC144" i="3"/>
  <c r="N143" i="6" s="1"/>
  <c r="AC78" i="3"/>
  <c r="N77" i="6" s="1"/>
  <c r="AL129" i="3"/>
  <c r="C128" i="6" s="1"/>
  <c r="AL89" i="3"/>
  <c r="C88" i="6" s="1"/>
  <c r="AC10" i="3"/>
  <c r="N9" i="6" s="1"/>
  <c r="C32" i="7"/>
  <c r="AC47" i="3"/>
  <c r="N46" i="6" s="1"/>
  <c r="AL61" i="3"/>
  <c r="C60" i="6" s="1"/>
  <c r="AL17" i="3"/>
  <c r="C16" i="6" s="1"/>
  <c r="AC37" i="3"/>
  <c r="N36" i="6" s="1"/>
  <c r="AC93" i="3"/>
  <c r="N92" i="6" s="1"/>
  <c r="AL22" i="3"/>
  <c r="C21" i="6" s="1"/>
  <c r="AL12" i="3"/>
  <c r="C11" i="6" s="1"/>
  <c r="AL69" i="3"/>
  <c r="C68" i="6" s="1"/>
  <c r="AL92" i="3"/>
  <c r="C91" i="6" s="1"/>
  <c r="AL117" i="3"/>
  <c r="C116" i="6" s="1"/>
  <c r="AL127" i="3"/>
  <c r="C126" i="6" s="1"/>
  <c r="AL7" i="3"/>
  <c r="C6" i="6" s="1"/>
  <c r="AC90" i="3"/>
  <c r="N89" i="6" s="1"/>
  <c r="AL146" i="3"/>
  <c r="C145" i="6" s="1"/>
  <c r="AL54" i="3"/>
  <c r="C53" i="6" s="1"/>
  <c r="AL171" i="3"/>
  <c r="C170" i="6" s="1"/>
  <c r="AL115" i="3"/>
  <c r="C114" i="6" s="1"/>
  <c r="AL110" i="3"/>
  <c r="C109" i="6" s="1"/>
  <c r="AC159" i="3"/>
  <c r="N158" i="6" s="1"/>
  <c r="AC134" i="3"/>
  <c r="N133" i="6" s="1"/>
  <c r="AC152" i="3"/>
  <c r="N151" i="6" s="1"/>
  <c r="AC141" i="3"/>
  <c r="N140" i="6" s="1"/>
  <c r="AC128" i="3"/>
  <c r="N127" i="6" s="1"/>
  <c r="AC107" i="3"/>
  <c r="N106" i="6" s="1"/>
  <c r="AC73" i="3"/>
  <c r="N72" i="6" s="1"/>
  <c r="AC65" i="3"/>
  <c r="N64" i="6" s="1"/>
  <c r="M12" i="7"/>
  <c r="M8" i="7"/>
  <c r="AC149" i="3"/>
  <c r="N148" i="6" s="1"/>
  <c r="AC122" i="3"/>
  <c r="N121" i="6" s="1"/>
  <c r="AC76" i="3"/>
  <c r="N75" i="6" s="1"/>
  <c r="AC23" i="3"/>
  <c r="N22" i="6" s="1"/>
  <c r="AC173" i="3"/>
  <c r="N172" i="6" s="1"/>
  <c r="AC91" i="3"/>
  <c r="N90" i="6" s="1"/>
  <c r="AC35" i="3"/>
  <c r="N34" i="6" s="1"/>
  <c r="AC42" i="3"/>
  <c r="N41" i="6" s="1"/>
  <c r="M4" i="7"/>
  <c r="AC36" i="3"/>
  <c r="N35" i="6" s="1"/>
  <c r="AB36" i="3"/>
  <c r="AC137" i="3"/>
  <c r="N136" i="6" s="1"/>
  <c r="AB137" i="3"/>
  <c r="AB176" i="3"/>
  <c r="AC176" i="3"/>
  <c r="N175" i="6" s="1"/>
  <c r="E100" i="6"/>
  <c r="D100" i="6"/>
  <c r="AB162" i="3"/>
  <c r="AC162" i="3"/>
  <c r="N161" i="6" s="1"/>
  <c r="AB98" i="3"/>
  <c r="AC98" i="3"/>
  <c r="N97" i="6" s="1"/>
  <c r="AB31" i="3"/>
  <c r="AC31" i="3"/>
  <c r="N30" i="6" s="1"/>
  <c r="AB11" i="3"/>
  <c r="AC11" i="3"/>
  <c r="N10" i="6" s="1"/>
  <c r="AB168" i="3"/>
  <c r="AC168" i="3"/>
  <c r="N167" i="6" s="1"/>
  <c r="E62" i="6"/>
  <c r="D62" i="6"/>
  <c r="AC33" i="3"/>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AL28" i="3"/>
  <c r="C27" i="6" s="1"/>
  <c r="AL99" i="3"/>
  <c r="C98" i="6" s="1"/>
  <c r="AC26" i="3"/>
  <c r="N25" i="6" s="1"/>
  <c r="AB26" i="3"/>
  <c r="AC102" i="3"/>
  <c r="N101" i="6" s="1"/>
  <c r="AB102" i="3"/>
  <c r="AB143" i="3"/>
  <c r="AC143" i="3"/>
  <c r="N142" i="6" s="1"/>
  <c r="AL87" i="3"/>
  <c r="C86" i="6" s="1"/>
  <c r="D78" i="6"/>
  <c r="E78" i="6"/>
  <c r="AC172" i="3"/>
  <c r="N171" i="6" s="1"/>
  <c r="AB172" i="3"/>
  <c r="AL166" i="3"/>
  <c r="C165" i="6" s="1"/>
  <c r="AL104" i="3"/>
  <c r="C103" i="6" s="1"/>
  <c r="AL116" i="3"/>
  <c r="C115" i="6" s="1"/>
  <c r="AL98" i="3"/>
  <c r="C97" i="6" s="1"/>
  <c r="AL176" i="3"/>
  <c r="C175" i="6" s="1"/>
  <c r="AC89" i="3"/>
  <c r="N88" i="6" s="1"/>
  <c r="AB89" i="3"/>
  <c r="AC64" i="3"/>
  <c r="N63" i="6" s="1"/>
  <c r="AB64" i="3"/>
  <c r="AL25" i="3"/>
  <c r="C24" i="6" s="1"/>
  <c r="AL40" i="3"/>
  <c r="C39" i="6" s="1"/>
  <c r="AL49" i="3"/>
  <c r="C48" i="6" s="1"/>
  <c r="AL42" i="3"/>
  <c r="C41" i="6" s="1"/>
  <c r="AL161" i="3"/>
  <c r="C160" i="6" s="1"/>
  <c r="AL153" i="3"/>
  <c r="C152" i="6" s="1"/>
  <c r="AL157" i="3"/>
  <c r="C156" i="6" s="1"/>
  <c r="AC136" i="3"/>
  <c r="N135" i="6" s="1"/>
  <c r="AB136" i="3"/>
  <c r="AC154" i="3"/>
  <c r="N153" i="6" s="1"/>
  <c r="AB154" i="3"/>
  <c r="AB156" i="3"/>
  <c r="AC156" i="3"/>
  <c r="N155" i="6" s="1"/>
  <c r="AB177" i="3"/>
  <c r="AC177" i="3"/>
  <c r="N176" i="6" s="1"/>
  <c r="AL124" i="3"/>
  <c r="C123" i="6" s="1"/>
  <c r="AL164" i="3"/>
  <c r="C163" i="6" s="1"/>
  <c r="AL140" i="3"/>
  <c r="C139" i="6" s="1"/>
  <c r="AC111" i="3"/>
  <c r="N110" i="6" s="1"/>
  <c r="AB111" i="3"/>
  <c r="AL132" i="3"/>
  <c r="C131" i="6" s="1"/>
  <c r="AL113" i="3"/>
  <c r="C112" i="6" s="1"/>
  <c r="AL84" i="3"/>
  <c r="C83" i="6" s="1"/>
  <c r="Z178" i="3"/>
  <c r="AB4" i="3"/>
  <c r="F30" i="7"/>
  <c r="AB32" i="3"/>
  <c r="AC32" i="3"/>
  <c r="N31" i="6" s="1"/>
  <c r="AB46" i="3"/>
  <c r="AC46" i="3"/>
  <c r="N45" i="6" s="1"/>
  <c r="AC99" i="3"/>
  <c r="N98" i="6" s="1"/>
  <c r="AB99" i="3"/>
  <c r="AB123" i="3"/>
  <c r="AC123" i="3"/>
  <c r="N122" i="6" s="1"/>
  <c r="AL71" i="3"/>
  <c r="C70" i="6" s="1"/>
  <c r="AL112" i="3"/>
  <c r="C111" i="6" s="1"/>
  <c r="AL82" i="3"/>
  <c r="C81" i="6" s="1"/>
  <c r="AC116" i="3"/>
  <c r="N115" i="6" s="1"/>
  <c r="AB116" i="3"/>
  <c r="AC106" i="3"/>
  <c r="N105" i="6" s="1"/>
  <c r="AB106" i="3"/>
  <c r="AB126" i="3"/>
  <c r="AC126" i="3"/>
  <c r="N125" i="6" s="1"/>
  <c r="AC147" i="3"/>
  <c r="N146" i="6" s="1"/>
  <c r="AB147" i="3"/>
  <c r="AL34" i="3"/>
  <c r="C33" i="6" s="1"/>
  <c r="AC8" i="3"/>
  <c r="N7" i="6" s="1"/>
  <c r="AB8" i="3"/>
  <c r="AB127" i="3"/>
  <c r="AC127" i="3"/>
  <c r="N126" i="6" s="1"/>
  <c r="AC121" i="3"/>
  <c r="N120" i="6" s="1"/>
  <c r="AB121" i="3"/>
  <c r="AC145" i="3"/>
  <c r="N144" i="6" s="1"/>
  <c r="AB145" i="3"/>
  <c r="AC131" i="3"/>
  <c r="N130" i="6" s="1"/>
  <c r="AB131" i="3"/>
  <c r="AC157" i="3"/>
  <c r="N156" i="6" s="1"/>
  <c r="AB157" i="3"/>
  <c r="AB52" i="3"/>
  <c r="AC52" i="3"/>
  <c r="N51" i="6" s="1"/>
  <c r="AC70" i="3"/>
  <c r="N69" i="6" s="1"/>
  <c r="AB70" i="3"/>
  <c r="AB88" i="3"/>
  <c r="AC88" i="3"/>
  <c r="N87" i="6" s="1"/>
  <c r="AB118" i="3"/>
  <c r="AC118" i="3"/>
  <c r="N117" i="6" s="1"/>
  <c r="AB18" i="3"/>
  <c r="F32" i="7"/>
  <c r="AC18" i="3"/>
  <c r="N17" i="6" s="1"/>
  <c r="AL122" i="3"/>
  <c r="C121" i="6" s="1"/>
  <c r="AL152" i="3"/>
  <c r="C151" i="6" s="1"/>
  <c r="AL38" i="3"/>
  <c r="C37" i="6" s="1"/>
  <c r="AB12" i="3"/>
  <c r="AC12" i="3"/>
  <c r="N11" i="6" s="1"/>
  <c r="AC67" i="3"/>
  <c r="N66" i="6" s="1"/>
  <c r="AB67" i="3"/>
  <c r="AC100" i="3"/>
  <c r="N99" i="6" s="1"/>
  <c r="AB100" i="3"/>
  <c r="AL91" i="3"/>
  <c r="C90" i="6" s="1"/>
  <c r="AL85" i="3"/>
  <c r="C84" i="6" s="1"/>
  <c r="AL72" i="3"/>
  <c r="C71" i="6" s="1"/>
  <c r="AL10" i="3"/>
  <c r="C9" i="6" s="1"/>
  <c r="AC29" i="3"/>
  <c r="N28" i="6" s="1"/>
  <c r="AB29" i="3"/>
  <c r="AC66" i="3"/>
  <c r="N65" i="6" s="1"/>
  <c r="AB66" i="3"/>
  <c r="AC95" i="3"/>
  <c r="N94" i="6" s="1"/>
  <c r="AB95" i="3"/>
  <c r="AC124" i="3"/>
  <c r="N123" i="6" s="1"/>
  <c r="AB124" i="3"/>
  <c r="AC139" i="3"/>
  <c r="N138" i="6" s="1"/>
  <c r="AB139" i="3"/>
  <c r="AL170" i="3"/>
  <c r="C169" i="6" s="1"/>
  <c r="AC105" i="3"/>
  <c r="N104" i="6" s="1"/>
  <c r="AB105" i="3"/>
  <c r="AB74" i="3"/>
  <c r="AC74" i="3"/>
  <c r="N73" i="6" s="1"/>
  <c r="AC49" i="3"/>
  <c r="N48" i="6" s="1"/>
  <c r="AB49" i="3"/>
  <c r="AB28" i="3"/>
  <c r="AC28" i="3"/>
  <c r="N27" i="6" s="1"/>
  <c r="G32" i="7"/>
  <c r="AA178" i="3"/>
  <c r="AC6" i="3"/>
  <c r="N5" i="6" s="1"/>
  <c r="AL20" i="3"/>
  <c r="C19" i="6" s="1"/>
  <c r="AB50" i="3"/>
  <c r="AC50" i="3"/>
  <c r="N49" i="6" s="1"/>
  <c r="AL23" i="3"/>
  <c r="C22" i="6" s="1"/>
  <c r="AL58" i="3"/>
  <c r="C57" i="6" s="1"/>
  <c r="AL6" i="3"/>
  <c r="AL5" i="3"/>
  <c r="AC54" i="3"/>
  <c r="N53" i="6" s="1"/>
  <c r="AB54" i="3"/>
  <c r="AL173" i="3"/>
  <c r="C172" i="6" s="1"/>
  <c r="AL97" i="3"/>
  <c r="C96" i="6" s="1"/>
  <c r="F31" i="7"/>
  <c r="AC22" i="3"/>
  <c r="N21" i="6" s="1"/>
  <c r="AB22" i="3"/>
  <c r="AL142" i="3"/>
  <c r="C141" i="6" s="1"/>
  <c r="AL80" i="3"/>
  <c r="C79" i="6" s="1"/>
  <c r="AL118" i="3"/>
  <c r="C117" i="6" s="1"/>
  <c r="AL109" i="3"/>
  <c r="C108" i="6" s="1"/>
  <c r="AL90" i="3"/>
  <c r="C89" i="6" s="1"/>
  <c r="AL83" i="3"/>
  <c r="C82" i="6" s="1"/>
  <c r="AL123" i="3"/>
  <c r="C122" i="6" s="1"/>
  <c r="AL33" i="3"/>
  <c r="C32" i="6" s="1"/>
  <c r="G31" i="7"/>
  <c r="AC19" i="3"/>
  <c r="N18" i="6" s="1"/>
  <c r="D144" i="6"/>
  <c r="E144" i="6"/>
  <c r="AL8" i="3"/>
  <c r="D55" i="6"/>
  <c r="E55" i="6"/>
  <c r="E176" i="6"/>
  <c r="D176" i="6"/>
  <c r="E140" i="6"/>
  <c r="D140" i="6"/>
  <c r="E104" i="6" l="1"/>
  <c r="D104" i="6"/>
  <c r="E40" i="6"/>
  <c r="D40" i="6"/>
  <c r="D66" i="6"/>
  <c r="E66" i="6"/>
  <c r="E50" i="6"/>
  <c r="D50" i="6"/>
  <c r="E26" i="6"/>
  <c r="D26" i="6"/>
  <c r="D155" i="6"/>
  <c r="E155" i="6"/>
  <c r="D150" i="6"/>
  <c r="E150" i="6"/>
  <c r="E76" i="6"/>
  <c r="D76" i="6"/>
  <c r="D101" i="6"/>
  <c r="E101" i="6"/>
  <c r="D80" i="6"/>
  <c r="E80" i="6"/>
  <c r="D171" i="6"/>
  <c r="E171" i="6"/>
  <c r="D142" i="6"/>
  <c r="E142" i="6"/>
  <c r="E137" i="6"/>
  <c r="D137" i="6"/>
  <c r="D85" i="6"/>
  <c r="E85" i="6"/>
  <c r="D43" i="6"/>
  <c r="E43" i="6"/>
  <c r="E20" i="6"/>
  <c r="D20" i="6"/>
  <c r="E72" i="6"/>
  <c r="D72" i="6"/>
  <c r="E64" i="6"/>
  <c r="D64" i="6"/>
  <c r="E173" i="6"/>
  <c r="D173" i="6"/>
  <c r="D45" i="6"/>
  <c r="E45" i="6"/>
  <c r="E110" i="6"/>
  <c r="D110" i="6"/>
  <c r="D12" i="6"/>
  <c r="E12" i="6"/>
  <c r="E91" i="6"/>
  <c r="D91" i="6"/>
  <c r="E126" i="6"/>
  <c r="D126" i="6"/>
  <c r="D69" i="6"/>
  <c r="E69" i="6"/>
  <c r="D129" i="6"/>
  <c r="E129" i="6"/>
  <c r="E133" i="6"/>
  <c r="D133" i="6"/>
  <c r="D51" i="6"/>
  <c r="E51" i="6"/>
  <c r="E124" i="6"/>
  <c r="D124" i="6"/>
  <c r="E125" i="6"/>
  <c r="D125" i="6"/>
  <c r="D158" i="6"/>
  <c r="E158" i="6"/>
  <c r="D99" i="6"/>
  <c r="E99" i="6"/>
  <c r="D75" i="6"/>
  <c r="E75" i="6"/>
  <c r="E44" i="6"/>
  <c r="D44" i="6"/>
  <c r="D147" i="6"/>
  <c r="E147" i="6"/>
  <c r="E143" i="6"/>
  <c r="D143" i="6"/>
  <c r="D134" i="6"/>
  <c r="E134" i="6"/>
  <c r="E119" i="6"/>
  <c r="D119" i="6"/>
  <c r="D74" i="6"/>
  <c r="E74" i="6"/>
  <c r="D56" i="6"/>
  <c r="E56" i="6"/>
  <c r="D54" i="6"/>
  <c r="E54" i="6"/>
  <c r="D46" i="6"/>
  <c r="E46" i="6"/>
  <c r="E15" i="6"/>
  <c r="D15" i="6"/>
  <c r="E153" i="6"/>
  <c r="D153" i="6"/>
  <c r="D120" i="6"/>
  <c r="E120" i="6"/>
  <c r="E105" i="6"/>
  <c r="D105" i="6"/>
  <c r="E77" i="6"/>
  <c r="D77" i="6"/>
  <c r="E52" i="6"/>
  <c r="D52" i="6"/>
  <c r="D174" i="6"/>
  <c r="E174" i="6"/>
  <c r="D167" i="6"/>
  <c r="E167" i="6"/>
  <c r="E73" i="6"/>
  <c r="D73" i="6"/>
  <c r="E38" i="6"/>
  <c r="D38" i="6"/>
  <c r="E162" i="6"/>
  <c r="D162" i="6"/>
  <c r="D118" i="6"/>
  <c r="E118" i="6"/>
  <c r="E65" i="6"/>
  <c r="D65" i="6"/>
  <c r="E166" i="6"/>
  <c r="D166" i="6"/>
  <c r="D102" i="6"/>
  <c r="E102" i="6"/>
  <c r="E157" i="6"/>
  <c r="D157" i="6"/>
  <c r="E164" i="6"/>
  <c r="D164" i="6"/>
  <c r="E18" i="6"/>
  <c r="D18" i="6"/>
  <c r="E29" i="6"/>
  <c r="D29" i="6"/>
  <c r="E161" i="6"/>
  <c r="D161" i="6"/>
  <c r="E49" i="6"/>
  <c r="D49" i="6"/>
  <c r="D42" i="6"/>
  <c r="E42" i="6"/>
  <c r="D13" i="6"/>
  <c r="E13" i="6"/>
  <c r="E159" i="6"/>
  <c r="D159" i="6"/>
  <c r="D130" i="6"/>
  <c r="E130" i="6"/>
  <c r="E88" i="6"/>
  <c r="D88" i="6"/>
  <c r="E11" i="6"/>
  <c r="D11" i="6"/>
  <c r="E68" i="6"/>
  <c r="D68" i="6"/>
  <c r="E116" i="6"/>
  <c r="D116" i="6"/>
  <c r="E6" i="6"/>
  <c r="D6" i="6"/>
  <c r="D145" i="6"/>
  <c r="E145" i="6"/>
  <c r="D53" i="6"/>
  <c r="E53" i="6"/>
  <c r="E106" i="6"/>
  <c r="D106" i="6"/>
  <c r="D61" i="6"/>
  <c r="E61" i="6"/>
  <c r="D168" i="6"/>
  <c r="E168" i="6"/>
  <c r="E154" i="6"/>
  <c r="D154" i="6"/>
  <c r="D136" i="6"/>
  <c r="E136" i="6"/>
  <c r="E165" i="6"/>
  <c r="D165" i="6"/>
  <c r="E115" i="6"/>
  <c r="D115" i="6"/>
  <c r="D123" i="6"/>
  <c r="E123" i="6"/>
  <c r="E135" i="6"/>
  <c r="D135" i="6"/>
  <c r="D94" i="6"/>
  <c r="E94" i="6"/>
  <c r="E128" i="6"/>
  <c r="D128" i="6"/>
  <c r="D21" i="6"/>
  <c r="E21" i="6"/>
  <c r="E170" i="6"/>
  <c r="D170" i="6"/>
  <c r="D114" i="6"/>
  <c r="E114" i="6"/>
  <c r="E109" i="6"/>
  <c r="D109" i="6"/>
  <c r="E63" i="6"/>
  <c r="D63" i="6"/>
  <c r="E113" i="6"/>
  <c r="D113" i="6"/>
  <c r="E34" i="6"/>
  <c r="D34" i="6"/>
  <c r="E92" i="6"/>
  <c r="D92" i="6"/>
  <c r="E35" i="6"/>
  <c r="D35" i="6"/>
  <c r="D30" i="6"/>
  <c r="E30" i="6"/>
  <c r="D14" i="6"/>
  <c r="E14" i="6"/>
  <c r="D23" i="6"/>
  <c r="E23" i="6"/>
  <c r="D57" i="6"/>
  <c r="E57" i="6"/>
  <c r="E60" i="6"/>
  <c r="D60" i="6"/>
  <c r="D16" i="6"/>
  <c r="E16" i="6"/>
  <c r="E25" i="6"/>
  <c r="D25" i="6"/>
  <c r="E59" i="6"/>
  <c r="D59" i="6"/>
  <c r="E149" i="6"/>
  <c r="D149" i="6"/>
  <c r="E148" i="6"/>
  <c r="D148" i="6"/>
  <c r="D146" i="6"/>
  <c r="E146" i="6"/>
  <c r="E138" i="6"/>
  <c r="D138" i="6"/>
  <c r="E10" i="6"/>
  <c r="D10" i="6"/>
  <c r="E27" i="6"/>
  <c r="D27" i="6"/>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E169" i="6"/>
  <c r="D169" i="6"/>
  <c r="E22" i="6"/>
  <c r="D22" i="6"/>
  <c r="C5" i="6"/>
  <c r="C4" i="6"/>
  <c r="E172" i="6"/>
  <c r="D172" i="6"/>
  <c r="D96" i="6"/>
  <c r="E96" i="6"/>
  <c r="D141" i="6"/>
  <c r="E141" i="6"/>
  <c r="E79" i="6"/>
  <c r="D79" i="6"/>
  <c r="E117" i="6"/>
  <c r="D117" i="6"/>
  <c r="D108" i="6"/>
  <c r="E108" i="6"/>
  <c r="E89" i="6"/>
  <c r="D89" i="6"/>
  <c r="D82" i="6"/>
  <c r="E82" i="6"/>
  <c r="D122" i="6"/>
  <c r="E122" i="6"/>
  <c r="E3" i="6"/>
  <c r="D3" i="6"/>
  <c r="E32" i="6"/>
  <c r="D32" i="6"/>
  <c r="H31" i="7"/>
  <c r="H32" i="7"/>
  <c r="AL29" i="3"/>
  <c r="D31" i="7"/>
  <c r="AL94" i="3"/>
  <c r="D32" i="7"/>
  <c r="E84" i="6"/>
  <c r="D84" i="6"/>
  <c r="AL9" i="3"/>
  <c r="D30" i="7"/>
  <c r="D19" i="6"/>
  <c r="E19" i="6"/>
  <c r="C7" i="6"/>
  <c r="E30" i="7"/>
  <c r="C28" i="6" l="1"/>
  <c r="E31" i="7"/>
  <c r="B34" i="7" s="1"/>
  <c r="C93" i="6"/>
  <c r="E32" i="7"/>
  <c r="C8" i="6"/>
  <c r="AL178" i="3"/>
  <c r="E5" i="6"/>
  <c r="D5" i="6"/>
  <c r="E4" i="6"/>
  <c r="D4" i="6"/>
  <c r="E7" i="6"/>
  <c r="D7" i="6"/>
  <c r="B182" i="6" l="1"/>
  <c r="D28" i="6"/>
  <c r="E28" i="6"/>
  <c r="D93" i="6"/>
  <c r="E93" i="6"/>
  <c r="B185" i="6"/>
  <c r="B184" i="6"/>
  <c r="B183" i="6"/>
  <c r="D8" i="6"/>
  <c r="E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<sst xmlns="http://schemas.openxmlformats.org/spreadsheetml/2006/main" count="5886" uniqueCount="1610">
  <si>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</si>
  <si>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</si>
  <si>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</si>
  <si>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</si>
  <si>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</si>
  <si>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</si>
  <si>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</si>
  <si>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</si>
  <si>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</si>
  <si>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</si>
  <si>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</si>
  <si>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</si>
  <si>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</si>
  <si>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</si>
  <si>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</si>
  <si>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</si>
  <si>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</si>
  <si>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</si>
  <si>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</si>
  <si>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</si>
  <si>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</si>
  <si>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</si>
  <si>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</si>
  <si>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</si>
  <si>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</si>
  <si>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</si>
  <si>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</si>
  <si>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</si>
  <si>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</si>
  <si>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</si>
  <si>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</si>
  <si>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</si>
  <si>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</si>
  <si>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</si>
  <si>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</si>
  <si>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</si>
  <si>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</si>
  <si>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</si>
  <si>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</si>
  <si>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</si>
  <si>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</si>
  <si>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</si>
  <si>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</si>
  <si>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</si>
  <si>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</si>
  <si>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</si>
  <si>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</si>
  <si>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</si>
  <si>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</si>
  <si>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</si>
  <si>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</si>
  <si>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</si>
  <si>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</si>
  <si>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</si>
  <si>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</si>
  <si>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</si>
  <si>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</si>
  <si>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</si>
  <si>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</si>
  <si>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</si>
  <si>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</si>
  <si>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</si>
  <si>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</si>
  <si>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</si>
  <si>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</si>
  <si>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</si>
  <si>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</si>
  <si>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</si>
  <si>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</si>
  <si>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</si>
  <si>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</si>
  <si>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</si>
  <si>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</si>
  <si>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</si>
  <si>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</si>
  <si>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</si>
  <si>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</si>
  <si>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</si>
  <si>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</si>
  <si>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</si>
  <si>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</si>
  <si>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</si>
  <si>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</si>
  <si>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</si>
  <si>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</si>
  <si>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</si>
  <si>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</si>
  <si>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</si>
  <si>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</si>
  <si>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</si>
  <si>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</si>
  <si>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</si>
  <si>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</si>
  <si>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</si>
  <si>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</si>
  <si>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</si>
  <si>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</si>
  <si>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</si>
  <si>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</si>
  <si>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</si>
  <si>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</si>
  <si>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</si>
  <si>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</si>
  <si>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</si>
  <si>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</si>
  <si>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</si>
  <si>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</si>
  <si>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</si>
  <si>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</si>
  <si>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</si>
  <si>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</si>
  <si>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</si>
  <si>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</si>
  <si>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</si>
  <si>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</si>
  <si>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</si>
  <si>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</si>
  <si>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</si>
  <si>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</si>
  <si>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</si>
  <si>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</si>
  <si>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</si>
  <si>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</si>
  <si>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</si>
  <si>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</si>
  <si>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</si>
  <si>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</si>
  <si>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</si>
  <si>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</si>
  <si>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</si>
  <si>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</si>
  <si>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</si>
  <si>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</si>
  <si>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</si>
  <si>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</si>
  <si>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</si>
  <si>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</si>
  <si>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</si>
  <si>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</si>
  <si>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</si>
  <si>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</si>
  <si>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</si>
  <si>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</si>
  <si>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</si>
  <si>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</si>
  <si>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</si>
  <si>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</si>
  <si>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</si>
  <si>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</si>
  <si>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</si>
  <si>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</si>
  <si>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</si>
  <si>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</si>
  <si>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</si>
  <si>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</si>
  <si>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</si>
  <si>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</si>
  <si>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</si>
  <si>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</si>
  <si>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</si>
  <si>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</si>
  <si>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</si>
  <si>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</si>
  <si>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</si>
  <si>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</si>
  <si>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</si>
  <si>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</si>
  <si>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</si>
  <si>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</si>
  <si>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</si>
  <si>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</si>
  <si>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</si>
  <si>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</si>
  <si>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</si>
  <si>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</si>
  <si>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</si>
  <si>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</si>
  <si>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</si>
  <si>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</si>
  <si>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</si>
  <si>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</si>
  <si>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</si>
  <si>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</si>
  <si>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</si>
  <si>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</si>
  <si>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</si>
  <si>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</si>
  <si>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</si>
  <si>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</si>
  <si>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</si>
  <si>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</si>
  <si>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</si>
  <si>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</si>
  <si>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</si>
  <si>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</si>
  <si>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</si>
  <si>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</si>
  <si>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</si>
  <si>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</si>
  <si>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</si>
  <si>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</si>
  <si>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</si>
  <si>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</si>
  <si>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</si>
  <si>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</si>
  <si>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</si>
  <si>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</si>
  <si>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</si>
  <si>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</si>
  <si>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</si>
  <si>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</si>
  <si>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</si>
  <si>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</si>
  <si>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</si>
  <si>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</si>
  <si>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</si>
  <si>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</si>
  <si>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</si>
  <si>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</si>
  <si>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</si>
  <si>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1</t>
  </si>
  <si>
    <t>20542251990</t>
  </si>
  <si>
    <t>ASOCIACION DE MUJERES EMPRENDEDORAS DE NUEVO PROGRESO</t>
  </si>
  <si>
    <t>20542257416</t>
  </si>
  <si>
    <t>EMPRESA INDUSTRIAL ORO VERDE SOCIEDAD ANONIMA CERRADA</t>
  </si>
  <si>
    <t>20542264544</t>
  </si>
  <si>
    <t>COOPERATIVA AGRARIA VALLE DEL BIAVO LTDA</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</si>
  <si>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</si>
  <si>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</si>
  <si>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</si>
  <si>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</si>
  <si>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</si>
  <si>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</si>
  <si>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</si>
  <si>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</si>
  <si>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</si>
  <si>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</si>
  <si>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</si>
  <si>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</si>
  <si>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</si>
  <si>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</si>
  <si>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</si>
  <si>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</si>
  <si>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</si>
  <si>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</si>
  <si>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</si>
  <si>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</si>
  <si>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</si>
  <si>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</si>
  <si>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</si>
  <si>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</si>
  <si>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</si>
  <si>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</si>
  <si>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</si>
  <si>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</si>
  <si>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</si>
  <si>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</si>
  <si>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</si>
  <si>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</si>
  <si>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</si>
  <si>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</si>
  <si>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</si>
  <si>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</si>
  <si>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</si>
  <si>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</si>
  <si>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</si>
  <si>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</si>
  <si>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</si>
  <si>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</si>
  <si>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</si>
  <si>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</si>
  <si>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</si>
  <si>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</si>
  <si>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</si>
  <si>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</si>
  <si>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</si>
  <si>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</si>
  <si>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</si>
  <si>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</si>
  <si>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</si>
  <si>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</si>
  <si>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</si>
  <si>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</si>
  <si>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</si>
  <si>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</si>
  <si>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</si>
  <si>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</si>
  <si>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</si>
  <si>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</si>
  <si>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</si>
  <si>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</si>
  <si>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</si>
  <si>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</si>
  <si>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</si>
  <si>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</si>
  <si>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</si>
  <si>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</si>
  <si>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</si>
  <si>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</si>
  <si>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</si>
  <si>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</si>
  <si>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</si>
  <si>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</si>
  <si>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</si>
  <si>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</si>
  <si>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</si>
  <si>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</si>
  <si>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</si>
  <si>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</si>
  <si>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</si>
  <si>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</si>
  <si>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</si>
  <si>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</si>
  <si>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</si>
  <si>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</si>
  <si>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</si>
  <si>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</si>
  <si>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</si>
  <si>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</si>
  <si>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</si>
  <si>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</si>
  <si>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</si>
  <si>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</si>
  <si>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</si>
  <si>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</si>
  <si>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</si>
  <si>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</si>
  <si>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</si>
  <si>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</si>
  <si>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</si>
  <si>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</si>
  <si>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</si>
  <si>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</si>
  <si>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</si>
  <si>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</si>
  <si>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</si>
  <si>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</si>
  <si>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</si>
  <si>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</si>
  <si>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</si>
  <si>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</si>
  <si>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</si>
  <si>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</si>
  <si>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</si>
  <si>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</si>
  <si>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</si>
  <si>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</si>
  <si>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</si>
  <si>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</si>
  <si>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</si>
  <si>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</si>
  <si>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</si>
  <si>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</si>
  <si>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</si>
  <si>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</si>
  <si>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</si>
  <si>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</si>
  <si>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</si>
  <si>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</si>
  <si>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</si>
  <si>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</si>
  <si>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</si>
  <si>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</si>
  <si>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</si>
  <si>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</si>
  <si>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</si>
  <si>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</si>
  <si>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</si>
  <si>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</si>
  <si>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</si>
  <si>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</si>
  <si>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</si>
  <si>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</si>
  <si>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</si>
  <si>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</si>
  <si>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20603829515</t>
  </si>
  <si>
    <t>ASOCIACION DE PRODUCTORES AGROPECUARIOS LOS NOGALES ALTO ITA</t>
  </si>
  <si>
    <t>20603842511</t>
  </si>
  <si>
    <t>ASOCIACION DE PRODUCTORES AGROPECUARIOS RIQ´CHARI DE TINTINI</t>
  </si>
  <si>
    <t>20603862369</t>
  </si>
  <si>
    <t>COOPERATIVA AGRARIA TROPICALS PRODUCTS</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</si>
  <si>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</si>
  <si>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</si>
  <si>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</si>
  <si>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</si>
  <si>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</si>
  <si>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</si>
  <si>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</si>
  <si>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</si>
  <si>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</si>
  <si>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</si>
  <si>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</si>
  <si>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</si>
  <si>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</si>
  <si>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</si>
  <si>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</si>
  <si>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</si>
  <si>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</si>
  <si>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</si>
  <si>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</si>
  <si>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</si>
  <si>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</si>
  <si>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</si>
  <si>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</si>
  <si>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</si>
  <si>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</si>
  <si>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</si>
  <si>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</si>
  <si>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</si>
  <si>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</si>
  <si>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</si>
  <si>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</si>
  <si>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</si>
  <si>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</si>
  <si>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</si>
  <si>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</si>
  <si>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</si>
  <si>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</si>
  <si>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</si>
  <si>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</si>
  <si>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</si>
  <si>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</si>
  <si>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</si>
  <si>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</si>
  <si>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</si>
  <si>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</si>
  <si>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</si>
  <si>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</si>
  <si>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</si>
  <si>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</si>
  <si>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</si>
  <si>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</si>
  <si>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</si>
  <si>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</si>
  <si>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</si>
  <si>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</si>
  <si>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</si>
  <si>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</si>
  <si>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</si>
  <si>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</si>
  <si>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</si>
  <si>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</si>
  <si>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</si>
  <si>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</si>
  <si>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</si>
  <si>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</si>
  <si>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</si>
  <si>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</si>
  <si>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</si>
  <si>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</si>
  <si>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</si>
  <si>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</si>
  <si>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</si>
  <si>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</si>
  <si>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</si>
  <si>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</si>
  <si>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</si>
  <si>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</si>
  <si>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</si>
  <si>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</si>
  <si>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</si>
  <si>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</si>
  <si>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</si>
  <si>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</si>
  <si>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</si>
  <si>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</si>
  <si>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</si>
  <si>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</si>
  <si>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</si>
  <si>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</si>
  <si>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</si>
  <si>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</si>
  <si>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</si>
  <si>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</si>
  <si>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</si>
  <si>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</si>
  <si>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</si>
  <si>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</si>
  <si>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</si>
  <si>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</si>
  <si>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</si>
  <si>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</si>
  <si>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</si>
  <si>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</si>
  <si>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</si>
  <si>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</si>
  <si>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</si>
  <si>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</si>
  <si>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</si>
  <si>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</si>
  <si>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</si>
  <si>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</si>
  <si>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</si>
  <si>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</si>
  <si>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</si>
  <si>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</si>
  <si>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</si>
  <si>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</si>
  <si>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</si>
  <si>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</si>
  <si>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</si>
  <si>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</si>
  <si>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</si>
  <si>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</si>
  <si>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</si>
  <si>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</si>
  <si>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</si>
  <si>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</si>
  <si>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</si>
  <si>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</si>
  <si>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</si>
  <si>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</si>
  <si>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</si>
  <si>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</si>
  <si>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</si>
  <si>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</si>
  <si>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</si>
  <si>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</si>
  <si>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</si>
  <si>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</si>
  <si>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</si>
  <si>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</si>
  <si>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</si>
  <si>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</si>
  <si>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</si>
  <si>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</si>
  <si>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</si>
  <si>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</si>
  <si>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</si>
  <si>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</si>
  <si>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</si>
  <si>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</si>
  <si>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</si>
  <si>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</si>
  <si>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</si>
  <si>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</si>
  <si>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</si>
  <si>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</si>
  <si>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</si>
  <si>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</si>
  <si>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</si>
  <si>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</si>
  <si>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</si>
  <si>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</si>
  <si>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</si>
  <si>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</si>
  <si>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</si>
  <si>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</si>
  <si>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</si>
  <si>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</si>
  <si>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</si>
  <si>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</si>
  <si>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</si>
  <si>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</si>
  <si>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</si>
  <si>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</si>
  <si>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</si>
  <si>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</si>
  <si>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</si>
  <si>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</si>
  <si>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</si>
  <si>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</si>
  <si>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</si>
  <si>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</si>
  <si>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</si>
  <si>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</si>
  <si>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</si>
  <si>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</si>
  <si>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</si>
  <si>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</si>
  <si>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</si>
  <si>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</si>
  <si>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</si>
  <si>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</si>
  <si>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</si>
  <si>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</si>
  <si>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</si>
  <si>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</si>
  <si>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</si>
  <si>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</si>
  <si>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</si>
  <si>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</si>
  <si>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</si>
  <si>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</si>
  <si>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</si>
  <si>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</si>
  <si>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</si>
  <si>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</si>
  <si>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</si>
  <si>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</si>
  <si>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</si>
  <si>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</si>
  <si>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</si>
  <si>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</si>
  <si>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</si>
  <si>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</si>
  <si>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</si>
  <si>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</si>
  <si>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</si>
  <si>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</si>
  <si>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</si>
  <si>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</si>
  <si>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</si>
  <si>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</si>
  <si>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</si>
  <si>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</si>
  <si>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</si>
  <si>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</si>
  <si>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</si>
  <si>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</si>
  <si>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</si>
  <si>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</si>
  <si>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</si>
  <si>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</si>
  <si>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</si>
  <si>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</si>
  <si>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</si>
  <si>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</si>
  <si>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</si>
  <si>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</si>
  <si>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</si>
  <si>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</si>
  <si>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</si>
  <si>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</si>
  <si>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</si>
  <si>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</si>
  <si>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</si>
  <si>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</si>
  <si>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</si>
  <si>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</si>
  <si>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</si>
  <si>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</si>
  <si>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</si>
  <si>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</si>
  <si>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</si>
  <si>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</si>
  <si>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</si>
  <si>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</si>
  <si>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</si>
  <si>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</si>
  <si>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</si>
  <si>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</si>
  <si>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</si>
  <si>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</si>
  <si>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</si>
  <si>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</si>
  <si>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</si>
  <si>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</si>
  <si>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</si>
  <si>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</si>
  <si>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</si>
  <si>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</si>
  <si>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</si>
  <si>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</si>
  <si>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</si>
  <si>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</si>
  <si>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</si>
  <si>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</si>
  <si>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</si>
  <si>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</si>
  <si>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</si>
  <si>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</si>
  <si>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</si>
  <si>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</si>
  <si>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</si>
  <si>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</si>
  <si>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</si>
  <si>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</si>
  <si>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</si>
  <si>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</si>
  <si>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</si>
  <si>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</si>
  <si>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</si>
  <si>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</si>
  <si>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</si>
  <si>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</si>
  <si>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</si>
  <si>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</si>
  <si>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</si>
  <si>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</si>
  <si>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</si>
  <si>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</si>
  <si>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</si>
  <si>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</si>
  <si>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</si>
  <si>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</si>
  <si>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</si>
  <si>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</si>
  <si>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</si>
  <si>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</si>
  <si>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</si>
  <si>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</si>
  <si>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</si>
  <si>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</si>
  <si>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</si>
  <si>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</si>
  <si>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</si>
  <si>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</si>
  <si>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</si>
  <si>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</si>
  <si>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</si>
  <si>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</si>
  <si>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</si>
  <si>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</si>
  <si>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</si>
  <si>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</si>
  <si>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</si>
  <si>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</si>
  <si>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</si>
  <si>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</si>
  <si>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</si>
  <si>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</si>
  <si>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</si>
  <si>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</si>
  <si>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</si>
  <si>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</si>
  <si>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</si>
  <si>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</si>
  <si>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</si>
  <si>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</si>
  <si>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</si>
  <si>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</si>
  <si>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</si>
  <si>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</si>
  <si>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</si>
  <si>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</si>
  <si>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</si>
  <si>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</si>
  <si>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</si>
  <si>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</si>
  <si>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</si>
  <si>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</si>
  <si>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</si>
  <si>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</si>
  <si>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</si>
  <si>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</si>
  <si>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</si>
  <si>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</si>
  <si>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</si>
  <si>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</si>
  <si>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</si>
  <si>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</si>
  <si>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</si>
  <si>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</si>
  <si>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</si>
  <si>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</si>
  <si>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</si>
  <si>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</si>
  <si>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</si>
  <si>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</si>
  <si>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</si>
  <si>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</si>
  <si>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</si>
  <si>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</si>
  <si>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</si>
  <si>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</si>
  <si>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</si>
  <si>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</si>
  <si>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</si>
  <si>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</si>
  <si>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</si>
  <si>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</si>
  <si>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</si>
  <si>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</si>
  <si>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</si>
  <si>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</si>
  <si>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</si>
  <si>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</si>
  <si>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</si>
  <si>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</si>
  <si>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</si>
  <si>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</si>
  <si>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</si>
  <si>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</si>
  <si>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</si>
  <si>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</si>
  <si>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</si>
  <si>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</si>
  <si>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</si>
  <si>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</si>
  <si>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</si>
  <si>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</si>
  <si>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</si>
  <si>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</si>
  <si>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</si>
  <si>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</si>
  <si>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</si>
  <si>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</si>
  <si>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</si>
  <si>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</si>
  <si>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</si>
  <si>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</si>
  <si>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</si>
  <si>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</si>
  <si>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</si>
  <si>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</si>
  <si>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</si>
  <si>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</si>
  <si>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</si>
  <si>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</si>
  <si>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</si>
  <si>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</si>
  <si>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</si>
  <si>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</si>
  <si>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</si>
  <si>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</si>
  <si>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</si>
  <si>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</si>
  <si>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</si>
  <si>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</si>
  <si>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</si>
  <si>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</si>
  <si>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</si>
  <si>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</si>
  <si>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</si>
  <si>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</si>
  <si>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</si>
  <si>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</si>
  <si>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</si>
  <si>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</si>
  <si>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</si>
  <si>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</si>
  <si>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</si>
  <si>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</si>
  <si>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</si>
  <si>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</si>
  <si>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</si>
  <si>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</si>
  <si>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</si>
  <si>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</si>
  <si>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</si>
  <si>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</si>
  <si>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</si>
  <si>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</si>
  <si>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</si>
  <si>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</si>
  <si>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</si>
  <si>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</si>
  <si>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</si>
  <si>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</si>
  <si>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</si>
  <si>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</si>
  <si>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</si>
  <si>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</si>
  <si>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</si>
  <si>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</si>
  <si>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</si>
  <si>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</si>
  <si>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</si>
  <si>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</si>
  <si>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</si>
  <si>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</si>
  <si>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</si>
  <si>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</si>
  <si>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</si>
  <si>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</si>
  <si>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</si>
  <si>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</si>
  <si>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</si>
  <si>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</si>
  <si>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</si>
  <si>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</si>
  <si>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</si>
  <si>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</si>
  <si>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</si>
  <si>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</si>
  <si>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</si>
  <si>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</si>
  <si>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</si>
  <si>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</si>
  <si>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</si>
  <si>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</si>
  <si>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</si>
  <si>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</si>
  <si>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</si>
  <si>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</si>
  <si>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</si>
  <si>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</si>
  <si>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</si>
  <si>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</si>
  <si>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</si>
  <si>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</si>
  <si>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</si>
  <si>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</si>
  <si>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</si>
  <si>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</si>
  <si>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</si>
  <si>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</si>
  <si>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</si>
  <si>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</si>
  <si>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</si>
  <si>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</si>
  <si>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</si>
  <si>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</si>
  <si>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</si>
  <si>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</si>
  <si>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</si>
  <si>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</si>
  <si>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</si>
  <si>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</si>
  <si>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</si>
  <si>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</si>
  <si>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</si>
  <si>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</si>
  <si>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</si>
  <si>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</si>
  <si>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</si>
  <si>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</si>
  <si>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</si>
  <si>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</si>
  <si>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</si>
  <si>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</si>
  <si>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</si>
  <si>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</si>
  <si>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</si>
  <si>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</si>
  <si>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</si>
  <si>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</si>
  <si>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</si>
  <si>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</si>
  <si>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</si>
  <si>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</si>
  <si>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</si>
  <si>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</si>
  <si>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</si>
  <si>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</si>
  <si>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</si>
  <si>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</si>
  <si>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</si>
  <si>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</si>
  <si>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</si>
  <si>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</si>
  <si>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</si>
  <si>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</si>
  <si>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</si>
  <si>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</si>
  <si>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</si>
  <si>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</si>
  <si>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</si>
  <si>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</si>
  <si>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</si>
  <si>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</si>
  <si>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</si>
  <si>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</si>
  <si>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</si>
  <si>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</si>
  <si>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</si>
  <si>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</si>
  <si>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</si>
  <si>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</si>
  <si>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</si>
  <si>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</si>
  <si>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</si>
  <si>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</si>
  <si>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</si>
  <si>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</si>
  <si>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</si>
  <si>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</si>
  <si>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</si>
  <si>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</si>
  <si>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</si>
  <si>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</si>
  <si>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</si>
  <si>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</si>
  <si>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</si>
  <si>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</si>
  <si>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</si>
  <si>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</si>
  <si>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</si>
  <si>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</si>
  <si>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</si>
  <si>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</si>
  <si>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</si>
  <si>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</si>
  <si>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</si>
  <si>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</si>
  <si>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</si>
  <si>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</si>
  <si>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</si>
  <si>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</si>
  <si>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</si>
  <si>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</si>
  <si>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</si>
  <si>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</si>
  <si>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</si>
  <si>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</si>
  <si>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</si>
  <si>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</si>
  <si>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</si>
  <si>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</si>
  <si>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</si>
  <si>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</si>
  <si>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</si>
  <si>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</si>
  <si>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</si>
  <si>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</si>
  <si>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</si>
  <si>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</si>
  <si>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</si>
  <si>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</si>
  <si>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</si>
  <si>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</si>
  <si>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</si>
  <si>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</si>
  <si>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</si>
  <si>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</si>
  <si>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</si>
  <si>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</si>
  <si>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</si>
  <si>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</si>
  <si>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</si>
  <si>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</si>
  <si>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</si>
  <si>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</si>
  <si>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</si>
  <si>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</si>
  <si>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</si>
  <si>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</si>
  <si>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</si>
  <si>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</si>
  <si>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</si>
  <si>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</si>
  <si>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</si>
  <si>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</si>
  <si>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</si>
  <si>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</si>
  <si>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</si>
  <si>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</si>
  <si>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</si>
  <si>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</si>
  <si>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</si>
  <si>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</si>
  <si>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</si>
  <si>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</si>
  <si>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</si>
  <si>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</si>
  <si>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</si>
  <si>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</si>
  <si>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</si>
  <si>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</si>
  <si>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</si>
  <si>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</si>
  <si>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</si>
  <si>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</si>
  <si>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</si>
  <si>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</si>
  <si>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</si>
  <si>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</si>
  <si>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</si>
  <si>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</si>
  <si>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</si>
  <si>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</si>
  <si>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</si>
  <si>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</si>
  <si>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</si>
  <si>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</si>
  <si>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</si>
  <si>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</si>
  <si>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</si>
  <si>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</si>
  <si>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</si>
  <si>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</si>
  <si>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</si>
  <si>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</si>
  <si>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</si>
  <si>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</si>
  <si>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</si>
  <si>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</si>
  <si>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</si>
  <si>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</si>
  <si>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</si>
  <si>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</si>
  <si>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</si>
  <si>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</si>
  <si>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</si>
  <si>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</si>
  <si>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</si>
  <si>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</si>
  <si>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</si>
  <si>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</si>
  <si>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</si>
  <si>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</si>
  <si>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D12 — Huella de carbono (=1 «en curso»)</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</si>
  <si>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</si>
  <si>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</si>
  <si>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</si>
  <si>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</si>
  <si>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</si>
  <si>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Sección / Bloque</t>
  </si>
  <si>
    <t>Opción de respuesta</t>
  </si>
  <si>
    <t>Puntaje (0-100)</t>
  </si>
  <si>
    <t>Clave (ID|Opción)</t>
  </si>
  <si>
    <t>Nota</t>
  </si>
  <si>
    <t>no puntúa el índice (identificación, validación o derivada)</t>
  </si>
  <si>
    <t>(casillas múltiples, separar con «;»)</t>
  </si>
  <si>
    <t>Sí</t>
  </si>
  <si>
    <t>P8|Sí</t>
  </si>
  <si>
    <t>No</t>
  </si>
  <si>
    <t>P8|No</t>
  </si>
  <si>
    <t>No sabe</t>
  </si>
  <si>
    <t>sin dato</t>
  </si>
  <si>
    <t>P8|No sabe</t>
  </si>
  <si>
    <t>«sin dato» no promedia</t>
  </si>
  <si>
    <t>P10|Sí</t>
  </si>
  <si>
    <t>P10|No</t>
  </si>
  <si>
    <t>P10|No sabe</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</si>
  <si>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</si>
  <si>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</si>
  <si>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</si>
  <si>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</si>
  <si>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</si>
  <si>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</si>
  <si>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</si>
  <si>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</si>
  <si>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</si>
  <si>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</si>
  <si>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</si>
  <si>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</si>
  <si>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</si>
  <si>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</si>
  <si>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</si>
  <si>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</si>
  <si>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</si>
  <si>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</si>
  <si>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</si>
  <si>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</si>
  <si>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</si>
  <si>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</si>
  <si>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</si>
  <si>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</si>
  <si>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</si>
  <si>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</si>
  <si>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</si>
  <si>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</si>
  <si>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</si>
  <si>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</si>
  <si>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</si>
  <si>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</si>
  <si>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</si>
  <si>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</si>
  <si>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</si>
  <si>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</si>
  <si>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</si>
  <si>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</si>
  <si>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</si>
  <si>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</si>
  <si>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</si>
  <si>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</si>
  <si>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</si>
  <si>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</si>
  <si>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</si>
  <si>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</si>
  <si>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</si>
  <si>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</si>
  <si>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</si>
  <si>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</si>
  <si>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</si>
  <si>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</si>
  <si>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</si>
  <si>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</si>
  <si>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</si>
  <si>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</si>
  <si>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</si>
  <si>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</si>
  <si>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</si>
  <si>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</si>
  <si>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</si>
  <si>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</si>
  <si>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</si>
  <si>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</si>
  <si>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</si>
  <si>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</si>
  <si>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</si>
  <si>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</si>
  <si>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</si>
  <si>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</si>
  <si>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</si>
  <si>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</si>
  <si>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</si>
  <si>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</si>
  <si>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</si>
  <si>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</si>
  <si>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</si>
  <si>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</si>
  <si>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</si>
  <si>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</si>
  <si>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</si>
  <si>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</si>
  <si>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</si>
  <si>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</si>
  <si>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</si>
  <si>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</si>
  <si>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</si>
  <si>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</si>
  <si>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</si>
  <si>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</si>
  <si>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</si>
  <si>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</si>
  <si>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</si>
  <si>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</si>
  <si>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</si>
  <si>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</si>
  <si>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</si>
  <si>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</si>
  <si>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</si>
  <si>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</si>
  <si>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</si>
  <si>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</si>
  <si>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</si>
  <si>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</si>
  <si>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</si>
  <si>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</si>
  <si>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</si>
  <si>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</si>
  <si>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</si>
  <si>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</si>
  <si>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</si>
  <si>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</si>
  <si>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</si>
  <si>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</si>
  <si>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</si>
  <si>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</si>
  <si>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</si>
  <si>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</si>
  <si>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</si>
  <si>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</si>
  <si>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</si>
  <si>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</si>
  <si>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</si>
  <si>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</si>
  <si>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</si>
  <si>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</si>
  <si>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</si>
  <si>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</si>
  <si>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</si>
  <si>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</si>
  <si>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</si>
  <si>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</si>
  <si>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</si>
  <si>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</si>
  <si>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</si>
  <si>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</si>
  <si>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</si>
  <si>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</si>
  <si>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</si>
  <si>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</si>
  <si>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</si>
  <si>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</si>
  <si>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</si>
  <si>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</si>
  <si>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</si>
  <si>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</si>
  <si>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</si>
  <si>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</si>
  <si>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</si>
  <si>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</si>
  <si>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</si>
  <si>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</si>
  <si>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</si>
  <si>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</si>
  <si>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</si>
  <si>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</si>
  <si>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</si>
  <si>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</si>
  <si>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</si>
  <si>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</si>
  <si>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</si>
  <si>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</si>
  <si>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</si>
  <si>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</si>
  <si>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</si>
  <si>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</si>
  <si>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</si>
  <si>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</si>
  <si>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</si>
  <si>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</si>
  <si>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</si>
  <si>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</si>
  <si>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</si>
  <si>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</si>
  <si>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</si>
  <si>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</si>
  <si>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</si>
  <si>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</si>
  <si>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</si>
  <si>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</si>
  <si>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</si>
  <si>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</si>
  <si>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</si>
  <si>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</si>
  <si>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</si>
  <si>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</si>
  <si>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</si>
  <si>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</si>
  <si>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</si>
  <si>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</si>
  <si>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</si>
  <si>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</si>
  <si>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</si>
  <si>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</si>
  <si>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</si>
  <si>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</si>
  <si>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</si>
  <si>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</si>
  <si>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</si>
  <si>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</si>
  <si>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</si>
  <si>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</si>
  <si>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</si>
  <si>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</si>
  <si>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</si>
  <si>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</si>
  <si>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</si>
  <si>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</si>
  <si>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</si>
  <si>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</si>
  <si>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</si>
  <si>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</si>
  <si>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</si>
  <si>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</si>
  <si>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</si>
  <si>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</si>
  <si>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</si>
  <si>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</si>
  <si>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</si>
  <si>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</si>
  <si>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</si>
  <si>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</si>
  <si>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</si>
  <si>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</si>
  <si>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</si>
  <si>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</si>
  <si>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</si>
  <si>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</si>
  <si>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</si>
  <si>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</si>
  <si>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</si>
  <si>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</si>
  <si>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</si>
  <si>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</si>
  <si>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</si>
  <si>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</si>
  <si>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</si>
  <si>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</si>
  <si>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</si>
  <si>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</si>
  <si>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</si>
  <si>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</si>
  <si>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</si>
  <si>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</si>
  <si>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</si>
  <si>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</si>
  <si>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</si>
  <si>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</si>
  <si>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</si>
  <si>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</si>
  <si>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</si>
  <si>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</si>
  <si>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</si>
  <si>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</si>
  <si>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</si>
  <si>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</si>
  <si>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</si>
  <si>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</si>
  <si>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</si>
  <si>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</si>
  <si>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</si>
  <si>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</si>
  <si>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</si>
  <si>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</si>
  <si>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</si>
  <si>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</si>
  <si>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</si>
  <si>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</si>
  <si>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</si>
  <si>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</si>
  <si>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</si>
  <si>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</si>
  <si>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</si>
  <si>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</si>
  <si>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</si>
  <si>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</si>
  <si>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</si>
  <si>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</si>
  <si>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</si>
  <si>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</si>
  <si>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</si>
  <si>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</si>
  <si>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</si>
  <si>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</si>
  <si>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</si>
  <si>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</si>
  <si>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</si>
  <si>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</si>
  <si>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</si>
  <si>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</si>
  <si>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</si>
  <si>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</si>
  <si>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</si>
  <si>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</si>
  <si>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</si>
  <si>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</si>
  <si>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</si>
  <si>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</si>
  <si>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</si>
  <si>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</si>
  <si>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</si>
  <si>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</si>
  <si>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</si>
  <si>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</si>
  <si>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</si>
  <si>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</si>
  <si>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</si>
  <si>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</si>
  <si>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</si>
  <si>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</si>
  <si>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</si>
  <si>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</si>
  <si>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</si>
  <si>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</si>
  <si>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</si>
  <si>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</si>
  <si>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</si>
  <si>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</si>
  <si>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</si>
  <si>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</si>
  <si>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</si>
  <si>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</si>
  <si>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</si>
  <si>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</si>
  <si>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</si>
  <si>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</si>
  <si>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</si>
  <si>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</si>
  <si>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</si>
  <si>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</si>
  <si>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</si>
  <si>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</si>
  <si>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</si>
  <si>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</si>
  <si>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</si>
  <si>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</si>
  <si>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</si>
  <si>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</si>
  <si>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</si>
  <si>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</si>
  <si>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</si>
  <si>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</si>
  <si>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</si>
  <si>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</si>
  <si>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</si>
  <si>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</si>
  <si>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</si>
  <si>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</si>
  <si>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</si>
  <si>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</si>
  <si>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</si>
  <si>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</si>
  <si>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</si>
  <si>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</si>
  <si>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</si>
  <si>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</si>
  <si>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</si>
  <si>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</si>
  <si>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</si>
  <si>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</si>
  <si>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</si>
  <si>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</si>
  <si>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</si>
  <si>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</si>
  <si>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</si>
  <si>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</si>
  <si>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</si>
  <si>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</si>
  <si>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</si>
  <si>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</si>
  <si>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</si>
  <si>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</si>
  <si>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</si>
  <si>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</si>
  <si>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</si>
  <si>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</si>
  <si>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</si>
  <si>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</si>
  <si>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</si>
  <si>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</si>
  <si>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</si>
  <si>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</si>
  <si>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</si>
  <si>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</si>
  <si>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</si>
  <si>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</si>
  <si>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</si>
  <si>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</si>
  <si>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</si>
  <si>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</si>
  <si>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</si>
  <si>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</si>
  <si>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</si>
  <si>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</si>
  <si>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</si>
  <si>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</si>
  <si>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</si>
  <si>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</si>
  <si>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</si>
  <si>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</si>
  <si>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</si>
  <si>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</si>
  <si>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</si>
  <si>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</si>
  <si>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</si>
  <si>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</si>
  <si>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</si>
  <si>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</si>
  <si>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</si>
  <si>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</si>
  <si>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</si>
  <si>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</si>
  <si>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</si>
  <si>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</si>
  <si>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</si>
  <si>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</si>
  <si>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</si>
  <si>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</si>
  <si>
    <t>ISA-PV REPONDERADA (2026-10-15)</t>
  </si>
  <si>
    <t>ISA-PV = Σ(wᵢ·vᵢ) ÷ Σwᵢ sobre los componentes con dato, como ISA-EUDR. Antes el denominador fijo (100) hacía que un componente sin dato contara como 0 y recortaba el índice.</t>
  </si>
  <si>
    <t>Cert. Orgánica — texto fuente (interno)</t>
  </si>
  <si>
    <t>Cert. Comercio Justo — texto fuente (interno)</t>
  </si>
  <si>
    <t>Certificacion Organica, vigencia hasta 14/08/2026</t>
  </si>
  <si>
    <t>Vigencia organica hasta 26/03/2027</t>
  </si>
  <si>
    <t>Certificacion Organica, 26 de noviembre del 2026</t>
  </si>
  <si>
    <t>Certificación Orgánica, Vigencia hasta agosto 2026</t>
  </si>
  <si>
    <t>Fairtrade hasta junio 2026</t>
  </si>
  <si>
    <t>Certificación Orgánica, vigencia hasta agosto 2026</t>
  </si>
  <si>
    <t>Fair trade hasta junio 2027</t>
  </si>
  <si>
    <t>Certificacion Organica, , vigencia hasta agosto 2026.</t>
  </si>
  <si>
    <t>FairTrade (en proceso)</t>
  </si>
  <si>
    <t>Si (CU827371 - Vence 24/08/2026)</t>
  </si>
  <si>
    <t>Si ( FAIR TRADE INTERNACIONAL - 28953 - 27/07/2027), (FAIR TRADING USA - 101034770 - 27/07/2027)</t>
  </si>
  <si>
    <t>PE-BIO-149.604-0001347.2025.002 VIGENCIA 07/09/2026</t>
  </si>
  <si>
    <t>FLO ID: 30733 vigencia (02/02/2028)</t>
  </si>
  <si>
    <t>SI(VIGENTE HASTA EL OCTUBRE 2026)</t>
  </si>
  <si>
    <t>Si (vigencia hasta el 01/04/2027) IMO CERT Latinoamerica LTDA , N° de certificado: 6400012046</t>
  </si>
  <si>
    <t>Si (vigente hasta julio del 2028)</t>
  </si>
  <si>
    <t>SI(VIGENTE HASTA EL 31 DE MARZO 2026)</t>
  </si>
  <si>
    <t>SI (VIGENTE HASTA EL 30 DE ABRIL 2026)</t>
  </si>
  <si>
    <t>SI ( VIGENTE HASTA AGOSTO 2026)</t>
  </si>
  <si>
    <t>SI (VIGENTE HASTA SEPTIEMBRE 2026)</t>
  </si>
  <si>
    <t>SI (Vigente hasta 31 de agosto del 2026)</t>
  </si>
  <si>
    <t>SI. Vigente</t>
  </si>
  <si>
    <t>Si (vigencia hasta el 23/10/2026) certificación de OCI Internacionla N° LPO -00750</t>
  </si>
  <si>
    <t>Si (vigencia hasta junio del 2028)</t>
  </si>
  <si>
    <t>UE (PE-BIO-178.604-0001170.2025.001 vigencia 18/11/2026) USA ( ID NOP 6250042027 vigencia 19/08/2026) JAS (CE-013613-2025 vigencia 14/06/2026)</t>
  </si>
  <si>
    <t>FLO ID 40548 vigencia 13/08/2026</t>
  </si>
  <si>
    <t>2511042 PE, VIGENCIA HASTA 16 NOV 2026</t>
  </si>
  <si>
    <t>FLO ID 41859, VIGENCIA HASTA 24 DIC 2029</t>
  </si>
  <si>
    <t>FLO ID 1931022; VIGENCIA HASTA SETIEMBRE 2028</t>
  </si>
  <si>
    <t>Si (OCIA_2114, VENCIDO en proceso de Renovación)</t>
  </si>
  <si>
    <t>Si (FAIR TRADE USA, VENCE 08/04/2028)</t>
  </si>
  <si>
    <t>Si (vigente a noviembre 2026)</t>
  </si>
  <si>
    <t>REGLA «SIN DATO» (2026-10-15)</t>
  </si>
  <si>
    <t>SIN DATO = «—», NUNCA 0 (regla vigente desde 2026-10-15)</t>
  </si>
  <si>
    <t>CODIFICACIÓN — Instrumento 2 · opción de respuesta → puntaje 0-100.  100 = mejor alineamiento con el EUDR.  «sin dato» = no se promedia.  Banderas, mapeos y bloques 0/P se capturan y se reportan por separado: no entran a ningún promedio (Instrumento 2, Tabla 5 y reglas de integridad).</t>
  </si>
  <si>
    <t>Bloque 0 (identificación) — no puntúa. Se captura y se reporta como variable de verificación de destinos (no entra a D7).</t>
  </si>
  <si>
    <t>Bloque P (desempeño) — no puntúa; variable de resultado. Se reporta por separado.</t>
  </si>
  <si>
    <t>Bloque P (desempeño) — no puntúa; variable de resultado. Se reporta por separado.  · «sin dato» no promedia</t>
  </si>
  <si>
    <t>Ratificado 2026-10-15: 100 = introduce bajo su propio nombre (operador directo); 50 = vende a través de un tercero.</t>
  </si>
  <si>
    <t>Ratificado 2026-10-15: 100 = cumple los umbrales de micro/pequeña empresa (Directiva 2013/34/UE), que definen su régimen simplificado.</t>
  </si>
  <si>
    <t>Ratificado 2026-10-15: 100 = cumple los umbrales de micro/pequeña empresa (Directiva 2013/34/UE), que definen su régimen simplificado.  · «sin dato» no promedia</t>
  </si>
  <si>
    <t>Bandera roja de mezcla de lotes — se reporta aparte; no promedia en D2.</t>
  </si>
  <si>
    <t>Bandera de trazabilidad de proveedores externos — se reporta aparte; no promedia en D2.</t>
  </si>
  <si>
    <t>Bandera de trazabilidad de proveedores externos — se reporta aparte; no promedia en D2.  · «sin dato» no promedia</t>
  </si>
  <si>
    <t>Ratificado 2026-10-15: severidad de la superposición — ninguna 100 · puntual 50 · extensa 0 · ANP/zona de amortiguamiento 0.</t>
  </si>
  <si>
    <t>Ratificado 2026-10-15: severidad de la superposición — ninguna 100 · puntual 50 · extensa 0 · ANP/zona de amortiguamiento 0.  · «sin dato» no promedia</t>
  </si>
  <si>
    <t>Verificación CLPI — no promedia en D3.</t>
  </si>
  <si>
    <t>Verificación CLPI — no promedia en D3.  · «sin dato» no promedia</t>
  </si>
  <si>
    <t>Bandera de saneamiento OEFA/SINEFA — se reporta aparte; no promedia en D3.</t>
  </si>
  <si>
    <t>Bandera de saneamiento OEFA/SINEFA — se reporta aparte; no promedia en D3.  · «sin dato» no promedia</t>
  </si>
  <si>
    <t>Ratificado 2026-10-15: eje de verificación del cambio de uso post-31-dic-2020; «casos detectados sin resolver» = 0.  · «sin dato» no promedia</t>
  </si>
  <si>
    <t>Ratificado 2026-10-15: eje de verificación del cambio de uso post-31-dic-2020; «casos detectados sin resolver» = 0.</t>
  </si>
  <si>
    <t>Bandera de alertas de deforestación — se reporta aparte; no promedia en D4.</t>
  </si>
  <si>
    <t>Mapeo de componentes del plan de gestión — insumo del Instrumento 4; no promedia en D5.</t>
  </si>
  <si>
    <t>Ratificado 2026-10-15: manda la última prueba (nunca 0 · &gt;12 meses 50 · últimos 12 meses 100); el origen del protocolo es contexto (50).</t>
  </si>
  <si>
    <t>Indicador de urgencia (riesgo percibido) — se reporta aparte; no promedia en D7.  · «sin dato» no promedia</t>
  </si>
  <si>
    <t>Indicador de urgencia (riesgo percibido) — se reporta aparte; no promedia en D7.</t>
  </si>
  <si>
    <t>Mapeo tipo/alcance de la documentación del comprador — insumo del Instrumento 4; no promedia en D7.</t>
  </si>
  <si>
    <t>Ratificado 2026-10-15: carga financiera — recursos propios 100 · fuente identificada 67 · crédito 33 · no ha sido necesario 100.</t>
  </si>
  <si>
    <t>Ratificado 2026-10-15: carga financiera — recursos propios 100 · fuente identificada 67 · crédito 33 · no ha sido necesario 100.  · «sin dato» no promedia</t>
  </si>
  <si>
    <t>Bandera de falsa seguridad (certificación ≠ EUDR) — se reporta aparte; no entra al puntaje de D10.</t>
  </si>
  <si>
    <t>Bandera de falsa seguridad (certificación ≠ EUDR) — se reporta aparte; no entra al puntaje de D10.  · «sin dato» no promedia</t>
  </si>
  <si>
    <t>Bandera (oferta de «certificación EUDR») — se reporta aparte; no entra al puntaje de D10.</t>
  </si>
  <si>
    <t>Mapeo/inventario de actores — insumo del Instrumento 4; no promedia.</t>
  </si>
  <si>
    <t>D11 es inventario (no promedia) — se reporta por pregunta.</t>
  </si>
  <si>
    <t>D11 es inventario (no promedia) — se reporta por pregunta.  · «sin dato» no promedia</t>
  </si>
  <si>
    <t>Ratificado 2026-10-15: escala de reutilización (yute reutilizable &gt; yute nuevo &gt; papel &gt; plástico); alimenta PPWR, no el ISA-EUDR.</t>
  </si>
  <si>
    <t>D10 — Certificación
(bandera; solo asesoría puntúa)</t>
  </si>
  <si>
    <t>CODIFICACIÓN RATIFICADA CONTRA LAS FUENTES DEL INSTRUMENTO (2026-10-15)</t>
  </si>
  <si>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puntúa solo por la asesoría EUDR. Detalle ítem por ítem en la hoja CODIFICACION.</t>
  </si>
  <si>
    <t>ISA-PactoVerde (0-100) = EXP_UE 20% + TRAZA 16% + DILIG 12% + CAPAC 8% + PRESION 12% + CERTIF 8% + AMBIENTAL(D12-D15) 20%. Se computa sólo sobre los componentes con dato, re-normalizando los pesos; «—» sólo si no hay ningún componente. Mientras no se cumpla el umbral (3 de 4 dimensiones D12-D15 capturadas) el valor es PROVISIONAL: ver AQ y AT.</t>
  </si>
  <si>
    <t>Cobertura ISA-PV: n de 7 componentes con dato (PPWR excluido hasta tener fuente). Gobierna el estado de AT: parcial mientras falte algún componente o D12-D15 no esté capturado.</t>
  </si>
  <si>
    <t>Clasificación PVE
(veredicto de color sólo con medición completa; «◐ Parcial · n/7» mientras el valor es provisional)</t>
  </si>
  <si>
    <t>UMBRAL ISA-PACTOVERDE → VALOR PROVISIONAL (2026-10-15)</t>
  </si>
  <si>
    <t>Por debajo del umbral del documento (§2.4) —3 de las 4 dimensiones Pacto Verde D12-D15 con dato— ISA-PV (AP) ya no se reporta como «—»: se muestra el valor re-ponderado sobre los componentes con dato y se etiqueta como PROVISIONAL en T («◐ Parcial · n/7») y en AT (estado). El veredicto de color (🔴/🟡/🟢) se reserva para cuando la medición está completa (7/7 componentes y D12-D15 capturado), porque un color sobre una base parcial sería una medición falsa. «—» queda sólo para las organizaciones sin ningún componente con dato. La cobertura por organización está en AQ.</t>
  </si>
  <si>
    <t>Estado ISA-PV
(completo / parcial · n/7 / sin dato)</t>
  </si>
  <si>
    <t>ISA-PV
8 componentes ponderados
(puede ser PROVISIONAL: ver AM)</t>
  </si>
  <si>
    <t>PVE promedio (ISA-PV, 0-100 · incluye parciales)</t>
  </si>
  <si>
    <t>ISA-PV (MATRIZ_174!AP) se computa siempre sobre los componentes con dato, re-normalizando los pesos. Mientras no se cumplan 3 de 4 dimensiones D12-D15 (captura, NORMALIZADO) el valor es PROVISIONAL y así se etiqueta: MATRIZ_174!AT lo declara como «parcial · n/7» y la clasificación de MATRIZ_174!T se muestra como «◐ Parcial · n/7» sin veredicto de color. Con la medición completa, T vuelve a 🔴/🟡/🟢. «—» sólo cuando no hay ningún componente con dato. Cobertura por organización: MATRIZ_174!AQ.</t>
  </si>
  <si>
    <t>La falta de dato no se convierte en 0 en ningún nivel: en la base precensal el % UE/FOB, el FOB, el score de certificación y los indicadores P1–P14 aparecen como «—». En el motor, ISA-EUDR e IP se reportan «—» cuando no alcanzan su umbral de dimensiones con dato. ISA-PactoVerde es la excepción declarada: sobre sus componentes con dato se computa igual, y mientras no cumpla su umbral (3 de 4 dimensiones D12–D15) el valor se muestra como PROVISIONAL, etiquetado «◐ Parcial · n/7» en MATRIZ_174 (columnas AT y T) —nunca como un color de clasificación ni como 0—.</t>
  </si>
  <si>
    <t>Un cero de relleno (falta de dato) se muestra como celda vacía, nunca como 0. Se vaciaron: L (FOB UE), E (FOB total) y P1..P14; M (% UE/FOB) y O (score de certificación) devuelven «» cuando falta el insumo; H/I venían truncadas a 3 caracteres y se recodificaron desde el texto fuente; y W:Z (D12–D15 Pacto Verde) traían 0 de relleno —se conserva el proxy FAO/IPCC de D12 (W=1 en las 45 organizaciones con hectáreas conocidas) y se vacía el resto—.</t>
  </si>
  <si>
    <t>Estado ISA-PV
completo = 7/7 componentes y ≥3 de 4 dimensiones D12-D15 capturadas
parcial = valor provisional
sin dato = sin ningún componente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</si>
</sst>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9">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xf numFmtId="0" fontId="17"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443</v>
      </c>
      <c r="B1" s="65"/>
      <c r="C1" s="65"/>
      <c r="D1" s="65"/>
      <c r="E1" s="65"/>
      <c r="F1" s="65"/>
      <c r="G1" s="65"/>
      <c r="H1" s="65"/>
    </row>
    <row r="2" spans="1:8" ht="22.05" customHeight="1" x14ac:dyDescent="0.3">
      <c r="A2" s="65" t="s">
        <v>444</v>
      </c>
      <c r="B2" s="65"/>
      <c r="C2" s="65"/>
      <c r="D2" s="65"/>
      <c r="E2" s="65"/>
      <c r="F2" s="65"/>
      <c r="G2" s="65"/>
      <c r="H2" s="65"/>
    </row>
    <row r="4" spans="1:8" ht="18" customHeight="1" x14ac:dyDescent="0.3">
      <c r="A4" s="64" t="s">
        <v>1561</v>
      </c>
      <c r="B4" s="65"/>
      <c r="C4" s="65"/>
      <c r="D4" s="65"/>
      <c r="E4" s="65"/>
      <c r="F4" s="65"/>
      <c r="G4" s="65"/>
      <c r="H4" s="65"/>
    </row>
    <row r="5" spans="1:8" ht="48" customHeight="1" x14ac:dyDescent="0.3">
      <c r="A5" s="66" t="s">
        <v>1607</v>
      </c>
      <c r="B5" s="66"/>
      <c r="C5" s="66"/>
      <c r="D5" s="66"/>
      <c r="E5" s="66"/>
      <c r="F5" s="66"/>
      <c r="G5" s="66"/>
      <c r="H5" s="66"/>
    </row>
    <row r="7" spans="1:8" ht="18" customHeight="1" x14ac:dyDescent="0.3">
      <c r="A7" s="65" t="s">
        <v>445</v>
      </c>
      <c r="B7" s="65"/>
      <c r="C7" s="65"/>
      <c r="D7" s="65"/>
      <c r="E7" s="65"/>
      <c r="F7" s="65"/>
      <c r="G7" s="65"/>
      <c r="H7" s="65"/>
    </row>
    <row r="8" spans="1:8" x14ac:dyDescent="0.3">
      <c r="A8" s="66" t="s">
        <v>446</v>
      </c>
      <c r="B8" s="65"/>
      <c r="C8" s="65"/>
      <c r="D8" s="65"/>
      <c r="E8" s="65"/>
      <c r="F8" s="65"/>
      <c r="G8" s="65"/>
      <c r="H8" s="65"/>
    </row>
    <row r="10" spans="1:8" ht="18" customHeight="1" x14ac:dyDescent="0.3">
      <c r="A10" s="65" t="s">
        <v>447</v>
      </c>
      <c r="B10" s="65"/>
      <c r="C10" s="65"/>
      <c r="D10" s="65"/>
      <c r="E10" s="65"/>
      <c r="F10" s="65"/>
      <c r="G10" s="65"/>
      <c r="H10" s="65"/>
    </row>
    <row r="11" spans="1:8" x14ac:dyDescent="0.3">
      <c r="A11" t="s">
        <v>448</v>
      </c>
      <c r="B11" s="65" t="s">
        <v>449</v>
      </c>
      <c r="C11" s="65"/>
      <c r="D11" s="65"/>
      <c r="E11" s="65"/>
      <c r="F11" s="65"/>
      <c r="G11" s="65"/>
      <c r="H11" s="65"/>
    </row>
    <row r="12" spans="1:8" x14ac:dyDescent="0.3">
      <c r="A12" t="s">
        <v>450</v>
      </c>
      <c r="B12" s="65" t="s">
        <v>451</v>
      </c>
      <c r="C12" s="65"/>
      <c r="D12" s="65"/>
      <c r="E12" s="65"/>
      <c r="F12" s="65"/>
      <c r="G12" s="65"/>
      <c r="H12" s="65"/>
    </row>
    <row r="13" spans="1:8" x14ac:dyDescent="0.3">
      <c r="A13" t="s">
        <v>452</v>
      </c>
      <c r="B13" s="65" t="s">
        <v>1519</v>
      </c>
      <c r="C13" s="65"/>
      <c r="D13" s="65"/>
      <c r="E13" s="65"/>
      <c r="F13" s="65"/>
      <c r="G13" s="65"/>
      <c r="H13" s="65"/>
    </row>
    <row r="14" spans="1:8" x14ac:dyDescent="0.3">
      <c r="A14" t="s">
        <v>453</v>
      </c>
      <c r="B14" s="65" t="s">
        <v>454</v>
      </c>
      <c r="C14" s="65"/>
      <c r="D14" s="65"/>
      <c r="E14" s="65"/>
      <c r="F14" s="65"/>
      <c r="G14" s="65"/>
      <c r="H14" s="65"/>
    </row>
    <row r="15" spans="1:8" x14ac:dyDescent="0.3">
      <c r="A15" t="s">
        <v>455</v>
      </c>
      <c r="B15" s="65" t="s">
        <v>456</v>
      </c>
      <c r="C15" s="65"/>
      <c r="D15" s="65"/>
      <c r="E15" s="65"/>
      <c r="F15" s="65"/>
      <c r="G15" s="65"/>
      <c r="H15" s="65"/>
    </row>
    <row r="17" spans="1:8" ht="18" customHeight="1" x14ac:dyDescent="0.3">
      <c r="A17" s="65" t="s">
        <v>457</v>
      </c>
      <c r="B17" s="65"/>
      <c r="C17" s="65"/>
      <c r="D17" s="65"/>
      <c r="E17" s="65"/>
      <c r="F17" s="65"/>
      <c r="G17" s="65"/>
      <c r="H17" s="65"/>
    </row>
    <row r="18" spans="1:8" x14ac:dyDescent="0.3">
      <c r="A18" t="s">
        <v>458</v>
      </c>
      <c r="B18" s="65" t="s">
        <v>459</v>
      </c>
      <c r="C18" s="65"/>
      <c r="D18" s="65"/>
      <c r="E18" s="65"/>
      <c r="F18" s="65"/>
      <c r="G18" s="65"/>
      <c r="H18" s="65"/>
    </row>
    <row r="19" spans="1:8" x14ac:dyDescent="0.3">
      <c r="A19" t="s">
        <v>460</v>
      </c>
      <c r="B19" s="65" t="s">
        <v>461</v>
      </c>
      <c r="C19" s="65"/>
      <c r="D19" s="65"/>
      <c r="E19" s="65"/>
      <c r="F19" s="65"/>
      <c r="G19" s="65"/>
      <c r="H19" s="65"/>
    </row>
    <row r="20" spans="1:8" x14ac:dyDescent="0.3">
      <c r="A20" t="s">
        <v>462</v>
      </c>
      <c r="B20" s="65" t="s">
        <v>463</v>
      </c>
      <c r="C20" s="65"/>
      <c r="D20" s="65"/>
      <c r="E20" s="65"/>
      <c r="F20" s="65"/>
      <c r="G20" s="65"/>
      <c r="H20" s="65"/>
    </row>
    <row r="22" spans="1:8" ht="18" customHeight="1" x14ac:dyDescent="0.3">
      <c r="A22" s="65" t="s">
        <v>464</v>
      </c>
      <c r="B22" s="65"/>
      <c r="C22" s="65"/>
      <c r="D22" s="65"/>
      <c r="E22" s="65"/>
      <c r="F22" s="65"/>
      <c r="G22" s="65"/>
      <c r="H22" s="65"/>
    </row>
    <row r="23" spans="1:8" x14ac:dyDescent="0.3">
      <c r="A23" s="66" t="s">
        <v>465</v>
      </c>
      <c r="B23" s="65"/>
      <c r="C23" s="65"/>
      <c r="D23" s="65"/>
      <c r="E23" s="65"/>
      <c r="F23" s="65"/>
      <c r="G23" s="65"/>
      <c r="H23" s="65"/>
    </row>
    <row r="24" spans="1:8" x14ac:dyDescent="0.3">
      <c r="A24" s="66" t="s">
        <v>466</v>
      </c>
      <c r="B24" s="65"/>
      <c r="C24" s="65"/>
      <c r="D24" s="65"/>
      <c r="E24" s="65"/>
      <c r="F24" s="65"/>
      <c r="G24" s="65"/>
      <c r="H24" s="65"/>
    </row>
    <row r="25" spans="1:8" x14ac:dyDescent="0.3">
      <c r="A25" s="66" t="s">
        <v>467</v>
      </c>
      <c r="B25" s="65"/>
      <c r="C25" s="65"/>
      <c r="D25" s="65"/>
      <c r="E25" s="65"/>
      <c r="F25" s="65"/>
      <c r="G25" s="65"/>
      <c r="H25" s="65"/>
    </row>
    <row r="26" spans="1:8" x14ac:dyDescent="0.3">
      <c r="A26" s="66" t="s">
        <v>468</v>
      </c>
      <c r="B26" s="65"/>
      <c r="C26" s="65"/>
      <c r="D26" s="65"/>
      <c r="E26" s="65"/>
      <c r="F26" s="65"/>
      <c r="G26" s="65"/>
      <c r="H26" s="65"/>
    </row>
    <row r="27" spans="1:8" ht="78" customHeight="1" x14ac:dyDescent="0.3">
      <c r="A27" s="67" t="s">
        <v>1520</v>
      </c>
      <c r="B27" s="67"/>
      <c r="C27" s="67"/>
      <c r="D27" s="67"/>
      <c r="E27" s="67"/>
      <c r="F27" s="67"/>
      <c r="G27" s="67"/>
      <c r="H27" s="67"/>
    </row>
    <row r="29" spans="1:8" x14ac:dyDescent="0.3">
      <c r="A29" t="s">
        <v>469</v>
      </c>
    </row>
    <row r="30" spans="1:8" x14ac:dyDescent="0.3">
      <c r="A30" s="51" t="s">
        <v>470</v>
      </c>
      <c r="B30" s="66" t="s">
        <v>471</v>
      </c>
      <c r="C30" s="65"/>
      <c r="D30" s="65"/>
      <c r="E30" s="65"/>
      <c r="F30" s="65"/>
      <c r="G30" s="65"/>
      <c r="H30" s="65"/>
    </row>
    <row r="31" spans="1:8" x14ac:dyDescent="0.3">
      <c r="A31" s="51" t="s">
        <v>472</v>
      </c>
      <c r="B31" s="66" t="s">
        <v>473</v>
      </c>
      <c r="C31" s="65"/>
      <c r="D31" s="65"/>
      <c r="E31" s="65"/>
      <c r="F31" s="65"/>
      <c r="G31" s="65"/>
      <c r="H31" s="65"/>
    </row>
    <row r="32" spans="1:8" x14ac:dyDescent="0.3">
      <c r="A32" s="51" t="s">
        <v>474</v>
      </c>
      <c r="B32" s="66" t="s">
        <v>475</v>
      </c>
      <c r="C32" s="65"/>
      <c r="D32" s="65"/>
      <c r="E32" s="65"/>
      <c r="F32" s="65"/>
      <c r="G32" s="65"/>
      <c r="H32" s="65"/>
    </row>
    <row r="33" spans="1:8" x14ac:dyDescent="0.3">
      <c r="A33" s="51" t="s">
        <v>476</v>
      </c>
      <c r="B33" s="66" t="s">
        <v>477</v>
      </c>
      <c r="C33" s="65"/>
      <c r="D33" s="65"/>
      <c r="E33" s="65"/>
      <c r="F33" s="65"/>
      <c r="G33" s="65"/>
      <c r="H33" s="65"/>
    </row>
    <row r="34" spans="1:8" x14ac:dyDescent="0.3">
      <c r="A34" s="51" t="s">
        <v>478</v>
      </c>
      <c r="B34" s="66" t="s">
        <v>479</v>
      </c>
      <c r="C34" s="65"/>
      <c r="D34" s="65"/>
      <c r="E34" s="65"/>
      <c r="F34" s="65"/>
      <c r="G34" s="65"/>
      <c r="H34" s="65"/>
    </row>
    <row r="35" spans="1:8" x14ac:dyDescent="0.3">
      <c r="A35" s="51" t="s">
        <v>480</v>
      </c>
      <c r="B35" s="66" t="s">
        <v>481</v>
      </c>
      <c r="C35" s="65"/>
      <c r="D35" s="65"/>
      <c r="E35" s="65"/>
      <c r="F35" s="65"/>
      <c r="G35" s="65"/>
      <c r="H35" s="65"/>
    </row>
    <row r="36" spans="1:8" x14ac:dyDescent="0.3">
      <c r="A36" s="51" t="s">
        <v>482</v>
      </c>
      <c r="B36" s="66" t="s">
        <v>483</v>
      </c>
      <c r="C36" s="65"/>
      <c r="D36" s="65"/>
      <c r="E36" s="65"/>
      <c r="F36" s="65"/>
      <c r="G36" s="65"/>
      <c r="H36" s="65"/>
    </row>
  </sheetData>
  <mergeCells count="29">
    <mergeCell ref="B30:H30"/>
    <mergeCell ref="B15:H15"/>
    <mergeCell ref="B33:H33"/>
    <mergeCell ref="B34:H34"/>
    <mergeCell ref="A1:H1"/>
    <mergeCell ref="B20:H20"/>
    <mergeCell ref="A2:H2"/>
    <mergeCell ref="A5:H5"/>
    <mergeCell ref="A4:H4"/>
    <mergeCell ref="B13:H13"/>
    <mergeCell ref="A10:H10"/>
    <mergeCell ref="B19:H19"/>
    <mergeCell ref="B14:H1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9" t="s">
        <v>484</v>
      </c>
      <c r="B1" s="65"/>
      <c r="C1" s="65"/>
      <c r="D1" s="65"/>
      <c r="E1" s="65"/>
      <c r="F1" s="65"/>
      <c r="G1" s="65"/>
    </row>
    <row r="2" spans="1:7" ht="28.05" customHeight="1" x14ac:dyDescent="0.3">
      <c r="A2" s="37" t="s">
        <v>485</v>
      </c>
      <c r="B2" s="37" t="s">
        <v>486</v>
      </c>
      <c r="C2" s="37" t="s">
        <v>487</v>
      </c>
      <c r="D2" s="37" t="s">
        <v>488</v>
      </c>
      <c r="E2" s="37" t="s">
        <v>489</v>
      </c>
      <c r="F2" s="37" t="s">
        <v>490</v>
      </c>
      <c r="G2" s="37" t="s">
        <v>491</v>
      </c>
    </row>
    <row r="3" spans="1:7" x14ac:dyDescent="0.3">
      <c r="A3" s="38" t="s">
        <v>492</v>
      </c>
      <c r="B3" s="39" t="s">
        <v>493</v>
      </c>
      <c r="C3" s="38" t="s">
        <v>494</v>
      </c>
      <c r="D3" s="38" t="s">
        <v>495</v>
      </c>
      <c r="E3" s="38" t="s">
        <v>496</v>
      </c>
      <c r="F3" s="38" t="s">
        <v>496</v>
      </c>
      <c r="G3" s="38" t="s">
        <v>497</v>
      </c>
    </row>
    <row r="4" spans="1:7" x14ac:dyDescent="0.3">
      <c r="A4" s="38" t="s">
        <v>492</v>
      </c>
      <c r="B4" s="39" t="s">
        <v>498</v>
      </c>
      <c r="C4" s="38" t="s">
        <v>494</v>
      </c>
      <c r="D4" s="38" t="s">
        <v>499</v>
      </c>
      <c r="E4" s="38" t="s">
        <v>496</v>
      </c>
      <c r="F4" s="38" t="s">
        <v>496</v>
      </c>
      <c r="G4" s="38" t="s">
        <v>500</v>
      </c>
    </row>
    <row r="5" spans="1:7" ht="48" customHeight="1" x14ac:dyDescent="0.3">
      <c r="A5" s="38" t="s">
        <v>492</v>
      </c>
      <c r="B5" s="39" t="s">
        <v>501</v>
      </c>
      <c r="C5" s="38" t="s">
        <v>494</v>
      </c>
      <c r="D5" s="38" t="s">
        <v>502</v>
      </c>
      <c r="E5" s="38" t="s">
        <v>503</v>
      </c>
      <c r="F5" s="38" t="s">
        <v>496</v>
      </c>
      <c r="G5" s="38" t="s">
        <v>504</v>
      </c>
    </row>
    <row r="6" spans="1:7" ht="24" customHeight="1" x14ac:dyDescent="0.3">
      <c r="A6" s="38" t="s">
        <v>505</v>
      </c>
      <c r="B6" s="39" t="s">
        <v>506</v>
      </c>
      <c r="C6" s="38" t="s">
        <v>494</v>
      </c>
      <c r="D6" s="38" t="s">
        <v>507</v>
      </c>
      <c r="E6" s="38" t="s">
        <v>499</v>
      </c>
      <c r="F6" s="38" t="s">
        <v>496</v>
      </c>
      <c r="G6" s="38" t="s">
        <v>508</v>
      </c>
    </row>
    <row r="7" spans="1:7" ht="36" customHeight="1" x14ac:dyDescent="0.3">
      <c r="A7" s="38" t="s">
        <v>505</v>
      </c>
      <c r="B7" s="39" t="s">
        <v>509</v>
      </c>
      <c r="C7" s="38" t="s">
        <v>494</v>
      </c>
      <c r="D7" s="38" t="s">
        <v>21</v>
      </c>
      <c r="E7" s="38" t="s">
        <v>510</v>
      </c>
      <c r="F7" s="38" t="s">
        <v>496</v>
      </c>
      <c r="G7" s="38" t="s">
        <v>511</v>
      </c>
    </row>
    <row r="8" spans="1:7" ht="24" customHeight="1" x14ac:dyDescent="0.3">
      <c r="A8" s="38" t="s">
        <v>505</v>
      </c>
      <c r="B8" s="39" t="s">
        <v>512</v>
      </c>
      <c r="C8" s="38" t="s">
        <v>494</v>
      </c>
      <c r="D8" s="38" t="s">
        <v>513</v>
      </c>
      <c r="E8" s="38" t="s">
        <v>514</v>
      </c>
      <c r="F8" s="38" t="s">
        <v>496</v>
      </c>
      <c r="G8" s="38" t="s">
        <v>515</v>
      </c>
    </row>
    <row r="9" spans="1:7" ht="24" customHeight="1" x14ac:dyDescent="0.3">
      <c r="A9" s="38" t="s">
        <v>505</v>
      </c>
      <c r="B9" s="39" t="s">
        <v>516</v>
      </c>
      <c r="C9" s="38" t="s">
        <v>494</v>
      </c>
      <c r="D9" s="38" t="s">
        <v>517</v>
      </c>
      <c r="E9" s="38" t="s">
        <v>514</v>
      </c>
      <c r="F9" s="38" t="s">
        <v>496</v>
      </c>
      <c r="G9" s="38" t="s">
        <v>518</v>
      </c>
    </row>
    <row r="10" spans="1:7" ht="24" customHeight="1" x14ac:dyDescent="0.3">
      <c r="A10" s="38" t="s">
        <v>505</v>
      </c>
      <c r="B10" s="39" t="s">
        <v>519</v>
      </c>
      <c r="C10" s="38" t="s">
        <v>494</v>
      </c>
      <c r="D10" s="38" t="s">
        <v>520</v>
      </c>
      <c r="E10" s="38" t="s">
        <v>521</v>
      </c>
      <c r="F10" s="38" t="s">
        <v>522</v>
      </c>
      <c r="G10" s="38" t="s">
        <v>523</v>
      </c>
    </row>
    <row r="11" spans="1:7" ht="24" customHeight="1" x14ac:dyDescent="0.3">
      <c r="A11" s="38" t="s">
        <v>505</v>
      </c>
      <c r="B11" s="39" t="s">
        <v>524</v>
      </c>
      <c r="C11" s="38" t="s">
        <v>494</v>
      </c>
      <c r="D11" s="38" t="s">
        <v>525</v>
      </c>
      <c r="E11" s="38" t="s">
        <v>526</v>
      </c>
      <c r="F11" s="38" t="s">
        <v>496</v>
      </c>
      <c r="G11" s="38" t="s">
        <v>527</v>
      </c>
    </row>
    <row r="12" spans="1:7" ht="24" customHeight="1" x14ac:dyDescent="0.3">
      <c r="A12" s="38" t="s">
        <v>505</v>
      </c>
      <c r="B12" s="39" t="s">
        <v>528</v>
      </c>
      <c r="C12" s="38" t="s">
        <v>494</v>
      </c>
      <c r="D12" s="38" t="s">
        <v>529</v>
      </c>
      <c r="E12" s="38" t="s">
        <v>530</v>
      </c>
      <c r="F12" s="38" t="s">
        <v>496</v>
      </c>
      <c r="G12" s="38" t="s">
        <v>531</v>
      </c>
    </row>
    <row r="13" spans="1:7" ht="24" customHeight="1" x14ac:dyDescent="0.3">
      <c r="A13" s="40" t="s">
        <v>505</v>
      </c>
      <c r="B13" s="41" t="s">
        <v>532</v>
      </c>
      <c r="C13" s="40" t="s">
        <v>494</v>
      </c>
      <c r="D13" s="40" t="s">
        <v>533</v>
      </c>
      <c r="E13" s="40" t="s">
        <v>534</v>
      </c>
      <c r="F13" s="40" t="s">
        <v>535</v>
      </c>
      <c r="G13" s="40" t="s">
        <v>536</v>
      </c>
    </row>
    <row r="14" spans="1:7" ht="24" customHeight="1" x14ac:dyDescent="0.3">
      <c r="A14" s="38" t="s">
        <v>505</v>
      </c>
      <c r="B14" s="39" t="s">
        <v>537</v>
      </c>
      <c r="C14" s="38" t="s">
        <v>494</v>
      </c>
      <c r="D14" s="38" t="s">
        <v>538</v>
      </c>
      <c r="E14" s="38" t="s">
        <v>534</v>
      </c>
      <c r="F14" s="38" t="s">
        <v>539</v>
      </c>
      <c r="G14" s="38" t="s">
        <v>540</v>
      </c>
    </row>
    <row r="15" spans="1:7" ht="24" customHeight="1" x14ac:dyDescent="0.3">
      <c r="A15" s="38" t="s">
        <v>505</v>
      </c>
      <c r="B15" s="39" t="s">
        <v>541</v>
      </c>
      <c r="C15" s="38" t="s">
        <v>494</v>
      </c>
      <c r="D15" s="38" t="s">
        <v>542</v>
      </c>
      <c r="E15" s="38" t="s">
        <v>521</v>
      </c>
      <c r="F15" s="38" t="s">
        <v>543</v>
      </c>
      <c r="G15" s="38" t="s">
        <v>544</v>
      </c>
    </row>
    <row r="16" spans="1:7" ht="24" customHeight="1" x14ac:dyDescent="0.3">
      <c r="A16" s="38" t="s">
        <v>505</v>
      </c>
      <c r="B16" s="39" t="s">
        <v>545</v>
      </c>
      <c r="C16" s="38" t="s">
        <v>494</v>
      </c>
      <c r="D16" s="38" t="s">
        <v>546</v>
      </c>
      <c r="E16" s="38" t="s">
        <v>521</v>
      </c>
      <c r="F16" s="38" t="s">
        <v>547</v>
      </c>
      <c r="G16" s="38" t="s">
        <v>544</v>
      </c>
    </row>
    <row r="17" spans="1:7" ht="24" customHeight="1" x14ac:dyDescent="0.3">
      <c r="A17" s="38" t="s">
        <v>505</v>
      </c>
      <c r="B17" s="39" t="s">
        <v>548</v>
      </c>
      <c r="C17" s="38" t="s">
        <v>494</v>
      </c>
      <c r="D17" s="38" t="s">
        <v>549</v>
      </c>
      <c r="E17" s="38" t="s">
        <v>530</v>
      </c>
      <c r="F17" s="38" t="s">
        <v>496</v>
      </c>
      <c r="G17" s="38" t="s">
        <v>550</v>
      </c>
    </row>
    <row r="18" spans="1:7" ht="36" customHeight="1" x14ac:dyDescent="0.3">
      <c r="A18" s="38" t="s">
        <v>505</v>
      </c>
      <c r="B18" s="39" t="s">
        <v>551</v>
      </c>
      <c r="C18" s="38" t="s">
        <v>494</v>
      </c>
      <c r="D18" s="38" t="s">
        <v>552</v>
      </c>
      <c r="E18" s="38" t="s">
        <v>521</v>
      </c>
      <c r="F18" s="38" t="s">
        <v>553</v>
      </c>
      <c r="G18" s="38" t="s">
        <v>554</v>
      </c>
    </row>
    <row r="19" spans="1:7" ht="36" customHeight="1" x14ac:dyDescent="0.3">
      <c r="A19" s="38" t="s">
        <v>505</v>
      </c>
      <c r="B19" s="39" t="s">
        <v>555</v>
      </c>
      <c r="C19" s="38" t="s">
        <v>494</v>
      </c>
      <c r="D19" s="38" t="s">
        <v>556</v>
      </c>
      <c r="E19" s="38" t="s">
        <v>521</v>
      </c>
      <c r="F19" s="38" t="s">
        <v>557</v>
      </c>
      <c r="G19" s="38" t="s">
        <v>554</v>
      </c>
    </row>
    <row r="20" spans="1:7" ht="24" customHeight="1" x14ac:dyDescent="0.3">
      <c r="A20" s="42" t="s">
        <v>505</v>
      </c>
      <c r="B20" s="43" t="s">
        <v>558</v>
      </c>
      <c r="C20" s="42" t="s">
        <v>494</v>
      </c>
      <c r="D20" s="42" t="s">
        <v>559</v>
      </c>
      <c r="E20" s="42" t="s">
        <v>521</v>
      </c>
      <c r="F20" s="42" t="s">
        <v>560</v>
      </c>
      <c r="G20" s="42" t="s">
        <v>561</v>
      </c>
    </row>
    <row r="21" spans="1:7" ht="24" customHeight="1" x14ac:dyDescent="0.3">
      <c r="A21" s="42" t="s">
        <v>505</v>
      </c>
      <c r="B21" s="43" t="s">
        <v>562</v>
      </c>
      <c r="C21" s="42" t="s">
        <v>494</v>
      </c>
      <c r="D21" s="42" t="s">
        <v>563</v>
      </c>
      <c r="E21" s="42" t="s">
        <v>499</v>
      </c>
      <c r="F21" s="42" t="s">
        <v>496</v>
      </c>
      <c r="G21" s="42" t="s">
        <v>564</v>
      </c>
    </row>
    <row r="22" spans="1:7" ht="24" customHeight="1" x14ac:dyDescent="0.3">
      <c r="A22" s="42" t="s">
        <v>505</v>
      </c>
      <c r="B22" s="43" t="s">
        <v>565</v>
      </c>
      <c r="C22" s="42" t="s">
        <v>494</v>
      </c>
      <c r="D22" s="42" t="s">
        <v>566</v>
      </c>
      <c r="E22" s="42" t="s">
        <v>521</v>
      </c>
      <c r="F22" s="42" t="s">
        <v>567</v>
      </c>
      <c r="G22" s="42" t="s">
        <v>568</v>
      </c>
    </row>
    <row r="23" spans="1:7" ht="24" customHeight="1" x14ac:dyDescent="0.3">
      <c r="A23" s="38" t="s">
        <v>569</v>
      </c>
      <c r="B23" s="39" t="s">
        <v>5</v>
      </c>
      <c r="C23" s="38" t="s">
        <v>570</v>
      </c>
      <c r="D23" s="38" t="s">
        <v>571</v>
      </c>
      <c r="E23" s="38" t="s">
        <v>514</v>
      </c>
      <c r="F23" s="38" t="s">
        <v>496</v>
      </c>
      <c r="G23" s="38" t="s">
        <v>572</v>
      </c>
    </row>
    <row r="24" spans="1:7" ht="24" customHeight="1" x14ac:dyDescent="0.3">
      <c r="A24" s="38" t="s">
        <v>569</v>
      </c>
      <c r="B24" s="39" t="s">
        <v>573</v>
      </c>
      <c r="C24" s="38" t="s">
        <v>570</v>
      </c>
      <c r="D24" s="38" t="s">
        <v>574</v>
      </c>
      <c r="E24" s="38" t="s">
        <v>514</v>
      </c>
      <c r="F24" s="38" t="s">
        <v>496</v>
      </c>
      <c r="G24" s="38" t="s">
        <v>572</v>
      </c>
    </row>
    <row r="25" spans="1:7" ht="24" customHeight="1" x14ac:dyDescent="0.3">
      <c r="A25" s="38" t="s">
        <v>569</v>
      </c>
      <c r="B25" s="39" t="s">
        <v>6</v>
      </c>
      <c r="C25" s="38" t="s">
        <v>570</v>
      </c>
      <c r="D25" s="38" t="s">
        <v>575</v>
      </c>
      <c r="E25" s="38" t="s">
        <v>514</v>
      </c>
      <c r="F25" s="38" t="s">
        <v>496</v>
      </c>
      <c r="G25" s="38" t="s">
        <v>576</v>
      </c>
    </row>
    <row r="26" spans="1:7" ht="24" customHeight="1" x14ac:dyDescent="0.3">
      <c r="A26" s="38" t="s">
        <v>569</v>
      </c>
      <c r="B26" s="39" t="s">
        <v>7</v>
      </c>
      <c r="C26" s="38" t="s">
        <v>570</v>
      </c>
      <c r="D26" s="38" t="s">
        <v>577</v>
      </c>
      <c r="E26" s="38" t="s">
        <v>514</v>
      </c>
      <c r="F26" s="38" t="s">
        <v>496</v>
      </c>
      <c r="G26" s="38" t="s">
        <v>578</v>
      </c>
    </row>
    <row r="27" spans="1:7" ht="24" customHeight="1" x14ac:dyDescent="0.3">
      <c r="A27" s="38" t="s">
        <v>569</v>
      </c>
      <c r="B27" s="39" t="s">
        <v>8</v>
      </c>
      <c r="C27" s="38" t="s">
        <v>570</v>
      </c>
      <c r="D27" s="38" t="s">
        <v>579</v>
      </c>
      <c r="E27" s="38" t="s">
        <v>580</v>
      </c>
      <c r="F27" s="38" t="s">
        <v>496</v>
      </c>
      <c r="G27" s="38" t="s">
        <v>572</v>
      </c>
    </row>
    <row r="28" spans="1:7" ht="24" customHeight="1" x14ac:dyDescent="0.3">
      <c r="A28" s="38" t="s">
        <v>569</v>
      </c>
      <c r="B28" s="39" t="s">
        <v>9</v>
      </c>
      <c r="C28" s="38" t="s">
        <v>570</v>
      </c>
      <c r="D28" s="38" t="s">
        <v>581</v>
      </c>
      <c r="E28" s="38" t="s">
        <v>580</v>
      </c>
      <c r="F28" s="38" t="s">
        <v>496</v>
      </c>
      <c r="G28" s="38" t="s">
        <v>576</v>
      </c>
    </row>
    <row r="29" spans="1:7" ht="24" customHeight="1" x14ac:dyDescent="0.3">
      <c r="A29" s="38" t="s">
        <v>569</v>
      </c>
      <c r="B29" s="39" t="s">
        <v>10</v>
      </c>
      <c r="C29" s="38" t="s">
        <v>570</v>
      </c>
      <c r="D29" s="38" t="s">
        <v>582</v>
      </c>
      <c r="E29" s="38" t="s">
        <v>499</v>
      </c>
      <c r="F29" s="38" t="s">
        <v>496</v>
      </c>
      <c r="G29" s="38" t="s">
        <v>583</v>
      </c>
    </row>
    <row r="30" spans="1:7" ht="24" customHeight="1" x14ac:dyDescent="0.3">
      <c r="A30" s="38" t="s">
        <v>569</v>
      </c>
      <c r="B30" s="39" t="s">
        <v>11</v>
      </c>
      <c r="C30" s="38" t="s">
        <v>570</v>
      </c>
      <c r="D30" s="38" t="s">
        <v>584</v>
      </c>
      <c r="E30" s="38" t="s">
        <v>499</v>
      </c>
      <c r="F30" s="38" t="s">
        <v>496</v>
      </c>
      <c r="G30" s="38" t="s">
        <v>583</v>
      </c>
    </row>
    <row r="31" spans="1:7" ht="24" customHeight="1" x14ac:dyDescent="0.3">
      <c r="A31" s="38" t="s">
        <v>569</v>
      </c>
      <c r="B31" s="39" t="s">
        <v>12</v>
      </c>
      <c r="C31" s="38" t="s">
        <v>570</v>
      </c>
      <c r="D31" s="38" t="s">
        <v>585</v>
      </c>
      <c r="E31" s="38" t="s">
        <v>521</v>
      </c>
      <c r="F31" s="38" t="s">
        <v>586</v>
      </c>
      <c r="G31" s="38" t="s">
        <v>587</v>
      </c>
    </row>
    <row r="32" spans="1:7" ht="24" customHeight="1" x14ac:dyDescent="0.3">
      <c r="A32" s="38" t="s">
        <v>569</v>
      </c>
      <c r="B32" s="39" t="s">
        <v>13</v>
      </c>
      <c r="C32" s="38" t="s">
        <v>570</v>
      </c>
      <c r="D32" s="38" t="s">
        <v>588</v>
      </c>
      <c r="E32" s="38" t="s">
        <v>526</v>
      </c>
      <c r="F32" s="38" t="s">
        <v>496</v>
      </c>
      <c r="G32" s="38" t="s">
        <v>589</v>
      </c>
    </row>
    <row r="33" spans="1:7" ht="24" customHeight="1" x14ac:dyDescent="0.3">
      <c r="A33" s="38" t="s">
        <v>569</v>
      </c>
      <c r="B33" s="39" t="s">
        <v>14</v>
      </c>
      <c r="C33" s="38" t="s">
        <v>570</v>
      </c>
      <c r="D33" s="38" t="s">
        <v>590</v>
      </c>
      <c r="E33" s="38" t="s">
        <v>521</v>
      </c>
      <c r="F33" s="38" t="s">
        <v>586</v>
      </c>
      <c r="G33" s="38" t="s">
        <v>591</v>
      </c>
    </row>
    <row r="34" spans="1:7" ht="24" customHeight="1" x14ac:dyDescent="0.3">
      <c r="A34" s="38" t="s">
        <v>569</v>
      </c>
      <c r="B34" s="39" t="s">
        <v>15</v>
      </c>
      <c r="C34" s="38" t="s">
        <v>570</v>
      </c>
      <c r="D34" s="38" t="s">
        <v>592</v>
      </c>
      <c r="E34" s="38" t="s">
        <v>530</v>
      </c>
      <c r="F34" s="38" t="s">
        <v>496</v>
      </c>
      <c r="G34" s="38" t="s">
        <v>593</v>
      </c>
    </row>
    <row r="35" spans="1:7" ht="24" customHeight="1" x14ac:dyDescent="0.3">
      <c r="A35" s="38" t="s">
        <v>569</v>
      </c>
      <c r="B35" s="39" t="s">
        <v>16</v>
      </c>
      <c r="C35" s="38" t="s">
        <v>570</v>
      </c>
      <c r="D35" s="38" t="s">
        <v>594</v>
      </c>
      <c r="E35" s="38" t="s">
        <v>580</v>
      </c>
      <c r="F35" s="38" t="s">
        <v>496</v>
      </c>
      <c r="G35" s="38" t="s">
        <v>595</v>
      </c>
    </row>
    <row r="36" spans="1:7" ht="36" customHeight="1" x14ac:dyDescent="0.3">
      <c r="A36" s="38" t="s">
        <v>569</v>
      </c>
      <c r="B36" s="39" t="s">
        <v>17</v>
      </c>
      <c r="C36" s="38" t="s">
        <v>570</v>
      </c>
      <c r="D36" s="38" t="s">
        <v>596</v>
      </c>
      <c r="E36" s="38" t="s">
        <v>521</v>
      </c>
      <c r="F36" s="38" t="s">
        <v>597</v>
      </c>
      <c r="G36" s="38" t="s">
        <v>591</v>
      </c>
    </row>
    <row r="37" spans="1:7" ht="36" customHeight="1" x14ac:dyDescent="0.3">
      <c r="A37" s="38" t="s">
        <v>569</v>
      </c>
      <c r="B37" s="39" t="s">
        <v>18</v>
      </c>
      <c r="C37" s="38" t="s">
        <v>570</v>
      </c>
      <c r="D37" s="38" t="s">
        <v>598</v>
      </c>
      <c r="E37" s="38" t="s">
        <v>521</v>
      </c>
      <c r="F37" s="38" t="s">
        <v>599</v>
      </c>
      <c r="G37" s="38" t="s">
        <v>600</v>
      </c>
    </row>
    <row r="38" spans="1:7" ht="24" customHeight="1" x14ac:dyDescent="0.3">
      <c r="A38" s="38" t="s">
        <v>601</v>
      </c>
      <c r="B38" s="39" t="s">
        <v>602</v>
      </c>
      <c r="C38" s="38" t="s">
        <v>603</v>
      </c>
      <c r="D38" s="38" t="s">
        <v>604</v>
      </c>
      <c r="E38" s="38" t="s">
        <v>521</v>
      </c>
      <c r="F38" s="38" t="s">
        <v>605</v>
      </c>
      <c r="G38" s="38" t="s">
        <v>606</v>
      </c>
    </row>
    <row r="39" spans="1:7" ht="24" customHeight="1" x14ac:dyDescent="0.3">
      <c r="A39" s="38" t="s">
        <v>601</v>
      </c>
      <c r="B39" s="39" t="s">
        <v>607</v>
      </c>
      <c r="C39" s="38" t="s">
        <v>603</v>
      </c>
      <c r="D39" s="38" t="s">
        <v>608</v>
      </c>
      <c r="E39" s="38" t="s">
        <v>521</v>
      </c>
      <c r="F39" s="38" t="s">
        <v>609</v>
      </c>
      <c r="G39" s="38" t="s">
        <v>610</v>
      </c>
    </row>
    <row r="40" spans="1:7" ht="24" customHeight="1" x14ac:dyDescent="0.3">
      <c r="A40" s="38" t="s">
        <v>601</v>
      </c>
      <c r="B40" s="39" t="s">
        <v>611</v>
      </c>
      <c r="C40" s="38" t="s">
        <v>603</v>
      </c>
      <c r="D40" s="38" t="s">
        <v>612</v>
      </c>
      <c r="E40" s="38" t="s">
        <v>521</v>
      </c>
      <c r="F40" s="38" t="s">
        <v>613</v>
      </c>
      <c r="G40" s="38" t="s">
        <v>614</v>
      </c>
    </row>
    <row r="41" spans="1:7" ht="24" customHeight="1" x14ac:dyDescent="0.3">
      <c r="A41" s="38" t="s">
        <v>601</v>
      </c>
      <c r="B41" s="39" t="s">
        <v>615</v>
      </c>
      <c r="C41" s="38" t="s">
        <v>603</v>
      </c>
      <c r="D41" s="38" t="s">
        <v>616</v>
      </c>
      <c r="E41" s="38" t="s">
        <v>521</v>
      </c>
      <c r="F41" s="38" t="s">
        <v>586</v>
      </c>
      <c r="G41" s="38" t="s">
        <v>614</v>
      </c>
    </row>
    <row r="42" spans="1:7" ht="24" customHeight="1" x14ac:dyDescent="0.3">
      <c r="A42" s="42" t="s">
        <v>601</v>
      </c>
      <c r="B42" s="43" t="s">
        <v>617</v>
      </c>
      <c r="C42" s="42" t="s">
        <v>603</v>
      </c>
      <c r="D42" s="42" t="s">
        <v>618</v>
      </c>
      <c r="E42" s="42" t="s">
        <v>521</v>
      </c>
      <c r="F42" s="42" t="s">
        <v>619</v>
      </c>
      <c r="G42" s="42" t="s">
        <v>614</v>
      </c>
    </row>
    <row r="43" spans="1:7" ht="24" customHeight="1" x14ac:dyDescent="0.3">
      <c r="A43" s="38" t="s">
        <v>620</v>
      </c>
      <c r="B43" s="39" t="s">
        <v>621</v>
      </c>
      <c r="C43" s="38" t="s">
        <v>622</v>
      </c>
      <c r="D43" s="38" t="s">
        <v>623</v>
      </c>
      <c r="E43" s="38" t="s">
        <v>624</v>
      </c>
      <c r="F43" s="38" t="s">
        <v>625</v>
      </c>
      <c r="G43" s="38" t="s">
        <v>626</v>
      </c>
    </row>
    <row r="44" spans="1:7" ht="24" customHeight="1" x14ac:dyDescent="0.3">
      <c r="A44" s="38" t="s">
        <v>620</v>
      </c>
      <c r="B44" s="39" t="s">
        <v>627</v>
      </c>
      <c r="C44" s="38" t="s">
        <v>622</v>
      </c>
      <c r="D44" s="38" t="s">
        <v>628</v>
      </c>
      <c r="E44" s="38" t="s">
        <v>530</v>
      </c>
      <c r="F44" s="38" t="s">
        <v>496</v>
      </c>
      <c r="G44" s="38" t="s">
        <v>626</v>
      </c>
    </row>
    <row r="45" spans="1:7" ht="24" customHeight="1" x14ac:dyDescent="0.3">
      <c r="A45" s="38" t="s">
        <v>620</v>
      </c>
      <c r="B45" s="39" t="s">
        <v>629</v>
      </c>
      <c r="C45" s="38" t="s">
        <v>622</v>
      </c>
      <c r="D45" s="38" t="s">
        <v>630</v>
      </c>
      <c r="E45" s="38" t="s">
        <v>624</v>
      </c>
      <c r="F45" s="38" t="s">
        <v>631</v>
      </c>
      <c r="G45" s="38" t="s">
        <v>626</v>
      </c>
    </row>
    <row r="46" spans="1:7" ht="24" customHeight="1" x14ac:dyDescent="0.3">
      <c r="A46" s="38" t="s">
        <v>620</v>
      </c>
      <c r="B46" s="39" t="s">
        <v>632</v>
      </c>
      <c r="C46" s="38" t="s">
        <v>622</v>
      </c>
      <c r="D46" s="38" t="s">
        <v>633</v>
      </c>
      <c r="E46" s="38" t="s">
        <v>521</v>
      </c>
      <c r="F46" s="38" t="s">
        <v>634</v>
      </c>
      <c r="G46" s="38" t="s">
        <v>626</v>
      </c>
    </row>
    <row r="47" spans="1:7" ht="24" customHeight="1" x14ac:dyDescent="0.3">
      <c r="A47" s="38" t="s">
        <v>620</v>
      </c>
      <c r="B47" s="39" t="s">
        <v>635</v>
      </c>
      <c r="C47" s="38" t="s">
        <v>622</v>
      </c>
      <c r="D47" s="38" t="s">
        <v>636</v>
      </c>
      <c r="E47" s="38" t="s">
        <v>521</v>
      </c>
      <c r="F47" s="38" t="s">
        <v>637</v>
      </c>
      <c r="G47" s="38" t="s">
        <v>626</v>
      </c>
    </row>
    <row r="48" spans="1:7" ht="24" customHeight="1" x14ac:dyDescent="0.3">
      <c r="A48" s="38" t="s">
        <v>620</v>
      </c>
      <c r="B48" s="39" t="s">
        <v>638</v>
      </c>
      <c r="C48" s="38" t="s">
        <v>622</v>
      </c>
      <c r="D48" s="38" t="s">
        <v>639</v>
      </c>
      <c r="E48" s="38" t="s">
        <v>521</v>
      </c>
      <c r="F48" s="38" t="s">
        <v>640</v>
      </c>
      <c r="G48" s="38" t="s">
        <v>641</v>
      </c>
    </row>
    <row r="49" spans="1:7" ht="24" customHeight="1" x14ac:dyDescent="0.3">
      <c r="A49" s="42" t="s">
        <v>620</v>
      </c>
      <c r="B49" s="43" t="s">
        <v>642</v>
      </c>
      <c r="C49" s="42" t="s">
        <v>622</v>
      </c>
      <c r="D49" s="42" t="s">
        <v>643</v>
      </c>
      <c r="E49" s="42" t="s">
        <v>521</v>
      </c>
      <c r="F49" s="42" t="s">
        <v>644</v>
      </c>
      <c r="G49" s="42" t="s">
        <v>626</v>
      </c>
    </row>
    <row r="50" spans="1:7" ht="36" customHeight="1" x14ac:dyDescent="0.3">
      <c r="A50" s="42" t="s">
        <v>620</v>
      </c>
      <c r="B50" s="43" t="s">
        <v>645</v>
      </c>
      <c r="C50" s="42" t="s">
        <v>622</v>
      </c>
      <c r="D50" s="42" t="s">
        <v>646</v>
      </c>
      <c r="E50" s="42" t="s">
        <v>521</v>
      </c>
      <c r="F50" s="42" t="s">
        <v>647</v>
      </c>
      <c r="G50" s="42" t="s">
        <v>648</v>
      </c>
    </row>
    <row r="51" spans="1:7" ht="24" customHeight="1" x14ac:dyDescent="0.3">
      <c r="A51" s="38" t="s">
        <v>649</v>
      </c>
      <c r="B51" s="39" t="s">
        <v>650</v>
      </c>
      <c r="C51" s="38" t="s">
        <v>651</v>
      </c>
      <c r="D51" s="38" t="s">
        <v>652</v>
      </c>
      <c r="E51" s="38" t="s">
        <v>530</v>
      </c>
      <c r="F51" s="38" t="s">
        <v>496</v>
      </c>
      <c r="G51" s="38" t="s">
        <v>653</v>
      </c>
    </row>
    <row r="52" spans="1:7" ht="24" customHeight="1" x14ac:dyDescent="0.3">
      <c r="A52" s="40" t="s">
        <v>649</v>
      </c>
      <c r="B52" s="41" t="s">
        <v>654</v>
      </c>
      <c r="C52" s="40" t="s">
        <v>651</v>
      </c>
      <c r="D52" s="40" t="s">
        <v>655</v>
      </c>
      <c r="E52" s="40" t="s">
        <v>521</v>
      </c>
      <c r="F52" s="40" t="s">
        <v>656</v>
      </c>
      <c r="G52" s="40" t="s">
        <v>653</v>
      </c>
    </row>
    <row r="53" spans="1:7" ht="24" customHeight="1" x14ac:dyDescent="0.3">
      <c r="A53" s="38" t="s">
        <v>649</v>
      </c>
      <c r="B53" s="39" t="s">
        <v>657</v>
      </c>
      <c r="C53" s="38" t="s">
        <v>651</v>
      </c>
      <c r="D53" s="38" t="s">
        <v>658</v>
      </c>
      <c r="E53" s="38" t="s">
        <v>624</v>
      </c>
      <c r="F53" s="38" t="s">
        <v>631</v>
      </c>
      <c r="G53" s="38" t="s">
        <v>653</v>
      </c>
    </row>
    <row r="54" spans="1:7" ht="24" customHeight="1" x14ac:dyDescent="0.3">
      <c r="A54" s="38" t="s">
        <v>649</v>
      </c>
      <c r="B54" s="39" t="s">
        <v>659</v>
      </c>
      <c r="C54" s="38" t="s">
        <v>651</v>
      </c>
      <c r="D54" s="38" t="s">
        <v>660</v>
      </c>
      <c r="E54" s="38" t="s">
        <v>521</v>
      </c>
      <c r="F54" s="38" t="s">
        <v>661</v>
      </c>
      <c r="G54" s="38" t="s">
        <v>653</v>
      </c>
    </row>
    <row r="55" spans="1:7" ht="24" customHeight="1" x14ac:dyDescent="0.3">
      <c r="A55" s="38" t="s">
        <v>649</v>
      </c>
      <c r="B55" s="39" t="s">
        <v>662</v>
      </c>
      <c r="C55" s="38" t="s">
        <v>651</v>
      </c>
      <c r="D55" s="38" t="s">
        <v>663</v>
      </c>
      <c r="E55" s="38" t="s">
        <v>521</v>
      </c>
      <c r="F55" s="38" t="s">
        <v>664</v>
      </c>
      <c r="G55" s="38" t="s">
        <v>653</v>
      </c>
    </row>
    <row r="56" spans="1:7" ht="24" customHeight="1" x14ac:dyDescent="0.3">
      <c r="A56" s="38" t="s">
        <v>649</v>
      </c>
      <c r="B56" s="39" t="s">
        <v>665</v>
      </c>
      <c r="C56" s="38" t="s">
        <v>651</v>
      </c>
      <c r="D56" s="38" t="s">
        <v>666</v>
      </c>
      <c r="E56" s="38" t="s">
        <v>521</v>
      </c>
      <c r="F56" s="38" t="s">
        <v>667</v>
      </c>
      <c r="G56" s="38" t="s">
        <v>653</v>
      </c>
    </row>
    <row r="57" spans="1:7" ht="24" customHeight="1" x14ac:dyDescent="0.3">
      <c r="A57" s="38" t="s">
        <v>649</v>
      </c>
      <c r="B57" s="39" t="s">
        <v>668</v>
      </c>
      <c r="C57" s="38" t="s">
        <v>651</v>
      </c>
      <c r="D57" s="38" t="s">
        <v>669</v>
      </c>
      <c r="E57" s="38" t="s">
        <v>521</v>
      </c>
      <c r="F57" s="38" t="s">
        <v>586</v>
      </c>
      <c r="G57" s="38" t="s">
        <v>653</v>
      </c>
    </row>
    <row r="58" spans="1:7" ht="72" customHeight="1" x14ac:dyDescent="0.3">
      <c r="A58" s="38" t="s">
        <v>649</v>
      </c>
      <c r="B58" s="39" t="s">
        <v>670</v>
      </c>
      <c r="C58" s="38" t="s">
        <v>651</v>
      </c>
      <c r="D58" s="38" t="s">
        <v>671</v>
      </c>
      <c r="E58" s="38" t="s">
        <v>521</v>
      </c>
      <c r="F58" s="38" t="s">
        <v>672</v>
      </c>
      <c r="G58" s="38" t="s">
        <v>653</v>
      </c>
    </row>
    <row r="59" spans="1:7" ht="24" customHeight="1" x14ac:dyDescent="0.3">
      <c r="A59" s="38" t="s">
        <v>649</v>
      </c>
      <c r="B59" s="39" t="s">
        <v>673</v>
      </c>
      <c r="C59" s="38" t="s">
        <v>651</v>
      </c>
      <c r="D59" s="38" t="s">
        <v>674</v>
      </c>
      <c r="E59" s="38" t="s">
        <v>521</v>
      </c>
      <c r="F59" s="38" t="s">
        <v>675</v>
      </c>
      <c r="G59" s="38" t="s">
        <v>653</v>
      </c>
    </row>
    <row r="60" spans="1:7" ht="24" customHeight="1" x14ac:dyDescent="0.3">
      <c r="A60" s="38" t="s">
        <v>649</v>
      </c>
      <c r="B60" s="39" t="s">
        <v>676</v>
      </c>
      <c r="C60" s="38" t="s">
        <v>651</v>
      </c>
      <c r="D60" s="38" t="s">
        <v>677</v>
      </c>
      <c r="E60" s="38" t="s">
        <v>521</v>
      </c>
      <c r="F60" s="38" t="s">
        <v>678</v>
      </c>
      <c r="G60" s="38" t="s">
        <v>653</v>
      </c>
    </row>
    <row r="61" spans="1:7" ht="36" customHeight="1" x14ac:dyDescent="0.3">
      <c r="A61" s="38" t="s">
        <v>649</v>
      </c>
      <c r="B61" s="39" t="s">
        <v>679</v>
      </c>
      <c r="C61" s="38" t="s">
        <v>651</v>
      </c>
      <c r="D61" s="38" t="s">
        <v>680</v>
      </c>
      <c r="E61" s="38" t="s">
        <v>521</v>
      </c>
      <c r="F61" s="38" t="s">
        <v>681</v>
      </c>
      <c r="G61" s="38" t="s">
        <v>653</v>
      </c>
    </row>
    <row r="62" spans="1:7" ht="36" customHeight="1" x14ac:dyDescent="0.3">
      <c r="A62" s="42" t="s">
        <v>649</v>
      </c>
      <c r="B62" s="43" t="s">
        <v>682</v>
      </c>
      <c r="C62" s="42" t="s">
        <v>651</v>
      </c>
      <c r="D62" s="42" t="s">
        <v>683</v>
      </c>
      <c r="E62" s="42" t="s">
        <v>521</v>
      </c>
      <c r="F62" s="42" t="s">
        <v>684</v>
      </c>
      <c r="G62" s="42" t="s">
        <v>653</v>
      </c>
    </row>
    <row r="63" spans="1:7" ht="24" customHeight="1" x14ac:dyDescent="0.3">
      <c r="A63" s="42" t="s">
        <v>649</v>
      </c>
      <c r="B63" s="43" t="s">
        <v>685</v>
      </c>
      <c r="C63" s="42" t="s">
        <v>651</v>
      </c>
      <c r="D63" s="42" t="s">
        <v>686</v>
      </c>
      <c r="E63" s="42" t="s">
        <v>521</v>
      </c>
      <c r="F63" s="42" t="s">
        <v>687</v>
      </c>
      <c r="G63" s="42" t="s">
        <v>688</v>
      </c>
    </row>
    <row r="64" spans="1:7" ht="36" customHeight="1" x14ac:dyDescent="0.3">
      <c r="A64" s="40" t="s">
        <v>689</v>
      </c>
      <c r="B64" s="41" t="s">
        <v>690</v>
      </c>
      <c r="C64" s="40" t="s">
        <v>691</v>
      </c>
      <c r="D64" s="40" t="s">
        <v>692</v>
      </c>
      <c r="E64" s="40" t="s">
        <v>521</v>
      </c>
      <c r="F64" s="40" t="s">
        <v>693</v>
      </c>
      <c r="G64" s="40" t="s">
        <v>694</v>
      </c>
    </row>
    <row r="65" spans="1:7" ht="24" customHeight="1" x14ac:dyDescent="0.3">
      <c r="A65" s="38" t="s">
        <v>689</v>
      </c>
      <c r="B65" s="39" t="s">
        <v>695</v>
      </c>
      <c r="C65" s="38" t="s">
        <v>691</v>
      </c>
      <c r="D65" s="38" t="s">
        <v>696</v>
      </c>
      <c r="E65" s="38" t="s">
        <v>624</v>
      </c>
      <c r="F65" s="38" t="s">
        <v>631</v>
      </c>
      <c r="G65" s="38" t="s">
        <v>694</v>
      </c>
    </row>
    <row r="66" spans="1:7" ht="24" customHeight="1" x14ac:dyDescent="0.3">
      <c r="A66" s="38" t="s">
        <v>689</v>
      </c>
      <c r="B66" s="39" t="s">
        <v>697</v>
      </c>
      <c r="C66" s="38" t="s">
        <v>691</v>
      </c>
      <c r="D66" s="38" t="s">
        <v>698</v>
      </c>
      <c r="E66" s="38" t="s">
        <v>521</v>
      </c>
      <c r="F66" s="38" t="s">
        <v>699</v>
      </c>
      <c r="G66" s="38" t="s">
        <v>694</v>
      </c>
    </row>
    <row r="67" spans="1:7" ht="24" customHeight="1" x14ac:dyDescent="0.3">
      <c r="A67" s="42" t="s">
        <v>689</v>
      </c>
      <c r="B67" s="43" t="s">
        <v>700</v>
      </c>
      <c r="C67" s="42" t="s">
        <v>691</v>
      </c>
      <c r="D67" s="42" t="s">
        <v>701</v>
      </c>
      <c r="E67" s="42" t="s">
        <v>521</v>
      </c>
      <c r="F67" s="42" t="s">
        <v>702</v>
      </c>
      <c r="G67" s="42" t="s">
        <v>703</v>
      </c>
    </row>
    <row r="68" spans="1:7" ht="24" customHeight="1" x14ac:dyDescent="0.3">
      <c r="A68" s="38" t="s">
        <v>704</v>
      </c>
      <c r="B68" s="39" t="s">
        <v>705</v>
      </c>
      <c r="C68" s="38" t="s">
        <v>706</v>
      </c>
      <c r="D68" s="38" t="s">
        <v>707</v>
      </c>
      <c r="E68" s="38" t="s">
        <v>624</v>
      </c>
      <c r="F68" s="38" t="s">
        <v>631</v>
      </c>
      <c r="G68" s="38" t="s">
        <v>708</v>
      </c>
    </row>
    <row r="69" spans="1:7" ht="36" customHeight="1" x14ac:dyDescent="0.3">
      <c r="A69" s="38" t="s">
        <v>704</v>
      </c>
      <c r="B69" s="39" t="s">
        <v>709</v>
      </c>
      <c r="C69" s="38" t="s">
        <v>706</v>
      </c>
      <c r="D69" s="38" t="s">
        <v>710</v>
      </c>
      <c r="E69" s="38" t="s">
        <v>624</v>
      </c>
      <c r="F69" s="38" t="s">
        <v>631</v>
      </c>
      <c r="G69" s="38" t="s">
        <v>708</v>
      </c>
    </row>
    <row r="70" spans="1:7" ht="24" customHeight="1" x14ac:dyDescent="0.3">
      <c r="A70" s="38" t="s">
        <v>704</v>
      </c>
      <c r="B70" s="39" t="s">
        <v>711</v>
      </c>
      <c r="C70" s="38" t="s">
        <v>706</v>
      </c>
      <c r="D70" s="38" t="s">
        <v>712</v>
      </c>
      <c r="E70" s="38" t="s">
        <v>521</v>
      </c>
      <c r="F70" s="38" t="s">
        <v>713</v>
      </c>
      <c r="G70" s="38" t="s">
        <v>708</v>
      </c>
    </row>
    <row r="71" spans="1:7" ht="24" customHeight="1" x14ac:dyDescent="0.3">
      <c r="A71" s="38" t="s">
        <v>704</v>
      </c>
      <c r="B71" s="39" t="s">
        <v>714</v>
      </c>
      <c r="C71" s="38" t="s">
        <v>706</v>
      </c>
      <c r="D71" s="38" t="s">
        <v>715</v>
      </c>
      <c r="E71" s="38" t="s">
        <v>521</v>
      </c>
      <c r="F71" s="38" t="s">
        <v>716</v>
      </c>
      <c r="G71" s="38" t="s">
        <v>708</v>
      </c>
    </row>
    <row r="72" spans="1:7" ht="48" customHeight="1" x14ac:dyDescent="0.3">
      <c r="A72" s="38" t="s">
        <v>704</v>
      </c>
      <c r="B72" s="39" t="s">
        <v>717</v>
      </c>
      <c r="C72" s="38" t="s">
        <v>706</v>
      </c>
      <c r="D72" s="38" t="s">
        <v>718</v>
      </c>
      <c r="E72" s="38" t="s">
        <v>534</v>
      </c>
      <c r="F72" s="38" t="s">
        <v>719</v>
      </c>
      <c r="G72" s="38" t="s">
        <v>708</v>
      </c>
    </row>
    <row r="73" spans="1:7" ht="24" customHeight="1" x14ac:dyDescent="0.3">
      <c r="A73" s="38" t="s">
        <v>704</v>
      </c>
      <c r="B73" s="39" t="s">
        <v>720</v>
      </c>
      <c r="C73" s="38" t="s">
        <v>706</v>
      </c>
      <c r="D73" s="38" t="s">
        <v>721</v>
      </c>
      <c r="E73" s="38" t="s">
        <v>521</v>
      </c>
      <c r="F73" s="38" t="s">
        <v>722</v>
      </c>
      <c r="G73" s="38" t="s">
        <v>708</v>
      </c>
    </row>
    <row r="74" spans="1:7" ht="24" customHeight="1" x14ac:dyDescent="0.3">
      <c r="A74" s="38" t="s">
        <v>704</v>
      </c>
      <c r="B74" s="39" t="s">
        <v>723</v>
      </c>
      <c r="C74" s="38" t="s">
        <v>706</v>
      </c>
      <c r="D74" s="38" t="s">
        <v>724</v>
      </c>
      <c r="E74" s="38" t="s">
        <v>521</v>
      </c>
      <c r="F74" s="38" t="s">
        <v>725</v>
      </c>
      <c r="G74" s="38" t="s">
        <v>708</v>
      </c>
    </row>
    <row r="75" spans="1:7" ht="24" customHeight="1" x14ac:dyDescent="0.3">
      <c r="A75" s="38" t="s">
        <v>704</v>
      </c>
      <c r="B75" s="39" t="s">
        <v>726</v>
      </c>
      <c r="C75" s="38" t="s">
        <v>706</v>
      </c>
      <c r="D75" s="38" t="s">
        <v>727</v>
      </c>
      <c r="E75" s="38" t="s">
        <v>521</v>
      </c>
      <c r="F75" s="38" t="s">
        <v>728</v>
      </c>
      <c r="G75" s="38" t="s">
        <v>708</v>
      </c>
    </row>
    <row r="76" spans="1:7" ht="36" customHeight="1" x14ac:dyDescent="0.3">
      <c r="A76" s="38" t="s">
        <v>704</v>
      </c>
      <c r="B76" s="39" t="s">
        <v>729</v>
      </c>
      <c r="C76" s="38" t="s">
        <v>706</v>
      </c>
      <c r="D76" s="38" t="s">
        <v>730</v>
      </c>
      <c r="E76" s="38" t="s">
        <v>521</v>
      </c>
      <c r="F76" s="38" t="s">
        <v>731</v>
      </c>
      <c r="G76" s="38" t="s">
        <v>708</v>
      </c>
    </row>
    <row r="77" spans="1:7" ht="24" customHeight="1" x14ac:dyDescent="0.3">
      <c r="A77" s="40" t="s">
        <v>732</v>
      </c>
      <c r="B77" s="41" t="s">
        <v>733</v>
      </c>
      <c r="C77" s="40" t="s">
        <v>734</v>
      </c>
      <c r="D77" s="40" t="s">
        <v>735</v>
      </c>
      <c r="E77" s="40" t="s">
        <v>521</v>
      </c>
      <c r="F77" s="40" t="s">
        <v>736</v>
      </c>
      <c r="G77" s="40" t="s">
        <v>737</v>
      </c>
    </row>
    <row r="78" spans="1:7" ht="36" customHeight="1" x14ac:dyDescent="0.3">
      <c r="A78" s="38" t="s">
        <v>732</v>
      </c>
      <c r="B78" s="39" t="s">
        <v>738</v>
      </c>
      <c r="C78" s="38" t="s">
        <v>734</v>
      </c>
      <c r="D78" s="38" t="s">
        <v>739</v>
      </c>
      <c r="E78" s="38" t="s">
        <v>521</v>
      </c>
      <c r="F78" s="38" t="s">
        <v>740</v>
      </c>
      <c r="G78" s="38" t="s">
        <v>737</v>
      </c>
    </row>
    <row r="79" spans="1:7" ht="36" customHeight="1" x14ac:dyDescent="0.3">
      <c r="A79" s="38" t="s">
        <v>732</v>
      </c>
      <c r="B79" s="39" t="s">
        <v>741</v>
      </c>
      <c r="C79" s="38" t="s">
        <v>734</v>
      </c>
      <c r="D79" s="38" t="s">
        <v>742</v>
      </c>
      <c r="E79" s="38" t="s">
        <v>521</v>
      </c>
      <c r="F79" s="38" t="s">
        <v>743</v>
      </c>
      <c r="G79" s="38" t="s">
        <v>737</v>
      </c>
    </row>
    <row r="80" spans="1:7" ht="24" customHeight="1" x14ac:dyDescent="0.3">
      <c r="A80" s="38" t="s">
        <v>732</v>
      </c>
      <c r="B80" s="39" t="s">
        <v>744</v>
      </c>
      <c r="C80" s="38" t="s">
        <v>734</v>
      </c>
      <c r="D80" s="38" t="s">
        <v>745</v>
      </c>
      <c r="E80" s="38" t="s">
        <v>521</v>
      </c>
      <c r="F80" s="38" t="s">
        <v>746</v>
      </c>
      <c r="G80" s="38" t="s">
        <v>737</v>
      </c>
    </row>
    <row r="81" spans="1:7" ht="24" customHeight="1" x14ac:dyDescent="0.3">
      <c r="A81" s="38" t="s">
        <v>732</v>
      </c>
      <c r="B81" s="39" t="s">
        <v>747</v>
      </c>
      <c r="C81" s="38" t="s">
        <v>734</v>
      </c>
      <c r="D81" s="38" t="s">
        <v>748</v>
      </c>
      <c r="E81" s="38" t="s">
        <v>521</v>
      </c>
      <c r="F81" s="38" t="s">
        <v>749</v>
      </c>
      <c r="G81" s="38" t="s">
        <v>737</v>
      </c>
    </row>
    <row r="82" spans="1:7" ht="24" customHeight="1" x14ac:dyDescent="0.3">
      <c r="A82" s="38" t="s">
        <v>732</v>
      </c>
      <c r="B82" s="39" t="s">
        <v>750</v>
      </c>
      <c r="C82" s="38" t="s">
        <v>734</v>
      </c>
      <c r="D82" s="38" t="s">
        <v>751</v>
      </c>
      <c r="E82" s="38" t="s">
        <v>521</v>
      </c>
      <c r="F82" s="38" t="s">
        <v>752</v>
      </c>
      <c r="G82" s="38" t="s">
        <v>737</v>
      </c>
    </row>
    <row r="83" spans="1:7" ht="48" customHeight="1" x14ac:dyDescent="0.3">
      <c r="A83" s="38" t="s">
        <v>732</v>
      </c>
      <c r="B83" s="39" t="s">
        <v>753</v>
      </c>
      <c r="C83" s="38" t="s">
        <v>734</v>
      </c>
      <c r="D83" s="38" t="s">
        <v>754</v>
      </c>
      <c r="E83" s="38" t="s">
        <v>521</v>
      </c>
      <c r="F83" s="38" t="s">
        <v>755</v>
      </c>
      <c r="G83" s="38" t="s">
        <v>737</v>
      </c>
    </row>
    <row r="84" spans="1:7" ht="36" customHeight="1" x14ac:dyDescent="0.3">
      <c r="A84" s="38" t="s">
        <v>732</v>
      </c>
      <c r="B84" s="39" t="s">
        <v>756</v>
      </c>
      <c r="C84" s="38" t="s">
        <v>734</v>
      </c>
      <c r="D84" s="38" t="s">
        <v>757</v>
      </c>
      <c r="E84" s="38" t="s">
        <v>521</v>
      </c>
      <c r="F84" s="38" t="s">
        <v>758</v>
      </c>
      <c r="G84" s="38" t="s">
        <v>737</v>
      </c>
    </row>
    <row r="85" spans="1:7" ht="24" customHeight="1" x14ac:dyDescent="0.3">
      <c r="A85" s="42" t="s">
        <v>732</v>
      </c>
      <c r="B85" s="43" t="s">
        <v>759</v>
      </c>
      <c r="C85" s="42" t="s">
        <v>734</v>
      </c>
      <c r="D85" s="42" t="s">
        <v>760</v>
      </c>
      <c r="E85" s="42" t="s">
        <v>521</v>
      </c>
      <c r="F85" s="42" t="s">
        <v>761</v>
      </c>
      <c r="G85" s="42" t="s">
        <v>737</v>
      </c>
    </row>
    <row r="86" spans="1:7" ht="24" customHeight="1" x14ac:dyDescent="0.3">
      <c r="A86" s="38" t="s">
        <v>762</v>
      </c>
      <c r="B86" s="39" t="s">
        <v>763</v>
      </c>
      <c r="C86" s="38" t="s">
        <v>764</v>
      </c>
      <c r="D86" s="38" t="s">
        <v>765</v>
      </c>
      <c r="E86" s="38" t="s">
        <v>521</v>
      </c>
      <c r="F86" s="38" t="s">
        <v>766</v>
      </c>
      <c r="G86" s="38" t="s">
        <v>767</v>
      </c>
    </row>
    <row r="87" spans="1:7" ht="24" customHeight="1" x14ac:dyDescent="0.3">
      <c r="A87" s="38" t="s">
        <v>762</v>
      </c>
      <c r="B87" s="39" t="s">
        <v>768</v>
      </c>
      <c r="C87" s="38" t="s">
        <v>764</v>
      </c>
      <c r="D87" s="38" t="s">
        <v>769</v>
      </c>
      <c r="E87" s="38" t="s">
        <v>521</v>
      </c>
      <c r="F87" s="38" t="s">
        <v>605</v>
      </c>
      <c r="G87" s="38" t="s">
        <v>767</v>
      </c>
    </row>
    <row r="88" spans="1:7" ht="24" customHeight="1" x14ac:dyDescent="0.3">
      <c r="A88" s="38" t="s">
        <v>762</v>
      </c>
      <c r="B88" s="39" t="s">
        <v>770</v>
      </c>
      <c r="C88" s="38" t="s">
        <v>764</v>
      </c>
      <c r="D88" s="38" t="s">
        <v>771</v>
      </c>
      <c r="E88" s="38" t="s">
        <v>521</v>
      </c>
      <c r="F88" s="38" t="s">
        <v>772</v>
      </c>
      <c r="G88" s="38" t="s">
        <v>767</v>
      </c>
    </row>
    <row r="89" spans="1:7" ht="36" customHeight="1" x14ac:dyDescent="0.3">
      <c r="A89" s="38" t="s">
        <v>762</v>
      </c>
      <c r="B89" s="39" t="s">
        <v>773</v>
      </c>
      <c r="C89" s="38" t="s">
        <v>764</v>
      </c>
      <c r="D89" s="38" t="s">
        <v>774</v>
      </c>
      <c r="E89" s="38" t="s">
        <v>521</v>
      </c>
      <c r="F89" s="38" t="s">
        <v>775</v>
      </c>
      <c r="G89" s="38" t="s">
        <v>767</v>
      </c>
    </row>
    <row r="90" spans="1:7" ht="60" customHeight="1" x14ac:dyDescent="0.3">
      <c r="A90" s="38" t="s">
        <v>762</v>
      </c>
      <c r="B90" s="39" t="s">
        <v>776</v>
      </c>
      <c r="C90" s="38" t="s">
        <v>764</v>
      </c>
      <c r="D90" s="38" t="s">
        <v>777</v>
      </c>
      <c r="E90" s="38" t="s">
        <v>521</v>
      </c>
      <c r="F90" s="38" t="s">
        <v>778</v>
      </c>
      <c r="G90" s="38" t="s">
        <v>767</v>
      </c>
    </row>
    <row r="91" spans="1:7" ht="24" customHeight="1" x14ac:dyDescent="0.3">
      <c r="A91" s="42" t="s">
        <v>762</v>
      </c>
      <c r="B91" s="43" t="s">
        <v>779</v>
      </c>
      <c r="C91" s="42" t="s">
        <v>764</v>
      </c>
      <c r="D91" s="42" t="s">
        <v>780</v>
      </c>
      <c r="E91" s="42" t="s">
        <v>521</v>
      </c>
      <c r="F91" s="42" t="s">
        <v>781</v>
      </c>
      <c r="G91" s="42" t="s">
        <v>782</v>
      </c>
    </row>
    <row r="92" spans="1:7" ht="24" customHeight="1" x14ac:dyDescent="0.3">
      <c r="A92" s="42" t="s">
        <v>762</v>
      </c>
      <c r="B92" s="43" t="s">
        <v>783</v>
      </c>
      <c r="C92" s="42" t="s">
        <v>764</v>
      </c>
      <c r="D92" s="42" t="s">
        <v>784</v>
      </c>
      <c r="E92" s="42" t="s">
        <v>521</v>
      </c>
      <c r="F92" s="42" t="s">
        <v>785</v>
      </c>
      <c r="G92" s="42" t="s">
        <v>786</v>
      </c>
    </row>
    <row r="93" spans="1:7" ht="24" customHeight="1" x14ac:dyDescent="0.3">
      <c r="A93" s="38" t="s">
        <v>787</v>
      </c>
      <c r="B93" s="39" t="s">
        <v>788</v>
      </c>
      <c r="C93" s="38" t="s">
        <v>789</v>
      </c>
      <c r="D93" s="38" t="s">
        <v>790</v>
      </c>
      <c r="E93" s="38" t="s">
        <v>624</v>
      </c>
      <c r="F93" s="38" t="s">
        <v>631</v>
      </c>
      <c r="G93" s="38" t="s">
        <v>791</v>
      </c>
    </row>
    <row r="94" spans="1:7" ht="24" customHeight="1" x14ac:dyDescent="0.3">
      <c r="A94" s="38" t="s">
        <v>787</v>
      </c>
      <c r="B94" s="39" t="s">
        <v>792</v>
      </c>
      <c r="C94" s="38" t="s">
        <v>789</v>
      </c>
      <c r="D94" s="38" t="s">
        <v>793</v>
      </c>
      <c r="E94" s="38" t="s">
        <v>530</v>
      </c>
      <c r="F94" s="38" t="s">
        <v>496</v>
      </c>
      <c r="G94" s="38" t="s">
        <v>791</v>
      </c>
    </row>
    <row r="95" spans="1:7" ht="24" customHeight="1" x14ac:dyDescent="0.3">
      <c r="A95" s="38" t="s">
        <v>787</v>
      </c>
      <c r="B95" s="39" t="s">
        <v>794</v>
      </c>
      <c r="C95" s="38" t="s">
        <v>789</v>
      </c>
      <c r="D95" s="38" t="s">
        <v>795</v>
      </c>
      <c r="E95" s="38" t="s">
        <v>521</v>
      </c>
      <c r="F95" s="38" t="s">
        <v>796</v>
      </c>
      <c r="G95" s="38" t="s">
        <v>791</v>
      </c>
    </row>
    <row r="96" spans="1:7" ht="24" customHeight="1" x14ac:dyDescent="0.3">
      <c r="A96" s="38" t="s">
        <v>787</v>
      </c>
      <c r="B96" s="39" t="s">
        <v>797</v>
      </c>
      <c r="C96" s="38" t="s">
        <v>789</v>
      </c>
      <c r="D96" s="38" t="s">
        <v>798</v>
      </c>
      <c r="E96" s="38" t="s">
        <v>521</v>
      </c>
      <c r="F96" s="38" t="s">
        <v>799</v>
      </c>
      <c r="G96" s="38" t="s">
        <v>791</v>
      </c>
    </row>
    <row r="97" spans="1:7" ht="24" customHeight="1" x14ac:dyDescent="0.3">
      <c r="A97" s="38" t="s">
        <v>800</v>
      </c>
      <c r="B97" s="39" t="s">
        <v>801</v>
      </c>
      <c r="C97" s="38" t="s">
        <v>802</v>
      </c>
      <c r="D97" s="38" t="s">
        <v>803</v>
      </c>
      <c r="E97" s="38" t="s">
        <v>521</v>
      </c>
      <c r="F97" s="38" t="s">
        <v>804</v>
      </c>
      <c r="G97" s="38" t="s">
        <v>805</v>
      </c>
    </row>
    <row r="98" spans="1:7" ht="36" customHeight="1" x14ac:dyDescent="0.3">
      <c r="A98" s="40" t="s">
        <v>800</v>
      </c>
      <c r="B98" s="41" t="s">
        <v>806</v>
      </c>
      <c r="C98" s="40" t="s">
        <v>802</v>
      </c>
      <c r="D98" s="40" t="s">
        <v>807</v>
      </c>
      <c r="E98" s="40" t="s">
        <v>521</v>
      </c>
      <c r="F98" s="40" t="s">
        <v>808</v>
      </c>
      <c r="G98" s="40" t="s">
        <v>805</v>
      </c>
    </row>
    <row r="99" spans="1:7" ht="24" customHeight="1" x14ac:dyDescent="0.3">
      <c r="A99" s="38" t="s">
        <v>800</v>
      </c>
      <c r="B99" s="39" t="s">
        <v>809</v>
      </c>
      <c r="C99" s="38" t="s">
        <v>802</v>
      </c>
      <c r="D99" s="38" t="s">
        <v>810</v>
      </c>
      <c r="E99" s="38" t="s">
        <v>521</v>
      </c>
      <c r="F99" s="38" t="s">
        <v>811</v>
      </c>
      <c r="G99" s="38" t="s">
        <v>805</v>
      </c>
    </row>
    <row r="100" spans="1:7" ht="36" customHeight="1" x14ac:dyDescent="0.3">
      <c r="A100" s="38" t="s">
        <v>812</v>
      </c>
      <c r="B100" s="39" t="s">
        <v>813</v>
      </c>
      <c r="C100" s="38" t="s">
        <v>814</v>
      </c>
      <c r="D100" s="38" t="s">
        <v>815</v>
      </c>
      <c r="E100" s="38" t="s">
        <v>521</v>
      </c>
      <c r="F100" s="38" t="s">
        <v>816</v>
      </c>
      <c r="G100" s="38" t="s">
        <v>817</v>
      </c>
    </row>
    <row r="101" spans="1:7" ht="36" customHeight="1" x14ac:dyDescent="0.3">
      <c r="A101" s="38" t="s">
        <v>812</v>
      </c>
      <c r="B101" s="39" t="s">
        <v>818</v>
      </c>
      <c r="C101" s="38" t="s">
        <v>814</v>
      </c>
      <c r="D101" s="38" t="s">
        <v>819</v>
      </c>
      <c r="E101" s="38" t="s">
        <v>521</v>
      </c>
      <c r="F101" s="38" t="s">
        <v>605</v>
      </c>
      <c r="G101" s="38" t="s">
        <v>817</v>
      </c>
    </row>
    <row r="102" spans="1:7" ht="36" customHeight="1" x14ac:dyDescent="0.3">
      <c r="A102" s="42" t="s">
        <v>812</v>
      </c>
      <c r="B102" s="43" t="s">
        <v>820</v>
      </c>
      <c r="C102" s="42" t="s">
        <v>814</v>
      </c>
      <c r="D102" s="42" t="s">
        <v>821</v>
      </c>
      <c r="E102" s="42" t="s">
        <v>521</v>
      </c>
      <c r="F102" s="42" t="s">
        <v>822</v>
      </c>
      <c r="G102" s="42" t="s">
        <v>817</v>
      </c>
    </row>
    <row r="103" spans="1:7" ht="48" customHeight="1" x14ac:dyDescent="0.3">
      <c r="A103" s="38" t="s">
        <v>823</v>
      </c>
      <c r="B103" s="39" t="s">
        <v>824</v>
      </c>
      <c r="C103" s="38" t="s">
        <v>825</v>
      </c>
      <c r="D103" s="38" t="s">
        <v>826</v>
      </c>
      <c r="E103" s="38" t="s">
        <v>534</v>
      </c>
      <c r="F103" s="38" t="s">
        <v>827</v>
      </c>
      <c r="G103" s="38" t="s">
        <v>828</v>
      </c>
    </row>
    <row r="104" spans="1:7" ht="24" customHeight="1" x14ac:dyDescent="0.3">
      <c r="A104" s="38" t="s">
        <v>823</v>
      </c>
      <c r="B104" s="39" t="s">
        <v>829</v>
      </c>
      <c r="C104" s="38" t="s">
        <v>825</v>
      </c>
      <c r="D104" s="38" t="s">
        <v>830</v>
      </c>
      <c r="E104" s="38" t="s">
        <v>514</v>
      </c>
      <c r="F104" s="38" t="s">
        <v>496</v>
      </c>
      <c r="G104" s="38" t="s">
        <v>828</v>
      </c>
    </row>
    <row r="105" spans="1:7" ht="24" customHeight="1" x14ac:dyDescent="0.3">
      <c r="A105" s="42" t="s">
        <v>823</v>
      </c>
      <c r="B105" s="43" t="s">
        <v>831</v>
      </c>
      <c r="C105" s="42" t="s">
        <v>825</v>
      </c>
      <c r="D105" s="42" t="s">
        <v>832</v>
      </c>
      <c r="E105" s="42" t="s">
        <v>521</v>
      </c>
      <c r="F105" s="42" t="s">
        <v>833</v>
      </c>
      <c r="G105" s="42" t="s">
        <v>828</v>
      </c>
    </row>
    <row r="106" spans="1:7" ht="36" customHeight="1" x14ac:dyDescent="0.3">
      <c r="A106" s="42" t="s">
        <v>834</v>
      </c>
      <c r="B106" s="43" t="s">
        <v>835</v>
      </c>
      <c r="C106" s="42" t="s">
        <v>836</v>
      </c>
      <c r="D106" s="42" t="s">
        <v>837</v>
      </c>
      <c r="E106" s="42" t="s">
        <v>521</v>
      </c>
      <c r="F106" s="42" t="s">
        <v>838</v>
      </c>
      <c r="G106" s="42" t="s">
        <v>839</v>
      </c>
    </row>
    <row r="107" spans="1:7" ht="36" customHeight="1" x14ac:dyDescent="0.3">
      <c r="A107" s="42" t="s">
        <v>834</v>
      </c>
      <c r="B107" s="43" t="s">
        <v>840</v>
      </c>
      <c r="C107" s="42" t="s">
        <v>841</v>
      </c>
      <c r="D107" s="42" t="s">
        <v>842</v>
      </c>
      <c r="E107" s="42" t="s">
        <v>521</v>
      </c>
      <c r="F107" s="42" t="s">
        <v>843</v>
      </c>
      <c r="G107" s="42" t="s">
        <v>844</v>
      </c>
    </row>
    <row r="108" spans="1:7" ht="36" customHeight="1" x14ac:dyDescent="0.3">
      <c r="A108" s="42" t="s">
        <v>834</v>
      </c>
      <c r="B108" s="43" t="s">
        <v>845</v>
      </c>
      <c r="C108" s="42" t="s">
        <v>846</v>
      </c>
      <c r="D108" s="42" t="s">
        <v>847</v>
      </c>
      <c r="E108" s="42" t="s">
        <v>521</v>
      </c>
      <c r="F108" s="42" t="s">
        <v>848</v>
      </c>
      <c r="G108" s="42" t="s">
        <v>849</v>
      </c>
    </row>
    <row r="109" spans="1:7" ht="36" customHeight="1" x14ac:dyDescent="0.3">
      <c r="A109" s="42" t="s">
        <v>834</v>
      </c>
      <c r="B109" s="43" t="s">
        <v>850</v>
      </c>
      <c r="C109" s="42" t="s">
        <v>851</v>
      </c>
      <c r="D109" s="42" t="s">
        <v>852</v>
      </c>
      <c r="E109" s="42" t="s">
        <v>521</v>
      </c>
      <c r="F109" s="42" t="s">
        <v>853</v>
      </c>
      <c r="G109" s="42" t="s">
        <v>854</v>
      </c>
    </row>
    <row r="110" spans="1:7" ht="36" customHeight="1" x14ac:dyDescent="0.3">
      <c r="A110" s="42" t="s">
        <v>855</v>
      </c>
      <c r="B110" s="43" t="s">
        <v>856</v>
      </c>
      <c r="C110" s="42" t="s">
        <v>857</v>
      </c>
      <c r="D110" s="42" t="s">
        <v>858</v>
      </c>
      <c r="E110" s="42" t="s">
        <v>521</v>
      </c>
      <c r="F110" s="42" t="s">
        <v>859</v>
      </c>
      <c r="G110" s="42" t="s">
        <v>860</v>
      </c>
    </row>
    <row r="111" spans="1:7" ht="36" customHeight="1" x14ac:dyDescent="0.3">
      <c r="A111" s="42" t="s">
        <v>855</v>
      </c>
      <c r="B111" s="43" t="s">
        <v>861</v>
      </c>
      <c r="C111" s="42" t="s">
        <v>857</v>
      </c>
      <c r="D111" s="42" t="s">
        <v>862</v>
      </c>
      <c r="E111" s="42" t="s">
        <v>521</v>
      </c>
      <c r="F111" s="42" t="s">
        <v>586</v>
      </c>
      <c r="G111" s="42" t="s">
        <v>863</v>
      </c>
    </row>
    <row r="112" spans="1:7" ht="36" customHeight="1" x14ac:dyDescent="0.3">
      <c r="A112" s="42" t="s">
        <v>864</v>
      </c>
      <c r="B112" s="43" t="s">
        <v>865</v>
      </c>
      <c r="C112" s="42" t="s">
        <v>866</v>
      </c>
      <c r="D112" s="42" t="s">
        <v>867</v>
      </c>
      <c r="E112" s="42" t="s">
        <v>530</v>
      </c>
      <c r="F112" s="42" t="s">
        <v>496</v>
      </c>
      <c r="G112" s="42" t="s">
        <v>868</v>
      </c>
    </row>
    <row r="113" spans="1:7" ht="36" customHeight="1" x14ac:dyDescent="0.3">
      <c r="A113" s="42" t="s">
        <v>864</v>
      </c>
      <c r="B113" s="43" t="s">
        <v>869</v>
      </c>
      <c r="C113" s="42" t="s">
        <v>866</v>
      </c>
      <c r="D113" s="42" t="s">
        <v>870</v>
      </c>
      <c r="E113" s="42" t="s">
        <v>530</v>
      </c>
      <c r="F113" s="42" t="s">
        <v>496</v>
      </c>
      <c r="G113" s="42" t="s">
        <v>871</v>
      </c>
    </row>
    <row r="114" spans="1:7" ht="36" customHeight="1" x14ac:dyDescent="0.3">
      <c r="A114" s="42" t="s">
        <v>864</v>
      </c>
      <c r="B114" s="43" t="s">
        <v>872</v>
      </c>
      <c r="C114" s="42" t="s">
        <v>866</v>
      </c>
      <c r="D114" s="42" t="s">
        <v>873</v>
      </c>
      <c r="E114" s="42" t="s">
        <v>580</v>
      </c>
      <c r="F114" s="42" t="s">
        <v>496</v>
      </c>
      <c r="G114" s="42" t="s">
        <v>874</v>
      </c>
    </row>
    <row r="115" spans="1:7" ht="36" customHeight="1" x14ac:dyDescent="0.3">
      <c r="A115" s="42" t="s">
        <v>864</v>
      </c>
      <c r="B115" s="43" t="s">
        <v>875</v>
      </c>
      <c r="C115" s="42" t="s">
        <v>866</v>
      </c>
      <c r="D115" s="42" t="s">
        <v>876</v>
      </c>
      <c r="E115" s="42" t="s">
        <v>530</v>
      </c>
      <c r="F115" s="42" t="s">
        <v>496</v>
      </c>
      <c r="G115" s="42" t="s">
        <v>877</v>
      </c>
    </row>
    <row r="116" spans="1:7" ht="36" customHeight="1" x14ac:dyDescent="0.3">
      <c r="A116" s="42" t="s">
        <v>864</v>
      </c>
      <c r="B116" s="43" t="s">
        <v>878</v>
      </c>
      <c r="C116" s="42" t="s">
        <v>866</v>
      </c>
      <c r="D116" s="42" t="s">
        <v>879</v>
      </c>
      <c r="E116" s="42" t="s">
        <v>530</v>
      </c>
      <c r="F116" s="42" t="s">
        <v>496</v>
      </c>
      <c r="G116" s="42" t="s">
        <v>880</v>
      </c>
    </row>
    <row r="117" spans="1:7" ht="36" customHeight="1" x14ac:dyDescent="0.3">
      <c r="A117" s="42" t="s">
        <v>864</v>
      </c>
      <c r="B117" s="43" t="s">
        <v>881</v>
      </c>
      <c r="C117" s="42" t="s">
        <v>866</v>
      </c>
      <c r="D117" s="42" t="s">
        <v>882</v>
      </c>
      <c r="E117" s="42" t="s">
        <v>530</v>
      </c>
      <c r="F117" s="42" t="s">
        <v>496</v>
      </c>
      <c r="G117" s="42" t="s">
        <v>883</v>
      </c>
    </row>
    <row r="118" spans="1:7" ht="36" customHeight="1" x14ac:dyDescent="0.3">
      <c r="A118" s="42" t="s">
        <v>864</v>
      </c>
      <c r="B118" s="43" t="s">
        <v>884</v>
      </c>
      <c r="C118" s="42" t="s">
        <v>866</v>
      </c>
      <c r="D118" s="42" t="s">
        <v>885</v>
      </c>
      <c r="E118" s="42" t="s">
        <v>499</v>
      </c>
      <c r="F118" s="42" t="s">
        <v>496</v>
      </c>
      <c r="G118" s="42" t="s">
        <v>886</v>
      </c>
    </row>
    <row r="119" spans="1:7" ht="36" customHeight="1" x14ac:dyDescent="0.3">
      <c r="A119" s="42" t="s">
        <v>864</v>
      </c>
      <c r="B119" s="43" t="s">
        <v>887</v>
      </c>
      <c r="C119" s="42" t="s">
        <v>866</v>
      </c>
      <c r="D119" s="42" t="s">
        <v>888</v>
      </c>
      <c r="E119" s="42" t="s">
        <v>530</v>
      </c>
      <c r="F119" s="42" t="s">
        <v>496</v>
      </c>
      <c r="G119" s="42" t="s">
        <v>889</v>
      </c>
    </row>
    <row r="120" spans="1:7" ht="36" customHeight="1" x14ac:dyDescent="0.3">
      <c r="A120" s="42" t="s">
        <v>864</v>
      </c>
      <c r="B120" s="43" t="s">
        <v>890</v>
      </c>
      <c r="C120" s="42" t="s">
        <v>866</v>
      </c>
      <c r="D120" s="42" t="s">
        <v>891</v>
      </c>
      <c r="E120" s="42" t="s">
        <v>530</v>
      </c>
      <c r="F120" s="42" t="s">
        <v>496</v>
      </c>
      <c r="G120" s="42" t="s">
        <v>892</v>
      </c>
    </row>
    <row r="121" spans="1:7" ht="36" customHeight="1" x14ac:dyDescent="0.3">
      <c r="A121" s="42" t="s">
        <v>864</v>
      </c>
      <c r="B121" s="43" t="s">
        <v>893</v>
      </c>
      <c r="C121" s="42" t="s">
        <v>866</v>
      </c>
      <c r="D121" s="42" t="s">
        <v>894</v>
      </c>
      <c r="E121" s="42" t="s">
        <v>530</v>
      </c>
      <c r="F121" s="42" t="s">
        <v>496</v>
      </c>
      <c r="G121" s="42" t="s">
        <v>895</v>
      </c>
    </row>
    <row r="123" spans="1:7" ht="42" customHeight="1" x14ac:dyDescent="0.3">
      <c r="A123" s="68" t="s">
        <v>1067</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EB3B-553A-43EE-87D3-0961F3685F27}">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0" t="s">
        <v>1562</v>
      </c>
      <c r="B1" s="70"/>
      <c r="C1" s="70"/>
      <c r="D1" s="70"/>
      <c r="E1" s="70"/>
      <c r="F1" s="70"/>
      <c r="G1" s="70"/>
    </row>
    <row r="2" spans="1:7" x14ac:dyDescent="0.3">
      <c r="A2" s="57" t="s">
        <v>486</v>
      </c>
      <c r="B2" s="57" t="s">
        <v>1088</v>
      </c>
      <c r="C2" s="57" t="s">
        <v>489</v>
      </c>
      <c r="D2" s="58" t="s">
        <v>1089</v>
      </c>
      <c r="E2" s="57" t="s">
        <v>1090</v>
      </c>
      <c r="F2" s="57" t="s">
        <v>1091</v>
      </c>
      <c r="G2" s="58" t="s">
        <v>1092</v>
      </c>
    </row>
    <row r="3" spans="1:7" ht="28.8" x14ac:dyDescent="0.3">
      <c r="A3" t="s">
        <v>493</v>
      </c>
      <c r="B3" t="s">
        <v>494</v>
      </c>
      <c r="C3" t="s">
        <v>496</v>
      </c>
      <c r="D3" s="56" t="s">
        <v>496</v>
      </c>
      <c r="E3" s="59"/>
      <c r="G3" s="56" t="s">
        <v>1093</v>
      </c>
    </row>
    <row r="4" spans="1:7" ht="28.8" x14ac:dyDescent="0.3">
      <c r="A4" t="s">
        <v>498</v>
      </c>
      <c r="B4" t="s">
        <v>494</v>
      </c>
      <c r="C4" t="s">
        <v>496</v>
      </c>
      <c r="D4" s="56" t="s">
        <v>496</v>
      </c>
      <c r="E4" s="59"/>
      <c r="G4" s="56" t="s">
        <v>1093</v>
      </c>
    </row>
    <row r="5" spans="1:7" ht="28.8" x14ac:dyDescent="0.3">
      <c r="A5" t="s">
        <v>501</v>
      </c>
      <c r="B5" t="s">
        <v>494</v>
      </c>
      <c r="C5" t="s">
        <v>503</v>
      </c>
      <c r="D5" s="56" t="s">
        <v>496</v>
      </c>
      <c r="E5" s="59"/>
      <c r="G5" s="56" t="s">
        <v>1093</v>
      </c>
    </row>
    <row r="6" spans="1:7" ht="28.8" x14ac:dyDescent="0.3">
      <c r="A6" t="s">
        <v>506</v>
      </c>
      <c r="B6" t="s">
        <v>494</v>
      </c>
      <c r="C6" t="s">
        <v>499</v>
      </c>
      <c r="D6" s="56" t="s">
        <v>496</v>
      </c>
      <c r="E6" s="59"/>
      <c r="G6" s="56" t="s">
        <v>1093</v>
      </c>
    </row>
    <row r="7" spans="1:7" ht="28.8" x14ac:dyDescent="0.3">
      <c r="A7" t="s">
        <v>509</v>
      </c>
      <c r="B7" t="s">
        <v>494</v>
      </c>
      <c r="C7" t="s">
        <v>510</v>
      </c>
      <c r="D7" s="56" t="s">
        <v>496</v>
      </c>
      <c r="E7" s="59"/>
      <c r="G7" s="56" t="s">
        <v>1093</v>
      </c>
    </row>
    <row r="8" spans="1:7" ht="28.8" x14ac:dyDescent="0.3">
      <c r="A8" t="s">
        <v>512</v>
      </c>
      <c r="B8" t="s">
        <v>494</v>
      </c>
      <c r="C8" t="s">
        <v>514</v>
      </c>
      <c r="D8" s="56" t="s">
        <v>496</v>
      </c>
      <c r="E8" s="59"/>
      <c r="G8" s="56" t="s">
        <v>1093</v>
      </c>
    </row>
    <row r="9" spans="1:7" ht="28.8" x14ac:dyDescent="0.3">
      <c r="A9" t="s">
        <v>516</v>
      </c>
      <c r="B9" t="s">
        <v>494</v>
      </c>
      <c r="C9" t="s">
        <v>514</v>
      </c>
      <c r="D9" s="56" t="s">
        <v>496</v>
      </c>
      <c r="E9" s="59"/>
      <c r="G9" s="56" t="s">
        <v>1093</v>
      </c>
    </row>
    <row r="10" spans="1:7" ht="28.8" x14ac:dyDescent="0.3">
      <c r="A10" t="s">
        <v>519</v>
      </c>
      <c r="B10" t="s">
        <v>494</v>
      </c>
      <c r="C10" t="s">
        <v>521</v>
      </c>
      <c r="D10" s="56" t="s">
        <v>522</v>
      </c>
      <c r="E10" s="59"/>
      <c r="G10" s="56" t="s">
        <v>1093</v>
      </c>
    </row>
    <row r="11" spans="1:7" ht="28.8" x14ac:dyDescent="0.3">
      <c r="A11" t="s">
        <v>524</v>
      </c>
      <c r="B11" t="s">
        <v>494</v>
      </c>
      <c r="C11" t="s">
        <v>526</v>
      </c>
      <c r="D11" s="56" t="s">
        <v>496</v>
      </c>
      <c r="E11" s="59"/>
      <c r="G11" s="56" t="s">
        <v>1093</v>
      </c>
    </row>
    <row r="12" spans="1:7" ht="28.8" x14ac:dyDescent="0.3">
      <c r="A12" t="s">
        <v>528</v>
      </c>
      <c r="B12" t="s">
        <v>494</v>
      </c>
      <c r="C12" t="s">
        <v>530</v>
      </c>
      <c r="D12" s="56" t="s">
        <v>496</v>
      </c>
      <c r="E12" s="59"/>
      <c r="G12" s="56" t="s">
        <v>1093</v>
      </c>
    </row>
    <row r="13" spans="1:7" ht="43.2" x14ac:dyDescent="0.3">
      <c r="A13" t="s">
        <v>532</v>
      </c>
      <c r="B13" t="s">
        <v>494</v>
      </c>
      <c r="C13" t="s">
        <v>534</v>
      </c>
      <c r="D13" s="56" t="s">
        <v>1094</v>
      </c>
      <c r="E13" s="59"/>
      <c r="G13" s="56" t="s">
        <v>1563</v>
      </c>
    </row>
    <row r="14" spans="1:7" ht="28.8" x14ac:dyDescent="0.3">
      <c r="A14" t="s">
        <v>537</v>
      </c>
      <c r="B14" t="s">
        <v>494</v>
      </c>
      <c r="C14" t="s">
        <v>534</v>
      </c>
      <c r="D14" s="56" t="s">
        <v>539</v>
      </c>
      <c r="E14" s="59"/>
      <c r="G14" s="56" t="s">
        <v>1093</v>
      </c>
    </row>
    <row r="15" spans="1:7" ht="28.8" x14ac:dyDescent="0.3">
      <c r="A15" t="s">
        <v>541</v>
      </c>
      <c r="B15" t="s">
        <v>494</v>
      </c>
      <c r="C15" t="s">
        <v>521</v>
      </c>
      <c r="D15" s="56" t="s">
        <v>543</v>
      </c>
      <c r="E15" s="59"/>
      <c r="G15" s="56" t="s">
        <v>1093</v>
      </c>
    </row>
    <row r="16" spans="1:7" ht="28.8" x14ac:dyDescent="0.3">
      <c r="A16" t="s">
        <v>545</v>
      </c>
      <c r="B16" t="s">
        <v>494</v>
      </c>
      <c r="C16" t="s">
        <v>521</v>
      </c>
      <c r="D16" s="56" t="s">
        <v>547</v>
      </c>
      <c r="E16" s="59"/>
      <c r="G16" s="56" t="s">
        <v>1093</v>
      </c>
    </row>
    <row r="17" spans="1:7" ht="28.8" x14ac:dyDescent="0.3">
      <c r="A17" t="s">
        <v>548</v>
      </c>
      <c r="B17" t="s">
        <v>494</v>
      </c>
      <c r="C17" t="s">
        <v>530</v>
      </c>
      <c r="D17" s="56" t="s">
        <v>496</v>
      </c>
      <c r="E17" s="59"/>
      <c r="G17" s="56" t="s">
        <v>1093</v>
      </c>
    </row>
    <row r="18" spans="1:7" ht="28.8" x14ac:dyDescent="0.3">
      <c r="A18" t="s">
        <v>551</v>
      </c>
      <c r="B18" t="s">
        <v>494</v>
      </c>
      <c r="C18" t="s">
        <v>521</v>
      </c>
      <c r="D18" s="56" t="s">
        <v>553</v>
      </c>
      <c r="E18" s="59"/>
      <c r="G18" s="56" t="s">
        <v>1093</v>
      </c>
    </row>
    <row r="19" spans="1:7" ht="43.2" x14ac:dyDescent="0.3">
      <c r="A19" t="s">
        <v>555</v>
      </c>
      <c r="B19" t="s">
        <v>494</v>
      </c>
      <c r="C19" t="s">
        <v>521</v>
      </c>
      <c r="D19" s="56" t="s">
        <v>557</v>
      </c>
      <c r="E19" s="59"/>
      <c r="G19" s="56" t="s">
        <v>1093</v>
      </c>
    </row>
    <row r="20" spans="1:7" ht="28.8" x14ac:dyDescent="0.3">
      <c r="A20" t="s">
        <v>558</v>
      </c>
      <c r="B20" t="s">
        <v>494</v>
      </c>
      <c r="C20" t="s">
        <v>521</v>
      </c>
      <c r="D20" s="56" t="s">
        <v>560</v>
      </c>
      <c r="E20" s="59"/>
      <c r="G20" s="56" t="s">
        <v>1093</v>
      </c>
    </row>
    <row r="21" spans="1:7" ht="28.8" x14ac:dyDescent="0.3">
      <c r="A21" t="s">
        <v>562</v>
      </c>
      <c r="B21" t="s">
        <v>494</v>
      </c>
      <c r="C21" t="s">
        <v>499</v>
      </c>
      <c r="D21" s="56" t="s">
        <v>496</v>
      </c>
      <c r="E21" s="59"/>
      <c r="G21" s="56" t="s">
        <v>1093</v>
      </c>
    </row>
    <row r="22" spans="1:7" ht="28.8" x14ac:dyDescent="0.3">
      <c r="A22" t="s">
        <v>565</v>
      </c>
      <c r="B22" t="s">
        <v>494</v>
      </c>
      <c r="C22" t="s">
        <v>521</v>
      </c>
      <c r="D22" s="56" t="s">
        <v>567</v>
      </c>
      <c r="E22" s="59"/>
      <c r="G22" s="56" t="s">
        <v>1093</v>
      </c>
    </row>
    <row r="23" spans="1:7" ht="28.8" x14ac:dyDescent="0.3">
      <c r="A23" t="s">
        <v>5</v>
      </c>
      <c r="B23" t="s">
        <v>570</v>
      </c>
      <c r="C23" t="s">
        <v>514</v>
      </c>
      <c r="D23" s="56" t="s">
        <v>496</v>
      </c>
      <c r="E23" s="59"/>
      <c r="G23" s="56" t="s">
        <v>1093</v>
      </c>
    </row>
    <row r="24" spans="1:7" ht="28.8" x14ac:dyDescent="0.3">
      <c r="A24" t="s">
        <v>573</v>
      </c>
      <c r="B24" t="s">
        <v>570</v>
      </c>
      <c r="C24" t="s">
        <v>514</v>
      </c>
      <c r="D24" s="56" t="s">
        <v>496</v>
      </c>
      <c r="E24" s="59"/>
      <c r="G24" s="56" t="s">
        <v>1093</v>
      </c>
    </row>
    <row r="25" spans="1:7" ht="28.8" x14ac:dyDescent="0.3">
      <c r="A25" t="s">
        <v>6</v>
      </c>
      <c r="B25" t="s">
        <v>570</v>
      </c>
      <c r="C25" t="s">
        <v>514</v>
      </c>
      <c r="D25" s="56" t="s">
        <v>496</v>
      </c>
      <c r="E25" s="59"/>
      <c r="G25" s="56" t="s">
        <v>1093</v>
      </c>
    </row>
    <row r="26" spans="1:7" ht="28.8" x14ac:dyDescent="0.3">
      <c r="A26" t="s">
        <v>7</v>
      </c>
      <c r="B26" t="s">
        <v>570</v>
      </c>
      <c r="C26" t="s">
        <v>514</v>
      </c>
      <c r="D26" s="56" t="s">
        <v>496</v>
      </c>
      <c r="E26" s="59"/>
      <c r="G26" s="56" t="s">
        <v>1093</v>
      </c>
    </row>
    <row r="27" spans="1:7" ht="28.8" x14ac:dyDescent="0.3">
      <c r="A27" t="s">
        <v>8</v>
      </c>
      <c r="B27" t="s">
        <v>570</v>
      </c>
      <c r="C27" t="s">
        <v>580</v>
      </c>
      <c r="D27" s="56" t="s">
        <v>496</v>
      </c>
      <c r="E27" s="59"/>
      <c r="G27" s="56" t="s">
        <v>1093</v>
      </c>
    </row>
    <row r="28" spans="1:7" ht="28.8" x14ac:dyDescent="0.3">
      <c r="A28" t="s">
        <v>9</v>
      </c>
      <c r="B28" t="s">
        <v>570</v>
      </c>
      <c r="C28" t="s">
        <v>580</v>
      </c>
      <c r="D28" s="56" t="s">
        <v>496</v>
      </c>
      <c r="E28" s="59"/>
      <c r="G28" s="56" t="s">
        <v>1093</v>
      </c>
    </row>
    <row r="29" spans="1:7" ht="28.8" x14ac:dyDescent="0.3">
      <c r="A29" t="s">
        <v>10</v>
      </c>
      <c r="B29" t="s">
        <v>570</v>
      </c>
      <c r="C29" t="s">
        <v>499</v>
      </c>
      <c r="D29" s="56" t="s">
        <v>496</v>
      </c>
      <c r="E29" s="59"/>
      <c r="G29" s="56" t="s">
        <v>1093</v>
      </c>
    </row>
    <row r="30" spans="1:7" ht="28.8" x14ac:dyDescent="0.3">
      <c r="A30" t="s">
        <v>11</v>
      </c>
      <c r="B30" t="s">
        <v>570</v>
      </c>
      <c r="C30" t="s">
        <v>499</v>
      </c>
      <c r="D30" s="56" t="s">
        <v>496</v>
      </c>
      <c r="E30" s="59"/>
      <c r="G30" s="56" t="s">
        <v>1093</v>
      </c>
    </row>
    <row r="31" spans="1:7" ht="28.8" x14ac:dyDescent="0.3">
      <c r="A31" t="s">
        <v>12</v>
      </c>
      <c r="B31" t="s">
        <v>570</v>
      </c>
      <c r="C31" t="s">
        <v>521</v>
      </c>
      <c r="D31" s="56" t="s">
        <v>1095</v>
      </c>
      <c r="E31" s="59">
        <v>0</v>
      </c>
      <c r="F31" t="s">
        <v>1096</v>
      </c>
      <c r="G31" s="56" t="s">
        <v>1564</v>
      </c>
    </row>
    <row r="32" spans="1:7" ht="28.8" x14ac:dyDescent="0.3">
      <c r="A32" t="s">
        <v>12</v>
      </c>
      <c r="B32" t="s">
        <v>570</v>
      </c>
      <c r="C32" t="s">
        <v>521</v>
      </c>
      <c r="D32" s="56" t="s">
        <v>1097</v>
      </c>
      <c r="E32" s="59">
        <v>100</v>
      </c>
      <c r="F32" t="s">
        <v>1098</v>
      </c>
      <c r="G32" s="56" t="s">
        <v>1564</v>
      </c>
    </row>
    <row r="33" spans="1:7" ht="43.2" x14ac:dyDescent="0.3">
      <c r="A33" t="s">
        <v>12</v>
      </c>
      <c r="B33" t="s">
        <v>570</v>
      </c>
      <c r="C33" t="s">
        <v>521</v>
      </c>
      <c r="D33" s="56" t="s">
        <v>1099</v>
      </c>
      <c r="E33" s="59" t="s">
        <v>1100</v>
      </c>
      <c r="F33" t="s">
        <v>1101</v>
      </c>
      <c r="G33" s="56" t="s">
        <v>1565</v>
      </c>
    </row>
    <row r="34" spans="1:7" ht="28.8" x14ac:dyDescent="0.3">
      <c r="A34" t="s">
        <v>13</v>
      </c>
      <c r="B34" t="s">
        <v>570</v>
      </c>
      <c r="C34" t="s">
        <v>526</v>
      </c>
      <c r="D34" s="56" t="s">
        <v>496</v>
      </c>
      <c r="E34" s="59"/>
      <c r="G34" s="56" t="s">
        <v>1093</v>
      </c>
    </row>
    <row r="35" spans="1:7" ht="28.8" x14ac:dyDescent="0.3">
      <c r="A35" t="s">
        <v>14</v>
      </c>
      <c r="B35" t="s">
        <v>570</v>
      </c>
      <c r="C35" t="s">
        <v>521</v>
      </c>
      <c r="D35" s="56" t="s">
        <v>1095</v>
      </c>
      <c r="E35" s="59">
        <v>0</v>
      </c>
      <c r="F35" t="s">
        <v>1103</v>
      </c>
      <c r="G35" s="56" t="s">
        <v>1564</v>
      </c>
    </row>
    <row r="36" spans="1:7" ht="28.8" x14ac:dyDescent="0.3">
      <c r="A36" t="s">
        <v>14</v>
      </c>
      <c r="B36" t="s">
        <v>570</v>
      </c>
      <c r="C36" t="s">
        <v>521</v>
      </c>
      <c r="D36" s="56" t="s">
        <v>1097</v>
      </c>
      <c r="E36" s="59">
        <v>100</v>
      </c>
      <c r="F36" t="s">
        <v>1104</v>
      </c>
      <c r="G36" s="56" t="s">
        <v>1564</v>
      </c>
    </row>
    <row r="37" spans="1:7" ht="43.2" x14ac:dyDescent="0.3">
      <c r="A37" t="s">
        <v>14</v>
      </c>
      <c r="B37" t="s">
        <v>570</v>
      </c>
      <c r="C37" t="s">
        <v>521</v>
      </c>
      <c r="D37" s="56" t="s">
        <v>1099</v>
      </c>
      <c r="E37" s="59" t="s">
        <v>1100</v>
      </c>
      <c r="F37" t="s">
        <v>1105</v>
      </c>
      <c r="G37" s="56" t="s">
        <v>1565</v>
      </c>
    </row>
    <row r="38" spans="1:7" ht="28.8" x14ac:dyDescent="0.3">
      <c r="A38" t="s">
        <v>15</v>
      </c>
      <c r="B38" t="s">
        <v>570</v>
      </c>
      <c r="C38" t="s">
        <v>530</v>
      </c>
      <c r="D38" s="56" t="s">
        <v>496</v>
      </c>
      <c r="E38" s="59"/>
      <c r="G38" s="56" t="s">
        <v>1093</v>
      </c>
    </row>
    <row r="39" spans="1:7" ht="28.8" x14ac:dyDescent="0.3">
      <c r="A39" t="s">
        <v>16</v>
      </c>
      <c r="B39" t="s">
        <v>570</v>
      </c>
      <c r="C39" t="s">
        <v>580</v>
      </c>
      <c r="D39" s="56" t="s">
        <v>496</v>
      </c>
      <c r="E39" s="59"/>
      <c r="G39" s="56" t="s">
        <v>1093</v>
      </c>
    </row>
    <row r="40" spans="1:7" ht="28.8" x14ac:dyDescent="0.3">
      <c r="A40" t="s">
        <v>17</v>
      </c>
      <c r="B40" t="s">
        <v>570</v>
      </c>
      <c r="C40" t="s">
        <v>521</v>
      </c>
      <c r="D40" s="56" t="s">
        <v>1097</v>
      </c>
      <c r="E40" s="59">
        <v>0</v>
      </c>
      <c r="F40" t="s">
        <v>1106</v>
      </c>
      <c r="G40" s="56" t="s">
        <v>1564</v>
      </c>
    </row>
    <row r="41" spans="1:7" ht="28.8" x14ac:dyDescent="0.3">
      <c r="A41" t="s">
        <v>17</v>
      </c>
      <c r="B41" t="s">
        <v>570</v>
      </c>
      <c r="C41" t="s">
        <v>521</v>
      </c>
      <c r="D41" s="56" t="s">
        <v>1107</v>
      </c>
      <c r="E41" s="59">
        <v>33</v>
      </c>
      <c r="F41" t="s">
        <v>1108</v>
      </c>
      <c r="G41" s="56" t="s">
        <v>1564</v>
      </c>
    </row>
    <row r="42" spans="1:7" ht="28.8" x14ac:dyDescent="0.3">
      <c r="A42" t="s">
        <v>17</v>
      </c>
      <c r="B42" t="s">
        <v>570</v>
      </c>
      <c r="C42" t="s">
        <v>521</v>
      </c>
      <c r="D42" s="56" t="s">
        <v>1109</v>
      </c>
      <c r="E42" s="59">
        <v>67</v>
      </c>
      <c r="F42" t="s">
        <v>1110</v>
      </c>
      <c r="G42" s="56" t="s">
        <v>1564</v>
      </c>
    </row>
    <row r="43" spans="1:7" ht="28.8" x14ac:dyDescent="0.3">
      <c r="A43" t="s">
        <v>17</v>
      </c>
      <c r="B43" t="s">
        <v>570</v>
      </c>
      <c r="C43" t="s">
        <v>521</v>
      </c>
      <c r="D43" s="56" t="s">
        <v>1111</v>
      </c>
      <c r="E43" s="59">
        <v>100</v>
      </c>
      <c r="F43" t="s">
        <v>1112</v>
      </c>
      <c r="G43" s="56" t="s">
        <v>1564</v>
      </c>
    </row>
    <row r="44" spans="1:7" ht="28.8" x14ac:dyDescent="0.3">
      <c r="A44" t="s">
        <v>18</v>
      </c>
      <c r="B44" t="s">
        <v>570</v>
      </c>
      <c r="C44" t="s">
        <v>521</v>
      </c>
      <c r="D44" s="56" t="s">
        <v>1113</v>
      </c>
      <c r="E44" s="59">
        <v>0</v>
      </c>
      <c r="F44" t="s">
        <v>1114</v>
      </c>
      <c r="G44" s="56" t="s">
        <v>1564</v>
      </c>
    </row>
    <row r="45" spans="1:7" ht="28.8" x14ac:dyDescent="0.3">
      <c r="A45" t="s">
        <v>18</v>
      </c>
      <c r="B45" t="s">
        <v>570</v>
      </c>
      <c r="C45" t="s">
        <v>521</v>
      </c>
      <c r="D45" s="56" t="s">
        <v>1115</v>
      </c>
      <c r="E45" s="59">
        <v>25</v>
      </c>
      <c r="F45" t="s">
        <v>1116</v>
      </c>
      <c r="G45" s="56" t="s">
        <v>1564</v>
      </c>
    </row>
    <row r="46" spans="1:7" ht="28.8" x14ac:dyDescent="0.3">
      <c r="A46" t="s">
        <v>18</v>
      </c>
      <c r="B46" t="s">
        <v>570</v>
      </c>
      <c r="C46" t="s">
        <v>521</v>
      </c>
      <c r="D46" s="56" t="s">
        <v>1117</v>
      </c>
      <c r="E46" s="59">
        <v>100</v>
      </c>
      <c r="F46" t="s">
        <v>1118</v>
      </c>
      <c r="G46" s="56" t="s">
        <v>1564</v>
      </c>
    </row>
    <row r="47" spans="1:7" ht="43.2" x14ac:dyDescent="0.3">
      <c r="A47" t="s">
        <v>18</v>
      </c>
      <c r="B47" t="s">
        <v>570</v>
      </c>
      <c r="C47" t="s">
        <v>521</v>
      </c>
      <c r="D47" s="56" t="s">
        <v>1119</v>
      </c>
      <c r="E47" s="59" t="s">
        <v>1100</v>
      </c>
      <c r="F47" t="s">
        <v>1120</v>
      </c>
      <c r="G47" s="56" t="s">
        <v>1565</v>
      </c>
    </row>
    <row r="48" spans="1:7" ht="43.2" x14ac:dyDescent="0.3">
      <c r="A48" t="s">
        <v>602</v>
      </c>
      <c r="B48" t="s">
        <v>603</v>
      </c>
      <c r="C48" t="s">
        <v>521</v>
      </c>
      <c r="D48" s="56" t="s">
        <v>1095</v>
      </c>
      <c r="E48" s="59">
        <v>100</v>
      </c>
      <c r="F48" t="s">
        <v>1121</v>
      </c>
      <c r="G48" s="56" t="s">
        <v>1566</v>
      </c>
    </row>
    <row r="49" spans="1:7" ht="43.2" x14ac:dyDescent="0.3">
      <c r="A49" t="s">
        <v>602</v>
      </c>
      <c r="B49" t="s">
        <v>603</v>
      </c>
      <c r="C49" t="s">
        <v>521</v>
      </c>
      <c r="D49" s="56" t="s">
        <v>1097</v>
      </c>
      <c r="E49" s="59">
        <v>50</v>
      </c>
      <c r="F49" t="s">
        <v>1122</v>
      </c>
      <c r="G49" s="56" t="s">
        <v>1566</v>
      </c>
    </row>
    <row r="50" spans="1:7" ht="28.8" x14ac:dyDescent="0.3">
      <c r="A50" t="s">
        <v>607</v>
      </c>
      <c r="B50" t="s">
        <v>603</v>
      </c>
      <c r="C50" t="s">
        <v>521</v>
      </c>
      <c r="D50" s="56" t="s">
        <v>609</v>
      </c>
      <c r="E50" s="59"/>
      <c r="G50" s="56" t="s">
        <v>1093</v>
      </c>
    </row>
    <row r="51" spans="1:7" x14ac:dyDescent="0.3">
      <c r="A51" t="s">
        <v>611</v>
      </c>
      <c r="B51" t="s">
        <v>603</v>
      </c>
      <c r="C51" t="s">
        <v>521</v>
      </c>
      <c r="D51" s="56" t="s">
        <v>1123</v>
      </c>
      <c r="E51" s="59">
        <v>100</v>
      </c>
      <c r="F51" t="s">
        <v>1124</v>
      </c>
    </row>
    <row r="52" spans="1:7" x14ac:dyDescent="0.3">
      <c r="A52" t="s">
        <v>611</v>
      </c>
      <c r="B52" t="s">
        <v>603</v>
      </c>
      <c r="C52" t="s">
        <v>521</v>
      </c>
      <c r="D52" s="56" t="s">
        <v>1125</v>
      </c>
      <c r="E52" s="59">
        <v>50</v>
      </c>
      <c r="F52" t="s">
        <v>1126</v>
      </c>
    </row>
    <row r="53" spans="1:7" x14ac:dyDescent="0.3">
      <c r="A53" t="s">
        <v>611</v>
      </c>
      <c r="B53" t="s">
        <v>603</v>
      </c>
      <c r="C53" t="s">
        <v>521</v>
      </c>
      <c r="D53" s="56" t="s">
        <v>1099</v>
      </c>
      <c r="E53" s="59" t="s">
        <v>1100</v>
      </c>
      <c r="F53" t="s">
        <v>1127</v>
      </c>
      <c r="G53" s="56" t="s">
        <v>1102</v>
      </c>
    </row>
    <row r="54" spans="1:7" ht="43.2" x14ac:dyDescent="0.3">
      <c r="A54" t="s">
        <v>615</v>
      </c>
      <c r="B54" t="s">
        <v>603</v>
      </c>
      <c r="C54" t="s">
        <v>521</v>
      </c>
      <c r="D54" s="56" t="s">
        <v>1095</v>
      </c>
      <c r="E54" s="59">
        <v>100</v>
      </c>
      <c r="F54" t="s">
        <v>1128</v>
      </c>
      <c r="G54" s="56" t="s">
        <v>1567</v>
      </c>
    </row>
    <row r="55" spans="1:7" ht="43.2" x14ac:dyDescent="0.3">
      <c r="A55" t="s">
        <v>615</v>
      </c>
      <c r="B55" t="s">
        <v>603</v>
      </c>
      <c r="C55" t="s">
        <v>521</v>
      </c>
      <c r="D55" s="56" t="s">
        <v>1097</v>
      </c>
      <c r="E55" s="59">
        <v>50</v>
      </c>
      <c r="F55" t="s">
        <v>1129</v>
      </c>
      <c r="G55" s="56" t="s">
        <v>1567</v>
      </c>
    </row>
    <row r="56" spans="1:7" ht="57.6" x14ac:dyDescent="0.3">
      <c r="A56" t="s">
        <v>615</v>
      </c>
      <c r="B56" t="s">
        <v>603</v>
      </c>
      <c r="C56" t="s">
        <v>521</v>
      </c>
      <c r="D56" s="56" t="s">
        <v>1099</v>
      </c>
      <c r="E56" s="59" t="s">
        <v>1100</v>
      </c>
      <c r="F56" t="s">
        <v>1130</v>
      </c>
      <c r="G56" s="56" t="s">
        <v>1568</v>
      </c>
    </row>
    <row r="57" spans="1:7" x14ac:dyDescent="0.3">
      <c r="A57" t="s">
        <v>617</v>
      </c>
      <c r="B57" t="s">
        <v>603</v>
      </c>
      <c r="C57" t="s">
        <v>521</v>
      </c>
      <c r="D57" s="56" t="s">
        <v>1131</v>
      </c>
      <c r="E57" s="59">
        <v>100</v>
      </c>
      <c r="F57" t="s">
        <v>1132</v>
      </c>
    </row>
    <row r="58" spans="1:7" x14ac:dyDescent="0.3">
      <c r="A58" t="s">
        <v>617</v>
      </c>
      <c r="B58" t="s">
        <v>603</v>
      </c>
      <c r="C58" t="s">
        <v>521</v>
      </c>
      <c r="D58" s="56" t="s">
        <v>1133</v>
      </c>
      <c r="E58" s="59">
        <v>100</v>
      </c>
      <c r="F58" t="s">
        <v>1134</v>
      </c>
    </row>
    <row r="59" spans="1:7" x14ac:dyDescent="0.3">
      <c r="A59" t="s">
        <v>617</v>
      </c>
      <c r="B59" t="s">
        <v>603</v>
      </c>
      <c r="C59" t="s">
        <v>521</v>
      </c>
      <c r="D59" s="56" t="s">
        <v>1135</v>
      </c>
      <c r="E59" s="59">
        <v>100</v>
      </c>
      <c r="F59" t="s">
        <v>1136</v>
      </c>
    </row>
    <row r="60" spans="1:7" x14ac:dyDescent="0.3">
      <c r="A60" t="s">
        <v>617</v>
      </c>
      <c r="B60" t="s">
        <v>603</v>
      </c>
      <c r="C60" t="s">
        <v>521</v>
      </c>
      <c r="D60" s="56" t="s">
        <v>1137</v>
      </c>
      <c r="E60" s="59">
        <v>100</v>
      </c>
      <c r="F60" t="s">
        <v>1138</v>
      </c>
    </row>
    <row r="61" spans="1:7" x14ac:dyDescent="0.3">
      <c r="A61" t="s">
        <v>617</v>
      </c>
      <c r="B61" t="s">
        <v>603</v>
      </c>
      <c r="C61" t="s">
        <v>521</v>
      </c>
      <c r="D61" s="56" t="s">
        <v>1099</v>
      </c>
      <c r="E61" s="59" t="s">
        <v>1100</v>
      </c>
      <c r="F61" t="s">
        <v>1139</v>
      </c>
      <c r="G61" s="56" t="s">
        <v>1102</v>
      </c>
    </row>
    <row r="62" spans="1:7" x14ac:dyDescent="0.3">
      <c r="A62" t="s">
        <v>621</v>
      </c>
      <c r="B62" t="s">
        <v>622</v>
      </c>
      <c r="C62" t="s">
        <v>624</v>
      </c>
      <c r="D62" s="56" t="s">
        <v>1140</v>
      </c>
      <c r="E62" s="59"/>
      <c r="G62" s="56" t="s">
        <v>1141</v>
      </c>
    </row>
    <row r="63" spans="1:7" x14ac:dyDescent="0.3">
      <c r="A63" t="s">
        <v>627</v>
      </c>
      <c r="B63" t="s">
        <v>622</v>
      </c>
      <c r="C63" t="s">
        <v>530</v>
      </c>
      <c r="D63" s="56" t="s">
        <v>1142</v>
      </c>
      <c r="E63" s="59"/>
      <c r="G63" s="56" t="s">
        <v>1143</v>
      </c>
    </row>
    <row r="64" spans="1:7" x14ac:dyDescent="0.3">
      <c r="A64" t="s">
        <v>629</v>
      </c>
      <c r="B64" t="s">
        <v>622</v>
      </c>
      <c r="C64" t="s">
        <v>624</v>
      </c>
      <c r="D64" s="56" t="s">
        <v>1140</v>
      </c>
      <c r="E64" s="59"/>
      <c r="G64" s="56" t="s">
        <v>1141</v>
      </c>
    </row>
    <row r="65" spans="1:7" x14ac:dyDescent="0.3">
      <c r="A65" t="s">
        <v>632</v>
      </c>
      <c r="B65" t="s">
        <v>622</v>
      </c>
      <c r="C65" t="s">
        <v>521</v>
      </c>
      <c r="D65" s="56" t="s">
        <v>1144</v>
      </c>
      <c r="E65" s="59">
        <v>100</v>
      </c>
      <c r="F65" t="s">
        <v>1145</v>
      </c>
    </row>
    <row r="66" spans="1:7" x14ac:dyDescent="0.3">
      <c r="A66" t="s">
        <v>632</v>
      </c>
      <c r="B66" t="s">
        <v>622</v>
      </c>
      <c r="C66" t="s">
        <v>521</v>
      </c>
      <c r="D66" s="56" t="s">
        <v>1146</v>
      </c>
      <c r="E66" s="59">
        <v>75</v>
      </c>
      <c r="F66" t="s">
        <v>1147</v>
      </c>
    </row>
    <row r="67" spans="1:7" x14ac:dyDescent="0.3">
      <c r="A67" t="s">
        <v>632</v>
      </c>
      <c r="B67" t="s">
        <v>622</v>
      </c>
      <c r="C67" t="s">
        <v>521</v>
      </c>
      <c r="D67" s="56" t="s">
        <v>1148</v>
      </c>
      <c r="E67" s="59">
        <v>50</v>
      </c>
      <c r="F67" t="s">
        <v>1149</v>
      </c>
    </row>
    <row r="68" spans="1:7" x14ac:dyDescent="0.3">
      <c r="A68" t="s">
        <v>632</v>
      </c>
      <c r="B68" t="s">
        <v>622</v>
      </c>
      <c r="C68" t="s">
        <v>521</v>
      </c>
      <c r="D68" s="56" t="s">
        <v>1150</v>
      </c>
      <c r="E68" s="59">
        <v>25</v>
      </c>
      <c r="F68" t="s">
        <v>1151</v>
      </c>
    </row>
    <row r="69" spans="1:7" x14ac:dyDescent="0.3">
      <c r="A69" t="s">
        <v>632</v>
      </c>
      <c r="B69" t="s">
        <v>622</v>
      </c>
      <c r="C69" t="s">
        <v>521</v>
      </c>
      <c r="D69" s="56" t="s">
        <v>1152</v>
      </c>
      <c r="E69" s="59" t="s">
        <v>1100</v>
      </c>
      <c r="F69" t="s">
        <v>1153</v>
      </c>
      <c r="G69" s="56" t="s">
        <v>1102</v>
      </c>
    </row>
    <row r="70" spans="1:7" x14ac:dyDescent="0.3">
      <c r="A70" t="s">
        <v>635</v>
      </c>
      <c r="B70" t="s">
        <v>622</v>
      </c>
      <c r="C70" t="s">
        <v>521</v>
      </c>
      <c r="D70" s="56" t="s">
        <v>1154</v>
      </c>
      <c r="E70" s="59">
        <v>0</v>
      </c>
      <c r="F70" t="s">
        <v>1155</v>
      </c>
    </row>
    <row r="71" spans="1:7" x14ac:dyDescent="0.3">
      <c r="A71" t="s">
        <v>635</v>
      </c>
      <c r="B71" t="s">
        <v>622</v>
      </c>
      <c r="C71" t="s">
        <v>521</v>
      </c>
      <c r="D71" s="56" t="s">
        <v>1156</v>
      </c>
      <c r="E71" s="59">
        <v>33</v>
      </c>
      <c r="F71" t="s">
        <v>1157</v>
      </c>
    </row>
    <row r="72" spans="1:7" x14ac:dyDescent="0.3">
      <c r="A72" t="s">
        <v>635</v>
      </c>
      <c r="B72" t="s">
        <v>622</v>
      </c>
      <c r="C72" t="s">
        <v>521</v>
      </c>
      <c r="D72" s="56" t="s">
        <v>1158</v>
      </c>
      <c r="E72" s="59">
        <v>67</v>
      </c>
      <c r="F72" t="s">
        <v>1159</v>
      </c>
    </row>
    <row r="73" spans="1:7" x14ac:dyDescent="0.3">
      <c r="A73" t="s">
        <v>635</v>
      </c>
      <c r="B73" t="s">
        <v>622</v>
      </c>
      <c r="C73" t="s">
        <v>521</v>
      </c>
      <c r="D73" s="56" t="s">
        <v>1160</v>
      </c>
      <c r="E73" s="59">
        <v>100</v>
      </c>
      <c r="F73" t="s">
        <v>1161</v>
      </c>
    </row>
    <row r="74" spans="1:7" ht="28.8" x14ac:dyDescent="0.3">
      <c r="A74" t="s">
        <v>638</v>
      </c>
      <c r="B74" t="s">
        <v>622</v>
      </c>
      <c r="C74" t="s">
        <v>521</v>
      </c>
      <c r="D74" s="56" t="s">
        <v>1162</v>
      </c>
      <c r="E74" s="59">
        <v>0</v>
      </c>
      <c r="F74" t="s">
        <v>1163</v>
      </c>
      <c r="G74" s="56" t="s">
        <v>1569</v>
      </c>
    </row>
    <row r="75" spans="1:7" ht="28.8" x14ac:dyDescent="0.3">
      <c r="A75" t="s">
        <v>638</v>
      </c>
      <c r="B75" t="s">
        <v>622</v>
      </c>
      <c r="C75" t="s">
        <v>521</v>
      </c>
      <c r="D75" s="56" t="s">
        <v>1164</v>
      </c>
      <c r="E75" s="59">
        <v>50</v>
      </c>
      <c r="F75" t="s">
        <v>1165</v>
      </c>
      <c r="G75" s="56" t="s">
        <v>1569</v>
      </c>
    </row>
    <row r="76" spans="1:7" ht="28.8" x14ac:dyDescent="0.3">
      <c r="A76" t="s">
        <v>638</v>
      </c>
      <c r="B76" t="s">
        <v>622</v>
      </c>
      <c r="C76" t="s">
        <v>521</v>
      </c>
      <c r="D76" s="56" t="s">
        <v>1166</v>
      </c>
      <c r="E76" s="59">
        <v>100</v>
      </c>
      <c r="F76" t="s">
        <v>1167</v>
      </c>
      <c r="G76" s="56" t="s">
        <v>1569</v>
      </c>
    </row>
    <row r="77" spans="1:7" x14ac:dyDescent="0.3">
      <c r="A77" t="s">
        <v>642</v>
      </c>
      <c r="B77" t="s">
        <v>622</v>
      </c>
      <c r="C77" t="s">
        <v>521</v>
      </c>
      <c r="D77" s="56" t="s">
        <v>1168</v>
      </c>
      <c r="E77" s="59">
        <v>100</v>
      </c>
      <c r="F77" t="s">
        <v>1169</v>
      </c>
    </row>
    <row r="78" spans="1:7" x14ac:dyDescent="0.3">
      <c r="A78" t="s">
        <v>642</v>
      </c>
      <c r="B78" t="s">
        <v>622</v>
      </c>
      <c r="C78" t="s">
        <v>521</v>
      </c>
      <c r="D78" s="56" t="s">
        <v>1170</v>
      </c>
      <c r="E78" s="59">
        <v>75</v>
      </c>
      <c r="F78" t="s">
        <v>1171</v>
      </c>
    </row>
    <row r="79" spans="1:7" x14ac:dyDescent="0.3">
      <c r="A79" t="s">
        <v>642</v>
      </c>
      <c r="B79" t="s">
        <v>622</v>
      </c>
      <c r="C79" t="s">
        <v>521</v>
      </c>
      <c r="D79" s="56" t="s">
        <v>1172</v>
      </c>
      <c r="E79" s="59">
        <v>50</v>
      </c>
      <c r="F79" t="s">
        <v>1173</v>
      </c>
    </row>
    <row r="80" spans="1:7" x14ac:dyDescent="0.3">
      <c r="A80" t="s">
        <v>642</v>
      </c>
      <c r="B80" t="s">
        <v>622</v>
      </c>
      <c r="C80" t="s">
        <v>521</v>
      </c>
      <c r="D80" s="56" t="s">
        <v>1174</v>
      </c>
      <c r="E80" s="59">
        <v>25</v>
      </c>
      <c r="F80" t="s">
        <v>1175</v>
      </c>
    </row>
    <row r="81" spans="1:7" x14ac:dyDescent="0.3">
      <c r="A81" t="s">
        <v>642</v>
      </c>
      <c r="B81" t="s">
        <v>622</v>
      </c>
      <c r="C81" t="s">
        <v>521</v>
      </c>
      <c r="D81" s="56" t="s">
        <v>1176</v>
      </c>
      <c r="E81" s="59" t="s">
        <v>1100</v>
      </c>
      <c r="F81" t="s">
        <v>1177</v>
      </c>
      <c r="G81" s="56" t="s">
        <v>1102</v>
      </c>
    </row>
    <row r="82" spans="1:7" ht="28.8" x14ac:dyDescent="0.3">
      <c r="A82" t="s">
        <v>645</v>
      </c>
      <c r="B82" t="s">
        <v>622</v>
      </c>
      <c r="C82" t="s">
        <v>521</v>
      </c>
      <c r="D82" s="56" t="s">
        <v>1178</v>
      </c>
      <c r="E82" s="59">
        <v>100</v>
      </c>
      <c r="F82" t="s">
        <v>1179</v>
      </c>
      <c r="G82" s="56" t="s">
        <v>1570</v>
      </c>
    </row>
    <row r="83" spans="1:7" ht="28.8" x14ac:dyDescent="0.3">
      <c r="A83" t="s">
        <v>645</v>
      </c>
      <c r="B83" t="s">
        <v>622</v>
      </c>
      <c r="C83" t="s">
        <v>521</v>
      </c>
      <c r="D83" s="56" t="s">
        <v>1180</v>
      </c>
      <c r="E83" s="59">
        <v>67</v>
      </c>
      <c r="F83" t="s">
        <v>1181</v>
      </c>
      <c r="G83" s="56" t="s">
        <v>1570</v>
      </c>
    </row>
    <row r="84" spans="1:7" ht="28.8" x14ac:dyDescent="0.3">
      <c r="A84" t="s">
        <v>645</v>
      </c>
      <c r="B84" t="s">
        <v>622</v>
      </c>
      <c r="C84" t="s">
        <v>521</v>
      </c>
      <c r="D84" s="56" t="s">
        <v>1182</v>
      </c>
      <c r="E84" s="59">
        <v>33</v>
      </c>
      <c r="F84" t="s">
        <v>1183</v>
      </c>
      <c r="G84" s="56" t="s">
        <v>1570</v>
      </c>
    </row>
    <row r="85" spans="1:7" ht="28.8" x14ac:dyDescent="0.3">
      <c r="A85" t="s">
        <v>645</v>
      </c>
      <c r="B85" t="s">
        <v>622</v>
      </c>
      <c r="C85" t="s">
        <v>521</v>
      </c>
      <c r="D85" s="56" t="s">
        <v>1184</v>
      </c>
      <c r="E85" s="59">
        <v>0</v>
      </c>
      <c r="F85" t="s">
        <v>1185</v>
      </c>
      <c r="G85" s="56" t="s">
        <v>1570</v>
      </c>
    </row>
    <row r="86" spans="1:7" ht="43.2" x14ac:dyDescent="0.3">
      <c r="A86" t="s">
        <v>645</v>
      </c>
      <c r="B86" t="s">
        <v>622</v>
      </c>
      <c r="C86" t="s">
        <v>521</v>
      </c>
      <c r="D86" s="56" t="s">
        <v>1186</v>
      </c>
      <c r="E86" s="59" t="s">
        <v>1100</v>
      </c>
      <c r="F86" t="s">
        <v>1187</v>
      </c>
      <c r="G86" s="56" t="s">
        <v>1571</v>
      </c>
    </row>
    <row r="87" spans="1:7" x14ac:dyDescent="0.3">
      <c r="A87" t="s">
        <v>650</v>
      </c>
      <c r="B87" t="s">
        <v>651</v>
      </c>
      <c r="C87" t="s">
        <v>530</v>
      </c>
      <c r="D87" s="56" t="s">
        <v>1142</v>
      </c>
      <c r="E87" s="59"/>
      <c r="G87" s="56" t="s">
        <v>1143</v>
      </c>
    </row>
    <row r="88" spans="1:7" ht="43.2" x14ac:dyDescent="0.3">
      <c r="A88" t="s">
        <v>654</v>
      </c>
      <c r="B88" t="s">
        <v>651</v>
      </c>
      <c r="C88" t="s">
        <v>521</v>
      </c>
      <c r="D88" s="56" t="s">
        <v>1188</v>
      </c>
      <c r="E88" s="59">
        <v>0</v>
      </c>
      <c r="F88" t="s">
        <v>1189</v>
      </c>
      <c r="G88" s="56" t="s">
        <v>1572</v>
      </c>
    </row>
    <row r="89" spans="1:7" ht="43.2" x14ac:dyDescent="0.3">
      <c r="A89" t="s">
        <v>654</v>
      </c>
      <c r="B89" t="s">
        <v>651</v>
      </c>
      <c r="C89" t="s">
        <v>521</v>
      </c>
      <c r="D89" s="56" t="s">
        <v>1190</v>
      </c>
      <c r="E89" s="59">
        <v>50</v>
      </c>
      <c r="F89" t="s">
        <v>1191</v>
      </c>
      <c r="G89" s="56" t="s">
        <v>1572</v>
      </c>
    </row>
    <row r="90" spans="1:7" ht="43.2" x14ac:dyDescent="0.3">
      <c r="A90" t="s">
        <v>654</v>
      </c>
      <c r="B90" t="s">
        <v>651</v>
      </c>
      <c r="C90" t="s">
        <v>521</v>
      </c>
      <c r="D90" s="56" t="s">
        <v>1192</v>
      </c>
      <c r="E90" s="59">
        <v>0</v>
      </c>
      <c r="F90" t="s">
        <v>1193</v>
      </c>
      <c r="G90" s="56" t="s">
        <v>1572</v>
      </c>
    </row>
    <row r="91" spans="1:7" ht="43.2" x14ac:dyDescent="0.3">
      <c r="A91" t="s">
        <v>654</v>
      </c>
      <c r="B91" t="s">
        <v>651</v>
      </c>
      <c r="C91" t="s">
        <v>521</v>
      </c>
      <c r="D91" s="56" t="s">
        <v>1194</v>
      </c>
      <c r="E91" s="59" t="s">
        <v>1100</v>
      </c>
      <c r="F91" t="s">
        <v>1195</v>
      </c>
      <c r="G91" s="56" t="s">
        <v>1573</v>
      </c>
    </row>
    <row r="92" spans="1:7" ht="43.2" x14ac:dyDescent="0.3">
      <c r="A92" t="s">
        <v>654</v>
      </c>
      <c r="B92" t="s">
        <v>651</v>
      </c>
      <c r="C92" t="s">
        <v>521</v>
      </c>
      <c r="D92" s="56" t="s">
        <v>1196</v>
      </c>
      <c r="E92" s="59">
        <v>100</v>
      </c>
      <c r="F92" t="s">
        <v>1197</v>
      </c>
      <c r="G92" s="56" t="s">
        <v>1572</v>
      </c>
    </row>
    <row r="93" spans="1:7" x14ac:dyDescent="0.3">
      <c r="A93" t="s">
        <v>657</v>
      </c>
      <c r="B93" t="s">
        <v>651</v>
      </c>
      <c r="C93" t="s">
        <v>624</v>
      </c>
      <c r="D93" s="56" t="s">
        <v>1140</v>
      </c>
      <c r="E93" s="59"/>
      <c r="G93" s="56" t="s">
        <v>1141</v>
      </c>
    </row>
    <row r="94" spans="1:7" x14ac:dyDescent="0.3">
      <c r="A94" t="s">
        <v>659</v>
      </c>
      <c r="B94" t="s">
        <v>651</v>
      </c>
      <c r="C94" t="s">
        <v>521</v>
      </c>
      <c r="D94" s="56" t="s">
        <v>1095</v>
      </c>
      <c r="E94" s="59">
        <v>0</v>
      </c>
      <c r="F94" t="s">
        <v>1198</v>
      </c>
    </row>
    <row r="95" spans="1:7" x14ac:dyDescent="0.3">
      <c r="A95" t="s">
        <v>659</v>
      </c>
      <c r="B95" t="s">
        <v>651</v>
      </c>
      <c r="C95" t="s">
        <v>521</v>
      </c>
      <c r="D95" s="56" t="s">
        <v>1097</v>
      </c>
      <c r="E95" s="59">
        <v>100</v>
      </c>
      <c r="F95" t="s">
        <v>1199</v>
      </c>
    </row>
    <row r="96" spans="1:7" x14ac:dyDescent="0.3">
      <c r="A96" t="s">
        <v>659</v>
      </c>
      <c r="B96" t="s">
        <v>651</v>
      </c>
      <c r="C96" t="s">
        <v>521</v>
      </c>
      <c r="D96" s="56" t="s">
        <v>1194</v>
      </c>
      <c r="E96" s="59" t="s">
        <v>1100</v>
      </c>
      <c r="F96" t="s">
        <v>1200</v>
      </c>
      <c r="G96" s="56" t="s">
        <v>1102</v>
      </c>
    </row>
    <row r="97" spans="1:7" x14ac:dyDescent="0.3">
      <c r="A97" t="s">
        <v>662</v>
      </c>
      <c r="B97" t="s">
        <v>651</v>
      </c>
      <c r="C97" t="s">
        <v>521</v>
      </c>
      <c r="D97" s="56" t="s">
        <v>1201</v>
      </c>
      <c r="E97" s="59">
        <v>100</v>
      </c>
      <c r="F97" t="s">
        <v>1202</v>
      </c>
    </row>
    <row r="98" spans="1:7" x14ac:dyDescent="0.3">
      <c r="A98" t="s">
        <v>662</v>
      </c>
      <c r="B98" t="s">
        <v>651</v>
      </c>
      <c r="C98" t="s">
        <v>521</v>
      </c>
      <c r="D98" s="56" t="s">
        <v>1203</v>
      </c>
      <c r="E98" s="59">
        <v>50</v>
      </c>
      <c r="F98" t="s">
        <v>1204</v>
      </c>
    </row>
    <row r="99" spans="1:7" x14ac:dyDescent="0.3">
      <c r="A99" t="s">
        <v>662</v>
      </c>
      <c r="B99" t="s">
        <v>651</v>
      </c>
      <c r="C99" t="s">
        <v>521</v>
      </c>
      <c r="D99" s="56" t="s">
        <v>1097</v>
      </c>
      <c r="E99" s="59">
        <v>0</v>
      </c>
      <c r="F99" t="s">
        <v>1205</v>
      </c>
    </row>
    <row r="100" spans="1:7" x14ac:dyDescent="0.3">
      <c r="A100" t="s">
        <v>662</v>
      </c>
      <c r="B100" t="s">
        <v>651</v>
      </c>
      <c r="C100" t="s">
        <v>521</v>
      </c>
      <c r="D100" s="56" t="s">
        <v>1186</v>
      </c>
      <c r="E100" s="59" t="s">
        <v>1100</v>
      </c>
      <c r="F100" t="s">
        <v>1206</v>
      </c>
      <c r="G100" s="56" t="s">
        <v>1102</v>
      </c>
    </row>
    <row r="101" spans="1:7" x14ac:dyDescent="0.3">
      <c r="A101" t="s">
        <v>665</v>
      </c>
      <c r="B101" t="s">
        <v>651</v>
      </c>
      <c r="C101" t="s">
        <v>521</v>
      </c>
      <c r="D101" s="56" t="s">
        <v>1207</v>
      </c>
      <c r="E101" s="59">
        <v>100</v>
      </c>
      <c r="F101" t="s">
        <v>1208</v>
      </c>
    </row>
    <row r="102" spans="1:7" x14ac:dyDescent="0.3">
      <c r="A102" t="s">
        <v>665</v>
      </c>
      <c r="B102" t="s">
        <v>651</v>
      </c>
      <c r="C102" t="s">
        <v>521</v>
      </c>
      <c r="D102" s="56" t="s">
        <v>1209</v>
      </c>
      <c r="E102" s="59">
        <v>50</v>
      </c>
      <c r="F102" t="s">
        <v>1210</v>
      </c>
    </row>
    <row r="103" spans="1:7" x14ac:dyDescent="0.3">
      <c r="A103" t="s">
        <v>665</v>
      </c>
      <c r="B103" t="s">
        <v>651</v>
      </c>
      <c r="C103" t="s">
        <v>521</v>
      </c>
      <c r="D103" s="56" t="s">
        <v>1097</v>
      </c>
      <c r="E103" s="59">
        <v>0</v>
      </c>
      <c r="F103" t="s">
        <v>1211</v>
      </c>
    </row>
    <row r="104" spans="1:7" x14ac:dyDescent="0.3">
      <c r="A104" t="s">
        <v>665</v>
      </c>
      <c r="B104" t="s">
        <v>651</v>
      </c>
      <c r="C104" t="s">
        <v>521</v>
      </c>
      <c r="D104" s="56" t="s">
        <v>1186</v>
      </c>
      <c r="E104" s="59" t="s">
        <v>1100</v>
      </c>
      <c r="F104" t="s">
        <v>1212</v>
      </c>
      <c r="G104" s="56" t="s">
        <v>1102</v>
      </c>
    </row>
    <row r="105" spans="1:7" x14ac:dyDescent="0.3">
      <c r="A105" t="s">
        <v>668</v>
      </c>
      <c r="B105" t="s">
        <v>651</v>
      </c>
      <c r="C105" t="s">
        <v>521</v>
      </c>
      <c r="D105" s="56" t="s">
        <v>1095</v>
      </c>
      <c r="E105" s="59">
        <v>0</v>
      </c>
      <c r="F105" t="s">
        <v>1213</v>
      </c>
    </row>
    <row r="106" spans="1:7" x14ac:dyDescent="0.3">
      <c r="A106" t="s">
        <v>668</v>
      </c>
      <c r="B106" t="s">
        <v>651</v>
      </c>
      <c r="C106" t="s">
        <v>521</v>
      </c>
      <c r="D106" s="56" t="s">
        <v>1097</v>
      </c>
      <c r="E106" s="59">
        <v>100</v>
      </c>
      <c r="F106" t="s">
        <v>1214</v>
      </c>
    </row>
    <row r="107" spans="1:7" x14ac:dyDescent="0.3">
      <c r="A107" t="s">
        <v>668</v>
      </c>
      <c r="B107" t="s">
        <v>651</v>
      </c>
      <c r="C107" t="s">
        <v>521</v>
      </c>
      <c r="D107" s="56" t="s">
        <v>1099</v>
      </c>
      <c r="E107" s="59" t="s">
        <v>1100</v>
      </c>
      <c r="F107" t="s">
        <v>1215</v>
      </c>
      <c r="G107" s="56" t="s">
        <v>1102</v>
      </c>
    </row>
    <row r="108" spans="1:7" x14ac:dyDescent="0.3">
      <c r="A108" t="s">
        <v>670</v>
      </c>
      <c r="B108" t="s">
        <v>651</v>
      </c>
      <c r="C108" t="s">
        <v>521</v>
      </c>
      <c r="D108" s="56" t="s">
        <v>1216</v>
      </c>
      <c r="E108" s="59">
        <v>100</v>
      </c>
      <c r="F108" t="s">
        <v>1217</v>
      </c>
    </row>
    <row r="109" spans="1:7" x14ac:dyDescent="0.3">
      <c r="A109" t="s">
        <v>670</v>
      </c>
      <c r="B109" t="s">
        <v>651</v>
      </c>
      <c r="C109" t="s">
        <v>521</v>
      </c>
      <c r="D109" s="56" t="s">
        <v>1218</v>
      </c>
      <c r="E109" s="59">
        <v>80</v>
      </c>
      <c r="F109" t="s">
        <v>1219</v>
      </c>
    </row>
    <row r="110" spans="1:7" ht="28.8" x14ac:dyDescent="0.3">
      <c r="A110" t="s">
        <v>670</v>
      </c>
      <c r="B110" t="s">
        <v>651</v>
      </c>
      <c r="C110" t="s">
        <v>521</v>
      </c>
      <c r="D110" s="56" t="s">
        <v>1220</v>
      </c>
      <c r="E110" s="59">
        <v>60</v>
      </c>
      <c r="F110" t="s">
        <v>1221</v>
      </c>
    </row>
    <row r="111" spans="1:7" x14ac:dyDescent="0.3">
      <c r="A111" t="s">
        <v>670</v>
      </c>
      <c r="B111" t="s">
        <v>651</v>
      </c>
      <c r="C111" t="s">
        <v>521</v>
      </c>
      <c r="D111" s="56" t="s">
        <v>1222</v>
      </c>
      <c r="E111" s="59">
        <v>20</v>
      </c>
      <c r="F111" t="s">
        <v>1223</v>
      </c>
    </row>
    <row r="112" spans="1:7" ht="28.8" x14ac:dyDescent="0.3">
      <c r="A112" t="s">
        <v>670</v>
      </c>
      <c r="B112" t="s">
        <v>651</v>
      </c>
      <c r="C112" t="s">
        <v>521</v>
      </c>
      <c r="D112" s="56" t="s">
        <v>1224</v>
      </c>
      <c r="E112" s="59">
        <v>0</v>
      </c>
      <c r="F112" t="s">
        <v>1225</v>
      </c>
    </row>
    <row r="113" spans="1:7" x14ac:dyDescent="0.3">
      <c r="A113" t="s">
        <v>670</v>
      </c>
      <c r="B113" t="s">
        <v>651</v>
      </c>
      <c r="C113" t="s">
        <v>521</v>
      </c>
      <c r="D113" s="56" t="s">
        <v>1194</v>
      </c>
      <c r="E113" s="59" t="s">
        <v>1100</v>
      </c>
      <c r="F113" t="s">
        <v>1226</v>
      </c>
      <c r="G113" s="56" t="s">
        <v>1102</v>
      </c>
    </row>
    <row r="114" spans="1:7" x14ac:dyDescent="0.3">
      <c r="A114" t="s">
        <v>673</v>
      </c>
      <c r="B114" t="s">
        <v>651</v>
      </c>
      <c r="C114" t="s">
        <v>521</v>
      </c>
      <c r="D114" s="56" t="s">
        <v>1227</v>
      </c>
      <c r="E114" s="59">
        <v>100</v>
      </c>
      <c r="F114" t="s">
        <v>1228</v>
      </c>
    </row>
    <row r="115" spans="1:7" x14ac:dyDescent="0.3">
      <c r="A115" t="s">
        <v>673</v>
      </c>
      <c r="B115" t="s">
        <v>651</v>
      </c>
      <c r="C115" t="s">
        <v>521</v>
      </c>
      <c r="D115" s="56" t="s">
        <v>1203</v>
      </c>
      <c r="E115" s="59">
        <v>50</v>
      </c>
      <c r="F115" t="s">
        <v>1229</v>
      </c>
    </row>
    <row r="116" spans="1:7" x14ac:dyDescent="0.3">
      <c r="A116" t="s">
        <v>673</v>
      </c>
      <c r="B116" t="s">
        <v>651</v>
      </c>
      <c r="C116" t="s">
        <v>521</v>
      </c>
      <c r="D116" s="56" t="s">
        <v>1194</v>
      </c>
      <c r="E116" s="59" t="s">
        <v>1100</v>
      </c>
      <c r="F116" t="s">
        <v>1230</v>
      </c>
      <c r="G116" s="56" t="s">
        <v>1102</v>
      </c>
    </row>
    <row r="117" spans="1:7" x14ac:dyDescent="0.3">
      <c r="A117" t="s">
        <v>673</v>
      </c>
      <c r="B117" t="s">
        <v>651</v>
      </c>
      <c r="C117" t="s">
        <v>521</v>
      </c>
      <c r="D117" s="56" t="s">
        <v>1099</v>
      </c>
      <c r="E117" s="59" t="s">
        <v>1100</v>
      </c>
      <c r="F117" t="s">
        <v>1231</v>
      </c>
      <c r="G117" s="56" t="s">
        <v>1102</v>
      </c>
    </row>
    <row r="118" spans="1:7" x14ac:dyDescent="0.3">
      <c r="A118" t="s">
        <v>676</v>
      </c>
      <c r="B118" t="s">
        <v>651</v>
      </c>
      <c r="C118" t="s">
        <v>521</v>
      </c>
      <c r="D118" s="56" t="s">
        <v>1232</v>
      </c>
      <c r="E118" s="59">
        <v>100</v>
      </c>
      <c r="F118" t="s">
        <v>1233</v>
      </c>
    </row>
    <row r="119" spans="1:7" x14ac:dyDescent="0.3">
      <c r="A119" t="s">
        <v>676</v>
      </c>
      <c r="B119" t="s">
        <v>651</v>
      </c>
      <c r="C119" t="s">
        <v>521</v>
      </c>
      <c r="D119" s="56" t="s">
        <v>1234</v>
      </c>
      <c r="E119" s="59">
        <v>50</v>
      </c>
      <c r="F119" t="s">
        <v>1235</v>
      </c>
    </row>
    <row r="120" spans="1:7" x14ac:dyDescent="0.3">
      <c r="A120" t="s">
        <v>676</v>
      </c>
      <c r="B120" t="s">
        <v>651</v>
      </c>
      <c r="C120" t="s">
        <v>521</v>
      </c>
      <c r="D120" s="56" t="s">
        <v>1236</v>
      </c>
      <c r="E120" s="59">
        <v>0</v>
      </c>
      <c r="F120" t="s">
        <v>1237</v>
      </c>
    </row>
    <row r="121" spans="1:7" x14ac:dyDescent="0.3">
      <c r="A121" t="s">
        <v>679</v>
      </c>
      <c r="B121" t="s">
        <v>651</v>
      </c>
      <c r="C121" t="s">
        <v>521</v>
      </c>
      <c r="D121" s="56" t="s">
        <v>1238</v>
      </c>
      <c r="E121" s="59">
        <v>100</v>
      </c>
      <c r="F121" t="s">
        <v>1239</v>
      </c>
      <c r="G121" s="56" t="s">
        <v>1574</v>
      </c>
    </row>
    <row r="122" spans="1:7" x14ac:dyDescent="0.3">
      <c r="A122" t="s">
        <v>679</v>
      </c>
      <c r="B122" t="s">
        <v>651</v>
      </c>
      <c r="C122" t="s">
        <v>521</v>
      </c>
      <c r="D122" s="56" t="s">
        <v>1240</v>
      </c>
      <c r="E122" s="59">
        <v>0</v>
      </c>
      <c r="F122" t="s">
        <v>1241</v>
      </c>
      <c r="G122" s="56" t="s">
        <v>1574</v>
      </c>
    </row>
    <row r="123" spans="1:7" ht="28.8" x14ac:dyDescent="0.3">
      <c r="A123" t="s">
        <v>679</v>
      </c>
      <c r="B123" t="s">
        <v>651</v>
      </c>
      <c r="C123" t="s">
        <v>521</v>
      </c>
      <c r="D123" s="56" t="s">
        <v>1242</v>
      </c>
      <c r="E123" s="59" t="s">
        <v>1100</v>
      </c>
      <c r="F123" t="s">
        <v>1243</v>
      </c>
      <c r="G123" s="56" t="s">
        <v>1575</v>
      </c>
    </row>
    <row r="124" spans="1:7" ht="28.8" x14ac:dyDescent="0.3">
      <c r="A124" t="s">
        <v>679</v>
      </c>
      <c r="B124" t="s">
        <v>651</v>
      </c>
      <c r="C124" t="s">
        <v>521</v>
      </c>
      <c r="D124" s="56" t="s">
        <v>1099</v>
      </c>
      <c r="E124" s="59" t="s">
        <v>1100</v>
      </c>
      <c r="F124" t="s">
        <v>1244</v>
      </c>
      <c r="G124" s="56" t="s">
        <v>1575</v>
      </c>
    </row>
    <row r="125" spans="1:7" x14ac:dyDescent="0.3">
      <c r="A125" t="s">
        <v>682</v>
      </c>
      <c r="B125" t="s">
        <v>651</v>
      </c>
      <c r="C125" t="s">
        <v>521</v>
      </c>
      <c r="D125" s="56" t="s">
        <v>1245</v>
      </c>
      <c r="E125" s="59">
        <v>100</v>
      </c>
      <c r="F125" t="s">
        <v>1246</v>
      </c>
    </row>
    <row r="126" spans="1:7" x14ac:dyDescent="0.3">
      <c r="A126" t="s">
        <v>682</v>
      </c>
      <c r="B126" t="s">
        <v>651</v>
      </c>
      <c r="C126" t="s">
        <v>521</v>
      </c>
      <c r="D126" s="56" t="s">
        <v>1247</v>
      </c>
      <c r="E126" s="59">
        <v>50</v>
      </c>
      <c r="F126" t="s">
        <v>1248</v>
      </c>
    </row>
    <row r="127" spans="1:7" x14ac:dyDescent="0.3">
      <c r="A127" t="s">
        <v>682</v>
      </c>
      <c r="B127" t="s">
        <v>651</v>
      </c>
      <c r="C127" t="s">
        <v>521</v>
      </c>
      <c r="D127" s="56" t="s">
        <v>1097</v>
      </c>
      <c r="E127" s="59">
        <v>0</v>
      </c>
      <c r="F127" t="s">
        <v>1249</v>
      </c>
    </row>
    <row r="128" spans="1:7" x14ac:dyDescent="0.3">
      <c r="A128" t="s">
        <v>682</v>
      </c>
      <c r="B128" t="s">
        <v>651</v>
      </c>
      <c r="C128" t="s">
        <v>521</v>
      </c>
      <c r="D128" s="56" t="s">
        <v>1250</v>
      </c>
      <c r="E128" s="59" t="s">
        <v>1100</v>
      </c>
      <c r="F128" t="s">
        <v>1251</v>
      </c>
      <c r="G128" s="56" t="s">
        <v>1102</v>
      </c>
    </row>
    <row r="129" spans="1:7" ht="28.8" x14ac:dyDescent="0.3">
      <c r="A129" t="s">
        <v>685</v>
      </c>
      <c r="B129" t="s">
        <v>651</v>
      </c>
      <c r="C129" t="s">
        <v>521</v>
      </c>
      <c r="D129" s="56" t="s">
        <v>1252</v>
      </c>
      <c r="E129" s="59">
        <v>0</v>
      </c>
      <c r="F129" t="s">
        <v>1253</v>
      </c>
      <c r="G129" s="56" t="s">
        <v>1576</v>
      </c>
    </row>
    <row r="130" spans="1:7" ht="28.8" x14ac:dyDescent="0.3">
      <c r="A130" t="s">
        <v>685</v>
      </c>
      <c r="B130" t="s">
        <v>651</v>
      </c>
      <c r="C130" t="s">
        <v>521</v>
      </c>
      <c r="D130" s="56" t="s">
        <v>1254</v>
      </c>
      <c r="E130" s="59">
        <v>50</v>
      </c>
      <c r="F130" t="s">
        <v>1255</v>
      </c>
      <c r="G130" s="56" t="s">
        <v>1576</v>
      </c>
    </row>
    <row r="131" spans="1:7" ht="28.8" x14ac:dyDescent="0.3">
      <c r="A131" t="s">
        <v>685</v>
      </c>
      <c r="B131" t="s">
        <v>651</v>
      </c>
      <c r="C131" t="s">
        <v>521</v>
      </c>
      <c r="D131" s="56" t="s">
        <v>1097</v>
      </c>
      <c r="E131" s="59">
        <v>100</v>
      </c>
      <c r="F131" t="s">
        <v>1256</v>
      </c>
      <c r="G131" s="56" t="s">
        <v>1576</v>
      </c>
    </row>
    <row r="132" spans="1:7" ht="28.8" x14ac:dyDescent="0.3">
      <c r="A132" t="s">
        <v>685</v>
      </c>
      <c r="B132" t="s">
        <v>651</v>
      </c>
      <c r="C132" t="s">
        <v>521</v>
      </c>
      <c r="D132" s="56" t="s">
        <v>1099</v>
      </c>
      <c r="E132" s="59" t="s">
        <v>1100</v>
      </c>
      <c r="F132" t="s">
        <v>1257</v>
      </c>
      <c r="G132" s="56" t="s">
        <v>1577</v>
      </c>
    </row>
    <row r="133" spans="1:7" ht="43.2" x14ac:dyDescent="0.3">
      <c r="A133" t="s">
        <v>690</v>
      </c>
      <c r="B133" t="s">
        <v>691</v>
      </c>
      <c r="C133" t="s">
        <v>521</v>
      </c>
      <c r="D133" s="56" t="s">
        <v>1194</v>
      </c>
      <c r="E133" s="59" t="s">
        <v>1100</v>
      </c>
      <c r="F133" t="s">
        <v>1258</v>
      </c>
      <c r="G133" s="56" t="s">
        <v>1578</v>
      </c>
    </row>
    <row r="134" spans="1:7" ht="43.2" x14ac:dyDescent="0.3">
      <c r="A134" t="s">
        <v>690</v>
      </c>
      <c r="B134" t="s">
        <v>691</v>
      </c>
      <c r="C134" t="s">
        <v>521</v>
      </c>
      <c r="D134" s="56" t="s">
        <v>1259</v>
      </c>
      <c r="E134" s="59">
        <v>50</v>
      </c>
      <c r="F134" t="s">
        <v>1260</v>
      </c>
      <c r="G134" s="56" t="s">
        <v>1579</v>
      </c>
    </row>
    <row r="135" spans="1:7" ht="43.2" x14ac:dyDescent="0.3">
      <c r="A135" t="s">
        <v>690</v>
      </c>
      <c r="B135" t="s">
        <v>691</v>
      </c>
      <c r="C135" t="s">
        <v>521</v>
      </c>
      <c r="D135" s="56" t="s">
        <v>1261</v>
      </c>
      <c r="E135" s="59">
        <v>75</v>
      </c>
      <c r="F135" t="s">
        <v>1262</v>
      </c>
      <c r="G135" s="56" t="s">
        <v>1579</v>
      </c>
    </row>
    <row r="136" spans="1:7" ht="43.2" x14ac:dyDescent="0.3">
      <c r="A136" t="s">
        <v>690</v>
      </c>
      <c r="B136" t="s">
        <v>691</v>
      </c>
      <c r="C136" t="s">
        <v>521</v>
      </c>
      <c r="D136" s="56" t="s">
        <v>1263</v>
      </c>
      <c r="E136" s="59">
        <v>0</v>
      </c>
      <c r="F136" t="s">
        <v>1264</v>
      </c>
      <c r="G136" s="56" t="s">
        <v>1579</v>
      </c>
    </row>
    <row r="137" spans="1:7" ht="43.2" x14ac:dyDescent="0.3">
      <c r="A137" t="s">
        <v>690</v>
      </c>
      <c r="B137" t="s">
        <v>691</v>
      </c>
      <c r="C137" t="s">
        <v>521</v>
      </c>
      <c r="D137" s="56" t="s">
        <v>1265</v>
      </c>
      <c r="E137" s="59">
        <v>100</v>
      </c>
      <c r="F137" t="s">
        <v>1266</v>
      </c>
      <c r="G137" s="56" t="s">
        <v>1579</v>
      </c>
    </row>
    <row r="138" spans="1:7" x14ac:dyDescent="0.3">
      <c r="A138" t="s">
        <v>695</v>
      </c>
      <c r="B138" t="s">
        <v>691</v>
      </c>
      <c r="C138" t="s">
        <v>624</v>
      </c>
      <c r="D138" s="56" t="s">
        <v>1140</v>
      </c>
      <c r="E138" s="59"/>
      <c r="G138" s="56" t="s">
        <v>1141</v>
      </c>
    </row>
    <row r="139" spans="1:7" x14ac:dyDescent="0.3">
      <c r="A139" t="s">
        <v>697</v>
      </c>
      <c r="B139" t="s">
        <v>691</v>
      </c>
      <c r="C139" t="s">
        <v>521</v>
      </c>
      <c r="D139" s="56" t="s">
        <v>1267</v>
      </c>
      <c r="E139" s="59">
        <v>100</v>
      </c>
      <c r="F139" t="s">
        <v>1268</v>
      </c>
    </row>
    <row r="140" spans="1:7" x14ac:dyDescent="0.3">
      <c r="A140" t="s">
        <v>697</v>
      </c>
      <c r="B140" t="s">
        <v>691</v>
      </c>
      <c r="C140" t="s">
        <v>521</v>
      </c>
      <c r="D140" s="56" t="s">
        <v>1125</v>
      </c>
      <c r="E140" s="59">
        <v>50</v>
      </c>
      <c r="F140" t="s">
        <v>1269</v>
      </c>
    </row>
    <row r="141" spans="1:7" x14ac:dyDescent="0.3">
      <c r="A141" t="s">
        <v>697</v>
      </c>
      <c r="B141" t="s">
        <v>691</v>
      </c>
      <c r="C141" t="s">
        <v>521</v>
      </c>
      <c r="D141" s="56" t="s">
        <v>1099</v>
      </c>
      <c r="E141" s="59" t="s">
        <v>1100</v>
      </c>
      <c r="F141" t="s">
        <v>1270</v>
      </c>
      <c r="G141" s="56" t="s">
        <v>1102</v>
      </c>
    </row>
    <row r="142" spans="1:7" ht="28.8" x14ac:dyDescent="0.3">
      <c r="A142" t="s">
        <v>700</v>
      </c>
      <c r="B142" t="s">
        <v>691</v>
      </c>
      <c r="C142" t="s">
        <v>521</v>
      </c>
      <c r="D142" s="56" t="s">
        <v>1271</v>
      </c>
      <c r="E142" s="59">
        <v>0</v>
      </c>
      <c r="F142" t="s">
        <v>1272</v>
      </c>
      <c r="G142" s="56" t="s">
        <v>1580</v>
      </c>
    </row>
    <row r="143" spans="1:7" ht="28.8" x14ac:dyDescent="0.3">
      <c r="A143" t="s">
        <v>700</v>
      </c>
      <c r="B143" t="s">
        <v>691</v>
      </c>
      <c r="C143" t="s">
        <v>521</v>
      </c>
      <c r="D143" s="56" t="s">
        <v>1273</v>
      </c>
      <c r="E143" s="59">
        <v>75</v>
      </c>
      <c r="F143" t="s">
        <v>1274</v>
      </c>
      <c r="G143" s="56" t="s">
        <v>1580</v>
      </c>
    </row>
    <row r="144" spans="1:7" ht="28.8" x14ac:dyDescent="0.3">
      <c r="A144" t="s">
        <v>700</v>
      </c>
      <c r="B144" t="s">
        <v>691</v>
      </c>
      <c r="C144" t="s">
        <v>521</v>
      </c>
      <c r="D144" s="56" t="s">
        <v>1275</v>
      </c>
      <c r="E144" s="59">
        <v>100</v>
      </c>
      <c r="F144" t="s">
        <v>1276</v>
      </c>
      <c r="G144" s="56" t="s">
        <v>1580</v>
      </c>
    </row>
    <row r="145" spans="1:7" ht="28.8" x14ac:dyDescent="0.3">
      <c r="A145" t="s">
        <v>700</v>
      </c>
      <c r="B145" t="s">
        <v>691</v>
      </c>
      <c r="C145" t="s">
        <v>521</v>
      </c>
      <c r="D145" s="56" t="s">
        <v>1277</v>
      </c>
      <c r="E145" s="59">
        <v>0</v>
      </c>
      <c r="F145" t="s">
        <v>1278</v>
      </c>
      <c r="G145" s="56" t="s">
        <v>1580</v>
      </c>
    </row>
    <row r="146" spans="1:7" x14ac:dyDescent="0.3">
      <c r="A146" t="s">
        <v>705</v>
      </c>
      <c r="B146" t="s">
        <v>706</v>
      </c>
      <c r="C146" t="s">
        <v>624</v>
      </c>
      <c r="D146" s="56" t="s">
        <v>1140</v>
      </c>
      <c r="E146" s="59"/>
      <c r="G146" s="56" t="s">
        <v>1141</v>
      </c>
    </row>
    <row r="147" spans="1:7" x14ac:dyDescent="0.3">
      <c r="A147" t="s">
        <v>709</v>
      </c>
      <c r="B147" t="s">
        <v>706</v>
      </c>
      <c r="C147" t="s">
        <v>624</v>
      </c>
      <c r="D147" s="56" t="s">
        <v>1140</v>
      </c>
      <c r="E147" s="59"/>
      <c r="G147" s="56" t="s">
        <v>1141</v>
      </c>
    </row>
    <row r="148" spans="1:7" x14ac:dyDescent="0.3">
      <c r="A148" t="s">
        <v>711</v>
      </c>
      <c r="B148" t="s">
        <v>706</v>
      </c>
      <c r="C148" t="s">
        <v>521</v>
      </c>
      <c r="D148" s="56" t="s">
        <v>1279</v>
      </c>
      <c r="E148" s="59">
        <v>0</v>
      </c>
      <c r="F148" t="s">
        <v>1280</v>
      </c>
    </row>
    <row r="149" spans="1:7" x14ac:dyDescent="0.3">
      <c r="A149" t="s">
        <v>711</v>
      </c>
      <c r="B149" t="s">
        <v>706</v>
      </c>
      <c r="C149" t="s">
        <v>521</v>
      </c>
      <c r="D149" s="56" t="s">
        <v>1281</v>
      </c>
      <c r="E149" s="59">
        <v>50</v>
      </c>
      <c r="F149" t="s">
        <v>1282</v>
      </c>
    </row>
    <row r="150" spans="1:7" x14ac:dyDescent="0.3">
      <c r="A150" t="s">
        <v>711</v>
      </c>
      <c r="B150" t="s">
        <v>706</v>
      </c>
      <c r="C150" t="s">
        <v>521</v>
      </c>
      <c r="D150" s="56" t="s">
        <v>1283</v>
      </c>
      <c r="E150" s="59">
        <v>100</v>
      </c>
      <c r="F150" t="s">
        <v>1284</v>
      </c>
    </row>
    <row r="151" spans="1:7" x14ac:dyDescent="0.3">
      <c r="A151" t="s">
        <v>714</v>
      </c>
      <c r="B151" t="s">
        <v>706</v>
      </c>
      <c r="C151" t="s">
        <v>521</v>
      </c>
      <c r="D151" s="56" t="s">
        <v>1285</v>
      </c>
      <c r="E151" s="59" t="s">
        <v>1100</v>
      </c>
      <c r="F151" t="s">
        <v>1286</v>
      </c>
      <c r="G151" s="56" t="s">
        <v>1102</v>
      </c>
    </row>
    <row r="152" spans="1:7" x14ac:dyDescent="0.3">
      <c r="A152" t="s">
        <v>714</v>
      </c>
      <c r="B152" t="s">
        <v>706</v>
      </c>
      <c r="C152" t="s">
        <v>521</v>
      </c>
      <c r="D152" s="56" t="s">
        <v>1287</v>
      </c>
      <c r="E152" s="59">
        <v>0</v>
      </c>
      <c r="F152" t="s">
        <v>1288</v>
      </c>
    </row>
    <row r="153" spans="1:7" x14ac:dyDescent="0.3">
      <c r="A153" t="s">
        <v>714</v>
      </c>
      <c r="B153" t="s">
        <v>706</v>
      </c>
      <c r="C153" t="s">
        <v>521</v>
      </c>
      <c r="D153" s="56" t="s">
        <v>1289</v>
      </c>
      <c r="E153" s="59">
        <v>50</v>
      </c>
      <c r="F153" t="s">
        <v>1290</v>
      </c>
    </row>
    <row r="154" spans="1:7" x14ac:dyDescent="0.3">
      <c r="A154" t="s">
        <v>714</v>
      </c>
      <c r="B154" t="s">
        <v>706</v>
      </c>
      <c r="C154" t="s">
        <v>521</v>
      </c>
      <c r="D154" s="56" t="s">
        <v>1291</v>
      </c>
      <c r="E154" s="59">
        <v>100</v>
      </c>
      <c r="F154" t="s">
        <v>1292</v>
      </c>
    </row>
    <row r="155" spans="1:7" ht="28.8" x14ac:dyDescent="0.3">
      <c r="A155" t="s">
        <v>717</v>
      </c>
      <c r="B155" t="s">
        <v>706</v>
      </c>
      <c r="C155" t="s">
        <v>534</v>
      </c>
      <c r="D155" s="56" t="s">
        <v>1094</v>
      </c>
      <c r="E155" s="59"/>
      <c r="G155" s="56" t="s">
        <v>1581</v>
      </c>
    </row>
    <row r="156" spans="1:7" x14ac:dyDescent="0.3">
      <c r="A156" t="s">
        <v>720</v>
      </c>
      <c r="B156" t="s">
        <v>706</v>
      </c>
      <c r="C156" t="s">
        <v>521</v>
      </c>
      <c r="D156" s="56" t="s">
        <v>1097</v>
      </c>
      <c r="E156" s="59">
        <v>0</v>
      </c>
      <c r="F156" t="s">
        <v>1293</v>
      </c>
    </row>
    <row r="157" spans="1:7" x14ac:dyDescent="0.3">
      <c r="A157" t="s">
        <v>720</v>
      </c>
      <c r="B157" t="s">
        <v>706</v>
      </c>
      <c r="C157" t="s">
        <v>521</v>
      </c>
      <c r="D157" s="56" t="s">
        <v>1294</v>
      </c>
      <c r="E157" s="59">
        <v>50</v>
      </c>
      <c r="F157" t="s">
        <v>1295</v>
      </c>
    </row>
    <row r="158" spans="1:7" x14ac:dyDescent="0.3">
      <c r="A158" t="s">
        <v>720</v>
      </c>
      <c r="B158" t="s">
        <v>706</v>
      </c>
      <c r="C158" t="s">
        <v>521</v>
      </c>
      <c r="D158" s="56" t="s">
        <v>1296</v>
      </c>
      <c r="E158" s="59">
        <v>100</v>
      </c>
      <c r="F158" t="s">
        <v>1297</v>
      </c>
    </row>
    <row r="159" spans="1:7" x14ac:dyDescent="0.3">
      <c r="A159" t="s">
        <v>723</v>
      </c>
      <c r="B159" t="s">
        <v>706</v>
      </c>
      <c r="C159" t="s">
        <v>521</v>
      </c>
      <c r="D159" s="56" t="s">
        <v>1097</v>
      </c>
      <c r="E159" s="59">
        <v>0</v>
      </c>
      <c r="F159" t="s">
        <v>1298</v>
      </c>
    </row>
    <row r="160" spans="1:7" x14ac:dyDescent="0.3">
      <c r="A160" t="s">
        <v>723</v>
      </c>
      <c r="B160" t="s">
        <v>706</v>
      </c>
      <c r="C160" t="s">
        <v>521</v>
      </c>
      <c r="D160" s="56" t="s">
        <v>1299</v>
      </c>
      <c r="E160" s="59">
        <v>50</v>
      </c>
      <c r="F160" t="s">
        <v>1300</v>
      </c>
    </row>
    <row r="161" spans="1:6" x14ac:dyDescent="0.3">
      <c r="A161" t="s">
        <v>723</v>
      </c>
      <c r="B161" t="s">
        <v>706</v>
      </c>
      <c r="C161" t="s">
        <v>521</v>
      </c>
      <c r="D161" s="56" t="s">
        <v>1301</v>
      </c>
      <c r="E161" s="59">
        <v>100</v>
      </c>
      <c r="F161" t="s">
        <v>1302</v>
      </c>
    </row>
    <row r="162" spans="1:6" x14ac:dyDescent="0.3">
      <c r="A162" t="s">
        <v>726</v>
      </c>
      <c r="B162" t="s">
        <v>706</v>
      </c>
      <c r="C162" t="s">
        <v>521</v>
      </c>
      <c r="D162" s="56" t="s">
        <v>1303</v>
      </c>
      <c r="E162" s="59">
        <v>0</v>
      </c>
      <c r="F162" t="s">
        <v>1304</v>
      </c>
    </row>
    <row r="163" spans="1:6" x14ac:dyDescent="0.3">
      <c r="A163" t="s">
        <v>726</v>
      </c>
      <c r="B163" t="s">
        <v>706</v>
      </c>
      <c r="C163" t="s">
        <v>521</v>
      </c>
      <c r="D163" s="56" t="s">
        <v>1305</v>
      </c>
      <c r="E163" s="59">
        <v>50</v>
      </c>
      <c r="F163" t="s">
        <v>1306</v>
      </c>
    </row>
    <row r="164" spans="1:6" x14ac:dyDescent="0.3">
      <c r="A164" t="s">
        <v>726</v>
      </c>
      <c r="B164" t="s">
        <v>706</v>
      </c>
      <c r="C164" t="s">
        <v>521</v>
      </c>
      <c r="D164" s="56" t="s">
        <v>1307</v>
      </c>
      <c r="E164" s="59">
        <v>100</v>
      </c>
      <c r="F164" t="s">
        <v>1308</v>
      </c>
    </row>
    <row r="165" spans="1:6" x14ac:dyDescent="0.3">
      <c r="A165" t="s">
        <v>729</v>
      </c>
      <c r="B165" t="s">
        <v>706</v>
      </c>
      <c r="C165" t="s">
        <v>521</v>
      </c>
      <c r="D165" s="56" t="s">
        <v>1097</v>
      </c>
      <c r="E165" s="59">
        <v>0</v>
      </c>
      <c r="F165" t="s">
        <v>1309</v>
      </c>
    </row>
    <row r="166" spans="1:6" x14ac:dyDescent="0.3">
      <c r="A166" t="s">
        <v>729</v>
      </c>
      <c r="B166" t="s">
        <v>706</v>
      </c>
      <c r="C166" t="s">
        <v>521</v>
      </c>
      <c r="D166" s="56" t="s">
        <v>1310</v>
      </c>
      <c r="E166" s="59">
        <v>50</v>
      </c>
      <c r="F166" t="s">
        <v>1311</v>
      </c>
    </row>
    <row r="167" spans="1:6" x14ac:dyDescent="0.3">
      <c r="A167" t="s">
        <v>729</v>
      </c>
      <c r="B167" t="s">
        <v>706</v>
      </c>
      <c r="C167" t="s">
        <v>521</v>
      </c>
      <c r="D167" s="56" t="s">
        <v>1312</v>
      </c>
      <c r="E167" s="59">
        <v>100</v>
      </c>
      <c r="F167" t="s">
        <v>1313</v>
      </c>
    </row>
    <row r="168" spans="1:6" x14ac:dyDescent="0.3">
      <c r="A168" t="s">
        <v>733</v>
      </c>
      <c r="B168" t="s">
        <v>734</v>
      </c>
      <c r="C168" t="s">
        <v>521</v>
      </c>
      <c r="D168" s="56" t="s">
        <v>1097</v>
      </c>
      <c r="E168" s="59">
        <v>0</v>
      </c>
      <c r="F168" t="s">
        <v>1314</v>
      </c>
    </row>
    <row r="169" spans="1:6" x14ac:dyDescent="0.3">
      <c r="A169" t="s">
        <v>733</v>
      </c>
      <c r="B169" t="s">
        <v>734</v>
      </c>
      <c r="C169" t="s">
        <v>521</v>
      </c>
      <c r="D169" s="56" t="s">
        <v>1315</v>
      </c>
      <c r="E169" s="59">
        <v>33</v>
      </c>
      <c r="F169" t="s">
        <v>1316</v>
      </c>
    </row>
    <row r="170" spans="1:6" x14ac:dyDescent="0.3">
      <c r="A170" t="s">
        <v>733</v>
      </c>
      <c r="B170" t="s">
        <v>734</v>
      </c>
      <c r="C170" t="s">
        <v>521</v>
      </c>
      <c r="D170" s="56" t="s">
        <v>1317</v>
      </c>
      <c r="E170" s="59">
        <v>67</v>
      </c>
      <c r="F170" t="s">
        <v>1318</v>
      </c>
    </row>
    <row r="171" spans="1:6" x14ac:dyDescent="0.3">
      <c r="A171" t="s">
        <v>733</v>
      </c>
      <c r="B171" t="s">
        <v>734</v>
      </c>
      <c r="C171" t="s">
        <v>521</v>
      </c>
      <c r="D171" s="56" t="s">
        <v>1319</v>
      </c>
      <c r="E171" s="59">
        <v>100</v>
      </c>
      <c r="F171" t="s">
        <v>1320</v>
      </c>
    </row>
    <row r="172" spans="1:6" x14ac:dyDescent="0.3">
      <c r="A172" t="s">
        <v>738</v>
      </c>
      <c r="B172" t="s">
        <v>734</v>
      </c>
      <c r="C172" t="s">
        <v>521</v>
      </c>
      <c r="D172" s="56" t="s">
        <v>1236</v>
      </c>
      <c r="E172" s="59">
        <v>0</v>
      </c>
      <c r="F172" t="s">
        <v>1321</v>
      </c>
    </row>
    <row r="173" spans="1:6" x14ac:dyDescent="0.3">
      <c r="A173" t="s">
        <v>738</v>
      </c>
      <c r="B173" t="s">
        <v>734</v>
      </c>
      <c r="C173" t="s">
        <v>521</v>
      </c>
      <c r="D173" s="56" t="s">
        <v>1322</v>
      </c>
      <c r="E173" s="59">
        <v>33</v>
      </c>
      <c r="F173" t="s">
        <v>1323</v>
      </c>
    </row>
    <row r="174" spans="1:6" x14ac:dyDescent="0.3">
      <c r="A174" t="s">
        <v>738</v>
      </c>
      <c r="B174" t="s">
        <v>734</v>
      </c>
      <c r="C174" t="s">
        <v>521</v>
      </c>
      <c r="D174" s="56" t="s">
        <v>1324</v>
      </c>
      <c r="E174" s="59">
        <v>67</v>
      </c>
      <c r="F174" t="s">
        <v>1325</v>
      </c>
    </row>
    <row r="175" spans="1:6" x14ac:dyDescent="0.3">
      <c r="A175" t="s">
        <v>738</v>
      </c>
      <c r="B175" t="s">
        <v>734</v>
      </c>
      <c r="C175" t="s">
        <v>521</v>
      </c>
      <c r="D175" s="56" t="s">
        <v>1326</v>
      </c>
      <c r="E175" s="59">
        <v>100</v>
      </c>
      <c r="F175" t="s">
        <v>1327</v>
      </c>
    </row>
    <row r="176" spans="1:6" x14ac:dyDescent="0.3">
      <c r="A176" t="s">
        <v>741</v>
      </c>
      <c r="B176" t="s">
        <v>734</v>
      </c>
      <c r="C176" t="s">
        <v>521</v>
      </c>
      <c r="D176" s="56" t="s">
        <v>1328</v>
      </c>
      <c r="E176" s="59">
        <v>25</v>
      </c>
      <c r="F176" t="s">
        <v>1329</v>
      </c>
    </row>
    <row r="177" spans="1:6" x14ac:dyDescent="0.3">
      <c r="A177" t="s">
        <v>741</v>
      </c>
      <c r="B177" t="s">
        <v>734</v>
      </c>
      <c r="C177" t="s">
        <v>521</v>
      </c>
      <c r="D177" s="56" t="s">
        <v>1330</v>
      </c>
      <c r="E177" s="59">
        <v>50</v>
      </c>
      <c r="F177" t="s">
        <v>1331</v>
      </c>
    </row>
    <row r="178" spans="1:6" x14ac:dyDescent="0.3">
      <c r="A178" t="s">
        <v>741</v>
      </c>
      <c r="B178" t="s">
        <v>734</v>
      </c>
      <c r="C178" t="s">
        <v>521</v>
      </c>
      <c r="D178" s="56" t="s">
        <v>1332</v>
      </c>
      <c r="E178" s="59">
        <v>75</v>
      </c>
      <c r="F178" t="s">
        <v>1333</v>
      </c>
    </row>
    <row r="179" spans="1:6" x14ac:dyDescent="0.3">
      <c r="A179" t="s">
        <v>741</v>
      </c>
      <c r="B179" t="s">
        <v>734</v>
      </c>
      <c r="C179" t="s">
        <v>521</v>
      </c>
      <c r="D179" s="56" t="s">
        <v>1334</v>
      </c>
      <c r="E179" s="59">
        <v>100</v>
      </c>
      <c r="F179" t="s">
        <v>1335</v>
      </c>
    </row>
    <row r="180" spans="1:6" x14ac:dyDescent="0.3">
      <c r="A180" t="s">
        <v>744</v>
      </c>
      <c r="B180" t="s">
        <v>734</v>
      </c>
      <c r="C180" t="s">
        <v>521</v>
      </c>
      <c r="D180" s="56" t="s">
        <v>1336</v>
      </c>
      <c r="E180" s="59">
        <v>0</v>
      </c>
      <c r="F180" t="s">
        <v>1337</v>
      </c>
    </row>
    <row r="181" spans="1:6" x14ac:dyDescent="0.3">
      <c r="A181" t="s">
        <v>744</v>
      </c>
      <c r="B181" t="s">
        <v>734</v>
      </c>
      <c r="C181" t="s">
        <v>521</v>
      </c>
      <c r="D181" s="56" t="s">
        <v>1338</v>
      </c>
      <c r="E181" s="59">
        <v>50</v>
      </c>
      <c r="F181" t="s">
        <v>1339</v>
      </c>
    </row>
    <row r="182" spans="1:6" x14ac:dyDescent="0.3">
      <c r="A182" t="s">
        <v>744</v>
      </c>
      <c r="B182" t="s">
        <v>734</v>
      </c>
      <c r="C182" t="s">
        <v>521</v>
      </c>
      <c r="D182" s="56" t="s">
        <v>1340</v>
      </c>
      <c r="E182" s="59">
        <v>100</v>
      </c>
      <c r="F182" t="s">
        <v>1341</v>
      </c>
    </row>
    <row r="183" spans="1:6" x14ac:dyDescent="0.3">
      <c r="A183" t="s">
        <v>747</v>
      </c>
      <c r="B183" t="s">
        <v>734</v>
      </c>
      <c r="C183" t="s">
        <v>521</v>
      </c>
      <c r="D183" s="56" t="s">
        <v>1342</v>
      </c>
      <c r="E183" s="59">
        <v>0</v>
      </c>
      <c r="F183" t="s">
        <v>1343</v>
      </c>
    </row>
    <row r="184" spans="1:6" x14ac:dyDescent="0.3">
      <c r="A184" t="s">
        <v>747</v>
      </c>
      <c r="B184" t="s">
        <v>734</v>
      </c>
      <c r="C184" t="s">
        <v>521</v>
      </c>
      <c r="D184" s="56" t="s">
        <v>1344</v>
      </c>
      <c r="E184" s="59">
        <v>50</v>
      </c>
      <c r="F184" t="s">
        <v>1345</v>
      </c>
    </row>
    <row r="185" spans="1:6" x14ac:dyDescent="0.3">
      <c r="A185" t="s">
        <v>747</v>
      </c>
      <c r="B185" t="s">
        <v>734</v>
      </c>
      <c r="C185" t="s">
        <v>521</v>
      </c>
      <c r="D185" s="56" t="s">
        <v>1346</v>
      </c>
      <c r="E185" s="59">
        <v>100</v>
      </c>
      <c r="F185" t="s">
        <v>1347</v>
      </c>
    </row>
    <row r="186" spans="1:6" x14ac:dyDescent="0.3">
      <c r="A186" t="s">
        <v>750</v>
      </c>
      <c r="B186" t="s">
        <v>734</v>
      </c>
      <c r="C186" t="s">
        <v>521</v>
      </c>
      <c r="D186" s="56" t="s">
        <v>1348</v>
      </c>
      <c r="E186" s="59">
        <v>0</v>
      </c>
      <c r="F186" t="s">
        <v>1349</v>
      </c>
    </row>
    <row r="187" spans="1:6" x14ac:dyDescent="0.3">
      <c r="A187" t="s">
        <v>750</v>
      </c>
      <c r="B187" t="s">
        <v>734</v>
      </c>
      <c r="C187" t="s">
        <v>521</v>
      </c>
      <c r="D187" s="56" t="s">
        <v>1350</v>
      </c>
      <c r="E187" s="59">
        <v>25</v>
      </c>
      <c r="F187" t="s">
        <v>1351</v>
      </c>
    </row>
    <row r="188" spans="1:6" x14ac:dyDescent="0.3">
      <c r="A188" t="s">
        <v>750</v>
      </c>
      <c r="B188" t="s">
        <v>734</v>
      </c>
      <c r="C188" t="s">
        <v>521</v>
      </c>
      <c r="D188" s="56" t="s">
        <v>1352</v>
      </c>
      <c r="E188" s="59">
        <v>50</v>
      </c>
      <c r="F188" t="s">
        <v>1353</v>
      </c>
    </row>
    <row r="189" spans="1:6" x14ac:dyDescent="0.3">
      <c r="A189" t="s">
        <v>750</v>
      </c>
      <c r="B189" t="s">
        <v>734</v>
      </c>
      <c r="C189" t="s">
        <v>521</v>
      </c>
      <c r="D189" s="56" t="s">
        <v>1354</v>
      </c>
      <c r="E189" s="59">
        <v>100</v>
      </c>
      <c r="F189" t="s">
        <v>1355</v>
      </c>
    </row>
    <row r="190" spans="1:6" x14ac:dyDescent="0.3">
      <c r="A190" t="s">
        <v>753</v>
      </c>
      <c r="B190" t="s">
        <v>734</v>
      </c>
      <c r="C190" t="s">
        <v>521</v>
      </c>
      <c r="D190" s="56" t="s">
        <v>1356</v>
      </c>
      <c r="E190" s="59">
        <v>0</v>
      </c>
      <c r="F190" t="s">
        <v>1357</v>
      </c>
    </row>
    <row r="191" spans="1:6" x14ac:dyDescent="0.3">
      <c r="A191" t="s">
        <v>753</v>
      </c>
      <c r="B191" t="s">
        <v>734</v>
      </c>
      <c r="C191" t="s">
        <v>521</v>
      </c>
      <c r="D191" s="56" t="s">
        <v>1358</v>
      </c>
      <c r="E191" s="59">
        <v>33</v>
      </c>
      <c r="F191" t="s">
        <v>1359</v>
      </c>
    </row>
    <row r="192" spans="1:6" x14ac:dyDescent="0.3">
      <c r="A192" t="s">
        <v>753</v>
      </c>
      <c r="B192" t="s">
        <v>734</v>
      </c>
      <c r="C192" t="s">
        <v>521</v>
      </c>
      <c r="D192" s="56" t="s">
        <v>1360</v>
      </c>
      <c r="E192" s="59">
        <v>67</v>
      </c>
      <c r="F192" t="s">
        <v>1361</v>
      </c>
    </row>
    <row r="193" spans="1:7" x14ac:dyDescent="0.3">
      <c r="A193" t="s">
        <v>753</v>
      </c>
      <c r="B193" t="s">
        <v>734</v>
      </c>
      <c r="C193" t="s">
        <v>521</v>
      </c>
      <c r="D193" s="56" t="s">
        <v>1362</v>
      </c>
      <c r="E193" s="59">
        <v>100</v>
      </c>
      <c r="F193" t="s">
        <v>1363</v>
      </c>
    </row>
    <row r="194" spans="1:7" ht="43.2" x14ac:dyDescent="0.3">
      <c r="A194" t="s">
        <v>756</v>
      </c>
      <c r="B194" t="s">
        <v>734</v>
      </c>
      <c r="C194" t="s">
        <v>521</v>
      </c>
      <c r="D194" s="56" t="s">
        <v>1364</v>
      </c>
      <c r="E194" s="59">
        <v>50</v>
      </c>
      <c r="F194" t="s">
        <v>1365</v>
      </c>
      <c r="G194" s="56" t="s">
        <v>1582</v>
      </c>
    </row>
    <row r="195" spans="1:7" ht="43.2" x14ac:dyDescent="0.3">
      <c r="A195" t="s">
        <v>756</v>
      </c>
      <c r="B195" t="s">
        <v>734</v>
      </c>
      <c r="C195" t="s">
        <v>521</v>
      </c>
      <c r="D195" s="56" t="s">
        <v>1366</v>
      </c>
      <c r="E195" s="59">
        <v>50</v>
      </c>
      <c r="F195" t="s">
        <v>1367</v>
      </c>
      <c r="G195" s="56" t="s">
        <v>1582</v>
      </c>
    </row>
    <row r="196" spans="1:7" ht="43.2" x14ac:dyDescent="0.3">
      <c r="A196" t="s">
        <v>756</v>
      </c>
      <c r="B196" t="s">
        <v>734</v>
      </c>
      <c r="C196" t="s">
        <v>521</v>
      </c>
      <c r="D196" s="56" t="s">
        <v>1368</v>
      </c>
      <c r="E196" s="59">
        <v>50</v>
      </c>
      <c r="F196" t="s">
        <v>1369</v>
      </c>
      <c r="G196" s="56" t="s">
        <v>1582</v>
      </c>
    </row>
    <row r="197" spans="1:7" ht="43.2" x14ac:dyDescent="0.3">
      <c r="A197" t="s">
        <v>756</v>
      </c>
      <c r="B197" t="s">
        <v>734</v>
      </c>
      <c r="C197" t="s">
        <v>521</v>
      </c>
      <c r="D197" s="56" t="s">
        <v>1370</v>
      </c>
      <c r="E197" s="59">
        <v>0</v>
      </c>
      <c r="F197" t="s">
        <v>1371</v>
      </c>
      <c r="G197" s="56" t="s">
        <v>1582</v>
      </c>
    </row>
    <row r="198" spans="1:7" ht="43.2" x14ac:dyDescent="0.3">
      <c r="A198" t="s">
        <v>756</v>
      </c>
      <c r="B198" t="s">
        <v>734</v>
      </c>
      <c r="C198" t="s">
        <v>521</v>
      </c>
      <c r="D198" s="56" t="s">
        <v>1372</v>
      </c>
      <c r="E198" s="59">
        <v>50</v>
      </c>
      <c r="F198" t="s">
        <v>1373</v>
      </c>
      <c r="G198" s="56" t="s">
        <v>1582</v>
      </c>
    </row>
    <row r="199" spans="1:7" ht="43.2" x14ac:dyDescent="0.3">
      <c r="A199" t="s">
        <v>756</v>
      </c>
      <c r="B199" t="s">
        <v>734</v>
      </c>
      <c r="C199" t="s">
        <v>521</v>
      </c>
      <c r="D199" s="56" t="s">
        <v>1374</v>
      </c>
      <c r="E199" s="59">
        <v>100</v>
      </c>
      <c r="F199" t="s">
        <v>1375</v>
      </c>
      <c r="G199" s="56" t="s">
        <v>1582</v>
      </c>
    </row>
    <row r="200" spans="1:7" x14ac:dyDescent="0.3">
      <c r="A200" t="s">
        <v>759</v>
      </c>
      <c r="B200" t="s">
        <v>734</v>
      </c>
      <c r="C200" t="s">
        <v>521</v>
      </c>
      <c r="D200" s="56" t="s">
        <v>1376</v>
      </c>
      <c r="E200" s="59">
        <v>100</v>
      </c>
      <c r="F200" t="s">
        <v>1377</v>
      </c>
    </row>
    <row r="201" spans="1:7" x14ac:dyDescent="0.3">
      <c r="A201" t="s">
        <v>759</v>
      </c>
      <c r="B201" t="s">
        <v>734</v>
      </c>
      <c r="C201" t="s">
        <v>521</v>
      </c>
      <c r="D201" s="56" t="s">
        <v>1378</v>
      </c>
      <c r="E201" s="59">
        <v>50</v>
      </c>
      <c r="F201" t="s">
        <v>1379</v>
      </c>
    </row>
    <row r="202" spans="1:7" x14ac:dyDescent="0.3">
      <c r="A202" t="s">
        <v>759</v>
      </c>
      <c r="B202" t="s">
        <v>734</v>
      </c>
      <c r="C202" t="s">
        <v>521</v>
      </c>
      <c r="D202" s="56" t="s">
        <v>1097</v>
      </c>
      <c r="E202" s="59">
        <v>0</v>
      </c>
      <c r="F202" t="s">
        <v>1380</v>
      </c>
    </row>
    <row r="203" spans="1:7" x14ac:dyDescent="0.3">
      <c r="A203" t="s">
        <v>759</v>
      </c>
      <c r="B203" t="s">
        <v>734</v>
      </c>
      <c r="C203" t="s">
        <v>521</v>
      </c>
      <c r="D203" s="56" t="s">
        <v>1099</v>
      </c>
      <c r="E203" s="59" t="s">
        <v>1100</v>
      </c>
      <c r="F203" t="s">
        <v>1381</v>
      </c>
      <c r="G203" s="56" t="s">
        <v>1102</v>
      </c>
    </row>
    <row r="204" spans="1:7" x14ac:dyDescent="0.3">
      <c r="A204" t="s">
        <v>763</v>
      </c>
      <c r="B204" t="s">
        <v>764</v>
      </c>
      <c r="C204" t="s">
        <v>521</v>
      </c>
      <c r="D204" s="56" t="s">
        <v>1382</v>
      </c>
      <c r="E204" s="59">
        <v>0</v>
      </c>
      <c r="F204" t="s">
        <v>1383</v>
      </c>
    </row>
    <row r="205" spans="1:7" x14ac:dyDescent="0.3">
      <c r="A205" t="s">
        <v>763</v>
      </c>
      <c r="B205" t="s">
        <v>764</v>
      </c>
      <c r="C205" t="s">
        <v>521</v>
      </c>
      <c r="D205" s="56" t="s">
        <v>1384</v>
      </c>
      <c r="E205" s="59">
        <v>50</v>
      </c>
      <c r="F205" t="s">
        <v>1385</v>
      </c>
    </row>
    <row r="206" spans="1:7" x14ac:dyDescent="0.3">
      <c r="A206" t="s">
        <v>763</v>
      </c>
      <c r="B206" t="s">
        <v>764</v>
      </c>
      <c r="C206" t="s">
        <v>521</v>
      </c>
      <c r="D206" s="56" t="s">
        <v>1386</v>
      </c>
      <c r="E206" s="59">
        <v>100</v>
      </c>
      <c r="F206" t="s">
        <v>1387</v>
      </c>
    </row>
    <row r="207" spans="1:7" x14ac:dyDescent="0.3">
      <c r="A207" t="s">
        <v>768</v>
      </c>
      <c r="B207" t="s">
        <v>764</v>
      </c>
      <c r="C207" t="s">
        <v>521</v>
      </c>
      <c r="D207" s="56" t="s">
        <v>1095</v>
      </c>
      <c r="E207" s="59">
        <v>100</v>
      </c>
      <c r="F207" t="s">
        <v>1388</v>
      </c>
    </row>
    <row r="208" spans="1:7" x14ac:dyDescent="0.3">
      <c r="A208" t="s">
        <v>768</v>
      </c>
      <c r="B208" t="s">
        <v>764</v>
      </c>
      <c r="C208" t="s">
        <v>521</v>
      </c>
      <c r="D208" s="56" t="s">
        <v>1097</v>
      </c>
      <c r="E208" s="59">
        <v>0</v>
      </c>
      <c r="F208" t="s">
        <v>1389</v>
      </c>
    </row>
    <row r="209" spans="1:7" ht="28.8" x14ac:dyDescent="0.3">
      <c r="A209" t="s">
        <v>770</v>
      </c>
      <c r="B209" t="s">
        <v>764</v>
      </c>
      <c r="C209" t="s">
        <v>521</v>
      </c>
      <c r="D209" s="56" t="s">
        <v>1099</v>
      </c>
      <c r="E209" s="59" t="s">
        <v>1100</v>
      </c>
      <c r="F209" t="s">
        <v>1390</v>
      </c>
      <c r="G209" s="56" t="s">
        <v>1583</v>
      </c>
    </row>
    <row r="210" spans="1:7" ht="28.8" x14ac:dyDescent="0.3">
      <c r="A210" t="s">
        <v>770</v>
      </c>
      <c r="B210" t="s">
        <v>764</v>
      </c>
      <c r="C210" t="s">
        <v>521</v>
      </c>
      <c r="D210" s="56" t="s">
        <v>1391</v>
      </c>
      <c r="E210" s="59">
        <v>33</v>
      </c>
      <c r="F210" t="s">
        <v>1392</v>
      </c>
      <c r="G210" s="56" t="s">
        <v>1584</v>
      </c>
    </row>
    <row r="211" spans="1:7" ht="28.8" x14ac:dyDescent="0.3">
      <c r="A211" t="s">
        <v>770</v>
      </c>
      <c r="B211" t="s">
        <v>764</v>
      </c>
      <c r="C211" t="s">
        <v>521</v>
      </c>
      <c r="D211" s="56" t="s">
        <v>1393</v>
      </c>
      <c r="E211" s="59">
        <v>67</v>
      </c>
      <c r="F211" t="s">
        <v>1394</v>
      </c>
      <c r="G211" s="56" t="s">
        <v>1584</v>
      </c>
    </row>
    <row r="212" spans="1:7" ht="28.8" x14ac:dyDescent="0.3">
      <c r="A212" t="s">
        <v>770</v>
      </c>
      <c r="B212" t="s">
        <v>764</v>
      </c>
      <c r="C212" t="s">
        <v>521</v>
      </c>
      <c r="D212" s="56" t="s">
        <v>1395</v>
      </c>
      <c r="E212" s="59">
        <v>100</v>
      </c>
      <c r="F212" t="s">
        <v>1396</v>
      </c>
      <c r="G212" s="56" t="s">
        <v>1584</v>
      </c>
    </row>
    <row r="213" spans="1:7" x14ac:dyDescent="0.3">
      <c r="A213" t="s">
        <v>773</v>
      </c>
      <c r="B213" t="s">
        <v>764</v>
      </c>
      <c r="C213" t="s">
        <v>521</v>
      </c>
      <c r="D213" s="56" t="s">
        <v>1397</v>
      </c>
      <c r="E213" s="59">
        <v>0</v>
      </c>
      <c r="F213" t="s">
        <v>1398</v>
      </c>
    </row>
    <row r="214" spans="1:7" x14ac:dyDescent="0.3">
      <c r="A214" t="s">
        <v>773</v>
      </c>
      <c r="B214" t="s">
        <v>764</v>
      </c>
      <c r="C214" t="s">
        <v>521</v>
      </c>
      <c r="D214" s="56" t="s">
        <v>1399</v>
      </c>
      <c r="E214" s="59">
        <v>33</v>
      </c>
      <c r="F214" t="s">
        <v>1400</v>
      </c>
    </row>
    <row r="215" spans="1:7" x14ac:dyDescent="0.3">
      <c r="A215" t="s">
        <v>773</v>
      </c>
      <c r="B215" t="s">
        <v>764</v>
      </c>
      <c r="C215" t="s">
        <v>521</v>
      </c>
      <c r="D215" s="56" t="s">
        <v>1401</v>
      </c>
      <c r="E215" s="59">
        <v>67</v>
      </c>
      <c r="F215" t="s">
        <v>1402</v>
      </c>
    </row>
    <row r="216" spans="1:7" x14ac:dyDescent="0.3">
      <c r="A216" t="s">
        <v>773</v>
      </c>
      <c r="B216" t="s">
        <v>764</v>
      </c>
      <c r="C216" t="s">
        <v>521</v>
      </c>
      <c r="D216" s="56" t="s">
        <v>1403</v>
      </c>
      <c r="E216" s="59">
        <v>100</v>
      </c>
      <c r="F216" t="s">
        <v>1404</v>
      </c>
    </row>
    <row r="217" spans="1:7" ht="43.2" x14ac:dyDescent="0.3">
      <c r="A217" t="s">
        <v>776</v>
      </c>
      <c r="B217" t="s">
        <v>764</v>
      </c>
      <c r="C217" t="s">
        <v>521</v>
      </c>
      <c r="D217" s="56" t="s">
        <v>1094</v>
      </c>
      <c r="E217" s="59"/>
      <c r="G217" s="56" t="s">
        <v>1585</v>
      </c>
    </row>
    <row r="218" spans="1:7" x14ac:dyDescent="0.3">
      <c r="A218" t="s">
        <v>779</v>
      </c>
      <c r="B218" t="s">
        <v>764</v>
      </c>
      <c r="C218" t="s">
        <v>521</v>
      </c>
      <c r="D218" s="56" t="s">
        <v>1405</v>
      </c>
      <c r="E218" s="59">
        <v>100</v>
      </c>
      <c r="F218" t="s">
        <v>1406</v>
      </c>
    </row>
    <row r="219" spans="1:7" x14ac:dyDescent="0.3">
      <c r="A219" t="s">
        <v>779</v>
      </c>
      <c r="B219" t="s">
        <v>764</v>
      </c>
      <c r="C219" t="s">
        <v>521</v>
      </c>
      <c r="D219" s="56" t="s">
        <v>1407</v>
      </c>
      <c r="E219" s="59">
        <v>50</v>
      </c>
      <c r="F219" t="s">
        <v>1408</v>
      </c>
    </row>
    <row r="220" spans="1:7" x14ac:dyDescent="0.3">
      <c r="A220" t="s">
        <v>779</v>
      </c>
      <c r="B220" t="s">
        <v>764</v>
      </c>
      <c r="C220" t="s">
        <v>521</v>
      </c>
      <c r="D220" s="56" t="s">
        <v>1097</v>
      </c>
      <c r="E220" s="59">
        <v>0</v>
      </c>
      <c r="F220" t="s">
        <v>1409</v>
      </c>
    </row>
    <row r="221" spans="1:7" x14ac:dyDescent="0.3">
      <c r="A221" t="s">
        <v>779</v>
      </c>
      <c r="B221" t="s">
        <v>764</v>
      </c>
      <c r="C221" t="s">
        <v>521</v>
      </c>
      <c r="D221" s="56" t="s">
        <v>1099</v>
      </c>
      <c r="E221" s="59" t="s">
        <v>1100</v>
      </c>
      <c r="F221" t="s">
        <v>1410</v>
      </c>
      <c r="G221" s="56" t="s">
        <v>1102</v>
      </c>
    </row>
    <row r="222" spans="1:7" x14ac:dyDescent="0.3">
      <c r="A222" t="s">
        <v>783</v>
      </c>
      <c r="B222" t="s">
        <v>764</v>
      </c>
      <c r="C222" t="s">
        <v>521</v>
      </c>
      <c r="D222" s="56" t="s">
        <v>1411</v>
      </c>
      <c r="E222" s="59">
        <v>100</v>
      </c>
      <c r="F222" t="s">
        <v>1412</v>
      </c>
    </row>
    <row r="223" spans="1:7" x14ac:dyDescent="0.3">
      <c r="A223" t="s">
        <v>783</v>
      </c>
      <c r="B223" t="s">
        <v>764</v>
      </c>
      <c r="C223" t="s">
        <v>521</v>
      </c>
      <c r="D223" s="56" t="s">
        <v>1413</v>
      </c>
      <c r="E223" s="59">
        <v>50</v>
      </c>
      <c r="F223" t="s">
        <v>1414</v>
      </c>
    </row>
    <row r="224" spans="1:7" x14ac:dyDescent="0.3">
      <c r="A224" t="s">
        <v>783</v>
      </c>
      <c r="B224" t="s">
        <v>764</v>
      </c>
      <c r="C224" t="s">
        <v>521</v>
      </c>
      <c r="D224" s="56" t="s">
        <v>1415</v>
      </c>
      <c r="E224" s="59">
        <v>0</v>
      </c>
      <c r="F224" t="s">
        <v>1416</v>
      </c>
    </row>
    <row r="225" spans="1:7" x14ac:dyDescent="0.3">
      <c r="A225" t="s">
        <v>783</v>
      </c>
      <c r="B225" t="s">
        <v>764</v>
      </c>
      <c r="C225" t="s">
        <v>521</v>
      </c>
      <c r="D225" s="56" t="s">
        <v>1099</v>
      </c>
      <c r="E225" s="59" t="s">
        <v>1100</v>
      </c>
      <c r="F225" t="s">
        <v>1417</v>
      </c>
      <c r="G225" s="56" t="s">
        <v>1102</v>
      </c>
    </row>
    <row r="226" spans="1:7" x14ac:dyDescent="0.3">
      <c r="A226" t="s">
        <v>788</v>
      </c>
      <c r="B226" t="s">
        <v>789</v>
      </c>
      <c r="C226" t="s">
        <v>624</v>
      </c>
      <c r="D226" s="56" t="s">
        <v>1140</v>
      </c>
      <c r="E226" s="59"/>
      <c r="G226" s="56" t="s">
        <v>1141</v>
      </c>
    </row>
    <row r="227" spans="1:7" x14ac:dyDescent="0.3">
      <c r="A227" t="s">
        <v>792</v>
      </c>
      <c r="B227" t="s">
        <v>789</v>
      </c>
      <c r="C227" t="s">
        <v>530</v>
      </c>
      <c r="D227" s="56" t="s">
        <v>1142</v>
      </c>
      <c r="E227" s="59"/>
      <c r="G227" s="56" t="s">
        <v>1143</v>
      </c>
    </row>
    <row r="228" spans="1:7" x14ac:dyDescent="0.3">
      <c r="A228" t="s">
        <v>794</v>
      </c>
      <c r="B228" t="s">
        <v>789</v>
      </c>
      <c r="C228" t="s">
        <v>521</v>
      </c>
      <c r="D228" s="56" t="s">
        <v>1236</v>
      </c>
      <c r="E228" s="59">
        <v>0</v>
      </c>
      <c r="F228" t="s">
        <v>1418</v>
      </c>
    </row>
    <row r="229" spans="1:7" x14ac:dyDescent="0.3">
      <c r="A229" t="s">
        <v>794</v>
      </c>
      <c r="B229" t="s">
        <v>789</v>
      </c>
      <c r="C229" t="s">
        <v>521</v>
      </c>
      <c r="D229" s="56" t="s">
        <v>1419</v>
      </c>
      <c r="E229" s="59">
        <v>50</v>
      </c>
      <c r="F229" t="s">
        <v>1420</v>
      </c>
    </row>
    <row r="230" spans="1:7" x14ac:dyDescent="0.3">
      <c r="A230" t="s">
        <v>794</v>
      </c>
      <c r="B230" t="s">
        <v>789</v>
      </c>
      <c r="C230" t="s">
        <v>521</v>
      </c>
      <c r="D230" s="56" t="s">
        <v>1421</v>
      </c>
      <c r="E230" s="59">
        <v>100</v>
      </c>
      <c r="F230" t="s">
        <v>1422</v>
      </c>
    </row>
    <row r="231" spans="1:7" x14ac:dyDescent="0.3">
      <c r="A231" t="s">
        <v>797</v>
      </c>
      <c r="B231" t="s">
        <v>789</v>
      </c>
      <c r="C231" t="s">
        <v>521</v>
      </c>
      <c r="D231" s="56" t="s">
        <v>1423</v>
      </c>
      <c r="E231" s="59">
        <v>0</v>
      </c>
      <c r="F231" t="s">
        <v>1424</v>
      </c>
    </row>
    <row r="232" spans="1:7" x14ac:dyDescent="0.3">
      <c r="A232" t="s">
        <v>797</v>
      </c>
      <c r="B232" t="s">
        <v>789</v>
      </c>
      <c r="C232" t="s">
        <v>521</v>
      </c>
      <c r="D232" s="56" t="s">
        <v>1425</v>
      </c>
      <c r="E232" s="59">
        <v>50</v>
      </c>
      <c r="F232" t="s">
        <v>1426</v>
      </c>
    </row>
    <row r="233" spans="1:7" x14ac:dyDescent="0.3">
      <c r="A233" t="s">
        <v>797</v>
      </c>
      <c r="B233" t="s">
        <v>789</v>
      </c>
      <c r="C233" t="s">
        <v>521</v>
      </c>
      <c r="D233" s="56" t="s">
        <v>1427</v>
      </c>
      <c r="E233" s="59">
        <v>100</v>
      </c>
      <c r="F233" t="s">
        <v>1428</v>
      </c>
    </row>
    <row r="234" spans="1:7" x14ac:dyDescent="0.3">
      <c r="A234" t="s">
        <v>801</v>
      </c>
      <c r="B234" t="s">
        <v>802</v>
      </c>
      <c r="C234" t="s">
        <v>521</v>
      </c>
      <c r="D234" s="56" t="s">
        <v>1429</v>
      </c>
      <c r="E234" s="59">
        <v>0</v>
      </c>
      <c r="F234" t="s">
        <v>1430</v>
      </c>
    </row>
    <row r="235" spans="1:7" x14ac:dyDescent="0.3">
      <c r="A235" t="s">
        <v>801</v>
      </c>
      <c r="B235" t="s">
        <v>802</v>
      </c>
      <c r="C235" t="s">
        <v>521</v>
      </c>
      <c r="D235" s="56" t="s">
        <v>1431</v>
      </c>
      <c r="E235" s="59">
        <v>50</v>
      </c>
      <c r="F235" t="s">
        <v>1432</v>
      </c>
    </row>
    <row r="236" spans="1:7" x14ac:dyDescent="0.3">
      <c r="A236" t="s">
        <v>801</v>
      </c>
      <c r="B236" t="s">
        <v>802</v>
      </c>
      <c r="C236" t="s">
        <v>521</v>
      </c>
      <c r="D236" s="56" t="s">
        <v>1433</v>
      </c>
      <c r="E236" s="59">
        <v>100</v>
      </c>
      <c r="F236" t="s">
        <v>1434</v>
      </c>
    </row>
    <row r="237" spans="1:7" x14ac:dyDescent="0.3">
      <c r="A237" t="s">
        <v>801</v>
      </c>
      <c r="B237" t="s">
        <v>802</v>
      </c>
      <c r="C237" t="s">
        <v>521</v>
      </c>
      <c r="D237" s="56" t="s">
        <v>1435</v>
      </c>
      <c r="E237" s="59" t="s">
        <v>1100</v>
      </c>
      <c r="F237" t="s">
        <v>1436</v>
      </c>
      <c r="G237" s="56" t="s">
        <v>1102</v>
      </c>
    </row>
    <row r="238" spans="1:7" ht="43.2" x14ac:dyDescent="0.3">
      <c r="A238" t="s">
        <v>806</v>
      </c>
      <c r="B238" t="s">
        <v>802</v>
      </c>
      <c r="C238" t="s">
        <v>521</v>
      </c>
      <c r="D238" s="56" t="s">
        <v>1437</v>
      </c>
      <c r="E238" s="59">
        <v>33</v>
      </c>
      <c r="F238" t="s">
        <v>1438</v>
      </c>
      <c r="G238" s="56" t="s">
        <v>1586</v>
      </c>
    </row>
    <row r="239" spans="1:7" ht="43.2" x14ac:dyDescent="0.3">
      <c r="A239" t="s">
        <v>806</v>
      </c>
      <c r="B239" t="s">
        <v>802</v>
      </c>
      <c r="C239" t="s">
        <v>521</v>
      </c>
      <c r="D239" s="56" t="s">
        <v>1439</v>
      </c>
      <c r="E239" s="59">
        <v>100</v>
      </c>
      <c r="F239" t="s">
        <v>1440</v>
      </c>
      <c r="G239" s="56" t="s">
        <v>1586</v>
      </c>
    </row>
    <row r="240" spans="1:7" ht="43.2" x14ac:dyDescent="0.3">
      <c r="A240" t="s">
        <v>806</v>
      </c>
      <c r="B240" t="s">
        <v>802</v>
      </c>
      <c r="C240" t="s">
        <v>521</v>
      </c>
      <c r="D240" s="56" t="s">
        <v>1441</v>
      </c>
      <c r="E240" s="59">
        <v>67</v>
      </c>
      <c r="F240" t="s">
        <v>1442</v>
      </c>
      <c r="G240" s="56" t="s">
        <v>1586</v>
      </c>
    </row>
    <row r="241" spans="1:7" ht="43.2" x14ac:dyDescent="0.3">
      <c r="A241" t="s">
        <v>806</v>
      </c>
      <c r="B241" t="s">
        <v>802</v>
      </c>
      <c r="C241" t="s">
        <v>521</v>
      </c>
      <c r="D241" s="56" t="s">
        <v>1443</v>
      </c>
      <c r="E241" s="59">
        <v>100</v>
      </c>
      <c r="F241" t="s">
        <v>1444</v>
      </c>
      <c r="G241" s="56" t="s">
        <v>1586</v>
      </c>
    </row>
    <row r="242" spans="1:7" ht="43.2" x14ac:dyDescent="0.3">
      <c r="A242" t="s">
        <v>806</v>
      </c>
      <c r="B242" t="s">
        <v>802</v>
      </c>
      <c r="C242" t="s">
        <v>521</v>
      </c>
      <c r="D242" s="56" t="s">
        <v>1099</v>
      </c>
      <c r="E242" s="59" t="s">
        <v>1100</v>
      </c>
      <c r="F242" t="s">
        <v>1445</v>
      </c>
      <c r="G242" s="56" t="s">
        <v>1587</v>
      </c>
    </row>
    <row r="243" spans="1:7" x14ac:dyDescent="0.3">
      <c r="A243" t="s">
        <v>809</v>
      </c>
      <c r="B243" t="s">
        <v>802</v>
      </c>
      <c r="C243" t="s">
        <v>521</v>
      </c>
      <c r="D243" s="56" t="s">
        <v>1446</v>
      </c>
      <c r="E243" s="59">
        <v>0</v>
      </c>
      <c r="F243" t="s">
        <v>1447</v>
      </c>
    </row>
    <row r="244" spans="1:7" x14ac:dyDescent="0.3">
      <c r="A244" t="s">
        <v>809</v>
      </c>
      <c r="B244" t="s">
        <v>802</v>
      </c>
      <c r="C244" t="s">
        <v>521</v>
      </c>
      <c r="D244" s="56" t="s">
        <v>1448</v>
      </c>
      <c r="E244" s="59">
        <v>50</v>
      </c>
      <c r="F244" t="s">
        <v>1449</v>
      </c>
    </row>
    <row r="245" spans="1:7" x14ac:dyDescent="0.3">
      <c r="A245" t="s">
        <v>809</v>
      </c>
      <c r="B245" t="s">
        <v>802</v>
      </c>
      <c r="C245" t="s">
        <v>521</v>
      </c>
      <c r="D245" s="56" t="s">
        <v>1186</v>
      </c>
      <c r="E245" s="59" t="s">
        <v>1100</v>
      </c>
      <c r="F245" t="s">
        <v>1450</v>
      </c>
      <c r="G245" s="56" t="s">
        <v>1102</v>
      </c>
    </row>
    <row r="246" spans="1:7" x14ac:dyDescent="0.3">
      <c r="A246" t="s">
        <v>809</v>
      </c>
      <c r="B246" t="s">
        <v>802</v>
      </c>
      <c r="C246" t="s">
        <v>521</v>
      </c>
      <c r="D246" s="56" t="s">
        <v>1451</v>
      </c>
      <c r="E246" s="59" t="s">
        <v>1100</v>
      </c>
      <c r="F246" t="s">
        <v>1452</v>
      </c>
      <c r="G246" s="56" t="s">
        <v>1102</v>
      </c>
    </row>
    <row r="247" spans="1:7" ht="28.8" x14ac:dyDescent="0.3">
      <c r="A247" t="s">
        <v>813</v>
      </c>
      <c r="B247" t="s">
        <v>814</v>
      </c>
      <c r="C247" t="s">
        <v>521</v>
      </c>
      <c r="D247" s="56" t="s">
        <v>1453</v>
      </c>
      <c r="E247" s="59">
        <v>0</v>
      </c>
      <c r="F247" t="s">
        <v>1454</v>
      </c>
      <c r="G247" s="56" t="s">
        <v>1588</v>
      </c>
    </row>
    <row r="248" spans="1:7" ht="28.8" x14ac:dyDescent="0.3">
      <c r="A248" t="s">
        <v>813</v>
      </c>
      <c r="B248" t="s">
        <v>814</v>
      </c>
      <c r="C248" t="s">
        <v>521</v>
      </c>
      <c r="D248" s="56" t="s">
        <v>1455</v>
      </c>
      <c r="E248" s="59">
        <v>33</v>
      </c>
      <c r="F248" t="s">
        <v>1456</v>
      </c>
      <c r="G248" s="56" t="s">
        <v>1588</v>
      </c>
    </row>
    <row r="249" spans="1:7" ht="28.8" x14ac:dyDescent="0.3">
      <c r="A249" t="s">
        <v>813</v>
      </c>
      <c r="B249" t="s">
        <v>814</v>
      </c>
      <c r="C249" t="s">
        <v>521</v>
      </c>
      <c r="D249" s="56" t="s">
        <v>1457</v>
      </c>
      <c r="E249" s="59">
        <v>100</v>
      </c>
      <c r="F249" t="s">
        <v>1458</v>
      </c>
      <c r="G249" s="56" t="s">
        <v>1588</v>
      </c>
    </row>
    <row r="250" spans="1:7" ht="43.2" x14ac:dyDescent="0.3">
      <c r="A250" t="s">
        <v>813</v>
      </c>
      <c r="B250" t="s">
        <v>814</v>
      </c>
      <c r="C250" t="s">
        <v>521</v>
      </c>
      <c r="D250" s="56" t="s">
        <v>1459</v>
      </c>
      <c r="E250" s="59" t="s">
        <v>1100</v>
      </c>
      <c r="F250" t="s">
        <v>1460</v>
      </c>
      <c r="G250" s="56" t="s">
        <v>1589</v>
      </c>
    </row>
    <row r="251" spans="1:7" ht="28.8" x14ac:dyDescent="0.3">
      <c r="A251" t="s">
        <v>818</v>
      </c>
      <c r="B251" t="s">
        <v>814</v>
      </c>
      <c r="C251" t="s">
        <v>521</v>
      </c>
      <c r="D251" s="56" t="s">
        <v>1095</v>
      </c>
      <c r="E251" s="59">
        <v>0</v>
      </c>
      <c r="F251" t="s">
        <v>1461</v>
      </c>
      <c r="G251" s="56" t="s">
        <v>1590</v>
      </c>
    </row>
    <row r="252" spans="1:7" ht="28.8" x14ac:dyDescent="0.3">
      <c r="A252" t="s">
        <v>818</v>
      </c>
      <c r="B252" t="s">
        <v>814</v>
      </c>
      <c r="C252" t="s">
        <v>521</v>
      </c>
      <c r="D252" s="56" t="s">
        <v>1097</v>
      </c>
      <c r="E252" s="59">
        <v>100</v>
      </c>
      <c r="F252" t="s">
        <v>1462</v>
      </c>
      <c r="G252" s="56" t="s">
        <v>1590</v>
      </c>
    </row>
    <row r="253" spans="1:7" x14ac:dyDescent="0.3">
      <c r="A253" t="s">
        <v>820</v>
      </c>
      <c r="B253" t="s">
        <v>814</v>
      </c>
      <c r="C253" t="s">
        <v>521</v>
      </c>
      <c r="D253" s="56" t="s">
        <v>1463</v>
      </c>
      <c r="E253" s="59">
        <v>100</v>
      </c>
      <c r="F253" t="s">
        <v>1464</v>
      </c>
    </row>
    <row r="254" spans="1:7" x14ac:dyDescent="0.3">
      <c r="A254" t="s">
        <v>820</v>
      </c>
      <c r="B254" t="s">
        <v>814</v>
      </c>
      <c r="C254" t="s">
        <v>521</v>
      </c>
      <c r="D254" s="56" t="s">
        <v>1465</v>
      </c>
      <c r="E254" s="59">
        <v>50</v>
      </c>
      <c r="F254" t="s">
        <v>1466</v>
      </c>
    </row>
    <row r="255" spans="1:7" x14ac:dyDescent="0.3">
      <c r="A255" t="s">
        <v>820</v>
      </c>
      <c r="B255" t="s">
        <v>814</v>
      </c>
      <c r="C255" t="s">
        <v>521</v>
      </c>
      <c r="D255" s="56" t="s">
        <v>1467</v>
      </c>
      <c r="E255" s="59">
        <v>0</v>
      </c>
      <c r="F255" t="s">
        <v>1468</v>
      </c>
    </row>
    <row r="256" spans="1:7" x14ac:dyDescent="0.3">
      <c r="A256" t="s">
        <v>820</v>
      </c>
      <c r="B256" t="s">
        <v>814</v>
      </c>
      <c r="C256" t="s">
        <v>521</v>
      </c>
      <c r="D256" s="56" t="s">
        <v>1099</v>
      </c>
      <c r="E256" s="59" t="s">
        <v>1100</v>
      </c>
      <c r="F256" t="s">
        <v>1469</v>
      </c>
      <c r="G256" s="56" t="s">
        <v>1102</v>
      </c>
    </row>
    <row r="257" spans="1:7" ht="28.8" x14ac:dyDescent="0.3">
      <c r="A257" t="s">
        <v>824</v>
      </c>
      <c r="B257" t="s">
        <v>825</v>
      </c>
      <c r="C257" t="s">
        <v>534</v>
      </c>
      <c r="D257" s="56" t="s">
        <v>1094</v>
      </c>
      <c r="E257" s="59"/>
      <c r="G257" s="56" t="s">
        <v>1591</v>
      </c>
    </row>
    <row r="258" spans="1:7" ht="28.8" x14ac:dyDescent="0.3">
      <c r="A258" t="s">
        <v>829</v>
      </c>
      <c r="B258" t="s">
        <v>825</v>
      </c>
      <c r="C258" t="s">
        <v>514</v>
      </c>
      <c r="D258" s="56" t="s">
        <v>496</v>
      </c>
      <c r="E258" s="59"/>
      <c r="G258" s="56" t="s">
        <v>1093</v>
      </c>
    </row>
    <row r="259" spans="1:7" ht="28.8" x14ac:dyDescent="0.3">
      <c r="A259" t="s">
        <v>831</v>
      </c>
      <c r="B259" t="s">
        <v>825</v>
      </c>
      <c r="C259" t="s">
        <v>521</v>
      </c>
      <c r="D259" s="56" t="s">
        <v>1095</v>
      </c>
      <c r="E259" s="59">
        <v>100</v>
      </c>
      <c r="F259" t="s">
        <v>1470</v>
      </c>
      <c r="G259" s="56" t="s">
        <v>1592</v>
      </c>
    </row>
    <row r="260" spans="1:7" ht="28.8" x14ac:dyDescent="0.3">
      <c r="A260" t="s">
        <v>831</v>
      </c>
      <c r="B260" t="s">
        <v>825</v>
      </c>
      <c r="C260" t="s">
        <v>521</v>
      </c>
      <c r="D260" s="56" t="s">
        <v>1471</v>
      </c>
      <c r="E260" s="59">
        <v>50</v>
      </c>
      <c r="F260" t="s">
        <v>1472</v>
      </c>
      <c r="G260" s="56" t="s">
        <v>1592</v>
      </c>
    </row>
    <row r="261" spans="1:7" ht="28.8" x14ac:dyDescent="0.3">
      <c r="A261" t="s">
        <v>831</v>
      </c>
      <c r="B261" t="s">
        <v>825</v>
      </c>
      <c r="C261" t="s">
        <v>521</v>
      </c>
      <c r="D261" s="56" t="s">
        <v>1097</v>
      </c>
      <c r="E261" s="59">
        <v>0</v>
      </c>
      <c r="F261" t="s">
        <v>1473</v>
      </c>
      <c r="G261" s="56" t="s">
        <v>1592</v>
      </c>
    </row>
    <row r="262" spans="1:7" ht="28.8" x14ac:dyDescent="0.3">
      <c r="A262" t="s">
        <v>831</v>
      </c>
      <c r="B262" t="s">
        <v>825</v>
      </c>
      <c r="C262" t="s">
        <v>521</v>
      </c>
      <c r="D262" s="56" t="s">
        <v>1474</v>
      </c>
      <c r="E262" s="59" t="s">
        <v>1100</v>
      </c>
      <c r="F262" t="s">
        <v>1475</v>
      </c>
      <c r="G262" s="56" t="s">
        <v>1593</v>
      </c>
    </row>
    <row r="263" spans="1:7" x14ac:dyDescent="0.3">
      <c r="A263" t="s">
        <v>835</v>
      </c>
      <c r="B263" t="s">
        <v>836</v>
      </c>
      <c r="C263" t="s">
        <v>521</v>
      </c>
      <c r="D263" s="56" t="s">
        <v>1476</v>
      </c>
      <c r="E263" s="59">
        <v>0</v>
      </c>
      <c r="F263" t="s">
        <v>1477</v>
      </c>
    </row>
    <row r="264" spans="1:7" x14ac:dyDescent="0.3">
      <c r="A264" t="s">
        <v>835</v>
      </c>
      <c r="B264" t="s">
        <v>836</v>
      </c>
      <c r="C264" t="s">
        <v>521</v>
      </c>
      <c r="D264" s="56" t="s">
        <v>1478</v>
      </c>
      <c r="E264" s="59">
        <v>1</v>
      </c>
      <c r="F264" t="s">
        <v>1479</v>
      </c>
    </row>
    <row r="265" spans="1:7" x14ac:dyDescent="0.3">
      <c r="A265" t="s">
        <v>835</v>
      </c>
      <c r="B265" t="s">
        <v>836</v>
      </c>
      <c r="C265" t="s">
        <v>521</v>
      </c>
      <c r="D265" s="56" t="s">
        <v>1480</v>
      </c>
      <c r="E265" s="59">
        <v>2</v>
      </c>
      <c r="F265" t="s">
        <v>1481</v>
      </c>
    </row>
    <row r="266" spans="1:7" x14ac:dyDescent="0.3">
      <c r="A266" t="s">
        <v>840</v>
      </c>
      <c r="B266" t="s">
        <v>841</v>
      </c>
      <c r="C266" t="s">
        <v>521</v>
      </c>
      <c r="D266" s="56" t="s">
        <v>1482</v>
      </c>
      <c r="E266" s="59">
        <v>0</v>
      </c>
      <c r="F266" t="s">
        <v>1483</v>
      </c>
    </row>
    <row r="267" spans="1:7" x14ac:dyDescent="0.3">
      <c r="A267" t="s">
        <v>840</v>
      </c>
      <c r="B267" t="s">
        <v>841</v>
      </c>
      <c r="C267" t="s">
        <v>521</v>
      </c>
      <c r="D267" s="56" t="s">
        <v>1484</v>
      </c>
      <c r="E267" s="59">
        <v>1</v>
      </c>
      <c r="F267" t="s">
        <v>1485</v>
      </c>
    </row>
    <row r="268" spans="1:7" x14ac:dyDescent="0.3">
      <c r="A268" t="s">
        <v>840</v>
      </c>
      <c r="B268" t="s">
        <v>841</v>
      </c>
      <c r="C268" t="s">
        <v>521</v>
      </c>
      <c r="D268" s="56" t="s">
        <v>1486</v>
      </c>
      <c r="E268" s="59">
        <v>2</v>
      </c>
      <c r="F268" t="s">
        <v>1487</v>
      </c>
    </row>
    <row r="269" spans="1:7" x14ac:dyDescent="0.3">
      <c r="A269" t="s">
        <v>845</v>
      </c>
      <c r="B269" t="s">
        <v>846</v>
      </c>
      <c r="C269" t="s">
        <v>521</v>
      </c>
      <c r="D269" s="56" t="s">
        <v>1482</v>
      </c>
      <c r="E269" s="59">
        <v>0</v>
      </c>
      <c r="F269" t="s">
        <v>1488</v>
      </c>
    </row>
    <row r="270" spans="1:7" x14ac:dyDescent="0.3">
      <c r="A270" t="s">
        <v>845</v>
      </c>
      <c r="B270" t="s">
        <v>846</v>
      </c>
      <c r="C270" t="s">
        <v>521</v>
      </c>
      <c r="D270" s="56" t="s">
        <v>1489</v>
      </c>
      <c r="E270" s="59">
        <v>1</v>
      </c>
      <c r="F270" t="s">
        <v>1490</v>
      </c>
    </row>
    <row r="271" spans="1:7" x14ac:dyDescent="0.3">
      <c r="A271" t="s">
        <v>845</v>
      </c>
      <c r="B271" t="s">
        <v>846</v>
      </c>
      <c r="C271" t="s">
        <v>521</v>
      </c>
      <c r="D271" s="56" t="s">
        <v>1491</v>
      </c>
      <c r="E271" s="59">
        <v>2</v>
      </c>
      <c r="F271" t="s">
        <v>1492</v>
      </c>
    </row>
    <row r="272" spans="1:7" x14ac:dyDescent="0.3">
      <c r="A272" t="s">
        <v>850</v>
      </c>
      <c r="B272" t="s">
        <v>851</v>
      </c>
      <c r="C272" t="s">
        <v>521</v>
      </c>
      <c r="D272" s="56" t="s">
        <v>1493</v>
      </c>
      <c r="E272" s="59">
        <v>0</v>
      </c>
      <c r="F272" t="s">
        <v>1494</v>
      </c>
    </row>
    <row r="273" spans="1:7" x14ac:dyDescent="0.3">
      <c r="A273" t="s">
        <v>850</v>
      </c>
      <c r="B273" t="s">
        <v>851</v>
      </c>
      <c r="C273" t="s">
        <v>521</v>
      </c>
      <c r="D273" s="56" t="s">
        <v>1495</v>
      </c>
      <c r="E273" s="59">
        <v>1</v>
      </c>
      <c r="F273" t="s">
        <v>1496</v>
      </c>
    </row>
    <row r="274" spans="1:7" x14ac:dyDescent="0.3">
      <c r="A274" t="s">
        <v>850</v>
      </c>
      <c r="B274" t="s">
        <v>851</v>
      </c>
      <c r="C274" t="s">
        <v>521</v>
      </c>
      <c r="D274" s="56" t="s">
        <v>1497</v>
      </c>
      <c r="E274" s="59">
        <v>2</v>
      </c>
      <c r="F274" t="s">
        <v>1498</v>
      </c>
    </row>
    <row r="275" spans="1:7" ht="43.2" x14ac:dyDescent="0.3">
      <c r="A275" t="s">
        <v>856</v>
      </c>
      <c r="B275" t="s">
        <v>857</v>
      </c>
      <c r="C275" t="s">
        <v>521</v>
      </c>
      <c r="D275" s="56" t="s">
        <v>1499</v>
      </c>
      <c r="E275" s="59">
        <v>100</v>
      </c>
      <c r="F275" t="s">
        <v>1500</v>
      </c>
      <c r="G275" s="56" t="s">
        <v>1594</v>
      </c>
    </row>
    <row r="276" spans="1:7" ht="43.2" x14ac:dyDescent="0.3">
      <c r="A276" t="s">
        <v>856</v>
      </c>
      <c r="B276" t="s">
        <v>857</v>
      </c>
      <c r="C276" t="s">
        <v>521</v>
      </c>
      <c r="D276" s="56" t="s">
        <v>1501</v>
      </c>
      <c r="E276" s="59">
        <v>75</v>
      </c>
      <c r="F276" t="s">
        <v>1502</v>
      </c>
      <c r="G276" s="56" t="s">
        <v>1594</v>
      </c>
    </row>
    <row r="277" spans="1:7" ht="43.2" x14ac:dyDescent="0.3">
      <c r="A277" t="s">
        <v>856</v>
      </c>
      <c r="B277" t="s">
        <v>857</v>
      </c>
      <c r="C277" t="s">
        <v>521</v>
      </c>
      <c r="D277" s="56" t="s">
        <v>1503</v>
      </c>
      <c r="E277" s="59">
        <v>25</v>
      </c>
      <c r="F277" t="s">
        <v>1504</v>
      </c>
      <c r="G277" s="56" t="s">
        <v>1594</v>
      </c>
    </row>
    <row r="278" spans="1:7" ht="43.2" x14ac:dyDescent="0.3">
      <c r="A278" t="s">
        <v>856</v>
      </c>
      <c r="B278" t="s">
        <v>857</v>
      </c>
      <c r="C278" t="s">
        <v>521</v>
      </c>
      <c r="D278" s="56" t="s">
        <v>1505</v>
      </c>
      <c r="E278" s="59">
        <v>50</v>
      </c>
      <c r="F278" t="s">
        <v>1506</v>
      </c>
      <c r="G278" s="56" t="s">
        <v>1594</v>
      </c>
    </row>
    <row r="279" spans="1:7" ht="43.2" x14ac:dyDescent="0.3">
      <c r="A279" t="s">
        <v>856</v>
      </c>
      <c r="B279" t="s">
        <v>857</v>
      </c>
      <c r="C279" t="s">
        <v>521</v>
      </c>
      <c r="D279" s="56" t="s">
        <v>1507</v>
      </c>
      <c r="E279" s="59">
        <v>50</v>
      </c>
      <c r="F279" t="s">
        <v>1508</v>
      </c>
      <c r="G279" s="56" t="s">
        <v>1594</v>
      </c>
    </row>
    <row r="280" spans="1:7" x14ac:dyDescent="0.3">
      <c r="A280" t="s">
        <v>861</v>
      </c>
      <c r="B280" t="s">
        <v>857</v>
      </c>
      <c r="C280" t="s">
        <v>521</v>
      </c>
      <c r="D280" s="56" t="s">
        <v>1095</v>
      </c>
      <c r="E280" s="59">
        <v>100</v>
      </c>
      <c r="F280" t="s">
        <v>1509</v>
      </c>
    </row>
    <row r="281" spans="1:7" x14ac:dyDescent="0.3">
      <c r="A281" t="s">
        <v>861</v>
      </c>
      <c r="B281" t="s">
        <v>857</v>
      </c>
      <c r="C281" t="s">
        <v>521</v>
      </c>
      <c r="D281" s="56" t="s">
        <v>1097</v>
      </c>
      <c r="E281" s="59">
        <v>0</v>
      </c>
      <c r="F281" t="s">
        <v>1510</v>
      </c>
    </row>
    <row r="282" spans="1:7" x14ac:dyDescent="0.3">
      <c r="A282" t="s">
        <v>861</v>
      </c>
      <c r="B282" t="s">
        <v>857</v>
      </c>
      <c r="C282" t="s">
        <v>521</v>
      </c>
      <c r="D282" s="56" t="s">
        <v>1099</v>
      </c>
      <c r="E282" s="59" t="s">
        <v>1100</v>
      </c>
      <c r="F282" t="s">
        <v>1511</v>
      </c>
      <c r="G282" s="56" t="s">
        <v>1102</v>
      </c>
    </row>
    <row r="283" spans="1:7" ht="28.8" x14ac:dyDescent="0.3">
      <c r="A283" t="s">
        <v>865</v>
      </c>
      <c r="B283" t="s">
        <v>866</v>
      </c>
      <c r="C283" t="s">
        <v>530</v>
      </c>
      <c r="D283" s="56" t="s">
        <v>496</v>
      </c>
      <c r="E283" s="59"/>
      <c r="G283" s="56" t="s">
        <v>1093</v>
      </c>
    </row>
    <row r="284" spans="1:7" ht="28.8" x14ac:dyDescent="0.3">
      <c r="A284" t="s">
        <v>869</v>
      </c>
      <c r="B284" t="s">
        <v>866</v>
      </c>
      <c r="C284" t="s">
        <v>530</v>
      </c>
      <c r="D284" s="56" t="s">
        <v>496</v>
      </c>
      <c r="E284" s="59"/>
      <c r="G284" s="56" t="s">
        <v>1093</v>
      </c>
    </row>
    <row r="285" spans="1:7" ht="28.8" x14ac:dyDescent="0.3">
      <c r="A285" t="s">
        <v>872</v>
      </c>
      <c r="B285" t="s">
        <v>866</v>
      </c>
      <c r="C285" t="s">
        <v>580</v>
      </c>
      <c r="D285" s="56" t="s">
        <v>496</v>
      </c>
      <c r="E285" s="59"/>
      <c r="G285" s="56" t="s">
        <v>1093</v>
      </c>
    </row>
    <row r="286" spans="1:7" ht="28.8" x14ac:dyDescent="0.3">
      <c r="A286" t="s">
        <v>875</v>
      </c>
      <c r="B286" t="s">
        <v>866</v>
      </c>
      <c r="C286" t="s">
        <v>530</v>
      </c>
      <c r="D286" s="56" t="s">
        <v>496</v>
      </c>
      <c r="E286" s="59"/>
      <c r="G286" s="56" t="s">
        <v>1093</v>
      </c>
    </row>
    <row r="287" spans="1:7" ht="28.8" x14ac:dyDescent="0.3">
      <c r="A287" t="s">
        <v>878</v>
      </c>
      <c r="B287" t="s">
        <v>866</v>
      </c>
      <c r="C287" t="s">
        <v>530</v>
      </c>
      <c r="D287" s="56" t="s">
        <v>496</v>
      </c>
      <c r="E287" s="59"/>
      <c r="G287" s="56" t="s">
        <v>1093</v>
      </c>
    </row>
    <row r="288" spans="1:7" ht="28.8" x14ac:dyDescent="0.3">
      <c r="A288" t="s">
        <v>881</v>
      </c>
      <c r="B288" t="s">
        <v>866</v>
      </c>
      <c r="C288" t="s">
        <v>530</v>
      </c>
      <c r="D288" s="56" t="s">
        <v>496</v>
      </c>
      <c r="E288" s="59"/>
      <c r="G288" s="56" t="s">
        <v>1093</v>
      </c>
    </row>
    <row r="289" spans="1:7" ht="28.8" x14ac:dyDescent="0.3">
      <c r="A289" t="s">
        <v>884</v>
      </c>
      <c r="B289" t="s">
        <v>866</v>
      </c>
      <c r="C289" t="s">
        <v>499</v>
      </c>
      <c r="D289" s="56" t="s">
        <v>496</v>
      </c>
      <c r="E289" s="59"/>
      <c r="G289" s="56" t="s">
        <v>1093</v>
      </c>
    </row>
    <row r="290" spans="1:7" ht="28.8" x14ac:dyDescent="0.3">
      <c r="A290" t="s">
        <v>887</v>
      </c>
      <c r="B290" t="s">
        <v>866</v>
      </c>
      <c r="C290" t="s">
        <v>530</v>
      </c>
      <c r="D290" s="56" t="s">
        <v>496</v>
      </c>
      <c r="E290" s="59"/>
      <c r="G290" s="56" t="s">
        <v>1093</v>
      </c>
    </row>
    <row r="291" spans="1:7" ht="28.8" x14ac:dyDescent="0.3">
      <c r="A291" t="s">
        <v>890</v>
      </c>
      <c r="B291" t="s">
        <v>866</v>
      </c>
      <c r="C291" t="s">
        <v>530</v>
      </c>
      <c r="D291" s="56" t="s">
        <v>496</v>
      </c>
      <c r="E291" s="59"/>
      <c r="G291" s="56" t="s">
        <v>1093</v>
      </c>
    </row>
    <row r="292" spans="1:7" ht="28.8" x14ac:dyDescent="0.3">
      <c r="A292" t="s">
        <v>893</v>
      </c>
      <c r="B292" t="s">
        <v>866</v>
      </c>
      <c r="C292" t="s">
        <v>530</v>
      </c>
      <c r="D292" s="56" t="s">
        <v>496</v>
      </c>
      <c r="E292" s="59"/>
      <c r="G292" s="56" t="s">
        <v>1093</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C7C-93AC-4E8B-9184-3D3DC68D4062}">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70" t="s">
        <v>1512</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row>
    <row r="2" spans="1:121" s="61" customFormat="1" ht="150" customHeight="1" x14ac:dyDescent="0.3">
      <c r="A2" s="60" t="s">
        <v>1513</v>
      </c>
      <c r="B2" s="60" t="s">
        <v>897</v>
      </c>
      <c r="C2" s="60" t="s">
        <v>493</v>
      </c>
      <c r="D2" s="60" t="s">
        <v>498</v>
      </c>
      <c r="E2" s="60" t="s">
        <v>501</v>
      </c>
      <c r="F2" s="60" t="s">
        <v>506</v>
      </c>
      <c r="G2" s="60" t="s">
        <v>509</v>
      </c>
      <c r="H2" s="60" t="s">
        <v>512</v>
      </c>
      <c r="I2" s="60" t="s">
        <v>516</v>
      </c>
      <c r="J2" s="60" t="s">
        <v>519</v>
      </c>
      <c r="K2" s="60" t="s">
        <v>524</v>
      </c>
      <c r="L2" s="60" t="s">
        <v>528</v>
      </c>
      <c r="M2" s="60" t="s">
        <v>532</v>
      </c>
      <c r="N2" s="60" t="s">
        <v>537</v>
      </c>
      <c r="O2" s="60" t="s">
        <v>541</v>
      </c>
      <c r="P2" s="60" t="s">
        <v>545</v>
      </c>
      <c r="Q2" s="60" t="s">
        <v>548</v>
      </c>
      <c r="R2" s="60" t="s">
        <v>551</v>
      </c>
      <c r="S2" s="60" t="s">
        <v>555</v>
      </c>
      <c r="T2" s="60" t="s">
        <v>558</v>
      </c>
      <c r="U2" s="60" t="s">
        <v>562</v>
      </c>
      <c r="V2" s="60" t="s">
        <v>565</v>
      </c>
      <c r="W2" s="60" t="s">
        <v>5</v>
      </c>
      <c r="X2" s="60" t="s">
        <v>573</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602</v>
      </c>
      <c r="AM2" s="60" t="s">
        <v>607</v>
      </c>
      <c r="AN2" s="60" t="s">
        <v>611</v>
      </c>
      <c r="AO2" s="60" t="s">
        <v>615</v>
      </c>
      <c r="AP2" s="60" t="s">
        <v>617</v>
      </c>
      <c r="AQ2" s="60" t="s">
        <v>621</v>
      </c>
      <c r="AR2" s="60" t="s">
        <v>627</v>
      </c>
      <c r="AS2" s="60" t="s">
        <v>629</v>
      </c>
      <c r="AT2" s="60" t="s">
        <v>632</v>
      </c>
      <c r="AU2" s="60" t="s">
        <v>635</v>
      </c>
      <c r="AV2" s="60" t="s">
        <v>638</v>
      </c>
      <c r="AW2" s="60" t="s">
        <v>642</v>
      </c>
      <c r="AX2" s="60" t="s">
        <v>645</v>
      </c>
      <c r="AY2" s="60" t="s">
        <v>650</v>
      </c>
      <c r="AZ2" s="60" t="s">
        <v>654</v>
      </c>
      <c r="BA2" s="60" t="s">
        <v>657</v>
      </c>
      <c r="BB2" s="60" t="s">
        <v>659</v>
      </c>
      <c r="BC2" s="60" t="s">
        <v>662</v>
      </c>
      <c r="BD2" s="60" t="s">
        <v>665</v>
      </c>
      <c r="BE2" s="60" t="s">
        <v>668</v>
      </c>
      <c r="BF2" s="60" t="s">
        <v>670</v>
      </c>
      <c r="BG2" s="60" t="s">
        <v>673</v>
      </c>
      <c r="BH2" s="60" t="s">
        <v>676</v>
      </c>
      <c r="BI2" s="60" t="s">
        <v>679</v>
      </c>
      <c r="BJ2" s="60" t="s">
        <v>682</v>
      </c>
      <c r="BK2" s="60" t="s">
        <v>685</v>
      </c>
      <c r="BL2" s="60" t="s">
        <v>690</v>
      </c>
      <c r="BM2" s="60" t="s">
        <v>695</v>
      </c>
      <c r="BN2" s="60" t="s">
        <v>697</v>
      </c>
      <c r="BO2" s="60" t="s">
        <v>700</v>
      </c>
      <c r="BP2" s="60" t="s">
        <v>705</v>
      </c>
      <c r="BQ2" s="60" t="s">
        <v>709</v>
      </c>
      <c r="BR2" s="60" t="s">
        <v>711</v>
      </c>
      <c r="BS2" s="60" t="s">
        <v>714</v>
      </c>
      <c r="BT2" s="60" t="s">
        <v>717</v>
      </c>
      <c r="BU2" s="60" t="s">
        <v>720</v>
      </c>
      <c r="BV2" s="60" t="s">
        <v>723</v>
      </c>
      <c r="BW2" s="60" t="s">
        <v>726</v>
      </c>
      <c r="BX2" s="60" t="s">
        <v>729</v>
      </c>
      <c r="BY2" s="60" t="s">
        <v>733</v>
      </c>
      <c r="BZ2" s="60" t="s">
        <v>738</v>
      </c>
      <c r="CA2" s="60" t="s">
        <v>741</v>
      </c>
      <c r="CB2" s="60" t="s">
        <v>744</v>
      </c>
      <c r="CC2" s="60" t="s">
        <v>747</v>
      </c>
      <c r="CD2" s="60" t="s">
        <v>750</v>
      </c>
      <c r="CE2" s="60" t="s">
        <v>753</v>
      </c>
      <c r="CF2" s="60" t="s">
        <v>756</v>
      </c>
      <c r="CG2" s="60" t="s">
        <v>759</v>
      </c>
      <c r="CH2" s="60" t="s">
        <v>763</v>
      </c>
      <c r="CI2" s="60" t="s">
        <v>768</v>
      </c>
      <c r="CJ2" s="60" t="s">
        <v>770</v>
      </c>
      <c r="CK2" s="60" t="s">
        <v>773</v>
      </c>
      <c r="CL2" s="60" t="s">
        <v>776</v>
      </c>
      <c r="CM2" s="60" t="s">
        <v>779</v>
      </c>
      <c r="CN2" s="60" t="s">
        <v>783</v>
      </c>
      <c r="CO2" s="60" t="s">
        <v>788</v>
      </c>
      <c r="CP2" s="60" t="s">
        <v>792</v>
      </c>
      <c r="CQ2" s="60" t="s">
        <v>794</v>
      </c>
      <c r="CR2" s="60" t="s">
        <v>797</v>
      </c>
      <c r="CS2" s="60" t="s">
        <v>801</v>
      </c>
      <c r="CT2" s="60" t="s">
        <v>806</v>
      </c>
      <c r="CU2" s="60" t="s">
        <v>809</v>
      </c>
      <c r="CV2" s="60" t="s">
        <v>813</v>
      </c>
      <c r="CW2" s="60" t="s">
        <v>818</v>
      </c>
      <c r="CX2" s="60" t="s">
        <v>820</v>
      </c>
      <c r="CY2" s="60" t="s">
        <v>824</v>
      </c>
      <c r="CZ2" s="60" t="s">
        <v>829</v>
      </c>
      <c r="DA2" s="60" t="s">
        <v>831</v>
      </c>
      <c r="DB2" s="60" t="s">
        <v>835</v>
      </c>
      <c r="DC2" s="60" t="s">
        <v>840</v>
      </c>
      <c r="DD2" s="60" t="s">
        <v>845</v>
      </c>
      <c r="DE2" s="60" t="s">
        <v>850</v>
      </c>
      <c r="DF2" s="60" t="s">
        <v>856</v>
      </c>
      <c r="DG2" s="60" t="s">
        <v>861</v>
      </c>
      <c r="DH2" s="60" t="s">
        <v>865</v>
      </c>
      <c r="DI2" s="60" t="s">
        <v>869</v>
      </c>
      <c r="DJ2" s="60" t="s">
        <v>872</v>
      </c>
      <c r="DK2" s="60" t="s">
        <v>875</v>
      </c>
      <c r="DL2" s="60" t="s">
        <v>878</v>
      </c>
      <c r="DM2" s="60" t="s">
        <v>881</v>
      </c>
      <c r="DN2" s="60" t="s">
        <v>884</v>
      </c>
      <c r="DO2" s="60" t="s">
        <v>887</v>
      </c>
      <c r="DP2" s="60" t="s">
        <v>890</v>
      </c>
      <c r="DQ2" s="60" t="s">
        <v>893</v>
      </c>
    </row>
    <row r="3" spans="1:121" x14ac:dyDescent="0.3">
      <c r="A3">
        <v>20118578415</v>
      </c>
      <c r="B3" t="s">
        <v>61</v>
      </c>
    </row>
    <row r="4" spans="1:121" x14ac:dyDescent="0.3">
      <c r="A4">
        <v>20129156083</v>
      </c>
      <c r="B4" t="s">
        <v>69</v>
      </c>
    </row>
    <row r="5" spans="1:121" x14ac:dyDescent="0.3">
      <c r="A5">
        <v>20129529530</v>
      </c>
      <c r="B5" t="s">
        <v>74</v>
      </c>
    </row>
    <row r="6" spans="1:121" x14ac:dyDescent="0.3">
      <c r="A6">
        <v>20132489824</v>
      </c>
      <c r="B6" t="s">
        <v>77</v>
      </c>
    </row>
    <row r="7" spans="1:121" x14ac:dyDescent="0.3">
      <c r="A7">
        <v>20132505455</v>
      </c>
      <c r="B7" t="s">
        <v>80</v>
      </c>
    </row>
    <row r="8" spans="1:121" x14ac:dyDescent="0.3">
      <c r="A8">
        <v>20132509795</v>
      </c>
      <c r="B8" t="s">
        <v>83</v>
      </c>
    </row>
    <row r="9" spans="1:121" x14ac:dyDescent="0.3">
      <c r="A9">
        <v>20132509876</v>
      </c>
      <c r="B9" t="s">
        <v>85</v>
      </c>
    </row>
    <row r="10" spans="1:121" x14ac:dyDescent="0.3">
      <c r="A10">
        <v>20132517119</v>
      </c>
      <c r="B10" t="s">
        <v>87</v>
      </c>
    </row>
    <row r="11" spans="1:121" x14ac:dyDescent="0.3">
      <c r="A11">
        <v>20136201132</v>
      </c>
      <c r="B11" t="s">
        <v>89</v>
      </c>
    </row>
    <row r="12" spans="1:121" x14ac:dyDescent="0.3">
      <c r="A12">
        <v>20136201213</v>
      </c>
      <c r="B12" t="s">
        <v>91</v>
      </c>
    </row>
    <row r="13" spans="1:121" x14ac:dyDescent="0.3">
      <c r="A13">
        <v>20140292657</v>
      </c>
      <c r="B13" t="s">
        <v>94</v>
      </c>
    </row>
    <row r="14" spans="1:121" x14ac:dyDescent="0.3">
      <c r="A14">
        <v>20143692010</v>
      </c>
      <c r="B14" t="s">
        <v>96</v>
      </c>
    </row>
    <row r="15" spans="1:121" x14ac:dyDescent="0.3">
      <c r="A15">
        <v>20145484597</v>
      </c>
      <c r="B15" t="s">
        <v>98</v>
      </c>
    </row>
    <row r="16" spans="1:121" x14ac:dyDescent="0.3">
      <c r="A16">
        <v>20146696041</v>
      </c>
      <c r="B16" t="s">
        <v>100</v>
      </c>
    </row>
    <row r="17" spans="1:2" x14ac:dyDescent="0.3">
      <c r="A17">
        <v>20147443120</v>
      </c>
      <c r="B17" t="s">
        <v>103</v>
      </c>
    </row>
    <row r="18" spans="1:2" x14ac:dyDescent="0.3">
      <c r="A18">
        <v>20166786861</v>
      </c>
      <c r="B18" t="s">
        <v>106</v>
      </c>
    </row>
    <row r="19" spans="1:2" x14ac:dyDescent="0.3">
      <c r="A19">
        <v>20170142773</v>
      </c>
      <c r="B19" t="s">
        <v>109</v>
      </c>
    </row>
    <row r="20" spans="1:2" x14ac:dyDescent="0.3">
      <c r="A20">
        <v>20200880448</v>
      </c>
      <c r="B20" t="s">
        <v>112</v>
      </c>
    </row>
    <row r="21" spans="1:2" x14ac:dyDescent="0.3">
      <c r="A21">
        <v>20352417018</v>
      </c>
      <c r="B21" t="s">
        <v>114</v>
      </c>
    </row>
    <row r="22" spans="1:2" x14ac:dyDescent="0.3">
      <c r="A22">
        <v>20352423921</v>
      </c>
      <c r="B22" t="s">
        <v>116</v>
      </c>
    </row>
    <row r="23" spans="1:2" x14ac:dyDescent="0.3">
      <c r="A23">
        <v>20393152207</v>
      </c>
      <c r="B23" t="s">
        <v>119</v>
      </c>
    </row>
    <row r="24" spans="1:2" x14ac:dyDescent="0.3">
      <c r="A24">
        <v>20393593670</v>
      </c>
      <c r="B24" t="s">
        <v>121</v>
      </c>
    </row>
    <row r="25" spans="1:2" x14ac:dyDescent="0.3">
      <c r="A25">
        <v>20393692228</v>
      </c>
      <c r="B25" t="s">
        <v>124</v>
      </c>
    </row>
    <row r="26" spans="1:2" x14ac:dyDescent="0.3">
      <c r="A26">
        <v>20393786044</v>
      </c>
      <c r="B26" t="s">
        <v>126</v>
      </c>
    </row>
    <row r="27" spans="1:2" x14ac:dyDescent="0.3">
      <c r="A27">
        <v>20393816211</v>
      </c>
      <c r="B27" t="s">
        <v>128</v>
      </c>
    </row>
    <row r="28" spans="1:2" x14ac:dyDescent="0.3">
      <c r="A28">
        <v>20393882868</v>
      </c>
      <c r="B28" t="s">
        <v>130</v>
      </c>
    </row>
    <row r="29" spans="1:2" x14ac:dyDescent="0.3">
      <c r="A29">
        <v>20393972000</v>
      </c>
      <c r="B29" t="s">
        <v>132</v>
      </c>
    </row>
    <row r="30" spans="1:2" x14ac:dyDescent="0.3">
      <c r="A30">
        <v>20447888701</v>
      </c>
      <c r="B30" t="s">
        <v>134</v>
      </c>
    </row>
    <row r="31" spans="1:2" x14ac:dyDescent="0.3">
      <c r="A31">
        <v>20450189201</v>
      </c>
      <c r="B31" t="s">
        <v>136</v>
      </c>
    </row>
    <row r="32" spans="1:2" x14ac:dyDescent="0.3">
      <c r="A32">
        <v>20450207544</v>
      </c>
      <c r="B32" t="s">
        <v>139</v>
      </c>
    </row>
    <row r="33" spans="1:2" x14ac:dyDescent="0.3">
      <c r="A33">
        <v>20450242021</v>
      </c>
      <c r="B33" t="s">
        <v>141</v>
      </c>
    </row>
    <row r="34" spans="1:2" x14ac:dyDescent="0.3">
      <c r="A34">
        <v>20450319423</v>
      </c>
      <c r="B34" t="s">
        <v>143</v>
      </c>
    </row>
    <row r="35" spans="1:2" x14ac:dyDescent="0.3">
      <c r="A35">
        <v>20452774705</v>
      </c>
      <c r="B35" t="s">
        <v>145</v>
      </c>
    </row>
    <row r="36" spans="1:2" x14ac:dyDescent="0.3">
      <c r="A36">
        <v>20479595276</v>
      </c>
      <c r="B36" t="s">
        <v>147</v>
      </c>
    </row>
    <row r="37" spans="1:2" x14ac:dyDescent="0.3">
      <c r="A37">
        <v>20479622699</v>
      </c>
      <c r="B37" t="s">
        <v>150</v>
      </c>
    </row>
    <row r="38" spans="1:2" x14ac:dyDescent="0.3">
      <c r="A38">
        <v>20479856258</v>
      </c>
      <c r="B38" t="s">
        <v>152</v>
      </c>
    </row>
    <row r="39" spans="1:2" x14ac:dyDescent="0.3">
      <c r="A39">
        <v>20479917141</v>
      </c>
      <c r="B39" t="s">
        <v>154</v>
      </c>
    </row>
    <row r="40" spans="1:2" x14ac:dyDescent="0.3">
      <c r="A40">
        <v>20480458550</v>
      </c>
      <c r="B40" t="s">
        <v>156</v>
      </c>
    </row>
    <row r="41" spans="1:2" x14ac:dyDescent="0.3">
      <c r="A41">
        <v>20480762895</v>
      </c>
      <c r="B41" t="s">
        <v>158</v>
      </c>
    </row>
    <row r="42" spans="1:2" x14ac:dyDescent="0.3">
      <c r="A42">
        <v>20484163902</v>
      </c>
      <c r="B42" t="s">
        <v>160</v>
      </c>
    </row>
    <row r="43" spans="1:2" x14ac:dyDescent="0.3">
      <c r="A43">
        <v>20485945815</v>
      </c>
      <c r="B43" t="s">
        <v>162</v>
      </c>
    </row>
    <row r="44" spans="1:2" x14ac:dyDescent="0.3">
      <c r="A44">
        <v>20486094657</v>
      </c>
      <c r="B44" t="s">
        <v>164</v>
      </c>
    </row>
    <row r="45" spans="1:2" x14ac:dyDescent="0.3">
      <c r="A45">
        <v>20486255090</v>
      </c>
      <c r="B45" t="s">
        <v>166</v>
      </c>
    </row>
    <row r="46" spans="1:2" x14ac:dyDescent="0.3">
      <c r="A46">
        <v>20486668335</v>
      </c>
      <c r="B46" t="s">
        <v>168</v>
      </c>
    </row>
    <row r="47" spans="1:2" x14ac:dyDescent="0.3">
      <c r="A47">
        <v>20486876019</v>
      </c>
      <c r="B47" t="s">
        <v>170</v>
      </c>
    </row>
    <row r="48" spans="1:2" x14ac:dyDescent="0.3">
      <c r="A48">
        <v>20486973219</v>
      </c>
      <c r="B48" t="s">
        <v>172</v>
      </c>
    </row>
    <row r="49" spans="1:2" x14ac:dyDescent="0.3">
      <c r="A49">
        <v>20487242994</v>
      </c>
      <c r="B49" t="s">
        <v>174</v>
      </c>
    </row>
    <row r="50" spans="1:2" x14ac:dyDescent="0.3">
      <c r="A50">
        <v>20487351343</v>
      </c>
      <c r="B50" t="s">
        <v>176</v>
      </c>
    </row>
    <row r="51" spans="1:2" x14ac:dyDescent="0.3">
      <c r="A51">
        <v>20487661539</v>
      </c>
      <c r="B51" t="s">
        <v>179</v>
      </c>
    </row>
    <row r="52" spans="1:2" x14ac:dyDescent="0.3">
      <c r="A52">
        <v>20490726196</v>
      </c>
      <c r="B52" t="s">
        <v>181</v>
      </c>
    </row>
    <row r="53" spans="1:2" x14ac:dyDescent="0.3">
      <c r="A53">
        <v>20493934822</v>
      </c>
      <c r="B53" t="s">
        <v>183</v>
      </c>
    </row>
    <row r="54" spans="1:2" x14ac:dyDescent="0.3">
      <c r="A54">
        <v>20493959574</v>
      </c>
      <c r="B54" t="s">
        <v>185</v>
      </c>
    </row>
    <row r="55" spans="1:2" x14ac:dyDescent="0.3">
      <c r="A55">
        <v>20494126819</v>
      </c>
      <c r="B55" t="s">
        <v>187</v>
      </c>
    </row>
    <row r="56" spans="1:2" x14ac:dyDescent="0.3">
      <c r="A56">
        <v>20494145791</v>
      </c>
      <c r="B56" t="s">
        <v>189</v>
      </c>
    </row>
    <row r="57" spans="1:2" x14ac:dyDescent="0.3">
      <c r="A57">
        <v>20494699690</v>
      </c>
      <c r="B57" t="s">
        <v>192</v>
      </c>
    </row>
    <row r="58" spans="1:2" x14ac:dyDescent="0.3">
      <c r="A58">
        <v>20525969551</v>
      </c>
      <c r="B58" t="s">
        <v>194</v>
      </c>
    </row>
    <row r="59" spans="1:2" x14ac:dyDescent="0.3">
      <c r="A59">
        <v>20526514689</v>
      </c>
      <c r="B59" t="s">
        <v>196</v>
      </c>
    </row>
    <row r="60" spans="1:2" x14ac:dyDescent="0.3">
      <c r="A60">
        <v>20527565376</v>
      </c>
      <c r="B60" t="s">
        <v>198</v>
      </c>
    </row>
    <row r="61" spans="1:2" x14ac:dyDescent="0.3">
      <c r="A61">
        <v>20528996214</v>
      </c>
      <c r="B61" t="s">
        <v>201</v>
      </c>
    </row>
    <row r="62" spans="1:2" x14ac:dyDescent="0.3">
      <c r="A62">
        <v>20529801433</v>
      </c>
      <c r="B62" t="s">
        <v>203</v>
      </c>
    </row>
    <row r="63" spans="1:2" x14ac:dyDescent="0.3">
      <c r="A63">
        <v>20529822350</v>
      </c>
      <c r="B63" t="s">
        <v>205</v>
      </c>
    </row>
    <row r="64" spans="1:2" x14ac:dyDescent="0.3">
      <c r="A64">
        <v>20531405723</v>
      </c>
      <c r="B64" t="s">
        <v>207</v>
      </c>
    </row>
    <row r="65" spans="1:2" x14ac:dyDescent="0.3">
      <c r="A65">
        <v>20531441797</v>
      </c>
      <c r="B65" t="s">
        <v>209</v>
      </c>
    </row>
    <row r="66" spans="1:2" x14ac:dyDescent="0.3">
      <c r="A66">
        <v>20534524774</v>
      </c>
      <c r="B66" t="s">
        <v>211</v>
      </c>
    </row>
    <row r="67" spans="1:2" x14ac:dyDescent="0.3">
      <c r="A67">
        <v>20539205600</v>
      </c>
      <c r="B67" t="s">
        <v>213</v>
      </c>
    </row>
    <row r="68" spans="1:2" x14ac:dyDescent="0.3">
      <c r="A68">
        <v>20539241665</v>
      </c>
      <c r="B68" t="s">
        <v>215</v>
      </c>
    </row>
    <row r="69" spans="1:2" x14ac:dyDescent="0.3">
      <c r="A69">
        <v>20539280644</v>
      </c>
      <c r="B69" t="s">
        <v>217</v>
      </c>
    </row>
    <row r="70" spans="1:2" x14ac:dyDescent="0.3">
      <c r="A70">
        <v>20542209951</v>
      </c>
      <c r="B70" t="s">
        <v>219</v>
      </c>
    </row>
    <row r="71" spans="1:2" x14ac:dyDescent="0.3">
      <c r="A71">
        <v>20542251990</v>
      </c>
      <c r="B71" t="s">
        <v>222</v>
      </c>
    </row>
    <row r="72" spans="1:2" x14ac:dyDescent="0.3">
      <c r="A72">
        <v>20542257416</v>
      </c>
      <c r="B72" t="s">
        <v>224</v>
      </c>
    </row>
    <row r="73" spans="1:2" x14ac:dyDescent="0.3">
      <c r="A73">
        <v>20542264544</v>
      </c>
      <c r="B73" t="s">
        <v>226</v>
      </c>
    </row>
    <row r="74" spans="1:2" x14ac:dyDescent="0.3">
      <c r="A74">
        <v>20542289024</v>
      </c>
      <c r="B74" t="s">
        <v>228</v>
      </c>
    </row>
    <row r="75" spans="1:2" x14ac:dyDescent="0.3">
      <c r="A75">
        <v>20542299330</v>
      </c>
      <c r="B75" t="s">
        <v>230</v>
      </c>
    </row>
    <row r="76" spans="1:2" x14ac:dyDescent="0.3">
      <c r="A76">
        <v>20542311569</v>
      </c>
      <c r="B76" t="s">
        <v>232</v>
      </c>
    </row>
    <row r="77" spans="1:2" x14ac:dyDescent="0.3">
      <c r="A77">
        <v>20542380455</v>
      </c>
      <c r="B77" t="s">
        <v>234</v>
      </c>
    </row>
    <row r="78" spans="1:2" x14ac:dyDescent="0.3">
      <c r="A78">
        <v>20542482886</v>
      </c>
      <c r="B78" t="s">
        <v>236</v>
      </c>
    </row>
    <row r="79" spans="1:2" x14ac:dyDescent="0.3">
      <c r="A79">
        <v>20542825163</v>
      </c>
      <c r="B79" t="s">
        <v>238</v>
      </c>
    </row>
    <row r="80" spans="1:2" x14ac:dyDescent="0.3">
      <c r="A80">
        <v>20561140091</v>
      </c>
      <c r="B80" t="s">
        <v>241</v>
      </c>
    </row>
    <row r="81" spans="1:2" x14ac:dyDescent="0.3">
      <c r="A81">
        <v>20564032485</v>
      </c>
      <c r="B81" t="s">
        <v>244</v>
      </c>
    </row>
    <row r="82" spans="1:2" x14ac:dyDescent="0.3">
      <c r="A82">
        <v>20568071281</v>
      </c>
      <c r="B82" t="s">
        <v>246</v>
      </c>
    </row>
    <row r="83" spans="1:2" x14ac:dyDescent="0.3">
      <c r="A83">
        <v>20568080948</v>
      </c>
      <c r="B83" t="s">
        <v>249</v>
      </c>
    </row>
    <row r="84" spans="1:2" x14ac:dyDescent="0.3">
      <c r="A84">
        <v>20568190450</v>
      </c>
      <c r="B84" t="s">
        <v>251</v>
      </c>
    </row>
    <row r="85" spans="1:2" x14ac:dyDescent="0.3">
      <c r="A85">
        <v>20568194951</v>
      </c>
      <c r="B85" t="s">
        <v>253</v>
      </c>
    </row>
    <row r="86" spans="1:2" x14ac:dyDescent="0.3">
      <c r="A86">
        <v>20568428375</v>
      </c>
      <c r="B86" t="s">
        <v>255</v>
      </c>
    </row>
    <row r="87" spans="1:2" x14ac:dyDescent="0.3">
      <c r="A87">
        <v>20568549083</v>
      </c>
      <c r="B87" t="s">
        <v>257</v>
      </c>
    </row>
    <row r="88" spans="1:2" x14ac:dyDescent="0.3">
      <c r="A88">
        <v>20568560133</v>
      </c>
      <c r="B88" t="s">
        <v>259</v>
      </c>
    </row>
    <row r="89" spans="1:2" x14ac:dyDescent="0.3">
      <c r="A89">
        <v>20568567731</v>
      </c>
      <c r="B89" t="s">
        <v>261</v>
      </c>
    </row>
    <row r="90" spans="1:2" x14ac:dyDescent="0.3">
      <c r="A90">
        <v>20568609833</v>
      </c>
      <c r="B90" t="s">
        <v>263</v>
      </c>
    </row>
    <row r="91" spans="1:2" x14ac:dyDescent="0.3">
      <c r="A91">
        <v>20568962282</v>
      </c>
      <c r="B91" t="s">
        <v>265</v>
      </c>
    </row>
    <row r="92" spans="1:2" x14ac:dyDescent="0.3">
      <c r="A92">
        <v>20570706927</v>
      </c>
      <c r="B92" t="s">
        <v>267</v>
      </c>
    </row>
    <row r="93" spans="1:2" x14ac:dyDescent="0.3">
      <c r="A93">
        <v>20572111131</v>
      </c>
      <c r="B93" t="s">
        <v>269</v>
      </c>
    </row>
    <row r="94" spans="1:2" x14ac:dyDescent="0.3">
      <c r="A94">
        <v>20572190251</v>
      </c>
      <c r="B94" t="s">
        <v>271</v>
      </c>
    </row>
    <row r="95" spans="1:2" x14ac:dyDescent="0.3">
      <c r="A95">
        <v>20573049102</v>
      </c>
      <c r="B95" t="s">
        <v>273</v>
      </c>
    </row>
    <row r="96" spans="1:2" x14ac:dyDescent="0.3">
      <c r="A96">
        <v>20573057385</v>
      </c>
      <c r="B96" t="s">
        <v>275</v>
      </c>
    </row>
    <row r="97" spans="1:2" x14ac:dyDescent="0.3">
      <c r="A97">
        <v>20573138202</v>
      </c>
      <c r="B97" t="s">
        <v>277</v>
      </c>
    </row>
    <row r="98" spans="1:2" x14ac:dyDescent="0.3">
      <c r="A98">
        <v>20573260008</v>
      </c>
      <c r="B98" t="s">
        <v>279</v>
      </c>
    </row>
    <row r="99" spans="1:2" x14ac:dyDescent="0.3">
      <c r="A99">
        <v>20573344791</v>
      </c>
      <c r="B99" t="s">
        <v>281</v>
      </c>
    </row>
    <row r="100" spans="1:2" x14ac:dyDescent="0.3">
      <c r="A100">
        <v>20574797013</v>
      </c>
      <c r="B100" t="s">
        <v>284</v>
      </c>
    </row>
    <row r="101" spans="1:2" x14ac:dyDescent="0.3">
      <c r="A101">
        <v>20600001109</v>
      </c>
      <c r="B101" t="s">
        <v>286</v>
      </c>
    </row>
    <row r="102" spans="1:2" x14ac:dyDescent="0.3">
      <c r="A102">
        <v>20600010086</v>
      </c>
      <c r="B102" t="s">
        <v>288</v>
      </c>
    </row>
    <row r="103" spans="1:2" x14ac:dyDescent="0.3">
      <c r="A103">
        <v>20600029887</v>
      </c>
      <c r="B103" t="s">
        <v>290</v>
      </c>
    </row>
    <row r="104" spans="1:2" x14ac:dyDescent="0.3">
      <c r="A104">
        <v>20600146689</v>
      </c>
      <c r="B104" t="s">
        <v>292</v>
      </c>
    </row>
    <row r="105" spans="1:2" x14ac:dyDescent="0.3">
      <c r="A105">
        <v>20600200756</v>
      </c>
      <c r="B105" t="s">
        <v>294</v>
      </c>
    </row>
    <row r="106" spans="1:2" x14ac:dyDescent="0.3">
      <c r="A106">
        <v>20600263286</v>
      </c>
      <c r="B106" t="s">
        <v>296</v>
      </c>
    </row>
    <row r="107" spans="1:2" x14ac:dyDescent="0.3">
      <c r="A107">
        <v>20600382064</v>
      </c>
      <c r="B107" t="s">
        <v>298</v>
      </c>
    </row>
    <row r="108" spans="1:2" x14ac:dyDescent="0.3">
      <c r="A108">
        <v>20600390911</v>
      </c>
      <c r="B108" t="s">
        <v>300</v>
      </c>
    </row>
    <row r="109" spans="1:2" x14ac:dyDescent="0.3">
      <c r="A109">
        <v>20600529693</v>
      </c>
      <c r="B109" t="s">
        <v>302</v>
      </c>
    </row>
    <row r="110" spans="1:2" x14ac:dyDescent="0.3">
      <c r="A110">
        <v>20600668430</v>
      </c>
      <c r="B110" t="s">
        <v>304</v>
      </c>
    </row>
    <row r="111" spans="1:2" x14ac:dyDescent="0.3">
      <c r="A111">
        <v>20600682386</v>
      </c>
      <c r="B111" t="s">
        <v>306</v>
      </c>
    </row>
    <row r="112" spans="1:2" x14ac:dyDescent="0.3">
      <c r="A112">
        <v>20600720733</v>
      </c>
      <c r="B112" t="s">
        <v>308</v>
      </c>
    </row>
    <row r="113" spans="1:2" x14ac:dyDescent="0.3">
      <c r="A113">
        <v>20600785541</v>
      </c>
      <c r="B113" t="s">
        <v>310</v>
      </c>
    </row>
    <row r="114" spans="1:2" x14ac:dyDescent="0.3">
      <c r="A114">
        <v>20600796683</v>
      </c>
      <c r="B114" t="s">
        <v>312</v>
      </c>
    </row>
    <row r="115" spans="1:2" x14ac:dyDescent="0.3">
      <c r="A115">
        <v>20600796721</v>
      </c>
      <c r="B115" t="s">
        <v>314</v>
      </c>
    </row>
    <row r="116" spans="1:2" x14ac:dyDescent="0.3">
      <c r="A116">
        <v>20600874919</v>
      </c>
      <c r="B116" t="s">
        <v>316</v>
      </c>
    </row>
    <row r="117" spans="1:2" x14ac:dyDescent="0.3">
      <c r="A117">
        <v>20600964080</v>
      </c>
      <c r="B117" t="s">
        <v>318</v>
      </c>
    </row>
    <row r="118" spans="1:2" x14ac:dyDescent="0.3">
      <c r="A118">
        <v>20601067146</v>
      </c>
      <c r="B118" t="s">
        <v>320</v>
      </c>
    </row>
    <row r="119" spans="1:2" x14ac:dyDescent="0.3">
      <c r="A119">
        <v>20601119316</v>
      </c>
      <c r="B119" t="s">
        <v>322</v>
      </c>
    </row>
    <row r="120" spans="1:2" x14ac:dyDescent="0.3">
      <c r="A120">
        <v>20601186986</v>
      </c>
      <c r="B120" t="s">
        <v>324</v>
      </c>
    </row>
    <row r="121" spans="1:2" x14ac:dyDescent="0.3">
      <c r="A121">
        <v>20601329159</v>
      </c>
      <c r="B121" t="s">
        <v>326</v>
      </c>
    </row>
    <row r="122" spans="1:2" x14ac:dyDescent="0.3">
      <c r="A122">
        <v>20601339090</v>
      </c>
      <c r="B122" t="s">
        <v>328</v>
      </c>
    </row>
    <row r="123" spans="1:2" x14ac:dyDescent="0.3">
      <c r="A123">
        <v>20601537771</v>
      </c>
      <c r="B123" t="s">
        <v>330</v>
      </c>
    </row>
    <row r="124" spans="1:2" x14ac:dyDescent="0.3">
      <c r="A124">
        <v>20601558204</v>
      </c>
      <c r="B124" t="s">
        <v>332</v>
      </c>
    </row>
    <row r="125" spans="1:2" x14ac:dyDescent="0.3">
      <c r="A125">
        <v>20601667526</v>
      </c>
      <c r="B125" t="s">
        <v>335</v>
      </c>
    </row>
    <row r="126" spans="1:2" x14ac:dyDescent="0.3">
      <c r="A126">
        <v>20601919657</v>
      </c>
      <c r="B126" t="s">
        <v>337</v>
      </c>
    </row>
    <row r="127" spans="1:2" x14ac:dyDescent="0.3">
      <c r="A127">
        <v>20601939402</v>
      </c>
      <c r="B127" t="s">
        <v>339</v>
      </c>
    </row>
    <row r="128" spans="1:2" x14ac:dyDescent="0.3">
      <c r="A128">
        <v>20601958911</v>
      </c>
      <c r="B128" t="s">
        <v>341</v>
      </c>
    </row>
    <row r="129" spans="1:2" x14ac:dyDescent="0.3">
      <c r="A129">
        <v>20602047025</v>
      </c>
      <c r="B129" t="s">
        <v>343</v>
      </c>
    </row>
    <row r="130" spans="1:2" x14ac:dyDescent="0.3">
      <c r="A130">
        <v>20602054480</v>
      </c>
      <c r="B130" t="s">
        <v>345</v>
      </c>
    </row>
    <row r="131" spans="1:2" x14ac:dyDescent="0.3">
      <c r="A131">
        <v>20602161081</v>
      </c>
      <c r="B131" t="s">
        <v>348</v>
      </c>
    </row>
    <row r="132" spans="1:2" x14ac:dyDescent="0.3">
      <c r="A132">
        <v>20602194265</v>
      </c>
      <c r="B132" t="s">
        <v>350</v>
      </c>
    </row>
    <row r="133" spans="1:2" x14ac:dyDescent="0.3">
      <c r="A133">
        <v>20602242464</v>
      </c>
      <c r="B133" t="s">
        <v>352</v>
      </c>
    </row>
    <row r="134" spans="1:2" x14ac:dyDescent="0.3">
      <c r="A134">
        <v>20602488927</v>
      </c>
      <c r="B134" t="s">
        <v>354</v>
      </c>
    </row>
    <row r="135" spans="1:2" x14ac:dyDescent="0.3">
      <c r="A135">
        <v>20602650643</v>
      </c>
      <c r="B135" t="s">
        <v>357</v>
      </c>
    </row>
    <row r="136" spans="1:2" x14ac:dyDescent="0.3">
      <c r="A136">
        <v>20602712657</v>
      </c>
      <c r="B136" t="s">
        <v>360</v>
      </c>
    </row>
    <row r="137" spans="1:2" x14ac:dyDescent="0.3">
      <c r="A137">
        <v>20602881971</v>
      </c>
      <c r="B137" t="s">
        <v>362</v>
      </c>
    </row>
    <row r="138" spans="1:2" x14ac:dyDescent="0.3">
      <c r="A138">
        <v>20603320621</v>
      </c>
      <c r="B138" t="s">
        <v>364</v>
      </c>
    </row>
    <row r="139" spans="1:2" x14ac:dyDescent="0.3">
      <c r="A139">
        <v>20603526423</v>
      </c>
      <c r="B139" t="s">
        <v>366</v>
      </c>
    </row>
    <row r="140" spans="1:2" x14ac:dyDescent="0.3">
      <c r="A140">
        <v>20603557825</v>
      </c>
      <c r="B140" t="s">
        <v>368</v>
      </c>
    </row>
    <row r="141" spans="1:2" x14ac:dyDescent="0.3">
      <c r="A141">
        <v>20603675551</v>
      </c>
      <c r="B141" t="s">
        <v>370</v>
      </c>
    </row>
    <row r="142" spans="1:2" x14ac:dyDescent="0.3">
      <c r="A142">
        <v>20603676476</v>
      </c>
      <c r="B142" t="s">
        <v>372</v>
      </c>
    </row>
    <row r="143" spans="1:2" x14ac:dyDescent="0.3">
      <c r="A143">
        <v>20603820691</v>
      </c>
      <c r="B143" t="s">
        <v>374</v>
      </c>
    </row>
    <row r="144" spans="1:2" x14ac:dyDescent="0.3">
      <c r="A144">
        <v>20603829515</v>
      </c>
      <c r="B144" t="s">
        <v>376</v>
      </c>
    </row>
    <row r="145" spans="1:2" x14ac:dyDescent="0.3">
      <c r="A145">
        <v>20603842511</v>
      </c>
      <c r="B145" t="s">
        <v>378</v>
      </c>
    </row>
    <row r="146" spans="1:2" x14ac:dyDescent="0.3">
      <c r="A146">
        <v>20603862369</v>
      </c>
      <c r="B146" t="s">
        <v>380</v>
      </c>
    </row>
    <row r="147" spans="1:2" x14ac:dyDescent="0.3">
      <c r="A147">
        <v>20604151954</v>
      </c>
      <c r="B147" t="s">
        <v>382</v>
      </c>
    </row>
    <row r="148" spans="1:2" x14ac:dyDescent="0.3">
      <c r="A148">
        <v>20604215600</v>
      </c>
      <c r="B148" t="s">
        <v>384</v>
      </c>
    </row>
    <row r="149" spans="1:2" x14ac:dyDescent="0.3">
      <c r="A149">
        <v>20604309728</v>
      </c>
      <c r="B149" t="s">
        <v>386</v>
      </c>
    </row>
    <row r="150" spans="1:2" x14ac:dyDescent="0.3">
      <c r="A150">
        <v>20604401187</v>
      </c>
      <c r="B150" t="s">
        <v>388</v>
      </c>
    </row>
    <row r="151" spans="1:2" x14ac:dyDescent="0.3">
      <c r="A151">
        <v>20604705411</v>
      </c>
      <c r="B151" t="s">
        <v>390</v>
      </c>
    </row>
    <row r="152" spans="1:2" x14ac:dyDescent="0.3">
      <c r="A152">
        <v>20604988200</v>
      </c>
      <c r="B152" t="s">
        <v>392</v>
      </c>
    </row>
    <row r="153" spans="1:2" x14ac:dyDescent="0.3">
      <c r="A153">
        <v>20605228489</v>
      </c>
      <c r="B153" t="s">
        <v>394</v>
      </c>
    </row>
    <row r="154" spans="1:2" x14ac:dyDescent="0.3">
      <c r="A154">
        <v>20605500430</v>
      </c>
      <c r="B154" t="s">
        <v>396</v>
      </c>
    </row>
    <row r="155" spans="1:2" x14ac:dyDescent="0.3">
      <c r="A155">
        <v>20605688170</v>
      </c>
      <c r="B155" t="s">
        <v>398</v>
      </c>
    </row>
    <row r="156" spans="1:2" x14ac:dyDescent="0.3">
      <c r="A156">
        <v>20606041382</v>
      </c>
      <c r="B156" t="s">
        <v>400</v>
      </c>
    </row>
    <row r="157" spans="1:2" x14ac:dyDescent="0.3">
      <c r="A157">
        <v>20606451122</v>
      </c>
      <c r="B157" t="s">
        <v>402</v>
      </c>
    </row>
    <row r="158" spans="1:2" x14ac:dyDescent="0.3">
      <c r="A158">
        <v>20606485281</v>
      </c>
      <c r="B158" t="s">
        <v>405</v>
      </c>
    </row>
    <row r="159" spans="1:2" x14ac:dyDescent="0.3">
      <c r="A159">
        <v>20606556331</v>
      </c>
      <c r="B159" t="s">
        <v>407</v>
      </c>
    </row>
    <row r="160" spans="1:2" x14ac:dyDescent="0.3">
      <c r="A160">
        <v>20606717475</v>
      </c>
      <c r="B160" t="s">
        <v>409</v>
      </c>
    </row>
    <row r="161" spans="1:2" x14ac:dyDescent="0.3">
      <c r="A161">
        <v>20607265624</v>
      </c>
      <c r="B161" t="s">
        <v>412</v>
      </c>
    </row>
    <row r="162" spans="1:2" x14ac:dyDescent="0.3">
      <c r="A162">
        <v>20607382604</v>
      </c>
      <c r="B162" t="s">
        <v>414</v>
      </c>
    </row>
    <row r="163" spans="1:2" x14ac:dyDescent="0.3">
      <c r="A163">
        <v>20607536016</v>
      </c>
      <c r="B163" t="s">
        <v>416</v>
      </c>
    </row>
    <row r="164" spans="1:2" x14ac:dyDescent="0.3">
      <c r="A164">
        <v>20607558559</v>
      </c>
      <c r="B164" t="s">
        <v>418</v>
      </c>
    </row>
    <row r="165" spans="1:2" x14ac:dyDescent="0.3">
      <c r="A165">
        <v>20607775185</v>
      </c>
      <c r="B165" t="s">
        <v>420</v>
      </c>
    </row>
    <row r="166" spans="1:2" x14ac:dyDescent="0.3">
      <c r="A166">
        <v>20608235648</v>
      </c>
      <c r="B166" t="s">
        <v>422</v>
      </c>
    </row>
    <row r="167" spans="1:2" x14ac:dyDescent="0.3">
      <c r="A167">
        <v>20608294512</v>
      </c>
      <c r="B167" t="s">
        <v>424</v>
      </c>
    </row>
    <row r="168" spans="1:2" x14ac:dyDescent="0.3">
      <c r="A168">
        <v>20608478311</v>
      </c>
      <c r="B168" t="s">
        <v>426</v>
      </c>
    </row>
    <row r="169" spans="1:2" x14ac:dyDescent="0.3">
      <c r="A169">
        <v>20609025353</v>
      </c>
      <c r="B169" t="s">
        <v>428</v>
      </c>
    </row>
    <row r="170" spans="1:2" x14ac:dyDescent="0.3">
      <c r="A170">
        <v>20609555395</v>
      </c>
      <c r="B170" t="s">
        <v>430</v>
      </c>
    </row>
    <row r="171" spans="1:2" x14ac:dyDescent="0.3">
      <c r="A171">
        <v>20609846314</v>
      </c>
      <c r="B171" t="s">
        <v>432</v>
      </c>
    </row>
    <row r="172" spans="1:2" x14ac:dyDescent="0.3">
      <c r="A172">
        <v>20610739491</v>
      </c>
      <c r="B172" t="s">
        <v>434</v>
      </c>
    </row>
    <row r="173" spans="1:2" x14ac:dyDescent="0.3">
      <c r="A173">
        <v>20610772553</v>
      </c>
      <c r="B173" t="s">
        <v>436</v>
      </c>
    </row>
    <row r="174" spans="1:2" x14ac:dyDescent="0.3">
      <c r="A174">
        <v>20611316616</v>
      </c>
    </row>
    <row r="175" spans="1:2" x14ac:dyDescent="0.3">
      <c r="A175">
        <v>20611935243</v>
      </c>
      <c r="B175" t="s">
        <v>440</v>
      </c>
    </row>
    <row r="176" spans="1:2" x14ac:dyDescent="0.3">
      <c r="A176">
        <v>20612331821</v>
      </c>
      <c r="B176" t="s">
        <v>442</v>
      </c>
    </row>
  </sheetData>
  <mergeCells count="1">
    <mergeCell ref="A1:DQ1"/>
  </mergeCells>
  <dataValidations count="2">
    <dataValidation type="whole" allowBlank="1" showInputMessage="1" showErrorMessage="1" error="Escala 0 a 4" sqref="AQ3:AQ176 CO3:CO176 BP3:BQ176 BM3:BM176 BA3:BA176 AS3:AS176" xr:uid="{81A45A8E-E6D8-4369-884A-BA8D63488274}">
      <formula1>0</formula1>
      <formula2>4</formula2>
    </dataValidation>
    <dataValidation type="whole" allowBlank="1" showInputMessage="1" showErrorMessage="1" error="Valor 0 a 100" sqref="AR3:AR176 CP3:CP176 AY3:AY176" xr:uid="{0B4289AC-34BF-4183-B281-100248FF739E}">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4E76A931-C47E-4A2A-B3A1-23AC6CD51AE1}">
          <x14:formula1>
            <xm:f>CODIFICACION!$D$31:$D$33</xm:f>
          </x14:formula1>
          <xm:sqref>AE3:AE176</xm:sqref>
        </x14:dataValidation>
        <x14:dataValidation type="list" allowBlank="1" showInputMessage="1" showErrorMessage="1" xr:uid="{90A5DC6E-9DFA-498E-99C4-1A7F35E6068D}">
          <x14:formula1>
            <xm:f>CODIFICACION!$D$35:$D$37</xm:f>
          </x14:formula1>
          <xm:sqref>AG3:AG176</xm:sqref>
        </x14:dataValidation>
        <x14:dataValidation type="list" allowBlank="1" showInputMessage="1" showErrorMessage="1" xr:uid="{68BCB52B-5B6D-4C04-AF1D-1B6D227416C1}">
          <x14:formula1>
            <xm:f>CODIFICACION!$D$40:$D$43</xm:f>
          </x14:formula1>
          <xm:sqref>AJ3:AJ176</xm:sqref>
        </x14:dataValidation>
        <x14:dataValidation type="list" allowBlank="1" showInputMessage="1" showErrorMessage="1" xr:uid="{9C837C66-9DE6-4C53-AB3B-013705ACC068}">
          <x14:formula1>
            <xm:f>CODIFICACION!$D$44:$D$47</xm:f>
          </x14:formula1>
          <xm:sqref>AK3:AK176</xm:sqref>
        </x14:dataValidation>
        <x14:dataValidation type="list" allowBlank="1" showInputMessage="1" showErrorMessage="1" xr:uid="{268E72A5-916C-418E-9DF4-F84B180D761E}">
          <x14:formula1>
            <xm:f>CODIFICACION!$D$48:$D$49</xm:f>
          </x14:formula1>
          <xm:sqref>AL3:AL176</xm:sqref>
        </x14:dataValidation>
        <x14:dataValidation type="list" allowBlank="1" showInputMessage="1" showErrorMessage="1" xr:uid="{E8ACCBF5-B7D5-4F7B-8E04-44D16E297095}">
          <x14:formula1>
            <xm:f>CODIFICACION!$D$51:$D$53</xm:f>
          </x14:formula1>
          <xm:sqref>AN3:AN176</xm:sqref>
        </x14:dataValidation>
        <x14:dataValidation type="list" allowBlank="1" showInputMessage="1" showErrorMessage="1" xr:uid="{B5372DC4-0FAA-4E5E-90E8-1A4829380F24}">
          <x14:formula1>
            <xm:f>CODIFICACION!$D$54:$D$56</xm:f>
          </x14:formula1>
          <xm:sqref>AO3:AO176</xm:sqref>
        </x14:dataValidation>
        <x14:dataValidation type="list" allowBlank="1" showInputMessage="1" showErrorMessage="1" xr:uid="{863A9E6C-4B7C-4914-B58D-D334486C006C}">
          <x14:formula1>
            <xm:f>CODIFICACION!$D$57:$D$61</xm:f>
          </x14:formula1>
          <xm:sqref>AP3:AP176</xm:sqref>
        </x14:dataValidation>
        <x14:dataValidation type="list" allowBlank="1" showInputMessage="1" showErrorMessage="1" xr:uid="{AEF4485D-96B1-42C3-9C2A-E233E73A01B2}">
          <x14:formula1>
            <xm:f>CODIFICACION!$D$65:$D$69</xm:f>
          </x14:formula1>
          <xm:sqref>AT3:AT176</xm:sqref>
        </x14:dataValidation>
        <x14:dataValidation type="list" allowBlank="1" showInputMessage="1" showErrorMessage="1" xr:uid="{7DADD804-D2B1-4FC9-AE00-E8C285489B86}">
          <x14:formula1>
            <xm:f>CODIFICACION!$D$70:$D$73</xm:f>
          </x14:formula1>
          <xm:sqref>AU3:AU176</xm:sqref>
        </x14:dataValidation>
        <x14:dataValidation type="list" allowBlank="1" showInputMessage="1" showErrorMessage="1" xr:uid="{D05D07D2-7557-4529-827D-988CABF557C3}">
          <x14:formula1>
            <xm:f>CODIFICACION!$D$74:$D$76</xm:f>
          </x14:formula1>
          <xm:sqref>AV3:AV176</xm:sqref>
        </x14:dataValidation>
        <x14:dataValidation type="list" allowBlank="1" showInputMessage="1" showErrorMessage="1" xr:uid="{87E4C5F1-0C54-42C9-ACBD-430D02C21889}">
          <x14:formula1>
            <xm:f>CODIFICACION!$D$77:$D$81</xm:f>
          </x14:formula1>
          <xm:sqref>AW3:AW176</xm:sqref>
        </x14:dataValidation>
        <x14:dataValidation type="list" allowBlank="1" showInputMessage="1" showErrorMessage="1" xr:uid="{FEF44E31-1CC2-447D-A308-73431C5BD393}">
          <x14:formula1>
            <xm:f>CODIFICACION!$D$82:$D$86</xm:f>
          </x14:formula1>
          <xm:sqref>AX3:AX176</xm:sqref>
        </x14:dataValidation>
        <x14:dataValidation type="list" allowBlank="1" showInputMessage="1" showErrorMessage="1" xr:uid="{60C359E8-7B3A-4D64-8FEB-0EF40184EFD5}">
          <x14:formula1>
            <xm:f>CODIFICACION!$D$88:$D$92</xm:f>
          </x14:formula1>
          <xm:sqref>AZ3:AZ176</xm:sqref>
        </x14:dataValidation>
        <x14:dataValidation type="list" allowBlank="1" showInputMessage="1" showErrorMessage="1" xr:uid="{78D730F0-914F-4622-A5EA-EB3775EC31FB}">
          <x14:formula1>
            <xm:f>CODIFICACION!$D$94:$D$96</xm:f>
          </x14:formula1>
          <xm:sqref>BB3:BB176</xm:sqref>
        </x14:dataValidation>
        <x14:dataValidation type="list" allowBlank="1" showInputMessage="1" showErrorMessage="1" xr:uid="{8A63A5E8-4F0E-45E7-9D4F-B6000164C2B6}">
          <x14:formula1>
            <xm:f>CODIFICACION!$D$97:$D$100</xm:f>
          </x14:formula1>
          <xm:sqref>BC3:BC176</xm:sqref>
        </x14:dataValidation>
        <x14:dataValidation type="list" allowBlank="1" showInputMessage="1" showErrorMessage="1" xr:uid="{FDBD2C0A-B5C2-4FAE-98D8-D174C40B98E3}">
          <x14:formula1>
            <xm:f>CODIFICACION!$D$101:$D$104</xm:f>
          </x14:formula1>
          <xm:sqref>BD3:BD176</xm:sqref>
        </x14:dataValidation>
        <x14:dataValidation type="list" allowBlank="1" showInputMessage="1" showErrorMessage="1" xr:uid="{4F2A8D74-4C72-45A4-A9A7-94F4FC5E2880}">
          <x14:formula1>
            <xm:f>CODIFICACION!$D$105:$D$107</xm:f>
          </x14:formula1>
          <xm:sqref>BE3:BE176</xm:sqref>
        </x14:dataValidation>
        <x14:dataValidation type="list" allowBlank="1" showInputMessage="1" showErrorMessage="1" xr:uid="{59B1BCBD-3B7D-4F57-A946-23C25F178689}">
          <x14:formula1>
            <xm:f>CODIFICACION!$D$108:$D$113</xm:f>
          </x14:formula1>
          <xm:sqref>BF3:BF176</xm:sqref>
        </x14:dataValidation>
        <x14:dataValidation type="list" allowBlank="1" showInputMessage="1" showErrorMessage="1" xr:uid="{BBB3E112-6844-4040-833E-6DA2B06827E3}">
          <x14:formula1>
            <xm:f>CODIFICACION!$D$114:$D$117</xm:f>
          </x14:formula1>
          <xm:sqref>BG3:BG176</xm:sqref>
        </x14:dataValidation>
        <x14:dataValidation type="list" allowBlank="1" showInputMessage="1" showErrorMessage="1" xr:uid="{E3D457A3-8B82-41BE-B66F-625262218F28}">
          <x14:formula1>
            <xm:f>CODIFICACION!$D$118:$D$120</xm:f>
          </x14:formula1>
          <xm:sqref>BH3:BH176</xm:sqref>
        </x14:dataValidation>
        <x14:dataValidation type="list" allowBlank="1" showInputMessage="1" showErrorMessage="1" xr:uid="{4D4B6701-FD55-4EF8-AE2A-34A69CBCAE97}">
          <x14:formula1>
            <xm:f>CODIFICACION!$D$121:$D$124</xm:f>
          </x14:formula1>
          <xm:sqref>BI3:BI176</xm:sqref>
        </x14:dataValidation>
        <x14:dataValidation type="list" allowBlank="1" showInputMessage="1" showErrorMessage="1" xr:uid="{3D64096A-B070-400A-8A9B-DF6A140FF574}">
          <x14:formula1>
            <xm:f>CODIFICACION!$D$125:$D$128</xm:f>
          </x14:formula1>
          <xm:sqref>BJ3:BJ176</xm:sqref>
        </x14:dataValidation>
        <x14:dataValidation type="list" allowBlank="1" showInputMessage="1" showErrorMessage="1" xr:uid="{F47F55A5-1D9E-4329-9456-8B4AC48CC56E}">
          <x14:formula1>
            <xm:f>CODIFICACION!$D$129:$D$132</xm:f>
          </x14:formula1>
          <xm:sqref>BK3:BK176</xm:sqref>
        </x14:dataValidation>
        <x14:dataValidation type="list" allowBlank="1" showInputMessage="1" showErrorMessage="1" xr:uid="{B5CE75C0-A260-48B6-A0ED-BDC476B7683C}">
          <x14:formula1>
            <xm:f>CODIFICACION!$D$133:$D$137</xm:f>
          </x14:formula1>
          <xm:sqref>BL3:BL176</xm:sqref>
        </x14:dataValidation>
        <x14:dataValidation type="list" allowBlank="1" showInputMessage="1" showErrorMessage="1" xr:uid="{F66C6663-D254-43EF-AD52-2A3F12DDBD79}">
          <x14:formula1>
            <xm:f>CODIFICACION!$D$139:$D$141</xm:f>
          </x14:formula1>
          <xm:sqref>BN3:BN176</xm:sqref>
        </x14:dataValidation>
        <x14:dataValidation type="list" allowBlank="1" showInputMessage="1" showErrorMessage="1" xr:uid="{724AC670-D6E9-4532-A0CE-663A65C14A5C}">
          <x14:formula1>
            <xm:f>CODIFICACION!$D$142:$D$145</xm:f>
          </x14:formula1>
          <xm:sqref>BO3:BO176</xm:sqref>
        </x14:dataValidation>
        <x14:dataValidation type="list" allowBlank="1" showInputMessage="1" showErrorMessage="1" xr:uid="{C1DF1C38-01C3-444C-B6CD-DFB30EE36900}">
          <x14:formula1>
            <xm:f>CODIFICACION!$D$148:$D$150</xm:f>
          </x14:formula1>
          <xm:sqref>BR3:BR176</xm:sqref>
        </x14:dataValidation>
        <x14:dataValidation type="list" allowBlank="1" showInputMessage="1" showErrorMessage="1" xr:uid="{687662CD-D81C-49B1-A1EE-E4F0124528F9}">
          <x14:formula1>
            <xm:f>CODIFICACION!$D$151:$D$154</xm:f>
          </x14:formula1>
          <xm:sqref>BS3:BS176</xm:sqref>
        </x14:dataValidation>
        <x14:dataValidation type="list" allowBlank="1" showInputMessage="1" showErrorMessage="1" xr:uid="{364CFD37-7702-4F9D-AC0C-8E61255C250B}">
          <x14:formula1>
            <xm:f>CODIFICACION!$D$156:$D$158</xm:f>
          </x14:formula1>
          <xm:sqref>BU3:BU176</xm:sqref>
        </x14:dataValidation>
        <x14:dataValidation type="list" allowBlank="1" showInputMessage="1" showErrorMessage="1" xr:uid="{79377CC9-755B-4C18-AAAA-4BA23FD9458C}">
          <x14:formula1>
            <xm:f>CODIFICACION!$D$159:$D$161</xm:f>
          </x14:formula1>
          <xm:sqref>BV3:BV176</xm:sqref>
        </x14:dataValidation>
        <x14:dataValidation type="list" allowBlank="1" showInputMessage="1" showErrorMessage="1" xr:uid="{95D352FE-BF9B-413E-92E2-E6AC2B30EB4B}">
          <x14:formula1>
            <xm:f>CODIFICACION!$D$162:$D$164</xm:f>
          </x14:formula1>
          <xm:sqref>BW3:BW176</xm:sqref>
        </x14:dataValidation>
        <x14:dataValidation type="list" allowBlank="1" showInputMessage="1" showErrorMessage="1" xr:uid="{D6C5158E-13CC-48CF-907B-D4FD9AA1E452}">
          <x14:formula1>
            <xm:f>CODIFICACION!$D$165:$D$167</xm:f>
          </x14:formula1>
          <xm:sqref>BX3:BX176</xm:sqref>
        </x14:dataValidation>
        <x14:dataValidation type="list" allowBlank="1" showInputMessage="1" showErrorMessage="1" xr:uid="{EE3EA816-A41E-4DA3-8711-6E9DB3F5EF5C}">
          <x14:formula1>
            <xm:f>CODIFICACION!$D$168:$D$171</xm:f>
          </x14:formula1>
          <xm:sqref>BY3:BY176</xm:sqref>
        </x14:dataValidation>
        <x14:dataValidation type="list" allowBlank="1" showInputMessage="1" showErrorMessage="1" xr:uid="{6D3E769C-2A21-4580-B299-82E1B79CBF27}">
          <x14:formula1>
            <xm:f>CODIFICACION!$D$172:$D$175</xm:f>
          </x14:formula1>
          <xm:sqref>BZ3:BZ176</xm:sqref>
        </x14:dataValidation>
        <x14:dataValidation type="list" allowBlank="1" showInputMessage="1" showErrorMessage="1" xr:uid="{80302515-27CA-44D9-BDB3-4696A6C3B520}">
          <x14:formula1>
            <xm:f>CODIFICACION!$D$176:$D$179</xm:f>
          </x14:formula1>
          <xm:sqref>CA3:CA176</xm:sqref>
        </x14:dataValidation>
        <x14:dataValidation type="list" allowBlank="1" showInputMessage="1" showErrorMessage="1" xr:uid="{46448B06-C92F-477D-A16C-7A8D542980D5}">
          <x14:formula1>
            <xm:f>CODIFICACION!$D$180:$D$182</xm:f>
          </x14:formula1>
          <xm:sqref>CB3:CB176</xm:sqref>
        </x14:dataValidation>
        <x14:dataValidation type="list" allowBlank="1" showInputMessage="1" showErrorMessage="1" xr:uid="{08D65E14-0695-4EB6-ABA1-6EB7A46D6F8D}">
          <x14:formula1>
            <xm:f>CODIFICACION!$D$183:$D$185</xm:f>
          </x14:formula1>
          <xm:sqref>CC3:CC176</xm:sqref>
        </x14:dataValidation>
        <x14:dataValidation type="list" allowBlank="1" showInputMessage="1" showErrorMessage="1" xr:uid="{E6950F2B-089D-4874-8299-4EC848D7E05B}">
          <x14:formula1>
            <xm:f>CODIFICACION!$D$186:$D$189</xm:f>
          </x14:formula1>
          <xm:sqref>CD3:CD176</xm:sqref>
        </x14:dataValidation>
        <x14:dataValidation type="list" allowBlank="1" showInputMessage="1" showErrorMessage="1" xr:uid="{A10F6C92-1DFA-4F16-A0B1-0C13551AC68D}">
          <x14:formula1>
            <xm:f>CODIFICACION!$D$190:$D$193</xm:f>
          </x14:formula1>
          <xm:sqref>CE3:CE176</xm:sqref>
        </x14:dataValidation>
        <x14:dataValidation type="list" allowBlank="1" showInputMessage="1" showErrorMessage="1" xr:uid="{393AD59A-639A-41DD-B78A-00C922C77CF5}">
          <x14:formula1>
            <xm:f>CODIFICACION!$D$194:$D$199</xm:f>
          </x14:formula1>
          <xm:sqref>CF3:CF176</xm:sqref>
        </x14:dataValidation>
        <x14:dataValidation type="list" allowBlank="1" showInputMessage="1" showErrorMessage="1" xr:uid="{B86570F4-B681-4C9A-8360-2B3777C58F12}">
          <x14:formula1>
            <xm:f>CODIFICACION!$D$200:$D$203</xm:f>
          </x14:formula1>
          <xm:sqref>CG3:CG176</xm:sqref>
        </x14:dataValidation>
        <x14:dataValidation type="list" allowBlank="1" showInputMessage="1" showErrorMessage="1" xr:uid="{62860F55-1C32-4780-8441-5B6C578256AC}">
          <x14:formula1>
            <xm:f>CODIFICACION!$D$204:$D$206</xm:f>
          </x14:formula1>
          <xm:sqref>CH3:CH176</xm:sqref>
        </x14:dataValidation>
        <x14:dataValidation type="list" allowBlank="1" showInputMessage="1" showErrorMessage="1" xr:uid="{A17D02FC-F9E2-4B6B-97B9-84B98C64D8E5}">
          <x14:formula1>
            <xm:f>CODIFICACION!$D$207:$D$208</xm:f>
          </x14:formula1>
          <xm:sqref>CI3:CI176</xm:sqref>
        </x14:dataValidation>
        <x14:dataValidation type="list" allowBlank="1" showInputMessage="1" showErrorMessage="1" xr:uid="{01329AD8-4E85-47AA-8DB4-F2A312818BF9}">
          <x14:formula1>
            <xm:f>CODIFICACION!$D$209:$D$212</xm:f>
          </x14:formula1>
          <xm:sqref>CJ3:CJ176</xm:sqref>
        </x14:dataValidation>
        <x14:dataValidation type="list" allowBlank="1" showInputMessage="1" showErrorMessage="1" xr:uid="{2BF64AC1-6AE1-4E33-8FC2-90776F2520EF}">
          <x14:formula1>
            <xm:f>CODIFICACION!$D$213:$D$216</xm:f>
          </x14:formula1>
          <xm:sqref>CK3:CK176</xm:sqref>
        </x14:dataValidation>
        <x14:dataValidation type="list" allowBlank="1" showInputMessage="1" showErrorMessage="1" xr:uid="{19298F83-8DC0-47E1-B087-7DADEC71CCEC}">
          <x14:formula1>
            <xm:f>CODIFICACION!$D$218:$D$221</xm:f>
          </x14:formula1>
          <xm:sqref>CM3:CM176</xm:sqref>
        </x14:dataValidation>
        <x14:dataValidation type="list" allowBlank="1" showInputMessage="1" showErrorMessage="1" xr:uid="{23577122-29DE-42C9-A172-C68AA03CA335}">
          <x14:formula1>
            <xm:f>CODIFICACION!$D$222:$D$225</xm:f>
          </x14:formula1>
          <xm:sqref>CN3:CN176</xm:sqref>
        </x14:dataValidation>
        <x14:dataValidation type="list" allowBlank="1" showInputMessage="1" showErrorMessage="1" xr:uid="{C6D4C37E-A0EC-413E-B197-7B65297806E2}">
          <x14:formula1>
            <xm:f>CODIFICACION!$D$228:$D$230</xm:f>
          </x14:formula1>
          <xm:sqref>CQ3:CQ176</xm:sqref>
        </x14:dataValidation>
        <x14:dataValidation type="list" allowBlank="1" showInputMessage="1" showErrorMessage="1" xr:uid="{F19BB239-DC86-4412-A634-AD328FEBA70C}">
          <x14:formula1>
            <xm:f>CODIFICACION!$D$231:$D$233</xm:f>
          </x14:formula1>
          <xm:sqref>CR3:CR176</xm:sqref>
        </x14:dataValidation>
        <x14:dataValidation type="list" allowBlank="1" showInputMessage="1" showErrorMessage="1" xr:uid="{99FD12BD-FBF8-4DCA-87E8-54A1993E26D6}">
          <x14:formula1>
            <xm:f>CODIFICACION!$D$234:$D$237</xm:f>
          </x14:formula1>
          <xm:sqref>CS3:CS176</xm:sqref>
        </x14:dataValidation>
        <x14:dataValidation type="list" allowBlank="1" showInputMessage="1" showErrorMessage="1" xr:uid="{9864E759-701C-4EF8-95BE-6A31DE54B272}">
          <x14:formula1>
            <xm:f>CODIFICACION!$D$238:$D$242</xm:f>
          </x14:formula1>
          <xm:sqref>CT3:CT176</xm:sqref>
        </x14:dataValidation>
        <x14:dataValidation type="list" allowBlank="1" showInputMessage="1" showErrorMessage="1" xr:uid="{A899EB08-44B0-4EC9-A027-A5077AE49A49}">
          <x14:formula1>
            <xm:f>CODIFICACION!$D$243:$D$246</xm:f>
          </x14:formula1>
          <xm:sqref>CU3:CU176</xm:sqref>
        </x14:dataValidation>
        <x14:dataValidation type="list" allowBlank="1" showInputMessage="1" showErrorMessage="1" xr:uid="{D21B2FFE-F039-4612-BAB6-7717A2EB69C7}">
          <x14:formula1>
            <xm:f>CODIFICACION!$D$247:$D$250</xm:f>
          </x14:formula1>
          <xm:sqref>CV3:CV176</xm:sqref>
        </x14:dataValidation>
        <x14:dataValidation type="list" allowBlank="1" showInputMessage="1" showErrorMessage="1" xr:uid="{D3BF307B-F195-4361-B554-E5E1EA993948}">
          <x14:formula1>
            <xm:f>CODIFICACION!$D$251:$D$252</xm:f>
          </x14:formula1>
          <xm:sqref>CW3:CW176</xm:sqref>
        </x14:dataValidation>
        <x14:dataValidation type="list" allowBlank="1" showInputMessage="1" showErrorMessage="1" xr:uid="{B198DC69-B790-4AE4-BBF4-707A9E6DE493}">
          <x14:formula1>
            <xm:f>CODIFICACION!$D$253:$D$256</xm:f>
          </x14:formula1>
          <xm:sqref>CX3:CX176</xm:sqref>
        </x14:dataValidation>
        <x14:dataValidation type="list" allowBlank="1" showInputMessage="1" showErrorMessage="1" xr:uid="{138C895D-E125-4C16-8B2E-CDB836E8A66A}">
          <x14:formula1>
            <xm:f>CODIFICACION!$D$259:$D$262</xm:f>
          </x14:formula1>
          <xm:sqref>DA3:DA176</xm:sqref>
        </x14:dataValidation>
        <x14:dataValidation type="list" allowBlank="1" showInputMessage="1" showErrorMessage="1" xr:uid="{0170B383-78C0-4883-B64D-26EE7A069864}">
          <x14:formula1>
            <xm:f>CODIFICACION!$D$263:$D$265</xm:f>
          </x14:formula1>
          <xm:sqref>DB3:DB176</xm:sqref>
        </x14:dataValidation>
        <x14:dataValidation type="list" allowBlank="1" showInputMessage="1" showErrorMessage="1" xr:uid="{567EFCE5-3CD4-48BF-B88B-791039503054}">
          <x14:formula1>
            <xm:f>CODIFICACION!$D$266:$D$268</xm:f>
          </x14:formula1>
          <xm:sqref>DC3:DC176</xm:sqref>
        </x14:dataValidation>
        <x14:dataValidation type="list" allowBlank="1" showInputMessage="1" showErrorMessage="1" xr:uid="{E9F7CA4F-9C4E-4C5A-B896-D9077678089F}">
          <x14:formula1>
            <xm:f>CODIFICACION!$D$269:$D$271</xm:f>
          </x14:formula1>
          <xm:sqref>DD3:DD176</xm:sqref>
        </x14:dataValidation>
        <x14:dataValidation type="list" allowBlank="1" showInputMessage="1" showErrorMessage="1" xr:uid="{7D8E4213-00AC-4869-838D-298214D73841}">
          <x14:formula1>
            <xm:f>CODIFICACION!$D$272:$D$274</xm:f>
          </x14:formula1>
          <xm:sqref>DE3:DE176</xm:sqref>
        </x14:dataValidation>
        <x14:dataValidation type="list" allowBlank="1" showInputMessage="1" showErrorMessage="1" xr:uid="{9E5219ED-094F-4E9F-A6DD-1F71B29FD0F2}">
          <x14:formula1>
            <xm:f>CODIFICACION!$D$275:$D$279</xm:f>
          </x14:formula1>
          <xm:sqref>DF3:DF176</xm:sqref>
        </x14:dataValidation>
        <x14:dataValidation type="list" allowBlank="1" showInputMessage="1" showErrorMessage="1" xr:uid="{8D4FCA06-0729-4529-B227-B07BF85C76F4}">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BCF-D548-4442-B252-A2B6F351707E}">
  <dimension ref="A1:CL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0" x14ac:dyDescent="0.3">
      <c r="A1" s="64" t="s">
        <v>1514</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21</v>
      </c>
      <c r="B2" s="62" t="s">
        <v>897</v>
      </c>
      <c r="C2" s="63" t="s">
        <v>532</v>
      </c>
      <c r="D2" s="63" t="s">
        <v>12</v>
      </c>
      <c r="E2" s="63" t="s">
        <v>14</v>
      </c>
      <c r="F2" s="63" t="s">
        <v>17</v>
      </c>
      <c r="G2" s="63" t="s">
        <v>18</v>
      </c>
      <c r="H2" s="63" t="s">
        <v>602</v>
      </c>
      <c r="I2" s="63" t="s">
        <v>611</v>
      </c>
      <c r="J2" s="63" t="s">
        <v>615</v>
      </c>
      <c r="K2" s="63" t="s">
        <v>617</v>
      </c>
      <c r="L2" s="63" t="s">
        <v>621</v>
      </c>
      <c r="M2" s="63" t="s">
        <v>627</v>
      </c>
      <c r="N2" s="63" t="s">
        <v>629</v>
      </c>
      <c r="O2" s="63" t="s">
        <v>632</v>
      </c>
      <c r="P2" s="63" t="s">
        <v>635</v>
      </c>
      <c r="Q2" s="63" t="s">
        <v>638</v>
      </c>
      <c r="R2" s="63" t="s">
        <v>642</v>
      </c>
      <c r="S2" s="63" t="s">
        <v>645</v>
      </c>
      <c r="T2" s="63" t="s">
        <v>650</v>
      </c>
      <c r="U2" s="63" t="s">
        <v>654</v>
      </c>
      <c r="V2" s="63" t="s">
        <v>657</v>
      </c>
      <c r="W2" s="63" t="s">
        <v>659</v>
      </c>
      <c r="X2" s="63" t="s">
        <v>662</v>
      </c>
      <c r="Y2" s="63" t="s">
        <v>665</v>
      </c>
      <c r="Z2" s="63" t="s">
        <v>668</v>
      </c>
      <c r="AA2" s="63" t="s">
        <v>670</v>
      </c>
      <c r="AB2" s="63" t="s">
        <v>673</v>
      </c>
      <c r="AC2" s="63" t="s">
        <v>676</v>
      </c>
      <c r="AD2" s="63" t="s">
        <v>679</v>
      </c>
      <c r="AE2" s="63" t="s">
        <v>682</v>
      </c>
      <c r="AF2" s="63" t="s">
        <v>685</v>
      </c>
      <c r="AG2" s="63" t="s">
        <v>690</v>
      </c>
      <c r="AH2" s="63" t="s">
        <v>695</v>
      </c>
      <c r="AI2" s="63" t="s">
        <v>697</v>
      </c>
      <c r="AJ2" s="63" t="s">
        <v>700</v>
      </c>
      <c r="AK2" s="63" t="s">
        <v>705</v>
      </c>
      <c r="AL2" s="63" t="s">
        <v>709</v>
      </c>
      <c r="AM2" s="63" t="s">
        <v>711</v>
      </c>
      <c r="AN2" s="63" t="s">
        <v>714</v>
      </c>
      <c r="AO2" s="63" t="s">
        <v>717</v>
      </c>
      <c r="AP2" s="63" t="s">
        <v>720</v>
      </c>
      <c r="AQ2" s="63" t="s">
        <v>723</v>
      </c>
      <c r="AR2" s="63" t="s">
        <v>726</v>
      </c>
      <c r="AS2" s="63" t="s">
        <v>729</v>
      </c>
      <c r="AT2" s="63" t="s">
        <v>733</v>
      </c>
      <c r="AU2" s="63" t="s">
        <v>738</v>
      </c>
      <c r="AV2" s="63" t="s">
        <v>741</v>
      </c>
      <c r="AW2" s="63" t="s">
        <v>744</v>
      </c>
      <c r="AX2" s="63" t="s">
        <v>747</v>
      </c>
      <c r="AY2" s="63" t="s">
        <v>750</v>
      </c>
      <c r="AZ2" s="63" t="s">
        <v>753</v>
      </c>
      <c r="BA2" s="63" t="s">
        <v>756</v>
      </c>
      <c r="BB2" s="63" t="s">
        <v>759</v>
      </c>
      <c r="BC2" s="63" t="s">
        <v>763</v>
      </c>
      <c r="BD2" s="63" t="s">
        <v>768</v>
      </c>
      <c r="BE2" s="63" t="s">
        <v>770</v>
      </c>
      <c r="BF2" s="63" t="s">
        <v>773</v>
      </c>
      <c r="BG2" s="63" t="s">
        <v>776</v>
      </c>
      <c r="BH2" s="63" t="s">
        <v>779</v>
      </c>
      <c r="BI2" s="63" t="s">
        <v>783</v>
      </c>
      <c r="BJ2" s="63" t="s">
        <v>788</v>
      </c>
      <c r="BK2" s="63" t="s">
        <v>792</v>
      </c>
      <c r="BL2" s="63" t="s">
        <v>794</v>
      </c>
      <c r="BM2" s="63" t="s">
        <v>797</v>
      </c>
      <c r="BN2" s="63" t="s">
        <v>801</v>
      </c>
      <c r="BO2" s="63" t="s">
        <v>806</v>
      </c>
      <c r="BP2" s="63" t="s">
        <v>809</v>
      </c>
      <c r="BQ2" s="63" t="s">
        <v>813</v>
      </c>
      <c r="BR2" s="63" t="s">
        <v>818</v>
      </c>
      <c r="BS2" s="63" t="s">
        <v>820</v>
      </c>
      <c r="BT2" s="63" t="s">
        <v>824</v>
      </c>
      <c r="BU2" s="63" t="s">
        <v>831</v>
      </c>
      <c r="BV2" s="63" t="s">
        <v>835</v>
      </c>
      <c r="BW2" s="63" t="s">
        <v>840</v>
      </c>
      <c r="BX2" s="63" t="s">
        <v>845</v>
      </c>
      <c r="BY2" s="63" t="s">
        <v>850</v>
      </c>
      <c r="BZ2" s="63" t="s">
        <v>856</v>
      </c>
      <c r="CA2" s="63" t="s">
        <v>861</v>
      </c>
      <c r="CB2" s="63" t="s">
        <v>1041</v>
      </c>
      <c r="CC2" s="63" t="s">
        <v>1042</v>
      </c>
      <c r="CD2" s="63" t="s">
        <v>1043</v>
      </c>
      <c r="CE2" s="63" t="s">
        <v>1044</v>
      </c>
      <c r="CF2" s="63" t="s">
        <v>1045</v>
      </c>
      <c r="CG2" s="63" t="s">
        <v>1046</v>
      </c>
      <c r="CH2" s="63" t="s">
        <v>1047</v>
      </c>
      <c r="CI2" s="63" t="s">
        <v>1048</v>
      </c>
      <c r="CJ2" s="63" t="s">
        <v>1049</v>
      </c>
      <c r="CK2" s="63" t="s">
        <v>1050</v>
      </c>
      <c r="CL2" s="63" t="s">
        <v>1051</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IF(CAPTURA!BT3="","",MIN(100,ROUND((LEN(CAPTURA!BT3)-LEN(SUBSTITUTE(CAPTURA!BT3,";",""))+1)/7*100,1)))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IF(CAPTURA!CL3="","",MIN(100,ROUND((LEN(CAPTURA!CL3)-LEN(SUBSTITUTE(CAPTURA!CL3,";",""))+1)/8*100,1)))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IF(CAPTURA!CY3="","",IF(ISNUMBER(SEARCH("Ninguno",CAPTURA!CY3)),0,MIN(100,ROUND((LEN(CAPTURA!CY3)-LEN(SUBSTITUTE(CAPTURA!CY3,";",""))+1)/6*100,1))))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IFERROR(AVERAGE(L3,M3,N3,O3,P3,R3),"")</f>
        <v/>
      </c>
      <c r="CD3" t="str">
        <f t="shared" ref="CD3:CD34" si="2">IFERROR(AVERAGE(T3,U3,V3,W3,X3,Y3,Z3,AA3,AB3,AC3,AE3),"")</f>
        <v/>
      </c>
      <c r="CE3" t="str">
        <f t="shared" ref="CE3:CE34" si="3">IFERROR(AVERAGE(AG3,AH3,AI3),"")</f>
        <v/>
      </c>
      <c r="CF3" t="str">
        <f t="shared" ref="CF3:CF34" si="4">IFERROR(AVERAGE(AK3,AL3,AM3,AN3,AP3,AQ3,AR3,AS3),"")</f>
        <v/>
      </c>
      <c r="CG3" t="str">
        <f t="shared" ref="CG3:CG34" si="5">IFERROR(AVERAGE(AT3,AU3,AV3,BB3,AW3,AX3,AY3,AZ3,BA3),"")</f>
        <v/>
      </c>
      <c r="CH3" t="str">
        <f t="shared" ref="CH3:CH34" si="6">IFERROR(AVERAGE(BC3,BH3,BI3,BD3,BF3),"")</f>
        <v/>
      </c>
      <c r="CI3" t="str">
        <f t="shared" ref="CI3:CI34" si="7">IFERROR(AVERAGE(BJ3,BK3,BL3,BM3),"")</f>
        <v/>
      </c>
      <c r="CJ3" t="str">
        <f t="shared" ref="CJ3:CJ34" si="8">IFERROR(AVERAGE(BN3,BO3,BP3),"")</f>
        <v/>
      </c>
      <c r="CK3" t="str">
        <f t="shared" ref="CK3:CK34" si="9">IFERROR(AVERAGE(BS3),"")</f>
        <v/>
      </c>
      <c r="CL3" t="str">
        <f>""</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IF(CAPTURA!BT4="","",MIN(100,ROUND((LEN(CAPTURA!BT4)-LEN(SUBSTITUTE(CAPTURA!BT4,";",""))+1)/7*100,1)))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IF(CAPTURA!CL4="","",MIN(100,ROUND((LEN(CAPTURA!CL4)-LEN(SUBSTITUTE(CAPTURA!CL4,";",""))+1)/8*100,1)))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IF(CAPTURA!CY4="","",IF(ISNUMBER(SEARCH("Ninguno",CAPTURA!CY4)),0,MIN(100,ROUND((LEN(CAPTURA!CY4)-LEN(SUBSTITUTE(CAPTURA!CY4,";",""))+1)/6*100,1))))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 t="shared" si="9"/>
        <v/>
      </c>
      <c r="CL4" t="str">
        <f>""</f>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IF(CAPTURA!BT5="","",MIN(100,ROUND((LEN(CAPTURA!BT5)-LEN(SUBSTITUTE(CAPTURA!BT5,";",""))+1)/7*100,1)))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IF(CAPTURA!CL5="","",MIN(100,ROUND((LEN(CAPTURA!CL5)-LEN(SUBSTITUTE(CAPTURA!CL5,";",""))+1)/8*100,1)))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IF(CAPTURA!CY5="","",IF(ISNUMBER(SEARCH("Ninguno",CAPTURA!CY5)),0,MIN(100,ROUND((LEN(CAPTURA!CY5)-LEN(SUBSTITUTE(CAPTURA!CY5,";",""))+1)/6*100,1))))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 t="shared" si="9"/>
        <v/>
      </c>
      <c r="CL5" t="str">
        <f>""</f>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IF(CAPTURA!BT6="","",MIN(100,ROUND((LEN(CAPTURA!BT6)-LEN(SUBSTITUTE(CAPTURA!BT6,";",""))+1)/7*100,1)))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IF(CAPTURA!CL6="","",MIN(100,ROUND((LEN(CAPTURA!CL6)-LEN(SUBSTITUTE(CAPTURA!CL6,";",""))+1)/8*100,1)))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IF(CAPTURA!CY6="","",IF(ISNUMBER(SEARCH("Ninguno",CAPTURA!CY6)),0,MIN(100,ROUND((LEN(CAPTURA!CY6)-LEN(SUBSTITUTE(CAPTURA!CY6,";",""))+1)/6*100,1))))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 t="shared" si="9"/>
        <v/>
      </c>
      <c r="CL6" t="str">
        <f>""</f>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IF(CAPTURA!BT7="","",MIN(100,ROUND((LEN(CAPTURA!BT7)-LEN(SUBSTITUTE(CAPTURA!BT7,";",""))+1)/7*100,1)))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IF(CAPTURA!CL7="","",MIN(100,ROUND((LEN(CAPTURA!CL7)-LEN(SUBSTITUTE(CAPTURA!CL7,";",""))+1)/8*100,1)))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IF(CAPTURA!CY7="","",IF(ISNUMBER(SEARCH("Ninguno",CAPTURA!CY7)),0,MIN(100,ROUND((LEN(CAPTURA!CY7)-LEN(SUBSTITUTE(CAPTURA!CY7,";",""))+1)/6*100,1))))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 t="shared" si="9"/>
        <v/>
      </c>
      <c r="CL7" t="str">
        <f>""</f>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IF(CAPTURA!BT8="","",MIN(100,ROUND((LEN(CAPTURA!BT8)-LEN(SUBSTITUTE(CAPTURA!BT8,";",""))+1)/7*100,1)))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IF(CAPTURA!CL8="","",MIN(100,ROUND((LEN(CAPTURA!CL8)-LEN(SUBSTITUTE(CAPTURA!CL8,";",""))+1)/8*100,1)))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IF(CAPTURA!CY8="","",IF(ISNUMBER(SEARCH("Ninguno",CAPTURA!CY8)),0,MIN(100,ROUND((LEN(CAPTURA!CY8)-LEN(SUBSTITUTE(CAPTURA!CY8,";",""))+1)/6*100,1))))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 t="shared" si="9"/>
        <v/>
      </c>
      <c r="CL8" t="str">
        <f>""</f>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IF(CAPTURA!BT9="","",MIN(100,ROUND((LEN(CAPTURA!BT9)-LEN(SUBSTITUTE(CAPTURA!BT9,";",""))+1)/7*100,1)))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IF(CAPTURA!CL9="","",MIN(100,ROUND((LEN(CAPTURA!CL9)-LEN(SUBSTITUTE(CAPTURA!CL9,";",""))+1)/8*100,1)))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IF(CAPTURA!CY9="","",IF(ISNUMBER(SEARCH("Ninguno",CAPTURA!CY9)),0,MIN(100,ROUND((LEN(CAPTURA!CY9)-LEN(SUBSTITUTE(CAPTURA!CY9,";",""))+1)/6*100,1))))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 t="shared" si="9"/>
        <v/>
      </c>
      <c r="CL9" t="str">
        <f>""</f>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IF(CAPTURA!BT10="","",MIN(100,ROUND((LEN(CAPTURA!BT10)-LEN(SUBSTITUTE(CAPTURA!BT10,";",""))+1)/7*100,1)))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IF(CAPTURA!CL10="","",MIN(100,ROUND((LEN(CAPTURA!CL10)-LEN(SUBSTITUTE(CAPTURA!CL10,";",""))+1)/8*100,1)))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IF(CAPTURA!CY10="","",IF(ISNUMBER(SEARCH("Ninguno",CAPTURA!CY10)),0,MIN(100,ROUND((LEN(CAPTURA!CY10)-LEN(SUBSTITUTE(CAPTURA!CY10,";",""))+1)/6*100,1))))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 t="shared" si="9"/>
        <v/>
      </c>
      <c r="CL10" t="str">
        <f>""</f>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IF(CAPTURA!BT11="","",MIN(100,ROUND((LEN(CAPTURA!BT11)-LEN(SUBSTITUTE(CAPTURA!BT11,";",""))+1)/7*100,1)))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IF(CAPTURA!CL11="","",MIN(100,ROUND((LEN(CAPTURA!CL11)-LEN(SUBSTITUTE(CAPTURA!CL11,";",""))+1)/8*100,1)))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IF(CAPTURA!CY11="","",IF(ISNUMBER(SEARCH("Ninguno",CAPTURA!CY11)),0,MIN(100,ROUND((LEN(CAPTURA!CY11)-LEN(SUBSTITUTE(CAPTURA!CY11,";",""))+1)/6*100,1))))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 t="shared" si="9"/>
        <v/>
      </c>
      <c r="CL11" t="str">
        <f>""</f>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IF(CAPTURA!BT12="","",MIN(100,ROUND((LEN(CAPTURA!BT12)-LEN(SUBSTITUTE(CAPTURA!BT12,";",""))+1)/7*100,1)))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IF(CAPTURA!CL12="","",MIN(100,ROUND((LEN(CAPTURA!CL12)-LEN(SUBSTITUTE(CAPTURA!CL12,";",""))+1)/8*100,1)))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IF(CAPTURA!CY12="","",IF(ISNUMBER(SEARCH("Ninguno",CAPTURA!CY12)),0,MIN(100,ROUND((LEN(CAPTURA!CY12)-LEN(SUBSTITUTE(CAPTURA!CY12,";",""))+1)/6*100,1))))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 t="shared" si="9"/>
        <v/>
      </c>
      <c r="CL12" t="str">
        <f>""</f>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IF(CAPTURA!BT13="","",MIN(100,ROUND((LEN(CAPTURA!BT13)-LEN(SUBSTITUTE(CAPTURA!BT13,";",""))+1)/7*100,1)))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IF(CAPTURA!CL13="","",MIN(100,ROUND((LEN(CAPTURA!CL13)-LEN(SUBSTITUTE(CAPTURA!CL13,";",""))+1)/8*100,1)))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IF(CAPTURA!CY13="","",IF(ISNUMBER(SEARCH("Ninguno",CAPTURA!CY13)),0,MIN(100,ROUND((LEN(CAPTURA!CY13)-LEN(SUBSTITUTE(CAPTURA!CY13,";",""))+1)/6*100,1))))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 t="shared" si="9"/>
        <v/>
      </c>
      <c r="CL13" t="str">
        <f>""</f>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IF(CAPTURA!BT14="","",MIN(100,ROUND((LEN(CAPTURA!BT14)-LEN(SUBSTITUTE(CAPTURA!BT14,";",""))+1)/7*100,1)))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IF(CAPTURA!CL14="","",MIN(100,ROUND((LEN(CAPTURA!CL14)-LEN(SUBSTITUTE(CAPTURA!CL14,";",""))+1)/8*100,1)))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IF(CAPTURA!CY14="","",IF(ISNUMBER(SEARCH("Ninguno",CAPTURA!CY14)),0,MIN(100,ROUND((LEN(CAPTURA!CY14)-LEN(SUBSTITUTE(CAPTURA!CY14,";",""))+1)/6*100,1))))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 t="shared" si="9"/>
        <v/>
      </c>
      <c r="CL14" t="str">
        <f>""</f>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IF(CAPTURA!BT15="","",MIN(100,ROUND((LEN(CAPTURA!BT15)-LEN(SUBSTITUTE(CAPTURA!BT15,";",""))+1)/7*100,1)))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IF(CAPTURA!CL15="","",MIN(100,ROUND((LEN(CAPTURA!CL15)-LEN(SUBSTITUTE(CAPTURA!CL15,";",""))+1)/8*100,1)))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IF(CAPTURA!CY15="","",IF(ISNUMBER(SEARCH("Ninguno",CAPTURA!CY15)),0,MIN(100,ROUND((LEN(CAPTURA!CY15)-LEN(SUBSTITUTE(CAPTURA!CY15,";",""))+1)/6*100,1))))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 t="shared" si="9"/>
        <v/>
      </c>
      <c r="CL15" t="str">
        <f>""</f>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IF(CAPTURA!BT16="","",MIN(100,ROUND((LEN(CAPTURA!BT16)-LEN(SUBSTITUTE(CAPTURA!BT16,";",""))+1)/7*100,1)))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IF(CAPTURA!CL16="","",MIN(100,ROUND((LEN(CAPTURA!CL16)-LEN(SUBSTITUTE(CAPTURA!CL16,";",""))+1)/8*100,1)))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IF(CAPTURA!CY16="","",IF(ISNUMBER(SEARCH("Ninguno",CAPTURA!CY16)),0,MIN(100,ROUND((LEN(CAPTURA!CY16)-LEN(SUBSTITUTE(CAPTURA!CY16,";",""))+1)/6*100,1))))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 t="shared" si="9"/>
        <v/>
      </c>
      <c r="CL16" t="str">
        <f>""</f>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IF(CAPTURA!BT17="","",MIN(100,ROUND((LEN(CAPTURA!BT17)-LEN(SUBSTITUTE(CAPTURA!BT17,";",""))+1)/7*100,1)))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IF(CAPTURA!CL17="","",MIN(100,ROUND((LEN(CAPTURA!CL17)-LEN(SUBSTITUTE(CAPTURA!CL17,";",""))+1)/8*100,1)))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IF(CAPTURA!CY17="","",IF(ISNUMBER(SEARCH("Ninguno",CAPTURA!CY17)),0,MIN(100,ROUND((LEN(CAPTURA!CY17)-LEN(SUBSTITUTE(CAPTURA!CY17,";",""))+1)/6*100,1))))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 t="shared" si="9"/>
        <v/>
      </c>
      <c r="CL17" t="str">
        <f>""</f>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IF(CAPTURA!BT18="","",MIN(100,ROUND((LEN(CAPTURA!BT18)-LEN(SUBSTITUTE(CAPTURA!BT18,";",""))+1)/7*100,1)))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IF(CAPTURA!CL18="","",MIN(100,ROUND((LEN(CAPTURA!CL18)-LEN(SUBSTITUTE(CAPTURA!CL18,";",""))+1)/8*100,1)))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IF(CAPTURA!CY18="","",IF(ISNUMBER(SEARCH("Ninguno",CAPTURA!CY18)),0,MIN(100,ROUND((LEN(CAPTURA!CY18)-LEN(SUBSTITUTE(CAPTURA!CY18,";",""))+1)/6*100,1))))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 t="shared" si="9"/>
        <v/>
      </c>
      <c r="CL18" t="str">
        <f>""</f>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IF(CAPTURA!BT19="","",MIN(100,ROUND((LEN(CAPTURA!BT19)-LEN(SUBSTITUTE(CAPTURA!BT19,";",""))+1)/7*100,1)))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IF(CAPTURA!CL19="","",MIN(100,ROUND((LEN(CAPTURA!CL19)-LEN(SUBSTITUTE(CAPTURA!CL19,";",""))+1)/8*100,1)))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IF(CAPTURA!CY19="","",IF(ISNUMBER(SEARCH("Ninguno",CAPTURA!CY19)),0,MIN(100,ROUND((LEN(CAPTURA!CY19)-LEN(SUBSTITUTE(CAPTURA!CY19,";",""))+1)/6*100,1))))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 t="shared" si="9"/>
        <v/>
      </c>
      <c r="CL19" t="str">
        <f>""</f>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IF(CAPTURA!BT20="","",MIN(100,ROUND((LEN(CAPTURA!BT20)-LEN(SUBSTITUTE(CAPTURA!BT20,";",""))+1)/7*100,1)))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IF(CAPTURA!CL20="","",MIN(100,ROUND((LEN(CAPTURA!CL20)-LEN(SUBSTITUTE(CAPTURA!CL20,";",""))+1)/8*100,1)))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IF(CAPTURA!CY20="","",IF(ISNUMBER(SEARCH("Ninguno",CAPTURA!CY20)),0,MIN(100,ROUND((LEN(CAPTURA!CY20)-LEN(SUBSTITUTE(CAPTURA!CY20,";",""))+1)/6*100,1))))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 t="shared" si="9"/>
        <v/>
      </c>
      <c r="CL20" t="str">
        <f>""</f>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IF(CAPTURA!BT21="","",MIN(100,ROUND((LEN(CAPTURA!BT21)-LEN(SUBSTITUTE(CAPTURA!BT21,";",""))+1)/7*100,1)))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IF(CAPTURA!CL21="","",MIN(100,ROUND((LEN(CAPTURA!CL21)-LEN(SUBSTITUTE(CAPTURA!CL21,";",""))+1)/8*100,1)))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IF(CAPTURA!CY21="","",IF(ISNUMBER(SEARCH("Ninguno",CAPTURA!CY21)),0,MIN(100,ROUND((LEN(CAPTURA!CY21)-LEN(SUBSTITUTE(CAPTURA!CY21,";",""))+1)/6*100,1))))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 t="shared" si="9"/>
        <v/>
      </c>
      <c r="CL21" t="str">
        <f>""</f>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IF(CAPTURA!BT22="","",MIN(100,ROUND((LEN(CAPTURA!BT22)-LEN(SUBSTITUTE(CAPTURA!BT22,";",""))+1)/7*100,1)))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IF(CAPTURA!CL22="","",MIN(100,ROUND((LEN(CAPTURA!CL22)-LEN(SUBSTITUTE(CAPTURA!CL22,";",""))+1)/8*100,1)))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IF(CAPTURA!CY22="","",IF(ISNUMBER(SEARCH("Ninguno",CAPTURA!CY22)),0,MIN(100,ROUND((LEN(CAPTURA!CY22)-LEN(SUBSTITUTE(CAPTURA!CY22,";",""))+1)/6*100,1))))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 t="shared" si="9"/>
        <v/>
      </c>
      <c r="CL22" t="str">
        <f>""</f>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IF(CAPTURA!BT23="","",MIN(100,ROUND((LEN(CAPTURA!BT23)-LEN(SUBSTITUTE(CAPTURA!BT23,";",""))+1)/7*100,1)))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IF(CAPTURA!CL23="","",MIN(100,ROUND((LEN(CAPTURA!CL23)-LEN(SUBSTITUTE(CAPTURA!CL23,";",""))+1)/8*100,1)))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IF(CAPTURA!CY23="","",IF(ISNUMBER(SEARCH("Ninguno",CAPTURA!CY23)),0,MIN(100,ROUND((LEN(CAPTURA!CY23)-LEN(SUBSTITUTE(CAPTURA!CY23,";",""))+1)/6*100,1))))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 t="shared" si="9"/>
        <v/>
      </c>
      <c r="CL23" t="str">
        <f>""</f>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IF(CAPTURA!BT24="","",MIN(100,ROUND((LEN(CAPTURA!BT24)-LEN(SUBSTITUTE(CAPTURA!BT24,";",""))+1)/7*100,1)))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IF(CAPTURA!CL24="","",MIN(100,ROUND((LEN(CAPTURA!CL24)-LEN(SUBSTITUTE(CAPTURA!CL24,";",""))+1)/8*100,1)))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IF(CAPTURA!CY24="","",IF(ISNUMBER(SEARCH("Ninguno",CAPTURA!CY24)),0,MIN(100,ROUND((LEN(CAPTURA!CY24)-LEN(SUBSTITUTE(CAPTURA!CY24,";",""))+1)/6*100,1))))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 t="shared" si="9"/>
        <v/>
      </c>
      <c r="CL24" t="str">
        <f>""</f>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IF(CAPTURA!BT25="","",MIN(100,ROUND((LEN(CAPTURA!BT25)-LEN(SUBSTITUTE(CAPTURA!BT25,";",""))+1)/7*100,1)))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IF(CAPTURA!CL25="","",MIN(100,ROUND((LEN(CAPTURA!CL25)-LEN(SUBSTITUTE(CAPTURA!CL25,";",""))+1)/8*100,1)))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IF(CAPTURA!CY25="","",IF(ISNUMBER(SEARCH("Ninguno",CAPTURA!CY25)),0,MIN(100,ROUND((LEN(CAPTURA!CY25)-LEN(SUBSTITUTE(CAPTURA!CY25,";",""))+1)/6*100,1))))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 t="shared" si="9"/>
        <v/>
      </c>
      <c r="CL25" t="str">
        <f>""</f>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IF(CAPTURA!BT26="","",MIN(100,ROUND((LEN(CAPTURA!BT26)-LEN(SUBSTITUTE(CAPTURA!BT26,";",""))+1)/7*100,1)))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IF(CAPTURA!CL26="","",MIN(100,ROUND((LEN(CAPTURA!CL26)-LEN(SUBSTITUTE(CAPTURA!CL26,";",""))+1)/8*100,1)))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IF(CAPTURA!CY26="","",IF(ISNUMBER(SEARCH("Ninguno",CAPTURA!CY26)),0,MIN(100,ROUND((LEN(CAPTURA!CY26)-LEN(SUBSTITUTE(CAPTURA!CY26,";",""))+1)/6*100,1))))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 t="shared" si="9"/>
        <v/>
      </c>
      <c r="CL26" t="str">
        <f>""</f>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IF(CAPTURA!BT27="","",MIN(100,ROUND((LEN(CAPTURA!BT27)-LEN(SUBSTITUTE(CAPTURA!BT27,";",""))+1)/7*100,1)))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IF(CAPTURA!CL27="","",MIN(100,ROUND((LEN(CAPTURA!CL27)-LEN(SUBSTITUTE(CAPTURA!CL27,";",""))+1)/8*100,1)))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IF(CAPTURA!CY27="","",IF(ISNUMBER(SEARCH("Ninguno",CAPTURA!CY27)),0,MIN(100,ROUND((LEN(CAPTURA!CY27)-LEN(SUBSTITUTE(CAPTURA!CY27,";",""))+1)/6*100,1))))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 t="shared" si="9"/>
        <v/>
      </c>
      <c r="CL27" t="str">
        <f>""</f>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IF(CAPTURA!BT28="","",MIN(100,ROUND((LEN(CAPTURA!BT28)-LEN(SUBSTITUTE(CAPTURA!BT28,";",""))+1)/7*100,1)))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IF(CAPTURA!CL28="","",MIN(100,ROUND((LEN(CAPTURA!CL28)-LEN(SUBSTITUTE(CAPTURA!CL28,";",""))+1)/8*100,1)))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IF(CAPTURA!CY28="","",IF(ISNUMBER(SEARCH("Ninguno",CAPTURA!CY28)),0,MIN(100,ROUND((LEN(CAPTURA!CY28)-LEN(SUBSTITUTE(CAPTURA!CY28,";",""))+1)/6*100,1))))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 t="shared" si="9"/>
        <v/>
      </c>
      <c r="CL28" t="str">
        <f>""</f>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IF(CAPTURA!BT29="","",MIN(100,ROUND((LEN(CAPTURA!BT29)-LEN(SUBSTITUTE(CAPTURA!BT29,";",""))+1)/7*100,1)))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IF(CAPTURA!CL29="","",MIN(100,ROUND((LEN(CAPTURA!CL29)-LEN(SUBSTITUTE(CAPTURA!CL29,";",""))+1)/8*100,1)))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IF(CAPTURA!CY29="","",IF(ISNUMBER(SEARCH("Ninguno",CAPTURA!CY29)),0,MIN(100,ROUND((LEN(CAPTURA!CY29)-LEN(SUBSTITUTE(CAPTURA!CY29,";",""))+1)/6*100,1))))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 t="shared" si="9"/>
        <v/>
      </c>
      <c r="CL29" t="str">
        <f>""</f>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IF(CAPTURA!BT30="","",MIN(100,ROUND((LEN(CAPTURA!BT30)-LEN(SUBSTITUTE(CAPTURA!BT30,";",""))+1)/7*100,1)))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IF(CAPTURA!CL30="","",MIN(100,ROUND((LEN(CAPTURA!CL30)-LEN(SUBSTITUTE(CAPTURA!CL30,";",""))+1)/8*100,1)))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IF(CAPTURA!CY30="","",IF(ISNUMBER(SEARCH("Ninguno",CAPTURA!CY30)),0,MIN(100,ROUND((LEN(CAPTURA!CY30)-LEN(SUBSTITUTE(CAPTURA!CY30,";",""))+1)/6*100,1))))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 t="shared" si="9"/>
        <v/>
      </c>
      <c r="CL30" t="str">
        <f>""</f>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IF(CAPTURA!BT31="","",MIN(100,ROUND((LEN(CAPTURA!BT31)-LEN(SUBSTITUTE(CAPTURA!BT31,";",""))+1)/7*100,1)))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IF(CAPTURA!CL31="","",MIN(100,ROUND((LEN(CAPTURA!CL31)-LEN(SUBSTITUTE(CAPTURA!CL31,";",""))+1)/8*100,1)))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IF(CAPTURA!CY31="","",IF(ISNUMBER(SEARCH("Ninguno",CAPTURA!CY31)),0,MIN(100,ROUND((LEN(CAPTURA!CY31)-LEN(SUBSTITUTE(CAPTURA!CY31,";",""))+1)/6*100,1))))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 t="shared" si="9"/>
        <v/>
      </c>
      <c r="CL31" t="str">
        <f>""</f>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IF(CAPTURA!BT32="","",MIN(100,ROUND((LEN(CAPTURA!BT32)-LEN(SUBSTITUTE(CAPTURA!BT32,";",""))+1)/7*100,1)))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IF(CAPTURA!CL32="","",MIN(100,ROUND((LEN(CAPTURA!CL32)-LEN(SUBSTITUTE(CAPTURA!CL32,";",""))+1)/8*100,1)))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IF(CAPTURA!CY32="","",IF(ISNUMBER(SEARCH("Ninguno",CAPTURA!CY32)),0,MIN(100,ROUND((LEN(CAPTURA!CY32)-LEN(SUBSTITUTE(CAPTURA!CY32,";",""))+1)/6*100,1))))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 t="shared" si="9"/>
        <v/>
      </c>
      <c r="CL32" t="str">
        <f>""</f>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IF(CAPTURA!BT33="","",MIN(100,ROUND((LEN(CAPTURA!BT33)-LEN(SUBSTITUTE(CAPTURA!BT33,";",""))+1)/7*100,1)))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IF(CAPTURA!CL33="","",MIN(100,ROUND((LEN(CAPTURA!CL33)-LEN(SUBSTITUTE(CAPTURA!CL33,";",""))+1)/8*100,1)))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IF(CAPTURA!CY33="","",IF(ISNUMBER(SEARCH("Ninguno",CAPTURA!CY33)),0,MIN(100,ROUND((LEN(CAPTURA!CY33)-LEN(SUBSTITUTE(CAPTURA!CY33,";",""))+1)/6*100,1))))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 t="shared" si="9"/>
        <v/>
      </c>
      <c r="CL33" t="str">
        <f>""</f>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IF(CAPTURA!BT34="","",MIN(100,ROUND((LEN(CAPTURA!BT34)-LEN(SUBSTITUTE(CAPTURA!BT34,";",""))+1)/7*100,1)))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IF(CAPTURA!CL34="","",MIN(100,ROUND((LEN(CAPTURA!CL34)-LEN(SUBSTITUTE(CAPTURA!CL34,";",""))+1)/8*100,1)))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IF(CAPTURA!CY34="","",IF(ISNUMBER(SEARCH("Ninguno",CAPTURA!CY34)),0,MIN(100,ROUND((LEN(CAPTURA!CY34)-LEN(SUBSTITUTE(CAPTURA!CY34,";",""))+1)/6*100,1))))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 t="shared" si="9"/>
        <v/>
      </c>
      <c r="CL34" t="str">
        <f>""</f>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IF(CAPTURA!BT35="","",MIN(100,ROUND((LEN(CAPTURA!BT35)-LEN(SUBSTITUTE(CAPTURA!BT35,";",""))+1)/7*100,1)))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IF(CAPTURA!CL35="","",MIN(100,ROUND((LEN(CAPTURA!CL35)-LEN(SUBSTITUTE(CAPTURA!CL35,";",""))+1)/8*100,1)))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IF(CAPTURA!CY35="","",IF(ISNUMBER(SEARCH("Ninguno",CAPTURA!CY35)),0,MIN(100,ROUND((LEN(CAPTURA!CY35)-LEN(SUBSTITUTE(CAPTURA!CY35,";",""))+1)/6*100,1))))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10">IFERROR(AVERAGE(H35,I35,J35,K35),"")</f>
        <v/>
      </c>
      <c r="CC35" t="str">
        <f t="shared" ref="CC35:CC66" si="11">IFERROR(AVERAGE(L35,M35,N35,O35,P35,R35),"")</f>
        <v/>
      </c>
      <c r="CD35" t="str">
        <f t="shared" ref="CD35:CD66" si="12">IFERROR(AVERAGE(T35,U35,V35,W35,X35,Y35,Z35,AA35,AB35,AC35,AE35),"")</f>
        <v/>
      </c>
      <c r="CE35" t="str">
        <f t="shared" ref="CE35:CE66" si="13">IFERROR(AVERAGE(AG35,AH35,AI35),"")</f>
        <v/>
      </c>
      <c r="CF35" t="str">
        <f t="shared" ref="CF35:CF66" si="14">IFERROR(AVERAGE(AK35,AL35,AM35,AN35,AP35,AQ35,AR35,AS35),"")</f>
        <v/>
      </c>
      <c r="CG35" t="str">
        <f t="shared" ref="CG35:CG66" si="15">IFERROR(AVERAGE(AT35,AU35,AV35,BB35,AW35,AX35,AY35,AZ35,BA35),"")</f>
        <v/>
      </c>
      <c r="CH35" t="str">
        <f t="shared" ref="CH35:CH66" si="16">IFERROR(AVERAGE(BC35,BH35,BI35,BD35,BF35),"")</f>
        <v/>
      </c>
      <c r="CI35" t="str">
        <f t="shared" ref="CI35:CI66" si="17">IFERROR(AVERAGE(BJ35,BK35,BL35,BM35),"")</f>
        <v/>
      </c>
      <c r="CJ35" t="str">
        <f t="shared" ref="CJ35:CJ66" si="18">IFERROR(AVERAGE(BN35,BO35,BP35),"")</f>
        <v/>
      </c>
      <c r="CK35" t="str">
        <f t="shared" ref="CK35:CK66" si="19">IFERROR(AVERAGE(BS35),"")</f>
        <v/>
      </c>
      <c r="CL35" t="str">
        <f>""</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IF(CAPTURA!BT36="","",MIN(100,ROUND((LEN(CAPTURA!BT36)-LEN(SUBSTITUTE(CAPTURA!BT36,";",""))+1)/7*100,1)))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IF(CAPTURA!CL36="","",MIN(100,ROUND((LEN(CAPTURA!CL36)-LEN(SUBSTITUTE(CAPTURA!CL36,";",""))+1)/8*100,1)))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IF(CAPTURA!CY36="","",IF(ISNUMBER(SEARCH("Ninguno",CAPTURA!CY36)),0,MIN(100,ROUND((LEN(CAPTURA!CY36)-LEN(SUBSTITUTE(CAPTURA!CY36,";",""))+1)/6*100,1))))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10"/>
        <v/>
      </c>
      <c r="CC36" t="str">
        <f t="shared" si="11"/>
        <v/>
      </c>
      <c r="CD36" t="str">
        <f t="shared" si="12"/>
        <v/>
      </c>
      <c r="CE36" t="str">
        <f t="shared" si="13"/>
        <v/>
      </c>
      <c r="CF36" t="str">
        <f t="shared" si="14"/>
        <v/>
      </c>
      <c r="CG36" t="str">
        <f t="shared" si="15"/>
        <v/>
      </c>
      <c r="CH36" t="str">
        <f t="shared" si="16"/>
        <v/>
      </c>
      <c r="CI36" t="str">
        <f t="shared" si="17"/>
        <v/>
      </c>
      <c r="CJ36" t="str">
        <f t="shared" si="18"/>
        <v/>
      </c>
      <c r="CK36" t="str">
        <f t="shared" si="19"/>
        <v/>
      </c>
      <c r="CL36" t="str">
        <f>""</f>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IF(CAPTURA!BT37="","",MIN(100,ROUND((LEN(CAPTURA!BT37)-LEN(SUBSTITUTE(CAPTURA!BT37,";",""))+1)/7*100,1)))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IF(CAPTURA!CL37="","",MIN(100,ROUND((LEN(CAPTURA!CL37)-LEN(SUBSTITUTE(CAPTURA!CL37,";",""))+1)/8*100,1)))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IF(CAPTURA!CY37="","",IF(ISNUMBER(SEARCH("Ninguno",CAPTURA!CY37)),0,MIN(100,ROUND((LEN(CAPTURA!CY37)-LEN(SUBSTITUTE(CAPTURA!CY37,";",""))+1)/6*100,1))))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10"/>
        <v/>
      </c>
      <c r="CC37" t="str">
        <f t="shared" si="11"/>
        <v/>
      </c>
      <c r="CD37" t="str">
        <f t="shared" si="12"/>
        <v/>
      </c>
      <c r="CE37" t="str">
        <f t="shared" si="13"/>
        <v/>
      </c>
      <c r="CF37" t="str">
        <f t="shared" si="14"/>
        <v/>
      </c>
      <c r="CG37" t="str">
        <f t="shared" si="15"/>
        <v/>
      </c>
      <c r="CH37" t="str">
        <f t="shared" si="16"/>
        <v/>
      </c>
      <c r="CI37" t="str">
        <f t="shared" si="17"/>
        <v/>
      </c>
      <c r="CJ37" t="str">
        <f t="shared" si="18"/>
        <v/>
      </c>
      <c r="CK37" t="str">
        <f t="shared" si="19"/>
        <v/>
      </c>
      <c r="CL37" t="str">
        <f>""</f>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IF(CAPTURA!BT38="","",MIN(100,ROUND((LEN(CAPTURA!BT38)-LEN(SUBSTITUTE(CAPTURA!BT38,";",""))+1)/7*100,1)))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IF(CAPTURA!CL38="","",MIN(100,ROUND((LEN(CAPTURA!CL38)-LEN(SUBSTITUTE(CAPTURA!CL38,";",""))+1)/8*100,1)))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IF(CAPTURA!CY38="","",IF(ISNUMBER(SEARCH("Ninguno",CAPTURA!CY38)),0,MIN(100,ROUND((LEN(CAPTURA!CY38)-LEN(SUBSTITUTE(CAPTURA!CY38,";",""))+1)/6*100,1))))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10"/>
        <v/>
      </c>
      <c r="CC38" t="str">
        <f t="shared" si="11"/>
        <v/>
      </c>
      <c r="CD38" t="str">
        <f t="shared" si="12"/>
        <v/>
      </c>
      <c r="CE38" t="str">
        <f t="shared" si="13"/>
        <v/>
      </c>
      <c r="CF38" t="str">
        <f t="shared" si="14"/>
        <v/>
      </c>
      <c r="CG38" t="str">
        <f t="shared" si="15"/>
        <v/>
      </c>
      <c r="CH38" t="str">
        <f t="shared" si="16"/>
        <v/>
      </c>
      <c r="CI38" t="str">
        <f t="shared" si="17"/>
        <v/>
      </c>
      <c r="CJ38" t="str">
        <f t="shared" si="18"/>
        <v/>
      </c>
      <c r="CK38" t="str">
        <f t="shared" si="19"/>
        <v/>
      </c>
      <c r="CL38" t="str">
        <f>""</f>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IF(CAPTURA!BT39="","",MIN(100,ROUND((LEN(CAPTURA!BT39)-LEN(SUBSTITUTE(CAPTURA!BT39,";",""))+1)/7*100,1)))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IF(CAPTURA!CL39="","",MIN(100,ROUND((LEN(CAPTURA!CL39)-LEN(SUBSTITUTE(CAPTURA!CL39,";",""))+1)/8*100,1)))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IF(CAPTURA!CY39="","",IF(ISNUMBER(SEARCH("Ninguno",CAPTURA!CY39)),0,MIN(100,ROUND((LEN(CAPTURA!CY39)-LEN(SUBSTITUTE(CAPTURA!CY39,";",""))+1)/6*100,1))))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10"/>
        <v/>
      </c>
      <c r="CC39" t="str">
        <f t="shared" si="11"/>
        <v/>
      </c>
      <c r="CD39" t="str">
        <f t="shared" si="12"/>
        <v/>
      </c>
      <c r="CE39" t="str">
        <f t="shared" si="13"/>
        <v/>
      </c>
      <c r="CF39" t="str">
        <f t="shared" si="14"/>
        <v/>
      </c>
      <c r="CG39" t="str">
        <f t="shared" si="15"/>
        <v/>
      </c>
      <c r="CH39" t="str">
        <f t="shared" si="16"/>
        <v/>
      </c>
      <c r="CI39" t="str">
        <f t="shared" si="17"/>
        <v/>
      </c>
      <c r="CJ39" t="str">
        <f t="shared" si="18"/>
        <v/>
      </c>
      <c r="CK39" t="str">
        <f t="shared" si="19"/>
        <v/>
      </c>
      <c r="CL39" t="str">
        <f>""</f>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IF(CAPTURA!BT40="","",MIN(100,ROUND((LEN(CAPTURA!BT40)-LEN(SUBSTITUTE(CAPTURA!BT40,";",""))+1)/7*100,1)))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IF(CAPTURA!CL40="","",MIN(100,ROUND((LEN(CAPTURA!CL40)-LEN(SUBSTITUTE(CAPTURA!CL40,";",""))+1)/8*100,1)))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IF(CAPTURA!CY40="","",IF(ISNUMBER(SEARCH("Ninguno",CAPTURA!CY40)),0,MIN(100,ROUND((LEN(CAPTURA!CY40)-LEN(SUBSTITUTE(CAPTURA!CY40,";",""))+1)/6*100,1))))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10"/>
        <v/>
      </c>
      <c r="CC40" t="str">
        <f t="shared" si="11"/>
        <v/>
      </c>
      <c r="CD40" t="str">
        <f t="shared" si="12"/>
        <v/>
      </c>
      <c r="CE40" t="str">
        <f t="shared" si="13"/>
        <v/>
      </c>
      <c r="CF40" t="str">
        <f t="shared" si="14"/>
        <v/>
      </c>
      <c r="CG40" t="str">
        <f t="shared" si="15"/>
        <v/>
      </c>
      <c r="CH40" t="str">
        <f t="shared" si="16"/>
        <v/>
      </c>
      <c r="CI40" t="str">
        <f t="shared" si="17"/>
        <v/>
      </c>
      <c r="CJ40" t="str">
        <f t="shared" si="18"/>
        <v/>
      </c>
      <c r="CK40" t="str">
        <f t="shared" si="19"/>
        <v/>
      </c>
      <c r="CL40" t="str">
        <f>""</f>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IF(CAPTURA!BT41="","",MIN(100,ROUND((LEN(CAPTURA!BT41)-LEN(SUBSTITUTE(CAPTURA!BT41,";",""))+1)/7*100,1)))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IF(CAPTURA!CL41="","",MIN(100,ROUND((LEN(CAPTURA!CL41)-LEN(SUBSTITUTE(CAPTURA!CL41,";",""))+1)/8*100,1)))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IF(CAPTURA!CY41="","",IF(ISNUMBER(SEARCH("Ninguno",CAPTURA!CY41)),0,MIN(100,ROUND((LEN(CAPTURA!CY41)-LEN(SUBSTITUTE(CAPTURA!CY41,";",""))+1)/6*100,1))))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10"/>
        <v/>
      </c>
      <c r="CC41" t="str">
        <f t="shared" si="11"/>
        <v/>
      </c>
      <c r="CD41" t="str">
        <f t="shared" si="12"/>
        <v/>
      </c>
      <c r="CE41" t="str">
        <f t="shared" si="13"/>
        <v/>
      </c>
      <c r="CF41" t="str">
        <f t="shared" si="14"/>
        <v/>
      </c>
      <c r="CG41" t="str">
        <f t="shared" si="15"/>
        <v/>
      </c>
      <c r="CH41" t="str">
        <f t="shared" si="16"/>
        <v/>
      </c>
      <c r="CI41" t="str">
        <f t="shared" si="17"/>
        <v/>
      </c>
      <c r="CJ41" t="str">
        <f t="shared" si="18"/>
        <v/>
      </c>
      <c r="CK41" t="str">
        <f t="shared" si="19"/>
        <v/>
      </c>
      <c r="CL41" t="str">
        <f>""</f>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IF(CAPTURA!BT42="","",MIN(100,ROUND((LEN(CAPTURA!BT42)-LEN(SUBSTITUTE(CAPTURA!BT42,";",""))+1)/7*100,1)))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IF(CAPTURA!CL42="","",MIN(100,ROUND((LEN(CAPTURA!CL42)-LEN(SUBSTITUTE(CAPTURA!CL42,";",""))+1)/8*100,1)))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IF(CAPTURA!CY42="","",IF(ISNUMBER(SEARCH("Ninguno",CAPTURA!CY42)),0,MIN(100,ROUND((LEN(CAPTURA!CY42)-LEN(SUBSTITUTE(CAPTURA!CY42,";",""))+1)/6*100,1))))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10"/>
        <v/>
      </c>
      <c r="CC42" t="str">
        <f t="shared" si="11"/>
        <v/>
      </c>
      <c r="CD42" t="str">
        <f t="shared" si="12"/>
        <v/>
      </c>
      <c r="CE42" t="str">
        <f t="shared" si="13"/>
        <v/>
      </c>
      <c r="CF42" t="str">
        <f t="shared" si="14"/>
        <v/>
      </c>
      <c r="CG42" t="str">
        <f t="shared" si="15"/>
        <v/>
      </c>
      <c r="CH42" t="str">
        <f t="shared" si="16"/>
        <v/>
      </c>
      <c r="CI42" t="str">
        <f t="shared" si="17"/>
        <v/>
      </c>
      <c r="CJ42" t="str">
        <f t="shared" si="18"/>
        <v/>
      </c>
      <c r="CK42" t="str">
        <f t="shared" si="19"/>
        <v/>
      </c>
      <c r="CL42" t="str">
        <f>""</f>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IF(CAPTURA!BT43="","",MIN(100,ROUND((LEN(CAPTURA!BT43)-LEN(SUBSTITUTE(CAPTURA!BT43,";",""))+1)/7*100,1)))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IF(CAPTURA!CL43="","",MIN(100,ROUND((LEN(CAPTURA!CL43)-LEN(SUBSTITUTE(CAPTURA!CL43,";",""))+1)/8*100,1)))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IF(CAPTURA!CY43="","",IF(ISNUMBER(SEARCH("Ninguno",CAPTURA!CY43)),0,MIN(100,ROUND((LEN(CAPTURA!CY43)-LEN(SUBSTITUTE(CAPTURA!CY43,";",""))+1)/6*100,1))))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10"/>
        <v/>
      </c>
      <c r="CC43" t="str">
        <f t="shared" si="11"/>
        <v/>
      </c>
      <c r="CD43" t="str">
        <f t="shared" si="12"/>
        <v/>
      </c>
      <c r="CE43" t="str">
        <f t="shared" si="13"/>
        <v/>
      </c>
      <c r="CF43" t="str">
        <f t="shared" si="14"/>
        <v/>
      </c>
      <c r="CG43" t="str">
        <f t="shared" si="15"/>
        <v/>
      </c>
      <c r="CH43" t="str">
        <f t="shared" si="16"/>
        <v/>
      </c>
      <c r="CI43" t="str">
        <f t="shared" si="17"/>
        <v/>
      </c>
      <c r="CJ43" t="str">
        <f t="shared" si="18"/>
        <v/>
      </c>
      <c r="CK43" t="str">
        <f t="shared" si="19"/>
        <v/>
      </c>
      <c r="CL43" t="str">
        <f>""</f>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IF(CAPTURA!BT44="","",MIN(100,ROUND((LEN(CAPTURA!BT44)-LEN(SUBSTITUTE(CAPTURA!BT44,";",""))+1)/7*100,1)))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IF(CAPTURA!CL44="","",MIN(100,ROUND((LEN(CAPTURA!CL44)-LEN(SUBSTITUTE(CAPTURA!CL44,";",""))+1)/8*100,1)))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IF(CAPTURA!CY44="","",IF(ISNUMBER(SEARCH("Ninguno",CAPTURA!CY44)),0,MIN(100,ROUND((LEN(CAPTURA!CY44)-LEN(SUBSTITUTE(CAPTURA!CY44,";",""))+1)/6*100,1))))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10"/>
        <v/>
      </c>
      <c r="CC44" t="str">
        <f t="shared" si="11"/>
        <v/>
      </c>
      <c r="CD44" t="str">
        <f t="shared" si="12"/>
        <v/>
      </c>
      <c r="CE44" t="str">
        <f t="shared" si="13"/>
        <v/>
      </c>
      <c r="CF44" t="str">
        <f t="shared" si="14"/>
        <v/>
      </c>
      <c r="CG44" t="str">
        <f t="shared" si="15"/>
        <v/>
      </c>
      <c r="CH44" t="str">
        <f t="shared" si="16"/>
        <v/>
      </c>
      <c r="CI44" t="str">
        <f t="shared" si="17"/>
        <v/>
      </c>
      <c r="CJ44" t="str">
        <f t="shared" si="18"/>
        <v/>
      </c>
      <c r="CK44" t="str">
        <f t="shared" si="19"/>
        <v/>
      </c>
      <c r="CL44" t="str">
        <f>""</f>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IF(CAPTURA!BT45="","",MIN(100,ROUND((LEN(CAPTURA!BT45)-LEN(SUBSTITUTE(CAPTURA!BT45,";",""))+1)/7*100,1)))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IF(CAPTURA!CL45="","",MIN(100,ROUND((LEN(CAPTURA!CL45)-LEN(SUBSTITUTE(CAPTURA!CL45,";",""))+1)/8*100,1)))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IF(CAPTURA!CY45="","",IF(ISNUMBER(SEARCH("Ninguno",CAPTURA!CY45)),0,MIN(100,ROUND((LEN(CAPTURA!CY45)-LEN(SUBSTITUTE(CAPTURA!CY45,";",""))+1)/6*100,1))))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10"/>
        <v/>
      </c>
      <c r="CC45" t="str">
        <f t="shared" si="11"/>
        <v/>
      </c>
      <c r="CD45" t="str">
        <f t="shared" si="12"/>
        <v/>
      </c>
      <c r="CE45" t="str">
        <f t="shared" si="13"/>
        <v/>
      </c>
      <c r="CF45" t="str">
        <f t="shared" si="14"/>
        <v/>
      </c>
      <c r="CG45" t="str">
        <f t="shared" si="15"/>
        <v/>
      </c>
      <c r="CH45" t="str">
        <f t="shared" si="16"/>
        <v/>
      </c>
      <c r="CI45" t="str">
        <f t="shared" si="17"/>
        <v/>
      </c>
      <c r="CJ45" t="str">
        <f t="shared" si="18"/>
        <v/>
      </c>
      <c r="CK45" t="str">
        <f t="shared" si="19"/>
        <v/>
      </c>
      <c r="CL45" t="str">
        <f>""</f>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IF(CAPTURA!BT46="","",MIN(100,ROUND((LEN(CAPTURA!BT46)-LEN(SUBSTITUTE(CAPTURA!BT46,";",""))+1)/7*100,1)))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IF(CAPTURA!CL46="","",MIN(100,ROUND((LEN(CAPTURA!CL46)-LEN(SUBSTITUTE(CAPTURA!CL46,";",""))+1)/8*100,1)))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IF(CAPTURA!CY46="","",IF(ISNUMBER(SEARCH("Ninguno",CAPTURA!CY46)),0,MIN(100,ROUND((LEN(CAPTURA!CY46)-LEN(SUBSTITUTE(CAPTURA!CY46,";",""))+1)/6*100,1))))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10"/>
        <v/>
      </c>
      <c r="CC46" t="str">
        <f t="shared" si="11"/>
        <v/>
      </c>
      <c r="CD46" t="str">
        <f t="shared" si="12"/>
        <v/>
      </c>
      <c r="CE46" t="str">
        <f t="shared" si="13"/>
        <v/>
      </c>
      <c r="CF46" t="str">
        <f t="shared" si="14"/>
        <v/>
      </c>
      <c r="CG46" t="str">
        <f t="shared" si="15"/>
        <v/>
      </c>
      <c r="CH46" t="str">
        <f t="shared" si="16"/>
        <v/>
      </c>
      <c r="CI46" t="str">
        <f t="shared" si="17"/>
        <v/>
      </c>
      <c r="CJ46" t="str">
        <f t="shared" si="18"/>
        <v/>
      </c>
      <c r="CK46" t="str">
        <f t="shared" si="19"/>
        <v/>
      </c>
      <c r="CL46" t="str">
        <f>""</f>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IF(CAPTURA!BT47="","",MIN(100,ROUND((LEN(CAPTURA!BT47)-LEN(SUBSTITUTE(CAPTURA!BT47,";",""))+1)/7*100,1)))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IF(CAPTURA!CL47="","",MIN(100,ROUND((LEN(CAPTURA!CL47)-LEN(SUBSTITUTE(CAPTURA!CL47,";",""))+1)/8*100,1)))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IF(CAPTURA!CY47="","",IF(ISNUMBER(SEARCH("Ninguno",CAPTURA!CY47)),0,MIN(100,ROUND((LEN(CAPTURA!CY47)-LEN(SUBSTITUTE(CAPTURA!CY47,";",""))+1)/6*100,1))))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10"/>
        <v/>
      </c>
      <c r="CC47" t="str">
        <f t="shared" si="11"/>
        <v/>
      </c>
      <c r="CD47" t="str">
        <f t="shared" si="12"/>
        <v/>
      </c>
      <c r="CE47" t="str">
        <f t="shared" si="13"/>
        <v/>
      </c>
      <c r="CF47" t="str">
        <f t="shared" si="14"/>
        <v/>
      </c>
      <c r="CG47" t="str">
        <f t="shared" si="15"/>
        <v/>
      </c>
      <c r="CH47" t="str">
        <f t="shared" si="16"/>
        <v/>
      </c>
      <c r="CI47" t="str">
        <f t="shared" si="17"/>
        <v/>
      </c>
      <c r="CJ47" t="str">
        <f t="shared" si="18"/>
        <v/>
      </c>
      <c r="CK47" t="str">
        <f t="shared" si="19"/>
        <v/>
      </c>
      <c r="CL47" t="str">
        <f>""</f>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IF(CAPTURA!BT48="","",MIN(100,ROUND((LEN(CAPTURA!BT48)-LEN(SUBSTITUTE(CAPTURA!BT48,";",""))+1)/7*100,1)))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IF(CAPTURA!CL48="","",MIN(100,ROUND((LEN(CAPTURA!CL48)-LEN(SUBSTITUTE(CAPTURA!CL48,";",""))+1)/8*100,1)))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IF(CAPTURA!CY48="","",IF(ISNUMBER(SEARCH("Ninguno",CAPTURA!CY48)),0,MIN(100,ROUND((LEN(CAPTURA!CY48)-LEN(SUBSTITUTE(CAPTURA!CY48,";",""))+1)/6*100,1))))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10"/>
        <v/>
      </c>
      <c r="CC48" t="str">
        <f t="shared" si="11"/>
        <v/>
      </c>
      <c r="CD48" t="str">
        <f t="shared" si="12"/>
        <v/>
      </c>
      <c r="CE48" t="str">
        <f t="shared" si="13"/>
        <v/>
      </c>
      <c r="CF48" t="str">
        <f t="shared" si="14"/>
        <v/>
      </c>
      <c r="CG48" t="str">
        <f t="shared" si="15"/>
        <v/>
      </c>
      <c r="CH48" t="str">
        <f t="shared" si="16"/>
        <v/>
      </c>
      <c r="CI48" t="str">
        <f t="shared" si="17"/>
        <v/>
      </c>
      <c r="CJ48" t="str">
        <f t="shared" si="18"/>
        <v/>
      </c>
      <c r="CK48" t="str">
        <f t="shared" si="19"/>
        <v/>
      </c>
      <c r="CL48" t="str">
        <f>""</f>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IF(CAPTURA!BT49="","",MIN(100,ROUND((LEN(CAPTURA!BT49)-LEN(SUBSTITUTE(CAPTURA!BT49,";",""))+1)/7*100,1)))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IF(CAPTURA!CL49="","",MIN(100,ROUND((LEN(CAPTURA!CL49)-LEN(SUBSTITUTE(CAPTURA!CL49,";",""))+1)/8*100,1)))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IF(CAPTURA!CY49="","",IF(ISNUMBER(SEARCH("Ninguno",CAPTURA!CY49)),0,MIN(100,ROUND((LEN(CAPTURA!CY49)-LEN(SUBSTITUTE(CAPTURA!CY49,";",""))+1)/6*100,1))))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10"/>
        <v/>
      </c>
      <c r="CC49" t="str">
        <f t="shared" si="11"/>
        <v/>
      </c>
      <c r="CD49" t="str">
        <f t="shared" si="12"/>
        <v/>
      </c>
      <c r="CE49" t="str">
        <f t="shared" si="13"/>
        <v/>
      </c>
      <c r="CF49" t="str">
        <f t="shared" si="14"/>
        <v/>
      </c>
      <c r="CG49" t="str">
        <f t="shared" si="15"/>
        <v/>
      </c>
      <c r="CH49" t="str">
        <f t="shared" si="16"/>
        <v/>
      </c>
      <c r="CI49" t="str">
        <f t="shared" si="17"/>
        <v/>
      </c>
      <c r="CJ49" t="str">
        <f t="shared" si="18"/>
        <v/>
      </c>
      <c r="CK49" t="str">
        <f t="shared" si="19"/>
        <v/>
      </c>
      <c r="CL49" t="str">
        <f>""</f>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IF(CAPTURA!BT50="","",MIN(100,ROUND((LEN(CAPTURA!BT50)-LEN(SUBSTITUTE(CAPTURA!BT50,";",""))+1)/7*100,1)))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IF(CAPTURA!CL50="","",MIN(100,ROUND((LEN(CAPTURA!CL50)-LEN(SUBSTITUTE(CAPTURA!CL50,";",""))+1)/8*100,1)))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IF(CAPTURA!CY50="","",IF(ISNUMBER(SEARCH("Ninguno",CAPTURA!CY50)),0,MIN(100,ROUND((LEN(CAPTURA!CY50)-LEN(SUBSTITUTE(CAPTURA!CY50,";",""))+1)/6*100,1))))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10"/>
        <v/>
      </c>
      <c r="CC50" t="str">
        <f t="shared" si="11"/>
        <v/>
      </c>
      <c r="CD50" t="str">
        <f t="shared" si="12"/>
        <v/>
      </c>
      <c r="CE50" t="str">
        <f t="shared" si="13"/>
        <v/>
      </c>
      <c r="CF50" t="str">
        <f t="shared" si="14"/>
        <v/>
      </c>
      <c r="CG50" t="str">
        <f t="shared" si="15"/>
        <v/>
      </c>
      <c r="CH50" t="str">
        <f t="shared" si="16"/>
        <v/>
      </c>
      <c r="CI50" t="str">
        <f t="shared" si="17"/>
        <v/>
      </c>
      <c r="CJ50" t="str">
        <f t="shared" si="18"/>
        <v/>
      </c>
      <c r="CK50" t="str">
        <f t="shared" si="19"/>
        <v/>
      </c>
      <c r="CL50" t="str">
        <f>""</f>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IF(CAPTURA!BT51="","",MIN(100,ROUND((LEN(CAPTURA!BT51)-LEN(SUBSTITUTE(CAPTURA!BT51,";",""))+1)/7*100,1)))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IF(CAPTURA!CL51="","",MIN(100,ROUND((LEN(CAPTURA!CL51)-LEN(SUBSTITUTE(CAPTURA!CL51,";",""))+1)/8*100,1)))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IF(CAPTURA!CY51="","",IF(ISNUMBER(SEARCH("Ninguno",CAPTURA!CY51)),0,MIN(100,ROUND((LEN(CAPTURA!CY51)-LEN(SUBSTITUTE(CAPTURA!CY51,";",""))+1)/6*100,1))))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10"/>
        <v/>
      </c>
      <c r="CC51" t="str">
        <f t="shared" si="11"/>
        <v/>
      </c>
      <c r="CD51" t="str">
        <f t="shared" si="12"/>
        <v/>
      </c>
      <c r="CE51" t="str">
        <f t="shared" si="13"/>
        <v/>
      </c>
      <c r="CF51" t="str">
        <f t="shared" si="14"/>
        <v/>
      </c>
      <c r="CG51" t="str">
        <f t="shared" si="15"/>
        <v/>
      </c>
      <c r="CH51" t="str">
        <f t="shared" si="16"/>
        <v/>
      </c>
      <c r="CI51" t="str">
        <f t="shared" si="17"/>
        <v/>
      </c>
      <c r="CJ51" t="str">
        <f t="shared" si="18"/>
        <v/>
      </c>
      <c r="CK51" t="str">
        <f t="shared" si="19"/>
        <v/>
      </c>
      <c r="CL51" t="str">
        <f>""</f>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IF(CAPTURA!BT52="","",MIN(100,ROUND((LEN(CAPTURA!BT52)-LEN(SUBSTITUTE(CAPTURA!BT52,";",""))+1)/7*100,1)))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IF(CAPTURA!CL52="","",MIN(100,ROUND((LEN(CAPTURA!CL52)-LEN(SUBSTITUTE(CAPTURA!CL52,";",""))+1)/8*100,1)))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IF(CAPTURA!CY52="","",IF(ISNUMBER(SEARCH("Ninguno",CAPTURA!CY52)),0,MIN(100,ROUND((LEN(CAPTURA!CY52)-LEN(SUBSTITUTE(CAPTURA!CY52,";",""))+1)/6*100,1))))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10"/>
        <v/>
      </c>
      <c r="CC52" t="str">
        <f t="shared" si="11"/>
        <v/>
      </c>
      <c r="CD52" t="str">
        <f t="shared" si="12"/>
        <v/>
      </c>
      <c r="CE52" t="str">
        <f t="shared" si="13"/>
        <v/>
      </c>
      <c r="CF52" t="str">
        <f t="shared" si="14"/>
        <v/>
      </c>
      <c r="CG52" t="str">
        <f t="shared" si="15"/>
        <v/>
      </c>
      <c r="CH52" t="str">
        <f t="shared" si="16"/>
        <v/>
      </c>
      <c r="CI52" t="str">
        <f t="shared" si="17"/>
        <v/>
      </c>
      <c r="CJ52" t="str">
        <f t="shared" si="18"/>
        <v/>
      </c>
      <c r="CK52" t="str">
        <f t="shared" si="19"/>
        <v/>
      </c>
      <c r="CL52" t="str">
        <f>""</f>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IF(CAPTURA!BT53="","",MIN(100,ROUND((LEN(CAPTURA!BT53)-LEN(SUBSTITUTE(CAPTURA!BT53,";",""))+1)/7*100,1)))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IF(CAPTURA!CL53="","",MIN(100,ROUND((LEN(CAPTURA!CL53)-LEN(SUBSTITUTE(CAPTURA!CL53,";",""))+1)/8*100,1)))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IF(CAPTURA!CY53="","",IF(ISNUMBER(SEARCH("Ninguno",CAPTURA!CY53)),0,MIN(100,ROUND((LEN(CAPTURA!CY53)-LEN(SUBSTITUTE(CAPTURA!CY53,";",""))+1)/6*100,1))))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10"/>
        <v/>
      </c>
      <c r="CC53" t="str">
        <f t="shared" si="11"/>
        <v/>
      </c>
      <c r="CD53" t="str">
        <f t="shared" si="12"/>
        <v/>
      </c>
      <c r="CE53" t="str">
        <f t="shared" si="13"/>
        <v/>
      </c>
      <c r="CF53" t="str">
        <f t="shared" si="14"/>
        <v/>
      </c>
      <c r="CG53" t="str">
        <f t="shared" si="15"/>
        <v/>
      </c>
      <c r="CH53" t="str">
        <f t="shared" si="16"/>
        <v/>
      </c>
      <c r="CI53" t="str">
        <f t="shared" si="17"/>
        <v/>
      </c>
      <c r="CJ53" t="str">
        <f t="shared" si="18"/>
        <v/>
      </c>
      <c r="CK53" t="str">
        <f t="shared" si="19"/>
        <v/>
      </c>
      <c r="CL53" t="str">
        <f>""</f>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IF(CAPTURA!BT54="","",MIN(100,ROUND((LEN(CAPTURA!BT54)-LEN(SUBSTITUTE(CAPTURA!BT54,";",""))+1)/7*100,1)))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IF(CAPTURA!CL54="","",MIN(100,ROUND((LEN(CAPTURA!CL54)-LEN(SUBSTITUTE(CAPTURA!CL54,";",""))+1)/8*100,1)))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IF(CAPTURA!CY54="","",IF(ISNUMBER(SEARCH("Ninguno",CAPTURA!CY54)),0,MIN(100,ROUND((LEN(CAPTURA!CY54)-LEN(SUBSTITUTE(CAPTURA!CY54,";",""))+1)/6*100,1))))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10"/>
        <v/>
      </c>
      <c r="CC54" t="str">
        <f t="shared" si="11"/>
        <v/>
      </c>
      <c r="CD54" t="str">
        <f t="shared" si="12"/>
        <v/>
      </c>
      <c r="CE54" t="str">
        <f t="shared" si="13"/>
        <v/>
      </c>
      <c r="CF54" t="str">
        <f t="shared" si="14"/>
        <v/>
      </c>
      <c r="CG54" t="str">
        <f t="shared" si="15"/>
        <v/>
      </c>
      <c r="CH54" t="str">
        <f t="shared" si="16"/>
        <v/>
      </c>
      <c r="CI54" t="str">
        <f t="shared" si="17"/>
        <v/>
      </c>
      <c r="CJ54" t="str">
        <f t="shared" si="18"/>
        <v/>
      </c>
      <c r="CK54" t="str">
        <f t="shared" si="19"/>
        <v/>
      </c>
      <c r="CL54" t="str">
        <f>""</f>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IF(CAPTURA!BT55="","",MIN(100,ROUND((LEN(CAPTURA!BT55)-LEN(SUBSTITUTE(CAPTURA!BT55,";",""))+1)/7*100,1)))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IF(CAPTURA!CL55="","",MIN(100,ROUND((LEN(CAPTURA!CL55)-LEN(SUBSTITUTE(CAPTURA!CL55,";",""))+1)/8*100,1)))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IF(CAPTURA!CY55="","",IF(ISNUMBER(SEARCH("Ninguno",CAPTURA!CY55)),0,MIN(100,ROUND((LEN(CAPTURA!CY55)-LEN(SUBSTITUTE(CAPTURA!CY55,";",""))+1)/6*100,1))))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10"/>
        <v/>
      </c>
      <c r="CC55" t="str">
        <f t="shared" si="11"/>
        <v/>
      </c>
      <c r="CD55" t="str">
        <f t="shared" si="12"/>
        <v/>
      </c>
      <c r="CE55" t="str">
        <f t="shared" si="13"/>
        <v/>
      </c>
      <c r="CF55" t="str">
        <f t="shared" si="14"/>
        <v/>
      </c>
      <c r="CG55" t="str">
        <f t="shared" si="15"/>
        <v/>
      </c>
      <c r="CH55" t="str">
        <f t="shared" si="16"/>
        <v/>
      </c>
      <c r="CI55" t="str">
        <f t="shared" si="17"/>
        <v/>
      </c>
      <c r="CJ55" t="str">
        <f t="shared" si="18"/>
        <v/>
      </c>
      <c r="CK55" t="str">
        <f t="shared" si="19"/>
        <v/>
      </c>
      <c r="CL55" t="str">
        <f>""</f>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IF(CAPTURA!BT56="","",MIN(100,ROUND((LEN(CAPTURA!BT56)-LEN(SUBSTITUTE(CAPTURA!BT56,";",""))+1)/7*100,1)))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IF(CAPTURA!CL56="","",MIN(100,ROUND((LEN(CAPTURA!CL56)-LEN(SUBSTITUTE(CAPTURA!CL56,";",""))+1)/8*100,1)))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IF(CAPTURA!CY56="","",IF(ISNUMBER(SEARCH("Ninguno",CAPTURA!CY56)),0,MIN(100,ROUND((LEN(CAPTURA!CY56)-LEN(SUBSTITUTE(CAPTURA!CY56,";",""))+1)/6*100,1))))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10"/>
        <v/>
      </c>
      <c r="CC56" t="str">
        <f t="shared" si="11"/>
        <v/>
      </c>
      <c r="CD56" t="str">
        <f t="shared" si="12"/>
        <v/>
      </c>
      <c r="CE56" t="str">
        <f t="shared" si="13"/>
        <v/>
      </c>
      <c r="CF56" t="str">
        <f t="shared" si="14"/>
        <v/>
      </c>
      <c r="CG56" t="str">
        <f t="shared" si="15"/>
        <v/>
      </c>
      <c r="CH56" t="str">
        <f t="shared" si="16"/>
        <v/>
      </c>
      <c r="CI56" t="str">
        <f t="shared" si="17"/>
        <v/>
      </c>
      <c r="CJ56" t="str">
        <f t="shared" si="18"/>
        <v/>
      </c>
      <c r="CK56" t="str">
        <f t="shared" si="19"/>
        <v/>
      </c>
      <c r="CL56" t="str">
        <f>""</f>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IF(CAPTURA!BT57="","",MIN(100,ROUND((LEN(CAPTURA!BT57)-LEN(SUBSTITUTE(CAPTURA!BT57,";",""))+1)/7*100,1)))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IF(CAPTURA!CL57="","",MIN(100,ROUND((LEN(CAPTURA!CL57)-LEN(SUBSTITUTE(CAPTURA!CL57,";",""))+1)/8*100,1)))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IF(CAPTURA!CY57="","",IF(ISNUMBER(SEARCH("Ninguno",CAPTURA!CY57)),0,MIN(100,ROUND((LEN(CAPTURA!CY57)-LEN(SUBSTITUTE(CAPTURA!CY57,";",""))+1)/6*100,1))))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10"/>
        <v/>
      </c>
      <c r="CC57" t="str">
        <f t="shared" si="11"/>
        <v/>
      </c>
      <c r="CD57" t="str">
        <f t="shared" si="12"/>
        <v/>
      </c>
      <c r="CE57" t="str">
        <f t="shared" si="13"/>
        <v/>
      </c>
      <c r="CF57" t="str">
        <f t="shared" si="14"/>
        <v/>
      </c>
      <c r="CG57" t="str">
        <f t="shared" si="15"/>
        <v/>
      </c>
      <c r="CH57" t="str">
        <f t="shared" si="16"/>
        <v/>
      </c>
      <c r="CI57" t="str">
        <f t="shared" si="17"/>
        <v/>
      </c>
      <c r="CJ57" t="str">
        <f t="shared" si="18"/>
        <v/>
      </c>
      <c r="CK57" t="str">
        <f t="shared" si="19"/>
        <v/>
      </c>
      <c r="CL57" t="str">
        <f>""</f>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IF(CAPTURA!BT58="","",MIN(100,ROUND((LEN(CAPTURA!BT58)-LEN(SUBSTITUTE(CAPTURA!BT58,";",""))+1)/7*100,1)))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IF(CAPTURA!CL58="","",MIN(100,ROUND((LEN(CAPTURA!CL58)-LEN(SUBSTITUTE(CAPTURA!CL58,";",""))+1)/8*100,1)))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IF(CAPTURA!CY58="","",IF(ISNUMBER(SEARCH("Ninguno",CAPTURA!CY58)),0,MIN(100,ROUND((LEN(CAPTURA!CY58)-LEN(SUBSTITUTE(CAPTURA!CY58,";",""))+1)/6*100,1))))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10"/>
        <v/>
      </c>
      <c r="CC58" t="str">
        <f t="shared" si="11"/>
        <v/>
      </c>
      <c r="CD58" t="str">
        <f t="shared" si="12"/>
        <v/>
      </c>
      <c r="CE58" t="str">
        <f t="shared" si="13"/>
        <v/>
      </c>
      <c r="CF58" t="str">
        <f t="shared" si="14"/>
        <v/>
      </c>
      <c r="CG58" t="str">
        <f t="shared" si="15"/>
        <v/>
      </c>
      <c r="CH58" t="str">
        <f t="shared" si="16"/>
        <v/>
      </c>
      <c r="CI58" t="str">
        <f t="shared" si="17"/>
        <v/>
      </c>
      <c r="CJ58" t="str">
        <f t="shared" si="18"/>
        <v/>
      </c>
      <c r="CK58" t="str">
        <f t="shared" si="19"/>
        <v/>
      </c>
      <c r="CL58" t="str">
        <f>""</f>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IF(CAPTURA!BT59="","",MIN(100,ROUND((LEN(CAPTURA!BT59)-LEN(SUBSTITUTE(CAPTURA!BT59,";",""))+1)/7*100,1)))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IF(CAPTURA!CL59="","",MIN(100,ROUND((LEN(CAPTURA!CL59)-LEN(SUBSTITUTE(CAPTURA!CL59,";",""))+1)/8*100,1)))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IF(CAPTURA!CY59="","",IF(ISNUMBER(SEARCH("Ninguno",CAPTURA!CY59)),0,MIN(100,ROUND((LEN(CAPTURA!CY59)-LEN(SUBSTITUTE(CAPTURA!CY59,";",""))+1)/6*100,1))))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10"/>
        <v/>
      </c>
      <c r="CC59" t="str">
        <f t="shared" si="11"/>
        <v/>
      </c>
      <c r="CD59" t="str">
        <f t="shared" si="12"/>
        <v/>
      </c>
      <c r="CE59" t="str">
        <f t="shared" si="13"/>
        <v/>
      </c>
      <c r="CF59" t="str">
        <f t="shared" si="14"/>
        <v/>
      </c>
      <c r="CG59" t="str">
        <f t="shared" si="15"/>
        <v/>
      </c>
      <c r="CH59" t="str">
        <f t="shared" si="16"/>
        <v/>
      </c>
      <c r="CI59" t="str">
        <f t="shared" si="17"/>
        <v/>
      </c>
      <c r="CJ59" t="str">
        <f t="shared" si="18"/>
        <v/>
      </c>
      <c r="CK59" t="str">
        <f t="shared" si="19"/>
        <v/>
      </c>
      <c r="CL59" t="str">
        <f>""</f>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IF(CAPTURA!BT60="","",MIN(100,ROUND((LEN(CAPTURA!BT60)-LEN(SUBSTITUTE(CAPTURA!BT60,";",""))+1)/7*100,1)))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IF(CAPTURA!CL60="","",MIN(100,ROUND((LEN(CAPTURA!CL60)-LEN(SUBSTITUTE(CAPTURA!CL60,";",""))+1)/8*100,1)))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IF(CAPTURA!CY60="","",IF(ISNUMBER(SEARCH("Ninguno",CAPTURA!CY60)),0,MIN(100,ROUND((LEN(CAPTURA!CY60)-LEN(SUBSTITUTE(CAPTURA!CY60,";",""))+1)/6*100,1))))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10"/>
        <v/>
      </c>
      <c r="CC60" t="str">
        <f t="shared" si="11"/>
        <v/>
      </c>
      <c r="CD60" t="str">
        <f t="shared" si="12"/>
        <v/>
      </c>
      <c r="CE60" t="str">
        <f t="shared" si="13"/>
        <v/>
      </c>
      <c r="CF60" t="str">
        <f t="shared" si="14"/>
        <v/>
      </c>
      <c r="CG60" t="str">
        <f t="shared" si="15"/>
        <v/>
      </c>
      <c r="CH60" t="str">
        <f t="shared" si="16"/>
        <v/>
      </c>
      <c r="CI60" t="str">
        <f t="shared" si="17"/>
        <v/>
      </c>
      <c r="CJ60" t="str">
        <f t="shared" si="18"/>
        <v/>
      </c>
      <c r="CK60" t="str">
        <f t="shared" si="19"/>
        <v/>
      </c>
      <c r="CL60" t="str">
        <f>""</f>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IF(CAPTURA!BT61="","",MIN(100,ROUND((LEN(CAPTURA!BT61)-LEN(SUBSTITUTE(CAPTURA!BT61,";",""))+1)/7*100,1)))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IF(CAPTURA!CL61="","",MIN(100,ROUND((LEN(CAPTURA!CL61)-LEN(SUBSTITUTE(CAPTURA!CL61,";",""))+1)/8*100,1)))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IF(CAPTURA!CY61="","",IF(ISNUMBER(SEARCH("Ninguno",CAPTURA!CY61)),0,MIN(100,ROUND((LEN(CAPTURA!CY61)-LEN(SUBSTITUTE(CAPTURA!CY61,";",""))+1)/6*100,1))))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10"/>
        <v/>
      </c>
      <c r="CC61" t="str">
        <f t="shared" si="11"/>
        <v/>
      </c>
      <c r="CD61" t="str">
        <f t="shared" si="12"/>
        <v/>
      </c>
      <c r="CE61" t="str">
        <f t="shared" si="13"/>
        <v/>
      </c>
      <c r="CF61" t="str">
        <f t="shared" si="14"/>
        <v/>
      </c>
      <c r="CG61" t="str">
        <f t="shared" si="15"/>
        <v/>
      </c>
      <c r="CH61" t="str">
        <f t="shared" si="16"/>
        <v/>
      </c>
      <c r="CI61" t="str">
        <f t="shared" si="17"/>
        <v/>
      </c>
      <c r="CJ61" t="str">
        <f t="shared" si="18"/>
        <v/>
      </c>
      <c r="CK61" t="str">
        <f t="shared" si="19"/>
        <v/>
      </c>
      <c r="CL61" t="str">
        <f>""</f>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IF(CAPTURA!BT62="","",MIN(100,ROUND((LEN(CAPTURA!BT62)-LEN(SUBSTITUTE(CAPTURA!BT62,";",""))+1)/7*100,1)))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IF(CAPTURA!CL62="","",MIN(100,ROUND((LEN(CAPTURA!CL62)-LEN(SUBSTITUTE(CAPTURA!CL62,";",""))+1)/8*100,1)))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IF(CAPTURA!CY62="","",IF(ISNUMBER(SEARCH("Ninguno",CAPTURA!CY62)),0,MIN(100,ROUND((LEN(CAPTURA!CY62)-LEN(SUBSTITUTE(CAPTURA!CY62,";",""))+1)/6*100,1))))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10"/>
        <v/>
      </c>
      <c r="CC62" t="str">
        <f t="shared" si="11"/>
        <v/>
      </c>
      <c r="CD62" t="str">
        <f t="shared" si="12"/>
        <v/>
      </c>
      <c r="CE62" t="str">
        <f t="shared" si="13"/>
        <v/>
      </c>
      <c r="CF62" t="str">
        <f t="shared" si="14"/>
        <v/>
      </c>
      <c r="CG62" t="str">
        <f t="shared" si="15"/>
        <v/>
      </c>
      <c r="CH62" t="str">
        <f t="shared" si="16"/>
        <v/>
      </c>
      <c r="CI62" t="str">
        <f t="shared" si="17"/>
        <v/>
      </c>
      <c r="CJ62" t="str">
        <f t="shared" si="18"/>
        <v/>
      </c>
      <c r="CK62" t="str">
        <f t="shared" si="19"/>
        <v/>
      </c>
      <c r="CL62" t="str">
        <f>""</f>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IF(CAPTURA!BT63="","",MIN(100,ROUND((LEN(CAPTURA!BT63)-LEN(SUBSTITUTE(CAPTURA!BT63,";",""))+1)/7*100,1)))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IF(CAPTURA!CL63="","",MIN(100,ROUND((LEN(CAPTURA!CL63)-LEN(SUBSTITUTE(CAPTURA!CL63,";",""))+1)/8*100,1)))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IF(CAPTURA!CY63="","",IF(ISNUMBER(SEARCH("Ninguno",CAPTURA!CY63)),0,MIN(100,ROUND((LEN(CAPTURA!CY63)-LEN(SUBSTITUTE(CAPTURA!CY63,";",""))+1)/6*100,1))))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10"/>
        <v/>
      </c>
      <c r="CC63" t="str">
        <f t="shared" si="11"/>
        <v/>
      </c>
      <c r="CD63" t="str">
        <f t="shared" si="12"/>
        <v/>
      </c>
      <c r="CE63" t="str">
        <f t="shared" si="13"/>
        <v/>
      </c>
      <c r="CF63" t="str">
        <f t="shared" si="14"/>
        <v/>
      </c>
      <c r="CG63" t="str">
        <f t="shared" si="15"/>
        <v/>
      </c>
      <c r="CH63" t="str">
        <f t="shared" si="16"/>
        <v/>
      </c>
      <c r="CI63" t="str">
        <f t="shared" si="17"/>
        <v/>
      </c>
      <c r="CJ63" t="str">
        <f t="shared" si="18"/>
        <v/>
      </c>
      <c r="CK63" t="str">
        <f t="shared" si="19"/>
        <v/>
      </c>
      <c r="CL63" t="str">
        <f>""</f>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IF(CAPTURA!BT64="","",MIN(100,ROUND((LEN(CAPTURA!BT64)-LEN(SUBSTITUTE(CAPTURA!BT64,";",""))+1)/7*100,1)))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IF(CAPTURA!CL64="","",MIN(100,ROUND((LEN(CAPTURA!CL64)-LEN(SUBSTITUTE(CAPTURA!CL64,";",""))+1)/8*100,1)))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IF(CAPTURA!CY64="","",IF(ISNUMBER(SEARCH("Ninguno",CAPTURA!CY64)),0,MIN(100,ROUND((LEN(CAPTURA!CY64)-LEN(SUBSTITUTE(CAPTURA!CY64,";",""))+1)/6*100,1))))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10"/>
        <v/>
      </c>
      <c r="CC64" t="str">
        <f t="shared" si="11"/>
        <v/>
      </c>
      <c r="CD64" t="str">
        <f t="shared" si="12"/>
        <v/>
      </c>
      <c r="CE64" t="str">
        <f t="shared" si="13"/>
        <v/>
      </c>
      <c r="CF64" t="str">
        <f t="shared" si="14"/>
        <v/>
      </c>
      <c r="CG64" t="str">
        <f t="shared" si="15"/>
        <v/>
      </c>
      <c r="CH64" t="str">
        <f t="shared" si="16"/>
        <v/>
      </c>
      <c r="CI64" t="str">
        <f t="shared" si="17"/>
        <v/>
      </c>
      <c r="CJ64" t="str">
        <f t="shared" si="18"/>
        <v/>
      </c>
      <c r="CK64" t="str">
        <f t="shared" si="19"/>
        <v/>
      </c>
      <c r="CL64" t="str">
        <f>""</f>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IF(CAPTURA!BT65="","",MIN(100,ROUND((LEN(CAPTURA!BT65)-LEN(SUBSTITUTE(CAPTURA!BT65,";",""))+1)/7*100,1)))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IF(CAPTURA!CL65="","",MIN(100,ROUND((LEN(CAPTURA!CL65)-LEN(SUBSTITUTE(CAPTURA!CL65,";",""))+1)/8*100,1)))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IF(CAPTURA!CY65="","",IF(ISNUMBER(SEARCH("Ninguno",CAPTURA!CY65)),0,MIN(100,ROUND((LEN(CAPTURA!CY65)-LEN(SUBSTITUTE(CAPTURA!CY65,";",""))+1)/6*100,1))))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10"/>
        <v/>
      </c>
      <c r="CC65" t="str">
        <f t="shared" si="11"/>
        <v/>
      </c>
      <c r="CD65" t="str">
        <f t="shared" si="12"/>
        <v/>
      </c>
      <c r="CE65" t="str">
        <f t="shared" si="13"/>
        <v/>
      </c>
      <c r="CF65" t="str">
        <f t="shared" si="14"/>
        <v/>
      </c>
      <c r="CG65" t="str">
        <f t="shared" si="15"/>
        <v/>
      </c>
      <c r="CH65" t="str">
        <f t="shared" si="16"/>
        <v/>
      </c>
      <c r="CI65" t="str">
        <f t="shared" si="17"/>
        <v/>
      </c>
      <c r="CJ65" t="str">
        <f t="shared" si="18"/>
        <v/>
      </c>
      <c r="CK65" t="str">
        <f t="shared" si="19"/>
        <v/>
      </c>
      <c r="CL65" t="str">
        <f>""</f>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IF(CAPTURA!BT66="","",MIN(100,ROUND((LEN(CAPTURA!BT66)-LEN(SUBSTITUTE(CAPTURA!BT66,";",""))+1)/7*100,1)))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IF(CAPTURA!CL66="","",MIN(100,ROUND((LEN(CAPTURA!CL66)-LEN(SUBSTITUTE(CAPTURA!CL66,";",""))+1)/8*100,1)))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IF(CAPTURA!CY66="","",IF(ISNUMBER(SEARCH("Ninguno",CAPTURA!CY66)),0,MIN(100,ROUND((LEN(CAPTURA!CY66)-LEN(SUBSTITUTE(CAPTURA!CY66,";",""))+1)/6*100,1))))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10"/>
        <v/>
      </c>
      <c r="CC66" t="str">
        <f t="shared" si="11"/>
        <v/>
      </c>
      <c r="CD66" t="str">
        <f t="shared" si="12"/>
        <v/>
      </c>
      <c r="CE66" t="str">
        <f t="shared" si="13"/>
        <v/>
      </c>
      <c r="CF66" t="str">
        <f t="shared" si="14"/>
        <v/>
      </c>
      <c r="CG66" t="str">
        <f t="shared" si="15"/>
        <v/>
      </c>
      <c r="CH66" t="str">
        <f t="shared" si="16"/>
        <v/>
      </c>
      <c r="CI66" t="str">
        <f t="shared" si="17"/>
        <v/>
      </c>
      <c r="CJ66" t="str">
        <f t="shared" si="18"/>
        <v/>
      </c>
      <c r="CK66" t="str">
        <f t="shared" si="19"/>
        <v/>
      </c>
      <c r="CL66" t="str">
        <f>""</f>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IF(CAPTURA!BT67="","",MIN(100,ROUND((LEN(CAPTURA!BT67)-LEN(SUBSTITUTE(CAPTURA!BT67,";",""))+1)/7*100,1)))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IF(CAPTURA!CL67="","",MIN(100,ROUND((LEN(CAPTURA!CL67)-LEN(SUBSTITUTE(CAPTURA!CL67,";",""))+1)/8*100,1)))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IF(CAPTURA!CY67="","",IF(ISNUMBER(SEARCH("Ninguno",CAPTURA!CY67)),0,MIN(100,ROUND((LEN(CAPTURA!CY67)-LEN(SUBSTITUTE(CAPTURA!CY67,";",""))+1)/6*100,1))))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20">IFERROR(AVERAGE(H67,I67,J67,K67),"")</f>
        <v/>
      </c>
      <c r="CC67" t="str">
        <f t="shared" ref="CC67:CC98" si="21">IFERROR(AVERAGE(L67,M67,N67,O67,P67,R67),"")</f>
        <v/>
      </c>
      <c r="CD67" t="str">
        <f t="shared" ref="CD67:CD98" si="22">IFERROR(AVERAGE(T67,U67,V67,W67,X67,Y67,Z67,AA67,AB67,AC67,AE67),"")</f>
        <v/>
      </c>
      <c r="CE67" t="str">
        <f t="shared" ref="CE67:CE98" si="23">IFERROR(AVERAGE(AG67,AH67,AI67),"")</f>
        <v/>
      </c>
      <c r="CF67" t="str">
        <f t="shared" ref="CF67:CF98" si="24">IFERROR(AVERAGE(AK67,AL67,AM67,AN67,AP67,AQ67,AR67,AS67),"")</f>
        <v/>
      </c>
      <c r="CG67" t="str">
        <f t="shared" ref="CG67:CG98" si="25">IFERROR(AVERAGE(AT67,AU67,AV67,BB67,AW67,AX67,AY67,AZ67,BA67),"")</f>
        <v/>
      </c>
      <c r="CH67" t="str">
        <f t="shared" ref="CH67:CH98" si="26">IFERROR(AVERAGE(BC67,BH67,BI67,BD67,BF67),"")</f>
        <v/>
      </c>
      <c r="CI67" t="str">
        <f t="shared" ref="CI67:CI98" si="27">IFERROR(AVERAGE(BJ67,BK67,BL67,BM67),"")</f>
        <v/>
      </c>
      <c r="CJ67" t="str">
        <f t="shared" ref="CJ67:CJ98" si="28">IFERROR(AVERAGE(BN67,BO67,BP67),"")</f>
        <v/>
      </c>
      <c r="CK67" t="str">
        <f t="shared" ref="CK67:CK98" si="29">IFERROR(AVERAGE(BS67),"")</f>
        <v/>
      </c>
      <c r="CL67" t="str">
        <f>""</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IF(CAPTURA!BT68="","",MIN(100,ROUND((LEN(CAPTURA!BT68)-LEN(SUBSTITUTE(CAPTURA!BT68,";",""))+1)/7*100,1)))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IF(CAPTURA!CL68="","",MIN(100,ROUND((LEN(CAPTURA!CL68)-LEN(SUBSTITUTE(CAPTURA!CL68,";",""))+1)/8*100,1)))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IF(CAPTURA!CY68="","",IF(ISNUMBER(SEARCH("Ninguno",CAPTURA!CY68)),0,MIN(100,ROUND((LEN(CAPTURA!CY68)-LEN(SUBSTITUTE(CAPTURA!CY68,";",""))+1)/6*100,1))))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20"/>
        <v/>
      </c>
      <c r="CC68" t="str">
        <f t="shared" si="21"/>
        <v/>
      </c>
      <c r="CD68" t="str">
        <f t="shared" si="22"/>
        <v/>
      </c>
      <c r="CE68" t="str">
        <f t="shared" si="23"/>
        <v/>
      </c>
      <c r="CF68" t="str">
        <f t="shared" si="24"/>
        <v/>
      </c>
      <c r="CG68" t="str">
        <f t="shared" si="25"/>
        <v/>
      </c>
      <c r="CH68" t="str">
        <f t="shared" si="26"/>
        <v/>
      </c>
      <c r="CI68" t="str">
        <f t="shared" si="27"/>
        <v/>
      </c>
      <c r="CJ68" t="str">
        <f t="shared" si="28"/>
        <v/>
      </c>
      <c r="CK68" t="str">
        <f t="shared" si="29"/>
        <v/>
      </c>
      <c r="CL68" t="str">
        <f>""</f>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IF(CAPTURA!BT69="","",MIN(100,ROUND((LEN(CAPTURA!BT69)-LEN(SUBSTITUTE(CAPTURA!BT69,";",""))+1)/7*100,1)))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IF(CAPTURA!CL69="","",MIN(100,ROUND((LEN(CAPTURA!CL69)-LEN(SUBSTITUTE(CAPTURA!CL69,";",""))+1)/8*100,1)))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IF(CAPTURA!CY69="","",IF(ISNUMBER(SEARCH("Ninguno",CAPTURA!CY69)),0,MIN(100,ROUND((LEN(CAPTURA!CY69)-LEN(SUBSTITUTE(CAPTURA!CY69,";",""))+1)/6*100,1))))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20"/>
        <v/>
      </c>
      <c r="CC69" t="str">
        <f t="shared" si="21"/>
        <v/>
      </c>
      <c r="CD69" t="str">
        <f t="shared" si="22"/>
        <v/>
      </c>
      <c r="CE69" t="str">
        <f t="shared" si="23"/>
        <v/>
      </c>
      <c r="CF69" t="str">
        <f t="shared" si="24"/>
        <v/>
      </c>
      <c r="CG69" t="str">
        <f t="shared" si="25"/>
        <v/>
      </c>
      <c r="CH69" t="str">
        <f t="shared" si="26"/>
        <v/>
      </c>
      <c r="CI69" t="str">
        <f t="shared" si="27"/>
        <v/>
      </c>
      <c r="CJ69" t="str">
        <f t="shared" si="28"/>
        <v/>
      </c>
      <c r="CK69" t="str">
        <f t="shared" si="29"/>
        <v/>
      </c>
      <c r="CL69" t="str">
        <f>""</f>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IF(CAPTURA!BT70="","",MIN(100,ROUND((LEN(CAPTURA!BT70)-LEN(SUBSTITUTE(CAPTURA!BT70,";",""))+1)/7*100,1)))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IF(CAPTURA!CL70="","",MIN(100,ROUND((LEN(CAPTURA!CL70)-LEN(SUBSTITUTE(CAPTURA!CL70,";",""))+1)/8*100,1)))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IF(CAPTURA!CY70="","",IF(ISNUMBER(SEARCH("Ninguno",CAPTURA!CY70)),0,MIN(100,ROUND((LEN(CAPTURA!CY70)-LEN(SUBSTITUTE(CAPTURA!CY70,";",""))+1)/6*100,1))))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20"/>
        <v/>
      </c>
      <c r="CC70" t="str">
        <f t="shared" si="21"/>
        <v/>
      </c>
      <c r="CD70" t="str">
        <f t="shared" si="22"/>
        <v/>
      </c>
      <c r="CE70" t="str">
        <f t="shared" si="23"/>
        <v/>
      </c>
      <c r="CF70" t="str">
        <f t="shared" si="24"/>
        <v/>
      </c>
      <c r="CG70" t="str">
        <f t="shared" si="25"/>
        <v/>
      </c>
      <c r="CH70" t="str">
        <f t="shared" si="26"/>
        <v/>
      </c>
      <c r="CI70" t="str">
        <f t="shared" si="27"/>
        <v/>
      </c>
      <c r="CJ70" t="str">
        <f t="shared" si="28"/>
        <v/>
      </c>
      <c r="CK70" t="str">
        <f t="shared" si="29"/>
        <v/>
      </c>
      <c r="CL70" t="str">
        <f>""</f>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IF(CAPTURA!BT71="","",MIN(100,ROUND((LEN(CAPTURA!BT71)-LEN(SUBSTITUTE(CAPTURA!BT71,";",""))+1)/7*100,1)))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IF(CAPTURA!CL71="","",MIN(100,ROUND((LEN(CAPTURA!CL71)-LEN(SUBSTITUTE(CAPTURA!CL71,";",""))+1)/8*100,1)))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IF(CAPTURA!CY71="","",IF(ISNUMBER(SEARCH("Ninguno",CAPTURA!CY71)),0,MIN(100,ROUND((LEN(CAPTURA!CY71)-LEN(SUBSTITUTE(CAPTURA!CY71,";",""))+1)/6*100,1))))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20"/>
        <v/>
      </c>
      <c r="CC71" t="str">
        <f t="shared" si="21"/>
        <v/>
      </c>
      <c r="CD71" t="str">
        <f t="shared" si="22"/>
        <v/>
      </c>
      <c r="CE71" t="str">
        <f t="shared" si="23"/>
        <v/>
      </c>
      <c r="CF71" t="str">
        <f t="shared" si="24"/>
        <v/>
      </c>
      <c r="CG71" t="str">
        <f t="shared" si="25"/>
        <v/>
      </c>
      <c r="CH71" t="str">
        <f t="shared" si="26"/>
        <v/>
      </c>
      <c r="CI71" t="str">
        <f t="shared" si="27"/>
        <v/>
      </c>
      <c r="CJ71" t="str">
        <f t="shared" si="28"/>
        <v/>
      </c>
      <c r="CK71" t="str">
        <f t="shared" si="29"/>
        <v/>
      </c>
      <c r="CL71" t="str">
        <f>""</f>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IF(CAPTURA!BT72="","",MIN(100,ROUND((LEN(CAPTURA!BT72)-LEN(SUBSTITUTE(CAPTURA!BT72,";",""))+1)/7*100,1)))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IF(CAPTURA!CL72="","",MIN(100,ROUND((LEN(CAPTURA!CL72)-LEN(SUBSTITUTE(CAPTURA!CL72,";",""))+1)/8*100,1)))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IF(CAPTURA!CY72="","",IF(ISNUMBER(SEARCH("Ninguno",CAPTURA!CY72)),0,MIN(100,ROUND((LEN(CAPTURA!CY72)-LEN(SUBSTITUTE(CAPTURA!CY72,";",""))+1)/6*100,1))))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20"/>
        <v/>
      </c>
      <c r="CC72" t="str">
        <f t="shared" si="21"/>
        <v/>
      </c>
      <c r="CD72" t="str">
        <f t="shared" si="22"/>
        <v/>
      </c>
      <c r="CE72" t="str">
        <f t="shared" si="23"/>
        <v/>
      </c>
      <c r="CF72" t="str">
        <f t="shared" si="24"/>
        <v/>
      </c>
      <c r="CG72" t="str">
        <f t="shared" si="25"/>
        <v/>
      </c>
      <c r="CH72" t="str">
        <f t="shared" si="26"/>
        <v/>
      </c>
      <c r="CI72" t="str">
        <f t="shared" si="27"/>
        <v/>
      </c>
      <c r="CJ72" t="str">
        <f t="shared" si="28"/>
        <v/>
      </c>
      <c r="CK72" t="str">
        <f t="shared" si="29"/>
        <v/>
      </c>
      <c r="CL72" t="str">
        <f>""</f>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IF(CAPTURA!BT73="","",MIN(100,ROUND((LEN(CAPTURA!BT73)-LEN(SUBSTITUTE(CAPTURA!BT73,";",""))+1)/7*100,1)))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IF(CAPTURA!CL73="","",MIN(100,ROUND((LEN(CAPTURA!CL73)-LEN(SUBSTITUTE(CAPTURA!CL73,";",""))+1)/8*100,1)))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IF(CAPTURA!CY73="","",IF(ISNUMBER(SEARCH("Ninguno",CAPTURA!CY73)),0,MIN(100,ROUND((LEN(CAPTURA!CY73)-LEN(SUBSTITUTE(CAPTURA!CY73,";",""))+1)/6*100,1))))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20"/>
        <v/>
      </c>
      <c r="CC73" t="str">
        <f t="shared" si="21"/>
        <v/>
      </c>
      <c r="CD73" t="str">
        <f t="shared" si="22"/>
        <v/>
      </c>
      <c r="CE73" t="str">
        <f t="shared" si="23"/>
        <v/>
      </c>
      <c r="CF73" t="str">
        <f t="shared" si="24"/>
        <v/>
      </c>
      <c r="CG73" t="str">
        <f t="shared" si="25"/>
        <v/>
      </c>
      <c r="CH73" t="str">
        <f t="shared" si="26"/>
        <v/>
      </c>
      <c r="CI73" t="str">
        <f t="shared" si="27"/>
        <v/>
      </c>
      <c r="CJ73" t="str">
        <f t="shared" si="28"/>
        <v/>
      </c>
      <c r="CK73" t="str">
        <f t="shared" si="29"/>
        <v/>
      </c>
      <c r="CL73" t="str">
        <f>""</f>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IF(CAPTURA!BT74="","",MIN(100,ROUND((LEN(CAPTURA!BT74)-LEN(SUBSTITUTE(CAPTURA!BT74,";",""))+1)/7*100,1)))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IF(CAPTURA!CL74="","",MIN(100,ROUND((LEN(CAPTURA!CL74)-LEN(SUBSTITUTE(CAPTURA!CL74,";",""))+1)/8*100,1)))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IF(CAPTURA!CY74="","",IF(ISNUMBER(SEARCH("Ninguno",CAPTURA!CY74)),0,MIN(100,ROUND((LEN(CAPTURA!CY74)-LEN(SUBSTITUTE(CAPTURA!CY74,";",""))+1)/6*100,1))))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20"/>
        <v/>
      </c>
      <c r="CC74" t="str">
        <f t="shared" si="21"/>
        <v/>
      </c>
      <c r="CD74" t="str">
        <f t="shared" si="22"/>
        <v/>
      </c>
      <c r="CE74" t="str">
        <f t="shared" si="23"/>
        <v/>
      </c>
      <c r="CF74" t="str">
        <f t="shared" si="24"/>
        <v/>
      </c>
      <c r="CG74" t="str">
        <f t="shared" si="25"/>
        <v/>
      </c>
      <c r="CH74" t="str">
        <f t="shared" si="26"/>
        <v/>
      </c>
      <c r="CI74" t="str">
        <f t="shared" si="27"/>
        <v/>
      </c>
      <c r="CJ74" t="str">
        <f t="shared" si="28"/>
        <v/>
      </c>
      <c r="CK74" t="str">
        <f t="shared" si="29"/>
        <v/>
      </c>
      <c r="CL74" t="str">
        <f>""</f>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IF(CAPTURA!BT75="","",MIN(100,ROUND((LEN(CAPTURA!BT75)-LEN(SUBSTITUTE(CAPTURA!BT75,";",""))+1)/7*100,1)))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IF(CAPTURA!CL75="","",MIN(100,ROUND((LEN(CAPTURA!CL75)-LEN(SUBSTITUTE(CAPTURA!CL75,";",""))+1)/8*100,1)))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IF(CAPTURA!CY75="","",IF(ISNUMBER(SEARCH("Ninguno",CAPTURA!CY75)),0,MIN(100,ROUND((LEN(CAPTURA!CY75)-LEN(SUBSTITUTE(CAPTURA!CY75,";",""))+1)/6*100,1))))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20"/>
        <v/>
      </c>
      <c r="CC75" t="str">
        <f t="shared" si="21"/>
        <v/>
      </c>
      <c r="CD75" t="str">
        <f t="shared" si="22"/>
        <v/>
      </c>
      <c r="CE75" t="str">
        <f t="shared" si="23"/>
        <v/>
      </c>
      <c r="CF75" t="str">
        <f t="shared" si="24"/>
        <v/>
      </c>
      <c r="CG75" t="str">
        <f t="shared" si="25"/>
        <v/>
      </c>
      <c r="CH75" t="str">
        <f t="shared" si="26"/>
        <v/>
      </c>
      <c r="CI75" t="str">
        <f t="shared" si="27"/>
        <v/>
      </c>
      <c r="CJ75" t="str">
        <f t="shared" si="28"/>
        <v/>
      </c>
      <c r="CK75" t="str">
        <f t="shared" si="29"/>
        <v/>
      </c>
      <c r="CL75" t="str">
        <f>""</f>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IF(CAPTURA!BT76="","",MIN(100,ROUND((LEN(CAPTURA!BT76)-LEN(SUBSTITUTE(CAPTURA!BT76,";",""))+1)/7*100,1)))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IF(CAPTURA!CL76="","",MIN(100,ROUND((LEN(CAPTURA!CL76)-LEN(SUBSTITUTE(CAPTURA!CL76,";",""))+1)/8*100,1)))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IF(CAPTURA!CY76="","",IF(ISNUMBER(SEARCH("Ninguno",CAPTURA!CY76)),0,MIN(100,ROUND((LEN(CAPTURA!CY76)-LEN(SUBSTITUTE(CAPTURA!CY76,";",""))+1)/6*100,1))))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20"/>
        <v/>
      </c>
      <c r="CC76" t="str">
        <f t="shared" si="21"/>
        <v/>
      </c>
      <c r="CD76" t="str">
        <f t="shared" si="22"/>
        <v/>
      </c>
      <c r="CE76" t="str">
        <f t="shared" si="23"/>
        <v/>
      </c>
      <c r="CF76" t="str">
        <f t="shared" si="24"/>
        <v/>
      </c>
      <c r="CG76" t="str">
        <f t="shared" si="25"/>
        <v/>
      </c>
      <c r="CH76" t="str">
        <f t="shared" si="26"/>
        <v/>
      </c>
      <c r="CI76" t="str">
        <f t="shared" si="27"/>
        <v/>
      </c>
      <c r="CJ76" t="str">
        <f t="shared" si="28"/>
        <v/>
      </c>
      <c r="CK76" t="str">
        <f t="shared" si="29"/>
        <v/>
      </c>
      <c r="CL76" t="str">
        <f>""</f>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IF(CAPTURA!BT77="","",MIN(100,ROUND((LEN(CAPTURA!BT77)-LEN(SUBSTITUTE(CAPTURA!BT77,";",""))+1)/7*100,1)))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IF(CAPTURA!CL77="","",MIN(100,ROUND((LEN(CAPTURA!CL77)-LEN(SUBSTITUTE(CAPTURA!CL77,";",""))+1)/8*100,1)))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IF(CAPTURA!CY77="","",IF(ISNUMBER(SEARCH("Ninguno",CAPTURA!CY77)),0,MIN(100,ROUND((LEN(CAPTURA!CY77)-LEN(SUBSTITUTE(CAPTURA!CY77,";",""))+1)/6*100,1))))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20"/>
        <v/>
      </c>
      <c r="CC77" t="str">
        <f t="shared" si="21"/>
        <v/>
      </c>
      <c r="CD77" t="str">
        <f t="shared" si="22"/>
        <v/>
      </c>
      <c r="CE77" t="str">
        <f t="shared" si="23"/>
        <v/>
      </c>
      <c r="CF77" t="str">
        <f t="shared" si="24"/>
        <v/>
      </c>
      <c r="CG77" t="str">
        <f t="shared" si="25"/>
        <v/>
      </c>
      <c r="CH77" t="str">
        <f t="shared" si="26"/>
        <v/>
      </c>
      <c r="CI77" t="str">
        <f t="shared" si="27"/>
        <v/>
      </c>
      <c r="CJ77" t="str">
        <f t="shared" si="28"/>
        <v/>
      </c>
      <c r="CK77" t="str">
        <f t="shared" si="29"/>
        <v/>
      </c>
      <c r="CL77" t="str">
        <f>""</f>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IF(CAPTURA!BT78="","",MIN(100,ROUND((LEN(CAPTURA!BT78)-LEN(SUBSTITUTE(CAPTURA!BT78,";",""))+1)/7*100,1)))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IF(CAPTURA!CL78="","",MIN(100,ROUND((LEN(CAPTURA!CL78)-LEN(SUBSTITUTE(CAPTURA!CL78,";",""))+1)/8*100,1)))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IF(CAPTURA!CY78="","",IF(ISNUMBER(SEARCH("Ninguno",CAPTURA!CY78)),0,MIN(100,ROUND((LEN(CAPTURA!CY78)-LEN(SUBSTITUTE(CAPTURA!CY78,";",""))+1)/6*100,1))))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20"/>
        <v/>
      </c>
      <c r="CC78" t="str">
        <f t="shared" si="21"/>
        <v/>
      </c>
      <c r="CD78" t="str">
        <f t="shared" si="22"/>
        <v/>
      </c>
      <c r="CE78" t="str">
        <f t="shared" si="23"/>
        <v/>
      </c>
      <c r="CF78" t="str">
        <f t="shared" si="24"/>
        <v/>
      </c>
      <c r="CG78" t="str">
        <f t="shared" si="25"/>
        <v/>
      </c>
      <c r="CH78" t="str">
        <f t="shared" si="26"/>
        <v/>
      </c>
      <c r="CI78" t="str">
        <f t="shared" si="27"/>
        <v/>
      </c>
      <c r="CJ78" t="str">
        <f t="shared" si="28"/>
        <v/>
      </c>
      <c r="CK78" t="str">
        <f t="shared" si="29"/>
        <v/>
      </c>
      <c r="CL78" t="str">
        <f>""</f>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IF(CAPTURA!BT79="","",MIN(100,ROUND((LEN(CAPTURA!BT79)-LEN(SUBSTITUTE(CAPTURA!BT79,";",""))+1)/7*100,1)))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IF(CAPTURA!CL79="","",MIN(100,ROUND((LEN(CAPTURA!CL79)-LEN(SUBSTITUTE(CAPTURA!CL79,";",""))+1)/8*100,1)))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IF(CAPTURA!CY79="","",IF(ISNUMBER(SEARCH("Ninguno",CAPTURA!CY79)),0,MIN(100,ROUND((LEN(CAPTURA!CY79)-LEN(SUBSTITUTE(CAPTURA!CY79,";",""))+1)/6*100,1))))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20"/>
        <v/>
      </c>
      <c r="CC79" t="str">
        <f t="shared" si="21"/>
        <v/>
      </c>
      <c r="CD79" t="str">
        <f t="shared" si="22"/>
        <v/>
      </c>
      <c r="CE79" t="str">
        <f t="shared" si="23"/>
        <v/>
      </c>
      <c r="CF79" t="str">
        <f t="shared" si="24"/>
        <v/>
      </c>
      <c r="CG79" t="str">
        <f t="shared" si="25"/>
        <v/>
      </c>
      <c r="CH79" t="str">
        <f t="shared" si="26"/>
        <v/>
      </c>
      <c r="CI79" t="str">
        <f t="shared" si="27"/>
        <v/>
      </c>
      <c r="CJ79" t="str">
        <f t="shared" si="28"/>
        <v/>
      </c>
      <c r="CK79" t="str">
        <f t="shared" si="29"/>
        <v/>
      </c>
      <c r="CL79" t="str">
        <f>""</f>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IF(CAPTURA!BT80="","",MIN(100,ROUND((LEN(CAPTURA!BT80)-LEN(SUBSTITUTE(CAPTURA!BT80,";",""))+1)/7*100,1)))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IF(CAPTURA!CL80="","",MIN(100,ROUND((LEN(CAPTURA!CL80)-LEN(SUBSTITUTE(CAPTURA!CL80,";",""))+1)/8*100,1)))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IF(CAPTURA!CY80="","",IF(ISNUMBER(SEARCH("Ninguno",CAPTURA!CY80)),0,MIN(100,ROUND((LEN(CAPTURA!CY80)-LEN(SUBSTITUTE(CAPTURA!CY80,";",""))+1)/6*100,1))))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20"/>
        <v/>
      </c>
      <c r="CC80" t="str">
        <f t="shared" si="21"/>
        <v/>
      </c>
      <c r="CD80" t="str">
        <f t="shared" si="22"/>
        <v/>
      </c>
      <c r="CE80" t="str">
        <f t="shared" si="23"/>
        <v/>
      </c>
      <c r="CF80" t="str">
        <f t="shared" si="24"/>
        <v/>
      </c>
      <c r="CG80" t="str">
        <f t="shared" si="25"/>
        <v/>
      </c>
      <c r="CH80" t="str">
        <f t="shared" si="26"/>
        <v/>
      </c>
      <c r="CI80" t="str">
        <f t="shared" si="27"/>
        <v/>
      </c>
      <c r="CJ80" t="str">
        <f t="shared" si="28"/>
        <v/>
      </c>
      <c r="CK80" t="str">
        <f t="shared" si="29"/>
        <v/>
      </c>
      <c r="CL80" t="str">
        <f>""</f>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IF(CAPTURA!BT81="","",MIN(100,ROUND((LEN(CAPTURA!BT81)-LEN(SUBSTITUTE(CAPTURA!BT81,";",""))+1)/7*100,1)))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IF(CAPTURA!CL81="","",MIN(100,ROUND((LEN(CAPTURA!CL81)-LEN(SUBSTITUTE(CAPTURA!CL81,";",""))+1)/8*100,1)))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IF(CAPTURA!CY81="","",IF(ISNUMBER(SEARCH("Ninguno",CAPTURA!CY81)),0,MIN(100,ROUND((LEN(CAPTURA!CY81)-LEN(SUBSTITUTE(CAPTURA!CY81,";",""))+1)/6*100,1))))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20"/>
        <v/>
      </c>
      <c r="CC81" t="str">
        <f t="shared" si="21"/>
        <v/>
      </c>
      <c r="CD81" t="str">
        <f t="shared" si="22"/>
        <v/>
      </c>
      <c r="CE81" t="str">
        <f t="shared" si="23"/>
        <v/>
      </c>
      <c r="CF81" t="str">
        <f t="shared" si="24"/>
        <v/>
      </c>
      <c r="CG81" t="str">
        <f t="shared" si="25"/>
        <v/>
      </c>
      <c r="CH81" t="str">
        <f t="shared" si="26"/>
        <v/>
      </c>
      <c r="CI81" t="str">
        <f t="shared" si="27"/>
        <v/>
      </c>
      <c r="CJ81" t="str">
        <f t="shared" si="28"/>
        <v/>
      </c>
      <c r="CK81" t="str">
        <f t="shared" si="29"/>
        <v/>
      </c>
      <c r="CL81" t="str">
        <f>""</f>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IF(CAPTURA!BT82="","",MIN(100,ROUND((LEN(CAPTURA!BT82)-LEN(SUBSTITUTE(CAPTURA!BT82,";",""))+1)/7*100,1)))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IF(CAPTURA!CL82="","",MIN(100,ROUND((LEN(CAPTURA!CL82)-LEN(SUBSTITUTE(CAPTURA!CL82,";",""))+1)/8*100,1)))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IF(CAPTURA!CY82="","",IF(ISNUMBER(SEARCH("Ninguno",CAPTURA!CY82)),0,MIN(100,ROUND((LEN(CAPTURA!CY82)-LEN(SUBSTITUTE(CAPTURA!CY82,";",""))+1)/6*100,1))))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20"/>
        <v/>
      </c>
      <c r="CC82" t="str">
        <f t="shared" si="21"/>
        <v/>
      </c>
      <c r="CD82" t="str">
        <f t="shared" si="22"/>
        <v/>
      </c>
      <c r="CE82" t="str">
        <f t="shared" si="23"/>
        <v/>
      </c>
      <c r="CF82" t="str">
        <f t="shared" si="24"/>
        <v/>
      </c>
      <c r="CG82" t="str">
        <f t="shared" si="25"/>
        <v/>
      </c>
      <c r="CH82" t="str">
        <f t="shared" si="26"/>
        <v/>
      </c>
      <c r="CI82" t="str">
        <f t="shared" si="27"/>
        <v/>
      </c>
      <c r="CJ82" t="str">
        <f t="shared" si="28"/>
        <v/>
      </c>
      <c r="CK82" t="str">
        <f t="shared" si="29"/>
        <v/>
      </c>
      <c r="CL82" t="str">
        <f>""</f>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IF(CAPTURA!BT83="","",MIN(100,ROUND((LEN(CAPTURA!BT83)-LEN(SUBSTITUTE(CAPTURA!BT83,";",""))+1)/7*100,1)))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IF(CAPTURA!CL83="","",MIN(100,ROUND((LEN(CAPTURA!CL83)-LEN(SUBSTITUTE(CAPTURA!CL83,";",""))+1)/8*100,1)))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IF(CAPTURA!CY83="","",IF(ISNUMBER(SEARCH("Ninguno",CAPTURA!CY83)),0,MIN(100,ROUND((LEN(CAPTURA!CY83)-LEN(SUBSTITUTE(CAPTURA!CY83,";",""))+1)/6*100,1))))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20"/>
        <v/>
      </c>
      <c r="CC83" t="str">
        <f t="shared" si="21"/>
        <v/>
      </c>
      <c r="CD83" t="str">
        <f t="shared" si="22"/>
        <v/>
      </c>
      <c r="CE83" t="str">
        <f t="shared" si="23"/>
        <v/>
      </c>
      <c r="CF83" t="str">
        <f t="shared" si="24"/>
        <v/>
      </c>
      <c r="CG83" t="str">
        <f t="shared" si="25"/>
        <v/>
      </c>
      <c r="CH83" t="str">
        <f t="shared" si="26"/>
        <v/>
      </c>
      <c r="CI83" t="str">
        <f t="shared" si="27"/>
        <v/>
      </c>
      <c r="CJ83" t="str">
        <f t="shared" si="28"/>
        <v/>
      </c>
      <c r="CK83" t="str">
        <f t="shared" si="29"/>
        <v/>
      </c>
      <c r="CL83" t="str">
        <f>""</f>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IF(CAPTURA!BT84="","",MIN(100,ROUND((LEN(CAPTURA!BT84)-LEN(SUBSTITUTE(CAPTURA!BT84,";",""))+1)/7*100,1)))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IF(CAPTURA!CL84="","",MIN(100,ROUND((LEN(CAPTURA!CL84)-LEN(SUBSTITUTE(CAPTURA!CL84,";",""))+1)/8*100,1)))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IF(CAPTURA!CY84="","",IF(ISNUMBER(SEARCH("Ninguno",CAPTURA!CY84)),0,MIN(100,ROUND((LEN(CAPTURA!CY84)-LEN(SUBSTITUTE(CAPTURA!CY84,";",""))+1)/6*100,1))))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20"/>
        <v/>
      </c>
      <c r="CC84" t="str">
        <f t="shared" si="21"/>
        <v/>
      </c>
      <c r="CD84" t="str">
        <f t="shared" si="22"/>
        <v/>
      </c>
      <c r="CE84" t="str">
        <f t="shared" si="23"/>
        <v/>
      </c>
      <c r="CF84" t="str">
        <f t="shared" si="24"/>
        <v/>
      </c>
      <c r="CG84" t="str">
        <f t="shared" si="25"/>
        <v/>
      </c>
      <c r="CH84" t="str">
        <f t="shared" si="26"/>
        <v/>
      </c>
      <c r="CI84" t="str">
        <f t="shared" si="27"/>
        <v/>
      </c>
      <c r="CJ84" t="str">
        <f t="shared" si="28"/>
        <v/>
      </c>
      <c r="CK84" t="str">
        <f t="shared" si="29"/>
        <v/>
      </c>
      <c r="CL84" t="str">
        <f>""</f>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IF(CAPTURA!BT85="","",MIN(100,ROUND((LEN(CAPTURA!BT85)-LEN(SUBSTITUTE(CAPTURA!BT85,";",""))+1)/7*100,1)))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IF(CAPTURA!CL85="","",MIN(100,ROUND((LEN(CAPTURA!CL85)-LEN(SUBSTITUTE(CAPTURA!CL85,";",""))+1)/8*100,1)))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IF(CAPTURA!CY85="","",IF(ISNUMBER(SEARCH("Ninguno",CAPTURA!CY85)),0,MIN(100,ROUND((LEN(CAPTURA!CY85)-LEN(SUBSTITUTE(CAPTURA!CY85,";",""))+1)/6*100,1))))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20"/>
        <v/>
      </c>
      <c r="CC85" t="str">
        <f t="shared" si="21"/>
        <v/>
      </c>
      <c r="CD85" t="str">
        <f t="shared" si="22"/>
        <v/>
      </c>
      <c r="CE85" t="str">
        <f t="shared" si="23"/>
        <v/>
      </c>
      <c r="CF85" t="str">
        <f t="shared" si="24"/>
        <v/>
      </c>
      <c r="CG85" t="str">
        <f t="shared" si="25"/>
        <v/>
      </c>
      <c r="CH85" t="str">
        <f t="shared" si="26"/>
        <v/>
      </c>
      <c r="CI85" t="str">
        <f t="shared" si="27"/>
        <v/>
      </c>
      <c r="CJ85" t="str">
        <f t="shared" si="28"/>
        <v/>
      </c>
      <c r="CK85" t="str">
        <f t="shared" si="29"/>
        <v/>
      </c>
      <c r="CL85" t="str">
        <f>""</f>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IF(CAPTURA!BT86="","",MIN(100,ROUND((LEN(CAPTURA!BT86)-LEN(SUBSTITUTE(CAPTURA!BT86,";",""))+1)/7*100,1)))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IF(CAPTURA!CL86="","",MIN(100,ROUND((LEN(CAPTURA!CL86)-LEN(SUBSTITUTE(CAPTURA!CL86,";",""))+1)/8*100,1)))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IF(CAPTURA!CY86="","",IF(ISNUMBER(SEARCH("Ninguno",CAPTURA!CY86)),0,MIN(100,ROUND((LEN(CAPTURA!CY86)-LEN(SUBSTITUTE(CAPTURA!CY86,";",""))+1)/6*100,1))))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20"/>
        <v/>
      </c>
      <c r="CC86" t="str">
        <f t="shared" si="21"/>
        <v/>
      </c>
      <c r="CD86" t="str">
        <f t="shared" si="22"/>
        <v/>
      </c>
      <c r="CE86" t="str">
        <f t="shared" si="23"/>
        <v/>
      </c>
      <c r="CF86" t="str">
        <f t="shared" si="24"/>
        <v/>
      </c>
      <c r="CG86" t="str">
        <f t="shared" si="25"/>
        <v/>
      </c>
      <c r="CH86" t="str">
        <f t="shared" si="26"/>
        <v/>
      </c>
      <c r="CI86" t="str">
        <f t="shared" si="27"/>
        <v/>
      </c>
      <c r="CJ86" t="str">
        <f t="shared" si="28"/>
        <v/>
      </c>
      <c r="CK86" t="str">
        <f t="shared" si="29"/>
        <v/>
      </c>
      <c r="CL86" t="str">
        <f>""</f>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IF(CAPTURA!BT87="","",MIN(100,ROUND((LEN(CAPTURA!BT87)-LEN(SUBSTITUTE(CAPTURA!BT87,";",""))+1)/7*100,1)))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IF(CAPTURA!CL87="","",MIN(100,ROUND((LEN(CAPTURA!CL87)-LEN(SUBSTITUTE(CAPTURA!CL87,";",""))+1)/8*100,1)))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IF(CAPTURA!CY87="","",IF(ISNUMBER(SEARCH("Ninguno",CAPTURA!CY87)),0,MIN(100,ROUND((LEN(CAPTURA!CY87)-LEN(SUBSTITUTE(CAPTURA!CY87,";",""))+1)/6*100,1))))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20"/>
        <v/>
      </c>
      <c r="CC87" t="str">
        <f t="shared" si="21"/>
        <v/>
      </c>
      <c r="CD87" t="str">
        <f t="shared" si="22"/>
        <v/>
      </c>
      <c r="CE87" t="str">
        <f t="shared" si="23"/>
        <v/>
      </c>
      <c r="CF87" t="str">
        <f t="shared" si="24"/>
        <v/>
      </c>
      <c r="CG87" t="str">
        <f t="shared" si="25"/>
        <v/>
      </c>
      <c r="CH87" t="str">
        <f t="shared" si="26"/>
        <v/>
      </c>
      <c r="CI87" t="str">
        <f t="shared" si="27"/>
        <v/>
      </c>
      <c r="CJ87" t="str">
        <f t="shared" si="28"/>
        <v/>
      </c>
      <c r="CK87" t="str">
        <f t="shared" si="29"/>
        <v/>
      </c>
      <c r="CL87" t="str">
        <f>""</f>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IF(CAPTURA!BT88="","",MIN(100,ROUND((LEN(CAPTURA!BT88)-LEN(SUBSTITUTE(CAPTURA!BT88,";",""))+1)/7*100,1)))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IF(CAPTURA!CL88="","",MIN(100,ROUND((LEN(CAPTURA!CL88)-LEN(SUBSTITUTE(CAPTURA!CL88,";",""))+1)/8*100,1)))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IF(CAPTURA!CY88="","",IF(ISNUMBER(SEARCH("Ninguno",CAPTURA!CY88)),0,MIN(100,ROUND((LEN(CAPTURA!CY88)-LEN(SUBSTITUTE(CAPTURA!CY88,";",""))+1)/6*100,1))))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20"/>
        <v/>
      </c>
      <c r="CC88" t="str">
        <f t="shared" si="21"/>
        <v/>
      </c>
      <c r="CD88" t="str">
        <f t="shared" si="22"/>
        <v/>
      </c>
      <c r="CE88" t="str">
        <f t="shared" si="23"/>
        <v/>
      </c>
      <c r="CF88" t="str">
        <f t="shared" si="24"/>
        <v/>
      </c>
      <c r="CG88" t="str">
        <f t="shared" si="25"/>
        <v/>
      </c>
      <c r="CH88" t="str">
        <f t="shared" si="26"/>
        <v/>
      </c>
      <c r="CI88" t="str">
        <f t="shared" si="27"/>
        <v/>
      </c>
      <c r="CJ88" t="str">
        <f t="shared" si="28"/>
        <v/>
      </c>
      <c r="CK88" t="str">
        <f t="shared" si="29"/>
        <v/>
      </c>
      <c r="CL88" t="str">
        <f>""</f>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IF(CAPTURA!BT89="","",MIN(100,ROUND((LEN(CAPTURA!BT89)-LEN(SUBSTITUTE(CAPTURA!BT89,";",""))+1)/7*100,1)))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IF(CAPTURA!CL89="","",MIN(100,ROUND((LEN(CAPTURA!CL89)-LEN(SUBSTITUTE(CAPTURA!CL89,";",""))+1)/8*100,1)))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IF(CAPTURA!CY89="","",IF(ISNUMBER(SEARCH("Ninguno",CAPTURA!CY89)),0,MIN(100,ROUND((LEN(CAPTURA!CY89)-LEN(SUBSTITUTE(CAPTURA!CY89,";",""))+1)/6*100,1))))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20"/>
        <v/>
      </c>
      <c r="CC89" t="str">
        <f t="shared" si="21"/>
        <v/>
      </c>
      <c r="CD89" t="str">
        <f t="shared" si="22"/>
        <v/>
      </c>
      <c r="CE89" t="str">
        <f t="shared" si="23"/>
        <v/>
      </c>
      <c r="CF89" t="str">
        <f t="shared" si="24"/>
        <v/>
      </c>
      <c r="CG89" t="str">
        <f t="shared" si="25"/>
        <v/>
      </c>
      <c r="CH89" t="str">
        <f t="shared" si="26"/>
        <v/>
      </c>
      <c r="CI89" t="str">
        <f t="shared" si="27"/>
        <v/>
      </c>
      <c r="CJ89" t="str">
        <f t="shared" si="28"/>
        <v/>
      </c>
      <c r="CK89" t="str">
        <f t="shared" si="29"/>
        <v/>
      </c>
      <c r="CL89" t="str">
        <f>""</f>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IF(CAPTURA!BT90="","",MIN(100,ROUND((LEN(CAPTURA!BT90)-LEN(SUBSTITUTE(CAPTURA!BT90,";",""))+1)/7*100,1)))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IF(CAPTURA!CL90="","",MIN(100,ROUND((LEN(CAPTURA!CL90)-LEN(SUBSTITUTE(CAPTURA!CL90,";",""))+1)/8*100,1)))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IF(CAPTURA!CY90="","",IF(ISNUMBER(SEARCH("Ninguno",CAPTURA!CY90)),0,MIN(100,ROUND((LEN(CAPTURA!CY90)-LEN(SUBSTITUTE(CAPTURA!CY90,";",""))+1)/6*100,1))))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20"/>
        <v/>
      </c>
      <c r="CC90" t="str">
        <f t="shared" si="21"/>
        <v/>
      </c>
      <c r="CD90" t="str">
        <f t="shared" si="22"/>
        <v/>
      </c>
      <c r="CE90" t="str">
        <f t="shared" si="23"/>
        <v/>
      </c>
      <c r="CF90" t="str">
        <f t="shared" si="24"/>
        <v/>
      </c>
      <c r="CG90" t="str">
        <f t="shared" si="25"/>
        <v/>
      </c>
      <c r="CH90" t="str">
        <f t="shared" si="26"/>
        <v/>
      </c>
      <c r="CI90" t="str">
        <f t="shared" si="27"/>
        <v/>
      </c>
      <c r="CJ90" t="str">
        <f t="shared" si="28"/>
        <v/>
      </c>
      <c r="CK90" t="str">
        <f t="shared" si="29"/>
        <v/>
      </c>
      <c r="CL90" t="str">
        <f>""</f>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IF(CAPTURA!BT91="","",MIN(100,ROUND((LEN(CAPTURA!BT91)-LEN(SUBSTITUTE(CAPTURA!BT91,";",""))+1)/7*100,1)))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IF(CAPTURA!CL91="","",MIN(100,ROUND((LEN(CAPTURA!CL91)-LEN(SUBSTITUTE(CAPTURA!CL91,";",""))+1)/8*100,1)))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IF(CAPTURA!CY91="","",IF(ISNUMBER(SEARCH("Ninguno",CAPTURA!CY91)),0,MIN(100,ROUND((LEN(CAPTURA!CY91)-LEN(SUBSTITUTE(CAPTURA!CY91,";",""))+1)/6*100,1))))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20"/>
        <v/>
      </c>
      <c r="CC91" t="str">
        <f t="shared" si="21"/>
        <v/>
      </c>
      <c r="CD91" t="str">
        <f t="shared" si="22"/>
        <v/>
      </c>
      <c r="CE91" t="str">
        <f t="shared" si="23"/>
        <v/>
      </c>
      <c r="CF91" t="str">
        <f t="shared" si="24"/>
        <v/>
      </c>
      <c r="CG91" t="str">
        <f t="shared" si="25"/>
        <v/>
      </c>
      <c r="CH91" t="str">
        <f t="shared" si="26"/>
        <v/>
      </c>
      <c r="CI91" t="str">
        <f t="shared" si="27"/>
        <v/>
      </c>
      <c r="CJ91" t="str">
        <f t="shared" si="28"/>
        <v/>
      </c>
      <c r="CK91" t="str">
        <f t="shared" si="29"/>
        <v/>
      </c>
      <c r="CL91" t="str">
        <f>""</f>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IF(CAPTURA!BT92="","",MIN(100,ROUND((LEN(CAPTURA!BT92)-LEN(SUBSTITUTE(CAPTURA!BT92,";",""))+1)/7*100,1)))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IF(CAPTURA!CL92="","",MIN(100,ROUND((LEN(CAPTURA!CL92)-LEN(SUBSTITUTE(CAPTURA!CL92,";",""))+1)/8*100,1)))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IF(CAPTURA!CY92="","",IF(ISNUMBER(SEARCH("Ninguno",CAPTURA!CY92)),0,MIN(100,ROUND((LEN(CAPTURA!CY92)-LEN(SUBSTITUTE(CAPTURA!CY92,";",""))+1)/6*100,1))))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20"/>
        <v/>
      </c>
      <c r="CC92" t="str">
        <f t="shared" si="21"/>
        <v/>
      </c>
      <c r="CD92" t="str">
        <f t="shared" si="22"/>
        <v/>
      </c>
      <c r="CE92" t="str">
        <f t="shared" si="23"/>
        <v/>
      </c>
      <c r="CF92" t="str">
        <f t="shared" si="24"/>
        <v/>
      </c>
      <c r="CG92" t="str">
        <f t="shared" si="25"/>
        <v/>
      </c>
      <c r="CH92" t="str">
        <f t="shared" si="26"/>
        <v/>
      </c>
      <c r="CI92" t="str">
        <f t="shared" si="27"/>
        <v/>
      </c>
      <c r="CJ92" t="str">
        <f t="shared" si="28"/>
        <v/>
      </c>
      <c r="CK92" t="str">
        <f t="shared" si="29"/>
        <v/>
      </c>
      <c r="CL92" t="str">
        <f>""</f>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IF(CAPTURA!BT93="","",MIN(100,ROUND((LEN(CAPTURA!BT93)-LEN(SUBSTITUTE(CAPTURA!BT93,";",""))+1)/7*100,1)))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IF(CAPTURA!CL93="","",MIN(100,ROUND((LEN(CAPTURA!CL93)-LEN(SUBSTITUTE(CAPTURA!CL93,";",""))+1)/8*100,1)))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IF(CAPTURA!CY93="","",IF(ISNUMBER(SEARCH("Ninguno",CAPTURA!CY93)),0,MIN(100,ROUND((LEN(CAPTURA!CY93)-LEN(SUBSTITUTE(CAPTURA!CY93,";",""))+1)/6*100,1))))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20"/>
        <v/>
      </c>
      <c r="CC93" t="str">
        <f t="shared" si="21"/>
        <v/>
      </c>
      <c r="CD93" t="str">
        <f t="shared" si="22"/>
        <v/>
      </c>
      <c r="CE93" t="str">
        <f t="shared" si="23"/>
        <v/>
      </c>
      <c r="CF93" t="str">
        <f t="shared" si="24"/>
        <v/>
      </c>
      <c r="CG93" t="str">
        <f t="shared" si="25"/>
        <v/>
      </c>
      <c r="CH93" t="str">
        <f t="shared" si="26"/>
        <v/>
      </c>
      <c r="CI93" t="str">
        <f t="shared" si="27"/>
        <v/>
      </c>
      <c r="CJ93" t="str">
        <f t="shared" si="28"/>
        <v/>
      </c>
      <c r="CK93" t="str">
        <f t="shared" si="29"/>
        <v/>
      </c>
      <c r="CL93" t="str">
        <f>""</f>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IF(CAPTURA!BT94="","",MIN(100,ROUND((LEN(CAPTURA!BT94)-LEN(SUBSTITUTE(CAPTURA!BT94,";",""))+1)/7*100,1)))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IF(CAPTURA!CL94="","",MIN(100,ROUND((LEN(CAPTURA!CL94)-LEN(SUBSTITUTE(CAPTURA!CL94,";",""))+1)/8*100,1)))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IF(CAPTURA!CY94="","",IF(ISNUMBER(SEARCH("Ninguno",CAPTURA!CY94)),0,MIN(100,ROUND((LEN(CAPTURA!CY94)-LEN(SUBSTITUTE(CAPTURA!CY94,";",""))+1)/6*100,1))))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20"/>
        <v/>
      </c>
      <c r="CC94" t="str">
        <f t="shared" si="21"/>
        <v/>
      </c>
      <c r="CD94" t="str">
        <f t="shared" si="22"/>
        <v/>
      </c>
      <c r="CE94" t="str">
        <f t="shared" si="23"/>
        <v/>
      </c>
      <c r="CF94" t="str">
        <f t="shared" si="24"/>
        <v/>
      </c>
      <c r="CG94" t="str">
        <f t="shared" si="25"/>
        <v/>
      </c>
      <c r="CH94" t="str">
        <f t="shared" si="26"/>
        <v/>
      </c>
      <c r="CI94" t="str">
        <f t="shared" si="27"/>
        <v/>
      </c>
      <c r="CJ94" t="str">
        <f t="shared" si="28"/>
        <v/>
      </c>
      <c r="CK94" t="str">
        <f t="shared" si="29"/>
        <v/>
      </c>
      <c r="CL94" t="str">
        <f>""</f>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IF(CAPTURA!BT95="","",MIN(100,ROUND((LEN(CAPTURA!BT95)-LEN(SUBSTITUTE(CAPTURA!BT95,";",""))+1)/7*100,1)))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IF(CAPTURA!CL95="","",MIN(100,ROUND((LEN(CAPTURA!CL95)-LEN(SUBSTITUTE(CAPTURA!CL95,";",""))+1)/8*100,1)))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IF(CAPTURA!CY95="","",IF(ISNUMBER(SEARCH("Ninguno",CAPTURA!CY95)),0,MIN(100,ROUND((LEN(CAPTURA!CY95)-LEN(SUBSTITUTE(CAPTURA!CY95,";",""))+1)/6*100,1))))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20"/>
        <v/>
      </c>
      <c r="CC95" t="str">
        <f t="shared" si="21"/>
        <v/>
      </c>
      <c r="CD95" t="str">
        <f t="shared" si="22"/>
        <v/>
      </c>
      <c r="CE95" t="str">
        <f t="shared" si="23"/>
        <v/>
      </c>
      <c r="CF95" t="str">
        <f t="shared" si="24"/>
        <v/>
      </c>
      <c r="CG95" t="str">
        <f t="shared" si="25"/>
        <v/>
      </c>
      <c r="CH95" t="str">
        <f t="shared" si="26"/>
        <v/>
      </c>
      <c r="CI95" t="str">
        <f t="shared" si="27"/>
        <v/>
      </c>
      <c r="CJ95" t="str">
        <f t="shared" si="28"/>
        <v/>
      </c>
      <c r="CK95" t="str">
        <f t="shared" si="29"/>
        <v/>
      </c>
      <c r="CL95" t="str">
        <f>""</f>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IF(CAPTURA!BT96="","",MIN(100,ROUND((LEN(CAPTURA!BT96)-LEN(SUBSTITUTE(CAPTURA!BT96,";",""))+1)/7*100,1)))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IF(CAPTURA!CL96="","",MIN(100,ROUND((LEN(CAPTURA!CL96)-LEN(SUBSTITUTE(CAPTURA!CL96,";",""))+1)/8*100,1)))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IF(CAPTURA!CY96="","",IF(ISNUMBER(SEARCH("Ninguno",CAPTURA!CY96)),0,MIN(100,ROUND((LEN(CAPTURA!CY96)-LEN(SUBSTITUTE(CAPTURA!CY96,";",""))+1)/6*100,1))))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20"/>
        <v/>
      </c>
      <c r="CC96" t="str">
        <f t="shared" si="21"/>
        <v/>
      </c>
      <c r="CD96" t="str">
        <f t="shared" si="22"/>
        <v/>
      </c>
      <c r="CE96" t="str">
        <f t="shared" si="23"/>
        <v/>
      </c>
      <c r="CF96" t="str">
        <f t="shared" si="24"/>
        <v/>
      </c>
      <c r="CG96" t="str">
        <f t="shared" si="25"/>
        <v/>
      </c>
      <c r="CH96" t="str">
        <f t="shared" si="26"/>
        <v/>
      </c>
      <c r="CI96" t="str">
        <f t="shared" si="27"/>
        <v/>
      </c>
      <c r="CJ96" t="str">
        <f t="shared" si="28"/>
        <v/>
      </c>
      <c r="CK96" t="str">
        <f t="shared" si="29"/>
        <v/>
      </c>
      <c r="CL96" t="str">
        <f>""</f>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IF(CAPTURA!BT97="","",MIN(100,ROUND((LEN(CAPTURA!BT97)-LEN(SUBSTITUTE(CAPTURA!BT97,";",""))+1)/7*100,1)))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IF(CAPTURA!CL97="","",MIN(100,ROUND((LEN(CAPTURA!CL97)-LEN(SUBSTITUTE(CAPTURA!CL97,";",""))+1)/8*100,1)))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IF(CAPTURA!CY97="","",IF(ISNUMBER(SEARCH("Ninguno",CAPTURA!CY97)),0,MIN(100,ROUND((LEN(CAPTURA!CY97)-LEN(SUBSTITUTE(CAPTURA!CY97,";",""))+1)/6*100,1))))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20"/>
        <v/>
      </c>
      <c r="CC97" t="str">
        <f t="shared" si="21"/>
        <v/>
      </c>
      <c r="CD97" t="str">
        <f t="shared" si="22"/>
        <v/>
      </c>
      <c r="CE97" t="str">
        <f t="shared" si="23"/>
        <v/>
      </c>
      <c r="CF97" t="str">
        <f t="shared" si="24"/>
        <v/>
      </c>
      <c r="CG97" t="str">
        <f t="shared" si="25"/>
        <v/>
      </c>
      <c r="CH97" t="str">
        <f t="shared" si="26"/>
        <v/>
      </c>
      <c r="CI97" t="str">
        <f t="shared" si="27"/>
        <v/>
      </c>
      <c r="CJ97" t="str">
        <f t="shared" si="28"/>
        <v/>
      </c>
      <c r="CK97" t="str">
        <f t="shared" si="29"/>
        <v/>
      </c>
      <c r="CL97" t="str">
        <f>""</f>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IF(CAPTURA!BT98="","",MIN(100,ROUND((LEN(CAPTURA!BT98)-LEN(SUBSTITUTE(CAPTURA!BT98,";",""))+1)/7*100,1)))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IF(CAPTURA!CL98="","",MIN(100,ROUND((LEN(CAPTURA!CL98)-LEN(SUBSTITUTE(CAPTURA!CL98,";",""))+1)/8*100,1)))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IF(CAPTURA!CY98="","",IF(ISNUMBER(SEARCH("Ninguno",CAPTURA!CY98)),0,MIN(100,ROUND((LEN(CAPTURA!CY98)-LEN(SUBSTITUTE(CAPTURA!CY98,";",""))+1)/6*100,1))))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20"/>
        <v/>
      </c>
      <c r="CC98" t="str">
        <f t="shared" si="21"/>
        <v/>
      </c>
      <c r="CD98" t="str">
        <f t="shared" si="22"/>
        <v/>
      </c>
      <c r="CE98" t="str">
        <f t="shared" si="23"/>
        <v/>
      </c>
      <c r="CF98" t="str">
        <f t="shared" si="24"/>
        <v/>
      </c>
      <c r="CG98" t="str">
        <f t="shared" si="25"/>
        <v/>
      </c>
      <c r="CH98" t="str">
        <f t="shared" si="26"/>
        <v/>
      </c>
      <c r="CI98" t="str">
        <f t="shared" si="27"/>
        <v/>
      </c>
      <c r="CJ98" t="str">
        <f t="shared" si="28"/>
        <v/>
      </c>
      <c r="CK98" t="str">
        <f t="shared" si="29"/>
        <v/>
      </c>
      <c r="CL98" t="str">
        <f>""</f>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IF(CAPTURA!BT99="","",MIN(100,ROUND((LEN(CAPTURA!BT99)-LEN(SUBSTITUTE(CAPTURA!BT99,";",""))+1)/7*100,1)))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IF(CAPTURA!CL99="","",MIN(100,ROUND((LEN(CAPTURA!CL99)-LEN(SUBSTITUTE(CAPTURA!CL99,";",""))+1)/8*100,1)))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IF(CAPTURA!CY99="","",IF(ISNUMBER(SEARCH("Ninguno",CAPTURA!CY99)),0,MIN(100,ROUND((LEN(CAPTURA!CY99)-LEN(SUBSTITUTE(CAPTURA!CY99,";",""))+1)/6*100,1))))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30">IFERROR(AVERAGE(H99,I99,J99,K99),"")</f>
        <v/>
      </c>
      <c r="CC99" t="str">
        <f t="shared" ref="CC99:CC130" si="31">IFERROR(AVERAGE(L99,M99,N99,O99,P99,R99),"")</f>
        <v/>
      </c>
      <c r="CD99" t="str">
        <f t="shared" ref="CD99:CD130" si="32">IFERROR(AVERAGE(T99,U99,V99,W99,X99,Y99,Z99,AA99,AB99,AC99,AE99),"")</f>
        <v/>
      </c>
      <c r="CE99" t="str">
        <f t="shared" ref="CE99:CE130" si="33">IFERROR(AVERAGE(AG99,AH99,AI99),"")</f>
        <v/>
      </c>
      <c r="CF99" t="str">
        <f t="shared" ref="CF99:CF130" si="34">IFERROR(AVERAGE(AK99,AL99,AM99,AN99,AP99,AQ99,AR99,AS99),"")</f>
        <v/>
      </c>
      <c r="CG99" t="str">
        <f t="shared" ref="CG99:CG130" si="35">IFERROR(AVERAGE(AT99,AU99,AV99,BB99,AW99,AX99,AY99,AZ99,BA99),"")</f>
        <v/>
      </c>
      <c r="CH99" t="str">
        <f t="shared" ref="CH99:CH130" si="36">IFERROR(AVERAGE(BC99,BH99,BI99,BD99,BF99),"")</f>
        <v/>
      </c>
      <c r="CI99" t="str">
        <f t="shared" ref="CI99:CI130" si="37">IFERROR(AVERAGE(BJ99,BK99,BL99,BM99),"")</f>
        <v/>
      </c>
      <c r="CJ99" t="str">
        <f t="shared" ref="CJ99:CJ130" si="38">IFERROR(AVERAGE(BN99,BO99,BP99),"")</f>
        <v/>
      </c>
      <c r="CK99" t="str">
        <f t="shared" ref="CK99:CK130" si="39">IFERROR(AVERAGE(BS99),"")</f>
        <v/>
      </c>
      <c r="CL99" t="str">
        <f>""</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IF(CAPTURA!BT100="","",MIN(100,ROUND((LEN(CAPTURA!BT100)-LEN(SUBSTITUTE(CAPTURA!BT100,";",""))+1)/7*100,1)))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IF(CAPTURA!CL100="","",MIN(100,ROUND((LEN(CAPTURA!CL100)-LEN(SUBSTITUTE(CAPTURA!CL100,";",""))+1)/8*100,1)))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IF(CAPTURA!CY100="","",IF(ISNUMBER(SEARCH("Ninguno",CAPTURA!CY100)),0,MIN(100,ROUND((LEN(CAPTURA!CY100)-LEN(SUBSTITUTE(CAPTURA!CY100,";",""))+1)/6*100,1))))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30"/>
        <v/>
      </c>
      <c r="CC100" t="str">
        <f t="shared" si="31"/>
        <v/>
      </c>
      <c r="CD100" t="str">
        <f t="shared" si="32"/>
        <v/>
      </c>
      <c r="CE100" t="str">
        <f t="shared" si="33"/>
        <v/>
      </c>
      <c r="CF100" t="str">
        <f t="shared" si="34"/>
        <v/>
      </c>
      <c r="CG100" t="str">
        <f t="shared" si="35"/>
        <v/>
      </c>
      <c r="CH100" t="str">
        <f t="shared" si="36"/>
        <v/>
      </c>
      <c r="CI100" t="str">
        <f t="shared" si="37"/>
        <v/>
      </c>
      <c r="CJ100" t="str">
        <f t="shared" si="38"/>
        <v/>
      </c>
      <c r="CK100" t="str">
        <f t="shared" si="39"/>
        <v/>
      </c>
      <c r="CL100" t="str">
        <f>""</f>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IF(CAPTURA!BT101="","",MIN(100,ROUND((LEN(CAPTURA!BT101)-LEN(SUBSTITUTE(CAPTURA!BT101,";",""))+1)/7*100,1)))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IF(CAPTURA!CL101="","",MIN(100,ROUND((LEN(CAPTURA!CL101)-LEN(SUBSTITUTE(CAPTURA!CL101,";",""))+1)/8*100,1)))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IF(CAPTURA!CY101="","",IF(ISNUMBER(SEARCH("Ninguno",CAPTURA!CY101)),0,MIN(100,ROUND((LEN(CAPTURA!CY101)-LEN(SUBSTITUTE(CAPTURA!CY101,";",""))+1)/6*100,1))))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30"/>
        <v/>
      </c>
      <c r="CC101" t="str">
        <f t="shared" si="31"/>
        <v/>
      </c>
      <c r="CD101" t="str">
        <f t="shared" si="32"/>
        <v/>
      </c>
      <c r="CE101" t="str">
        <f t="shared" si="33"/>
        <v/>
      </c>
      <c r="CF101" t="str">
        <f t="shared" si="34"/>
        <v/>
      </c>
      <c r="CG101" t="str">
        <f t="shared" si="35"/>
        <v/>
      </c>
      <c r="CH101" t="str">
        <f t="shared" si="36"/>
        <v/>
      </c>
      <c r="CI101" t="str">
        <f t="shared" si="37"/>
        <v/>
      </c>
      <c r="CJ101" t="str">
        <f t="shared" si="38"/>
        <v/>
      </c>
      <c r="CK101" t="str">
        <f t="shared" si="39"/>
        <v/>
      </c>
      <c r="CL101" t="str">
        <f>""</f>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IF(CAPTURA!BT102="","",MIN(100,ROUND((LEN(CAPTURA!BT102)-LEN(SUBSTITUTE(CAPTURA!BT102,";",""))+1)/7*100,1)))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IF(CAPTURA!CL102="","",MIN(100,ROUND((LEN(CAPTURA!CL102)-LEN(SUBSTITUTE(CAPTURA!CL102,";",""))+1)/8*100,1)))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IF(CAPTURA!CY102="","",IF(ISNUMBER(SEARCH("Ninguno",CAPTURA!CY102)),0,MIN(100,ROUND((LEN(CAPTURA!CY102)-LEN(SUBSTITUTE(CAPTURA!CY102,";",""))+1)/6*100,1))))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30"/>
        <v/>
      </c>
      <c r="CC102" t="str">
        <f t="shared" si="31"/>
        <v/>
      </c>
      <c r="CD102" t="str">
        <f t="shared" si="32"/>
        <v/>
      </c>
      <c r="CE102" t="str">
        <f t="shared" si="33"/>
        <v/>
      </c>
      <c r="CF102" t="str">
        <f t="shared" si="34"/>
        <v/>
      </c>
      <c r="CG102" t="str">
        <f t="shared" si="35"/>
        <v/>
      </c>
      <c r="CH102" t="str">
        <f t="shared" si="36"/>
        <v/>
      </c>
      <c r="CI102" t="str">
        <f t="shared" si="37"/>
        <v/>
      </c>
      <c r="CJ102" t="str">
        <f t="shared" si="38"/>
        <v/>
      </c>
      <c r="CK102" t="str">
        <f t="shared" si="39"/>
        <v/>
      </c>
      <c r="CL102" t="str">
        <f>""</f>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IF(CAPTURA!BT103="","",MIN(100,ROUND((LEN(CAPTURA!BT103)-LEN(SUBSTITUTE(CAPTURA!BT103,";",""))+1)/7*100,1)))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IF(CAPTURA!CL103="","",MIN(100,ROUND((LEN(CAPTURA!CL103)-LEN(SUBSTITUTE(CAPTURA!CL103,";",""))+1)/8*100,1)))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IF(CAPTURA!CY103="","",IF(ISNUMBER(SEARCH("Ninguno",CAPTURA!CY103)),0,MIN(100,ROUND((LEN(CAPTURA!CY103)-LEN(SUBSTITUTE(CAPTURA!CY103,";",""))+1)/6*100,1))))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30"/>
        <v/>
      </c>
      <c r="CC103" t="str">
        <f t="shared" si="31"/>
        <v/>
      </c>
      <c r="CD103" t="str">
        <f t="shared" si="32"/>
        <v/>
      </c>
      <c r="CE103" t="str">
        <f t="shared" si="33"/>
        <v/>
      </c>
      <c r="CF103" t="str">
        <f t="shared" si="34"/>
        <v/>
      </c>
      <c r="CG103" t="str">
        <f t="shared" si="35"/>
        <v/>
      </c>
      <c r="CH103" t="str">
        <f t="shared" si="36"/>
        <v/>
      </c>
      <c r="CI103" t="str">
        <f t="shared" si="37"/>
        <v/>
      </c>
      <c r="CJ103" t="str">
        <f t="shared" si="38"/>
        <v/>
      </c>
      <c r="CK103" t="str">
        <f t="shared" si="39"/>
        <v/>
      </c>
      <c r="CL103" t="str">
        <f>""</f>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IF(CAPTURA!BT104="","",MIN(100,ROUND((LEN(CAPTURA!BT104)-LEN(SUBSTITUTE(CAPTURA!BT104,";",""))+1)/7*100,1)))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IF(CAPTURA!CL104="","",MIN(100,ROUND((LEN(CAPTURA!CL104)-LEN(SUBSTITUTE(CAPTURA!CL104,";",""))+1)/8*100,1)))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IF(CAPTURA!CY104="","",IF(ISNUMBER(SEARCH("Ninguno",CAPTURA!CY104)),0,MIN(100,ROUND((LEN(CAPTURA!CY104)-LEN(SUBSTITUTE(CAPTURA!CY104,";",""))+1)/6*100,1))))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30"/>
        <v/>
      </c>
      <c r="CC104" t="str">
        <f t="shared" si="31"/>
        <v/>
      </c>
      <c r="CD104" t="str">
        <f t="shared" si="32"/>
        <v/>
      </c>
      <c r="CE104" t="str">
        <f t="shared" si="33"/>
        <v/>
      </c>
      <c r="CF104" t="str">
        <f t="shared" si="34"/>
        <v/>
      </c>
      <c r="CG104" t="str">
        <f t="shared" si="35"/>
        <v/>
      </c>
      <c r="CH104" t="str">
        <f t="shared" si="36"/>
        <v/>
      </c>
      <c r="CI104" t="str">
        <f t="shared" si="37"/>
        <v/>
      </c>
      <c r="CJ104" t="str">
        <f t="shared" si="38"/>
        <v/>
      </c>
      <c r="CK104" t="str">
        <f t="shared" si="39"/>
        <v/>
      </c>
      <c r="CL104" t="str">
        <f>""</f>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IF(CAPTURA!BT105="","",MIN(100,ROUND((LEN(CAPTURA!BT105)-LEN(SUBSTITUTE(CAPTURA!BT105,";",""))+1)/7*100,1)))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IF(CAPTURA!CL105="","",MIN(100,ROUND((LEN(CAPTURA!CL105)-LEN(SUBSTITUTE(CAPTURA!CL105,";",""))+1)/8*100,1)))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IF(CAPTURA!CY105="","",IF(ISNUMBER(SEARCH("Ninguno",CAPTURA!CY105)),0,MIN(100,ROUND((LEN(CAPTURA!CY105)-LEN(SUBSTITUTE(CAPTURA!CY105,";",""))+1)/6*100,1))))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30"/>
        <v/>
      </c>
      <c r="CC105" t="str">
        <f t="shared" si="31"/>
        <v/>
      </c>
      <c r="CD105" t="str">
        <f t="shared" si="32"/>
        <v/>
      </c>
      <c r="CE105" t="str">
        <f t="shared" si="33"/>
        <v/>
      </c>
      <c r="CF105" t="str">
        <f t="shared" si="34"/>
        <v/>
      </c>
      <c r="CG105" t="str">
        <f t="shared" si="35"/>
        <v/>
      </c>
      <c r="CH105" t="str">
        <f t="shared" si="36"/>
        <v/>
      </c>
      <c r="CI105" t="str">
        <f t="shared" si="37"/>
        <v/>
      </c>
      <c r="CJ105" t="str">
        <f t="shared" si="38"/>
        <v/>
      </c>
      <c r="CK105" t="str">
        <f t="shared" si="39"/>
        <v/>
      </c>
      <c r="CL105" t="str">
        <f>""</f>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IF(CAPTURA!BT106="","",MIN(100,ROUND((LEN(CAPTURA!BT106)-LEN(SUBSTITUTE(CAPTURA!BT106,";",""))+1)/7*100,1)))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IF(CAPTURA!CL106="","",MIN(100,ROUND((LEN(CAPTURA!CL106)-LEN(SUBSTITUTE(CAPTURA!CL106,";",""))+1)/8*100,1)))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IF(CAPTURA!CY106="","",IF(ISNUMBER(SEARCH("Ninguno",CAPTURA!CY106)),0,MIN(100,ROUND((LEN(CAPTURA!CY106)-LEN(SUBSTITUTE(CAPTURA!CY106,";",""))+1)/6*100,1))))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30"/>
        <v/>
      </c>
      <c r="CC106" t="str">
        <f t="shared" si="31"/>
        <v/>
      </c>
      <c r="CD106" t="str">
        <f t="shared" si="32"/>
        <v/>
      </c>
      <c r="CE106" t="str">
        <f t="shared" si="33"/>
        <v/>
      </c>
      <c r="CF106" t="str">
        <f t="shared" si="34"/>
        <v/>
      </c>
      <c r="CG106" t="str">
        <f t="shared" si="35"/>
        <v/>
      </c>
      <c r="CH106" t="str">
        <f t="shared" si="36"/>
        <v/>
      </c>
      <c r="CI106" t="str">
        <f t="shared" si="37"/>
        <v/>
      </c>
      <c r="CJ106" t="str">
        <f t="shared" si="38"/>
        <v/>
      </c>
      <c r="CK106" t="str">
        <f t="shared" si="39"/>
        <v/>
      </c>
      <c r="CL106" t="str">
        <f>""</f>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IF(CAPTURA!BT107="","",MIN(100,ROUND((LEN(CAPTURA!BT107)-LEN(SUBSTITUTE(CAPTURA!BT107,";",""))+1)/7*100,1)))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IF(CAPTURA!CL107="","",MIN(100,ROUND((LEN(CAPTURA!CL107)-LEN(SUBSTITUTE(CAPTURA!CL107,";",""))+1)/8*100,1)))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IF(CAPTURA!CY107="","",IF(ISNUMBER(SEARCH("Ninguno",CAPTURA!CY107)),0,MIN(100,ROUND((LEN(CAPTURA!CY107)-LEN(SUBSTITUTE(CAPTURA!CY107,";",""))+1)/6*100,1))))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30"/>
        <v/>
      </c>
      <c r="CC107" t="str">
        <f t="shared" si="31"/>
        <v/>
      </c>
      <c r="CD107" t="str">
        <f t="shared" si="32"/>
        <v/>
      </c>
      <c r="CE107" t="str">
        <f t="shared" si="33"/>
        <v/>
      </c>
      <c r="CF107" t="str">
        <f t="shared" si="34"/>
        <v/>
      </c>
      <c r="CG107" t="str">
        <f t="shared" si="35"/>
        <v/>
      </c>
      <c r="CH107" t="str">
        <f t="shared" si="36"/>
        <v/>
      </c>
      <c r="CI107" t="str">
        <f t="shared" si="37"/>
        <v/>
      </c>
      <c r="CJ107" t="str">
        <f t="shared" si="38"/>
        <v/>
      </c>
      <c r="CK107" t="str">
        <f t="shared" si="39"/>
        <v/>
      </c>
      <c r="CL107" t="str">
        <f>""</f>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IF(CAPTURA!BT108="","",MIN(100,ROUND((LEN(CAPTURA!BT108)-LEN(SUBSTITUTE(CAPTURA!BT108,";",""))+1)/7*100,1)))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IF(CAPTURA!CL108="","",MIN(100,ROUND((LEN(CAPTURA!CL108)-LEN(SUBSTITUTE(CAPTURA!CL108,";",""))+1)/8*100,1)))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IF(CAPTURA!CY108="","",IF(ISNUMBER(SEARCH("Ninguno",CAPTURA!CY108)),0,MIN(100,ROUND((LEN(CAPTURA!CY108)-LEN(SUBSTITUTE(CAPTURA!CY108,";",""))+1)/6*100,1))))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30"/>
        <v/>
      </c>
      <c r="CC108" t="str">
        <f t="shared" si="31"/>
        <v/>
      </c>
      <c r="CD108" t="str">
        <f t="shared" si="32"/>
        <v/>
      </c>
      <c r="CE108" t="str">
        <f t="shared" si="33"/>
        <v/>
      </c>
      <c r="CF108" t="str">
        <f t="shared" si="34"/>
        <v/>
      </c>
      <c r="CG108" t="str">
        <f t="shared" si="35"/>
        <v/>
      </c>
      <c r="CH108" t="str">
        <f t="shared" si="36"/>
        <v/>
      </c>
      <c r="CI108" t="str">
        <f t="shared" si="37"/>
        <v/>
      </c>
      <c r="CJ108" t="str">
        <f t="shared" si="38"/>
        <v/>
      </c>
      <c r="CK108" t="str">
        <f t="shared" si="39"/>
        <v/>
      </c>
      <c r="CL108" t="str">
        <f>""</f>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IF(CAPTURA!BT109="","",MIN(100,ROUND((LEN(CAPTURA!BT109)-LEN(SUBSTITUTE(CAPTURA!BT109,";",""))+1)/7*100,1)))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IF(CAPTURA!CL109="","",MIN(100,ROUND((LEN(CAPTURA!CL109)-LEN(SUBSTITUTE(CAPTURA!CL109,";",""))+1)/8*100,1)))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IF(CAPTURA!CY109="","",IF(ISNUMBER(SEARCH("Ninguno",CAPTURA!CY109)),0,MIN(100,ROUND((LEN(CAPTURA!CY109)-LEN(SUBSTITUTE(CAPTURA!CY109,";",""))+1)/6*100,1))))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30"/>
        <v/>
      </c>
      <c r="CC109" t="str">
        <f t="shared" si="31"/>
        <v/>
      </c>
      <c r="CD109" t="str">
        <f t="shared" si="32"/>
        <v/>
      </c>
      <c r="CE109" t="str">
        <f t="shared" si="33"/>
        <v/>
      </c>
      <c r="CF109" t="str">
        <f t="shared" si="34"/>
        <v/>
      </c>
      <c r="CG109" t="str">
        <f t="shared" si="35"/>
        <v/>
      </c>
      <c r="CH109" t="str">
        <f t="shared" si="36"/>
        <v/>
      </c>
      <c r="CI109" t="str">
        <f t="shared" si="37"/>
        <v/>
      </c>
      <c r="CJ109" t="str">
        <f t="shared" si="38"/>
        <v/>
      </c>
      <c r="CK109" t="str">
        <f t="shared" si="39"/>
        <v/>
      </c>
      <c r="CL109" t="str">
        <f>""</f>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IF(CAPTURA!BT110="","",MIN(100,ROUND((LEN(CAPTURA!BT110)-LEN(SUBSTITUTE(CAPTURA!BT110,";",""))+1)/7*100,1)))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IF(CAPTURA!CL110="","",MIN(100,ROUND((LEN(CAPTURA!CL110)-LEN(SUBSTITUTE(CAPTURA!CL110,";",""))+1)/8*100,1)))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IF(CAPTURA!CY110="","",IF(ISNUMBER(SEARCH("Ninguno",CAPTURA!CY110)),0,MIN(100,ROUND((LEN(CAPTURA!CY110)-LEN(SUBSTITUTE(CAPTURA!CY110,";",""))+1)/6*100,1))))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30"/>
        <v/>
      </c>
      <c r="CC110" t="str">
        <f t="shared" si="31"/>
        <v/>
      </c>
      <c r="CD110" t="str">
        <f t="shared" si="32"/>
        <v/>
      </c>
      <c r="CE110" t="str">
        <f t="shared" si="33"/>
        <v/>
      </c>
      <c r="CF110" t="str">
        <f t="shared" si="34"/>
        <v/>
      </c>
      <c r="CG110" t="str">
        <f t="shared" si="35"/>
        <v/>
      </c>
      <c r="CH110" t="str">
        <f t="shared" si="36"/>
        <v/>
      </c>
      <c r="CI110" t="str">
        <f t="shared" si="37"/>
        <v/>
      </c>
      <c r="CJ110" t="str">
        <f t="shared" si="38"/>
        <v/>
      </c>
      <c r="CK110" t="str">
        <f t="shared" si="39"/>
        <v/>
      </c>
      <c r="CL110" t="str">
        <f>""</f>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IF(CAPTURA!BT111="","",MIN(100,ROUND((LEN(CAPTURA!BT111)-LEN(SUBSTITUTE(CAPTURA!BT111,";",""))+1)/7*100,1)))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IF(CAPTURA!CL111="","",MIN(100,ROUND((LEN(CAPTURA!CL111)-LEN(SUBSTITUTE(CAPTURA!CL111,";",""))+1)/8*100,1)))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IF(CAPTURA!CY111="","",IF(ISNUMBER(SEARCH("Ninguno",CAPTURA!CY111)),0,MIN(100,ROUND((LEN(CAPTURA!CY111)-LEN(SUBSTITUTE(CAPTURA!CY111,";",""))+1)/6*100,1))))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30"/>
        <v/>
      </c>
      <c r="CC111" t="str">
        <f t="shared" si="31"/>
        <v/>
      </c>
      <c r="CD111" t="str">
        <f t="shared" si="32"/>
        <v/>
      </c>
      <c r="CE111" t="str">
        <f t="shared" si="33"/>
        <v/>
      </c>
      <c r="CF111" t="str">
        <f t="shared" si="34"/>
        <v/>
      </c>
      <c r="CG111" t="str">
        <f t="shared" si="35"/>
        <v/>
      </c>
      <c r="CH111" t="str">
        <f t="shared" si="36"/>
        <v/>
      </c>
      <c r="CI111" t="str">
        <f t="shared" si="37"/>
        <v/>
      </c>
      <c r="CJ111" t="str">
        <f t="shared" si="38"/>
        <v/>
      </c>
      <c r="CK111" t="str">
        <f t="shared" si="39"/>
        <v/>
      </c>
      <c r="CL111" t="str">
        <f>""</f>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IF(CAPTURA!BT112="","",MIN(100,ROUND((LEN(CAPTURA!BT112)-LEN(SUBSTITUTE(CAPTURA!BT112,";",""))+1)/7*100,1)))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IF(CAPTURA!CL112="","",MIN(100,ROUND((LEN(CAPTURA!CL112)-LEN(SUBSTITUTE(CAPTURA!CL112,";",""))+1)/8*100,1)))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IF(CAPTURA!CY112="","",IF(ISNUMBER(SEARCH("Ninguno",CAPTURA!CY112)),0,MIN(100,ROUND((LEN(CAPTURA!CY112)-LEN(SUBSTITUTE(CAPTURA!CY112,";",""))+1)/6*100,1))))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30"/>
        <v/>
      </c>
      <c r="CC112" t="str">
        <f t="shared" si="31"/>
        <v/>
      </c>
      <c r="CD112" t="str">
        <f t="shared" si="32"/>
        <v/>
      </c>
      <c r="CE112" t="str">
        <f t="shared" si="33"/>
        <v/>
      </c>
      <c r="CF112" t="str">
        <f t="shared" si="34"/>
        <v/>
      </c>
      <c r="CG112" t="str">
        <f t="shared" si="35"/>
        <v/>
      </c>
      <c r="CH112" t="str">
        <f t="shared" si="36"/>
        <v/>
      </c>
      <c r="CI112" t="str">
        <f t="shared" si="37"/>
        <v/>
      </c>
      <c r="CJ112" t="str">
        <f t="shared" si="38"/>
        <v/>
      </c>
      <c r="CK112" t="str">
        <f t="shared" si="39"/>
        <v/>
      </c>
      <c r="CL112" t="str">
        <f>""</f>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IF(CAPTURA!BT113="","",MIN(100,ROUND((LEN(CAPTURA!BT113)-LEN(SUBSTITUTE(CAPTURA!BT113,";",""))+1)/7*100,1)))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IF(CAPTURA!CL113="","",MIN(100,ROUND((LEN(CAPTURA!CL113)-LEN(SUBSTITUTE(CAPTURA!CL113,";",""))+1)/8*100,1)))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IF(CAPTURA!CY113="","",IF(ISNUMBER(SEARCH("Ninguno",CAPTURA!CY113)),0,MIN(100,ROUND((LEN(CAPTURA!CY113)-LEN(SUBSTITUTE(CAPTURA!CY113,";",""))+1)/6*100,1))))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30"/>
        <v/>
      </c>
      <c r="CC113" t="str">
        <f t="shared" si="31"/>
        <v/>
      </c>
      <c r="CD113" t="str">
        <f t="shared" si="32"/>
        <v/>
      </c>
      <c r="CE113" t="str">
        <f t="shared" si="33"/>
        <v/>
      </c>
      <c r="CF113" t="str">
        <f t="shared" si="34"/>
        <v/>
      </c>
      <c r="CG113" t="str">
        <f t="shared" si="35"/>
        <v/>
      </c>
      <c r="CH113" t="str">
        <f t="shared" si="36"/>
        <v/>
      </c>
      <c r="CI113" t="str">
        <f t="shared" si="37"/>
        <v/>
      </c>
      <c r="CJ113" t="str">
        <f t="shared" si="38"/>
        <v/>
      </c>
      <c r="CK113" t="str">
        <f t="shared" si="39"/>
        <v/>
      </c>
      <c r="CL113" t="str">
        <f>""</f>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IF(CAPTURA!BT114="","",MIN(100,ROUND((LEN(CAPTURA!BT114)-LEN(SUBSTITUTE(CAPTURA!BT114,";",""))+1)/7*100,1)))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IF(CAPTURA!CL114="","",MIN(100,ROUND((LEN(CAPTURA!CL114)-LEN(SUBSTITUTE(CAPTURA!CL114,";",""))+1)/8*100,1)))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IF(CAPTURA!CY114="","",IF(ISNUMBER(SEARCH("Ninguno",CAPTURA!CY114)),0,MIN(100,ROUND((LEN(CAPTURA!CY114)-LEN(SUBSTITUTE(CAPTURA!CY114,";",""))+1)/6*100,1))))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30"/>
        <v/>
      </c>
      <c r="CC114" t="str">
        <f t="shared" si="31"/>
        <v/>
      </c>
      <c r="CD114" t="str">
        <f t="shared" si="32"/>
        <v/>
      </c>
      <c r="CE114" t="str">
        <f t="shared" si="33"/>
        <v/>
      </c>
      <c r="CF114" t="str">
        <f t="shared" si="34"/>
        <v/>
      </c>
      <c r="CG114" t="str">
        <f t="shared" si="35"/>
        <v/>
      </c>
      <c r="CH114" t="str">
        <f t="shared" si="36"/>
        <v/>
      </c>
      <c r="CI114" t="str">
        <f t="shared" si="37"/>
        <v/>
      </c>
      <c r="CJ114" t="str">
        <f t="shared" si="38"/>
        <v/>
      </c>
      <c r="CK114" t="str">
        <f t="shared" si="39"/>
        <v/>
      </c>
      <c r="CL114" t="str">
        <f>""</f>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IF(CAPTURA!BT115="","",MIN(100,ROUND((LEN(CAPTURA!BT115)-LEN(SUBSTITUTE(CAPTURA!BT115,";",""))+1)/7*100,1)))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IF(CAPTURA!CL115="","",MIN(100,ROUND((LEN(CAPTURA!CL115)-LEN(SUBSTITUTE(CAPTURA!CL115,";",""))+1)/8*100,1)))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IF(CAPTURA!CY115="","",IF(ISNUMBER(SEARCH("Ninguno",CAPTURA!CY115)),0,MIN(100,ROUND((LEN(CAPTURA!CY115)-LEN(SUBSTITUTE(CAPTURA!CY115,";",""))+1)/6*100,1))))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30"/>
        <v/>
      </c>
      <c r="CC115" t="str">
        <f t="shared" si="31"/>
        <v/>
      </c>
      <c r="CD115" t="str">
        <f t="shared" si="32"/>
        <v/>
      </c>
      <c r="CE115" t="str">
        <f t="shared" si="33"/>
        <v/>
      </c>
      <c r="CF115" t="str">
        <f t="shared" si="34"/>
        <v/>
      </c>
      <c r="CG115" t="str">
        <f t="shared" si="35"/>
        <v/>
      </c>
      <c r="CH115" t="str">
        <f t="shared" si="36"/>
        <v/>
      </c>
      <c r="CI115" t="str">
        <f t="shared" si="37"/>
        <v/>
      </c>
      <c r="CJ115" t="str">
        <f t="shared" si="38"/>
        <v/>
      </c>
      <c r="CK115" t="str">
        <f t="shared" si="39"/>
        <v/>
      </c>
      <c r="CL115" t="str">
        <f>""</f>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IF(CAPTURA!BT116="","",MIN(100,ROUND((LEN(CAPTURA!BT116)-LEN(SUBSTITUTE(CAPTURA!BT116,";",""))+1)/7*100,1)))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IF(CAPTURA!CL116="","",MIN(100,ROUND((LEN(CAPTURA!CL116)-LEN(SUBSTITUTE(CAPTURA!CL116,";",""))+1)/8*100,1)))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IF(CAPTURA!CY116="","",IF(ISNUMBER(SEARCH("Ninguno",CAPTURA!CY116)),0,MIN(100,ROUND((LEN(CAPTURA!CY116)-LEN(SUBSTITUTE(CAPTURA!CY116,";",""))+1)/6*100,1))))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30"/>
        <v/>
      </c>
      <c r="CC116" t="str">
        <f t="shared" si="31"/>
        <v/>
      </c>
      <c r="CD116" t="str">
        <f t="shared" si="32"/>
        <v/>
      </c>
      <c r="CE116" t="str">
        <f t="shared" si="33"/>
        <v/>
      </c>
      <c r="CF116" t="str">
        <f t="shared" si="34"/>
        <v/>
      </c>
      <c r="CG116" t="str">
        <f t="shared" si="35"/>
        <v/>
      </c>
      <c r="CH116" t="str">
        <f t="shared" si="36"/>
        <v/>
      </c>
      <c r="CI116" t="str">
        <f t="shared" si="37"/>
        <v/>
      </c>
      <c r="CJ116" t="str">
        <f t="shared" si="38"/>
        <v/>
      </c>
      <c r="CK116" t="str">
        <f t="shared" si="39"/>
        <v/>
      </c>
      <c r="CL116" t="str">
        <f>""</f>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IF(CAPTURA!BT117="","",MIN(100,ROUND((LEN(CAPTURA!BT117)-LEN(SUBSTITUTE(CAPTURA!BT117,";",""))+1)/7*100,1)))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IF(CAPTURA!CL117="","",MIN(100,ROUND((LEN(CAPTURA!CL117)-LEN(SUBSTITUTE(CAPTURA!CL117,";",""))+1)/8*100,1)))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IF(CAPTURA!CY117="","",IF(ISNUMBER(SEARCH("Ninguno",CAPTURA!CY117)),0,MIN(100,ROUND((LEN(CAPTURA!CY117)-LEN(SUBSTITUTE(CAPTURA!CY117,";",""))+1)/6*100,1))))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30"/>
        <v/>
      </c>
      <c r="CC117" t="str">
        <f t="shared" si="31"/>
        <v/>
      </c>
      <c r="CD117" t="str">
        <f t="shared" si="32"/>
        <v/>
      </c>
      <c r="CE117" t="str">
        <f t="shared" si="33"/>
        <v/>
      </c>
      <c r="CF117" t="str">
        <f t="shared" si="34"/>
        <v/>
      </c>
      <c r="CG117" t="str">
        <f t="shared" si="35"/>
        <v/>
      </c>
      <c r="CH117" t="str">
        <f t="shared" si="36"/>
        <v/>
      </c>
      <c r="CI117" t="str">
        <f t="shared" si="37"/>
        <v/>
      </c>
      <c r="CJ117" t="str">
        <f t="shared" si="38"/>
        <v/>
      </c>
      <c r="CK117" t="str">
        <f t="shared" si="39"/>
        <v/>
      </c>
      <c r="CL117" t="str">
        <f>""</f>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IF(CAPTURA!BT118="","",MIN(100,ROUND((LEN(CAPTURA!BT118)-LEN(SUBSTITUTE(CAPTURA!BT118,";",""))+1)/7*100,1)))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IF(CAPTURA!CL118="","",MIN(100,ROUND((LEN(CAPTURA!CL118)-LEN(SUBSTITUTE(CAPTURA!CL118,";",""))+1)/8*100,1)))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IF(CAPTURA!CY118="","",IF(ISNUMBER(SEARCH("Ninguno",CAPTURA!CY118)),0,MIN(100,ROUND((LEN(CAPTURA!CY118)-LEN(SUBSTITUTE(CAPTURA!CY118,";",""))+1)/6*100,1))))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30"/>
        <v/>
      </c>
      <c r="CC118" t="str">
        <f t="shared" si="31"/>
        <v/>
      </c>
      <c r="CD118" t="str">
        <f t="shared" si="32"/>
        <v/>
      </c>
      <c r="CE118" t="str">
        <f t="shared" si="33"/>
        <v/>
      </c>
      <c r="CF118" t="str">
        <f t="shared" si="34"/>
        <v/>
      </c>
      <c r="CG118" t="str">
        <f t="shared" si="35"/>
        <v/>
      </c>
      <c r="CH118" t="str">
        <f t="shared" si="36"/>
        <v/>
      </c>
      <c r="CI118" t="str">
        <f t="shared" si="37"/>
        <v/>
      </c>
      <c r="CJ118" t="str">
        <f t="shared" si="38"/>
        <v/>
      </c>
      <c r="CK118" t="str">
        <f t="shared" si="39"/>
        <v/>
      </c>
      <c r="CL118" t="str">
        <f>""</f>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IF(CAPTURA!BT119="","",MIN(100,ROUND((LEN(CAPTURA!BT119)-LEN(SUBSTITUTE(CAPTURA!BT119,";",""))+1)/7*100,1)))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IF(CAPTURA!CL119="","",MIN(100,ROUND((LEN(CAPTURA!CL119)-LEN(SUBSTITUTE(CAPTURA!CL119,";",""))+1)/8*100,1)))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IF(CAPTURA!CY119="","",IF(ISNUMBER(SEARCH("Ninguno",CAPTURA!CY119)),0,MIN(100,ROUND((LEN(CAPTURA!CY119)-LEN(SUBSTITUTE(CAPTURA!CY119,";",""))+1)/6*100,1))))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30"/>
        <v/>
      </c>
      <c r="CC119" t="str">
        <f t="shared" si="31"/>
        <v/>
      </c>
      <c r="CD119" t="str">
        <f t="shared" si="32"/>
        <v/>
      </c>
      <c r="CE119" t="str">
        <f t="shared" si="33"/>
        <v/>
      </c>
      <c r="CF119" t="str">
        <f t="shared" si="34"/>
        <v/>
      </c>
      <c r="CG119" t="str">
        <f t="shared" si="35"/>
        <v/>
      </c>
      <c r="CH119" t="str">
        <f t="shared" si="36"/>
        <v/>
      </c>
      <c r="CI119" t="str">
        <f t="shared" si="37"/>
        <v/>
      </c>
      <c r="CJ119" t="str">
        <f t="shared" si="38"/>
        <v/>
      </c>
      <c r="CK119" t="str">
        <f t="shared" si="39"/>
        <v/>
      </c>
      <c r="CL119" t="str">
        <f>""</f>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IF(CAPTURA!BT120="","",MIN(100,ROUND((LEN(CAPTURA!BT120)-LEN(SUBSTITUTE(CAPTURA!BT120,";",""))+1)/7*100,1)))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IF(CAPTURA!CL120="","",MIN(100,ROUND((LEN(CAPTURA!CL120)-LEN(SUBSTITUTE(CAPTURA!CL120,";",""))+1)/8*100,1)))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IF(CAPTURA!CY120="","",IF(ISNUMBER(SEARCH("Ninguno",CAPTURA!CY120)),0,MIN(100,ROUND((LEN(CAPTURA!CY120)-LEN(SUBSTITUTE(CAPTURA!CY120,";",""))+1)/6*100,1))))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30"/>
        <v/>
      </c>
      <c r="CC120" t="str">
        <f t="shared" si="31"/>
        <v/>
      </c>
      <c r="CD120" t="str">
        <f t="shared" si="32"/>
        <v/>
      </c>
      <c r="CE120" t="str">
        <f t="shared" si="33"/>
        <v/>
      </c>
      <c r="CF120" t="str">
        <f t="shared" si="34"/>
        <v/>
      </c>
      <c r="CG120" t="str">
        <f t="shared" si="35"/>
        <v/>
      </c>
      <c r="CH120" t="str">
        <f t="shared" si="36"/>
        <v/>
      </c>
      <c r="CI120" t="str">
        <f t="shared" si="37"/>
        <v/>
      </c>
      <c r="CJ120" t="str">
        <f t="shared" si="38"/>
        <v/>
      </c>
      <c r="CK120" t="str">
        <f t="shared" si="39"/>
        <v/>
      </c>
      <c r="CL120" t="str">
        <f>""</f>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IF(CAPTURA!BT121="","",MIN(100,ROUND((LEN(CAPTURA!BT121)-LEN(SUBSTITUTE(CAPTURA!BT121,";",""))+1)/7*100,1)))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IF(CAPTURA!CL121="","",MIN(100,ROUND((LEN(CAPTURA!CL121)-LEN(SUBSTITUTE(CAPTURA!CL121,";",""))+1)/8*100,1)))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IF(CAPTURA!CY121="","",IF(ISNUMBER(SEARCH("Ninguno",CAPTURA!CY121)),0,MIN(100,ROUND((LEN(CAPTURA!CY121)-LEN(SUBSTITUTE(CAPTURA!CY121,";",""))+1)/6*100,1))))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30"/>
        <v/>
      </c>
      <c r="CC121" t="str">
        <f t="shared" si="31"/>
        <v/>
      </c>
      <c r="CD121" t="str">
        <f t="shared" si="32"/>
        <v/>
      </c>
      <c r="CE121" t="str">
        <f t="shared" si="33"/>
        <v/>
      </c>
      <c r="CF121" t="str">
        <f t="shared" si="34"/>
        <v/>
      </c>
      <c r="CG121" t="str">
        <f t="shared" si="35"/>
        <v/>
      </c>
      <c r="CH121" t="str">
        <f t="shared" si="36"/>
        <v/>
      </c>
      <c r="CI121" t="str">
        <f t="shared" si="37"/>
        <v/>
      </c>
      <c r="CJ121" t="str">
        <f t="shared" si="38"/>
        <v/>
      </c>
      <c r="CK121" t="str">
        <f t="shared" si="39"/>
        <v/>
      </c>
      <c r="CL121" t="str">
        <f>""</f>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IF(CAPTURA!BT122="","",MIN(100,ROUND((LEN(CAPTURA!BT122)-LEN(SUBSTITUTE(CAPTURA!BT122,";",""))+1)/7*100,1)))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IF(CAPTURA!CL122="","",MIN(100,ROUND((LEN(CAPTURA!CL122)-LEN(SUBSTITUTE(CAPTURA!CL122,";",""))+1)/8*100,1)))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IF(CAPTURA!CY122="","",IF(ISNUMBER(SEARCH("Ninguno",CAPTURA!CY122)),0,MIN(100,ROUND((LEN(CAPTURA!CY122)-LEN(SUBSTITUTE(CAPTURA!CY122,";",""))+1)/6*100,1))))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30"/>
        <v/>
      </c>
      <c r="CC122" t="str">
        <f t="shared" si="31"/>
        <v/>
      </c>
      <c r="CD122" t="str">
        <f t="shared" si="32"/>
        <v/>
      </c>
      <c r="CE122" t="str">
        <f t="shared" si="33"/>
        <v/>
      </c>
      <c r="CF122" t="str">
        <f t="shared" si="34"/>
        <v/>
      </c>
      <c r="CG122" t="str">
        <f t="shared" si="35"/>
        <v/>
      </c>
      <c r="CH122" t="str">
        <f t="shared" si="36"/>
        <v/>
      </c>
      <c r="CI122" t="str">
        <f t="shared" si="37"/>
        <v/>
      </c>
      <c r="CJ122" t="str">
        <f t="shared" si="38"/>
        <v/>
      </c>
      <c r="CK122" t="str">
        <f t="shared" si="39"/>
        <v/>
      </c>
      <c r="CL122" t="str">
        <f>""</f>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IF(CAPTURA!BT123="","",MIN(100,ROUND((LEN(CAPTURA!BT123)-LEN(SUBSTITUTE(CAPTURA!BT123,";",""))+1)/7*100,1)))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IF(CAPTURA!CL123="","",MIN(100,ROUND((LEN(CAPTURA!CL123)-LEN(SUBSTITUTE(CAPTURA!CL123,";",""))+1)/8*100,1)))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IF(CAPTURA!CY123="","",IF(ISNUMBER(SEARCH("Ninguno",CAPTURA!CY123)),0,MIN(100,ROUND((LEN(CAPTURA!CY123)-LEN(SUBSTITUTE(CAPTURA!CY123,";",""))+1)/6*100,1))))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30"/>
        <v/>
      </c>
      <c r="CC123" t="str">
        <f t="shared" si="31"/>
        <v/>
      </c>
      <c r="CD123" t="str">
        <f t="shared" si="32"/>
        <v/>
      </c>
      <c r="CE123" t="str">
        <f t="shared" si="33"/>
        <v/>
      </c>
      <c r="CF123" t="str">
        <f t="shared" si="34"/>
        <v/>
      </c>
      <c r="CG123" t="str">
        <f t="shared" si="35"/>
        <v/>
      </c>
      <c r="CH123" t="str">
        <f t="shared" si="36"/>
        <v/>
      </c>
      <c r="CI123" t="str">
        <f t="shared" si="37"/>
        <v/>
      </c>
      <c r="CJ123" t="str">
        <f t="shared" si="38"/>
        <v/>
      </c>
      <c r="CK123" t="str">
        <f t="shared" si="39"/>
        <v/>
      </c>
      <c r="CL123" t="str">
        <f>""</f>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IF(CAPTURA!BT124="","",MIN(100,ROUND((LEN(CAPTURA!BT124)-LEN(SUBSTITUTE(CAPTURA!BT124,";",""))+1)/7*100,1)))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IF(CAPTURA!CL124="","",MIN(100,ROUND((LEN(CAPTURA!CL124)-LEN(SUBSTITUTE(CAPTURA!CL124,";",""))+1)/8*100,1)))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IF(CAPTURA!CY124="","",IF(ISNUMBER(SEARCH("Ninguno",CAPTURA!CY124)),0,MIN(100,ROUND((LEN(CAPTURA!CY124)-LEN(SUBSTITUTE(CAPTURA!CY124,";",""))+1)/6*100,1))))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30"/>
        <v/>
      </c>
      <c r="CC124" t="str">
        <f t="shared" si="31"/>
        <v/>
      </c>
      <c r="CD124" t="str">
        <f t="shared" si="32"/>
        <v/>
      </c>
      <c r="CE124" t="str">
        <f t="shared" si="33"/>
        <v/>
      </c>
      <c r="CF124" t="str">
        <f t="shared" si="34"/>
        <v/>
      </c>
      <c r="CG124" t="str">
        <f t="shared" si="35"/>
        <v/>
      </c>
      <c r="CH124" t="str">
        <f t="shared" si="36"/>
        <v/>
      </c>
      <c r="CI124" t="str">
        <f t="shared" si="37"/>
        <v/>
      </c>
      <c r="CJ124" t="str">
        <f t="shared" si="38"/>
        <v/>
      </c>
      <c r="CK124" t="str">
        <f t="shared" si="39"/>
        <v/>
      </c>
      <c r="CL124" t="str">
        <f>""</f>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IF(CAPTURA!BT125="","",MIN(100,ROUND((LEN(CAPTURA!BT125)-LEN(SUBSTITUTE(CAPTURA!BT125,";",""))+1)/7*100,1)))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IF(CAPTURA!CL125="","",MIN(100,ROUND((LEN(CAPTURA!CL125)-LEN(SUBSTITUTE(CAPTURA!CL125,";",""))+1)/8*100,1)))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IF(CAPTURA!CY125="","",IF(ISNUMBER(SEARCH("Ninguno",CAPTURA!CY125)),0,MIN(100,ROUND((LEN(CAPTURA!CY125)-LEN(SUBSTITUTE(CAPTURA!CY125,";",""))+1)/6*100,1))))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30"/>
        <v/>
      </c>
      <c r="CC125" t="str">
        <f t="shared" si="31"/>
        <v/>
      </c>
      <c r="CD125" t="str">
        <f t="shared" si="32"/>
        <v/>
      </c>
      <c r="CE125" t="str">
        <f t="shared" si="33"/>
        <v/>
      </c>
      <c r="CF125" t="str">
        <f t="shared" si="34"/>
        <v/>
      </c>
      <c r="CG125" t="str">
        <f t="shared" si="35"/>
        <v/>
      </c>
      <c r="CH125" t="str">
        <f t="shared" si="36"/>
        <v/>
      </c>
      <c r="CI125" t="str">
        <f t="shared" si="37"/>
        <v/>
      </c>
      <c r="CJ125" t="str">
        <f t="shared" si="38"/>
        <v/>
      </c>
      <c r="CK125" t="str">
        <f t="shared" si="39"/>
        <v/>
      </c>
      <c r="CL125" t="str">
        <f>""</f>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IF(CAPTURA!BT126="","",MIN(100,ROUND((LEN(CAPTURA!BT126)-LEN(SUBSTITUTE(CAPTURA!BT126,";",""))+1)/7*100,1)))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IF(CAPTURA!CL126="","",MIN(100,ROUND((LEN(CAPTURA!CL126)-LEN(SUBSTITUTE(CAPTURA!CL126,";",""))+1)/8*100,1)))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IF(CAPTURA!CY126="","",IF(ISNUMBER(SEARCH("Ninguno",CAPTURA!CY126)),0,MIN(100,ROUND((LEN(CAPTURA!CY126)-LEN(SUBSTITUTE(CAPTURA!CY126,";",""))+1)/6*100,1))))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30"/>
        <v/>
      </c>
      <c r="CC126" t="str">
        <f t="shared" si="31"/>
        <v/>
      </c>
      <c r="CD126" t="str">
        <f t="shared" si="32"/>
        <v/>
      </c>
      <c r="CE126" t="str">
        <f t="shared" si="33"/>
        <v/>
      </c>
      <c r="CF126" t="str">
        <f t="shared" si="34"/>
        <v/>
      </c>
      <c r="CG126" t="str">
        <f t="shared" si="35"/>
        <v/>
      </c>
      <c r="CH126" t="str">
        <f t="shared" si="36"/>
        <v/>
      </c>
      <c r="CI126" t="str">
        <f t="shared" si="37"/>
        <v/>
      </c>
      <c r="CJ126" t="str">
        <f t="shared" si="38"/>
        <v/>
      </c>
      <c r="CK126" t="str">
        <f t="shared" si="39"/>
        <v/>
      </c>
      <c r="CL126" t="str">
        <f>""</f>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IF(CAPTURA!BT127="","",MIN(100,ROUND((LEN(CAPTURA!BT127)-LEN(SUBSTITUTE(CAPTURA!BT127,";",""))+1)/7*100,1)))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IF(CAPTURA!CL127="","",MIN(100,ROUND((LEN(CAPTURA!CL127)-LEN(SUBSTITUTE(CAPTURA!CL127,";",""))+1)/8*100,1)))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IF(CAPTURA!CY127="","",IF(ISNUMBER(SEARCH("Ninguno",CAPTURA!CY127)),0,MIN(100,ROUND((LEN(CAPTURA!CY127)-LEN(SUBSTITUTE(CAPTURA!CY127,";",""))+1)/6*100,1))))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30"/>
        <v/>
      </c>
      <c r="CC127" t="str">
        <f t="shared" si="31"/>
        <v/>
      </c>
      <c r="CD127" t="str">
        <f t="shared" si="32"/>
        <v/>
      </c>
      <c r="CE127" t="str">
        <f t="shared" si="33"/>
        <v/>
      </c>
      <c r="CF127" t="str">
        <f t="shared" si="34"/>
        <v/>
      </c>
      <c r="CG127" t="str">
        <f t="shared" si="35"/>
        <v/>
      </c>
      <c r="CH127" t="str">
        <f t="shared" si="36"/>
        <v/>
      </c>
      <c r="CI127" t="str">
        <f t="shared" si="37"/>
        <v/>
      </c>
      <c r="CJ127" t="str">
        <f t="shared" si="38"/>
        <v/>
      </c>
      <c r="CK127" t="str">
        <f t="shared" si="39"/>
        <v/>
      </c>
      <c r="CL127" t="str">
        <f>""</f>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IF(CAPTURA!BT128="","",MIN(100,ROUND((LEN(CAPTURA!BT128)-LEN(SUBSTITUTE(CAPTURA!BT128,";",""))+1)/7*100,1)))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IF(CAPTURA!CL128="","",MIN(100,ROUND((LEN(CAPTURA!CL128)-LEN(SUBSTITUTE(CAPTURA!CL128,";",""))+1)/8*100,1)))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IF(CAPTURA!CY128="","",IF(ISNUMBER(SEARCH("Ninguno",CAPTURA!CY128)),0,MIN(100,ROUND((LEN(CAPTURA!CY128)-LEN(SUBSTITUTE(CAPTURA!CY128,";",""))+1)/6*100,1))))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30"/>
        <v/>
      </c>
      <c r="CC128" t="str">
        <f t="shared" si="31"/>
        <v/>
      </c>
      <c r="CD128" t="str">
        <f t="shared" si="32"/>
        <v/>
      </c>
      <c r="CE128" t="str">
        <f t="shared" si="33"/>
        <v/>
      </c>
      <c r="CF128" t="str">
        <f t="shared" si="34"/>
        <v/>
      </c>
      <c r="CG128" t="str">
        <f t="shared" si="35"/>
        <v/>
      </c>
      <c r="CH128" t="str">
        <f t="shared" si="36"/>
        <v/>
      </c>
      <c r="CI128" t="str">
        <f t="shared" si="37"/>
        <v/>
      </c>
      <c r="CJ128" t="str">
        <f t="shared" si="38"/>
        <v/>
      </c>
      <c r="CK128" t="str">
        <f t="shared" si="39"/>
        <v/>
      </c>
      <c r="CL128" t="str">
        <f>""</f>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IF(CAPTURA!BT129="","",MIN(100,ROUND((LEN(CAPTURA!BT129)-LEN(SUBSTITUTE(CAPTURA!BT129,";",""))+1)/7*100,1)))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IF(CAPTURA!CL129="","",MIN(100,ROUND((LEN(CAPTURA!CL129)-LEN(SUBSTITUTE(CAPTURA!CL129,";",""))+1)/8*100,1)))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IF(CAPTURA!CY129="","",IF(ISNUMBER(SEARCH("Ninguno",CAPTURA!CY129)),0,MIN(100,ROUND((LEN(CAPTURA!CY129)-LEN(SUBSTITUTE(CAPTURA!CY129,";",""))+1)/6*100,1))))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30"/>
        <v/>
      </c>
      <c r="CC129" t="str">
        <f t="shared" si="31"/>
        <v/>
      </c>
      <c r="CD129" t="str">
        <f t="shared" si="32"/>
        <v/>
      </c>
      <c r="CE129" t="str">
        <f t="shared" si="33"/>
        <v/>
      </c>
      <c r="CF129" t="str">
        <f t="shared" si="34"/>
        <v/>
      </c>
      <c r="CG129" t="str">
        <f t="shared" si="35"/>
        <v/>
      </c>
      <c r="CH129" t="str">
        <f t="shared" si="36"/>
        <v/>
      </c>
      <c r="CI129" t="str">
        <f t="shared" si="37"/>
        <v/>
      </c>
      <c r="CJ129" t="str">
        <f t="shared" si="38"/>
        <v/>
      </c>
      <c r="CK129" t="str">
        <f t="shared" si="39"/>
        <v/>
      </c>
      <c r="CL129" t="str">
        <f>""</f>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IF(CAPTURA!BT130="","",MIN(100,ROUND((LEN(CAPTURA!BT130)-LEN(SUBSTITUTE(CAPTURA!BT130,";",""))+1)/7*100,1)))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IF(CAPTURA!CL130="","",MIN(100,ROUND((LEN(CAPTURA!CL130)-LEN(SUBSTITUTE(CAPTURA!CL130,";",""))+1)/8*100,1)))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IF(CAPTURA!CY130="","",IF(ISNUMBER(SEARCH("Ninguno",CAPTURA!CY130)),0,MIN(100,ROUND((LEN(CAPTURA!CY130)-LEN(SUBSTITUTE(CAPTURA!CY130,";",""))+1)/6*100,1))))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30"/>
        <v/>
      </c>
      <c r="CC130" t="str">
        <f t="shared" si="31"/>
        <v/>
      </c>
      <c r="CD130" t="str">
        <f t="shared" si="32"/>
        <v/>
      </c>
      <c r="CE130" t="str">
        <f t="shared" si="33"/>
        <v/>
      </c>
      <c r="CF130" t="str">
        <f t="shared" si="34"/>
        <v/>
      </c>
      <c r="CG130" t="str">
        <f t="shared" si="35"/>
        <v/>
      </c>
      <c r="CH130" t="str">
        <f t="shared" si="36"/>
        <v/>
      </c>
      <c r="CI130" t="str">
        <f t="shared" si="37"/>
        <v/>
      </c>
      <c r="CJ130" t="str">
        <f t="shared" si="38"/>
        <v/>
      </c>
      <c r="CK130" t="str">
        <f t="shared" si="39"/>
        <v/>
      </c>
      <c r="CL130" t="str">
        <f>""</f>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IF(CAPTURA!BT131="","",MIN(100,ROUND((LEN(CAPTURA!BT131)-LEN(SUBSTITUTE(CAPTURA!BT131,";",""))+1)/7*100,1)))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IF(CAPTURA!CL131="","",MIN(100,ROUND((LEN(CAPTURA!CL131)-LEN(SUBSTITUTE(CAPTURA!CL131,";",""))+1)/8*100,1)))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IF(CAPTURA!CY131="","",IF(ISNUMBER(SEARCH("Ninguno",CAPTURA!CY131)),0,MIN(100,ROUND((LEN(CAPTURA!CY131)-LEN(SUBSTITUTE(CAPTURA!CY131,";",""))+1)/6*100,1))))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40">IFERROR(AVERAGE(H131,I131,J131,K131),"")</f>
        <v/>
      </c>
      <c r="CC131" t="str">
        <f t="shared" ref="CC131:CC162" si="41">IFERROR(AVERAGE(L131,M131,N131,O131,P131,R131),"")</f>
        <v/>
      </c>
      <c r="CD131" t="str">
        <f t="shared" ref="CD131:CD162" si="42">IFERROR(AVERAGE(T131,U131,V131,W131,X131,Y131,Z131,AA131,AB131,AC131,AE131),"")</f>
        <v/>
      </c>
      <c r="CE131" t="str">
        <f t="shared" ref="CE131:CE162" si="43">IFERROR(AVERAGE(AG131,AH131,AI131),"")</f>
        <v/>
      </c>
      <c r="CF131" t="str">
        <f t="shared" ref="CF131:CF162" si="44">IFERROR(AVERAGE(AK131,AL131,AM131,AN131,AP131,AQ131,AR131,AS131),"")</f>
        <v/>
      </c>
      <c r="CG131" t="str">
        <f t="shared" ref="CG131:CG162" si="45">IFERROR(AVERAGE(AT131,AU131,AV131,BB131,AW131,AX131,AY131,AZ131,BA131),"")</f>
        <v/>
      </c>
      <c r="CH131" t="str">
        <f t="shared" ref="CH131:CH162" si="46">IFERROR(AVERAGE(BC131,BH131,BI131,BD131,BF131),"")</f>
        <v/>
      </c>
      <c r="CI131" t="str">
        <f t="shared" ref="CI131:CI162" si="47">IFERROR(AVERAGE(BJ131,BK131,BL131,BM131),"")</f>
        <v/>
      </c>
      <c r="CJ131" t="str">
        <f t="shared" ref="CJ131:CJ162" si="48">IFERROR(AVERAGE(BN131,BO131,BP131),"")</f>
        <v/>
      </c>
      <c r="CK131" t="str">
        <f t="shared" ref="CK131:CK162" si="49">IFERROR(AVERAGE(BS131),"")</f>
        <v/>
      </c>
      <c r="CL131" t="str">
        <f>""</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IF(CAPTURA!BT132="","",MIN(100,ROUND((LEN(CAPTURA!BT132)-LEN(SUBSTITUTE(CAPTURA!BT132,";",""))+1)/7*100,1)))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IF(CAPTURA!CL132="","",MIN(100,ROUND((LEN(CAPTURA!CL132)-LEN(SUBSTITUTE(CAPTURA!CL132,";",""))+1)/8*100,1)))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IF(CAPTURA!CY132="","",IF(ISNUMBER(SEARCH("Ninguno",CAPTURA!CY132)),0,MIN(100,ROUND((LEN(CAPTURA!CY132)-LEN(SUBSTITUTE(CAPTURA!CY132,";",""))+1)/6*100,1))))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40"/>
        <v/>
      </c>
      <c r="CC132" t="str">
        <f t="shared" si="41"/>
        <v/>
      </c>
      <c r="CD132" t="str">
        <f t="shared" si="42"/>
        <v/>
      </c>
      <c r="CE132" t="str">
        <f t="shared" si="43"/>
        <v/>
      </c>
      <c r="CF132" t="str">
        <f t="shared" si="44"/>
        <v/>
      </c>
      <c r="CG132" t="str">
        <f t="shared" si="45"/>
        <v/>
      </c>
      <c r="CH132" t="str">
        <f t="shared" si="46"/>
        <v/>
      </c>
      <c r="CI132" t="str">
        <f t="shared" si="47"/>
        <v/>
      </c>
      <c r="CJ132" t="str">
        <f t="shared" si="48"/>
        <v/>
      </c>
      <c r="CK132" t="str">
        <f t="shared" si="49"/>
        <v/>
      </c>
      <c r="CL132" t="str">
        <f>""</f>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IF(CAPTURA!BT133="","",MIN(100,ROUND((LEN(CAPTURA!BT133)-LEN(SUBSTITUTE(CAPTURA!BT133,";",""))+1)/7*100,1)))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IF(CAPTURA!CL133="","",MIN(100,ROUND((LEN(CAPTURA!CL133)-LEN(SUBSTITUTE(CAPTURA!CL133,";",""))+1)/8*100,1)))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IF(CAPTURA!CY133="","",IF(ISNUMBER(SEARCH("Ninguno",CAPTURA!CY133)),0,MIN(100,ROUND((LEN(CAPTURA!CY133)-LEN(SUBSTITUTE(CAPTURA!CY133,";",""))+1)/6*100,1))))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40"/>
        <v/>
      </c>
      <c r="CC133" t="str">
        <f t="shared" si="41"/>
        <v/>
      </c>
      <c r="CD133" t="str">
        <f t="shared" si="42"/>
        <v/>
      </c>
      <c r="CE133" t="str">
        <f t="shared" si="43"/>
        <v/>
      </c>
      <c r="CF133" t="str">
        <f t="shared" si="44"/>
        <v/>
      </c>
      <c r="CG133" t="str">
        <f t="shared" si="45"/>
        <v/>
      </c>
      <c r="CH133" t="str">
        <f t="shared" si="46"/>
        <v/>
      </c>
      <c r="CI133" t="str">
        <f t="shared" si="47"/>
        <v/>
      </c>
      <c r="CJ133" t="str">
        <f t="shared" si="48"/>
        <v/>
      </c>
      <c r="CK133" t="str">
        <f t="shared" si="49"/>
        <v/>
      </c>
      <c r="CL133" t="str">
        <f>""</f>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IF(CAPTURA!BT134="","",MIN(100,ROUND((LEN(CAPTURA!BT134)-LEN(SUBSTITUTE(CAPTURA!BT134,";",""))+1)/7*100,1)))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IF(CAPTURA!CL134="","",MIN(100,ROUND((LEN(CAPTURA!CL134)-LEN(SUBSTITUTE(CAPTURA!CL134,";",""))+1)/8*100,1)))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IF(CAPTURA!CY134="","",IF(ISNUMBER(SEARCH("Ninguno",CAPTURA!CY134)),0,MIN(100,ROUND((LEN(CAPTURA!CY134)-LEN(SUBSTITUTE(CAPTURA!CY134,";",""))+1)/6*100,1))))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40"/>
        <v/>
      </c>
      <c r="CC134" t="str">
        <f t="shared" si="41"/>
        <v/>
      </c>
      <c r="CD134" t="str">
        <f t="shared" si="42"/>
        <v/>
      </c>
      <c r="CE134" t="str">
        <f t="shared" si="43"/>
        <v/>
      </c>
      <c r="CF134" t="str">
        <f t="shared" si="44"/>
        <v/>
      </c>
      <c r="CG134" t="str">
        <f t="shared" si="45"/>
        <v/>
      </c>
      <c r="CH134" t="str">
        <f t="shared" si="46"/>
        <v/>
      </c>
      <c r="CI134" t="str">
        <f t="shared" si="47"/>
        <v/>
      </c>
      <c r="CJ134" t="str">
        <f t="shared" si="48"/>
        <v/>
      </c>
      <c r="CK134" t="str">
        <f t="shared" si="49"/>
        <v/>
      </c>
      <c r="CL134" t="str">
        <f>""</f>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IF(CAPTURA!BT135="","",MIN(100,ROUND((LEN(CAPTURA!BT135)-LEN(SUBSTITUTE(CAPTURA!BT135,";",""))+1)/7*100,1)))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IF(CAPTURA!CL135="","",MIN(100,ROUND((LEN(CAPTURA!CL135)-LEN(SUBSTITUTE(CAPTURA!CL135,";",""))+1)/8*100,1)))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IF(CAPTURA!CY135="","",IF(ISNUMBER(SEARCH("Ninguno",CAPTURA!CY135)),0,MIN(100,ROUND((LEN(CAPTURA!CY135)-LEN(SUBSTITUTE(CAPTURA!CY135,";",""))+1)/6*100,1))))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40"/>
        <v/>
      </c>
      <c r="CC135" t="str">
        <f t="shared" si="41"/>
        <v/>
      </c>
      <c r="CD135" t="str">
        <f t="shared" si="42"/>
        <v/>
      </c>
      <c r="CE135" t="str">
        <f t="shared" si="43"/>
        <v/>
      </c>
      <c r="CF135" t="str">
        <f t="shared" si="44"/>
        <v/>
      </c>
      <c r="CG135" t="str">
        <f t="shared" si="45"/>
        <v/>
      </c>
      <c r="CH135" t="str">
        <f t="shared" si="46"/>
        <v/>
      </c>
      <c r="CI135" t="str">
        <f t="shared" si="47"/>
        <v/>
      </c>
      <c r="CJ135" t="str">
        <f t="shared" si="48"/>
        <v/>
      </c>
      <c r="CK135" t="str">
        <f t="shared" si="49"/>
        <v/>
      </c>
      <c r="CL135" t="str">
        <f>""</f>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IF(CAPTURA!BT136="","",MIN(100,ROUND((LEN(CAPTURA!BT136)-LEN(SUBSTITUTE(CAPTURA!BT136,";",""))+1)/7*100,1)))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IF(CAPTURA!CL136="","",MIN(100,ROUND((LEN(CAPTURA!CL136)-LEN(SUBSTITUTE(CAPTURA!CL136,";",""))+1)/8*100,1)))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IF(CAPTURA!CY136="","",IF(ISNUMBER(SEARCH("Ninguno",CAPTURA!CY136)),0,MIN(100,ROUND((LEN(CAPTURA!CY136)-LEN(SUBSTITUTE(CAPTURA!CY136,";",""))+1)/6*100,1))))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40"/>
        <v/>
      </c>
      <c r="CC136" t="str">
        <f t="shared" si="41"/>
        <v/>
      </c>
      <c r="CD136" t="str">
        <f t="shared" si="42"/>
        <v/>
      </c>
      <c r="CE136" t="str">
        <f t="shared" si="43"/>
        <v/>
      </c>
      <c r="CF136" t="str">
        <f t="shared" si="44"/>
        <v/>
      </c>
      <c r="CG136" t="str">
        <f t="shared" si="45"/>
        <v/>
      </c>
      <c r="CH136" t="str">
        <f t="shared" si="46"/>
        <v/>
      </c>
      <c r="CI136" t="str">
        <f t="shared" si="47"/>
        <v/>
      </c>
      <c r="CJ136" t="str">
        <f t="shared" si="48"/>
        <v/>
      </c>
      <c r="CK136" t="str">
        <f t="shared" si="49"/>
        <v/>
      </c>
      <c r="CL136" t="str">
        <f>""</f>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IF(CAPTURA!BT137="","",MIN(100,ROUND((LEN(CAPTURA!BT137)-LEN(SUBSTITUTE(CAPTURA!BT137,";",""))+1)/7*100,1)))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IF(CAPTURA!CL137="","",MIN(100,ROUND((LEN(CAPTURA!CL137)-LEN(SUBSTITUTE(CAPTURA!CL137,";",""))+1)/8*100,1)))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IF(CAPTURA!CY137="","",IF(ISNUMBER(SEARCH("Ninguno",CAPTURA!CY137)),0,MIN(100,ROUND((LEN(CAPTURA!CY137)-LEN(SUBSTITUTE(CAPTURA!CY137,";",""))+1)/6*100,1))))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40"/>
        <v/>
      </c>
      <c r="CC137" t="str">
        <f t="shared" si="41"/>
        <v/>
      </c>
      <c r="CD137" t="str">
        <f t="shared" si="42"/>
        <v/>
      </c>
      <c r="CE137" t="str">
        <f t="shared" si="43"/>
        <v/>
      </c>
      <c r="CF137" t="str">
        <f t="shared" si="44"/>
        <v/>
      </c>
      <c r="CG137" t="str">
        <f t="shared" si="45"/>
        <v/>
      </c>
      <c r="CH137" t="str">
        <f t="shared" si="46"/>
        <v/>
      </c>
      <c r="CI137" t="str">
        <f t="shared" si="47"/>
        <v/>
      </c>
      <c r="CJ137" t="str">
        <f t="shared" si="48"/>
        <v/>
      </c>
      <c r="CK137" t="str">
        <f t="shared" si="49"/>
        <v/>
      </c>
      <c r="CL137" t="str">
        <f>""</f>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IF(CAPTURA!BT138="","",MIN(100,ROUND((LEN(CAPTURA!BT138)-LEN(SUBSTITUTE(CAPTURA!BT138,";",""))+1)/7*100,1)))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IF(CAPTURA!CL138="","",MIN(100,ROUND((LEN(CAPTURA!CL138)-LEN(SUBSTITUTE(CAPTURA!CL138,";",""))+1)/8*100,1)))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IF(CAPTURA!CY138="","",IF(ISNUMBER(SEARCH("Ninguno",CAPTURA!CY138)),0,MIN(100,ROUND((LEN(CAPTURA!CY138)-LEN(SUBSTITUTE(CAPTURA!CY138,";",""))+1)/6*100,1))))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40"/>
        <v/>
      </c>
      <c r="CC138" t="str">
        <f t="shared" si="41"/>
        <v/>
      </c>
      <c r="CD138" t="str">
        <f t="shared" si="42"/>
        <v/>
      </c>
      <c r="CE138" t="str">
        <f t="shared" si="43"/>
        <v/>
      </c>
      <c r="CF138" t="str">
        <f t="shared" si="44"/>
        <v/>
      </c>
      <c r="CG138" t="str">
        <f t="shared" si="45"/>
        <v/>
      </c>
      <c r="CH138" t="str">
        <f t="shared" si="46"/>
        <v/>
      </c>
      <c r="CI138" t="str">
        <f t="shared" si="47"/>
        <v/>
      </c>
      <c r="CJ138" t="str">
        <f t="shared" si="48"/>
        <v/>
      </c>
      <c r="CK138" t="str">
        <f t="shared" si="49"/>
        <v/>
      </c>
      <c r="CL138" t="str">
        <f>""</f>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IF(CAPTURA!BT139="","",MIN(100,ROUND((LEN(CAPTURA!BT139)-LEN(SUBSTITUTE(CAPTURA!BT139,";",""))+1)/7*100,1)))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IF(CAPTURA!CL139="","",MIN(100,ROUND((LEN(CAPTURA!CL139)-LEN(SUBSTITUTE(CAPTURA!CL139,";",""))+1)/8*100,1)))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IF(CAPTURA!CY139="","",IF(ISNUMBER(SEARCH("Ninguno",CAPTURA!CY139)),0,MIN(100,ROUND((LEN(CAPTURA!CY139)-LEN(SUBSTITUTE(CAPTURA!CY139,";",""))+1)/6*100,1))))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40"/>
        <v/>
      </c>
      <c r="CC139" t="str">
        <f t="shared" si="41"/>
        <v/>
      </c>
      <c r="CD139" t="str">
        <f t="shared" si="42"/>
        <v/>
      </c>
      <c r="CE139" t="str">
        <f t="shared" si="43"/>
        <v/>
      </c>
      <c r="CF139" t="str">
        <f t="shared" si="44"/>
        <v/>
      </c>
      <c r="CG139" t="str">
        <f t="shared" si="45"/>
        <v/>
      </c>
      <c r="CH139" t="str">
        <f t="shared" si="46"/>
        <v/>
      </c>
      <c r="CI139" t="str">
        <f t="shared" si="47"/>
        <v/>
      </c>
      <c r="CJ139" t="str">
        <f t="shared" si="48"/>
        <v/>
      </c>
      <c r="CK139" t="str">
        <f t="shared" si="49"/>
        <v/>
      </c>
      <c r="CL139" t="str">
        <f>""</f>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IF(CAPTURA!BT140="","",MIN(100,ROUND((LEN(CAPTURA!BT140)-LEN(SUBSTITUTE(CAPTURA!BT140,";",""))+1)/7*100,1)))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IF(CAPTURA!CL140="","",MIN(100,ROUND((LEN(CAPTURA!CL140)-LEN(SUBSTITUTE(CAPTURA!CL140,";",""))+1)/8*100,1)))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IF(CAPTURA!CY140="","",IF(ISNUMBER(SEARCH("Ninguno",CAPTURA!CY140)),0,MIN(100,ROUND((LEN(CAPTURA!CY140)-LEN(SUBSTITUTE(CAPTURA!CY140,";",""))+1)/6*100,1))))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40"/>
        <v/>
      </c>
      <c r="CC140" t="str">
        <f t="shared" si="41"/>
        <v/>
      </c>
      <c r="CD140" t="str">
        <f t="shared" si="42"/>
        <v/>
      </c>
      <c r="CE140" t="str">
        <f t="shared" si="43"/>
        <v/>
      </c>
      <c r="CF140" t="str">
        <f t="shared" si="44"/>
        <v/>
      </c>
      <c r="CG140" t="str">
        <f t="shared" si="45"/>
        <v/>
      </c>
      <c r="CH140" t="str">
        <f t="shared" si="46"/>
        <v/>
      </c>
      <c r="CI140" t="str">
        <f t="shared" si="47"/>
        <v/>
      </c>
      <c r="CJ140" t="str">
        <f t="shared" si="48"/>
        <v/>
      </c>
      <c r="CK140" t="str">
        <f t="shared" si="49"/>
        <v/>
      </c>
      <c r="CL140" t="str">
        <f>""</f>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IF(CAPTURA!BT141="","",MIN(100,ROUND((LEN(CAPTURA!BT141)-LEN(SUBSTITUTE(CAPTURA!BT141,";",""))+1)/7*100,1)))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IF(CAPTURA!CL141="","",MIN(100,ROUND((LEN(CAPTURA!CL141)-LEN(SUBSTITUTE(CAPTURA!CL141,";",""))+1)/8*100,1)))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IF(CAPTURA!CY141="","",IF(ISNUMBER(SEARCH("Ninguno",CAPTURA!CY141)),0,MIN(100,ROUND((LEN(CAPTURA!CY141)-LEN(SUBSTITUTE(CAPTURA!CY141,";",""))+1)/6*100,1))))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40"/>
        <v/>
      </c>
      <c r="CC141" t="str">
        <f t="shared" si="41"/>
        <v/>
      </c>
      <c r="CD141" t="str">
        <f t="shared" si="42"/>
        <v/>
      </c>
      <c r="CE141" t="str">
        <f t="shared" si="43"/>
        <v/>
      </c>
      <c r="CF141" t="str">
        <f t="shared" si="44"/>
        <v/>
      </c>
      <c r="CG141" t="str">
        <f t="shared" si="45"/>
        <v/>
      </c>
      <c r="CH141" t="str">
        <f t="shared" si="46"/>
        <v/>
      </c>
      <c r="CI141" t="str">
        <f t="shared" si="47"/>
        <v/>
      </c>
      <c r="CJ141" t="str">
        <f t="shared" si="48"/>
        <v/>
      </c>
      <c r="CK141" t="str">
        <f t="shared" si="49"/>
        <v/>
      </c>
      <c r="CL141" t="str">
        <f>""</f>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IF(CAPTURA!BT142="","",MIN(100,ROUND((LEN(CAPTURA!BT142)-LEN(SUBSTITUTE(CAPTURA!BT142,";",""))+1)/7*100,1)))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IF(CAPTURA!CL142="","",MIN(100,ROUND((LEN(CAPTURA!CL142)-LEN(SUBSTITUTE(CAPTURA!CL142,";",""))+1)/8*100,1)))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IF(CAPTURA!CY142="","",IF(ISNUMBER(SEARCH("Ninguno",CAPTURA!CY142)),0,MIN(100,ROUND((LEN(CAPTURA!CY142)-LEN(SUBSTITUTE(CAPTURA!CY142,";",""))+1)/6*100,1))))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40"/>
        <v/>
      </c>
      <c r="CC142" t="str">
        <f t="shared" si="41"/>
        <v/>
      </c>
      <c r="CD142" t="str">
        <f t="shared" si="42"/>
        <v/>
      </c>
      <c r="CE142" t="str">
        <f t="shared" si="43"/>
        <v/>
      </c>
      <c r="CF142" t="str">
        <f t="shared" si="44"/>
        <v/>
      </c>
      <c r="CG142" t="str">
        <f t="shared" si="45"/>
        <v/>
      </c>
      <c r="CH142" t="str">
        <f t="shared" si="46"/>
        <v/>
      </c>
      <c r="CI142" t="str">
        <f t="shared" si="47"/>
        <v/>
      </c>
      <c r="CJ142" t="str">
        <f t="shared" si="48"/>
        <v/>
      </c>
      <c r="CK142" t="str">
        <f t="shared" si="49"/>
        <v/>
      </c>
      <c r="CL142" t="str">
        <f>""</f>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IF(CAPTURA!BT143="","",MIN(100,ROUND((LEN(CAPTURA!BT143)-LEN(SUBSTITUTE(CAPTURA!BT143,";",""))+1)/7*100,1)))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IF(CAPTURA!CL143="","",MIN(100,ROUND((LEN(CAPTURA!CL143)-LEN(SUBSTITUTE(CAPTURA!CL143,";",""))+1)/8*100,1)))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IF(CAPTURA!CY143="","",IF(ISNUMBER(SEARCH("Ninguno",CAPTURA!CY143)),0,MIN(100,ROUND((LEN(CAPTURA!CY143)-LEN(SUBSTITUTE(CAPTURA!CY143,";",""))+1)/6*100,1))))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40"/>
        <v/>
      </c>
      <c r="CC143" t="str">
        <f t="shared" si="41"/>
        <v/>
      </c>
      <c r="CD143" t="str">
        <f t="shared" si="42"/>
        <v/>
      </c>
      <c r="CE143" t="str">
        <f t="shared" si="43"/>
        <v/>
      </c>
      <c r="CF143" t="str">
        <f t="shared" si="44"/>
        <v/>
      </c>
      <c r="CG143" t="str">
        <f t="shared" si="45"/>
        <v/>
      </c>
      <c r="CH143" t="str">
        <f t="shared" si="46"/>
        <v/>
      </c>
      <c r="CI143" t="str">
        <f t="shared" si="47"/>
        <v/>
      </c>
      <c r="CJ143" t="str">
        <f t="shared" si="48"/>
        <v/>
      </c>
      <c r="CK143" t="str">
        <f t="shared" si="49"/>
        <v/>
      </c>
      <c r="CL143" t="str">
        <f>""</f>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IF(CAPTURA!BT144="","",MIN(100,ROUND((LEN(CAPTURA!BT144)-LEN(SUBSTITUTE(CAPTURA!BT144,";",""))+1)/7*100,1)))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IF(CAPTURA!CL144="","",MIN(100,ROUND((LEN(CAPTURA!CL144)-LEN(SUBSTITUTE(CAPTURA!CL144,";",""))+1)/8*100,1)))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IF(CAPTURA!CY144="","",IF(ISNUMBER(SEARCH("Ninguno",CAPTURA!CY144)),0,MIN(100,ROUND((LEN(CAPTURA!CY144)-LEN(SUBSTITUTE(CAPTURA!CY144,";",""))+1)/6*100,1))))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40"/>
        <v/>
      </c>
      <c r="CC144" t="str">
        <f t="shared" si="41"/>
        <v/>
      </c>
      <c r="CD144" t="str">
        <f t="shared" si="42"/>
        <v/>
      </c>
      <c r="CE144" t="str">
        <f t="shared" si="43"/>
        <v/>
      </c>
      <c r="CF144" t="str">
        <f t="shared" si="44"/>
        <v/>
      </c>
      <c r="CG144" t="str">
        <f t="shared" si="45"/>
        <v/>
      </c>
      <c r="CH144" t="str">
        <f t="shared" si="46"/>
        <v/>
      </c>
      <c r="CI144" t="str">
        <f t="shared" si="47"/>
        <v/>
      </c>
      <c r="CJ144" t="str">
        <f t="shared" si="48"/>
        <v/>
      </c>
      <c r="CK144" t="str">
        <f t="shared" si="49"/>
        <v/>
      </c>
      <c r="CL144" t="str">
        <f>""</f>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IF(CAPTURA!BT145="","",MIN(100,ROUND((LEN(CAPTURA!BT145)-LEN(SUBSTITUTE(CAPTURA!BT145,";",""))+1)/7*100,1)))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IF(CAPTURA!CL145="","",MIN(100,ROUND((LEN(CAPTURA!CL145)-LEN(SUBSTITUTE(CAPTURA!CL145,";",""))+1)/8*100,1)))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IF(CAPTURA!CY145="","",IF(ISNUMBER(SEARCH("Ninguno",CAPTURA!CY145)),0,MIN(100,ROUND((LEN(CAPTURA!CY145)-LEN(SUBSTITUTE(CAPTURA!CY145,";",""))+1)/6*100,1))))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40"/>
        <v/>
      </c>
      <c r="CC145" t="str">
        <f t="shared" si="41"/>
        <v/>
      </c>
      <c r="CD145" t="str">
        <f t="shared" si="42"/>
        <v/>
      </c>
      <c r="CE145" t="str">
        <f t="shared" si="43"/>
        <v/>
      </c>
      <c r="CF145" t="str">
        <f t="shared" si="44"/>
        <v/>
      </c>
      <c r="CG145" t="str">
        <f t="shared" si="45"/>
        <v/>
      </c>
      <c r="CH145" t="str">
        <f t="shared" si="46"/>
        <v/>
      </c>
      <c r="CI145" t="str">
        <f t="shared" si="47"/>
        <v/>
      </c>
      <c r="CJ145" t="str">
        <f t="shared" si="48"/>
        <v/>
      </c>
      <c r="CK145" t="str">
        <f t="shared" si="49"/>
        <v/>
      </c>
      <c r="CL145" t="str">
        <f>""</f>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IF(CAPTURA!BT146="","",MIN(100,ROUND((LEN(CAPTURA!BT146)-LEN(SUBSTITUTE(CAPTURA!BT146,";",""))+1)/7*100,1)))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IF(CAPTURA!CL146="","",MIN(100,ROUND((LEN(CAPTURA!CL146)-LEN(SUBSTITUTE(CAPTURA!CL146,";",""))+1)/8*100,1)))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IF(CAPTURA!CY146="","",IF(ISNUMBER(SEARCH("Ninguno",CAPTURA!CY146)),0,MIN(100,ROUND((LEN(CAPTURA!CY146)-LEN(SUBSTITUTE(CAPTURA!CY146,";",""))+1)/6*100,1))))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40"/>
        <v/>
      </c>
      <c r="CC146" t="str">
        <f t="shared" si="41"/>
        <v/>
      </c>
      <c r="CD146" t="str">
        <f t="shared" si="42"/>
        <v/>
      </c>
      <c r="CE146" t="str">
        <f t="shared" si="43"/>
        <v/>
      </c>
      <c r="CF146" t="str">
        <f t="shared" si="44"/>
        <v/>
      </c>
      <c r="CG146" t="str">
        <f t="shared" si="45"/>
        <v/>
      </c>
      <c r="CH146" t="str">
        <f t="shared" si="46"/>
        <v/>
      </c>
      <c r="CI146" t="str">
        <f t="shared" si="47"/>
        <v/>
      </c>
      <c r="CJ146" t="str">
        <f t="shared" si="48"/>
        <v/>
      </c>
      <c r="CK146" t="str">
        <f t="shared" si="49"/>
        <v/>
      </c>
      <c r="CL146" t="str">
        <f>""</f>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IF(CAPTURA!BT147="","",MIN(100,ROUND((LEN(CAPTURA!BT147)-LEN(SUBSTITUTE(CAPTURA!BT147,";",""))+1)/7*100,1)))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IF(CAPTURA!CL147="","",MIN(100,ROUND((LEN(CAPTURA!CL147)-LEN(SUBSTITUTE(CAPTURA!CL147,";",""))+1)/8*100,1)))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IF(CAPTURA!CY147="","",IF(ISNUMBER(SEARCH("Ninguno",CAPTURA!CY147)),0,MIN(100,ROUND((LEN(CAPTURA!CY147)-LEN(SUBSTITUTE(CAPTURA!CY147,";",""))+1)/6*100,1))))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40"/>
        <v/>
      </c>
      <c r="CC147" t="str">
        <f t="shared" si="41"/>
        <v/>
      </c>
      <c r="CD147" t="str">
        <f t="shared" si="42"/>
        <v/>
      </c>
      <c r="CE147" t="str">
        <f t="shared" si="43"/>
        <v/>
      </c>
      <c r="CF147" t="str">
        <f t="shared" si="44"/>
        <v/>
      </c>
      <c r="CG147" t="str">
        <f t="shared" si="45"/>
        <v/>
      </c>
      <c r="CH147" t="str">
        <f t="shared" si="46"/>
        <v/>
      </c>
      <c r="CI147" t="str">
        <f t="shared" si="47"/>
        <v/>
      </c>
      <c r="CJ147" t="str">
        <f t="shared" si="48"/>
        <v/>
      </c>
      <c r="CK147" t="str">
        <f t="shared" si="49"/>
        <v/>
      </c>
      <c r="CL147" t="str">
        <f>""</f>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IF(CAPTURA!BT148="","",MIN(100,ROUND((LEN(CAPTURA!BT148)-LEN(SUBSTITUTE(CAPTURA!BT148,";",""))+1)/7*100,1)))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IF(CAPTURA!CL148="","",MIN(100,ROUND((LEN(CAPTURA!CL148)-LEN(SUBSTITUTE(CAPTURA!CL148,";",""))+1)/8*100,1)))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IF(CAPTURA!CY148="","",IF(ISNUMBER(SEARCH("Ninguno",CAPTURA!CY148)),0,MIN(100,ROUND((LEN(CAPTURA!CY148)-LEN(SUBSTITUTE(CAPTURA!CY148,";",""))+1)/6*100,1))))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40"/>
        <v/>
      </c>
      <c r="CC148" t="str">
        <f t="shared" si="41"/>
        <v/>
      </c>
      <c r="CD148" t="str">
        <f t="shared" si="42"/>
        <v/>
      </c>
      <c r="CE148" t="str">
        <f t="shared" si="43"/>
        <v/>
      </c>
      <c r="CF148" t="str">
        <f t="shared" si="44"/>
        <v/>
      </c>
      <c r="CG148" t="str">
        <f t="shared" si="45"/>
        <v/>
      </c>
      <c r="CH148" t="str">
        <f t="shared" si="46"/>
        <v/>
      </c>
      <c r="CI148" t="str">
        <f t="shared" si="47"/>
        <v/>
      </c>
      <c r="CJ148" t="str">
        <f t="shared" si="48"/>
        <v/>
      </c>
      <c r="CK148" t="str">
        <f t="shared" si="49"/>
        <v/>
      </c>
      <c r="CL148" t="str">
        <f>""</f>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IF(CAPTURA!BT149="","",MIN(100,ROUND((LEN(CAPTURA!BT149)-LEN(SUBSTITUTE(CAPTURA!BT149,";",""))+1)/7*100,1)))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IF(CAPTURA!CL149="","",MIN(100,ROUND((LEN(CAPTURA!CL149)-LEN(SUBSTITUTE(CAPTURA!CL149,";",""))+1)/8*100,1)))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IF(CAPTURA!CY149="","",IF(ISNUMBER(SEARCH("Ninguno",CAPTURA!CY149)),0,MIN(100,ROUND((LEN(CAPTURA!CY149)-LEN(SUBSTITUTE(CAPTURA!CY149,";",""))+1)/6*100,1))))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40"/>
        <v/>
      </c>
      <c r="CC149" t="str">
        <f t="shared" si="41"/>
        <v/>
      </c>
      <c r="CD149" t="str">
        <f t="shared" si="42"/>
        <v/>
      </c>
      <c r="CE149" t="str">
        <f t="shared" si="43"/>
        <v/>
      </c>
      <c r="CF149" t="str">
        <f t="shared" si="44"/>
        <v/>
      </c>
      <c r="CG149" t="str">
        <f t="shared" si="45"/>
        <v/>
      </c>
      <c r="CH149" t="str">
        <f t="shared" si="46"/>
        <v/>
      </c>
      <c r="CI149" t="str">
        <f t="shared" si="47"/>
        <v/>
      </c>
      <c r="CJ149" t="str">
        <f t="shared" si="48"/>
        <v/>
      </c>
      <c r="CK149" t="str">
        <f t="shared" si="49"/>
        <v/>
      </c>
      <c r="CL149" t="str">
        <f>""</f>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IF(CAPTURA!BT150="","",MIN(100,ROUND((LEN(CAPTURA!BT150)-LEN(SUBSTITUTE(CAPTURA!BT150,";",""))+1)/7*100,1)))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IF(CAPTURA!CL150="","",MIN(100,ROUND((LEN(CAPTURA!CL150)-LEN(SUBSTITUTE(CAPTURA!CL150,";",""))+1)/8*100,1)))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IF(CAPTURA!CY150="","",IF(ISNUMBER(SEARCH("Ninguno",CAPTURA!CY150)),0,MIN(100,ROUND((LEN(CAPTURA!CY150)-LEN(SUBSTITUTE(CAPTURA!CY150,";",""))+1)/6*100,1))))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40"/>
        <v/>
      </c>
      <c r="CC150" t="str">
        <f t="shared" si="41"/>
        <v/>
      </c>
      <c r="CD150" t="str">
        <f t="shared" si="42"/>
        <v/>
      </c>
      <c r="CE150" t="str">
        <f t="shared" si="43"/>
        <v/>
      </c>
      <c r="CF150" t="str">
        <f t="shared" si="44"/>
        <v/>
      </c>
      <c r="CG150" t="str">
        <f t="shared" si="45"/>
        <v/>
      </c>
      <c r="CH150" t="str">
        <f t="shared" si="46"/>
        <v/>
      </c>
      <c r="CI150" t="str">
        <f t="shared" si="47"/>
        <v/>
      </c>
      <c r="CJ150" t="str">
        <f t="shared" si="48"/>
        <v/>
      </c>
      <c r="CK150" t="str">
        <f t="shared" si="49"/>
        <v/>
      </c>
      <c r="CL150" t="str">
        <f>""</f>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IF(CAPTURA!BT151="","",MIN(100,ROUND((LEN(CAPTURA!BT151)-LEN(SUBSTITUTE(CAPTURA!BT151,";",""))+1)/7*100,1)))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IF(CAPTURA!CL151="","",MIN(100,ROUND((LEN(CAPTURA!CL151)-LEN(SUBSTITUTE(CAPTURA!CL151,";",""))+1)/8*100,1)))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IF(CAPTURA!CY151="","",IF(ISNUMBER(SEARCH("Ninguno",CAPTURA!CY151)),0,MIN(100,ROUND((LEN(CAPTURA!CY151)-LEN(SUBSTITUTE(CAPTURA!CY151,";",""))+1)/6*100,1))))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40"/>
        <v/>
      </c>
      <c r="CC151" t="str">
        <f t="shared" si="41"/>
        <v/>
      </c>
      <c r="CD151" t="str">
        <f t="shared" si="42"/>
        <v/>
      </c>
      <c r="CE151" t="str">
        <f t="shared" si="43"/>
        <v/>
      </c>
      <c r="CF151" t="str">
        <f t="shared" si="44"/>
        <v/>
      </c>
      <c r="CG151" t="str">
        <f t="shared" si="45"/>
        <v/>
      </c>
      <c r="CH151" t="str">
        <f t="shared" si="46"/>
        <v/>
      </c>
      <c r="CI151" t="str">
        <f t="shared" si="47"/>
        <v/>
      </c>
      <c r="CJ151" t="str">
        <f t="shared" si="48"/>
        <v/>
      </c>
      <c r="CK151" t="str">
        <f t="shared" si="49"/>
        <v/>
      </c>
      <c r="CL151" t="str">
        <f>""</f>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IF(CAPTURA!BT152="","",MIN(100,ROUND((LEN(CAPTURA!BT152)-LEN(SUBSTITUTE(CAPTURA!BT152,";",""))+1)/7*100,1)))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IF(CAPTURA!CL152="","",MIN(100,ROUND((LEN(CAPTURA!CL152)-LEN(SUBSTITUTE(CAPTURA!CL152,";",""))+1)/8*100,1)))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IF(CAPTURA!CY152="","",IF(ISNUMBER(SEARCH("Ninguno",CAPTURA!CY152)),0,MIN(100,ROUND((LEN(CAPTURA!CY152)-LEN(SUBSTITUTE(CAPTURA!CY152,";",""))+1)/6*100,1))))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40"/>
        <v/>
      </c>
      <c r="CC152" t="str">
        <f t="shared" si="41"/>
        <v/>
      </c>
      <c r="CD152" t="str">
        <f t="shared" si="42"/>
        <v/>
      </c>
      <c r="CE152" t="str">
        <f t="shared" si="43"/>
        <v/>
      </c>
      <c r="CF152" t="str">
        <f t="shared" si="44"/>
        <v/>
      </c>
      <c r="CG152" t="str">
        <f t="shared" si="45"/>
        <v/>
      </c>
      <c r="CH152" t="str">
        <f t="shared" si="46"/>
        <v/>
      </c>
      <c r="CI152" t="str">
        <f t="shared" si="47"/>
        <v/>
      </c>
      <c r="CJ152" t="str">
        <f t="shared" si="48"/>
        <v/>
      </c>
      <c r="CK152" t="str">
        <f t="shared" si="49"/>
        <v/>
      </c>
      <c r="CL152" t="str">
        <f>""</f>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IF(CAPTURA!BT153="","",MIN(100,ROUND((LEN(CAPTURA!BT153)-LEN(SUBSTITUTE(CAPTURA!BT153,";",""))+1)/7*100,1)))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IF(CAPTURA!CL153="","",MIN(100,ROUND((LEN(CAPTURA!CL153)-LEN(SUBSTITUTE(CAPTURA!CL153,";",""))+1)/8*100,1)))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IF(CAPTURA!CY153="","",IF(ISNUMBER(SEARCH("Ninguno",CAPTURA!CY153)),0,MIN(100,ROUND((LEN(CAPTURA!CY153)-LEN(SUBSTITUTE(CAPTURA!CY153,";",""))+1)/6*100,1))))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40"/>
        <v/>
      </c>
      <c r="CC153" t="str">
        <f t="shared" si="41"/>
        <v/>
      </c>
      <c r="CD153" t="str">
        <f t="shared" si="42"/>
        <v/>
      </c>
      <c r="CE153" t="str">
        <f t="shared" si="43"/>
        <v/>
      </c>
      <c r="CF153" t="str">
        <f t="shared" si="44"/>
        <v/>
      </c>
      <c r="CG153" t="str">
        <f t="shared" si="45"/>
        <v/>
      </c>
      <c r="CH153" t="str">
        <f t="shared" si="46"/>
        <v/>
      </c>
      <c r="CI153" t="str">
        <f t="shared" si="47"/>
        <v/>
      </c>
      <c r="CJ153" t="str">
        <f t="shared" si="48"/>
        <v/>
      </c>
      <c r="CK153" t="str">
        <f t="shared" si="49"/>
        <v/>
      </c>
      <c r="CL153" t="str">
        <f>""</f>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IF(CAPTURA!BT154="","",MIN(100,ROUND((LEN(CAPTURA!BT154)-LEN(SUBSTITUTE(CAPTURA!BT154,";",""))+1)/7*100,1)))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IF(CAPTURA!CL154="","",MIN(100,ROUND((LEN(CAPTURA!CL154)-LEN(SUBSTITUTE(CAPTURA!CL154,";",""))+1)/8*100,1)))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IF(CAPTURA!CY154="","",IF(ISNUMBER(SEARCH("Ninguno",CAPTURA!CY154)),0,MIN(100,ROUND((LEN(CAPTURA!CY154)-LEN(SUBSTITUTE(CAPTURA!CY154,";",""))+1)/6*100,1))))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40"/>
        <v/>
      </c>
      <c r="CC154" t="str">
        <f t="shared" si="41"/>
        <v/>
      </c>
      <c r="CD154" t="str">
        <f t="shared" si="42"/>
        <v/>
      </c>
      <c r="CE154" t="str">
        <f t="shared" si="43"/>
        <v/>
      </c>
      <c r="CF154" t="str">
        <f t="shared" si="44"/>
        <v/>
      </c>
      <c r="CG154" t="str">
        <f t="shared" si="45"/>
        <v/>
      </c>
      <c r="CH154" t="str">
        <f t="shared" si="46"/>
        <v/>
      </c>
      <c r="CI154" t="str">
        <f t="shared" si="47"/>
        <v/>
      </c>
      <c r="CJ154" t="str">
        <f t="shared" si="48"/>
        <v/>
      </c>
      <c r="CK154" t="str">
        <f t="shared" si="49"/>
        <v/>
      </c>
      <c r="CL154" t="str">
        <f>""</f>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IF(CAPTURA!BT155="","",MIN(100,ROUND((LEN(CAPTURA!BT155)-LEN(SUBSTITUTE(CAPTURA!BT155,";",""))+1)/7*100,1)))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IF(CAPTURA!CL155="","",MIN(100,ROUND((LEN(CAPTURA!CL155)-LEN(SUBSTITUTE(CAPTURA!CL155,";",""))+1)/8*100,1)))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IF(CAPTURA!CY155="","",IF(ISNUMBER(SEARCH("Ninguno",CAPTURA!CY155)),0,MIN(100,ROUND((LEN(CAPTURA!CY155)-LEN(SUBSTITUTE(CAPTURA!CY155,";",""))+1)/6*100,1))))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40"/>
        <v/>
      </c>
      <c r="CC155" t="str">
        <f t="shared" si="41"/>
        <v/>
      </c>
      <c r="CD155" t="str">
        <f t="shared" si="42"/>
        <v/>
      </c>
      <c r="CE155" t="str">
        <f t="shared" si="43"/>
        <v/>
      </c>
      <c r="CF155" t="str">
        <f t="shared" si="44"/>
        <v/>
      </c>
      <c r="CG155" t="str">
        <f t="shared" si="45"/>
        <v/>
      </c>
      <c r="CH155" t="str">
        <f t="shared" si="46"/>
        <v/>
      </c>
      <c r="CI155" t="str">
        <f t="shared" si="47"/>
        <v/>
      </c>
      <c r="CJ155" t="str">
        <f t="shared" si="48"/>
        <v/>
      </c>
      <c r="CK155" t="str">
        <f t="shared" si="49"/>
        <v/>
      </c>
      <c r="CL155" t="str">
        <f>""</f>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IF(CAPTURA!BT156="","",MIN(100,ROUND((LEN(CAPTURA!BT156)-LEN(SUBSTITUTE(CAPTURA!BT156,";",""))+1)/7*100,1)))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IF(CAPTURA!CL156="","",MIN(100,ROUND((LEN(CAPTURA!CL156)-LEN(SUBSTITUTE(CAPTURA!CL156,";",""))+1)/8*100,1)))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IF(CAPTURA!CY156="","",IF(ISNUMBER(SEARCH("Ninguno",CAPTURA!CY156)),0,MIN(100,ROUND((LEN(CAPTURA!CY156)-LEN(SUBSTITUTE(CAPTURA!CY156,";",""))+1)/6*100,1))))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40"/>
        <v/>
      </c>
      <c r="CC156" t="str">
        <f t="shared" si="41"/>
        <v/>
      </c>
      <c r="CD156" t="str">
        <f t="shared" si="42"/>
        <v/>
      </c>
      <c r="CE156" t="str">
        <f t="shared" si="43"/>
        <v/>
      </c>
      <c r="CF156" t="str">
        <f t="shared" si="44"/>
        <v/>
      </c>
      <c r="CG156" t="str">
        <f t="shared" si="45"/>
        <v/>
      </c>
      <c r="CH156" t="str">
        <f t="shared" si="46"/>
        <v/>
      </c>
      <c r="CI156" t="str">
        <f t="shared" si="47"/>
        <v/>
      </c>
      <c r="CJ156" t="str">
        <f t="shared" si="48"/>
        <v/>
      </c>
      <c r="CK156" t="str">
        <f t="shared" si="49"/>
        <v/>
      </c>
      <c r="CL156" t="str">
        <f>""</f>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IF(CAPTURA!BT157="","",MIN(100,ROUND((LEN(CAPTURA!BT157)-LEN(SUBSTITUTE(CAPTURA!BT157,";",""))+1)/7*100,1)))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IF(CAPTURA!CL157="","",MIN(100,ROUND((LEN(CAPTURA!CL157)-LEN(SUBSTITUTE(CAPTURA!CL157,";",""))+1)/8*100,1)))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IF(CAPTURA!CY157="","",IF(ISNUMBER(SEARCH("Ninguno",CAPTURA!CY157)),0,MIN(100,ROUND((LEN(CAPTURA!CY157)-LEN(SUBSTITUTE(CAPTURA!CY157,";",""))+1)/6*100,1))))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40"/>
        <v/>
      </c>
      <c r="CC157" t="str">
        <f t="shared" si="41"/>
        <v/>
      </c>
      <c r="CD157" t="str">
        <f t="shared" si="42"/>
        <v/>
      </c>
      <c r="CE157" t="str">
        <f t="shared" si="43"/>
        <v/>
      </c>
      <c r="CF157" t="str">
        <f t="shared" si="44"/>
        <v/>
      </c>
      <c r="CG157" t="str">
        <f t="shared" si="45"/>
        <v/>
      </c>
      <c r="CH157" t="str">
        <f t="shared" si="46"/>
        <v/>
      </c>
      <c r="CI157" t="str">
        <f t="shared" si="47"/>
        <v/>
      </c>
      <c r="CJ157" t="str">
        <f t="shared" si="48"/>
        <v/>
      </c>
      <c r="CK157" t="str">
        <f t="shared" si="49"/>
        <v/>
      </c>
      <c r="CL157" t="str">
        <f>""</f>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IF(CAPTURA!BT158="","",MIN(100,ROUND((LEN(CAPTURA!BT158)-LEN(SUBSTITUTE(CAPTURA!BT158,";",""))+1)/7*100,1)))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IF(CAPTURA!CL158="","",MIN(100,ROUND((LEN(CAPTURA!CL158)-LEN(SUBSTITUTE(CAPTURA!CL158,";",""))+1)/8*100,1)))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IF(CAPTURA!CY158="","",IF(ISNUMBER(SEARCH("Ninguno",CAPTURA!CY158)),0,MIN(100,ROUND((LEN(CAPTURA!CY158)-LEN(SUBSTITUTE(CAPTURA!CY158,";",""))+1)/6*100,1))))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40"/>
        <v/>
      </c>
      <c r="CC158" t="str">
        <f t="shared" si="41"/>
        <v/>
      </c>
      <c r="CD158" t="str">
        <f t="shared" si="42"/>
        <v/>
      </c>
      <c r="CE158" t="str">
        <f t="shared" si="43"/>
        <v/>
      </c>
      <c r="CF158" t="str">
        <f t="shared" si="44"/>
        <v/>
      </c>
      <c r="CG158" t="str">
        <f t="shared" si="45"/>
        <v/>
      </c>
      <c r="CH158" t="str">
        <f t="shared" si="46"/>
        <v/>
      </c>
      <c r="CI158" t="str">
        <f t="shared" si="47"/>
        <v/>
      </c>
      <c r="CJ158" t="str">
        <f t="shared" si="48"/>
        <v/>
      </c>
      <c r="CK158" t="str">
        <f t="shared" si="49"/>
        <v/>
      </c>
      <c r="CL158" t="str">
        <f>""</f>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IF(CAPTURA!BT159="","",MIN(100,ROUND((LEN(CAPTURA!BT159)-LEN(SUBSTITUTE(CAPTURA!BT159,";",""))+1)/7*100,1)))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IF(CAPTURA!CL159="","",MIN(100,ROUND((LEN(CAPTURA!CL159)-LEN(SUBSTITUTE(CAPTURA!CL159,";",""))+1)/8*100,1)))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IF(CAPTURA!CY159="","",IF(ISNUMBER(SEARCH("Ninguno",CAPTURA!CY159)),0,MIN(100,ROUND((LEN(CAPTURA!CY159)-LEN(SUBSTITUTE(CAPTURA!CY159,";",""))+1)/6*100,1))))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40"/>
        <v/>
      </c>
      <c r="CC159" t="str">
        <f t="shared" si="41"/>
        <v/>
      </c>
      <c r="CD159" t="str">
        <f t="shared" si="42"/>
        <v/>
      </c>
      <c r="CE159" t="str">
        <f t="shared" si="43"/>
        <v/>
      </c>
      <c r="CF159" t="str">
        <f t="shared" si="44"/>
        <v/>
      </c>
      <c r="CG159" t="str">
        <f t="shared" si="45"/>
        <v/>
      </c>
      <c r="CH159" t="str">
        <f t="shared" si="46"/>
        <v/>
      </c>
      <c r="CI159" t="str">
        <f t="shared" si="47"/>
        <v/>
      </c>
      <c r="CJ159" t="str">
        <f t="shared" si="48"/>
        <v/>
      </c>
      <c r="CK159" t="str">
        <f t="shared" si="49"/>
        <v/>
      </c>
      <c r="CL159" t="str">
        <f>""</f>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IF(CAPTURA!BT160="","",MIN(100,ROUND((LEN(CAPTURA!BT160)-LEN(SUBSTITUTE(CAPTURA!BT160,";",""))+1)/7*100,1)))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IF(CAPTURA!CL160="","",MIN(100,ROUND((LEN(CAPTURA!CL160)-LEN(SUBSTITUTE(CAPTURA!CL160,";",""))+1)/8*100,1)))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IF(CAPTURA!CY160="","",IF(ISNUMBER(SEARCH("Ninguno",CAPTURA!CY160)),0,MIN(100,ROUND((LEN(CAPTURA!CY160)-LEN(SUBSTITUTE(CAPTURA!CY160,";",""))+1)/6*100,1))))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40"/>
        <v/>
      </c>
      <c r="CC160" t="str">
        <f t="shared" si="41"/>
        <v/>
      </c>
      <c r="CD160" t="str">
        <f t="shared" si="42"/>
        <v/>
      </c>
      <c r="CE160" t="str">
        <f t="shared" si="43"/>
        <v/>
      </c>
      <c r="CF160" t="str">
        <f t="shared" si="44"/>
        <v/>
      </c>
      <c r="CG160" t="str">
        <f t="shared" si="45"/>
        <v/>
      </c>
      <c r="CH160" t="str">
        <f t="shared" si="46"/>
        <v/>
      </c>
      <c r="CI160" t="str">
        <f t="shared" si="47"/>
        <v/>
      </c>
      <c r="CJ160" t="str">
        <f t="shared" si="48"/>
        <v/>
      </c>
      <c r="CK160" t="str">
        <f t="shared" si="49"/>
        <v/>
      </c>
      <c r="CL160" t="str">
        <f>""</f>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IF(CAPTURA!BT161="","",MIN(100,ROUND((LEN(CAPTURA!BT161)-LEN(SUBSTITUTE(CAPTURA!BT161,";",""))+1)/7*100,1)))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IF(CAPTURA!CL161="","",MIN(100,ROUND((LEN(CAPTURA!CL161)-LEN(SUBSTITUTE(CAPTURA!CL161,";",""))+1)/8*100,1)))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IF(CAPTURA!CY161="","",IF(ISNUMBER(SEARCH("Ninguno",CAPTURA!CY161)),0,MIN(100,ROUND((LEN(CAPTURA!CY161)-LEN(SUBSTITUTE(CAPTURA!CY161,";",""))+1)/6*100,1))))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40"/>
        <v/>
      </c>
      <c r="CC161" t="str">
        <f t="shared" si="41"/>
        <v/>
      </c>
      <c r="CD161" t="str">
        <f t="shared" si="42"/>
        <v/>
      </c>
      <c r="CE161" t="str">
        <f t="shared" si="43"/>
        <v/>
      </c>
      <c r="CF161" t="str">
        <f t="shared" si="44"/>
        <v/>
      </c>
      <c r="CG161" t="str">
        <f t="shared" si="45"/>
        <v/>
      </c>
      <c r="CH161" t="str">
        <f t="shared" si="46"/>
        <v/>
      </c>
      <c r="CI161" t="str">
        <f t="shared" si="47"/>
        <v/>
      </c>
      <c r="CJ161" t="str">
        <f t="shared" si="48"/>
        <v/>
      </c>
      <c r="CK161" t="str">
        <f t="shared" si="49"/>
        <v/>
      </c>
      <c r="CL161" t="str">
        <f>""</f>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IF(CAPTURA!BT162="","",MIN(100,ROUND((LEN(CAPTURA!BT162)-LEN(SUBSTITUTE(CAPTURA!BT162,";",""))+1)/7*100,1)))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IF(CAPTURA!CL162="","",MIN(100,ROUND((LEN(CAPTURA!CL162)-LEN(SUBSTITUTE(CAPTURA!CL162,";",""))+1)/8*100,1)))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IF(CAPTURA!CY162="","",IF(ISNUMBER(SEARCH("Ninguno",CAPTURA!CY162)),0,MIN(100,ROUND((LEN(CAPTURA!CY162)-LEN(SUBSTITUTE(CAPTURA!CY162,";",""))+1)/6*100,1))))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40"/>
        <v/>
      </c>
      <c r="CC162" t="str">
        <f t="shared" si="41"/>
        <v/>
      </c>
      <c r="CD162" t="str">
        <f t="shared" si="42"/>
        <v/>
      </c>
      <c r="CE162" t="str">
        <f t="shared" si="43"/>
        <v/>
      </c>
      <c r="CF162" t="str">
        <f t="shared" si="44"/>
        <v/>
      </c>
      <c r="CG162" t="str">
        <f t="shared" si="45"/>
        <v/>
      </c>
      <c r="CH162" t="str">
        <f t="shared" si="46"/>
        <v/>
      </c>
      <c r="CI162" t="str">
        <f t="shared" si="47"/>
        <v/>
      </c>
      <c r="CJ162" t="str">
        <f t="shared" si="48"/>
        <v/>
      </c>
      <c r="CK162" t="str">
        <f t="shared" si="49"/>
        <v/>
      </c>
      <c r="CL162" t="str">
        <f>""</f>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IF(CAPTURA!BT163="","",MIN(100,ROUND((LEN(CAPTURA!BT163)-LEN(SUBSTITUTE(CAPTURA!BT163,";",""))+1)/7*100,1)))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IF(CAPTURA!CL163="","",MIN(100,ROUND((LEN(CAPTURA!CL163)-LEN(SUBSTITUTE(CAPTURA!CL163,";",""))+1)/8*100,1)))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IF(CAPTURA!CY163="","",IF(ISNUMBER(SEARCH("Ninguno",CAPTURA!CY163)),0,MIN(100,ROUND((LEN(CAPTURA!CY163)-LEN(SUBSTITUTE(CAPTURA!CY163,";",""))+1)/6*100,1))))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50">IFERROR(AVERAGE(H163,I163,J163,K163),"")</f>
        <v/>
      </c>
      <c r="CC163" t="str">
        <f t="shared" ref="CC163:CC176" si="51">IFERROR(AVERAGE(L163,M163,N163,O163,P163,R163),"")</f>
        <v/>
      </c>
      <c r="CD163" t="str">
        <f t="shared" ref="CD163:CD176" si="52">IFERROR(AVERAGE(T163,U163,V163,W163,X163,Y163,Z163,AA163,AB163,AC163,AE163),"")</f>
        <v/>
      </c>
      <c r="CE163" t="str">
        <f t="shared" ref="CE163:CE176" si="53">IFERROR(AVERAGE(AG163,AH163,AI163),"")</f>
        <v/>
      </c>
      <c r="CF163" t="str">
        <f t="shared" ref="CF163:CF176" si="54">IFERROR(AVERAGE(AK163,AL163,AM163,AN163,AP163,AQ163,AR163,AS163),"")</f>
        <v/>
      </c>
      <c r="CG163" t="str">
        <f t="shared" ref="CG163:CG176" si="55">IFERROR(AVERAGE(AT163,AU163,AV163,BB163,AW163,AX163,AY163,AZ163,BA163),"")</f>
        <v/>
      </c>
      <c r="CH163" t="str">
        <f t="shared" ref="CH163:CH176" si="56">IFERROR(AVERAGE(BC163,BH163,BI163,BD163,BF163),"")</f>
        <v/>
      </c>
      <c r="CI163" t="str">
        <f t="shared" ref="CI163:CI176" si="57">IFERROR(AVERAGE(BJ163,BK163,BL163,BM163),"")</f>
        <v/>
      </c>
      <c r="CJ163" t="str">
        <f t="shared" ref="CJ163:CJ176" si="58">IFERROR(AVERAGE(BN163,BO163,BP163),"")</f>
        <v/>
      </c>
      <c r="CK163" t="str">
        <f t="shared" ref="CK163:CK176" si="59">IFERROR(AVERAGE(BS163),"")</f>
        <v/>
      </c>
      <c r="CL163" t="str">
        <f>""</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IF(CAPTURA!BT164="","",MIN(100,ROUND((LEN(CAPTURA!BT164)-LEN(SUBSTITUTE(CAPTURA!BT164,";",""))+1)/7*100,1)))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IF(CAPTURA!CL164="","",MIN(100,ROUND((LEN(CAPTURA!CL164)-LEN(SUBSTITUTE(CAPTURA!CL164,";",""))+1)/8*100,1)))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IF(CAPTURA!CY164="","",IF(ISNUMBER(SEARCH("Ninguno",CAPTURA!CY164)),0,MIN(100,ROUND((LEN(CAPTURA!CY164)-LEN(SUBSTITUTE(CAPTURA!CY164,";",""))+1)/6*100,1))))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50"/>
        <v/>
      </c>
      <c r="CC164" t="str">
        <f t="shared" si="51"/>
        <v/>
      </c>
      <c r="CD164" t="str">
        <f t="shared" si="52"/>
        <v/>
      </c>
      <c r="CE164" t="str">
        <f t="shared" si="53"/>
        <v/>
      </c>
      <c r="CF164" t="str">
        <f t="shared" si="54"/>
        <v/>
      </c>
      <c r="CG164" t="str">
        <f t="shared" si="55"/>
        <v/>
      </c>
      <c r="CH164" t="str">
        <f t="shared" si="56"/>
        <v/>
      </c>
      <c r="CI164" t="str">
        <f t="shared" si="57"/>
        <v/>
      </c>
      <c r="CJ164" t="str">
        <f t="shared" si="58"/>
        <v/>
      </c>
      <c r="CK164" t="str">
        <f t="shared" si="59"/>
        <v/>
      </c>
      <c r="CL164" t="str">
        <f>""</f>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IF(CAPTURA!BT165="","",MIN(100,ROUND((LEN(CAPTURA!BT165)-LEN(SUBSTITUTE(CAPTURA!BT165,";",""))+1)/7*100,1)))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IF(CAPTURA!CL165="","",MIN(100,ROUND((LEN(CAPTURA!CL165)-LEN(SUBSTITUTE(CAPTURA!CL165,";",""))+1)/8*100,1)))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IF(CAPTURA!CY165="","",IF(ISNUMBER(SEARCH("Ninguno",CAPTURA!CY165)),0,MIN(100,ROUND((LEN(CAPTURA!CY165)-LEN(SUBSTITUTE(CAPTURA!CY165,";",""))+1)/6*100,1))))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50"/>
        <v/>
      </c>
      <c r="CC165" t="str">
        <f t="shared" si="51"/>
        <v/>
      </c>
      <c r="CD165" t="str">
        <f t="shared" si="52"/>
        <v/>
      </c>
      <c r="CE165" t="str">
        <f t="shared" si="53"/>
        <v/>
      </c>
      <c r="CF165" t="str">
        <f t="shared" si="54"/>
        <v/>
      </c>
      <c r="CG165" t="str">
        <f t="shared" si="55"/>
        <v/>
      </c>
      <c r="CH165" t="str">
        <f t="shared" si="56"/>
        <v/>
      </c>
      <c r="CI165" t="str">
        <f t="shared" si="57"/>
        <v/>
      </c>
      <c r="CJ165" t="str">
        <f t="shared" si="58"/>
        <v/>
      </c>
      <c r="CK165" t="str">
        <f t="shared" si="59"/>
        <v/>
      </c>
      <c r="CL165" t="str">
        <f>""</f>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IF(CAPTURA!BT166="","",MIN(100,ROUND((LEN(CAPTURA!BT166)-LEN(SUBSTITUTE(CAPTURA!BT166,";",""))+1)/7*100,1)))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IF(CAPTURA!CL166="","",MIN(100,ROUND((LEN(CAPTURA!CL166)-LEN(SUBSTITUTE(CAPTURA!CL166,";",""))+1)/8*100,1)))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IF(CAPTURA!CY166="","",IF(ISNUMBER(SEARCH("Ninguno",CAPTURA!CY166)),0,MIN(100,ROUND((LEN(CAPTURA!CY166)-LEN(SUBSTITUTE(CAPTURA!CY166,";",""))+1)/6*100,1))))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50"/>
        <v/>
      </c>
      <c r="CC166" t="str">
        <f t="shared" si="51"/>
        <v/>
      </c>
      <c r="CD166" t="str">
        <f t="shared" si="52"/>
        <v/>
      </c>
      <c r="CE166" t="str">
        <f t="shared" si="53"/>
        <v/>
      </c>
      <c r="CF166" t="str">
        <f t="shared" si="54"/>
        <v/>
      </c>
      <c r="CG166" t="str">
        <f t="shared" si="55"/>
        <v/>
      </c>
      <c r="CH166" t="str">
        <f t="shared" si="56"/>
        <v/>
      </c>
      <c r="CI166" t="str">
        <f t="shared" si="57"/>
        <v/>
      </c>
      <c r="CJ166" t="str">
        <f t="shared" si="58"/>
        <v/>
      </c>
      <c r="CK166" t="str">
        <f t="shared" si="59"/>
        <v/>
      </c>
      <c r="CL166" t="str">
        <f>""</f>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IF(CAPTURA!BT167="","",MIN(100,ROUND((LEN(CAPTURA!BT167)-LEN(SUBSTITUTE(CAPTURA!BT167,";",""))+1)/7*100,1)))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IF(CAPTURA!CL167="","",MIN(100,ROUND((LEN(CAPTURA!CL167)-LEN(SUBSTITUTE(CAPTURA!CL167,";",""))+1)/8*100,1)))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IF(CAPTURA!CY167="","",IF(ISNUMBER(SEARCH("Ninguno",CAPTURA!CY167)),0,MIN(100,ROUND((LEN(CAPTURA!CY167)-LEN(SUBSTITUTE(CAPTURA!CY167,";",""))+1)/6*100,1))))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50"/>
        <v/>
      </c>
      <c r="CC167" t="str">
        <f t="shared" si="51"/>
        <v/>
      </c>
      <c r="CD167" t="str">
        <f t="shared" si="52"/>
        <v/>
      </c>
      <c r="CE167" t="str">
        <f t="shared" si="53"/>
        <v/>
      </c>
      <c r="CF167" t="str">
        <f t="shared" si="54"/>
        <v/>
      </c>
      <c r="CG167" t="str">
        <f t="shared" si="55"/>
        <v/>
      </c>
      <c r="CH167" t="str">
        <f t="shared" si="56"/>
        <v/>
      </c>
      <c r="CI167" t="str">
        <f t="shared" si="57"/>
        <v/>
      </c>
      <c r="CJ167" t="str">
        <f t="shared" si="58"/>
        <v/>
      </c>
      <c r="CK167" t="str">
        <f t="shared" si="59"/>
        <v/>
      </c>
      <c r="CL167" t="str">
        <f>""</f>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IF(CAPTURA!BT168="","",MIN(100,ROUND((LEN(CAPTURA!BT168)-LEN(SUBSTITUTE(CAPTURA!BT168,";",""))+1)/7*100,1)))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IF(CAPTURA!CL168="","",MIN(100,ROUND((LEN(CAPTURA!CL168)-LEN(SUBSTITUTE(CAPTURA!CL168,";",""))+1)/8*100,1)))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IF(CAPTURA!CY168="","",IF(ISNUMBER(SEARCH("Ninguno",CAPTURA!CY168)),0,MIN(100,ROUND((LEN(CAPTURA!CY168)-LEN(SUBSTITUTE(CAPTURA!CY168,";",""))+1)/6*100,1))))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50"/>
        <v/>
      </c>
      <c r="CC168" t="str">
        <f t="shared" si="51"/>
        <v/>
      </c>
      <c r="CD168" t="str">
        <f t="shared" si="52"/>
        <v/>
      </c>
      <c r="CE168" t="str">
        <f t="shared" si="53"/>
        <v/>
      </c>
      <c r="CF168" t="str">
        <f t="shared" si="54"/>
        <v/>
      </c>
      <c r="CG168" t="str">
        <f t="shared" si="55"/>
        <v/>
      </c>
      <c r="CH168" t="str">
        <f t="shared" si="56"/>
        <v/>
      </c>
      <c r="CI168" t="str">
        <f t="shared" si="57"/>
        <v/>
      </c>
      <c r="CJ168" t="str">
        <f t="shared" si="58"/>
        <v/>
      </c>
      <c r="CK168" t="str">
        <f t="shared" si="59"/>
        <v/>
      </c>
      <c r="CL168" t="str">
        <f>""</f>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IF(CAPTURA!BT169="","",MIN(100,ROUND((LEN(CAPTURA!BT169)-LEN(SUBSTITUTE(CAPTURA!BT169,";",""))+1)/7*100,1)))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IF(CAPTURA!CL169="","",MIN(100,ROUND((LEN(CAPTURA!CL169)-LEN(SUBSTITUTE(CAPTURA!CL169,";",""))+1)/8*100,1)))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IF(CAPTURA!CY169="","",IF(ISNUMBER(SEARCH("Ninguno",CAPTURA!CY169)),0,MIN(100,ROUND((LEN(CAPTURA!CY169)-LEN(SUBSTITUTE(CAPTURA!CY169,";",""))+1)/6*100,1))))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50"/>
        <v/>
      </c>
      <c r="CC169" t="str">
        <f t="shared" si="51"/>
        <v/>
      </c>
      <c r="CD169" t="str">
        <f t="shared" si="52"/>
        <v/>
      </c>
      <c r="CE169" t="str">
        <f t="shared" si="53"/>
        <v/>
      </c>
      <c r="CF169" t="str">
        <f t="shared" si="54"/>
        <v/>
      </c>
      <c r="CG169" t="str">
        <f t="shared" si="55"/>
        <v/>
      </c>
      <c r="CH169" t="str">
        <f t="shared" si="56"/>
        <v/>
      </c>
      <c r="CI169" t="str">
        <f t="shared" si="57"/>
        <v/>
      </c>
      <c r="CJ169" t="str">
        <f t="shared" si="58"/>
        <v/>
      </c>
      <c r="CK169" t="str">
        <f t="shared" si="59"/>
        <v/>
      </c>
      <c r="CL169" t="str">
        <f>""</f>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IF(CAPTURA!BT170="","",MIN(100,ROUND((LEN(CAPTURA!BT170)-LEN(SUBSTITUTE(CAPTURA!BT170,";",""))+1)/7*100,1)))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IF(CAPTURA!CL170="","",MIN(100,ROUND((LEN(CAPTURA!CL170)-LEN(SUBSTITUTE(CAPTURA!CL170,";",""))+1)/8*100,1)))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IF(CAPTURA!CY170="","",IF(ISNUMBER(SEARCH("Ninguno",CAPTURA!CY170)),0,MIN(100,ROUND((LEN(CAPTURA!CY170)-LEN(SUBSTITUTE(CAPTURA!CY170,";",""))+1)/6*100,1))))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50"/>
        <v/>
      </c>
      <c r="CC170" t="str">
        <f t="shared" si="51"/>
        <v/>
      </c>
      <c r="CD170" t="str">
        <f t="shared" si="52"/>
        <v/>
      </c>
      <c r="CE170" t="str">
        <f t="shared" si="53"/>
        <v/>
      </c>
      <c r="CF170" t="str">
        <f t="shared" si="54"/>
        <v/>
      </c>
      <c r="CG170" t="str">
        <f t="shared" si="55"/>
        <v/>
      </c>
      <c r="CH170" t="str">
        <f t="shared" si="56"/>
        <v/>
      </c>
      <c r="CI170" t="str">
        <f t="shared" si="57"/>
        <v/>
      </c>
      <c r="CJ170" t="str">
        <f t="shared" si="58"/>
        <v/>
      </c>
      <c r="CK170" t="str">
        <f t="shared" si="59"/>
        <v/>
      </c>
      <c r="CL170" t="str">
        <f>""</f>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IF(CAPTURA!BT171="","",MIN(100,ROUND((LEN(CAPTURA!BT171)-LEN(SUBSTITUTE(CAPTURA!BT171,";",""))+1)/7*100,1)))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IF(CAPTURA!CL171="","",MIN(100,ROUND((LEN(CAPTURA!CL171)-LEN(SUBSTITUTE(CAPTURA!CL171,";",""))+1)/8*100,1)))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IF(CAPTURA!CY171="","",IF(ISNUMBER(SEARCH("Ninguno",CAPTURA!CY171)),0,MIN(100,ROUND((LEN(CAPTURA!CY171)-LEN(SUBSTITUTE(CAPTURA!CY171,";",""))+1)/6*100,1))))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50"/>
        <v/>
      </c>
      <c r="CC171" t="str">
        <f t="shared" si="51"/>
        <v/>
      </c>
      <c r="CD171" t="str">
        <f t="shared" si="52"/>
        <v/>
      </c>
      <c r="CE171" t="str">
        <f t="shared" si="53"/>
        <v/>
      </c>
      <c r="CF171" t="str">
        <f t="shared" si="54"/>
        <v/>
      </c>
      <c r="CG171" t="str">
        <f t="shared" si="55"/>
        <v/>
      </c>
      <c r="CH171" t="str">
        <f t="shared" si="56"/>
        <v/>
      </c>
      <c r="CI171" t="str">
        <f t="shared" si="57"/>
        <v/>
      </c>
      <c r="CJ171" t="str">
        <f t="shared" si="58"/>
        <v/>
      </c>
      <c r="CK171" t="str">
        <f t="shared" si="59"/>
        <v/>
      </c>
      <c r="CL171" t="str">
        <f>""</f>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IF(CAPTURA!BT172="","",MIN(100,ROUND((LEN(CAPTURA!BT172)-LEN(SUBSTITUTE(CAPTURA!BT172,";",""))+1)/7*100,1)))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IF(CAPTURA!CL172="","",MIN(100,ROUND((LEN(CAPTURA!CL172)-LEN(SUBSTITUTE(CAPTURA!CL172,";",""))+1)/8*100,1)))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IF(CAPTURA!CY172="","",IF(ISNUMBER(SEARCH("Ninguno",CAPTURA!CY172)),0,MIN(100,ROUND((LEN(CAPTURA!CY172)-LEN(SUBSTITUTE(CAPTURA!CY172,";",""))+1)/6*100,1))))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50"/>
        <v/>
      </c>
      <c r="CC172" t="str">
        <f t="shared" si="51"/>
        <v/>
      </c>
      <c r="CD172" t="str">
        <f t="shared" si="52"/>
        <v/>
      </c>
      <c r="CE172" t="str">
        <f t="shared" si="53"/>
        <v/>
      </c>
      <c r="CF172" t="str">
        <f t="shared" si="54"/>
        <v/>
      </c>
      <c r="CG172" t="str">
        <f t="shared" si="55"/>
        <v/>
      </c>
      <c r="CH172" t="str">
        <f t="shared" si="56"/>
        <v/>
      </c>
      <c r="CI172" t="str">
        <f t="shared" si="57"/>
        <v/>
      </c>
      <c r="CJ172" t="str">
        <f t="shared" si="58"/>
        <v/>
      </c>
      <c r="CK172" t="str">
        <f t="shared" si="59"/>
        <v/>
      </c>
      <c r="CL172" t="str">
        <f>""</f>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IF(CAPTURA!BT173="","",MIN(100,ROUND((LEN(CAPTURA!BT173)-LEN(SUBSTITUTE(CAPTURA!BT173,";",""))+1)/7*100,1)))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IF(CAPTURA!CL173="","",MIN(100,ROUND((LEN(CAPTURA!CL173)-LEN(SUBSTITUTE(CAPTURA!CL173,";",""))+1)/8*100,1)))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IF(CAPTURA!CY173="","",IF(ISNUMBER(SEARCH("Ninguno",CAPTURA!CY173)),0,MIN(100,ROUND((LEN(CAPTURA!CY173)-LEN(SUBSTITUTE(CAPTURA!CY173,";",""))+1)/6*100,1))))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50"/>
        <v/>
      </c>
      <c r="CC173" t="str">
        <f t="shared" si="51"/>
        <v/>
      </c>
      <c r="CD173" t="str">
        <f t="shared" si="52"/>
        <v/>
      </c>
      <c r="CE173" t="str">
        <f t="shared" si="53"/>
        <v/>
      </c>
      <c r="CF173" t="str">
        <f t="shared" si="54"/>
        <v/>
      </c>
      <c r="CG173" t="str">
        <f t="shared" si="55"/>
        <v/>
      </c>
      <c r="CH173" t="str">
        <f t="shared" si="56"/>
        <v/>
      </c>
      <c r="CI173" t="str">
        <f t="shared" si="57"/>
        <v/>
      </c>
      <c r="CJ173" t="str">
        <f t="shared" si="58"/>
        <v/>
      </c>
      <c r="CK173" t="str">
        <f t="shared" si="59"/>
        <v/>
      </c>
      <c r="CL173" t="str">
        <f>""</f>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IF(CAPTURA!BT174="","",MIN(100,ROUND((LEN(CAPTURA!BT174)-LEN(SUBSTITUTE(CAPTURA!BT174,";",""))+1)/7*100,1)))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IF(CAPTURA!CL174="","",MIN(100,ROUND((LEN(CAPTURA!CL174)-LEN(SUBSTITUTE(CAPTURA!CL174,";",""))+1)/8*100,1)))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IF(CAPTURA!CY174="","",IF(ISNUMBER(SEARCH("Ninguno",CAPTURA!CY174)),0,MIN(100,ROUND((LEN(CAPTURA!CY174)-LEN(SUBSTITUTE(CAPTURA!CY174,";",""))+1)/6*100,1))))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50"/>
        <v/>
      </c>
      <c r="CC174" t="str">
        <f t="shared" si="51"/>
        <v/>
      </c>
      <c r="CD174" t="str">
        <f t="shared" si="52"/>
        <v/>
      </c>
      <c r="CE174" t="str">
        <f t="shared" si="53"/>
        <v/>
      </c>
      <c r="CF174" t="str">
        <f t="shared" si="54"/>
        <v/>
      </c>
      <c r="CG174" t="str">
        <f t="shared" si="55"/>
        <v/>
      </c>
      <c r="CH174" t="str">
        <f t="shared" si="56"/>
        <v/>
      </c>
      <c r="CI174" t="str">
        <f t="shared" si="57"/>
        <v/>
      </c>
      <c r="CJ174" t="str">
        <f t="shared" si="58"/>
        <v/>
      </c>
      <c r="CK174" t="str">
        <f t="shared" si="59"/>
        <v/>
      </c>
      <c r="CL174" t="str">
        <f>""</f>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IF(CAPTURA!BT175="","",MIN(100,ROUND((LEN(CAPTURA!BT175)-LEN(SUBSTITUTE(CAPTURA!BT175,";",""))+1)/7*100,1)))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IF(CAPTURA!CL175="","",MIN(100,ROUND((LEN(CAPTURA!CL175)-LEN(SUBSTITUTE(CAPTURA!CL175,";",""))+1)/8*100,1)))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IF(CAPTURA!CY175="","",IF(ISNUMBER(SEARCH("Ninguno",CAPTURA!CY175)),0,MIN(100,ROUND((LEN(CAPTURA!CY175)-LEN(SUBSTITUTE(CAPTURA!CY175,";",""))+1)/6*100,1))))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50"/>
        <v/>
      </c>
      <c r="CC175" t="str">
        <f t="shared" si="51"/>
        <v/>
      </c>
      <c r="CD175" t="str">
        <f t="shared" si="52"/>
        <v/>
      </c>
      <c r="CE175" t="str">
        <f t="shared" si="53"/>
        <v/>
      </c>
      <c r="CF175" t="str">
        <f t="shared" si="54"/>
        <v/>
      </c>
      <c r="CG175" t="str">
        <f t="shared" si="55"/>
        <v/>
      </c>
      <c r="CH175" t="str">
        <f t="shared" si="56"/>
        <v/>
      </c>
      <c r="CI175" t="str">
        <f t="shared" si="57"/>
        <v/>
      </c>
      <c r="CJ175" t="str">
        <f t="shared" si="58"/>
        <v/>
      </c>
      <c r="CK175" t="str">
        <f t="shared" si="59"/>
        <v/>
      </c>
      <c r="CL175" t="str">
        <f>""</f>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IF(CAPTURA!BT176="","",MIN(100,ROUND((LEN(CAPTURA!BT176)-LEN(SUBSTITUTE(CAPTURA!BT176,";",""))+1)/7*100,1)))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IF(CAPTURA!CL176="","",MIN(100,ROUND((LEN(CAPTURA!CL176)-LEN(SUBSTITUTE(CAPTURA!CL176,";",""))+1)/8*100,1)))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IF(CAPTURA!CY176="","",IF(ISNUMBER(SEARCH("Ninguno",CAPTURA!CY176)),0,MIN(100,ROUND((LEN(CAPTURA!CY176)-LEN(SUBSTITUTE(CAPTURA!CY176,";",""))+1)/6*100,1))))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50"/>
        <v/>
      </c>
      <c r="CC176" t="str">
        <f t="shared" si="51"/>
        <v/>
      </c>
      <c r="CD176" t="str">
        <f t="shared" si="52"/>
        <v/>
      </c>
      <c r="CE176" t="str">
        <f t="shared" si="53"/>
        <v/>
      </c>
      <c r="CF176" t="str">
        <f t="shared" si="54"/>
        <v/>
      </c>
      <c r="CG176" t="str">
        <f t="shared" si="55"/>
        <v/>
      </c>
      <c r="CH176" t="str">
        <f t="shared" si="56"/>
        <v/>
      </c>
      <c r="CI176" t="str">
        <f t="shared" si="57"/>
        <v/>
      </c>
      <c r="CJ176" t="str">
        <f t="shared" si="58"/>
        <v/>
      </c>
      <c r="CK176" t="str">
        <f t="shared" si="59"/>
        <v/>
      </c>
      <c r="CL176" t="str">
        <f>""</f>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9" ht="30" customHeight="1" x14ac:dyDescent="0.3">
      <c r="A1" s="71" t="s">
        <v>896</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9" ht="22.05" customHeight="1" x14ac:dyDescent="0.3">
      <c r="A2" s="76" t="s">
        <v>1064</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9" ht="54" customHeight="1" x14ac:dyDescent="0.3">
      <c r="A3" s="1" t="s">
        <v>21</v>
      </c>
      <c r="B3" s="1" t="s">
        <v>897</v>
      </c>
      <c r="C3" s="1" t="s">
        <v>23</v>
      </c>
      <c r="D3" s="1" t="s">
        <v>32</v>
      </c>
      <c r="E3" s="2" t="s">
        <v>898</v>
      </c>
      <c r="F3" s="3" t="s">
        <v>899</v>
      </c>
      <c r="G3" s="3" t="s">
        <v>900</v>
      </c>
      <c r="H3" s="2" t="s">
        <v>901</v>
      </c>
      <c r="I3" s="3" t="s">
        <v>902</v>
      </c>
      <c r="J3" s="3" t="s">
        <v>903</v>
      </c>
      <c r="K3" s="2" t="s">
        <v>904</v>
      </c>
      <c r="L3" s="2" t="s">
        <v>905</v>
      </c>
      <c r="M3" s="2" t="s">
        <v>906</v>
      </c>
      <c r="N3" s="2" t="s">
        <v>1595</v>
      </c>
      <c r="O3" s="2" t="s">
        <v>907</v>
      </c>
      <c r="P3" s="4" t="s">
        <v>908</v>
      </c>
      <c r="Q3" s="4" t="s">
        <v>909</v>
      </c>
      <c r="R3" s="4" t="s">
        <v>910</v>
      </c>
      <c r="S3" s="4" t="s">
        <v>911</v>
      </c>
      <c r="T3" s="4" t="s">
        <v>912</v>
      </c>
      <c r="U3" s="5" t="s">
        <v>913</v>
      </c>
      <c r="V3" s="5" t="s">
        <v>914</v>
      </c>
      <c r="W3" s="5" t="s">
        <v>915</v>
      </c>
      <c r="X3" s="5" t="s">
        <v>916</v>
      </c>
      <c r="Y3" s="5" t="s">
        <v>917</v>
      </c>
      <c r="Z3" s="6" t="s">
        <v>918</v>
      </c>
      <c r="AA3" s="7" t="s">
        <v>919</v>
      </c>
      <c r="AB3" s="8" t="s">
        <v>920</v>
      </c>
      <c r="AC3" s="9" t="s">
        <v>921</v>
      </c>
      <c r="AD3" s="8" t="s">
        <v>922</v>
      </c>
      <c r="AE3" s="10" t="s">
        <v>923</v>
      </c>
      <c r="AF3" s="10" t="s">
        <v>924</v>
      </c>
      <c r="AG3" s="10" t="s">
        <v>925</v>
      </c>
      <c r="AH3" s="10" t="s">
        <v>926</v>
      </c>
      <c r="AI3" s="11" t="s">
        <v>1604</v>
      </c>
      <c r="AJ3" s="12" t="s">
        <v>927</v>
      </c>
      <c r="AK3" s="4" t="s">
        <v>928</v>
      </c>
      <c r="AL3" s="6" t="s">
        <v>929</v>
      </c>
      <c r="AM3" s="56" t="s">
        <v>1603</v>
      </c>
    </row>
    <row r="4" spans="1:39" ht="16.05" customHeight="1" x14ac:dyDescent="0.3">
      <c r="A4" s="13" t="s">
        <v>60</v>
      </c>
      <c r="B4" s="14" t="s">
        <v>61</v>
      </c>
      <c r="C4" s="13" t="s">
        <v>62</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t="str">
        <f t="shared" ref="Q4:Q35" si="1">IFERROR(SQRT(G4*H4),"")</f>
        <v/>
      </c>
      <c r="R4" s="17" t="str">
        <f t="shared" ref="R4:R35" si="2">IFERROR((I4+J4+L4)/3,"")</f>
        <v/>
      </c>
      <c r="S4" s="17" t="str">
        <f t="shared" ref="S4:S35" si="3">IFERROR((J4+F4)/2,"")</f>
        <v/>
      </c>
      <c r="T4" s="17" t="str">
        <f>IF(ISNUMBER(MATRIZ_174!O3),IFERROR((K4+M4+MATRIZ_174!O3*100)/3,0),"")</f>
        <v/>
      </c>
      <c r="U4" s="18">
        <f>IF(ISNUMBER(MATRIZ_174!M3),MIN(100,ROUND(MATRIZ_174!M3,1)),"")</f>
        <v>50</v>
      </c>
      <c r="V4" s="18">
        <f t="shared" ref="V4:V35" si="4">IF(OR(NOT(ISNUMBER(F4)),F4=0),50,F4)</f>
        <v>50</v>
      </c>
      <c r="W4" s="18">
        <f>IFERROR(IF(MATRIZ_174!R3=0,65,IF(MATRIZ_174!R3/MATRIZ_174!Q3&gt;=2,35,IF(MATRIZ_174!R3/MATRIZ_174!Q3&gt;=0.5,50,65))),65)</f>
        <v>65</v>
      </c>
      <c r="X4" s="18" t="str">
        <f>IF(ISNUMBER(MATRIZ_174!O3),MIN(100,IF(MATRIZ_174!O3=0,70,30)+IF(MATRIZ_174!U3="",0,0.3*(100-MATRIZ_174!U3*100))),"")</f>
        <v/>
      </c>
      <c r="Y4" s="18">
        <f>IF(OR(MATRIZ_174!P3="ASOCIACION",MATRIZ_174!P3="PENDIENTE"),65,40)</f>
        <v>65</v>
      </c>
      <c r="Z4" s="19" t="str">
        <f t="shared" ref="Z4:Z35" si="5">IF(COUNT(F4:M4)&lt;8,"—",IFERROR(ROUND(AVERAGE(P4:T4),1),"—"))</f>
        <v>—</v>
      </c>
      <c r="AA4" s="20">
        <f t="shared" ref="AA4:AA35" si="6">IFERROR(ROUND(AVERAGE(U4,V4,W4,X4,Y4),1),"—")</f>
        <v>57.5</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t="str">
        <f>IFERROR(MATRIZ_174!X3,0)</f>
        <v/>
      </c>
      <c r="AG4" s="22" t="str">
        <f>IFERROR(MATRIZ_174!Y3,0)</f>
        <v/>
      </c>
      <c r="AH4" s="22" t="str">
        <f>IFERROR(MATRIZ_174!Z3,0)</f>
        <v/>
      </c>
      <c r="AI4" s="17">
        <f>IFERROR(MATRIZ_174!AP3,"—")</f>
        <v>0.5</v>
      </c>
      <c r="AJ4" s="17" t="str">
        <f>IFERROR(MATRIZ_174!AO3,"N/A")</f>
        <v>N/A</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c r="AM4" t="str">
        <f>IFERROR(MATRIZ_174!AT3,"")</f>
        <v>parcial · 2/7 · D12-D15 0/4</v>
      </c>
    </row>
    <row r="5" spans="1:39" ht="16.05" customHeight="1" x14ac:dyDescent="0.3">
      <c r="A5" s="13" t="s">
        <v>68</v>
      </c>
      <c r="B5" s="14" t="s">
        <v>69</v>
      </c>
      <c r="C5" s="13" t="s">
        <v>70</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t="str">
        <f t="shared" si="1"/>
        <v/>
      </c>
      <c r="R5" s="17" t="str">
        <f t="shared" si="2"/>
        <v/>
      </c>
      <c r="S5" s="17" t="str">
        <f t="shared" si="3"/>
        <v/>
      </c>
      <c r="T5" s="17" t="str">
        <f>IF(ISNUMBER(MATRIZ_174!O4),IFERROR((K5+M5+MATRIZ_174!O4*100)/3,0),"")</f>
        <v/>
      </c>
      <c r="U5" s="18" t="str">
        <f>IF(ISNUMBER(MATRIZ_174!M4),MIN(100,ROUND(MATRIZ_174!M4,1)),"")</f>
        <v/>
      </c>
      <c r="V5" s="18">
        <f t="shared" si="4"/>
        <v>50</v>
      </c>
      <c r="W5" s="18">
        <f>IFERROR(IF(MATRIZ_174!R4=0,65,IF(MATRIZ_174!R4/MATRIZ_174!Q4&gt;=2,35,IF(MATRIZ_174!R4/MATRIZ_174!Q4&gt;=0.5,50,65))),65)</f>
        <v>65</v>
      </c>
      <c r="X5" s="18" t="str">
        <f>IF(ISNUMBER(MATRIZ_174!O4),MIN(100,IF(MATRIZ_174!O4=0,70,30)+IF(MATRIZ_174!U4="",0,0.3*(100-MATRIZ_174!U4*100))),"")</f>
        <v/>
      </c>
      <c r="Y5" s="18">
        <f>IF(OR(MATRIZ_174!P4="ASOCIACION",MATRIZ_174!P4="PENDIENTE"),65,40)</f>
        <v>65</v>
      </c>
      <c r="Z5" s="19" t="str">
        <f t="shared" si="5"/>
        <v>—</v>
      </c>
      <c r="AA5" s="20">
        <f t="shared" si="6"/>
        <v>60</v>
      </c>
      <c r="AB5" s="21" t="str">
        <f t="shared" si="7"/>
        <v>—</v>
      </c>
      <c r="AC5" s="13" t="str">
        <f t="shared" si="8"/>
        <v>⬜  Pendiente de instrumento</v>
      </c>
      <c r="AD5" s="13" t="str">
        <f>IF(MATRIZ_174!U4="","",IF(MATRIZ_174!U4=0,"🚫  Inh. vigente OSCE",""))</f>
        <v/>
      </c>
      <c r="AE5" s="22" t="str">
        <f>IFERROR(MATRIZ_174!W4,0)</f>
        <v/>
      </c>
      <c r="AF5" s="22" t="str">
        <f>IFERROR(MATRIZ_174!X4,0)</f>
        <v/>
      </c>
      <c r="AG5" s="22" t="str">
        <f>IFERROR(MATRIZ_174!Y4,0)</f>
        <v/>
      </c>
      <c r="AH5" s="22" t="str">
        <f>IFERROR(MATRIZ_174!Z4,0)</f>
        <v/>
      </c>
      <c r="AI5" s="17" t="str">
        <f>IFERROR(MATRIZ_174!AP4,"—")</f>
        <v>—</v>
      </c>
      <c r="AJ5" s="17" t="str">
        <f>IFERROR(MATRIZ_174!AO4,"N/A")</f>
        <v>N/A</v>
      </c>
      <c r="AK5" s="23" t="str">
        <f t="shared" si="9"/>
        <v>N/A</v>
      </c>
      <c r="AL5" s="24" t="str">
        <f t="shared" si="10"/>
        <v>—</v>
      </c>
      <c r="AM5" t="str">
        <f>IFERROR(MATRIZ_174!AT4,"")</f>
        <v>sin dato</v>
      </c>
    </row>
    <row r="6" spans="1:39" ht="16.05" customHeight="1" x14ac:dyDescent="0.3">
      <c r="A6" s="13" t="s">
        <v>73</v>
      </c>
      <c r="B6" s="14" t="s">
        <v>74</v>
      </c>
      <c r="C6" s="13" t="s">
        <v>75</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t="str">
        <f t="shared" si="1"/>
        <v/>
      </c>
      <c r="R6" s="17" t="str">
        <f t="shared" si="2"/>
        <v/>
      </c>
      <c r="S6" s="17" t="str">
        <f t="shared" si="3"/>
        <v/>
      </c>
      <c r="T6" s="17" t="str">
        <f>IF(ISNUMBER(MATRIZ_174!O5),IFERROR((K6+M6+MATRIZ_174!O5*100)/3,0),"")</f>
        <v/>
      </c>
      <c r="U6" s="18">
        <f>IF(ISNUMBER(MATRIZ_174!M5),MIN(100,ROUND(MATRIZ_174!M5,1)),"")</f>
        <v>50</v>
      </c>
      <c r="V6" s="18">
        <f t="shared" si="4"/>
        <v>50</v>
      </c>
      <c r="W6" s="18">
        <f>IFERROR(IF(MATRIZ_174!R5=0,65,IF(MATRIZ_174!R5/MATRIZ_174!Q5&gt;=2,35,IF(MATRIZ_174!R5/MATRIZ_174!Q5&gt;=0.5,50,65))),65)</f>
        <v>65</v>
      </c>
      <c r="X6" s="18" t="str">
        <f>IF(ISNUMBER(MATRIZ_174!O5),MIN(100,IF(MATRIZ_174!O5=0,70,30)+IF(MATRIZ_174!U5="",0,0.3*(100-MATRIZ_174!U5*100))),"")</f>
        <v/>
      </c>
      <c r="Y6" s="18">
        <f>IF(OR(MATRIZ_174!P5="ASOCIACION",MATRIZ_174!P5="PENDIENTE"),65,40)</f>
        <v>65</v>
      </c>
      <c r="Z6" s="19" t="str">
        <f t="shared" si="5"/>
        <v>—</v>
      </c>
      <c r="AA6" s="20">
        <f t="shared" si="6"/>
        <v>57.5</v>
      </c>
      <c r="AB6" s="21" t="str">
        <f t="shared" si="7"/>
        <v>—</v>
      </c>
      <c r="AC6" s="13" t="str">
        <f t="shared" si="8"/>
        <v>⬜  Pendiente de instrumento</v>
      </c>
      <c r="AD6" s="13" t="str">
        <f>IF(MATRIZ_174!U5="","",IF(MATRIZ_174!U5=0,"🚫  Inh. vigente OSCE",""))</f>
        <v/>
      </c>
      <c r="AE6" s="22">
        <f>IFERROR(MATRIZ_174!W5,0)</f>
        <v>1</v>
      </c>
      <c r="AF6" s="22" t="str">
        <f>IFERROR(MATRIZ_174!X5,0)</f>
        <v/>
      </c>
      <c r="AG6" s="22" t="str">
        <f>IFERROR(MATRIZ_174!Y5,0)</f>
        <v/>
      </c>
      <c r="AH6" s="22" t="str">
        <f>IFERROR(MATRIZ_174!Z5,0)</f>
        <v/>
      </c>
      <c r="AI6" s="17">
        <f>IFERROR(MATRIZ_174!AP5,"—")</f>
        <v>0.5</v>
      </c>
      <c r="AJ6" s="17" t="str">
        <f>IFERROR(MATRIZ_174!AO5,"N/A")</f>
        <v>N/A</v>
      </c>
      <c r="AK6" s="23" t="str">
        <f t="shared" si="9"/>
        <v>N/A</v>
      </c>
      <c r="AL6" s="24" t="str">
        <f t="shared" si="10"/>
        <v>—</v>
      </c>
      <c r="AM6" t="str">
        <f>IFERROR(MATRIZ_174!AT5,"")</f>
        <v>parcial · 2/7 · D12-D15 0/4</v>
      </c>
    </row>
    <row r="7" spans="1:39" ht="16.05" customHeight="1" x14ac:dyDescent="0.3">
      <c r="A7" s="13" t="s">
        <v>76</v>
      </c>
      <c r="B7" s="14" t="s">
        <v>77</v>
      </c>
      <c r="C7" s="13" t="s">
        <v>78</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t="str">
        <f t="shared" si="1"/>
        <v/>
      </c>
      <c r="R7" s="17" t="str">
        <f t="shared" si="2"/>
        <v/>
      </c>
      <c r="S7" s="17" t="str">
        <f t="shared" si="3"/>
        <v/>
      </c>
      <c r="T7" s="17">
        <f>IF(ISNUMBER(MATRIZ_174!O6),IFERROR((K7+M7+MATRIZ_174!O6*100)/3,0),"")</f>
        <v>0</v>
      </c>
      <c r="U7" s="18" t="str">
        <f>IF(ISNUMBER(MATRIZ_174!M6),MIN(100,ROUND(MATRIZ_174!M6,1)),"")</f>
        <v/>
      </c>
      <c r="V7" s="18">
        <f t="shared" si="4"/>
        <v>50</v>
      </c>
      <c r="W7" s="18">
        <f>IFERROR(IF(MATRIZ_174!R6=0,65,IF(MATRIZ_174!R6/MATRIZ_174!Q6&gt;=2,35,IF(MATRIZ_174!R6/MATRIZ_174!Q6&gt;=0.5,50,65))),65)</f>
        <v>50</v>
      </c>
      <c r="X7" s="18">
        <f>IF(ISNUMBER(MATRIZ_174!O6),MIN(100,IF(MATRIZ_174!O6=0,70,30)+IF(MATRIZ_174!U6="",0,0.3*(100-MATRIZ_174!U6*100))),"")</f>
        <v>30</v>
      </c>
      <c r="Y7" s="18">
        <f>IF(OR(MATRIZ_174!P6="ASOCIACION",MATRIZ_174!P6="PENDIENTE"),65,40)</f>
        <v>65</v>
      </c>
      <c r="Z7" s="19" t="str">
        <f t="shared" si="5"/>
        <v>—</v>
      </c>
      <c r="AA7" s="20">
        <f t="shared" si="6"/>
        <v>48.8</v>
      </c>
      <c r="AB7" s="21" t="str">
        <f t="shared" si="7"/>
        <v>—</v>
      </c>
      <c r="AC7" s="13" t="str">
        <f t="shared" si="8"/>
        <v>⬜  Pendiente de instrumento</v>
      </c>
      <c r="AD7" s="13" t="str">
        <f>IF(MATRIZ_174!U6="","",IF(MATRIZ_174!U6=0,"🚫  Inh. vigente OSCE",""))</f>
        <v/>
      </c>
      <c r="AE7" s="22">
        <f>IFERROR(MATRIZ_174!W6,0)</f>
        <v>1</v>
      </c>
      <c r="AF7" s="22" t="str">
        <f>IFERROR(MATRIZ_174!X6,0)</f>
        <v/>
      </c>
      <c r="AG7" s="22" t="str">
        <f>IFERROR(MATRIZ_174!Y6,0)</f>
        <v/>
      </c>
      <c r="AH7" s="22" t="str">
        <f>IFERROR(MATRIZ_174!Z6,0)</f>
        <v/>
      </c>
      <c r="AI7" s="17">
        <f>IFERROR(MATRIZ_174!AP6,"—")</f>
        <v>0.52857142857142858</v>
      </c>
      <c r="AJ7" s="17" t="str">
        <f>IFERROR(MATRIZ_174!AO6,"N/A")</f>
        <v>N/A</v>
      </c>
      <c r="AK7" s="23" t="str">
        <f t="shared" si="9"/>
        <v>N/A</v>
      </c>
      <c r="AL7" s="24" t="str">
        <f t="shared" si="10"/>
        <v>—</v>
      </c>
      <c r="AM7" t="str">
        <f>IFERROR(MATRIZ_174!AT6,"")</f>
        <v>parcial · 2/7 · D12-D15 0/4</v>
      </c>
    </row>
    <row r="8" spans="1:39" ht="16.05" customHeight="1" x14ac:dyDescent="0.3">
      <c r="A8" s="13" t="s">
        <v>79</v>
      </c>
      <c r="B8" s="14" t="s">
        <v>80</v>
      </c>
      <c r="C8" s="13" t="s">
        <v>78</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t="str">
        <f t="shared" si="1"/>
        <v/>
      </c>
      <c r="R8" s="17" t="str">
        <f t="shared" si="2"/>
        <v/>
      </c>
      <c r="S8" s="17" t="str">
        <f t="shared" si="3"/>
        <v/>
      </c>
      <c r="T8" s="17">
        <f>IF(ISNUMBER(MATRIZ_174!O7),IFERROR((K8+M8+MATRIZ_174!O7*100)/3,0),"")</f>
        <v>0</v>
      </c>
      <c r="U8" s="18" t="str">
        <f>IF(ISNUMBER(MATRIZ_174!M7),MIN(100,ROUND(MATRIZ_174!M7,1)),"")</f>
        <v/>
      </c>
      <c r="V8" s="18">
        <f t="shared" si="4"/>
        <v>50</v>
      </c>
      <c r="W8" s="18">
        <f>IFERROR(IF(MATRIZ_174!R7=0,65,IF(MATRIZ_174!R7/MATRIZ_174!Q7&gt;=2,35,IF(MATRIZ_174!R7/MATRIZ_174!Q7&gt;=0.5,50,65))),65)</f>
        <v>35</v>
      </c>
      <c r="X8" s="18">
        <f>IF(ISNUMBER(MATRIZ_174!O7),MIN(100,IF(MATRIZ_174!O7=0,70,30)+IF(MATRIZ_174!U7="",0,0.3*(100-MATRIZ_174!U7*100))),"")</f>
        <v>30</v>
      </c>
      <c r="Y8" s="18">
        <f>IF(OR(MATRIZ_174!P7="ASOCIACION",MATRIZ_174!P7="PENDIENTE"),65,40)</f>
        <v>65</v>
      </c>
      <c r="Z8" s="19" t="str">
        <f t="shared" si="5"/>
        <v>—</v>
      </c>
      <c r="AA8" s="20">
        <f t="shared" si="6"/>
        <v>45</v>
      </c>
      <c r="AB8" s="21" t="str">
        <f t="shared" si="7"/>
        <v>—</v>
      </c>
      <c r="AC8" s="13" t="str">
        <f t="shared" si="8"/>
        <v>⬜  Pendiente de instrumento</v>
      </c>
      <c r="AD8" s="13" t="str">
        <f>IF(MATRIZ_174!U7="","",IF(MATRIZ_174!U7=0,"🚫  Inh. vigente OSCE",""))</f>
        <v/>
      </c>
      <c r="AE8" s="22">
        <f>IFERROR(MATRIZ_174!W7,0)</f>
        <v>1</v>
      </c>
      <c r="AF8" s="22" t="str">
        <f>IFERROR(MATRIZ_174!X7,0)</f>
        <v/>
      </c>
      <c r="AG8" s="22" t="str">
        <f>IFERROR(MATRIZ_174!Y7,0)</f>
        <v/>
      </c>
      <c r="AH8" s="22" t="str">
        <f>IFERROR(MATRIZ_174!Z7,0)</f>
        <v/>
      </c>
      <c r="AI8" s="17">
        <f>IFERROR(MATRIZ_174!AP7,"—")</f>
        <v>0.6428571428571429</v>
      </c>
      <c r="AJ8" s="17" t="str">
        <f>IFERROR(MATRIZ_174!AO7,"N/A")</f>
        <v>N/A</v>
      </c>
      <c r="AK8" s="23" t="str">
        <f t="shared" si="9"/>
        <v>N/A</v>
      </c>
      <c r="AL8" s="24" t="str">
        <f t="shared" si="10"/>
        <v>—</v>
      </c>
      <c r="AM8" t="str">
        <f>IFERROR(MATRIZ_174!AT7,"")</f>
        <v>parcial · 2/7 · D12-D15 0/4</v>
      </c>
    </row>
    <row r="9" spans="1:39" ht="16.05" customHeight="1" x14ac:dyDescent="0.3">
      <c r="A9" s="13" t="s">
        <v>82</v>
      </c>
      <c r="B9" s="14" t="s">
        <v>83</v>
      </c>
      <c r="C9" s="13" t="s">
        <v>78</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t="str">
        <f t="shared" si="1"/>
        <v/>
      </c>
      <c r="R9" s="17" t="str">
        <f t="shared" si="2"/>
        <v/>
      </c>
      <c r="S9" s="17" t="str">
        <f t="shared" si="3"/>
        <v/>
      </c>
      <c r="T9" s="17" t="str">
        <f>IF(ISNUMBER(MATRIZ_174!O8),IFERROR((K9+M9+MATRIZ_174!O8*100)/3,0),"")</f>
        <v/>
      </c>
      <c r="U9" s="18">
        <f>IF(ISNUMBER(MATRIZ_174!M8),MIN(100,ROUND(MATRIZ_174!M8,1)),"")</f>
        <v>50</v>
      </c>
      <c r="V9" s="18">
        <f t="shared" si="4"/>
        <v>50</v>
      </c>
      <c r="W9" s="18">
        <f>IFERROR(IF(MATRIZ_174!R8=0,65,IF(MATRIZ_174!R8/MATRIZ_174!Q8&gt;=2,35,IF(MATRIZ_174!R8/MATRIZ_174!Q8&gt;=0.5,50,65))),65)</f>
        <v>65</v>
      </c>
      <c r="X9" s="18" t="str">
        <f>IF(ISNUMBER(MATRIZ_174!O8),MIN(100,IF(MATRIZ_174!O8=0,70,30)+IF(MATRIZ_174!U8="",0,0.3*(100-MATRIZ_174!U8*100))),"")</f>
        <v/>
      </c>
      <c r="Y9" s="18">
        <f>IF(OR(MATRIZ_174!P8="ASOCIACION",MATRIZ_174!P8="PENDIENTE"),65,40)</f>
        <v>65</v>
      </c>
      <c r="Z9" s="19" t="str">
        <f t="shared" si="5"/>
        <v>—</v>
      </c>
      <c r="AA9" s="20">
        <f t="shared" si="6"/>
        <v>57.5</v>
      </c>
      <c r="AB9" s="21" t="str">
        <f t="shared" si="7"/>
        <v>—</v>
      </c>
      <c r="AC9" s="13" t="str">
        <f t="shared" si="8"/>
        <v>⬜  Pendiente de instrumento</v>
      </c>
      <c r="AD9" s="13" t="str">
        <f>IF(MATRIZ_174!U8="","",IF(MATRIZ_174!U8=0,"🚫  Inh. vigente OSCE",""))</f>
        <v/>
      </c>
      <c r="AE9" s="22">
        <f>IFERROR(MATRIZ_174!W8,0)</f>
        <v>1</v>
      </c>
      <c r="AF9" s="22" t="str">
        <f>IFERROR(MATRIZ_174!X8,0)</f>
        <v/>
      </c>
      <c r="AG9" s="22" t="str">
        <f>IFERROR(MATRIZ_174!Y8,0)</f>
        <v/>
      </c>
      <c r="AH9" s="22" t="str">
        <f>IFERROR(MATRIZ_174!Z8,0)</f>
        <v/>
      </c>
      <c r="AI9" s="17">
        <f>IFERROR(MATRIZ_174!AP8,"—")</f>
        <v>0.5</v>
      </c>
      <c r="AJ9" s="17" t="str">
        <f>IFERROR(MATRIZ_174!AO8,"N/A")</f>
        <v>N/A</v>
      </c>
      <c r="AK9" s="23" t="str">
        <f t="shared" si="9"/>
        <v>N/A</v>
      </c>
      <c r="AL9" s="24" t="str">
        <f t="shared" si="10"/>
        <v>—</v>
      </c>
      <c r="AM9" t="str">
        <f>IFERROR(MATRIZ_174!AT8,"")</f>
        <v>parcial · 2/7 · D12-D15 0/4</v>
      </c>
    </row>
    <row r="10" spans="1:39" ht="16.05" customHeight="1" x14ac:dyDescent="0.3">
      <c r="A10" s="13" t="s">
        <v>84</v>
      </c>
      <c r="B10" s="14" t="s">
        <v>85</v>
      </c>
      <c r="C10" s="13" t="s">
        <v>78</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t="str">
        <f t="shared" si="1"/>
        <v/>
      </c>
      <c r="R10" s="17" t="str">
        <f t="shared" si="2"/>
        <v/>
      </c>
      <c r="S10" s="17" t="str">
        <f t="shared" si="3"/>
        <v/>
      </c>
      <c r="T10" s="17" t="str">
        <f>IF(ISNUMBER(MATRIZ_174!O9),IFERROR((K10+M10+MATRIZ_174!O9*100)/3,0),"")</f>
        <v/>
      </c>
      <c r="U10" s="18">
        <f>IF(ISNUMBER(MATRIZ_174!M9),MIN(100,ROUND(MATRIZ_174!M9,1)),"")</f>
        <v>0</v>
      </c>
      <c r="V10" s="18">
        <f t="shared" si="4"/>
        <v>50</v>
      </c>
      <c r="W10" s="18">
        <f>IFERROR(IF(MATRIZ_174!R9=0,65,IF(MATRIZ_174!R9/MATRIZ_174!Q9&gt;=2,35,IF(MATRIZ_174!R9/MATRIZ_174!Q9&gt;=0.5,50,65))),65)</f>
        <v>65</v>
      </c>
      <c r="X10" s="18" t="str">
        <f>IF(ISNUMBER(MATRIZ_174!O9),MIN(100,IF(MATRIZ_174!O9=0,70,30)+IF(MATRIZ_174!U9="",0,0.3*(100-MATRIZ_174!U9*100))),"")</f>
        <v/>
      </c>
      <c r="Y10" s="18">
        <f>IF(OR(MATRIZ_174!P9="ASOCIACION",MATRIZ_174!P9="PENDIENTE"),65,40)</f>
        <v>65</v>
      </c>
      <c r="Z10" s="19" t="str">
        <f t="shared" si="5"/>
        <v>—</v>
      </c>
      <c r="AA10" s="20">
        <f t="shared" si="6"/>
        <v>45</v>
      </c>
      <c r="AB10" s="21" t="str">
        <f t="shared" si="7"/>
        <v>—</v>
      </c>
      <c r="AC10" s="13" t="str">
        <f t="shared" si="8"/>
        <v>⬜  Pendiente de instrumento</v>
      </c>
      <c r="AD10" s="13" t="str">
        <f>IF(MATRIZ_174!U9="","",IF(MATRIZ_174!U9=0,"🚫  Inh. vigente OSCE",""))</f>
        <v/>
      </c>
      <c r="AE10" s="22" t="str">
        <f>IFERROR(MATRIZ_174!W9,0)</f>
        <v/>
      </c>
      <c r="AF10" s="22" t="str">
        <f>IFERROR(MATRIZ_174!X9,0)</f>
        <v/>
      </c>
      <c r="AG10" s="22" t="str">
        <f>IFERROR(MATRIZ_174!Y9,0)</f>
        <v/>
      </c>
      <c r="AH10" s="22" t="str">
        <f>IFERROR(MATRIZ_174!Z9,0)</f>
        <v/>
      </c>
      <c r="AI10" s="17">
        <f>IFERROR(MATRIZ_174!AP9,"—")</f>
        <v>0</v>
      </c>
      <c r="AJ10" s="17" t="str">
        <f>IFERROR(MATRIZ_174!AO9,"N/A")</f>
        <v>N/A</v>
      </c>
      <c r="AK10" s="23" t="str">
        <f t="shared" si="9"/>
        <v>N/A</v>
      </c>
      <c r="AL10" s="24" t="str">
        <f t="shared" si="10"/>
        <v>—</v>
      </c>
      <c r="AM10" t="str">
        <f>IFERROR(MATRIZ_174!AT9,"")</f>
        <v>parcial · 1/7 · D12-D15 0/4</v>
      </c>
    </row>
    <row r="11" spans="1:39" ht="16.05" customHeight="1" x14ac:dyDescent="0.3">
      <c r="A11" s="13" t="s">
        <v>86</v>
      </c>
      <c r="B11" s="14" t="s">
        <v>87</v>
      </c>
      <c r="C11" s="13" t="s">
        <v>78</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t="str">
        <f t="shared" si="1"/>
        <v/>
      </c>
      <c r="R11" s="17" t="str">
        <f t="shared" si="2"/>
        <v/>
      </c>
      <c r="S11" s="17" t="str">
        <f t="shared" si="3"/>
        <v/>
      </c>
      <c r="T11" s="17">
        <f>IF(ISNUMBER(MATRIZ_174!O10),IFERROR((K11+M11+MATRIZ_174!O10*100)/3,0),"")</f>
        <v>0</v>
      </c>
      <c r="U11" s="18" t="str">
        <f>IF(ISNUMBER(MATRIZ_174!M10),MIN(100,ROUND(MATRIZ_174!M10,1)),"")</f>
        <v/>
      </c>
      <c r="V11" s="18">
        <f t="shared" si="4"/>
        <v>50</v>
      </c>
      <c r="W11" s="18">
        <f>IFERROR(IF(MATRIZ_174!R10=0,65,IF(MATRIZ_174!R10/MATRIZ_174!Q10&gt;=2,35,IF(MATRIZ_174!R10/MATRIZ_174!Q10&gt;=0.5,50,65))),65)</f>
        <v>35</v>
      </c>
      <c r="X11" s="18">
        <f>IF(ISNUMBER(MATRIZ_174!O10),MIN(100,IF(MATRIZ_174!O10=0,70,30)+IF(MATRIZ_174!U10="",0,0.3*(100-MATRIZ_174!U10*100))),"")</f>
        <v>30</v>
      </c>
      <c r="Y11" s="18">
        <f>IF(OR(MATRIZ_174!P10="ASOCIACION",MATRIZ_174!P10="PENDIENTE"),65,40)</f>
        <v>65</v>
      </c>
      <c r="Z11" s="19" t="str">
        <f t="shared" si="5"/>
        <v>—</v>
      </c>
      <c r="AA11" s="20">
        <f t="shared" si="6"/>
        <v>45</v>
      </c>
      <c r="AB11" s="21" t="str">
        <f t="shared" si="7"/>
        <v>—</v>
      </c>
      <c r="AC11" s="13" t="str">
        <f t="shared" si="8"/>
        <v>⬜  Pendiente de instrumento</v>
      </c>
      <c r="AD11" s="13" t="str">
        <f>IF(MATRIZ_174!U10="","",IF(MATRIZ_174!U10=0,"🚫  Inh. vigente OSCE",""))</f>
        <v/>
      </c>
      <c r="AE11" s="22">
        <f>IFERROR(MATRIZ_174!W10,0)</f>
        <v>1</v>
      </c>
      <c r="AF11" s="22" t="str">
        <f>IFERROR(MATRIZ_174!X10,0)</f>
        <v/>
      </c>
      <c r="AG11" s="22" t="str">
        <f>IFERROR(MATRIZ_174!Y10,0)</f>
        <v/>
      </c>
      <c r="AH11" s="22" t="str">
        <f>IFERROR(MATRIZ_174!Z10,0)</f>
        <v/>
      </c>
      <c r="AI11" s="17">
        <f>IFERROR(MATRIZ_174!AP10,"—")</f>
        <v>0.6428571428571429</v>
      </c>
      <c r="AJ11" s="17" t="str">
        <f>IFERROR(MATRIZ_174!AO10,"N/A")</f>
        <v>N/A</v>
      </c>
      <c r="AK11" s="23" t="str">
        <f t="shared" si="9"/>
        <v>N/A</v>
      </c>
      <c r="AL11" s="24" t="str">
        <f t="shared" si="10"/>
        <v>—</v>
      </c>
      <c r="AM11" t="str">
        <f>IFERROR(MATRIZ_174!AT10,"")</f>
        <v>parcial · 2/7 · D12-D15 0/4</v>
      </c>
    </row>
    <row r="12" spans="1:39" ht="16.05" customHeight="1" x14ac:dyDescent="0.3">
      <c r="A12" s="13" t="s">
        <v>88</v>
      </c>
      <c r="B12" s="14" t="s">
        <v>89</v>
      </c>
      <c r="C12" s="13" t="s">
        <v>78</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t="str">
        <f t="shared" si="1"/>
        <v/>
      </c>
      <c r="R12" s="17" t="str">
        <f t="shared" si="2"/>
        <v/>
      </c>
      <c r="S12" s="17" t="str">
        <f t="shared" si="3"/>
        <v/>
      </c>
      <c r="T12" s="17" t="str">
        <f>IF(ISNUMBER(MATRIZ_174!O11),IFERROR((K12+M12+MATRIZ_174!O11*100)/3,0),"")</f>
        <v/>
      </c>
      <c r="U12" s="18">
        <f>IF(ISNUMBER(MATRIZ_174!M11),MIN(100,ROUND(MATRIZ_174!M11,1)),"")</f>
        <v>0</v>
      </c>
      <c r="V12" s="18">
        <f t="shared" si="4"/>
        <v>50</v>
      </c>
      <c r="W12" s="18">
        <f>IFERROR(IF(MATRIZ_174!R11=0,65,IF(MATRIZ_174!R11/MATRIZ_174!Q11&gt;=2,35,IF(MATRIZ_174!R11/MATRIZ_174!Q11&gt;=0.5,50,65))),65)</f>
        <v>65</v>
      </c>
      <c r="X12" s="18" t="str">
        <f>IF(ISNUMBER(MATRIZ_174!O11),MIN(100,IF(MATRIZ_174!O11=0,70,30)+IF(MATRIZ_174!U11="",0,0.3*(100-MATRIZ_174!U11*100))),"")</f>
        <v/>
      </c>
      <c r="Y12" s="18">
        <f>IF(OR(MATRIZ_174!P11="ASOCIACION",MATRIZ_174!P11="PENDIENTE"),65,40)</f>
        <v>65</v>
      </c>
      <c r="Z12" s="19" t="str">
        <f t="shared" si="5"/>
        <v>—</v>
      </c>
      <c r="AA12" s="20">
        <f t="shared" si="6"/>
        <v>45</v>
      </c>
      <c r="AB12" s="21" t="str">
        <f t="shared" si="7"/>
        <v>—</v>
      </c>
      <c r="AC12" s="13" t="str">
        <f t="shared" si="8"/>
        <v>⬜  Pendiente de instrumento</v>
      </c>
      <c r="AD12" s="13" t="str">
        <f>IF(MATRIZ_174!U11="","",IF(MATRIZ_174!U11=0,"🚫  Inh. vigente OSCE",""))</f>
        <v/>
      </c>
      <c r="AE12" s="22" t="str">
        <f>IFERROR(MATRIZ_174!W11,0)</f>
        <v/>
      </c>
      <c r="AF12" s="22" t="str">
        <f>IFERROR(MATRIZ_174!X11,0)</f>
        <v/>
      </c>
      <c r="AG12" s="22" t="str">
        <f>IFERROR(MATRIZ_174!Y11,0)</f>
        <v/>
      </c>
      <c r="AH12" s="22" t="str">
        <f>IFERROR(MATRIZ_174!Z11,0)</f>
        <v/>
      </c>
      <c r="AI12" s="17">
        <f>IFERROR(MATRIZ_174!AP11,"—")</f>
        <v>0</v>
      </c>
      <c r="AJ12" s="17" t="str">
        <f>IFERROR(MATRIZ_174!AO11,"N/A")</f>
        <v>N/A</v>
      </c>
      <c r="AK12" s="23" t="str">
        <f t="shared" si="9"/>
        <v>N/A</v>
      </c>
      <c r="AL12" s="24" t="str">
        <f t="shared" si="10"/>
        <v>—</v>
      </c>
      <c r="AM12" t="str">
        <f>IFERROR(MATRIZ_174!AT11,"")</f>
        <v>parcial · 1/7 · D12-D15 0/4</v>
      </c>
    </row>
    <row r="13" spans="1:39" ht="16.05" customHeight="1" x14ac:dyDescent="0.3">
      <c r="A13" s="13" t="s">
        <v>90</v>
      </c>
      <c r="B13" s="14" t="s">
        <v>91</v>
      </c>
      <c r="C13" s="13" t="s">
        <v>78</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t="str">
        <f t="shared" si="1"/>
        <v/>
      </c>
      <c r="R13" s="17" t="str">
        <f t="shared" si="2"/>
        <v/>
      </c>
      <c r="S13" s="17" t="str">
        <f t="shared" si="3"/>
        <v/>
      </c>
      <c r="T13" s="17">
        <f>IF(ISNUMBER(MATRIZ_174!O12),IFERROR((K13+M13+MATRIZ_174!O12*100)/3,0),"")</f>
        <v>0</v>
      </c>
      <c r="U13" s="18">
        <f>IF(ISNUMBER(MATRIZ_174!M12),MIN(100,ROUND(MATRIZ_174!M12,1)),"")</f>
        <v>20.100000000000001</v>
      </c>
      <c r="V13" s="18">
        <f t="shared" si="4"/>
        <v>50</v>
      </c>
      <c r="W13" s="18">
        <f>IFERROR(IF(MATRIZ_174!R12=0,65,IF(MATRIZ_174!R12/MATRIZ_174!Q12&gt;=2,35,IF(MATRIZ_174!R12/MATRIZ_174!Q12&gt;=0.5,50,65))),65)</f>
        <v>35</v>
      </c>
      <c r="X13" s="18">
        <f>IF(ISNUMBER(MATRIZ_174!O12),MIN(100,IF(MATRIZ_174!O12=0,70,30)+IF(MATRIZ_174!U12="",0,0.3*(100-MATRIZ_174!U12*100))),"")</f>
        <v>37.5</v>
      </c>
      <c r="Y13" s="18">
        <f>IF(OR(MATRIZ_174!P12="ASOCIACION",MATRIZ_174!P12="PENDIENTE"),65,40)</f>
        <v>65</v>
      </c>
      <c r="Z13" s="19" t="str">
        <f t="shared" si="5"/>
        <v>—</v>
      </c>
      <c r="AA13" s="20">
        <f t="shared" si="6"/>
        <v>41.5</v>
      </c>
      <c r="AB13" s="21" t="str">
        <f t="shared" si="7"/>
        <v>—</v>
      </c>
      <c r="AC13" s="13" t="str">
        <f t="shared" si="8"/>
        <v>⬜  Pendiente de instrumento</v>
      </c>
      <c r="AD13" s="13" t="str">
        <f>IF(MATRIZ_174!U12="","",IF(MATRIZ_174!U12=0,"🚫  Inh. vigente OSCE",""))</f>
        <v/>
      </c>
      <c r="AE13" s="22">
        <f>IFERROR(MATRIZ_174!W12,0)</f>
        <v>1</v>
      </c>
      <c r="AF13" s="22" t="str">
        <f>IFERROR(MATRIZ_174!X12,0)</f>
        <v/>
      </c>
      <c r="AG13" s="22" t="str">
        <f>IFERROR(MATRIZ_174!Y12,0)</f>
        <v/>
      </c>
      <c r="AH13" s="22" t="str">
        <f>IFERROR(MATRIZ_174!Z12,0)</f>
        <v/>
      </c>
      <c r="AI13" s="17">
        <f>IFERROR(MATRIZ_174!AP12,"—")</f>
        <v>0.45874999999999999</v>
      </c>
      <c r="AJ13" s="17" t="str">
        <f>IFERROR(MATRIZ_174!AO12,"N/A")</f>
        <v>N/A</v>
      </c>
      <c r="AK13" s="23" t="str">
        <f t="shared" si="9"/>
        <v>N/A</v>
      </c>
      <c r="AL13" s="24" t="str">
        <f t="shared" si="10"/>
        <v>—</v>
      </c>
      <c r="AM13" t="str">
        <f>IFERROR(MATRIZ_174!AT12,"")</f>
        <v>parcial · 3/7 · D12-D15 0/4</v>
      </c>
    </row>
    <row r="14" spans="1:39" ht="16.05" customHeight="1" x14ac:dyDescent="0.3">
      <c r="A14" s="13" t="s">
        <v>93</v>
      </c>
      <c r="B14" s="14" t="s">
        <v>94</v>
      </c>
      <c r="C14" s="13" t="s">
        <v>78</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t="str">
        <f t="shared" si="1"/>
        <v/>
      </c>
      <c r="R14" s="17" t="str">
        <f t="shared" si="2"/>
        <v/>
      </c>
      <c r="S14" s="17" t="str">
        <f t="shared" si="3"/>
        <v/>
      </c>
      <c r="T14" s="17">
        <f>IF(ISNUMBER(MATRIZ_174!O13),IFERROR((K14+M14+MATRIZ_174!O13*100)/3,0),"")</f>
        <v>0</v>
      </c>
      <c r="U14" s="18" t="str">
        <f>IF(ISNUMBER(MATRIZ_174!M13),MIN(100,ROUND(MATRIZ_174!M13,1)),"")</f>
        <v/>
      </c>
      <c r="V14" s="18">
        <f t="shared" si="4"/>
        <v>50</v>
      </c>
      <c r="W14" s="18">
        <f>IFERROR(IF(MATRIZ_174!R13=0,65,IF(MATRIZ_174!R13/MATRIZ_174!Q13&gt;=2,35,IF(MATRIZ_174!R13/MATRIZ_174!Q13&gt;=0.5,50,65))),65)</f>
        <v>35</v>
      </c>
      <c r="X14" s="18">
        <f>IF(ISNUMBER(MATRIZ_174!O13),MIN(100,IF(MATRIZ_174!O13=0,70,30)+IF(MATRIZ_174!U13="",0,0.3*(100-MATRIZ_174!U13*100))),"")</f>
        <v>30</v>
      </c>
      <c r="Y14" s="18">
        <f>IF(OR(MATRIZ_174!P13="ASOCIACION",MATRIZ_174!P13="PENDIENTE"),65,40)</f>
        <v>65</v>
      </c>
      <c r="Z14" s="19" t="str">
        <f t="shared" si="5"/>
        <v>—</v>
      </c>
      <c r="AA14" s="20">
        <f t="shared" si="6"/>
        <v>45</v>
      </c>
      <c r="AB14" s="21" t="str">
        <f t="shared" si="7"/>
        <v>—</v>
      </c>
      <c r="AC14" s="13" t="str">
        <f t="shared" si="8"/>
        <v>⬜  Pendiente de instrumento</v>
      </c>
      <c r="AD14" s="13" t="str">
        <f>IF(MATRIZ_174!U13="","",IF(MATRIZ_174!U13=0,"🚫  Inh. vigente OSCE",""))</f>
        <v/>
      </c>
      <c r="AE14" s="22">
        <f>IFERROR(MATRIZ_174!W13,0)</f>
        <v>1</v>
      </c>
      <c r="AF14" s="22" t="str">
        <f>IFERROR(MATRIZ_174!X13,0)</f>
        <v/>
      </c>
      <c r="AG14" s="22" t="str">
        <f>IFERROR(MATRIZ_174!Y13,0)</f>
        <v/>
      </c>
      <c r="AH14" s="22" t="str">
        <f>IFERROR(MATRIZ_174!Z13,0)</f>
        <v/>
      </c>
      <c r="AI14" s="17">
        <f>IFERROR(MATRIZ_174!AP13,"—")</f>
        <v>0.52857142857142858</v>
      </c>
      <c r="AJ14" s="17" t="str">
        <f>IFERROR(MATRIZ_174!AO13,"N/A")</f>
        <v>N/A</v>
      </c>
      <c r="AK14" s="23" t="str">
        <f t="shared" si="9"/>
        <v>N/A</v>
      </c>
      <c r="AL14" s="24" t="str">
        <f t="shared" si="10"/>
        <v>—</v>
      </c>
      <c r="AM14" t="str">
        <f>IFERROR(MATRIZ_174!AT13,"")</f>
        <v>parcial · 2/7 · D12-D15 0/4</v>
      </c>
    </row>
    <row r="15" spans="1:39" ht="16.05" customHeight="1" x14ac:dyDescent="0.3">
      <c r="A15" s="13" t="s">
        <v>95</v>
      </c>
      <c r="B15" s="14" t="s">
        <v>96</v>
      </c>
      <c r="C15" s="13" t="s">
        <v>70</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t="str">
        <f t="shared" si="1"/>
        <v/>
      </c>
      <c r="R15" s="17" t="str">
        <f t="shared" si="2"/>
        <v/>
      </c>
      <c r="S15" s="17" t="str">
        <f t="shared" si="3"/>
        <v/>
      </c>
      <c r="T15" s="17" t="str">
        <f>IF(ISNUMBER(MATRIZ_174!O14),IFERROR((K15+M15+MATRIZ_174!O14*100)/3,0),"")</f>
        <v/>
      </c>
      <c r="U15" s="18">
        <f>IF(ISNUMBER(MATRIZ_174!M14),MIN(100,ROUND(MATRIZ_174!M14,1)),"")</f>
        <v>50</v>
      </c>
      <c r="V15" s="18">
        <f t="shared" si="4"/>
        <v>50</v>
      </c>
      <c r="W15" s="18">
        <f>IFERROR(IF(MATRIZ_174!R14=0,65,IF(MATRIZ_174!R14/MATRIZ_174!Q14&gt;=2,35,IF(MATRIZ_174!R14/MATRIZ_174!Q14&gt;=0.5,50,65))),65)</f>
        <v>65</v>
      </c>
      <c r="X15" s="18" t="str">
        <f>IF(ISNUMBER(MATRIZ_174!O14),MIN(100,IF(MATRIZ_174!O14=0,70,30)+IF(MATRIZ_174!U14="",0,0.3*(100-MATRIZ_174!U14*100))),"")</f>
        <v/>
      </c>
      <c r="Y15" s="18">
        <f>IF(OR(MATRIZ_174!P14="ASOCIACION",MATRIZ_174!P14="PENDIENTE"),65,40)</f>
        <v>65</v>
      </c>
      <c r="Z15" s="19" t="str">
        <f t="shared" si="5"/>
        <v>—</v>
      </c>
      <c r="AA15" s="20">
        <f t="shared" si="6"/>
        <v>57.5</v>
      </c>
      <c r="AB15" s="21" t="str">
        <f t="shared" si="7"/>
        <v>—</v>
      </c>
      <c r="AC15" s="13" t="str">
        <f t="shared" si="8"/>
        <v>⬜  Pendiente de instrumento</v>
      </c>
      <c r="AD15" s="13" t="str">
        <f>IF(MATRIZ_174!U14="","",IF(MATRIZ_174!U14=0,"🚫  Inh. vigente OSCE",""))</f>
        <v/>
      </c>
      <c r="AE15" s="22">
        <f>IFERROR(MATRIZ_174!W14,0)</f>
        <v>1</v>
      </c>
      <c r="AF15" s="22" t="str">
        <f>IFERROR(MATRIZ_174!X14,0)</f>
        <v/>
      </c>
      <c r="AG15" s="22" t="str">
        <f>IFERROR(MATRIZ_174!Y14,0)</f>
        <v/>
      </c>
      <c r="AH15" s="22" t="str">
        <f>IFERROR(MATRIZ_174!Z14,0)</f>
        <v/>
      </c>
      <c r="AI15" s="17">
        <f>IFERROR(MATRIZ_174!AP14,"—")</f>
        <v>0.5</v>
      </c>
      <c r="AJ15" s="17" t="str">
        <f>IFERROR(MATRIZ_174!AO14,"N/A")</f>
        <v>N/A</v>
      </c>
      <c r="AK15" s="23" t="str">
        <f t="shared" si="9"/>
        <v>N/A</v>
      </c>
      <c r="AL15" s="24" t="str">
        <f t="shared" si="10"/>
        <v>—</v>
      </c>
      <c r="AM15" t="str">
        <f>IFERROR(MATRIZ_174!AT14,"")</f>
        <v>parcial · 2/7 · D12-D15 0/4</v>
      </c>
    </row>
    <row r="16" spans="1:39" ht="16.05" customHeight="1" x14ac:dyDescent="0.3">
      <c r="A16" s="13" t="s">
        <v>97</v>
      </c>
      <c r="B16" s="14" t="s">
        <v>98</v>
      </c>
      <c r="C16" s="13" t="s">
        <v>62</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t="str">
        <f t="shared" si="1"/>
        <v/>
      </c>
      <c r="R16" s="17" t="str">
        <f t="shared" si="2"/>
        <v/>
      </c>
      <c r="S16" s="17" t="str">
        <f t="shared" si="3"/>
        <v/>
      </c>
      <c r="T16" s="17" t="str">
        <f>IF(ISNUMBER(MATRIZ_174!O15),IFERROR((K16+M16+MATRIZ_174!O15*100)/3,0),"")</f>
        <v/>
      </c>
      <c r="U16" s="18" t="str">
        <f>IF(ISNUMBER(MATRIZ_174!M15),MIN(100,ROUND(MATRIZ_174!M15,1)),"")</f>
        <v/>
      </c>
      <c r="V16" s="18">
        <f t="shared" si="4"/>
        <v>50</v>
      </c>
      <c r="W16" s="18">
        <f>IFERROR(IF(MATRIZ_174!R15=0,65,IF(MATRIZ_174!R15/MATRIZ_174!Q15&gt;=2,35,IF(MATRIZ_174!R15/MATRIZ_174!Q15&gt;=0.5,50,65))),65)</f>
        <v>65</v>
      </c>
      <c r="X16" s="18" t="str">
        <f>IF(ISNUMBER(MATRIZ_174!O15),MIN(100,IF(MATRIZ_174!O15=0,70,30)+IF(MATRIZ_174!U15="",0,0.3*(100-MATRIZ_174!U15*100))),"")</f>
        <v/>
      </c>
      <c r="Y16" s="18">
        <f>IF(OR(MATRIZ_174!P15="ASOCIACION",MATRIZ_174!P15="PENDIENTE"),65,40)</f>
        <v>65</v>
      </c>
      <c r="Z16" s="19" t="str">
        <f t="shared" si="5"/>
        <v>—</v>
      </c>
      <c r="AA16" s="20">
        <f t="shared" si="6"/>
        <v>60</v>
      </c>
      <c r="AB16" s="21" t="str">
        <f t="shared" si="7"/>
        <v>—</v>
      </c>
      <c r="AC16" s="13" t="str">
        <f t="shared" si="8"/>
        <v>⬜  Pendiente de instrumento</v>
      </c>
      <c r="AD16" s="13" t="str">
        <f>IF(MATRIZ_174!U15="","",IF(MATRIZ_174!U15=0,"🚫  Inh. vigente OSCE",""))</f>
        <v/>
      </c>
      <c r="AE16" s="22" t="str">
        <f>IFERROR(MATRIZ_174!W15,0)</f>
        <v/>
      </c>
      <c r="AF16" s="22" t="str">
        <f>IFERROR(MATRIZ_174!X15,0)</f>
        <v/>
      </c>
      <c r="AG16" s="22" t="str">
        <f>IFERROR(MATRIZ_174!Y15,0)</f>
        <v/>
      </c>
      <c r="AH16" s="22" t="str">
        <f>IFERROR(MATRIZ_174!Z15,0)</f>
        <v/>
      </c>
      <c r="AI16" s="17" t="str">
        <f>IFERROR(MATRIZ_174!AP15,"—")</f>
        <v>—</v>
      </c>
      <c r="AJ16" s="17" t="str">
        <f>IFERROR(MATRIZ_174!AO15,"N/A")</f>
        <v>N/A</v>
      </c>
      <c r="AK16" s="23" t="str">
        <f t="shared" si="9"/>
        <v>N/A</v>
      </c>
      <c r="AL16" s="24" t="str">
        <f t="shared" si="10"/>
        <v>—</v>
      </c>
      <c r="AM16" t="str">
        <f>IFERROR(MATRIZ_174!AT15,"")</f>
        <v>sin dato</v>
      </c>
    </row>
    <row r="17" spans="1:39" ht="16.05" customHeight="1" x14ac:dyDescent="0.3">
      <c r="A17" s="13" t="s">
        <v>99</v>
      </c>
      <c r="B17" s="14" t="s">
        <v>100</v>
      </c>
      <c r="C17" s="13" t="s">
        <v>101</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t="str">
        <f t="shared" si="1"/>
        <v/>
      </c>
      <c r="R17" s="17" t="str">
        <f t="shared" si="2"/>
        <v/>
      </c>
      <c r="S17" s="17" t="str">
        <f t="shared" si="3"/>
        <v/>
      </c>
      <c r="T17" s="17" t="str">
        <f>IF(ISNUMBER(MATRIZ_174!O16),IFERROR((K17+M17+MATRIZ_174!O16*100)/3,0),"")</f>
        <v/>
      </c>
      <c r="U17" s="18" t="str">
        <f>IF(ISNUMBER(MATRIZ_174!M16),MIN(100,ROUND(MATRIZ_174!M16,1)),"")</f>
        <v/>
      </c>
      <c r="V17" s="18">
        <f t="shared" si="4"/>
        <v>50</v>
      </c>
      <c r="W17" s="18">
        <f>IFERROR(IF(MATRIZ_174!R16=0,65,IF(MATRIZ_174!R16/MATRIZ_174!Q16&gt;=2,35,IF(MATRIZ_174!R16/MATRIZ_174!Q16&gt;=0.5,50,65))),65)</f>
        <v>65</v>
      </c>
      <c r="X17" s="18" t="str">
        <f>IF(ISNUMBER(MATRIZ_174!O16),MIN(100,IF(MATRIZ_174!O16=0,70,30)+IF(MATRIZ_174!U16="",0,0.3*(100-MATRIZ_174!U16*100))),"")</f>
        <v/>
      </c>
      <c r="Y17" s="18">
        <f>IF(OR(MATRIZ_174!P16="ASOCIACION",MATRIZ_174!P16="PENDIENTE"),65,40)</f>
        <v>65</v>
      </c>
      <c r="Z17" s="19" t="str">
        <f t="shared" si="5"/>
        <v>—</v>
      </c>
      <c r="AA17" s="20">
        <f t="shared" si="6"/>
        <v>60</v>
      </c>
      <c r="AB17" s="21" t="str">
        <f t="shared" si="7"/>
        <v>—</v>
      </c>
      <c r="AC17" s="13" t="str">
        <f t="shared" si="8"/>
        <v>⬜  Pendiente de instrumento</v>
      </c>
      <c r="AD17" s="13" t="str">
        <f>IF(MATRIZ_174!U16="","",IF(MATRIZ_174!U16=0,"🚫  Inh. vigente OSCE",""))</f>
        <v/>
      </c>
      <c r="AE17" s="22" t="str">
        <f>IFERROR(MATRIZ_174!W16,0)</f>
        <v/>
      </c>
      <c r="AF17" s="22" t="str">
        <f>IFERROR(MATRIZ_174!X16,0)</f>
        <v/>
      </c>
      <c r="AG17" s="22" t="str">
        <f>IFERROR(MATRIZ_174!Y16,0)</f>
        <v/>
      </c>
      <c r="AH17" s="22" t="str">
        <f>IFERROR(MATRIZ_174!Z16,0)</f>
        <v/>
      </c>
      <c r="AI17" s="17" t="str">
        <f>IFERROR(MATRIZ_174!AP16,"—")</f>
        <v>—</v>
      </c>
      <c r="AJ17" s="17" t="str">
        <f>IFERROR(MATRIZ_174!AO16,"N/A")</f>
        <v>N/A</v>
      </c>
      <c r="AK17" s="23" t="str">
        <f t="shared" si="9"/>
        <v>N/A</v>
      </c>
      <c r="AL17" s="24" t="str">
        <f t="shared" si="10"/>
        <v>—</v>
      </c>
      <c r="AM17" t="str">
        <f>IFERROR(MATRIZ_174!AT16,"")</f>
        <v>sin dato</v>
      </c>
    </row>
    <row r="18" spans="1:39" ht="16.05" customHeight="1" x14ac:dyDescent="0.3">
      <c r="A18" s="13" t="s">
        <v>102</v>
      </c>
      <c r="B18" s="14" t="s">
        <v>103</v>
      </c>
      <c r="C18" s="13" t="s">
        <v>78</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t="str">
        <f t="shared" si="1"/>
        <v/>
      </c>
      <c r="R18" s="17" t="str">
        <f t="shared" si="2"/>
        <v/>
      </c>
      <c r="S18" s="17" t="str">
        <f t="shared" si="3"/>
        <v/>
      </c>
      <c r="T18" s="17">
        <f>IF(ISNUMBER(MATRIZ_174!O17),IFERROR((K18+M18+MATRIZ_174!O17*100)/3,0),"")</f>
        <v>0</v>
      </c>
      <c r="U18" s="18" t="str">
        <f>IF(ISNUMBER(MATRIZ_174!M17),MIN(100,ROUND(MATRIZ_174!M17,1)),"")</f>
        <v/>
      </c>
      <c r="V18" s="18">
        <f t="shared" si="4"/>
        <v>50</v>
      </c>
      <c r="W18" s="18">
        <f>IFERROR(IF(MATRIZ_174!R17=0,65,IF(MATRIZ_174!R17/MATRIZ_174!Q17&gt;=2,35,IF(MATRIZ_174!R17/MATRIZ_174!Q17&gt;=0.5,50,65))),65)</f>
        <v>35</v>
      </c>
      <c r="X18" s="18">
        <f>IF(ISNUMBER(MATRIZ_174!O17),MIN(100,IF(MATRIZ_174!O17=0,70,30)+IF(MATRIZ_174!U17="",0,0.3*(100-MATRIZ_174!U17*100))),"")</f>
        <v>30</v>
      </c>
      <c r="Y18" s="18">
        <f>IF(OR(MATRIZ_174!P17="ASOCIACION",MATRIZ_174!P17="PENDIENTE"),65,40)</f>
        <v>65</v>
      </c>
      <c r="Z18" s="19" t="str">
        <f t="shared" si="5"/>
        <v>—</v>
      </c>
      <c r="AA18" s="20">
        <f t="shared" si="6"/>
        <v>45</v>
      </c>
      <c r="AB18" s="21" t="str">
        <f t="shared" si="7"/>
        <v>—</v>
      </c>
      <c r="AC18" s="13" t="str">
        <f t="shared" si="8"/>
        <v>⬜  Pendiente de instrumento</v>
      </c>
      <c r="AD18" s="13" t="str">
        <f>IF(MATRIZ_174!U17="","",IF(MATRIZ_174!U17=0,"🚫  Inh. vigente OSCE",""))</f>
        <v/>
      </c>
      <c r="AE18" s="22">
        <f>IFERROR(MATRIZ_174!W17,0)</f>
        <v>1</v>
      </c>
      <c r="AF18" s="22" t="str">
        <f>IFERROR(MATRIZ_174!X17,0)</f>
        <v/>
      </c>
      <c r="AG18" s="22" t="str">
        <f>IFERROR(MATRIZ_174!Y17,0)</f>
        <v/>
      </c>
      <c r="AH18" s="22" t="str">
        <f>IFERROR(MATRIZ_174!Z17,0)</f>
        <v/>
      </c>
      <c r="AI18" s="17">
        <f>IFERROR(MATRIZ_174!AP17,"—")</f>
        <v>0.52857142857142858</v>
      </c>
      <c r="AJ18" s="17" t="str">
        <f>IFERROR(MATRIZ_174!AO17,"N/A")</f>
        <v>N/A</v>
      </c>
      <c r="AK18" s="23" t="str">
        <f t="shared" si="9"/>
        <v>N/A</v>
      </c>
      <c r="AL18" s="24" t="str">
        <f t="shared" si="10"/>
        <v>—</v>
      </c>
      <c r="AM18" t="str">
        <f>IFERROR(MATRIZ_174!AT17,"")</f>
        <v>parcial · 2/7 · D12-D15 0/4</v>
      </c>
    </row>
    <row r="19" spans="1:39" ht="16.05" customHeight="1" x14ac:dyDescent="0.3">
      <c r="A19" s="13" t="s">
        <v>105</v>
      </c>
      <c r="B19" s="14" t="s">
        <v>106</v>
      </c>
      <c r="C19" s="13" t="s">
        <v>107</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t="str">
        <f t="shared" si="1"/>
        <v/>
      </c>
      <c r="R19" s="17" t="str">
        <f t="shared" si="2"/>
        <v/>
      </c>
      <c r="S19" s="17" t="str">
        <f t="shared" si="3"/>
        <v/>
      </c>
      <c r="T19" s="17" t="str">
        <f>IF(ISNUMBER(MATRIZ_174!O18),IFERROR((K19+M19+MATRIZ_174!O18*100)/3,0),"")</f>
        <v/>
      </c>
      <c r="U19" s="18" t="str">
        <f>IF(ISNUMBER(MATRIZ_174!M18),MIN(100,ROUND(MATRIZ_174!M18,1)),"")</f>
        <v/>
      </c>
      <c r="V19" s="18">
        <f t="shared" si="4"/>
        <v>50</v>
      </c>
      <c r="W19" s="18">
        <f>IFERROR(IF(MATRIZ_174!R18=0,65,IF(MATRIZ_174!R18/MATRIZ_174!Q18&gt;=2,35,IF(MATRIZ_174!R18/MATRIZ_174!Q18&gt;=0.5,50,65))),65)</f>
        <v>65</v>
      </c>
      <c r="X19" s="18" t="str">
        <f>IF(ISNUMBER(MATRIZ_174!O18),MIN(100,IF(MATRIZ_174!O18=0,70,30)+IF(MATRIZ_174!U18="",0,0.3*(100-MATRIZ_174!U18*100))),"")</f>
        <v/>
      </c>
      <c r="Y19" s="18">
        <f>IF(OR(MATRIZ_174!P18="ASOCIACION",MATRIZ_174!P18="PENDIENTE"),65,40)</f>
        <v>65</v>
      </c>
      <c r="Z19" s="19" t="str">
        <f t="shared" si="5"/>
        <v>—</v>
      </c>
      <c r="AA19" s="20">
        <f t="shared" si="6"/>
        <v>60</v>
      </c>
      <c r="AB19" s="21" t="str">
        <f t="shared" si="7"/>
        <v>—</v>
      </c>
      <c r="AC19" s="13" t="str">
        <f t="shared" si="8"/>
        <v>⬜  Pendiente de instrumento</v>
      </c>
      <c r="AD19" s="13" t="str">
        <f>IF(MATRIZ_174!U18="","",IF(MATRIZ_174!U18=0,"🚫  Inh. vigente OSCE",""))</f>
        <v/>
      </c>
      <c r="AE19" s="22" t="str">
        <f>IFERROR(MATRIZ_174!W18,0)</f>
        <v/>
      </c>
      <c r="AF19" s="22" t="str">
        <f>IFERROR(MATRIZ_174!X18,0)</f>
        <v/>
      </c>
      <c r="AG19" s="22" t="str">
        <f>IFERROR(MATRIZ_174!Y18,0)</f>
        <v/>
      </c>
      <c r="AH19" s="22" t="str">
        <f>IFERROR(MATRIZ_174!Z18,0)</f>
        <v/>
      </c>
      <c r="AI19" s="17" t="str">
        <f>IFERROR(MATRIZ_174!AP18,"—")</f>
        <v>—</v>
      </c>
      <c r="AJ19" s="17" t="str">
        <f>IFERROR(MATRIZ_174!AO18,"N/A")</f>
        <v>N/A</v>
      </c>
      <c r="AK19" s="23" t="str">
        <f t="shared" si="9"/>
        <v>N/A</v>
      </c>
      <c r="AL19" s="24" t="str">
        <f t="shared" si="10"/>
        <v>—</v>
      </c>
      <c r="AM19" t="str">
        <f>IFERROR(MATRIZ_174!AT18,"")</f>
        <v>sin dato</v>
      </c>
    </row>
    <row r="20" spans="1:39" ht="16.05" customHeight="1" x14ac:dyDescent="0.3">
      <c r="A20" s="13" t="s">
        <v>108</v>
      </c>
      <c r="B20" s="14" t="s">
        <v>109</v>
      </c>
      <c r="C20" s="13" t="s">
        <v>110</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t="str">
        <f t="shared" si="1"/>
        <v/>
      </c>
      <c r="R20" s="17" t="str">
        <f t="shared" si="2"/>
        <v/>
      </c>
      <c r="S20" s="17" t="str">
        <f t="shared" si="3"/>
        <v/>
      </c>
      <c r="T20" s="17" t="str">
        <f>IF(ISNUMBER(MATRIZ_174!O19),IFERROR((K20+M20+MATRIZ_174!O19*100)/3,0),"")</f>
        <v/>
      </c>
      <c r="U20" s="18">
        <f>IF(ISNUMBER(MATRIZ_174!M19),MIN(100,ROUND(MATRIZ_174!M19,1)),"")</f>
        <v>50</v>
      </c>
      <c r="V20" s="18">
        <f t="shared" si="4"/>
        <v>50</v>
      </c>
      <c r="W20" s="18">
        <f>IFERROR(IF(MATRIZ_174!R19=0,65,IF(MATRIZ_174!R19/MATRIZ_174!Q19&gt;=2,35,IF(MATRIZ_174!R19/MATRIZ_174!Q19&gt;=0.5,50,65))),65)</f>
        <v>65</v>
      </c>
      <c r="X20" s="18" t="str">
        <f>IF(ISNUMBER(MATRIZ_174!O19),MIN(100,IF(MATRIZ_174!O19=0,70,30)+IF(MATRIZ_174!U19="",0,0.3*(100-MATRIZ_174!U19*100))),"")</f>
        <v/>
      </c>
      <c r="Y20" s="18">
        <f>IF(OR(MATRIZ_174!P19="ASOCIACION",MATRIZ_174!P19="PENDIENTE"),65,40)</f>
        <v>65</v>
      </c>
      <c r="Z20" s="19" t="str">
        <f t="shared" si="5"/>
        <v>—</v>
      </c>
      <c r="AA20" s="20">
        <f t="shared" si="6"/>
        <v>57.5</v>
      </c>
      <c r="AB20" s="21" t="str">
        <f t="shared" si="7"/>
        <v>—</v>
      </c>
      <c r="AC20" s="13" t="str">
        <f t="shared" si="8"/>
        <v>⬜  Pendiente de instrumento</v>
      </c>
      <c r="AD20" s="13" t="str">
        <f>IF(MATRIZ_174!U19="","",IF(MATRIZ_174!U19=0,"🚫  Inh. vigente OSCE",""))</f>
        <v/>
      </c>
      <c r="AE20" s="22">
        <f>IFERROR(MATRIZ_174!W19,0)</f>
        <v>1</v>
      </c>
      <c r="AF20" s="22" t="str">
        <f>IFERROR(MATRIZ_174!X19,0)</f>
        <v/>
      </c>
      <c r="AG20" s="22" t="str">
        <f>IFERROR(MATRIZ_174!Y19,0)</f>
        <v/>
      </c>
      <c r="AH20" s="22" t="str">
        <f>IFERROR(MATRIZ_174!Z19,0)</f>
        <v/>
      </c>
      <c r="AI20" s="17">
        <f>IFERROR(MATRIZ_174!AP19,"—")</f>
        <v>0.5</v>
      </c>
      <c r="AJ20" s="17" t="str">
        <f>IFERROR(MATRIZ_174!AO19,"N/A")</f>
        <v>N/A</v>
      </c>
      <c r="AK20" s="23" t="str">
        <f t="shared" si="9"/>
        <v>N/A</v>
      </c>
      <c r="AL20" s="24" t="str">
        <f t="shared" si="10"/>
        <v>—</v>
      </c>
      <c r="AM20" t="str">
        <f>IFERROR(MATRIZ_174!AT19,"")</f>
        <v>parcial · 2/7 · D12-D15 0/4</v>
      </c>
    </row>
    <row r="21" spans="1:39" ht="16.05" customHeight="1" x14ac:dyDescent="0.3">
      <c r="A21" s="13" t="s">
        <v>111</v>
      </c>
      <c r="B21" s="14" t="s">
        <v>112</v>
      </c>
      <c r="C21" s="13" t="s">
        <v>78</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t="str">
        <f t="shared" si="1"/>
        <v/>
      </c>
      <c r="R21" s="17" t="str">
        <f t="shared" si="2"/>
        <v/>
      </c>
      <c r="S21" s="17" t="str">
        <f t="shared" si="3"/>
        <v/>
      </c>
      <c r="T21" s="17">
        <f>IF(ISNUMBER(MATRIZ_174!O20),IFERROR((K21+M21+MATRIZ_174!O20*100)/3,0),"")</f>
        <v>0</v>
      </c>
      <c r="U21" s="18" t="str">
        <f>IF(ISNUMBER(MATRIZ_174!M20),MIN(100,ROUND(MATRIZ_174!M20,1)),"")</f>
        <v/>
      </c>
      <c r="V21" s="18">
        <f t="shared" si="4"/>
        <v>50</v>
      </c>
      <c r="W21" s="18">
        <f>IFERROR(IF(MATRIZ_174!R20=0,65,IF(MATRIZ_174!R20/MATRIZ_174!Q20&gt;=2,35,IF(MATRIZ_174!R20/MATRIZ_174!Q20&gt;=0.5,50,65))),65)</f>
        <v>50</v>
      </c>
      <c r="X21" s="18">
        <f>IF(ISNUMBER(MATRIZ_174!O20),MIN(100,IF(MATRIZ_174!O20=0,70,30)+IF(MATRIZ_174!U20="",0,0.3*(100-MATRIZ_174!U20*100))),"")</f>
        <v>30</v>
      </c>
      <c r="Y21" s="18">
        <f>IF(OR(MATRIZ_174!P20="ASOCIACION",MATRIZ_174!P20="PENDIENTE"),65,40)</f>
        <v>65</v>
      </c>
      <c r="Z21" s="19" t="str">
        <f t="shared" si="5"/>
        <v>—</v>
      </c>
      <c r="AA21" s="20">
        <f t="shared" si="6"/>
        <v>48.8</v>
      </c>
      <c r="AB21" s="21" t="str">
        <f t="shared" si="7"/>
        <v>—</v>
      </c>
      <c r="AC21" s="13" t="str">
        <f t="shared" si="8"/>
        <v>⬜  Pendiente de instrumento</v>
      </c>
      <c r="AD21" s="13" t="str">
        <f>IF(MATRIZ_174!U20="","",IF(MATRIZ_174!U20=0,"🚫  Inh. vigente OSCE",""))</f>
        <v/>
      </c>
      <c r="AE21" s="22">
        <f>IFERROR(MATRIZ_174!W20,0)</f>
        <v>1</v>
      </c>
      <c r="AF21" s="22" t="str">
        <f>IFERROR(MATRIZ_174!X20,0)</f>
        <v/>
      </c>
      <c r="AG21" s="22" t="str">
        <f>IFERROR(MATRIZ_174!Y20,0)</f>
        <v/>
      </c>
      <c r="AH21" s="22" t="str">
        <f>IFERROR(MATRIZ_174!Z20,0)</f>
        <v/>
      </c>
      <c r="AI21" s="17">
        <f>IFERROR(MATRIZ_174!AP20,"—")</f>
        <v>0.52857142857142858</v>
      </c>
      <c r="AJ21" s="17" t="str">
        <f>IFERROR(MATRIZ_174!AO20,"N/A")</f>
        <v>N/A</v>
      </c>
      <c r="AK21" s="23" t="str">
        <f t="shared" si="9"/>
        <v>N/A</v>
      </c>
      <c r="AL21" s="24" t="str">
        <f t="shared" si="10"/>
        <v>—</v>
      </c>
      <c r="AM21" t="str">
        <f>IFERROR(MATRIZ_174!AT20,"")</f>
        <v>parcial · 2/7 · D12-D15 0/4</v>
      </c>
    </row>
    <row r="22" spans="1:39" ht="16.05" customHeight="1" x14ac:dyDescent="0.3">
      <c r="A22" s="13" t="s">
        <v>113</v>
      </c>
      <c r="B22" s="14" t="s">
        <v>114</v>
      </c>
      <c r="C22" s="13" t="s">
        <v>107</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t="str">
        <f t="shared" si="1"/>
        <v/>
      </c>
      <c r="R22" s="17" t="str">
        <f t="shared" si="2"/>
        <v/>
      </c>
      <c r="S22" s="17" t="str">
        <f t="shared" si="3"/>
        <v/>
      </c>
      <c r="T22" s="17" t="str">
        <f>IF(ISNUMBER(MATRIZ_174!O21),IFERROR((K22+M22+MATRIZ_174!O21*100)/3,0),"")</f>
        <v/>
      </c>
      <c r="U22" s="18" t="str">
        <f>IF(ISNUMBER(MATRIZ_174!M21),MIN(100,ROUND(MATRIZ_174!M21,1)),"")</f>
        <v/>
      </c>
      <c r="V22" s="18">
        <f t="shared" si="4"/>
        <v>50</v>
      </c>
      <c r="W22" s="18">
        <f>IFERROR(IF(MATRIZ_174!R21=0,65,IF(MATRIZ_174!R21/MATRIZ_174!Q21&gt;=2,35,IF(MATRIZ_174!R21/MATRIZ_174!Q21&gt;=0.5,50,65))),65)</f>
        <v>65</v>
      </c>
      <c r="X22" s="18" t="str">
        <f>IF(ISNUMBER(MATRIZ_174!O21),MIN(100,IF(MATRIZ_174!O21=0,70,30)+IF(MATRIZ_174!U21="",0,0.3*(100-MATRIZ_174!U21*100))),"")</f>
        <v/>
      </c>
      <c r="Y22" s="18">
        <f>IF(OR(MATRIZ_174!P21="ASOCIACION",MATRIZ_174!P21="PENDIENTE"),65,40)</f>
        <v>65</v>
      </c>
      <c r="Z22" s="19" t="str">
        <f t="shared" si="5"/>
        <v>—</v>
      </c>
      <c r="AA22" s="20">
        <f t="shared" si="6"/>
        <v>60</v>
      </c>
      <c r="AB22" s="21" t="str">
        <f t="shared" si="7"/>
        <v>—</v>
      </c>
      <c r="AC22" s="13" t="str">
        <f t="shared" si="8"/>
        <v>⬜  Pendiente de instrumento</v>
      </c>
      <c r="AD22" s="13" t="str">
        <f>IF(MATRIZ_174!U21="","",IF(MATRIZ_174!U21=0,"🚫  Inh. vigente OSCE",""))</f>
        <v/>
      </c>
      <c r="AE22" s="22" t="str">
        <f>IFERROR(MATRIZ_174!W21,0)</f>
        <v/>
      </c>
      <c r="AF22" s="22" t="str">
        <f>IFERROR(MATRIZ_174!X21,0)</f>
        <v/>
      </c>
      <c r="AG22" s="22" t="str">
        <f>IFERROR(MATRIZ_174!Y21,0)</f>
        <v/>
      </c>
      <c r="AH22" s="22" t="str">
        <f>IFERROR(MATRIZ_174!Z21,0)</f>
        <v/>
      </c>
      <c r="AI22" s="17" t="str">
        <f>IFERROR(MATRIZ_174!AP21,"—")</f>
        <v>—</v>
      </c>
      <c r="AJ22" s="17" t="str">
        <f>IFERROR(MATRIZ_174!AO21,"N/A")</f>
        <v>N/A</v>
      </c>
      <c r="AK22" s="23" t="str">
        <f t="shared" si="9"/>
        <v>N/A</v>
      </c>
      <c r="AL22" s="24" t="str">
        <f t="shared" si="10"/>
        <v>—</v>
      </c>
      <c r="AM22" t="str">
        <f>IFERROR(MATRIZ_174!AT21,"")</f>
        <v>sin dato</v>
      </c>
    </row>
    <row r="23" spans="1:39" ht="16.05" customHeight="1" x14ac:dyDescent="0.3">
      <c r="A23" s="13" t="s">
        <v>115</v>
      </c>
      <c r="B23" s="14" t="s">
        <v>116</v>
      </c>
      <c r="C23" s="13" t="s">
        <v>117</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t="str">
        <f t="shared" si="1"/>
        <v/>
      </c>
      <c r="R23" s="17" t="str">
        <f t="shared" si="2"/>
        <v/>
      </c>
      <c r="S23" s="17" t="str">
        <f t="shared" si="3"/>
        <v/>
      </c>
      <c r="T23" s="17" t="str">
        <f>IF(ISNUMBER(MATRIZ_174!O22),IFERROR((K23+M23+MATRIZ_174!O22*100)/3,0),"")</f>
        <v/>
      </c>
      <c r="U23" s="18" t="str">
        <f>IF(ISNUMBER(MATRIZ_174!M22),MIN(100,ROUND(MATRIZ_174!M22,1)),"")</f>
        <v/>
      </c>
      <c r="V23" s="18">
        <f t="shared" si="4"/>
        <v>50</v>
      </c>
      <c r="W23" s="18">
        <f>IFERROR(IF(MATRIZ_174!R22=0,65,IF(MATRIZ_174!R22/MATRIZ_174!Q22&gt;=2,35,IF(MATRIZ_174!R22/MATRIZ_174!Q22&gt;=0.5,50,65))),65)</f>
        <v>65</v>
      </c>
      <c r="X23" s="18" t="str">
        <f>IF(ISNUMBER(MATRIZ_174!O22),MIN(100,IF(MATRIZ_174!O22=0,70,30)+IF(MATRIZ_174!U22="",0,0.3*(100-MATRIZ_174!U22*100))),"")</f>
        <v/>
      </c>
      <c r="Y23" s="18">
        <f>IF(OR(MATRIZ_174!P22="ASOCIACION",MATRIZ_174!P22="PENDIENTE"),65,40)</f>
        <v>65</v>
      </c>
      <c r="Z23" s="19" t="str">
        <f t="shared" si="5"/>
        <v>—</v>
      </c>
      <c r="AA23" s="20">
        <f t="shared" si="6"/>
        <v>60</v>
      </c>
      <c r="AB23" s="21" t="str">
        <f t="shared" si="7"/>
        <v>—</v>
      </c>
      <c r="AC23" s="13" t="str">
        <f t="shared" si="8"/>
        <v>⬜  Pendiente de instrumento</v>
      </c>
      <c r="AD23" s="13" t="str">
        <f>IF(MATRIZ_174!U22="","",IF(MATRIZ_174!U22=0,"🚫  Inh. vigente OSCE",""))</f>
        <v/>
      </c>
      <c r="AE23" s="22" t="str">
        <f>IFERROR(MATRIZ_174!W22,0)</f>
        <v/>
      </c>
      <c r="AF23" s="22" t="str">
        <f>IFERROR(MATRIZ_174!X22,0)</f>
        <v/>
      </c>
      <c r="AG23" s="22" t="str">
        <f>IFERROR(MATRIZ_174!Y22,0)</f>
        <v/>
      </c>
      <c r="AH23" s="22" t="str">
        <f>IFERROR(MATRIZ_174!Z22,0)</f>
        <v/>
      </c>
      <c r="AI23" s="17" t="str">
        <f>IFERROR(MATRIZ_174!AP22,"—")</f>
        <v>—</v>
      </c>
      <c r="AJ23" s="17" t="str">
        <f>IFERROR(MATRIZ_174!AO22,"N/A")</f>
        <v>N/A</v>
      </c>
      <c r="AK23" s="23" t="str">
        <f t="shared" si="9"/>
        <v>N/A</v>
      </c>
      <c r="AL23" s="24" t="str">
        <f t="shared" si="10"/>
        <v>—</v>
      </c>
      <c r="AM23" t="str">
        <f>IFERROR(MATRIZ_174!AT22,"")</f>
        <v>sin dato</v>
      </c>
    </row>
    <row r="24" spans="1:39" ht="16.05" customHeight="1" x14ac:dyDescent="0.3">
      <c r="A24" s="13" t="s">
        <v>118</v>
      </c>
      <c r="B24" s="14" t="s">
        <v>119</v>
      </c>
      <c r="C24" s="13" t="s">
        <v>107</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t="str">
        <f t="shared" si="1"/>
        <v/>
      </c>
      <c r="R24" s="17" t="str">
        <f t="shared" si="2"/>
        <v/>
      </c>
      <c r="S24" s="17" t="str">
        <f t="shared" si="3"/>
        <v/>
      </c>
      <c r="T24" s="17" t="str">
        <f>IF(ISNUMBER(MATRIZ_174!O23),IFERROR((K24+M24+MATRIZ_174!O23*100)/3,0),"")</f>
        <v/>
      </c>
      <c r="U24" s="18" t="str">
        <f>IF(ISNUMBER(MATRIZ_174!M23),MIN(100,ROUND(MATRIZ_174!M23,1)),"")</f>
        <v/>
      </c>
      <c r="V24" s="18">
        <f t="shared" si="4"/>
        <v>50</v>
      </c>
      <c r="W24" s="18">
        <f>IFERROR(IF(MATRIZ_174!R23=0,65,IF(MATRIZ_174!R23/MATRIZ_174!Q23&gt;=2,35,IF(MATRIZ_174!R23/MATRIZ_174!Q23&gt;=0.5,50,65))),65)</f>
        <v>65</v>
      </c>
      <c r="X24" s="18" t="str">
        <f>IF(ISNUMBER(MATRIZ_174!O23),MIN(100,IF(MATRIZ_174!O23=0,70,30)+IF(MATRIZ_174!U23="",0,0.3*(100-MATRIZ_174!U23*100))),"")</f>
        <v/>
      </c>
      <c r="Y24" s="18">
        <f>IF(OR(MATRIZ_174!P23="ASOCIACION",MATRIZ_174!P23="PENDIENTE"),65,40)</f>
        <v>65</v>
      </c>
      <c r="Z24" s="19" t="str">
        <f t="shared" si="5"/>
        <v>—</v>
      </c>
      <c r="AA24" s="20">
        <f t="shared" si="6"/>
        <v>60</v>
      </c>
      <c r="AB24" s="21" t="str">
        <f t="shared" si="7"/>
        <v>—</v>
      </c>
      <c r="AC24" s="13" t="str">
        <f t="shared" si="8"/>
        <v>⬜  Pendiente de instrumento</v>
      </c>
      <c r="AD24" s="13" t="str">
        <f>IF(MATRIZ_174!U23="","",IF(MATRIZ_174!U23=0,"🚫  Inh. vigente OSCE",""))</f>
        <v/>
      </c>
      <c r="AE24" s="22" t="str">
        <f>IFERROR(MATRIZ_174!W23,0)</f>
        <v/>
      </c>
      <c r="AF24" s="22" t="str">
        <f>IFERROR(MATRIZ_174!X23,0)</f>
        <v/>
      </c>
      <c r="AG24" s="22" t="str">
        <f>IFERROR(MATRIZ_174!Y23,0)</f>
        <v/>
      </c>
      <c r="AH24" s="22" t="str">
        <f>IFERROR(MATRIZ_174!Z23,0)</f>
        <v/>
      </c>
      <c r="AI24" s="17" t="str">
        <f>IFERROR(MATRIZ_174!AP23,"—")</f>
        <v>—</v>
      </c>
      <c r="AJ24" s="17" t="str">
        <f>IFERROR(MATRIZ_174!AO23,"N/A")</f>
        <v>N/A</v>
      </c>
      <c r="AK24" s="23" t="str">
        <f t="shared" si="9"/>
        <v>N/A</v>
      </c>
      <c r="AL24" s="24" t="str">
        <f t="shared" si="10"/>
        <v>—</v>
      </c>
      <c r="AM24" t="str">
        <f>IFERROR(MATRIZ_174!AT23,"")</f>
        <v>sin dato</v>
      </c>
    </row>
    <row r="25" spans="1:39" ht="16.05" customHeight="1" x14ac:dyDescent="0.3">
      <c r="A25" s="13" t="s">
        <v>120</v>
      </c>
      <c r="B25" s="14" t="s">
        <v>121</v>
      </c>
      <c r="C25" s="13" t="s">
        <v>107</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t="str">
        <f t="shared" si="1"/>
        <v/>
      </c>
      <c r="R25" s="17" t="str">
        <f t="shared" si="2"/>
        <v/>
      </c>
      <c r="S25" s="17" t="str">
        <f t="shared" si="3"/>
        <v/>
      </c>
      <c r="T25" s="17" t="str">
        <f>IF(ISNUMBER(MATRIZ_174!O24),IFERROR((K25+M25+MATRIZ_174!O24*100)/3,0),"")</f>
        <v/>
      </c>
      <c r="U25" s="18" t="str">
        <f>IF(ISNUMBER(MATRIZ_174!M24),MIN(100,ROUND(MATRIZ_174!M24,1)),"")</f>
        <v/>
      </c>
      <c r="V25" s="18">
        <f t="shared" si="4"/>
        <v>50</v>
      </c>
      <c r="W25" s="18">
        <f>IFERROR(IF(MATRIZ_174!R24=0,65,IF(MATRIZ_174!R24/MATRIZ_174!Q24&gt;=2,35,IF(MATRIZ_174!R24/MATRIZ_174!Q24&gt;=0.5,50,65))),65)</f>
        <v>65</v>
      </c>
      <c r="X25" s="18" t="str">
        <f>IF(ISNUMBER(MATRIZ_174!O24),MIN(100,IF(MATRIZ_174!O24=0,70,30)+IF(MATRIZ_174!U24="",0,0.3*(100-MATRIZ_174!U24*100))),"")</f>
        <v/>
      </c>
      <c r="Y25" s="18">
        <f>IF(OR(MATRIZ_174!P24="ASOCIACION",MATRIZ_174!P24="PENDIENTE"),65,40)</f>
        <v>65</v>
      </c>
      <c r="Z25" s="19" t="str">
        <f t="shared" si="5"/>
        <v>—</v>
      </c>
      <c r="AA25" s="20">
        <f t="shared" si="6"/>
        <v>60</v>
      </c>
      <c r="AB25" s="21" t="str">
        <f t="shared" si="7"/>
        <v>—</v>
      </c>
      <c r="AC25" s="13" t="str">
        <f t="shared" si="8"/>
        <v>⬜  Pendiente de instrumento</v>
      </c>
      <c r="AD25" s="13" t="str">
        <f>IF(MATRIZ_174!U24="","",IF(MATRIZ_174!U24=0,"🚫  Inh. vigente OSCE",""))</f>
        <v/>
      </c>
      <c r="AE25" s="22" t="str">
        <f>IFERROR(MATRIZ_174!W24,0)</f>
        <v/>
      </c>
      <c r="AF25" s="22" t="str">
        <f>IFERROR(MATRIZ_174!X24,0)</f>
        <v/>
      </c>
      <c r="AG25" s="22" t="str">
        <f>IFERROR(MATRIZ_174!Y24,0)</f>
        <v/>
      </c>
      <c r="AH25" s="22" t="str">
        <f>IFERROR(MATRIZ_174!Z24,0)</f>
        <v/>
      </c>
      <c r="AI25" s="17" t="str">
        <f>IFERROR(MATRIZ_174!AP24,"—")</f>
        <v>—</v>
      </c>
      <c r="AJ25" s="17" t="str">
        <f>IFERROR(MATRIZ_174!AO24,"N/A")</f>
        <v>N/A</v>
      </c>
      <c r="AK25" s="23" t="str">
        <f t="shared" si="9"/>
        <v>N/A</v>
      </c>
      <c r="AL25" s="24" t="str">
        <f t="shared" si="10"/>
        <v>—</v>
      </c>
      <c r="AM25" t="str">
        <f>IFERROR(MATRIZ_174!AT24,"")</f>
        <v>sin dato</v>
      </c>
    </row>
    <row r="26" spans="1:39" ht="16.05" customHeight="1" x14ac:dyDescent="0.3">
      <c r="A26" s="13" t="s">
        <v>123</v>
      </c>
      <c r="B26" s="14" t="s">
        <v>124</v>
      </c>
      <c r="C26" s="13" t="s">
        <v>107</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t="str">
        <f t="shared" si="1"/>
        <v/>
      </c>
      <c r="R26" s="17" t="str">
        <f t="shared" si="2"/>
        <v/>
      </c>
      <c r="S26" s="17" t="str">
        <f t="shared" si="3"/>
        <v/>
      </c>
      <c r="T26" s="17" t="str">
        <f>IF(ISNUMBER(MATRIZ_174!O25),IFERROR((K26+M26+MATRIZ_174!O25*100)/3,0),"")</f>
        <v/>
      </c>
      <c r="U26" s="18" t="str">
        <f>IF(ISNUMBER(MATRIZ_174!M25),MIN(100,ROUND(MATRIZ_174!M25,1)),"")</f>
        <v/>
      </c>
      <c r="V26" s="18">
        <f t="shared" si="4"/>
        <v>50</v>
      </c>
      <c r="W26" s="18">
        <f>IFERROR(IF(MATRIZ_174!R25=0,65,IF(MATRIZ_174!R25/MATRIZ_174!Q25&gt;=2,35,IF(MATRIZ_174!R25/MATRIZ_174!Q25&gt;=0.5,50,65))),65)</f>
        <v>65</v>
      </c>
      <c r="X26" s="18" t="str">
        <f>IF(ISNUMBER(MATRIZ_174!O25),MIN(100,IF(MATRIZ_174!O25=0,70,30)+IF(MATRIZ_174!U25="",0,0.3*(100-MATRIZ_174!U25*100))),"")</f>
        <v/>
      </c>
      <c r="Y26" s="18">
        <f>IF(OR(MATRIZ_174!P25="ASOCIACION",MATRIZ_174!P25="PENDIENTE"),65,40)</f>
        <v>65</v>
      </c>
      <c r="Z26" s="19" t="str">
        <f t="shared" si="5"/>
        <v>—</v>
      </c>
      <c r="AA26" s="20">
        <f t="shared" si="6"/>
        <v>60</v>
      </c>
      <c r="AB26" s="21" t="str">
        <f t="shared" si="7"/>
        <v>—</v>
      </c>
      <c r="AC26" s="13" t="str">
        <f t="shared" si="8"/>
        <v>⬜  Pendiente de instrumento</v>
      </c>
      <c r="AD26" s="13" t="str">
        <f>IF(MATRIZ_174!U25="","",IF(MATRIZ_174!U25=0,"🚫  Inh. vigente OSCE",""))</f>
        <v/>
      </c>
      <c r="AE26" s="22" t="str">
        <f>IFERROR(MATRIZ_174!W25,0)</f>
        <v/>
      </c>
      <c r="AF26" s="22" t="str">
        <f>IFERROR(MATRIZ_174!X25,0)</f>
        <v/>
      </c>
      <c r="AG26" s="22" t="str">
        <f>IFERROR(MATRIZ_174!Y25,0)</f>
        <v/>
      </c>
      <c r="AH26" s="22" t="str">
        <f>IFERROR(MATRIZ_174!Z25,0)</f>
        <v/>
      </c>
      <c r="AI26" s="17" t="str">
        <f>IFERROR(MATRIZ_174!AP25,"—")</f>
        <v>—</v>
      </c>
      <c r="AJ26" s="17" t="str">
        <f>IFERROR(MATRIZ_174!AO25,"N/A")</f>
        <v>N/A</v>
      </c>
      <c r="AK26" s="23" t="str">
        <f t="shared" si="9"/>
        <v>N/A</v>
      </c>
      <c r="AL26" s="24" t="str">
        <f t="shared" si="10"/>
        <v>—</v>
      </c>
      <c r="AM26" t="str">
        <f>IFERROR(MATRIZ_174!AT25,"")</f>
        <v>sin dato</v>
      </c>
    </row>
    <row r="27" spans="1:39" ht="16.05" customHeight="1" x14ac:dyDescent="0.3">
      <c r="A27" s="13" t="s">
        <v>125</v>
      </c>
      <c r="B27" s="14" t="s">
        <v>126</v>
      </c>
      <c r="C27" s="13" t="s">
        <v>107</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t="str">
        <f t="shared" si="1"/>
        <v/>
      </c>
      <c r="R27" s="17" t="str">
        <f t="shared" si="2"/>
        <v/>
      </c>
      <c r="S27" s="17" t="str">
        <f t="shared" si="3"/>
        <v/>
      </c>
      <c r="T27" s="17" t="str">
        <f>IF(ISNUMBER(MATRIZ_174!O26),IFERROR((K27+M27+MATRIZ_174!O26*100)/3,0),"")</f>
        <v/>
      </c>
      <c r="U27" s="18" t="str">
        <f>IF(ISNUMBER(MATRIZ_174!M26),MIN(100,ROUND(MATRIZ_174!M26,1)),"")</f>
        <v/>
      </c>
      <c r="V27" s="18">
        <f t="shared" si="4"/>
        <v>50</v>
      </c>
      <c r="W27" s="18">
        <f>IFERROR(IF(MATRIZ_174!R26=0,65,IF(MATRIZ_174!R26/MATRIZ_174!Q26&gt;=2,35,IF(MATRIZ_174!R26/MATRIZ_174!Q26&gt;=0.5,50,65))),65)</f>
        <v>65</v>
      </c>
      <c r="X27" s="18" t="str">
        <f>IF(ISNUMBER(MATRIZ_174!O26),MIN(100,IF(MATRIZ_174!O26=0,70,30)+IF(MATRIZ_174!U26="",0,0.3*(100-MATRIZ_174!U26*100))),"")</f>
        <v/>
      </c>
      <c r="Y27" s="18">
        <f>IF(OR(MATRIZ_174!P26="ASOCIACION",MATRIZ_174!P26="PENDIENTE"),65,40)</f>
        <v>65</v>
      </c>
      <c r="Z27" s="19" t="str">
        <f t="shared" si="5"/>
        <v>—</v>
      </c>
      <c r="AA27" s="20">
        <f t="shared" si="6"/>
        <v>60</v>
      </c>
      <c r="AB27" s="21" t="str">
        <f t="shared" si="7"/>
        <v>—</v>
      </c>
      <c r="AC27" s="13" t="str">
        <f t="shared" si="8"/>
        <v>⬜  Pendiente de instrumento</v>
      </c>
      <c r="AD27" s="13" t="str">
        <f>IF(MATRIZ_174!U26="","",IF(MATRIZ_174!U26=0,"🚫  Inh. vigente OSCE",""))</f>
        <v/>
      </c>
      <c r="AE27" s="22" t="str">
        <f>IFERROR(MATRIZ_174!W26,0)</f>
        <v/>
      </c>
      <c r="AF27" s="22" t="str">
        <f>IFERROR(MATRIZ_174!X26,0)</f>
        <v/>
      </c>
      <c r="AG27" s="22" t="str">
        <f>IFERROR(MATRIZ_174!Y26,0)</f>
        <v/>
      </c>
      <c r="AH27" s="22" t="str">
        <f>IFERROR(MATRIZ_174!Z26,0)</f>
        <v/>
      </c>
      <c r="AI27" s="17" t="str">
        <f>IFERROR(MATRIZ_174!AP26,"—")</f>
        <v>—</v>
      </c>
      <c r="AJ27" s="17" t="str">
        <f>IFERROR(MATRIZ_174!AO26,"N/A")</f>
        <v>N/A</v>
      </c>
      <c r="AK27" s="23" t="str">
        <f t="shared" si="9"/>
        <v>N/A</v>
      </c>
      <c r="AL27" s="24" t="str">
        <f t="shared" si="10"/>
        <v>—</v>
      </c>
      <c r="AM27" t="str">
        <f>IFERROR(MATRIZ_174!AT26,"")</f>
        <v>sin dato</v>
      </c>
    </row>
    <row r="28" spans="1:39" ht="16.05" customHeight="1" x14ac:dyDescent="0.3">
      <c r="A28" s="13" t="s">
        <v>127</v>
      </c>
      <c r="B28" s="14" t="s">
        <v>128</v>
      </c>
      <c r="C28" s="13" t="s">
        <v>107</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t="str">
        <f t="shared" si="1"/>
        <v/>
      </c>
      <c r="R28" s="17" t="str">
        <f t="shared" si="2"/>
        <v/>
      </c>
      <c r="S28" s="17" t="str">
        <f t="shared" si="3"/>
        <v/>
      </c>
      <c r="T28" s="17" t="str">
        <f>IF(ISNUMBER(MATRIZ_174!O27),IFERROR((K28+M28+MATRIZ_174!O27*100)/3,0),"")</f>
        <v/>
      </c>
      <c r="U28" s="18" t="str">
        <f>IF(ISNUMBER(MATRIZ_174!M27),MIN(100,ROUND(MATRIZ_174!M27,1)),"")</f>
        <v/>
      </c>
      <c r="V28" s="18">
        <f t="shared" si="4"/>
        <v>50</v>
      </c>
      <c r="W28" s="18">
        <f>IFERROR(IF(MATRIZ_174!R27=0,65,IF(MATRIZ_174!R27/MATRIZ_174!Q27&gt;=2,35,IF(MATRIZ_174!R27/MATRIZ_174!Q27&gt;=0.5,50,65))),65)</f>
        <v>65</v>
      </c>
      <c r="X28" s="18" t="str">
        <f>IF(ISNUMBER(MATRIZ_174!O27),MIN(100,IF(MATRIZ_174!O27=0,70,30)+IF(MATRIZ_174!U27="",0,0.3*(100-MATRIZ_174!U27*100))),"")</f>
        <v/>
      </c>
      <c r="Y28" s="18">
        <f>IF(OR(MATRIZ_174!P27="ASOCIACION",MATRIZ_174!P27="PENDIENTE"),65,40)</f>
        <v>65</v>
      </c>
      <c r="Z28" s="19" t="str">
        <f t="shared" si="5"/>
        <v>—</v>
      </c>
      <c r="AA28" s="20">
        <f t="shared" si="6"/>
        <v>60</v>
      </c>
      <c r="AB28" s="21" t="str">
        <f t="shared" si="7"/>
        <v>—</v>
      </c>
      <c r="AC28" s="13" t="str">
        <f t="shared" si="8"/>
        <v>⬜  Pendiente de instrumento</v>
      </c>
      <c r="AD28" s="13" t="str">
        <f>IF(MATRIZ_174!U27="","",IF(MATRIZ_174!U27=0,"🚫  Inh. vigente OSCE",""))</f>
        <v/>
      </c>
      <c r="AE28" s="22" t="str">
        <f>IFERROR(MATRIZ_174!W27,0)</f>
        <v/>
      </c>
      <c r="AF28" s="22" t="str">
        <f>IFERROR(MATRIZ_174!X27,0)</f>
        <v/>
      </c>
      <c r="AG28" s="22" t="str">
        <f>IFERROR(MATRIZ_174!Y27,0)</f>
        <v/>
      </c>
      <c r="AH28" s="22" t="str">
        <f>IFERROR(MATRIZ_174!Z27,0)</f>
        <v/>
      </c>
      <c r="AI28" s="17" t="str">
        <f>IFERROR(MATRIZ_174!AP27,"—")</f>
        <v>—</v>
      </c>
      <c r="AJ28" s="17" t="str">
        <f>IFERROR(MATRIZ_174!AO27,"N/A")</f>
        <v>N/A</v>
      </c>
      <c r="AK28" s="23" t="str">
        <f t="shared" si="9"/>
        <v>N/A</v>
      </c>
      <c r="AL28" s="24" t="str">
        <f t="shared" si="10"/>
        <v>—</v>
      </c>
      <c r="AM28" t="str">
        <f>IFERROR(MATRIZ_174!AT27,"")</f>
        <v>sin dato</v>
      </c>
    </row>
    <row r="29" spans="1:39" ht="16.05" customHeight="1" x14ac:dyDescent="0.3">
      <c r="A29" s="13" t="s">
        <v>129</v>
      </c>
      <c r="B29" s="14" t="s">
        <v>130</v>
      </c>
      <c r="C29" s="13" t="s">
        <v>107</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t="str">
        <f t="shared" si="1"/>
        <v/>
      </c>
      <c r="R29" s="17" t="str">
        <f t="shared" si="2"/>
        <v/>
      </c>
      <c r="S29" s="17" t="str">
        <f t="shared" si="3"/>
        <v/>
      </c>
      <c r="T29" s="17" t="str">
        <f>IF(ISNUMBER(MATRIZ_174!O28),IFERROR((K29+M29+MATRIZ_174!O28*100)/3,0),"")</f>
        <v/>
      </c>
      <c r="U29" s="18" t="str">
        <f>IF(ISNUMBER(MATRIZ_174!M28),MIN(100,ROUND(MATRIZ_174!M28,1)),"")</f>
        <v/>
      </c>
      <c r="V29" s="18">
        <f t="shared" si="4"/>
        <v>50</v>
      </c>
      <c r="W29" s="18">
        <f>IFERROR(IF(MATRIZ_174!R28=0,65,IF(MATRIZ_174!R28/MATRIZ_174!Q28&gt;=2,35,IF(MATRIZ_174!R28/MATRIZ_174!Q28&gt;=0.5,50,65))),65)</f>
        <v>65</v>
      </c>
      <c r="X29" s="18" t="str">
        <f>IF(ISNUMBER(MATRIZ_174!O28),MIN(100,IF(MATRIZ_174!O28=0,70,30)+IF(MATRIZ_174!U28="",0,0.3*(100-MATRIZ_174!U28*100))),"")</f>
        <v/>
      </c>
      <c r="Y29" s="18">
        <f>IF(OR(MATRIZ_174!P28="ASOCIACION",MATRIZ_174!P28="PENDIENTE"),65,40)</f>
        <v>65</v>
      </c>
      <c r="Z29" s="19" t="str">
        <f t="shared" si="5"/>
        <v>—</v>
      </c>
      <c r="AA29" s="20">
        <f t="shared" si="6"/>
        <v>60</v>
      </c>
      <c r="AB29" s="21" t="str">
        <f t="shared" si="7"/>
        <v>—</v>
      </c>
      <c r="AC29" s="13" t="str">
        <f t="shared" si="8"/>
        <v>⬜  Pendiente de instrumento</v>
      </c>
      <c r="AD29" s="13" t="str">
        <f>IF(MATRIZ_174!U28="","",IF(MATRIZ_174!U28=0,"🚫  Inh. vigente OSCE",""))</f>
        <v/>
      </c>
      <c r="AE29" s="22" t="str">
        <f>IFERROR(MATRIZ_174!W28,0)</f>
        <v/>
      </c>
      <c r="AF29" s="22" t="str">
        <f>IFERROR(MATRIZ_174!X28,0)</f>
        <v/>
      </c>
      <c r="AG29" s="22" t="str">
        <f>IFERROR(MATRIZ_174!Y28,0)</f>
        <v/>
      </c>
      <c r="AH29" s="22" t="str">
        <f>IFERROR(MATRIZ_174!Z28,0)</f>
        <v/>
      </c>
      <c r="AI29" s="17" t="str">
        <f>IFERROR(MATRIZ_174!AP28,"—")</f>
        <v>—</v>
      </c>
      <c r="AJ29" s="17" t="str">
        <f>IFERROR(MATRIZ_174!AO28,"N/A")</f>
        <v>N/A</v>
      </c>
      <c r="AK29" s="23" t="str">
        <f t="shared" si="9"/>
        <v>N/A</v>
      </c>
      <c r="AL29" s="24" t="str">
        <f t="shared" si="10"/>
        <v>—</v>
      </c>
      <c r="AM29" t="str">
        <f>IFERROR(MATRIZ_174!AT28,"")</f>
        <v>sin dato</v>
      </c>
    </row>
    <row r="30" spans="1:39" ht="16.05" customHeight="1" x14ac:dyDescent="0.3">
      <c r="A30" s="13" t="s">
        <v>131</v>
      </c>
      <c r="B30" s="14" t="s">
        <v>132</v>
      </c>
      <c r="C30" s="13" t="s">
        <v>107</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t="str">
        <f t="shared" si="1"/>
        <v/>
      </c>
      <c r="R30" s="17" t="str">
        <f t="shared" si="2"/>
        <v/>
      </c>
      <c r="S30" s="17" t="str">
        <f t="shared" si="3"/>
        <v/>
      </c>
      <c r="T30" s="17" t="str">
        <f>IF(ISNUMBER(MATRIZ_174!O29),IFERROR((K30+M30+MATRIZ_174!O29*100)/3,0),"")</f>
        <v/>
      </c>
      <c r="U30" s="18" t="str">
        <f>IF(ISNUMBER(MATRIZ_174!M29),MIN(100,ROUND(MATRIZ_174!M29,1)),"")</f>
        <v/>
      </c>
      <c r="V30" s="18">
        <f t="shared" si="4"/>
        <v>50</v>
      </c>
      <c r="W30" s="18">
        <f>IFERROR(IF(MATRIZ_174!R29=0,65,IF(MATRIZ_174!R29/MATRIZ_174!Q29&gt;=2,35,IF(MATRIZ_174!R29/MATRIZ_174!Q29&gt;=0.5,50,65))),65)</f>
        <v>65</v>
      </c>
      <c r="X30" s="18" t="str">
        <f>IF(ISNUMBER(MATRIZ_174!O29),MIN(100,IF(MATRIZ_174!O29=0,70,30)+IF(MATRIZ_174!U29="",0,0.3*(100-MATRIZ_174!U29*100))),"")</f>
        <v/>
      </c>
      <c r="Y30" s="18">
        <f>IF(OR(MATRIZ_174!P29="ASOCIACION",MATRIZ_174!P29="PENDIENTE"),65,40)</f>
        <v>65</v>
      </c>
      <c r="Z30" s="19" t="str">
        <f t="shared" si="5"/>
        <v>—</v>
      </c>
      <c r="AA30" s="20">
        <f t="shared" si="6"/>
        <v>60</v>
      </c>
      <c r="AB30" s="21" t="str">
        <f t="shared" si="7"/>
        <v>—</v>
      </c>
      <c r="AC30" s="13" t="str">
        <f t="shared" si="8"/>
        <v>⬜  Pendiente de instrumento</v>
      </c>
      <c r="AD30" s="13" t="str">
        <f>IF(MATRIZ_174!U29="","",IF(MATRIZ_174!U29=0,"🚫  Inh. vigente OSCE",""))</f>
        <v/>
      </c>
      <c r="AE30" s="22" t="str">
        <f>IFERROR(MATRIZ_174!W29,0)</f>
        <v/>
      </c>
      <c r="AF30" s="22" t="str">
        <f>IFERROR(MATRIZ_174!X29,0)</f>
        <v/>
      </c>
      <c r="AG30" s="22" t="str">
        <f>IFERROR(MATRIZ_174!Y29,0)</f>
        <v/>
      </c>
      <c r="AH30" s="22" t="str">
        <f>IFERROR(MATRIZ_174!Z29,0)</f>
        <v/>
      </c>
      <c r="AI30" s="17" t="str">
        <f>IFERROR(MATRIZ_174!AP29,"—")</f>
        <v>—</v>
      </c>
      <c r="AJ30" s="17" t="str">
        <f>IFERROR(MATRIZ_174!AO29,"N/A")</f>
        <v>N/A</v>
      </c>
      <c r="AK30" s="23" t="str">
        <f t="shared" si="9"/>
        <v>N/A</v>
      </c>
      <c r="AL30" s="24" t="str">
        <f t="shared" si="10"/>
        <v>—</v>
      </c>
      <c r="AM30" t="str">
        <f>IFERROR(MATRIZ_174!AT29,"")</f>
        <v>sin dato</v>
      </c>
    </row>
    <row r="31" spans="1:39" ht="16.05" customHeight="1" x14ac:dyDescent="0.3">
      <c r="A31" s="13" t="s">
        <v>133</v>
      </c>
      <c r="B31" s="14" t="s">
        <v>134</v>
      </c>
      <c r="C31" s="13" t="s">
        <v>62</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t="str">
        <f t="shared" si="1"/>
        <v/>
      </c>
      <c r="R31" s="17" t="str">
        <f t="shared" si="2"/>
        <v/>
      </c>
      <c r="S31" s="17" t="str">
        <f t="shared" si="3"/>
        <v/>
      </c>
      <c r="T31" s="17" t="str">
        <f>IF(ISNUMBER(MATRIZ_174!O30),IFERROR((K31+M31+MATRIZ_174!O30*100)/3,0),"")</f>
        <v/>
      </c>
      <c r="U31" s="18" t="str">
        <f>IF(ISNUMBER(MATRIZ_174!M30),MIN(100,ROUND(MATRIZ_174!M30,1)),"")</f>
        <v/>
      </c>
      <c r="V31" s="18">
        <f t="shared" si="4"/>
        <v>50</v>
      </c>
      <c r="W31" s="18">
        <f>IFERROR(IF(MATRIZ_174!R30=0,65,IF(MATRIZ_174!R30/MATRIZ_174!Q30&gt;=2,35,IF(MATRIZ_174!R30/MATRIZ_174!Q30&gt;=0.5,50,65))),65)</f>
        <v>65</v>
      </c>
      <c r="X31" s="18" t="str">
        <f>IF(ISNUMBER(MATRIZ_174!O30),MIN(100,IF(MATRIZ_174!O30=0,70,30)+IF(MATRIZ_174!U30="",0,0.3*(100-MATRIZ_174!U30*100))),"")</f>
        <v/>
      </c>
      <c r="Y31" s="18">
        <f>IF(OR(MATRIZ_174!P30="ASOCIACION",MATRIZ_174!P30="PENDIENTE"),65,40)</f>
        <v>65</v>
      </c>
      <c r="Z31" s="19" t="str">
        <f t="shared" si="5"/>
        <v>—</v>
      </c>
      <c r="AA31" s="20">
        <f t="shared" si="6"/>
        <v>60</v>
      </c>
      <c r="AB31" s="21" t="str">
        <f t="shared" si="7"/>
        <v>—</v>
      </c>
      <c r="AC31" s="13" t="str">
        <f t="shared" si="8"/>
        <v>⬜  Pendiente de instrumento</v>
      </c>
      <c r="AD31" s="13" t="str">
        <f>IF(MATRIZ_174!U30="","",IF(MATRIZ_174!U30=0,"🚫  Inh. vigente OSCE",""))</f>
        <v/>
      </c>
      <c r="AE31" s="22" t="str">
        <f>IFERROR(MATRIZ_174!W30,0)</f>
        <v/>
      </c>
      <c r="AF31" s="22" t="str">
        <f>IFERROR(MATRIZ_174!X30,0)</f>
        <v/>
      </c>
      <c r="AG31" s="22" t="str">
        <f>IFERROR(MATRIZ_174!Y30,0)</f>
        <v/>
      </c>
      <c r="AH31" s="22" t="str">
        <f>IFERROR(MATRIZ_174!Z30,0)</f>
        <v/>
      </c>
      <c r="AI31" s="17" t="str">
        <f>IFERROR(MATRIZ_174!AP30,"—")</f>
        <v>—</v>
      </c>
      <c r="AJ31" s="17" t="str">
        <f>IFERROR(MATRIZ_174!AO30,"N/A")</f>
        <v>N/A</v>
      </c>
      <c r="AK31" s="23" t="str">
        <f t="shared" si="9"/>
        <v>N/A</v>
      </c>
      <c r="AL31" s="24" t="str">
        <f t="shared" si="10"/>
        <v>—</v>
      </c>
      <c r="AM31" t="str">
        <f>IFERROR(MATRIZ_174!AT30,"")</f>
        <v>sin dato</v>
      </c>
    </row>
    <row r="32" spans="1:39" ht="16.05" customHeight="1" x14ac:dyDescent="0.3">
      <c r="A32" s="13" t="s">
        <v>135</v>
      </c>
      <c r="B32" s="14" t="s">
        <v>136</v>
      </c>
      <c r="C32" s="13" t="s">
        <v>137</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t="str">
        <f t="shared" si="1"/>
        <v/>
      </c>
      <c r="R32" s="17" t="str">
        <f t="shared" si="2"/>
        <v/>
      </c>
      <c r="S32" s="17" t="str">
        <f t="shared" si="3"/>
        <v/>
      </c>
      <c r="T32" s="17" t="str">
        <f>IF(ISNUMBER(MATRIZ_174!O31),IFERROR((K32+M32+MATRIZ_174!O31*100)/3,0),"")</f>
        <v/>
      </c>
      <c r="U32" s="18" t="str">
        <f>IF(ISNUMBER(MATRIZ_174!M31),MIN(100,ROUND(MATRIZ_174!M31,1)),"")</f>
        <v/>
      </c>
      <c r="V32" s="18">
        <f t="shared" si="4"/>
        <v>50</v>
      </c>
      <c r="W32" s="18">
        <f>IFERROR(IF(MATRIZ_174!R31=0,65,IF(MATRIZ_174!R31/MATRIZ_174!Q31&gt;=2,35,IF(MATRIZ_174!R31/MATRIZ_174!Q31&gt;=0.5,50,65))),65)</f>
        <v>65</v>
      </c>
      <c r="X32" s="18" t="str">
        <f>IF(ISNUMBER(MATRIZ_174!O31),MIN(100,IF(MATRIZ_174!O31=0,70,30)+IF(MATRIZ_174!U31="",0,0.3*(100-MATRIZ_174!U31*100))),"")</f>
        <v/>
      </c>
      <c r="Y32" s="18">
        <f>IF(OR(MATRIZ_174!P31="ASOCIACION",MATRIZ_174!P31="PENDIENTE"),65,40)</f>
        <v>65</v>
      </c>
      <c r="Z32" s="19" t="str">
        <f t="shared" si="5"/>
        <v>—</v>
      </c>
      <c r="AA32" s="20">
        <f t="shared" si="6"/>
        <v>60</v>
      </c>
      <c r="AB32" s="21" t="str">
        <f t="shared" si="7"/>
        <v>—</v>
      </c>
      <c r="AC32" s="13" t="str">
        <f t="shared" si="8"/>
        <v>⬜  Pendiente de instrumento</v>
      </c>
      <c r="AD32" s="13" t="str">
        <f>IF(MATRIZ_174!U31="","",IF(MATRIZ_174!U31=0,"🚫  Inh. vigente OSCE",""))</f>
        <v/>
      </c>
      <c r="AE32" s="22" t="str">
        <f>IFERROR(MATRIZ_174!W31,0)</f>
        <v/>
      </c>
      <c r="AF32" s="22" t="str">
        <f>IFERROR(MATRIZ_174!X31,0)</f>
        <v/>
      </c>
      <c r="AG32" s="22" t="str">
        <f>IFERROR(MATRIZ_174!Y31,0)</f>
        <v/>
      </c>
      <c r="AH32" s="22" t="str">
        <f>IFERROR(MATRIZ_174!Z31,0)</f>
        <v/>
      </c>
      <c r="AI32" s="17" t="str">
        <f>IFERROR(MATRIZ_174!AP31,"—")</f>
        <v>—</v>
      </c>
      <c r="AJ32" s="17" t="str">
        <f>IFERROR(MATRIZ_174!AO31,"N/A")</f>
        <v>N/A</v>
      </c>
      <c r="AK32" s="23" t="str">
        <f t="shared" si="9"/>
        <v>N/A</v>
      </c>
      <c r="AL32" s="24" t="str">
        <f t="shared" si="10"/>
        <v>—</v>
      </c>
      <c r="AM32" t="str">
        <f>IFERROR(MATRIZ_174!AT31,"")</f>
        <v>sin dato</v>
      </c>
    </row>
    <row r="33" spans="1:39" ht="16.05" customHeight="1" x14ac:dyDescent="0.3">
      <c r="A33" s="13" t="s">
        <v>138</v>
      </c>
      <c r="B33" s="14" t="s">
        <v>139</v>
      </c>
      <c r="C33" s="13" t="s">
        <v>137</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t="str">
        <f t="shared" si="1"/>
        <v/>
      </c>
      <c r="R33" s="17" t="str">
        <f t="shared" si="2"/>
        <v/>
      </c>
      <c r="S33" s="17" t="str">
        <f t="shared" si="3"/>
        <v/>
      </c>
      <c r="T33" s="17" t="str">
        <f>IF(ISNUMBER(MATRIZ_174!O32),IFERROR((K33+M33+MATRIZ_174!O32*100)/3,0),"")</f>
        <v/>
      </c>
      <c r="U33" s="18" t="str">
        <f>IF(ISNUMBER(MATRIZ_174!M32),MIN(100,ROUND(MATRIZ_174!M32,1)),"")</f>
        <v/>
      </c>
      <c r="V33" s="18">
        <f t="shared" si="4"/>
        <v>50</v>
      </c>
      <c r="W33" s="18">
        <f>IFERROR(IF(MATRIZ_174!R32=0,65,IF(MATRIZ_174!R32/MATRIZ_174!Q32&gt;=2,35,IF(MATRIZ_174!R32/MATRIZ_174!Q32&gt;=0.5,50,65))),65)</f>
        <v>65</v>
      </c>
      <c r="X33" s="18" t="str">
        <f>IF(ISNUMBER(MATRIZ_174!O32),MIN(100,IF(MATRIZ_174!O32=0,70,30)+IF(MATRIZ_174!U32="",0,0.3*(100-MATRIZ_174!U32*100))),"")</f>
        <v/>
      </c>
      <c r="Y33" s="18">
        <f>IF(OR(MATRIZ_174!P32="ASOCIACION",MATRIZ_174!P32="PENDIENTE"),65,40)</f>
        <v>65</v>
      </c>
      <c r="Z33" s="19" t="str">
        <f t="shared" si="5"/>
        <v>—</v>
      </c>
      <c r="AA33" s="20">
        <f t="shared" si="6"/>
        <v>60</v>
      </c>
      <c r="AB33" s="21" t="str">
        <f t="shared" si="7"/>
        <v>—</v>
      </c>
      <c r="AC33" s="13" t="str">
        <f t="shared" si="8"/>
        <v>⬜  Pendiente de instrumento</v>
      </c>
      <c r="AD33" s="13" t="str">
        <f>IF(MATRIZ_174!U32="","",IF(MATRIZ_174!U32=0,"🚫  Inh. vigente OSCE",""))</f>
        <v/>
      </c>
      <c r="AE33" s="22" t="str">
        <f>IFERROR(MATRIZ_174!W32,0)</f>
        <v/>
      </c>
      <c r="AF33" s="22" t="str">
        <f>IFERROR(MATRIZ_174!X32,0)</f>
        <v/>
      </c>
      <c r="AG33" s="22" t="str">
        <f>IFERROR(MATRIZ_174!Y32,0)</f>
        <v/>
      </c>
      <c r="AH33" s="22" t="str">
        <f>IFERROR(MATRIZ_174!Z32,0)</f>
        <v/>
      </c>
      <c r="AI33" s="17" t="str">
        <f>IFERROR(MATRIZ_174!AP32,"—")</f>
        <v>—</v>
      </c>
      <c r="AJ33" s="17" t="str">
        <f>IFERROR(MATRIZ_174!AO32,"N/A")</f>
        <v>N/A</v>
      </c>
      <c r="AK33" s="23" t="str">
        <f t="shared" si="9"/>
        <v>N/A</v>
      </c>
      <c r="AL33" s="24" t="str">
        <f t="shared" si="10"/>
        <v>—</v>
      </c>
      <c r="AM33" t="str">
        <f>IFERROR(MATRIZ_174!AT32,"")</f>
        <v>sin dato</v>
      </c>
    </row>
    <row r="34" spans="1:39" ht="16.05" customHeight="1" x14ac:dyDescent="0.3">
      <c r="A34" s="13" t="s">
        <v>140</v>
      </c>
      <c r="B34" s="14" t="s">
        <v>141</v>
      </c>
      <c r="C34" s="13" t="s">
        <v>137</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t="str">
        <f t="shared" si="1"/>
        <v/>
      </c>
      <c r="R34" s="17" t="str">
        <f t="shared" si="2"/>
        <v/>
      </c>
      <c r="S34" s="17" t="str">
        <f t="shared" si="3"/>
        <v/>
      </c>
      <c r="T34" s="17" t="str">
        <f>IF(ISNUMBER(MATRIZ_174!O33),IFERROR((K34+M34+MATRIZ_174!O33*100)/3,0),"")</f>
        <v/>
      </c>
      <c r="U34" s="18" t="str">
        <f>IF(ISNUMBER(MATRIZ_174!M33),MIN(100,ROUND(MATRIZ_174!M33,1)),"")</f>
        <v/>
      </c>
      <c r="V34" s="18">
        <f t="shared" si="4"/>
        <v>50</v>
      </c>
      <c r="W34" s="18">
        <f>IFERROR(IF(MATRIZ_174!R33=0,65,IF(MATRIZ_174!R33/MATRIZ_174!Q33&gt;=2,35,IF(MATRIZ_174!R33/MATRIZ_174!Q33&gt;=0.5,50,65))),65)</f>
        <v>65</v>
      </c>
      <c r="X34" s="18" t="str">
        <f>IF(ISNUMBER(MATRIZ_174!O33),MIN(100,IF(MATRIZ_174!O33=0,70,30)+IF(MATRIZ_174!U33="",0,0.3*(100-MATRIZ_174!U33*100))),"")</f>
        <v/>
      </c>
      <c r="Y34" s="18">
        <f>IF(OR(MATRIZ_174!P33="ASOCIACION",MATRIZ_174!P33="PENDIENTE"),65,40)</f>
        <v>65</v>
      </c>
      <c r="Z34" s="19" t="str">
        <f t="shared" si="5"/>
        <v>—</v>
      </c>
      <c r="AA34" s="20">
        <f t="shared" si="6"/>
        <v>60</v>
      </c>
      <c r="AB34" s="21" t="str">
        <f t="shared" si="7"/>
        <v>—</v>
      </c>
      <c r="AC34" s="13" t="str">
        <f t="shared" si="8"/>
        <v>⬜  Pendiente de instrumento</v>
      </c>
      <c r="AD34" s="13" t="str">
        <f>IF(MATRIZ_174!U33="","",IF(MATRIZ_174!U33=0,"🚫  Inh. vigente OSCE",""))</f>
        <v/>
      </c>
      <c r="AE34" s="22" t="str">
        <f>IFERROR(MATRIZ_174!W33,0)</f>
        <v/>
      </c>
      <c r="AF34" s="22" t="str">
        <f>IFERROR(MATRIZ_174!X33,0)</f>
        <v/>
      </c>
      <c r="AG34" s="22" t="str">
        <f>IFERROR(MATRIZ_174!Y33,0)</f>
        <v/>
      </c>
      <c r="AH34" s="22" t="str">
        <f>IFERROR(MATRIZ_174!Z33,0)</f>
        <v/>
      </c>
      <c r="AI34" s="17" t="str">
        <f>IFERROR(MATRIZ_174!AP33,"—")</f>
        <v>—</v>
      </c>
      <c r="AJ34" s="17" t="str">
        <f>IFERROR(MATRIZ_174!AO33,"N/A")</f>
        <v>N/A</v>
      </c>
      <c r="AK34" s="23" t="str">
        <f t="shared" si="9"/>
        <v>N/A</v>
      </c>
      <c r="AL34" s="24" t="str">
        <f t="shared" si="10"/>
        <v>—</v>
      </c>
      <c r="AM34" t="str">
        <f>IFERROR(MATRIZ_174!AT33,"")</f>
        <v>sin dato</v>
      </c>
    </row>
    <row r="35" spans="1:39" ht="16.05" customHeight="1" x14ac:dyDescent="0.3">
      <c r="A35" s="13" t="s">
        <v>142</v>
      </c>
      <c r="B35" s="14" t="s">
        <v>143</v>
      </c>
      <c r="C35" s="13" t="s">
        <v>137</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t="str">
        <f t="shared" si="1"/>
        <v/>
      </c>
      <c r="R35" s="17" t="str">
        <f t="shared" si="2"/>
        <v/>
      </c>
      <c r="S35" s="17" t="str">
        <f t="shared" si="3"/>
        <v/>
      </c>
      <c r="T35" s="17" t="str">
        <f>IF(ISNUMBER(MATRIZ_174!O34),IFERROR((K35+M35+MATRIZ_174!O34*100)/3,0),"")</f>
        <v/>
      </c>
      <c r="U35" s="18" t="str">
        <f>IF(ISNUMBER(MATRIZ_174!M34),MIN(100,ROUND(MATRIZ_174!M34,1)),"")</f>
        <v/>
      </c>
      <c r="V35" s="18">
        <f t="shared" si="4"/>
        <v>50</v>
      </c>
      <c r="W35" s="18">
        <f>IFERROR(IF(MATRIZ_174!R34=0,65,IF(MATRIZ_174!R34/MATRIZ_174!Q34&gt;=2,35,IF(MATRIZ_174!R34/MATRIZ_174!Q34&gt;=0.5,50,65))),65)</f>
        <v>65</v>
      </c>
      <c r="X35" s="18" t="str">
        <f>IF(ISNUMBER(MATRIZ_174!O34),MIN(100,IF(MATRIZ_174!O34=0,70,30)+IF(MATRIZ_174!U34="",0,0.3*(100-MATRIZ_174!U34*100))),"")</f>
        <v/>
      </c>
      <c r="Y35" s="18">
        <f>IF(OR(MATRIZ_174!P34="ASOCIACION",MATRIZ_174!P34="PENDIENTE"),65,40)</f>
        <v>65</v>
      </c>
      <c r="Z35" s="19" t="str">
        <f t="shared" si="5"/>
        <v>—</v>
      </c>
      <c r="AA35" s="20">
        <f t="shared" si="6"/>
        <v>60</v>
      </c>
      <c r="AB35" s="21" t="str">
        <f t="shared" si="7"/>
        <v>—</v>
      </c>
      <c r="AC35" s="13" t="str">
        <f t="shared" si="8"/>
        <v>⬜  Pendiente de instrumento</v>
      </c>
      <c r="AD35" s="13" t="str">
        <f>IF(MATRIZ_174!U34="","",IF(MATRIZ_174!U34=0,"🚫  Inh. vigente OSCE",""))</f>
        <v/>
      </c>
      <c r="AE35" s="22" t="str">
        <f>IFERROR(MATRIZ_174!W34,0)</f>
        <v/>
      </c>
      <c r="AF35" s="22" t="str">
        <f>IFERROR(MATRIZ_174!X34,0)</f>
        <v/>
      </c>
      <c r="AG35" s="22" t="str">
        <f>IFERROR(MATRIZ_174!Y34,0)</f>
        <v/>
      </c>
      <c r="AH35" s="22" t="str">
        <f>IFERROR(MATRIZ_174!Z34,0)</f>
        <v/>
      </c>
      <c r="AI35" s="17" t="str">
        <f>IFERROR(MATRIZ_174!AP34,"—")</f>
        <v>—</v>
      </c>
      <c r="AJ35" s="17" t="str">
        <f>IFERROR(MATRIZ_174!AO34,"N/A")</f>
        <v>N/A</v>
      </c>
      <c r="AK35" s="23" t="str">
        <f t="shared" si="9"/>
        <v>N/A</v>
      </c>
      <c r="AL35" s="24" t="str">
        <f t="shared" si="10"/>
        <v>—</v>
      </c>
      <c r="AM35" t="str">
        <f>IFERROR(MATRIZ_174!AT34,"")</f>
        <v>sin dato</v>
      </c>
    </row>
    <row r="36" spans="1:39" ht="16.05" customHeight="1" x14ac:dyDescent="0.3">
      <c r="A36" s="13" t="s">
        <v>144</v>
      </c>
      <c r="B36" s="14" t="s">
        <v>145</v>
      </c>
      <c r="C36" s="13" t="s">
        <v>78</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t="str">
        <f t="shared" ref="Q36:Q67" si="12">IFERROR(SQRT(G36*H36),"")</f>
        <v/>
      </c>
      <c r="R36" s="17" t="str">
        <f t="shared" ref="R36:R67" si="13">IFERROR((I36+J36+L36)/3,"")</f>
        <v/>
      </c>
      <c r="S36" s="17" t="str">
        <f t="shared" ref="S36:S67" si="14">IFERROR((J36+F36)/2,"")</f>
        <v/>
      </c>
      <c r="T36" s="17" t="str">
        <f>IF(ISNUMBER(MATRIZ_174!O35),IFERROR((K36+M36+MATRIZ_174!O35*100)/3,0),"")</f>
        <v/>
      </c>
      <c r="U36" s="18">
        <f>IF(ISNUMBER(MATRIZ_174!M35),MIN(100,ROUND(MATRIZ_174!M35,1)),"")</f>
        <v>50</v>
      </c>
      <c r="V36" s="18">
        <f t="shared" ref="V36:V67" si="15">IF(OR(NOT(ISNUMBER(F36)),F36=0),50,F36)</f>
        <v>50</v>
      </c>
      <c r="W36" s="18">
        <f>IFERROR(IF(MATRIZ_174!R35=0,65,IF(MATRIZ_174!R35/MATRIZ_174!Q35&gt;=2,35,IF(MATRIZ_174!R35/MATRIZ_174!Q35&gt;=0.5,50,65))),65)</f>
        <v>65</v>
      </c>
      <c r="X36" s="18" t="str">
        <f>IF(ISNUMBER(MATRIZ_174!O35),MIN(100,IF(MATRIZ_174!O35=0,70,30)+IF(MATRIZ_174!U35="",0,0.3*(100-MATRIZ_174!U35*100))),"")</f>
        <v/>
      </c>
      <c r="Y36" s="18">
        <f>IF(OR(MATRIZ_174!P35="ASOCIACION",MATRIZ_174!P35="PENDIENTE"),65,40)</f>
        <v>65</v>
      </c>
      <c r="Z36" s="19" t="str">
        <f t="shared" ref="Z36:Z67" si="16">IF(COUNT(F36:M36)&lt;8,"—",IFERROR(ROUND(AVERAGE(P36:T36),1),"—"))</f>
        <v>—</v>
      </c>
      <c r="AA36" s="20">
        <f t="shared" ref="AA36:AA67" si="17">IFERROR(ROUND(AVERAGE(U36,V36,W36,X36,Y36),1),"—")</f>
        <v>57.5</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t="str">
        <f>IFERROR(MATRIZ_174!X35,0)</f>
        <v/>
      </c>
      <c r="AG36" s="22" t="str">
        <f>IFERROR(MATRIZ_174!Y35,0)</f>
        <v/>
      </c>
      <c r="AH36" s="22" t="str">
        <f>IFERROR(MATRIZ_174!Z35,0)</f>
        <v/>
      </c>
      <c r="AI36" s="17">
        <f>IFERROR(MATRIZ_174!AP35,"—")</f>
        <v>0.5</v>
      </c>
      <c r="AJ36" s="17" t="str">
        <f>IFERROR(MATRIZ_174!AO35,"N/A")</f>
        <v>N/A</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c r="AM36" t="str">
        <f>IFERROR(MATRIZ_174!AT35,"")</f>
        <v>parcial · 2/7 · D12-D15 0/4</v>
      </c>
    </row>
    <row r="37" spans="1:39" ht="16.05" customHeight="1" x14ac:dyDescent="0.3">
      <c r="A37" s="13" t="s">
        <v>146</v>
      </c>
      <c r="B37" s="14" t="s">
        <v>147</v>
      </c>
      <c r="C37" s="13" t="s">
        <v>148</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t="str">
        <f t="shared" si="12"/>
        <v/>
      </c>
      <c r="R37" s="17" t="str">
        <f t="shared" si="13"/>
        <v/>
      </c>
      <c r="S37" s="17" t="str">
        <f t="shared" si="14"/>
        <v/>
      </c>
      <c r="T37" s="17">
        <f>IF(ISNUMBER(MATRIZ_174!O36),IFERROR((K37+M37+MATRIZ_174!O36*100)/3,0),"")</f>
        <v>0</v>
      </c>
      <c r="U37" s="18">
        <f>IF(ISNUMBER(MATRIZ_174!M36),MIN(100,ROUND(MATRIZ_174!M36,1)),"")</f>
        <v>21.3</v>
      </c>
      <c r="V37" s="18">
        <f t="shared" si="15"/>
        <v>50</v>
      </c>
      <c r="W37" s="18">
        <f>IFERROR(IF(MATRIZ_174!R36=0,65,IF(MATRIZ_174!R36/MATRIZ_174!Q36&gt;=2,35,IF(MATRIZ_174!R36/MATRIZ_174!Q36&gt;=0.5,50,65))),65)</f>
        <v>35</v>
      </c>
      <c r="X37" s="18">
        <f>IF(ISNUMBER(MATRIZ_174!O36),MIN(100,IF(MATRIZ_174!O36=0,70,30)+IF(MATRIZ_174!U36="",0,0.3*(100-MATRIZ_174!U36*100))),"")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t="str">
        <f>IFERROR(MATRIZ_174!X36,0)</f>
        <v/>
      </c>
      <c r="AG37" s="22" t="str">
        <f>IFERROR(MATRIZ_174!Y36,0)</f>
        <v/>
      </c>
      <c r="AH37" s="22" t="str">
        <f>IFERROR(MATRIZ_174!Z36,0)</f>
        <v/>
      </c>
      <c r="AI37" s="17">
        <f>IFERROR(MATRIZ_174!AP36,"—")</f>
        <v>0.46374999999999994</v>
      </c>
      <c r="AJ37" s="17" t="str">
        <f>IFERROR(MATRIZ_174!AO36,"N/A")</f>
        <v>N/A</v>
      </c>
      <c r="AK37" s="23" t="str">
        <f t="shared" si="20"/>
        <v>N/A</v>
      </c>
      <c r="AL37" s="24" t="str">
        <f t="shared" si="21"/>
        <v>—</v>
      </c>
      <c r="AM37" t="str">
        <f>IFERROR(MATRIZ_174!AT36,"")</f>
        <v>parcial · 3/7 · D12-D15 0/4</v>
      </c>
    </row>
    <row r="38" spans="1:39" ht="16.05" customHeight="1" x14ac:dyDescent="0.3">
      <c r="A38" s="13" t="s">
        <v>149</v>
      </c>
      <c r="B38" s="14" t="s">
        <v>150</v>
      </c>
      <c r="C38" s="13" t="s">
        <v>110</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t="str">
        <f t="shared" si="12"/>
        <v/>
      </c>
      <c r="R38" s="17" t="str">
        <f t="shared" si="13"/>
        <v/>
      </c>
      <c r="S38" s="17" t="str">
        <f t="shared" si="14"/>
        <v/>
      </c>
      <c r="T38" s="17" t="str">
        <f>IF(ISNUMBER(MATRIZ_174!O37),IFERROR((K38+M38+MATRIZ_174!O37*100)/3,0),"")</f>
        <v/>
      </c>
      <c r="U38" s="18" t="str">
        <f>IF(ISNUMBER(MATRIZ_174!M37),MIN(100,ROUND(MATRIZ_174!M37,1)),"")</f>
        <v/>
      </c>
      <c r="V38" s="18">
        <f t="shared" si="15"/>
        <v>50</v>
      </c>
      <c r="W38" s="18">
        <f>IFERROR(IF(MATRIZ_174!R37=0,65,IF(MATRIZ_174!R37/MATRIZ_174!Q37&gt;=2,35,IF(MATRIZ_174!R37/MATRIZ_174!Q37&gt;=0.5,50,65))),65)</f>
        <v>65</v>
      </c>
      <c r="X38" s="18" t="str">
        <f>IF(ISNUMBER(MATRIZ_174!O37),MIN(100,IF(MATRIZ_174!O37=0,70,30)+IF(MATRIZ_174!U37="",0,0.3*(100-MATRIZ_174!U37*100))),"")</f>
        <v/>
      </c>
      <c r="Y38" s="18">
        <f>IF(OR(MATRIZ_174!P37="ASOCIACION",MATRIZ_174!P37="PENDIENTE"),65,40)</f>
        <v>65</v>
      </c>
      <c r="Z38" s="19" t="str">
        <f t="shared" si="16"/>
        <v>—</v>
      </c>
      <c r="AA38" s="20">
        <f t="shared" si="17"/>
        <v>60</v>
      </c>
      <c r="AB38" s="21" t="str">
        <f t="shared" si="18"/>
        <v>—</v>
      </c>
      <c r="AC38" s="13" t="str">
        <f t="shared" si="19"/>
        <v>⬜  Pendiente de instrumento</v>
      </c>
      <c r="AD38" s="13" t="str">
        <f>IF(MATRIZ_174!U37="","",IF(MATRIZ_174!U37=0,"🚫  Inh. vigente OSCE",""))</f>
        <v/>
      </c>
      <c r="AE38" s="22" t="str">
        <f>IFERROR(MATRIZ_174!W37,0)</f>
        <v/>
      </c>
      <c r="AF38" s="22" t="str">
        <f>IFERROR(MATRIZ_174!X37,0)</f>
        <v/>
      </c>
      <c r="AG38" s="22" t="str">
        <f>IFERROR(MATRIZ_174!Y37,0)</f>
        <v/>
      </c>
      <c r="AH38" s="22" t="str">
        <f>IFERROR(MATRIZ_174!Z37,0)</f>
        <v/>
      </c>
      <c r="AI38" s="17" t="str">
        <f>IFERROR(MATRIZ_174!AP37,"—")</f>
        <v>—</v>
      </c>
      <c r="AJ38" s="17" t="str">
        <f>IFERROR(MATRIZ_174!AO37,"N/A")</f>
        <v>N/A</v>
      </c>
      <c r="AK38" s="23" t="str">
        <f t="shared" si="20"/>
        <v>N/A</v>
      </c>
      <c r="AL38" s="24" t="str">
        <f t="shared" si="21"/>
        <v>—</v>
      </c>
      <c r="AM38" t="str">
        <f>IFERROR(MATRIZ_174!AT37,"")</f>
        <v>sin dato</v>
      </c>
    </row>
    <row r="39" spans="1:39" ht="16.05" customHeight="1" x14ac:dyDescent="0.3">
      <c r="A39" s="13" t="s">
        <v>151</v>
      </c>
      <c r="B39" s="14" t="s">
        <v>152</v>
      </c>
      <c r="C39" s="13" t="s">
        <v>110</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t="str">
        <f t="shared" si="12"/>
        <v/>
      </c>
      <c r="R39" s="17" t="str">
        <f t="shared" si="13"/>
        <v/>
      </c>
      <c r="S39" s="17" t="str">
        <f t="shared" si="14"/>
        <v/>
      </c>
      <c r="T39" s="17" t="str">
        <f>IF(ISNUMBER(MATRIZ_174!O38),IFERROR((K39+M39+MATRIZ_174!O38*100)/3,0),"")</f>
        <v/>
      </c>
      <c r="U39" s="18" t="str">
        <f>IF(ISNUMBER(MATRIZ_174!M38),MIN(100,ROUND(MATRIZ_174!M38,1)),"")</f>
        <v/>
      </c>
      <c r="V39" s="18">
        <f t="shared" si="15"/>
        <v>50</v>
      </c>
      <c r="W39" s="18">
        <f>IFERROR(IF(MATRIZ_174!R38=0,65,IF(MATRIZ_174!R38/MATRIZ_174!Q38&gt;=2,35,IF(MATRIZ_174!R38/MATRIZ_174!Q38&gt;=0.5,50,65))),65)</f>
        <v>65</v>
      </c>
      <c r="X39" s="18" t="str">
        <f>IF(ISNUMBER(MATRIZ_174!O38),MIN(100,IF(MATRIZ_174!O38=0,70,30)+IF(MATRIZ_174!U38="",0,0.3*(100-MATRIZ_174!U38*100))),"")</f>
        <v/>
      </c>
      <c r="Y39" s="18">
        <f>IF(OR(MATRIZ_174!P38="ASOCIACION",MATRIZ_174!P38="PENDIENTE"),65,40)</f>
        <v>65</v>
      </c>
      <c r="Z39" s="19" t="str">
        <f t="shared" si="16"/>
        <v>—</v>
      </c>
      <c r="AA39" s="20">
        <f t="shared" si="17"/>
        <v>60</v>
      </c>
      <c r="AB39" s="21" t="str">
        <f t="shared" si="18"/>
        <v>—</v>
      </c>
      <c r="AC39" s="13" t="str">
        <f t="shared" si="19"/>
        <v>⬜  Pendiente de instrumento</v>
      </c>
      <c r="AD39" s="13" t="str">
        <f>IF(MATRIZ_174!U38="","",IF(MATRIZ_174!U38=0,"🚫  Inh. vigente OSCE",""))</f>
        <v/>
      </c>
      <c r="AE39" s="22" t="str">
        <f>IFERROR(MATRIZ_174!W38,0)</f>
        <v/>
      </c>
      <c r="AF39" s="22" t="str">
        <f>IFERROR(MATRIZ_174!X38,0)</f>
        <v/>
      </c>
      <c r="AG39" s="22" t="str">
        <f>IFERROR(MATRIZ_174!Y38,0)</f>
        <v/>
      </c>
      <c r="AH39" s="22" t="str">
        <f>IFERROR(MATRIZ_174!Z38,0)</f>
        <v/>
      </c>
      <c r="AI39" s="17" t="str">
        <f>IFERROR(MATRIZ_174!AP38,"—")</f>
        <v>—</v>
      </c>
      <c r="AJ39" s="17" t="str">
        <f>IFERROR(MATRIZ_174!AO38,"N/A")</f>
        <v>N/A</v>
      </c>
      <c r="AK39" s="23" t="str">
        <f t="shared" si="20"/>
        <v>N/A</v>
      </c>
      <c r="AL39" s="24" t="str">
        <f t="shared" si="21"/>
        <v>—</v>
      </c>
      <c r="AM39" t="str">
        <f>IFERROR(MATRIZ_174!AT38,"")</f>
        <v>sin dato</v>
      </c>
    </row>
    <row r="40" spans="1:39" ht="16.05" customHeight="1" x14ac:dyDescent="0.3">
      <c r="A40" s="13" t="s">
        <v>153</v>
      </c>
      <c r="B40" s="14" t="s">
        <v>154</v>
      </c>
      <c r="C40" s="13" t="s">
        <v>110</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t="str">
        <f t="shared" si="12"/>
        <v/>
      </c>
      <c r="R40" s="17" t="str">
        <f t="shared" si="13"/>
        <v/>
      </c>
      <c r="S40" s="17" t="str">
        <f t="shared" si="14"/>
        <v/>
      </c>
      <c r="T40" s="17" t="str">
        <f>IF(ISNUMBER(MATRIZ_174!O39),IFERROR((K40+M40+MATRIZ_174!O39*100)/3,0),"")</f>
        <v/>
      </c>
      <c r="U40" s="18">
        <f>IF(ISNUMBER(MATRIZ_174!M39),MIN(100,ROUND(MATRIZ_174!M39,1)),"")</f>
        <v>50</v>
      </c>
      <c r="V40" s="18">
        <f t="shared" si="15"/>
        <v>50</v>
      </c>
      <c r="W40" s="18">
        <f>IFERROR(IF(MATRIZ_174!R39=0,65,IF(MATRIZ_174!R39/MATRIZ_174!Q39&gt;=2,35,IF(MATRIZ_174!R39/MATRIZ_174!Q39&gt;=0.5,50,65))),65)</f>
        <v>65</v>
      </c>
      <c r="X40" s="18" t="str">
        <f>IF(ISNUMBER(MATRIZ_174!O39),MIN(100,IF(MATRIZ_174!O39=0,70,30)+IF(MATRIZ_174!U39="",0,0.3*(100-MATRIZ_174!U39*100))),"")</f>
        <v/>
      </c>
      <c r="Y40" s="18">
        <f>IF(OR(MATRIZ_174!P39="ASOCIACION",MATRIZ_174!P39="PENDIENTE"),65,40)</f>
        <v>65</v>
      </c>
      <c r="Z40" s="19" t="str">
        <f t="shared" si="16"/>
        <v>—</v>
      </c>
      <c r="AA40" s="20">
        <f t="shared" si="17"/>
        <v>57.5</v>
      </c>
      <c r="AB40" s="21" t="str">
        <f t="shared" si="18"/>
        <v>—</v>
      </c>
      <c r="AC40" s="13" t="str">
        <f t="shared" si="19"/>
        <v>⬜  Pendiente de instrumento</v>
      </c>
      <c r="AD40" s="13" t="str">
        <f>IF(MATRIZ_174!U39="","",IF(MATRIZ_174!U39=0,"🚫  Inh. vigente OSCE",""))</f>
        <v/>
      </c>
      <c r="AE40" s="22">
        <f>IFERROR(MATRIZ_174!W39,0)</f>
        <v>1</v>
      </c>
      <c r="AF40" s="22" t="str">
        <f>IFERROR(MATRIZ_174!X39,0)</f>
        <v/>
      </c>
      <c r="AG40" s="22" t="str">
        <f>IFERROR(MATRIZ_174!Y39,0)</f>
        <v/>
      </c>
      <c r="AH40" s="22" t="str">
        <f>IFERROR(MATRIZ_174!Z39,0)</f>
        <v/>
      </c>
      <c r="AI40" s="17">
        <f>IFERROR(MATRIZ_174!AP39,"—")</f>
        <v>0.5</v>
      </c>
      <c r="AJ40" s="17" t="str">
        <f>IFERROR(MATRIZ_174!AO39,"N/A")</f>
        <v>N/A</v>
      </c>
      <c r="AK40" s="23" t="str">
        <f t="shared" si="20"/>
        <v>N/A</v>
      </c>
      <c r="AL40" s="24" t="str">
        <f t="shared" si="21"/>
        <v>—</v>
      </c>
      <c r="AM40" t="str">
        <f>IFERROR(MATRIZ_174!AT39,"")</f>
        <v>parcial · 2/7 · D12-D15 0/4</v>
      </c>
    </row>
    <row r="41" spans="1:39" ht="16.05" customHeight="1" x14ac:dyDescent="0.3">
      <c r="A41" s="13" t="s">
        <v>155</v>
      </c>
      <c r="B41" s="14" t="s">
        <v>156</v>
      </c>
      <c r="C41" s="13" t="s">
        <v>110</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t="str">
        <f t="shared" si="12"/>
        <v/>
      </c>
      <c r="R41" s="17" t="str">
        <f t="shared" si="13"/>
        <v/>
      </c>
      <c r="S41" s="17" t="str">
        <f t="shared" si="14"/>
        <v/>
      </c>
      <c r="T41" s="17" t="str">
        <f>IF(ISNUMBER(MATRIZ_174!O40),IFERROR((K41+M41+MATRIZ_174!O40*100)/3,0),"")</f>
        <v/>
      </c>
      <c r="U41" s="18">
        <f>IF(ISNUMBER(MATRIZ_174!M40),MIN(100,ROUND(MATRIZ_174!M40,1)),"")</f>
        <v>50</v>
      </c>
      <c r="V41" s="18">
        <f t="shared" si="15"/>
        <v>50</v>
      </c>
      <c r="W41" s="18">
        <f>IFERROR(IF(MATRIZ_174!R40=0,65,IF(MATRIZ_174!R40/MATRIZ_174!Q40&gt;=2,35,IF(MATRIZ_174!R40/MATRIZ_174!Q40&gt;=0.5,50,65))),65)</f>
        <v>65</v>
      </c>
      <c r="X41" s="18" t="str">
        <f>IF(ISNUMBER(MATRIZ_174!O40),MIN(100,IF(MATRIZ_174!O40=0,70,30)+IF(MATRIZ_174!U40="",0,0.3*(100-MATRIZ_174!U40*100))),"")</f>
        <v/>
      </c>
      <c r="Y41" s="18">
        <f>IF(OR(MATRIZ_174!P40="ASOCIACION",MATRIZ_174!P40="PENDIENTE"),65,40)</f>
        <v>65</v>
      </c>
      <c r="Z41" s="19" t="str">
        <f t="shared" si="16"/>
        <v>—</v>
      </c>
      <c r="AA41" s="20">
        <f t="shared" si="17"/>
        <v>57.5</v>
      </c>
      <c r="AB41" s="21" t="str">
        <f t="shared" si="18"/>
        <v>—</v>
      </c>
      <c r="AC41" s="13" t="str">
        <f t="shared" si="19"/>
        <v>⬜  Pendiente de instrumento</v>
      </c>
      <c r="AD41" s="13" t="str">
        <f>IF(MATRIZ_174!U40="","",IF(MATRIZ_174!U40=0,"🚫  Inh. vigente OSCE",""))</f>
        <v/>
      </c>
      <c r="AE41" s="22">
        <f>IFERROR(MATRIZ_174!W40,0)</f>
        <v>1</v>
      </c>
      <c r="AF41" s="22" t="str">
        <f>IFERROR(MATRIZ_174!X40,0)</f>
        <v/>
      </c>
      <c r="AG41" s="22" t="str">
        <f>IFERROR(MATRIZ_174!Y40,0)</f>
        <v/>
      </c>
      <c r="AH41" s="22" t="str">
        <f>IFERROR(MATRIZ_174!Z40,0)</f>
        <v/>
      </c>
      <c r="AI41" s="17">
        <f>IFERROR(MATRIZ_174!AP40,"—")</f>
        <v>0.5</v>
      </c>
      <c r="AJ41" s="17" t="str">
        <f>IFERROR(MATRIZ_174!AO40,"N/A")</f>
        <v>N/A</v>
      </c>
      <c r="AK41" s="23" t="str">
        <f t="shared" si="20"/>
        <v>N/A</v>
      </c>
      <c r="AL41" s="24" t="str">
        <f t="shared" si="21"/>
        <v>—</v>
      </c>
      <c r="AM41" t="str">
        <f>IFERROR(MATRIZ_174!AT40,"")</f>
        <v>parcial · 2/7 · D12-D15 0/4</v>
      </c>
    </row>
    <row r="42" spans="1:39" ht="16.05" customHeight="1" x14ac:dyDescent="0.3">
      <c r="A42" s="13" t="s">
        <v>157</v>
      </c>
      <c r="B42" s="14" t="s">
        <v>158</v>
      </c>
      <c r="C42" s="13" t="s">
        <v>110</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t="str">
        <f t="shared" si="12"/>
        <v/>
      </c>
      <c r="R42" s="17" t="str">
        <f t="shared" si="13"/>
        <v/>
      </c>
      <c r="S42" s="17" t="str">
        <f t="shared" si="14"/>
        <v/>
      </c>
      <c r="T42" s="17" t="str">
        <f>IF(ISNUMBER(MATRIZ_174!O41),IFERROR((K42+M42+MATRIZ_174!O41*100)/3,0),"")</f>
        <v/>
      </c>
      <c r="U42" s="18" t="str">
        <f>IF(ISNUMBER(MATRIZ_174!M41),MIN(100,ROUND(MATRIZ_174!M41,1)),"")</f>
        <v/>
      </c>
      <c r="V42" s="18">
        <f t="shared" si="15"/>
        <v>50</v>
      </c>
      <c r="W42" s="18">
        <f>IFERROR(IF(MATRIZ_174!R41=0,65,IF(MATRIZ_174!R41/MATRIZ_174!Q41&gt;=2,35,IF(MATRIZ_174!R41/MATRIZ_174!Q41&gt;=0.5,50,65))),65)</f>
        <v>65</v>
      </c>
      <c r="X42" s="18" t="str">
        <f>IF(ISNUMBER(MATRIZ_174!O41),MIN(100,IF(MATRIZ_174!O41=0,70,30)+IF(MATRIZ_174!U41="",0,0.3*(100-MATRIZ_174!U41*100))),"")</f>
        <v/>
      </c>
      <c r="Y42" s="18">
        <f>IF(OR(MATRIZ_174!P41="ASOCIACION",MATRIZ_174!P41="PENDIENTE"),65,40)</f>
        <v>65</v>
      </c>
      <c r="Z42" s="19" t="str">
        <f t="shared" si="16"/>
        <v>—</v>
      </c>
      <c r="AA42" s="20">
        <f t="shared" si="17"/>
        <v>60</v>
      </c>
      <c r="AB42" s="21" t="str">
        <f t="shared" si="18"/>
        <v>—</v>
      </c>
      <c r="AC42" s="13" t="str">
        <f t="shared" si="19"/>
        <v>⬜  Pendiente de instrumento</v>
      </c>
      <c r="AD42" s="13" t="str">
        <f>IF(MATRIZ_174!U41="","",IF(MATRIZ_174!U41=0,"🚫  Inh. vigente OSCE",""))</f>
        <v/>
      </c>
      <c r="AE42" s="22" t="str">
        <f>IFERROR(MATRIZ_174!W41,0)</f>
        <v/>
      </c>
      <c r="AF42" s="22" t="str">
        <f>IFERROR(MATRIZ_174!X41,0)</f>
        <v/>
      </c>
      <c r="AG42" s="22" t="str">
        <f>IFERROR(MATRIZ_174!Y41,0)</f>
        <v/>
      </c>
      <c r="AH42" s="22" t="str">
        <f>IFERROR(MATRIZ_174!Z41,0)</f>
        <v/>
      </c>
      <c r="AI42" s="17" t="str">
        <f>IFERROR(MATRIZ_174!AP41,"—")</f>
        <v>—</v>
      </c>
      <c r="AJ42" s="17" t="str">
        <f>IFERROR(MATRIZ_174!AO41,"N/A")</f>
        <v>N/A</v>
      </c>
      <c r="AK42" s="23" t="str">
        <f t="shared" si="20"/>
        <v>N/A</v>
      </c>
      <c r="AL42" s="24" t="str">
        <f t="shared" si="21"/>
        <v>—</v>
      </c>
      <c r="AM42" t="str">
        <f>IFERROR(MATRIZ_174!AT41,"")</f>
        <v>sin dato</v>
      </c>
    </row>
    <row r="43" spans="1:39" ht="16.05" customHeight="1" x14ac:dyDescent="0.3">
      <c r="A43" s="13" t="s">
        <v>159</v>
      </c>
      <c r="B43" s="14" t="s">
        <v>160</v>
      </c>
      <c r="C43" s="13" t="s">
        <v>101</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t="str">
        <f t="shared" si="12"/>
        <v/>
      </c>
      <c r="R43" s="17" t="str">
        <f t="shared" si="13"/>
        <v/>
      </c>
      <c r="S43" s="17" t="str">
        <f t="shared" si="14"/>
        <v/>
      </c>
      <c r="T43" s="17" t="str">
        <f>IF(ISNUMBER(MATRIZ_174!O42),IFERROR((K43+M43+MATRIZ_174!O42*100)/3,0),"")</f>
        <v/>
      </c>
      <c r="U43" s="18">
        <f>IF(ISNUMBER(MATRIZ_174!M42),MIN(100,ROUND(MATRIZ_174!M42,1)),"")</f>
        <v>50</v>
      </c>
      <c r="V43" s="18">
        <f t="shared" si="15"/>
        <v>50</v>
      </c>
      <c r="W43" s="18">
        <f>IFERROR(IF(MATRIZ_174!R42=0,65,IF(MATRIZ_174!R42/MATRIZ_174!Q42&gt;=2,35,IF(MATRIZ_174!R42/MATRIZ_174!Q42&gt;=0.5,50,65))),65)</f>
        <v>65</v>
      </c>
      <c r="X43" s="18" t="str">
        <f>IF(ISNUMBER(MATRIZ_174!O42),MIN(100,IF(MATRIZ_174!O42=0,70,30)+IF(MATRIZ_174!U42="",0,0.3*(100-MATRIZ_174!U42*100))),"")</f>
        <v/>
      </c>
      <c r="Y43" s="18">
        <f>IF(OR(MATRIZ_174!P42="ASOCIACION",MATRIZ_174!P42="PENDIENTE"),65,40)</f>
        <v>65</v>
      </c>
      <c r="Z43" s="19" t="str">
        <f t="shared" si="16"/>
        <v>—</v>
      </c>
      <c r="AA43" s="20">
        <f t="shared" si="17"/>
        <v>57.5</v>
      </c>
      <c r="AB43" s="21" t="str">
        <f t="shared" si="18"/>
        <v>—</v>
      </c>
      <c r="AC43" s="13" t="str">
        <f t="shared" si="19"/>
        <v>⬜  Pendiente de instrumento</v>
      </c>
      <c r="AD43" s="13" t="str">
        <f>IF(MATRIZ_174!U42="","",IF(MATRIZ_174!U42=0,"🚫  Inh. vigente OSCE",""))</f>
        <v/>
      </c>
      <c r="AE43" s="22" t="str">
        <f>IFERROR(MATRIZ_174!W42,0)</f>
        <v/>
      </c>
      <c r="AF43" s="22" t="str">
        <f>IFERROR(MATRIZ_174!X42,0)</f>
        <v/>
      </c>
      <c r="AG43" s="22" t="str">
        <f>IFERROR(MATRIZ_174!Y42,0)</f>
        <v/>
      </c>
      <c r="AH43" s="22" t="str">
        <f>IFERROR(MATRIZ_174!Z42,0)</f>
        <v/>
      </c>
      <c r="AI43" s="17">
        <f>IFERROR(MATRIZ_174!AP42,"—")</f>
        <v>0.5</v>
      </c>
      <c r="AJ43" s="17" t="str">
        <f>IFERROR(MATRIZ_174!AO42,"N/A")</f>
        <v>N/A</v>
      </c>
      <c r="AK43" s="23" t="str">
        <f t="shared" si="20"/>
        <v>N/A</v>
      </c>
      <c r="AL43" s="24" t="str">
        <f t="shared" si="21"/>
        <v>—</v>
      </c>
      <c r="AM43" t="str">
        <f>IFERROR(MATRIZ_174!AT42,"")</f>
        <v>parcial · 1/7 · D12-D15 0/4</v>
      </c>
    </row>
    <row r="44" spans="1:39" ht="16.05" customHeight="1" x14ac:dyDescent="0.3">
      <c r="A44" s="13" t="s">
        <v>161</v>
      </c>
      <c r="B44" s="14" t="s">
        <v>162</v>
      </c>
      <c r="C44" s="13" t="s">
        <v>75</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t="str">
        <f t="shared" si="12"/>
        <v/>
      </c>
      <c r="R44" s="17" t="str">
        <f t="shared" si="13"/>
        <v/>
      </c>
      <c r="S44" s="17" t="str">
        <f t="shared" si="14"/>
        <v/>
      </c>
      <c r="T44" s="17" t="str">
        <f>IF(ISNUMBER(MATRIZ_174!O43),IFERROR((K44+M44+MATRIZ_174!O43*100)/3,0),"")</f>
        <v/>
      </c>
      <c r="U44" s="18" t="str">
        <f>IF(ISNUMBER(MATRIZ_174!M43),MIN(100,ROUND(MATRIZ_174!M43,1)),"")</f>
        <v/>
      </c>
      <c r="V44" s="18">
        <f t="shared" si="15"/>
        <v>50</v>
      </c>
      <c r="W44" s="18">
        <f>IFERROR(IF(MATRIZ_174!R43=0,65,IF(MATRIZ_174!R43/MATRIZ_174!Q43&gt;=2,35,IF(MATRIZ_174!R43/MATRIZ_174!Q43&gt;=0.5,50,65))),65)</f>
        <v>65</v>
      </c>
      <c r="X44" s="18" t="str">
        <f>IF(ISNUMBER(MATRIZ_174!O43),MIN(100,IF(MATRIZ_174!O43=0,70,30)+IF(MATRIZ_174!U43="",0,0.3*(100-MATRIZ_174!U43*100))),"")</f>
        <v/>
      </c>
      <c r="Y44" s="18">
        <f>IF(OR(MATRIZ_174!P43="ASOCIACION",MATRIZ_174!P43="PENDIENTE"),65,40)</f>
        <v>65</v>
      </c>
      <c r="Z44" s="19" t="str">
        <f t="shared" si="16"/>
        <v>—</v>
      </c>
      <c r="AA44" s="20">
        <f t="shared" si="17"/>
        <v>60</v>
      </c>
      <c r="AB44" s="21" t="str">
        <f t="shared" si="18"/>
        <v>—</v>
      </c>
      <c r="AC44" s="13" t="str">
        <f t="shared" si="19"/>
        <v>⬜  Pendiente de instrumento</v>
      </c>
      <c r="AD44" s="13" t="str">
        <f>IF(MATRIZ_174!U43="","",IF(MATRIZ_174!U43=0,"🚫  Inh. vigente OSCE",""))</f>
        <v/>
      </c>
      <c r="AE44" s="22" t="str">
        <f>IFERROR(MATRIZ_174!W43,0)</f>
        <v/>
      </c>
      <c r="AF44" s="22" t="str">
        <f>IFERROR(MATRIZ_174!X43,0)</f>
        <v/>
      </c>
      <c r="AG44" s="22" t="str">
        <f>IFERROR(MATRIZ_174!Y43,0)</f>
        <v/>
      </c>
      <c r="AH44" s="22" t="str">
        <f>IFERROR(MATRIZ_174!Z43,0)</f>
        <v/>
      </c>
      <c r="AI44" s="17" t="str">
        <f>IFERROR(MATRIZ_174!AP43,"—")</f>
        <v>—</v>
      </c>
      <c r="AJ44" s="17" t="str">
        <f>IFERROR(MATRIZ_174!AO43,"N/A")</f>
        <v>N/A</v>
      </c>
      <c r="AK44" s="23" t="str">
        <f t="shared" si="20"/>
        <v>N/A</v>
      </c>
      <c r="AL44" s="24" t="str">
        <f t="shared" si="21"/>
        <v>—</v>
      </c>
      <c r="AM44" t="str">
        <f>IFERROR(MATRIZ_174!AT43,"")</f>
        <v>sin dato</v>
      </c>
    </row>
    <row r="45" spans="1:39" ht="16.05" customHeight="1" x14ac:dyDescent="0.3">
      <c r="A45" s="13" t="s">
        <v>163</v>
      </c>
      <c r="B45" s="14" t="s">
        <v>164</v>
      </c>
      <c r="C45" s="13" t="s">
        <v>75</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t="str">
        <f t="shared" si="12"/>
        <v/>
      </c>
      <c r="R45" s="17" t="str">
        <f t="shared" si="13"/>
        <v/>
      </c>
      <c r="S45" s="17" t="str">
        <f t="shared" si="14"/>
        <v/>
      </c>
      <c r="T45" s="17" t="str">
        <f>IF(ISNUMBER(MATRIZ_174!O44),IFERROR((K45+M45+MATRIZ_174!O44*100)/3,0),"")</f>
        <v/>
      </c>
      <c r="U45" s="18" t="str">
        <f>IF(ISNUMBER(MATRIZ_174!M44),MIN(100,ROUND(MATRIZ_174!M44,1)),"")</f>
        <v/>
      </c>
      <c r="V45" s="18">
        <f t="shared" si="15"/>
        <v>50</v>
      </c>
      <c r="W45" s="18">
        <f>IFERROR(IF(MATRIZ_174!R44=0,65,IF(MATRIZ_174!R44/MATRIZ_174!Q44&gt;=2,35,IF(MATRIZ_174!R44/MATRIZ_174!Q44&gt;=0.5,50,65))),65)</f>
        <v>65</v>
      </c>
      <c r="X45" s="18" t="str">
        <f>IF(ISNUMBER(MATRIZ_174!O44),MIN(100,IF(MATRIZ_174!O44=0,70,30)+IF(MATRIZ_174!U44="",0,0.3*(100-MATRIZ_174!U44*100))),"")</f>
        <v/>
      </c>
      <c r="Y45" s="18">
        <f>IF(OR(MATRIZ_174!P44="ASOCIACION",MATRIZ_174!P44="PENDIENTE"),65,40)</f>
        <v>65</v>
      </c>
      <c r="Z45" s="19" t="str">
        <f t="shared" si="16"/>
        <v>—</v>
      </c>
      <c r="AA45" s="20">
        <f t="shared" si="17"/>
        <v>60</v>
      </c>
      <c r="AB45" s="21" t="str">
        <f t="shared" si="18"/>
        <v>—</v>
      </c>
      <c r="AC45" s="13" t="str">
        <f t="shared" si="19"/>
        <v>⬜  Pendiente de instrumento</v>
      </c>
      <c r="AD45" s="13" t="str">
        <f>IF(MATRIZ_174!U44="","",IF(MATRIZ_174!U44=0,"🚫  Inh. vigente OSCE",""))</f>
        <v/>
      </c>
      <c r="AE45" s="22" t="str">
        <f>IFERROR(MATRIZ_174!W44,0)</f>
        <v/>
      </c>
      <c r="AF45" s="22" t="str">
        <f>IFERROR(MATRIZ_174!X44,0)</f>
        <v/>
      </c>
      <c r="AG45" s="22" t="str">
        <f>IFERROR(MATRIZ_174!Y44,0)</f>
        <v/>
      </c>
      <c r="AH45" s="22" t="str">
        <f>IFERROR(MATRIZ_174!Z44,0)</f>
        <v/>
      </c>
      <c r="AI45" s="17" t="str">
        <f>IFERROR(MATRIZ_174!AP44,"—")</f>
        <v>—</v>
      </c>
      <c r="AJ45" s="17" t="str">
        <f>IFERROR(MATRIZ_174!AO44,"N/A")</f>
        <v>N/A</v>
      </c>
      <c r="AK45" s="23" t="str">
        <f t="shared" si="20"/>
        <v>N/A</v>
      </c>
      <c r="AL45" s="24" t="str">
        <f t="shared" si="21"/>
        <v>—</v>
      </c>
      <c r="AM45" t="str">
        <f>IFERROR(MATRIZ_174!AT44,"")</f>
        <v>sin dato</v>
      </c>
    </row>
    <row r="46" spans="1:39" ht="16.05" customHeight="1" x14ac:dyDescent="0.3">
      <c r="A46" s="13" t="s">
        <v>165</v>
      </c>
      <c r="B46" s="14" t="s">
        <v>166</v>
      </c>
      <c r="C46" s="13" t="s">
        <v>75</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t="str">
        <f t="shared" si="12"/>
        <v/>
      </c>
      <c r="R46" s="17" t="str">
        <f t="shared" si="13"/>
        <v/>
      </c>
      <c r="S46" s="17" t="str">
        <f t="shared" si="14"/>
        <v/>
      </c>
      <c r="T46" s="17" t="str">
        <f>IF(ISNUMBER(MATRIZ_174!O45),IFERROR((K46+M46+MATRIZ_174!O45*100)/3,0),"")</f>
        <v/>
      </c>
      <c r="U46" s="18">
        <f>IF(ISNUMBER(MATRIZ_174!M45),MIN(100,ROUND(MATRIZ_174!M45,1)),"")</f>
        <v>50</v>
      </c>
      <c r="V46" s="18">
        <f t="shared" si="15"/>
        <v>50</v>
      </c>
      <c r="W46" s="18">
        <f>IFERROR(IF(MATRIZ_174!R45=0,65,IF(MATRIZ_174!R45/MATRIZ_174!Q45&gt;=2,35,IF(MATRIZ_174!R45/MATRIZ_174!Q45&gt;=0.5,50,65))),65)</f>
        <v>65</v>
      </c>
      <c r="X46" s="18" t="str">
        <f>IF(ISNUMBER(MATRIZ_174!O45),MIN(100,IF(MATRIZ_174!O45=0,70,30)+IF(MATRIZ_174!U45="",0,0.3*(100-MATRIZ_174!U45*100))),"")</f>
        <v/>
      </c>
      <c r="Y46" s="18">
        <f>IF(OR(MATRIZ_174!P45="ASOCIACION",MATRIZ_174!P45="PENDIENTE"),65,40)</f>
        <v>65</v>
      </c>
      <c r="Z46" s="19" t="str">
        <f t="shared" si="16"/>
        <v>—</v>
      </c>
      <c r="AA46" s="20">
        <f t="shared" si="17"/>
        <v>57.5</v>
      </c>
      <c r="AB46" s="21" t="str">
        <f t="shared" si="18"/>
        <v>—</v>
      </c>
      <c r="AC46" s="13" t="str">
        <f t="shared" si="19"/>
        <v>⬜  Pendiente de instrumento</v>
      </c>
      <c r="AD46" s="13" t="str">
        <f>IF(MATRIZ_174!U45="","",IF(MATRIZ_174!U45=0,"🚫  Inh. vigente OSCE",""))</f>
        <v/>
      </c>
      <c r="AE46" s="22">
        <f>IFERROR(MATRIZ_174!W45,0)</f>
        <v>1</v>
      </c>
      <c r="AF46" s="22" t="str">
        <f>IFERROR(MATRIZ_174!X45,0)</f>
        <v/>
      </c>
      <c r="AG46" s="22" t="str">
        <f>IFERROR(MATRIZ_174!Y45,0)</f>
        <v/>
      </c>
      <c r="AH46" s="22" t="str">
        <f>IFERROR(MATRIZ_174!Z45,0)</f>
        <v/>
      </c>
      <c r="AI46" s="17">
        <f>IFERROR(MATRIZ_174!AP45,"—")</f>
        <v>0.5</v>
      </c>
      <c r="AJ46" s="17" t="str">
        <f>IFERROR(MATRIZ_174!AO45,"N/A")</f>
        <v>N/A</v>
      </c>
      <c r="AK46" s="23" t="str">
        <f t="shared" si="20"/>
        <v>N/A</v>
      </c>
      <c r="AL46" s="24" t="str">
        <f t="shared" si="21"/>
        <v>—</v>
      </c>
      <c r="AM46" t="str">
        <f>IFERROR(MATRIZ_174!AT45,"")</f>
        <v>parcial · 2/7 · D12-D15 0/4</v>
      </c>
    </row>
    <row r="47" spans="1:39" ht="16.05" customHeight="1" x14ac:dyDescent="0.3">
      <c r="A47" s="13" t="s">
        <v>167</v>
      </c>
      <c r="B47" s="14" t="s">
        <v>168</v>
      </c>
      <c r="C47" s="13" t="s">
        <v>75</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t="str">
        <f t="shared" si="12"/>
        <v/>
      </c>
      <c r="R47" s="17" t="str">
        <f t="shared" si="13"/>
        <v/>
      </c>
      <c r="S47" s="17" t="str">
        <f t="shared" si="14"/>
        <v/>
      </c>
      <c r="T47" s="17" t="str">
        <f>IF(ISNUMBER(MATRIZ_174!O46),IFERROR((K47+M47+MATRIZ_174!O46*100)/3,0),"")</f>
        <v/>
      </c>
      <c r="U47" s="18" t="str">
        <f>IF(ISNUMBER(MATRIZ_174!M46),MIN(100,ROUND(MATRIZ_174!M46,1)),"")</f>
        <v/>
      </c>
      <c r="V47" s="18">
        <f t="shared" si="15"/>
        <v>50</v>
      </c>
      <c r="W47" s="18">
        <f>IFERROR(IF(MATRIZ_174!R46=0,65,IF(MATRIZ_174!R46/MATRIZ_174!Q46&gt;=2,35,IF(MATRIZ_174!R46/MATRIZ_174!Q46&gt;=0.5,50,65))),65)</f>
        <v>65</v>
      </c>
      <c r="X47" s="18" t="str">
        <f>IF(ISNUMBER(MATRIZ_174!O46),MIN(100,IF(MATRIZ_174!O46=0,70,30)+IF(MATRIZ_174!U46="",0,0.3*(100-MATRIZ_174!U46*100))),"")</f>
        <v/>
      </c>
      <c r="Y47" s="18">
        <f>IF(OR(MATRIZ_174!P46="ASOCIACION",MATRIZ_174!P46="PENDIENTE"),65,40)</f>
        <v>65</v>
      </c>
      <c r="Z47" s="19" t="str">
        <f t="shared" si="16"/>
        <v>—</v>
      </c>
      <c r="AA47" s="20">
        <f t="shared" si="17"/>
        <v>60</v>
      </c>
      <c r="AB47" s="21" t="str">
        <f t="shared" si="18"/>
        <v>—</v>
      </c>
      <c r="AC47" s="13" t="str">
        <f t="shared" si="19"/>
        <v>⬜  Pendiente de instrumento</v>
      </c>
      <c r="AD47" s="13" t="str">
        <f>IF(MATRIZ_174!U46="","",IF(MATRIZ_174!U46=0,"🚫  Inh. vigente OSCE",""))</f>
        <v/>
      </c>
      <c r="AE47" s="22" t="str">
        <f>IFERROR(MATRIZ_174!W46,0)</f>
        <v/>
      </c>
      <c r="AF47" s="22" t="str">
        <f>IFERROR(MATRIZ_174!X46,0)</f>
        <v/>
      </c>
      <c r="AG47" s="22" t="str">
        <f>IFERROR(MATRIZ_174!Y46,0)</f>
        <v/>
      </c>
      <c r="AH47" s="22" t="str">
        <f>IFERROR(MATRIZ_174!Z46,0)</f>
        <v/>
      </c>
      <c r="AI47" s="17" t="str">
        <f>IFERROR(MATRIZ_174!AP46,"—")</f>
        <v>—</v>
      </c>
      <c r="AJ47" s="17" t="str">
        <f>IFERROR(MATRIZ_174!AO46,"N/A")</f>
        <v>N/A</v>
      </c>
      <c r="AK47" s="23" t="str">
        <f t="shared" si="20"/>
        <v>N/A</v>
      </c>
      <c r="AL47" s="24" t="str">
        <f t="shared" si="21"/>
        <v>—</v>
      </c>
      <c r="AM47" t="str">
        <f>IFERROR(MATRIZ_174!AT46,"")</f>
        <v>sin dato</v>
      </c>
    </row>
    <row r="48" spans="1:39" ht="16.05" customHeight="1" x14ac:dyDescent="0.3">
      <c r="A48" s="13" t="s">
        <v>169</v>
      </c>
      <c r="B48" s="14" t="s">
        <v>170</v>
      </c>
      <c r="C48" s="13" t="s">
        <v>75</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t="str">
        <f t="shared" si="12"/>
        <v/>
      </c>
      <c r="R48" s="17" t="str">
        <f t="shared" si="13"/>
        <v/>
      </c>
      <c r="S48" s="17" t="str">
        <f t="shared" si="14"/>
        <v/>
      </c>
      <c r="T48" s="17" t="str">
        <f>IF(ISNUMBER(MATRIZ_174!O47),IFERROR((K48+M48+MATRIZ_174!O47*100)/3,0),"")</f>
        <v/>
      </c>
      <c r="U48" s="18" t="str">
        <f>IF(ISNUMBER(MATRIZ_174!M47),MIN(100,ROUND(MATRIZ_174!M47,1)),"")</f>
        <v/>
      </c>
      <c r="V48" s="18">
        <f t="shared" si="15"/>
        <v>50</v>
      </c>
      <c r="W48" s="18">
        <f>IFERROR(IF(MATRIZ_174!R47=0,65,IF(MATRIZ_174!R47/MATRIZ_174!Q47&gt;=2,35,IF(MATRIZ_174!R47/MATRIZ_174!Q47&gt;=0.5,50,65))),65)</f>
        <v>65</v>
      </c>
      <c r="X48" s="18" t="str">
        <f>IF(ISNUMBER(MATRIZ_174!O47),MIN(100,IF(MATRIZ_174!O47=0,70,30)+IF(MATRIZ_174!U47="",0,0.3*(100-MATRIZ_174!U47*100))),"")</f>
        <v/>
      </c>
      <c r="Y48" s="18">
        <f>IF(OR(MATRIZ_174!P47="ASOCIACION",MATRIZ_174!P47="PENDIENTE"),65,40)</f>
        <v>65</v>
      </c>
      <c r="Z48" s="19" t="str">
        <f t="shared" si="16"/>
        <v>—</v>
      </c>
      <c r="AA48" s="20">
        <f t="shared" si="17"/>
        <v>60</v>
      </c>
      <c r="AB48" s="21" t="str">
        <f t="shared" si="18"/>
        <v>—</v>
      </c>
      <c r="AC48" s="13" t="str">
        <f t="shared" si="19"/>
        <v>⬜  Pendiente de instrumento</v>
      </c>
      <c r="AD48" s="13" t="str">
        <f>IF(MATRIZ_174!U47="","",IF(MATRIZ_174!U47=0,"🚫  Inh. vigente OSCE",""))</f>
        <v/>
      </c>
      <c r="AE48" s="22" t="str">
        <f>IFERROR(MATRIZ_174!W47,0)</f>
        <v/>
      </c>
      <c r="AF48" s="22" t="str">
        <f>IFERROR(MATRIZ_174!X47,0)</f>
        <v/>
      </c>
      <c r="AG48" s="22" t="str">
        <f>IFERROR(MATRIZ_174!Y47,0)</f>
        <v/>
      </c>
      <c r="AH48" s="22" t="str">
        <f>IFERROR(MATRIZ_174!Z47,0)</f>
        <v/>
      </c>
      <c r="AI48" s="17" t="str">
        <f>IFERROR(MATRIZ_174!AP47,"—")</f>
        <v>—</v>
      </c>
      <c r="AJ48" s="17" t="str">
        <f>IFERROR(MATRIZ_174!AO47,"N/A")</f>
        <v>N/A</v>
      </c>
      <c r="AK48" s="23" t="str">
        <f t="shared" si="20"/>
        <v>N/A</v>
      </c>
      <c r="AL48" s="24" t="str">
        <f t="shared" si="21"/>
        <v>—</v>
      </c>
      <c r="AM48" t="str">
        <f>IFERROR(MATRIZ_174!AT47,"")</f>
        <v>sin dato</v>
      </c>
    </row>
    <row r="49" spans="1:39" ht="16.05" customHeight="1" x14ac:dyDescent="0.3">
      <c r="A49" s="13" t="s">
        <v>171</v>
      </c>
      <c r="B49" s="14" t="s">
        <v>172</v>
      </c>
      <c r="C49" s="13" t="s">
        <v>75</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t="str">
        <f t="shared" si="12"/>
        <v/>
      </c>
      <c r="R49" s="17" t="str">
        <f t="shared" si="13"/>
        <v/>
      </c>
      <c r="S49" s="17" t="str">
        <f t="shared" si="14"/>
        <v/>
      </c>
      <c r="T49" s="17" t="str">
        <f>IF(ISNUMBER(MATRIZ_174!O48),IFERROR((K49+M49+MATRIZ_174!O48*100)/3,0),"")</f>
        <v/>
      </c>
      <c r="U49" s="18">
        <f>IF(ISNUMBER(MATRIZ_174!M48),MIN(100,ROUND(MATRIZ_174!M48,1)),"")</f>
        <v>50</v>
      </c>
      <c r="V49" s="18">
        <f t="shared" si="15"/>
        <v>50</v>
      </c>
      <c r="W49" s="18">
        <f>IFERROR(IF(MATRIZ_174!R48=0,65,IF(MATRIZ_174!R48/MATRIZ_174!Q48&gt;=2,35,IF(MATRIZ_174!R48/MATRIZ_174!Q48&gt;=0.5,50,65))),65)</f>
        <v>65</v>
      </c>
      <c r="X49" s="18" t="str">
        <f>IF(ISNUMBER(MATRIZ_174!O48),MIN(100,IF(MATRIZ_174!O48=0,70,30)+IF(MATRIZ_174!U48="",0,0.3*(100-MATRIZ_174!U48*100))),"")</f>
        <v/>
      </c>
      <c r="Y49" s="18">
        <f>IF(OR(MATRIZ_174!P48="ASOCIACION",MATRIZ_174!P48="PENDIENTE"),65,40)</f>
        <v>65</v>
      </c>
      <c r="Z49" s="19" t="str">
        <f t="shared" si="16"/>
        <v>—</v>
      </c>
      <c r="AA49" s="20">
        <f t="shared" si="17"/>
        <v>57.5</v>
      </c>
      <c r="AB49" s="21" t="str">
        <f t="shared" si="18"/>
        <v>—</v>
      </c>
      <c r="AC49" s="13" t="str">
        <f t="shared" si="19"/>
        <v>⬜  Pendiente de instrumento</v>
      </c>
      <c r="AD49" s="13" t="str">
        <f>IF(MATRIZ_174!U48="","",IF(MATRIZ_174!U48=0,"🚫  Inh. vigente OSCE",""))</f>
        <v/>
      </c>
      <c r="AE49" s="22">
        <f>IFERROR(MATRIZ_174!W48,0)</f>
        <v>1</v>
      </c>
      <c r="AF49" s="22" t="str">
        <f>IFERROR(MATRIZ_174!X48,0)</f>
        <v/>
      </c>
      <c r="AG49" s="22" t="str">
        <f>IFERROR(MATRIZ_174!Y48,0)</f>
        <v/>
      </c>
      <c r="AH49" s="22" t="str">
        <f>IFERROR(MATRIZ_174!Z48,0)</f>
        <v/>
      </c>
      <c r="AI49" s="17">
        <f>IFERROR(MATRIZ_174!AP48,"—")</f>
        <v>0.5</v>
      </c>
      <c r="AJ49" s="17" t="str">
        <f>IFERROR(MATRIZ_174!AO48,"N/A")</f>
        <v>N/A</v>
      </c>
      <c r="AK49" s="23" t="str">
        <f t="shared" si="20"/>
        <v>N/A</v>
      </c>
      <c r="AL49" s="24" t="str">
        <f t="shared" si="21"/>
        <v>—</v>
      </c>
      <c r="AM49" t="str">
        <f>IFERROR(MATRIZ_174!AT48,"")</f>
        <v>parcial · 2/7 · D12-D15 0/4</v>
      </c>
    </row>
    <row r="50" spans="1:39" ht="16.05" customHeight="1" x14ac:dyDescent="0.3">
      <c r="A50" s="13" t="s">
        <v>173</v>
      </c>
      <c r="B50" s="14" t="s">
        <v>174</v>
      </c>
      <c r="C50" s="13" t="s">
        <v>75</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t="str">
        <f t="shared" si="12"/>
        <v/>
      </c>
      <c r="R50" s="17" t="str">
        <f t="shared" si="13"/>
        <v/>
      </c>
      <c r="S50" s="17" t="str">
        <f t="shared" si="14"/>
        <v/>
      </c>
      <c r="T50" s="17" t="str">
        <f>IF(ISNUMBER(MATRIZ_174!O49),IFERROR((K50+M50+MATRIZ_174!O49*100)/3,0),"")</f>
        <v/>
      </c>
      <c r="U50" s="18">
        <f>IF(ISNUMBER(MATRIZ_174!M49),MIN(100,ROUND(MATRIZ_174!M49,1)),"")</f>
        <v>50</v>
      </c>
      <c r="V50" s="18">
        <f t="shared" si="15"/>
        <v>50</v>
      </c>
      <c r="W50" s="18">
        <f>IFERROR(IF(MATRIZ_174!R49=0,65,IF(MATRIZ_174!R49/MATRIZ_174!Q49&gt;=2,35,IF(MATRIZ_174!R49/MATRIZ_174!Q49&gt;=0.5,50,65))),65)</f>
        <v>65</v>
      </c>
      <c r="X50" s="18" t="str">
        <f>IF(ISNUMBER(MATRIZ_174!O49),MIN(100,IF(MATRIZ_174!O49=0,70,30)+IF(MATRIZ_174!U49="",0,0.3*(100-MATRIZ_174!U49*100))),"")</f>
        <v/>
      </c>
      <c r="Y50" s="18">
        <f>IF(OR(MATRIZ_174!P49="ASOCIACION",MATRIZ_174!P49="PENDIENTE"),65,40)</f>
        <v>65</v>
      </c>
      <c r="Z50" s="19" t="str">
        <f t="shared" si="16"/>
        <v>—</v>
      </c>
      <c r="AA50" s="20">
        <f t="shared" si="17"/>
        <v>57.5</v>
      </c>
      <c r="AB50" s="21" t="str">
        <f t="shared" si="18"/>
        <v>—</v>
      </c>
      <c r="AC50" s="13" t="str">
        <f t="shared" si="19"/>
        <v>⬜  Pendiente de instrumento</v>
      </c>
      <c r="AD50" s="13" t="str">
        <f>IF(MATRIZ_174!U49="","",IF(MATRIZ_174!U49=0,"🚫  Inh. vigente OSCE",""))</f>
        <v/>
      </c>
      <c r="AE50" s="22">
        <f>IFERROR(MATRIZ_174!W49,0)</f>
        <v>1</v>
      </c>
      <c r="AF50" s="22" t="str">
        <f>IFERROR(MATRIZ_174!X49,0)</f>
        <v/>
      </c>
      <c r="AG50" s="22" t="str">
        <f>IFERROR(MATRIZ_174!Y49,0)</f>
        <v/>
      </c>
      <c r="AH50" s="22" t="str">
        <f>IFERROR(MATRIZ_174!Z49,0)</f>
        <v/>
      </c>
      <c r="AI50" s="17">
        <f>IFERROR(MATRIZ_174!AP49,"—")</f>
        <v>0.5</v>
      </c>
      <c r="AJ50" s="17" t="str">
        <f>IFERROR(MATRIZ_174!AO49,"N/A")</f>
        <v>N/A</v>
      </c>
      <c r="AK50" s="23" t="str">
        <f t="shared" si="20"/>
        <v>N/A</v>
      </c>
      <c r="AL50" s="24" t="str">
        <f t="shared" si="21"/>
        <v>—</v>
      </c>
      <c r="AM50" t="str">
        <f>IFERROR(MATRIZ_174!AT49,"")</f>
        <v>parcial · 2/7 · D12-D15 0/4</v>
      </c>
    </row>
    <row r="51" spans="1:39" ht="16.05" customHeight="1" x14ac:dyDescent="0.3">
      <c r="A51" s="13" t="s">
        <v>175</v>
      </c>
      <c r="B51" s="14" t="s">
        <v>176</v>
      </c>
      <c r="C51" s="13" t="s">
        <v>177</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t="str">
        <f t="shared" si="12"/>
        <v/>
      </c>
      <c r="R51" s="17" t="str">
        <f t="shared" si="13"/>
        <v/>
      </c>
      <c r="S51" s="17" t="str">
        <f t="shared" si="14"/>
        <v/>
      </c>
      <c r="T51" s="17" t="str">
        <f>IF(ISNUMBER(MATRIZ_174!O50),IFERROR((K51+M51+MATRIZ_174!O50*100)/3,0),"")</f>
        <v/>
      </c>
      <c r="U51" s="18" t="str">
        <f>IF(ISNUMBER(MATRIZ_174!M50),MIN(100,ROUND(MATRIZ_174!M50,1)),"")</f>
        <v/>
      </c>
      <c r="V51" s="18">
        <f t="shared" si="15"/>
        <v>50</v>
      </c>
      <c r="W51" s="18">
        <f>IFERROR(IF(MATRIZ_174!R50=0,65,IF(MATRIZ_174!R50/MATRIZ_174!Q50&gt;=2,35,IF(MATRIZ_174!R50/MATRIZ_174!Q50&gt;=0.5,50,65))),65)</f>
        <v>65</v>
      </c>
      <c r="X51" s="18" t="str">
        <f>IF(ISNUMBER(MATRIZ_174!O50),MIN(100,IF(MATRIZ_174!O50=0,70,30)+IF(MATRIZ_174!U50="",0,0.3*(100-MATRIZ_174!U50*100))),"")</f>
        <v/>
      </c>
      <c r="Y51" s="18">
        <f>IF(OR(MATRIZ_174!P50="ASOCIACION",MATRIZ_174!P50="PENDIENTE"),65,40)</f>
        <v>65</v>
      </c>
      <c r="Z51" s="19" t="str">
        <f t="shared" si="16"/>
        <v>—</v>
      </c>
      <c r="AA51" s="20">
        <f t="shared" si="17"/>
        <v>60</v>
      </c>
      <c r="AB51" s="21" t="str">
        <f t="shared" si="18"/>
        <v>—</v>
      </c>
      <c r="AC51" s="13" t="str">
        <f t="shared" si="19"/>
        <v>⬜  Pendiente de instrumento</v>
      </c>
      <c r="AD51" s="13" t="str">
        <f>IF(MATRIZ_174!U50="","",IF(MATRIZ_174!U50=0,"🚫  Inh. vigente OSCE",""))</f>
        <v/>
      </c>
      <c r="AE51" s="22" t="str">
        <f>IFERROR(MATRIZ_174!W50,0)</f>
        <v/>
      </c>
      <c r="AF51" s="22" t="str">
        <f>IFERROR(MATRIZ_174!X50,0)</f>
        <v/>
      </c>
      <c r="AG51" s="22" t="str">
        <f>IFERROR(MATRIZ_174!Y50,0)</f>
        <v/>
      </c>
      <c r="AH51" s="22" t="str">
        <f>IFERROR(MATRIZ_174!Z50,0)</f>
        <v/>
      </c>
      <c r="AI51" s="17" t="str">
        <f>IFERROR(MATRIZ_174!AP50,"—")</f>
        <v>—</v>
      </c>
      <c r="AJ51" s="17" t="str">
        <f>IFERROR(MATRIZ_174!AO50,"N/A")</f>
        <v>N/A</v>
      </c>
      <c r="AK51" s="23" t="str">
        <f t="shared" si="20"/>
        <v>N/A</v>
      </c>
      <c r="AL51" s="24" t="str">
        <f t="shared" si="21"/>
        <v>—</v>
      </c>
      <c r="AM51" t="str">
        <f>IFERROR(MATRIZ_174!AT50,"")</f>
        <v>sin dato</v>
      </c>
    </row>
    <row r="52" spans="1:39" ht="16.05" customHeight="1" x14ac:dyDescent="0.3">
      <c r="A52" s="13" t="s">
        <v>178</v>
      </c>
      <c r="B52" s="14" t="s">
        <v>179</v>
      </c>
      <c r="C52" s="13" t="s">
        <v>148</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t="str">
        <f t="shared" si="12"/>
        <v/>
      </c>
      <c r="R52" s="17" t="str">
        <f t="shared" si="13"/>
        <v/>
      </c>
      <c r="S52" s="17" t="str">
        <f t="shared" si="14"/>
        <v/>
      </c>
      <c r="T52" s="17" t="str">
        <f>IF(ISNUMBER(MATRIZ_174!O51),IFERROR((K52+M52+MATRIZ_174!O51*100)/3,0),"")</f>
        <v/>
      </c>
      <c r="U52" s="18" t="str">
        <f>IF(ISNUMBER(MATRIZ_174!M51),MIN(100,ROUND(MATRIZ_174!M51,1)),"")</f>
        <v/>
      </c>
      <c r="V52" s="18">
        <f t="shared" si="15"/>
        <v>50</v>
      </c>
      <c r="W52" s="18">
        <f>IFERROR(IF(MATRIZ_174!R51=0,65,IF(MATRIZ_174!R51/MATRIZ_174!Q51&gt;=2,35,IF(MATRIZ_174!R51/MATRIZ_174!Q51&gt;=0.5,50,65))),65)</f>
        <v>65</v>
      </c>
      <c r="X52" s="18" t="str">
        <f>IF(ISNUMBER(MATRIZ_174!O51),MIN(100,IF(MATRIZ_174!O51=0,70,30)+IF(MATRIZ_174!U51="",0,0.3*(100-MATRIZ_174!U51*100))),"")</f>
        <v/>
      </c>
      <c r="Y52" s="18">
        <f>IF(OR(MATRIZ_174!P51="ASOCIACION",MATRIZ_174!P51="PENDIENTE"),65,40)</f>
        <v>65</v>
      </c>
      <c r="Z52" s="19" t="str">
        <f t="shared" si="16"/>
        <v>—</v>
      </c>
      <c r="AA52" s="20">
        <f t="shared" si="17"/>
        <v>60</v>
      </c>
      <c r="AB52" s="21" t="str">
        <f t="shared" si="18"/>
        <v>—</v>
      </c>
      <c r="AC52" s="13" t="str">
        <f t="shared" si="19"/>
        <v>⬜  Pendiente de instrumento</v>
      </c>
      <c r="AD52" s="13" t="str">
        <f>IF(MATRIZ_174!U51="","",IF(MATRIZ_174!U51=0,"🚫  Inh. vigente OSCE",""))</f>
        <v/>
      </c>
      <c r="AE52" s="22" t="str">
        <f>IFERROR(MATRIZ_174!W51,0)</f>
        <v/>
      </c>
      <c r="AF52" s="22" t="str">
        <f>IFERROR(MATRIZ_174!X51,0)</f>
        <v/>
      </c>
      <c r="AG52" s="22" t="str">
        <f>IFERROR(MATRIZ_174!Y51,0)</f>
        <v/>
      </c>
      <c r="AH52" s="22" t="str">
        <f>IFERROR(MATRIZ_174!Z51,0)</f>
        <v/>
      </c>
      <c r="AI52" s="17" t="str">
        <f>IFERROR(MATRIZ_174!AP51,"—")</f>
        <v>—</v>
      </c>
      <c r="AJ52" s="17" t="str">
        <f>IFERROR(MATRIZ_174!AO51,"N/A")</f>
        <v>N/A</v>
      </c>
      <c r="AK52" s="23" t="str">
        <f t="shared" si="20"/>
        <v>N/A</v>
      </c>
      <c r="AL52" s="24" t="str">
        <f t="shared" si="21"/>
        <v>—</v>
      </c>
      <c r="AM52" t="str">
        <f>IFERROR(MATRIZ_174!AT51,"")</f>
        <v>sin dato</v>
      </c>
    </row>
    <row r="53" spans="1:39" ht="16.05" customHeight="1" x14ac:dyDescent="0.3">
      <c r="A53" s="13" t="s">
        <v>180</v>
      </c>
      <c r="B53" s="14" t="s">
        <v>181</v>
      </c>
      <c r="C53" s="13" t="s">
        <v>78</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t="str">
        <f t="shared" si="12"/>
        <v/>
      </c>
      <c r="R53" s="17" t="str">
        <f t="shared" si="13"/>
        <v/>
      </c>
      <c r="S53" s="17" t="str">
        <f t="shared" si="14"/>
        <v/>
      </c>
      <c r="T53" s="17" t="str">
        <f>IF(ISNUMBER(MATRIZ_174!O52),IFERROR((K53+M53+MATRIZ_174!O52*100)/3,0),"")</f>
        <v/>
      </c>
      <c r="U53" s="18" t="str">
        <f>IF(ISNUMBER(MATRIZ_174!M52),MIN(100,ROUND(MATRIZ_174!M52,1)),"")</f>
        <v/>
      </c>
      <c r="V53" s="18">
        <f t="shared" si="15"/>
        <v>50</v>
      </c>
      <c r="W53" s="18">
        <f>IFERROR(IF(MATRIZ_174!R52=0,65,IF(MATRIZ_174!R52/MATRIZ_174!Q52&gt;=2,35,IF(MATRIZ_174!R52/MATRIZ_174!Q52&gt;=0.5,50,65))),65)</f>
        <v>65</v>
      </c>
      <c r="X53" s="18" t="str">
        <f>IF(ISNUMBER(MATRIZ_174!O52),MIN(100,IF(MATRIZ_174!O52=0,70,30)+IF(MATRIZ_174!U52="",0,0.3*(100-MATRIZ_174!U52*100))),"")</f>
        <v/>
      </c>
      <c r="Y53" s="18">
        <f>IF(OR(MATRIZ_174!P52="ASOCIACION",MATRIZ_174!P52="PENDIENTE"),65,40)</f>
        <v>65</v>
      </c>
      <c r="Z53" s="19" t="str">
        <f t="shared" si="16"/>
        <v>—</v>
      </c>
      <c r="AA53" s="20">
        <f t="shared" si="17"/>
        <v>60</v>
      </c>
      <c r="AB53" s="21" t="str">
        <f t="shared" si="18"/>
        <v>—</v>
      </c>
      <c r="AC53" s="13" t="str">
        <f t="shared" si="19"/>
        <v>⬜  Pendiente de instrumento</v>
      </c>
      <c r="AD53" s="13" t="str">
        <f>IF(MATRIZ_174!U52="","",IF(MATRIZ_174!U52=0,"🚫  Inh. vigente OSCE",""))</f>
        <v/>
      </c>
      <c r="AE53" s="22" t="str">
        <f>IFERROR(MATRIZ_174!W52,0)</f>
        <v/>
      </c>
      <c r="AF53" s="22" t="str">
        <f>IFERROR(MATRIZ_174!X52,0)</f>
        <v/>
      </c>
      <c r="AG53" s="22" t="str">
        <f>IFERROR(MATRIZ_174!Y52,0)</f>
        <v/>
      </c>
      <c r="AH53" s="22" t="str">
        <f>IFERROR(MATRIZ_174!Z52,0)</f>
        <v/>
      </c>
      <c r="AI53" s="17" t="str">
        <f>IFERROR(MATRIZ_174!AP52,"—")</f>
        <v>—</v>
      </c>
      <c r="AJ53" s="17" t="str">
        <f>IFERROR(MATRIZ_174!AO52,"N/A")</f>
        <v>N/A</v>
      </c>
      <c r="AK53" s="23" t="str">
        <f t="shared" si="20"/>
        <v>N/A</v>
      </c>
      <c r="AL53" s="24" t="str">
        <f t="shared" si="21"/>
        <v>—</v>
      </c>
      <c r="AM53" t="str">
        <f>IFERROR(MATRIZ_174!AT52,"")</f>
        <v>sin dato</v>
      </c>
    </row>
    <row r="54" spans="1:39" ht="16.05" customHeight="1" x14ac:dyDescent="0.3">
      <c r="A54" s="13" t="s">
        <v>182</v>
      </c>
      <c r="B54" s="14" t="s">
        <v>183</v>
      </c>
      <c r="C54" s="13" t="s">
        <v>137</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t="str">
        <f t="shared" si="12"/>
        <v/>
      </c>
      <c r="R54" s="17" t="str">
        <f t="shared" si="13"/>
        <v/>
      </c>
      <c r="S54" s="17" t="str">
        <f t="shared" si="14"/>
        <v/>
      </c>
      <c r="T54" s="17" t="str">
        <f>IF(ISNUMBER(MATRIZ_174!O53),IFERROR((K54+M54+MATRIZ_174!O53*100)/3,0),"")</f>
        <v/>
      </c>
      <c r="U54" s="18" t="str">
        <f>IF(ISNUMBER(MATRIZ_174!M53),MIN(100,ROUND(MATRIZ_174!M53,1)),"")</f>
        <v/>
      </c>
      <c r="V54" s="18">
        <f t="shared" si="15"/>
        <v>50</v>
      </c>
      <c r="W54" s="18">
        <f>IFERROR(IF(MATRIZ_174!R53=0,65,IF(MATRIZ_174!R53/MATRIZ_174!Q53&gt;=2,35,IF(MATRIZ_174!R53/MATRIZ_174!Q53&gt;=0.5,50,65))),65)</f>
        <v>65</v>
      </c>
      <c r="X54" s="18" t="str">
        <f>IF(ISNUMBER(MATRIZ_174!O53),MIN(100,IF(MATRIZ_174!O53=0,70,30)+IF(MATRIZ_174!U53="",0,0.3*(100-MATRIZ_174!U53*100))),"")</f>
        <v/>
      </c>
      <c r="Y54" s="18">
        <f>IF(OR(MATRIZ_174!P53="ASOCIACION",MATRIZ_174!P53="PENDIENTE"),65,40)</f>
        <v>65</v>
      </c>
      <c r="Z54" s="19" t="str">
        <f t="shared" si="16"/>
        <v>—</v>
      </c>
      <c r="AA54" s="20">
        <f t="shared" si="17"/>
        <v>60</v>
      </c>
      <c r="AB54" s="21" t="str">
        <f t="shared" si="18"/>
        <v>—</v>
      </c>
      <c r="AC54" s="13" t="str">
        <f t="shared" si="19"/>
        <v>⬜  Pendiente de instrumento</v>
      </c>
      <c r="AD54" s="13" t="str">
        <f>IF(MATRIZ_174!U53="","",IF(MATRIZ_174!U53=0,"🚫  Inh. vigente OSCE",""))</f>
        <v/>
      </c>
      <c r="AE54" s="22" t="str">
        <f>IFERROR(MATRIZ_174!W53,0)</f>
        <v/>
      </c>
      <c r="AF54" s="22" t="str">
        <f>IFERROR(MATRIZ_174!X53,0)</f>
        <v/>
      </c>
      <c r="AG54" s="22" t="str">
        <f>IFERROR(MATRIZ_174!Y53,0)</f>
        <v/>
      </c>
      <c r="AH54" s="22" t="str">
        <f>IFERROR(MATRIZ_174!Z53,0)</f>
        <v/>
      </c>
      <c r="AI54" s="17" t="str">
        <f>IFERROR(MATRIZ_174!AP53,"—")</f>
        <v>—</v>
      </c>
      <c r="AJ54" s="17" t="str">
        <f>IFERROR(MATRIZ_174!AO53,"N/A")</f>
        <v>N/A</v>
      </c>
      <c r="AK54" s="23" t="str">
        <f t="shared" si="20"/>
        <v>N/A</v>
      </c>
      <c r="AL54" s="24" t="str">
        <f t="shared" si="21"/>
        <v>—</v>
      </c>
      <c r="AM54" t="str">
        <f>IFERROR(MATRIZ_174!AT53,"")</f>
        <v>sin dato</v>
      </c>
    </row>
    <row r="55" spans="1:39" ht="16.05" customHeight="1" x14ac:dyDescent="0.3">
      <c r="A55" s="13" t="s">
        <v>184</v>
      </c>
      <c r="B55" s="14" t="s">
        <v>185</v>
      </c>
      <c r="C55" s="13" t="s">
        <v>137</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t="str">
        <f t="shared" si="12"/>
        <v/>
      </c>
      <c r="R55" s="17" t="str">
        <f t="shared" si="13"/>
        <v/>
      </c>
      <c r="S55" s="17" t="str">
        <f t="shared" si="14"/>
        <v/>
      </c>
      <c r="T55" s="17" t="str">
        <f>IF(ISNUMBER(MATRIZ_174!O54),IFERROR((K55+M55+MATRIZ_174!O54*100)/3,0),"")</f>
        <v/>
      </c>
      <c r="U55" s="18" t="str">
        <f>IF(ISNUMBER(MATRIZ_174!M54),MIN(100,ROUND(MATRIZ_174!M54,1)),"")</f>
        <v/>
      </c>
      <c r="V55" s="18">
        <f t="shared" si="15"/>
        <v>50</v>
      </c>
      <c r="W55" s="18">
        <f>IFERROR(IF(MATRIZ_174!R54=0,65,IF(MATRIZ_174!R54/MATRIZ_174!Q54&gt;=2,35,IF(MATRIZ_174!R54/MATRIZ_174!Q54&gt;=0.5,50,65))),65)</f>
        <v>65</v>
      </c>
      <c r="X55" s="18" t="str">
        <f>IF(ISNUMBER(MATRIZ_174!O54),MIN(100,IF(MATRIZ_174!O54=0,70,30)+IF(MATRIZ_174!U54="",0,0.3*(100-MATRIZ_174!U54*100))),"")</f>
        <v/>
      </c>
      <c r="Y55" s="18">
        <f>IF(OR(MATRIZ_174!P54="ASOCIACION",MATRIZ_174!P54="PENDIENTE"),65,40)</f>
        <v>65</v>
      </c>
      <c r="Z55" s="19" t="str">
        <f t="shared" si="16"/>
        <v>—</v>
      </c>
      <c r="AA55" s="20">
        <f t="shared" si="17"/>
        <v>60</v>
      </c>
      <c r="AB55" s="21" t="str">
        <f t="shared" si="18"/>
        <v>—</v>
      </c>
      <c r="AC55" s="13" t="str">
        <f t="shared" si="19"/>
        <v>⬜  Pendiente de instrumento</v>
      </c>
      <c r="AD55" s="13" t="str">
        <f>IF(MATRIZ_174!U54="","",IF(MATRIZ_174!U54=0,"🚫  Inh. vigente OSCE",""))</f>
        <v/>
      </c>
      <c r="AE55" s="22" t="str">
        <f>IFERROR(MATRIZ_174!W54,0)</f>
        <v/>
      </c>
      <c r="AF55" s="22" t="str">
        <f>IFERROR(MATRIZ_174!X54,0)</f>
        <v/>
      </c>
      <c r="AG55" s="22" t="str">
        <f>IFERROR(MATRIZ_174!Y54,0)</f>
        <v/>
      </c>
      <c r="AH55" s="22" t="str">
        <f>IFERROR(MATRIZ_174!Z54,0)</f>
        <v/>
      </c>
      <c r="AI55" s="17" t="str">
        <f>IFERROR(MATRIZ_174!AP54,"—")</f>
        <v>—</v>
      </c>
      <c r="AJ55" s="17" t="str">
        <f>IFERROR(MATRIZ_174!AO54,"N/A")</f>
        <v>N/A</v>
      </c>
      <c r="AK55" s="23" t="str">
        <f t="shared" si="20"/>
        <v>N/A</v>
      </c>
      <c r="AL55" s="24" t="str">
        <f t="shared" si="21"/>
        <v>—</v>
      </c>
      <c r="AM55" t="str">
        <f>IFERROR(MATRIZ_174!AT54,"")</f>
        <v>sin dato</v>
      </c>
    </row>
    <row r="56" spans="1:39" ht="16.05" customHeight="1" x14ac:dyDescent="0.3">
      <c r="A56" s="13" t="s">
        <v>186</v>
      </c>
      <c r="B56" s="14" t="s">
        <v>187</v>
      </c>
      <c r="C56" s="13" t="s">
        <v>137</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t="str">
        <f t="shared" si="12"/>
        <v/>
      </c>
      <c r="R56" s="17" t="str">
        <f t="shared" si="13"/>
        <v/>
      </c>
      <c r="S56" s="17" t="str">
        <f t="shared" si="14"/>
        <v/>
      </c>
      <c r="T56" s="17" t="str">
        <f>IF(ISNUMBER(MATRIZ_174!O55),IFERROR((K56+M56+MATRIZ_174!O55*100)/3,0),"")</f>
        <v/>
      </c>
      <c r="U56" s="18" t="str">
        <f>IF(ISNUMBER(MATRIZ_174!M55),MIN(100,ROUND(MATRIZ_174!M55,1)),"")</f>
        <v/>
      </c>
      <c r="V56" s="18">
        <f t="shared" si="15"/>
        <v>50</v>
      </c>
      <c r="W56" s="18">
        <f>IFERROR(IF(MATRIZ_174!R55=0,65,IF(MATRIZ_174!R55/MATRIZ_174!Q55&gt;=2,35,IF(MATRIZ_174!R55/MATRIZ_174!Q55&gt;=0.5,50,65))),65)</f>
        <v>65</v>
      </c>
      <c r="X56" s="18" t="str">
        <f>IF(ISNUMBER(MATRIZ_174!O55),MIN(100,IF(MATRIZ_174!O55=0,70,30)+IF(MATRIZ_174!U55="",0,0.3*(100-MATRIZ_174!U55*100))),"")</f>
        <v/>
      </c>
      <c r="Y56" s="18">
        <f>IF(OR(MATRIZ_174!P55="ASOCIACION",MATRIZ_174!P55="PENDIENTE"),65,40)</f>
        <v>65</v>
      </c>
      <c r="Z56" s="19" t="str">
        <f t="shared" si="16"/>
        <v>—</v>
      </c>
      <c r="AA56" s="20">
        <f t="shared" si="17"/>
        <v>60</v>
      </c>
      <c r="AB56" s="21" t="str">
        <f t="shared" si="18"/>
        <v>—</v>
      </c>
      <c r="AC56" s="13" t="str">
        <f t="shared" si="19"/>
        <v>⬜  Pendiente de instrumento</v>
      </c>
      <c r="AD56" s="13" t="str">
        <f>IF(MATRIZ_174!U55="","",IF(MATRIZ_174!U55=0,"🚫  Inh. vigente OSCE",""))</f>
        <v/>
      </c>
      <c r="AE56" s="22" t="str">
        <f>IFERROR(MATRIZ_174!W55,0)</f>
        <v/>
      </c>
      <c r="AF56" s="22" t="str">
        <f>IFERROR(MATRIZ_174!X55,0)</f>
        <v/>
      </c>
      <c r="AG56" s="22" t="str">
        <f>IFERROR(MATRIZ_174!Y55,0)</f>
        <v/>
      </c>
      <c r="AH56" s="22" t="str">
        <f>IFERROR(MATRIZ_174!Z55,0)</f>
        <v/>
      </c>
      <c r="AI56" s="17" t="str">
        <f>IFERROR(MATRIZ_174!AP55,"—")</f>
        <v>—</v>
      </c>
      <c r="AJ56" s="17" t="str">
        <f>IFERROR(MATRIZ_174!AO55,"N/A")</f>
        <v>N/A</v>
      </c>
      <c r="AK56" s="23" t="str">
        <f t="shared" si="20"/>
        <v>N/A</v>
      </c>
      <c r="AL56" s="24" t="str">
        <f t="shared" si="21"/>
        <v>—</v>
      </c>
      <c r="AM56" t="str">
        <f>IFERROR(MATRIZ_174!AT55,"")</f>
        <v>sin dato</v>
      </c>
    </row>
    <row r="57" spans="1:39" ht="16.05" customHeight="1" x14ac:dyDescent="0.3">
      <c r="A57" s="13" t="s">
        <v>188</v>
      </c>
      <c r="B57" s="14" t="s">
        <v>189</v>
      </c>
      <c r="C57" s="13" t="s">
        <v>190</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t="str">
        <f t="shared" si="12"/>
        <v/>
      </c>
      <c r="R57" s="17" t="str">
        <f t="shared" si="13"/>
        <v/>
      </c>
      <c r="S57" s="17" t="str">
        <f t="shared" si="14"/>
        <v/>
      </c>
      <c r="T57" s="17" t="str">
        <f>IF(ISNUMBER(MATRIZ_174!O56),IFERROR((K57+M57+MATRIZ_174!O56*100)/3,0),"")</f>
        <v/>
      </c>
      <c r="U57" s="18" t="str">
        <f>IF(ISNUMBER(MATRIZ_174!M56),MIN(100,ROUND(MATRIZ_174!M56,1)),"")</f>
        <v/>
      </c>
      <c r="V57" s="18">
        <f t="shared" si="15"/>
        <v>50</v>
      </c>
      <c r="W57" s="18">
        <f>IFERROR(IF(MATRIZ_174!R56=0,65,IF(MATRIZ_174!R56/MATRIZ_174!Q56&gt;=2,35,IF(MATRIZ_174!R56/MATRIZ_174!Q56&gt;=0.5,50,65))),65)</f>
        <v>65</v>
      </c>
      <c r="X57" s="18" t="str">
        <f>IF(ISNUMBER(MATRIZ_174!O56),MIN(100,IF(MATRIZ_174!O56=0,70,30)+IF(MATRIZ_174!U56="",0,0.3*(100-MATRIZ_174!U56*100))),"")</f>
        <v/>
      </c>
      <c r="Y57" s="18">
        <f>IF(OR(MATRIZ_174!P56="ASOCIACION",MATRIZ_174!P56="PENDIENTE"),65,40)</f>
        <v>65</v>
      </c>
      <c r="Z57" s="19" t="str">
        <f t="shared" si="16"/>
        <v>—</v>
      </c>
      <c r="AA57" s="20">
        <f t="shared" si="17"/>
        <v>60</v>
      </c>
      <c r="AB57" s="21" t="str">
        <f t="shared" si="18"/>
        <v>—</v>
      </c>
      <c r="AC57" s="13" t="str">
        <f t="shared" si="19"/>
        <v>⬜  Pendiente de instrumento</v>
      </c>
      <c r="AD57" s="13" t="str">
        <f>IF(MATRIZ_174!U56="","",IF(MATRIZ_174!U56=0,"🚫  Inh. vigente OSCE",""))</f>
        <v/>
      </c>
      <c r="AE57" s="22" t="str">
        <f>IFERROR(MATRIZ_174!W56,0)</f>
        <v/>
      </c>
      <c r="AF57" s="22" t="str">
        <f>IFERROR(MATRIZ_174!X56,0)</f>
        <v/>
      </c>
      <c r="AG57" s="22" t="str">
        <f>IFERROR(MATRIZ_174!Y56,0)</f>
        <v/>
      </c>
      <c r="AH57" s="22" t="str">
        <f>IFERROR(MATRIZ_174!Z56,0)</f>
        <v/>
      </c>
      <c r="AI57" s="17" t="str">
        <f>IFERROR(MATRIZ_174!AP56,"—")</f>
        <v>—</v>
      </c>
      <c r="AJ57" s="17" t="str">
        <f>IFERROR(MATRIZ_174!AO56,"N/A")</f>
        <v>N/A</v>
      </c>
      <c r="AK57" s="23" t="str">
        <f t="shared" si="20"/>
        <v>N/A</v>
      </c>
      <c r="AL57" s="24" t="str">
        <f t="shared" si="21"/>
        <v>—</v>
      </c>
      <c r="AM57" t="str">
        <f>IFERROR(MATRIZ_174!AT56,"")</f>
        <v>sin dato</v>
      </c>
    </row>
    <row r="58" spans="1:39" ht="16.05" customHeight="1" x14ac:dyDescent="0.3">
      <c r="A58" s="13" t="s">
        <v>191</v>
      </c>
      <c r="B58" s="14" t="s">
        <v>192</v>
      </c>
      <c r="C58" s="13" t="s">
        <v>78</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t="str">
        <f t="shared" si="12"/>
        <v/>
      </c>
      <c r="R58" s="17" t="str">
        <f t="shared" si="13"/>
        <v/>
      </c>
      <c r="S58" s="17" t="str">
        <f t="shared" si="14"/>
        <v/>
      </c>
      <c r="T58" s="17" t="str">
        <f>IF(ISNUMBER(MATRIZ_174!O57),IFERROR((K58+M58+MATRIZ_174!O57*100)/3,0),"")</f>
        <v/>
      </c>
      <c r="U58" s="18" t="str">
        <f>IF(ISNUMBER(MATRIZ_174!M57),MIN(100,ROUND(MATRIZ_174!M57,1)),"")</f>
        <v/>
      </c>
      <c r="V58" s="18">
        <f t="shared" si="15"/>
        <v>50</v>
      </c>
      <c r="W58" s="18">
        <f>IFERROR(IF(MATRIZ_174!R57=0,65,IF(MATRIZ_174!R57/MATRIZ_174!Q57&gt;=2,35,IF(MATRIZ_174!R57/MATRIZ_174!Q57&gt;=0.5,50,65))),65)</f>
        <v>65</v>
      </c>
      <c r="X58" s="18" t="str">
        <f>IF(ISNUMBER(MATRIZ_174!O57),MIN(100,IF(MATRIZ_174!O57=0,70,30)+IF(MATRIZ_174!U57="",0,0.3*(100-MATRIZ_174!U57*100))),"")</f>
        <v/>
      </c>
      <c r="Y58" s="18">
        <f>IF(OR(MATRIZ_174!P57="ASOCIACION",MATRIZ_174!P57="PENDIENTE"),65,40)</f>
        <v>65</v>
      </c>
      <c r="Z58" s="19" t="str">
        <f t="shared" si="16"/>
        <v>—</v>
      </c>
      <c r="AA58" s="20">
        <f t="shared" si="17"/>
        <v>60</v>
      </c>
      <c r="AB58" s="21" t="str">
        <f t="shared" si="18"/>
        <v>—</v>
      </c>
      <c r="AC58" s="13" t="str">
        <f t="shared" si="19"/>
        <v>⬜  Pendiente de instrumento</v>
      </c>
      <c r="AD58" s="13" t="str">
        <f>IF(MATRIZ_174!U57="","",IF(MATRIZ_174!U57=0,"🚫  Inh. vigente OSCE",""))</f>
        <v/>
      </c>
      <c r="AE58" s="22" t="str">
        <f>IFERROR(MATRIZ_174!W57,0)</f>
        <v/>
      </c>
      <c r="AF58" s="22" t="str">
        <f>IFERROR(MATRIZ_174!X57,0)</f>
        <v/>
      </c>
      <c r="AG58" s="22" t="str">
        <f>IFERROR(MATRIZ_174!Y57,0)</f>
        <v/>
      </c>
      <c r="AH58" s="22" t="str">
        <f>IFERROR(MATRIZ_174!Z57,0)</f>
        <v/>
      </c>
      <c r="AI58" s="17" t="str">
        <f>IFERROR(MATRIZ_174!AP57,"—")</f>
        <v>—</v>
      </c>
      <c r="AJ58" s="17" t="str">
        <f>IFERROR(MATRIZ_174!AO57,"N/A")</f>
        <v>N/A</v>
      </c>
      <c r="AK58" s="23" t="str">
        <f t="shared" si="20"/>
        <v>N/A</v>
      </c>
      <c r="AL58" s="24" t="str">
        <f t="shared" si="21"/>
        <v>—</v>
      </c>
      <c r="AM58" t="str">
        <f>IFERROR(MATRIZ_174!AT57,"")</f>
        <v>sin dato</v>
      </c>
    </row>
    <row r="59" spans="1:39" ht="16.05" customHeight="1" x14ac:dyDescent="0.3">
      <c r="A59" s="13" t="s">
        <v>193</v>
      </c>
      <c r="B59" s="14" t="s">
        <v>194</v>
      </c>
      <c r="C59" s="13" t="s">
        <v>101</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t="str">
        <f t="shared" si="12"/>
        <v/>
      </c>
      <c r="R59" s="17" t="str">
        <f t="shared" si="13"/>
        <v/>
      </c>
      <c r="S59" s="17" t="str">
        <f t="shared" si="14"/>
        <v/>
      </c>
      <c r="T59" s="17" t="str">
        <f>IF(ISNUMBER(MATRIZ_174!O58),IFERROR((K59+M59+MATRIZ_174!O58*100)/3,0),"")</f>
        <v/>
      </c>
      <c r="U59" s="18">
        <f>IF(ISNUMBER(MATRIZ_174!M58),MIN(100,ROUND(MATRIZ_174!M58,1)),"")</f>
        <v>50</v>
      </c>
      <c r="V59" s="18">
        <f t="shared" si="15"/>
        <v>50</v>
      </c>
      <c r="W59" s="18">
        <f>IFERROR(IF(MATRIZ_174!R58=0,65,IF(MATRIZ_174!R58/MATRIZ_174!Q58&gt;=2,35,IF(MATRIZ_174!R58/MATRIZ_174!Q58&gt;=0.5,50,65))),65)</f>
        <v>65</v>
      </c>
      <c r="X59" s="18" t="str">
        <f>IF(ISNUMBER(MATRIZ_174!O58),MIN(100,IF(MATRIZ_174!O58=0,70,30)+IF(MATRIZ_174!U58="",0,0.3*(100-MATRIZ_174!U58*100))),"")</f>
        <v/>
      </c>
      <c r="Y59" s="18">
        <f>IF(OR(MATRIZ_174!P58="ASOCIACION",MATRIZ_174!P58="PENDIENTE"),65,40)</f>
        <v>65</v>
      </c>
      <c r="Z59" s="19" t="str">
        <f t="shared" si="16"/>
        <v>—</v>
      </c>
      <c r="AA59" s="20">
        <f t="shared" si="17"/>
        <v>57.5</v>
      </c>
      <c r="AB59" s="21" t="str">
        <f t="shared" si="18"/>
        <v>—</v>
      </c>
      <c r="AC59" s="13" t="str">
        <f t="shared" si="19"/>
        <v>⬜  Pendiente de instrumento</v>
      </c>
      <c r="AD59" s="13" t="str">
        <f>IF(MATRIZ_174!U58="","",IF(MATRIZ_174!U58=0,"🚫  Inh. vigente OSCE",""))</f>
        <v/>
      </c>
      <c r="AE59" s="22" t="str">
        <f>IFERROR(MATRIZ_174!W58,0)</f>
        <v/>
      </c>
      <c r="AF59" s="22" t="str">
        <f>IFERROR(MATRIZ_174!X58,0)</f>
        <v/>
      </c>
      <c r="AG59" s="22" t="str">
        <f>IFERROR(MATRIZ_174!Y58,0)</f>
        <v/>
      </c>
      <c r="AH59" s="22" t="str">
        <f>IFERROR(MATRIZ_174!Z58,0)</f>
        <v/>
      </c>
      <c r="AI59" s="17">
        <f>IFERROR(MATRIZ_174!AP58,"—")</f>
        <v>0.5</v>
      </c>
      <c r="AJ59" s="17" t="str">
        <f>IFERROR(MATRIZ_174!AO58,"N/A")</f>
        <v>N/A</v>
      </c>
      <c r="AK59" s="23" t="str">
        <f t="shared" si="20"/>
        <v>N/A</v>
      </c>
      <c r="AL59" s="24" t="str">
        <f t="shared" si="21"/>
        <v>—</v>
      </c>
      <c r="AM59" t="str">
        <f>IFERROR(MATRIZ_174!AT58,"")</f>
        <v>parcial · 1/7 · D12-D15 0/4</v>
      </c>
    </row>
    <row r="60" spans="1:39" ht="16.05" customHeight="1" x14ac:dyDescent="0.3">
      <c r="A60" s="13" t="s">
        <v>195</v>
      </c>
      <c r="B60" s="14" t="s">
        <v>196</v>
      </c>
      <c r="C60" s="13" t="s">
        <v>101</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t="str">
        <f t="shared" si="12"/>
        <v/>
      </c>
      <c r="R60" s="17" t="str">
        <f t="shared" si="13"/>
        <v/>
      </c>
      <c r="S60" s="17" t="str">
        <f t="shared" si="14"/>
        <v/>
      </c>
      <c r="T60" s="17" t="str">
        <f>IF(ISNUMBER(MATRIZ_174!O59),IFERROR((K60+M60+MATRIZ_174!O59*100)/3,0),"")</f>
        <v/>
      </c>
      <c r="U60" s="18" t="str">
        <f>IF(ISNUMBER(MATRIZ_174!M59),MIN(100,ROUND(MATRIZ_174!M59,1)),"")</f>
        <v/>
      </c>
      <c r="V60" s="18">
        <f t="shared" si="15"/>
        <v>50</v>
      </c>
      <c r="W60" s="18">
        <f>IFERROR(IF(MATRIZ_174!R59=0,65,IF(MATRIZ_174!R59/MATRIZ_174!Q59&gt;=2,35,IF(MATRIZ_174!R59/MATRIZ_174!Q59&gt;=0.5,50,65))),65)</f>
        <v>65</v>
      </c>
      <c r="X60" s="18" t="str">
        <f>IF(ISNUMBER(MATRIZ_174!O59),MIN(100,IF(MATRIZ_174!O59=0,70,30)+IF(MATRIZ_174!U59="",0,0.3*(100-MATRIZ_174!U59*100))),"")</f>
        <v/>
      </c>
      <c r="Y60" s="18">
        <f>IF(OR(MATRIZ_174!P59="ASOCIACION",MATRIZ_174!P59="PENDIENTE"),65,40)</f>
        <v>65</v>
      </c>
      <c r="Z60" s="19" t="str">
        <f t="shared" si="16"/>
        <v>—</v>
      </c>
      <c r="AA60" s="20">
        <f t="shared" si="17"/>
        <v>60</v>
      </c>
      <c r="AB60" s="21" t="str">
        <f t="shared" si="18"/>
        <v>—</v>
      </c>
      <c r="AC60" s="13" t="str">
        <f t="shared" si="19"/>
        <v>⬜  Pendiente de instrumento</v>
      </c>
      <c r="AD60" s="13" t="str">
        <f>IF(MATRIZ_174!U59="","",IF(MATRIZ_174!U59=0,"🚫  Inh. vigente OSCE",""))</f>
        <v/>
      </c>
      <c r="AE60" s="22" t="str">
        <f>IFERROR(MATRIZ_174!W59,0)</f>
        <v/>
      </c>
      <c r="AF60" s="22" t="str">
        <f>IFERROR(MATRIZ_174!X59,0)</f>
        <v/>
      </c>
      <c r="AG60" s="22" t="str">
        <f>IFERROR(MATRIZ_174!Y59,0)</f>
        <v/>
      </c>
      <c r="AH60" s="22" t="str">
        <f>IFERROR(MATRIZ_174!Z59,0)</f>
        <v/>
      </c>
      <c r="AI60" s="17" t="str">
        <f>IFERROR(MATRIZ_174!AP59,"—")</f>
        <v>—</v>
      </c>
      <c r="AJ60" s="17" t="str">
        <f>IFERROR(MATRIZ_174!AO59,"N/A")</f>
        <v>N/A</v>
      </c>
      <c r="AK60" s="23" t="str">
        <f t="shared" si="20"/>
        <v>N/A</v>
      </c>
      <c r="AL60" s="24" t="str">
        <f t="shared" si="21"/>
        <v>—</v>
      </c>
      <c r="AM60" t="str">
        <f>IFERROR(MATRIZ_174!AT59,"")</f>
        <v>sin dato</v>
      </c>
    </row>
    <row r="61" spans="1:39" ht="16.05" customHeight="1" x14ac:dyDescent="0.3">
      <c r="A61" s="13" t="s">
        <v>197</v>
      </c>
      <c r="B61" s="14" t="s">
        <v>198</v>
      </c>
      <c r="C61" s="13" t="s">
        <v>199</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t="str">
        <f t="shared" si="12"/>
        <v/>
      </c>
      <c r="R61" s="17" t="str">
        <f t="shared" si="13"/>
        <v/>
      </c>
      <c r="S61" s="17" t="str">
        <f t="shared" si="14"/>
        <v/>
      </c>
      <c r="T61" s="17" t="str">
        <f>IF(ISNUMBER(MATRIZ_174!O60),IFERROR((K61+M61+MATRIZ_174!O60*100)/3,0),"")</f>
        <v/>
      </c>
      <c r="U61" s="18">
        <f>IF(ISNUMBER(MATRIZ_174!M60),MIN(100,ROUND(MATRIZ_174!M60,1)),"")</f>
        <v>50</v>
      </c>
      <c r="V61" s="18">
        <f t="shared" si="15"/>
        <v>50</v>
      </c>
      <c r="W61" s="18">
        <f>IFERROR(IF(MATRIZ_174!R60=0,65,IF(MATRIZ_174!R60/MATRIZ_174!Q60&gt;=2,35,IF(MATRIZ_174!R60/MATRIZ_174!Q60&gt;=0.5,50,65))),65)</f>
        <v>65</v>
      </c>
      <c r="X61" s="18" t="str">
        <f>IF(ISNUMBER(MATRIZ_174!O60),MIN(100,IF(MATRIZ_174!O60=0,70,30)+IF(MATRIZ_174!U60="",0,0.3*(100-MATRIZ_174!U60*100))),"")</f>
        <v/>
      </c>
      <c r="Y61" s="18">
        <f>IF(OR(MATRIZ_174!P60="ASOCIACION",MATRIZ_174!P60="PENDIENTE"),65,40)</f>
        <v>65</v>
      </c>
      <c r="Z61" s="19" t="str">
        <f t="shared" si="16"/>
        <v>—</v>
      </c>
      <c r="AA61" s="20">
        <f t="shared" si="17"/>
        <v>57.5</v>
      </c>
      <c r="AB61" s="21" t="str">
        <f t="shared" si="18"/>
        <v>—</v>
      </c>
      <c r="AC61" s="13" t="str">
        <f t="shared" si="19"/>
        <v>⬜  Pendiente de instrumento</v>
      </c>
      <c r="AD61" s="13" t="str">
        <f>IF(MATRIZ_174!U60="","",IF(MATRIZ_174!U60=0,"🚫  Inh. vigente OSCE",""))</f>
        <v/>
      </c>
      <c r="AE61" s="22">
        <f>IFERROR(MATRIZ_174!W60,0)</f>
        <v>1</v>
      </c>
      <c r="AF61" s="22" t="str">
        <f>IFERROR(MATRIZ_174!X60,0)</f>
        <v/>
      </c>
      <c r="AG61" s="22" t="str">
        <f>IFERROR(MATRIZ_174!Y60,0)</f>
        <v/>
      </c>
      <c r="AH61" s="22" t="str">
        <f>IFERROR(MATRIZ_174!Z60,0)</f>
        <v/>
      </c>
      <c r="AI61" s="17">
        <f>IFERROR(MATRIZ_174!AP60,"—")</f>
        <v>0.5</v>
      </c>
      <c r="AJ61" s="17" t="str">
        <f>IFERROR(MATRIZ_174!AO60,"N/A")</f>
        <v>N/A</v>
      </c>
      <c r="AK61" s="23" t="str">
        <f t="shared" si="20"/>
        <v>N/A</v>
      </c>
      <c r="AL61" s="24" t="str">
        <f t="shared" si="21"/>
        <v>—</v>
      </c>
      <c r="AM61" t="str">
        <f>IFERROR(MATRIZ_174!AT60,"")</f>
        <v>parcial · 2/7 · D12-D15 0/4</v>
      </c>
    </row>
    <row r="62" spans="1:39" ht="16.05" customHeight="1" x14ac:dyDescent="0.3">
      <c r="A62" s="13" t="s">
        <v>200</v>
      </c>
      <c r="B62" s="14" t="s">
        <v>201</v>
      </c>
      <c r="C62" s="13" t="s">
        <v>117</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t="str">
        <f t="shared" si="12"/>
        <v/>
      </c>
      <c r="R62" s="17" t="str">
        <f t="shared" si="13"/>
        <v/>
      </c>
      <c r="S62" s="17" t="str">
        <f t="shared" si="14"/>
        <v/>
      </c>
      <c r="T62" s="17" t="str">
        <f>IF(ISNUMBER(MATRIZ_174!O61),IFERROR((K62+M62+MATRIZ_174!O61*100)/3,0),"")</f>
        <v/>
      </c>
      <c r="U62" s="18" t="str">
        <f>IF(ISNUMBER(MATRIZ_174!M61),MIN(100,ROUND(MATRIZ_174!M61,1)),"")</f>
        <v/>
      </c>
      <c r="V62" s="18">
        <f t="shared" si="15"/>
        <v>50</v>
      </c>
      <c r="W62" s="18">
        <f>IFERROR(IF(MATRIZ_174!R61=0,65,IF(MATRIZ_174!R61/MATRIZ_174!Q61&gt;=2,35,IF(MATRIZ_174!R61/MATRIZ_174!Q61&gt;=0.5,50,65))),65)</f>
        <v>65</v>
      </c>
      <c r="X62" s="18" t="str">
        <f>IF(ISNUMBER(MATRIZ_174!O61),MIN(100,IF(MATRIZ_174!O61=0,70,30)+IF(MATRIZ_174!U61="",0,0.3*(100-MATRIZ_174!U61*100))),"")</f>
        <v/>
      </c>
      <c r="Y62" s="18">
        <f>IF(OR(MATRIZ_174!P61="ASOCIACION",MATRIZ_174!P61="PENDIENTE"),65,40)</f>
        <v>65</v>
      </c>
      <c r="Z62" s="19" t="str">
        <f t="shared" si="16"/>
        <v>—</v>
      </c>
      <c r="AA62" s="20">
        <f t="shared" si="17"/>
        <v>60</v>
      </c>
      <c r="AB62" s="21" t="str">
        <f t="shared" si="18"/>
        <v>—</v>
      </c>
      <c r="AC62" s="13" t="str">
        <f t="shared" si="19"/>
        <v>⬜  Pendiente de instrumento</v>
      </c>
      <c r="AD62" s="13" t="str">
        <f>IF(MATRIZ_174!U61="","",IF(MATRIZ_174!U61=0,"🚫  Inh. vigente OSCE",""))</f>
        <v/>
      </c>
      <c r="AE62" s="22" t="str">
        <f>IFERROR(MATRIZ_174!W61,0)</f>
        <v/>
      </c>
      <c r="AF62" s="22" t="str">
        <f>IFERROR(MATRIZ_174!X61,0)</f>
        <v/>
      </c>
      <c r="AG62" s="22" t="str">
        <f>IFERROR(MATRIZ_174!Y61,0)</f>
        <v/>
      </c>
      <c r="AH62" s="22" t="str">
        <f>IFERROR(MATRIZ_174!Z61,0)</f>
        <v/>
      </c>
      <c r="AI62" s="17" t="str">
        <f>IFERROR(MATRIZ_174!AP61,"—")</f>
        <v>—</v>
      </c>
      <c r="AJ62" s="17" t="str">
        <f>IFERROR(MATRIZ_174!AO61,"N/A")</f>
        <v>N/A</v>
      </c>
      <c r="AK62" s="23" t="str">
        <f t="shared" si="20"/>
        <v>N/A</v>
      </c>
      <c r="AL62" s="24" t="str">
        <f t="shared" si="21"/>
        <v>—</v>
      </c>
      <c r="AM62" t="str">
        <f>IFERROR(MATRIZ_174!AT61,"")</f>
        <v>sin dato</v>
      </c>
    </row>
    <row r="63" spans="1:39" ht="16.05" customHeight="1" x14ac:dyDescent="0.3">
      <c r="A63" s="13" t="s">
        <v>202</v>
      </c>
      <c r="B63" s="14" t="s">
        <v>203</v>
      </c>
      <c r="C63" s="13" t="s">
        <v>101</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t="str">
        <f t="shared" si="12"/>
        <v/>
      </c>
      <c r="R63" s="17" t="str">
        <f t="shared" si="13"/>
        <v/>
      </c>
      <c r="S63" s="17" t="str">
        <f t="shared" si="14"/>
        <v/>
      </c>
      <c r="T63" s="17" t="str">
        <f>IF(ISNUMBER(MATRIZ_174!O62),IFERROR((K63+M63+MATRIZ_174!O62*100)/3,0),"")</f>
        <v/>
      </c>
      <c r="U63" s="18" t="str">
        <f>IF(ISNUMBER(MATRIZ_174!M62),MIN(100,ROUND(MATRIZ_174!M62,1)),"")</f>
        <v/>
      </c>
      <c r="V63" s="18">
        <f t="shared" si="15"/>
        <v>50</v>
      </c>
      <c r="W63" s="18">
        <f>IFERROR(IF(MATRIZ_174!R62=0,65,IF(MATRIZ_174!R62/MATRIZ_174!Q62&gt;=2,35,IF(MATRIZ_174!R62/MATRIZ_174!Q62&gt;=0.5,50,65))),65)</f>
        <v>65</v>
      </c>
      <c r="X63" s="18" t="str">
        <f>IF(ISNUMBER(MATRIZ_174!O62),MIN(100,IF(MATRIZ_174!O62=0,70,30)+IF(MATRIZ_174!U62="",0,0.3*(100-MATRIZ_174!U62*100))),"")</f>
        <v/>
      </c>
      <c r="Y63" s="18">
        <f>IF(OR(MATRIZ_174!P62="ASOCIACION",MATRIZ_174!P62="PENDIENTE"),65,40)</f>
        <v>65</v>
      </c>
      <c r="Z63" s="19" t="str">
        <f t="shared" si="16"/>
        <v>—</v>
      </c>
      <c r="AA63" s="20">
        <f t="shared" si="17"/>
        <v>60</v>
      </c>
      <c r="AB63" s="21" t="str">
        <f t="shared" si="18"/>
        <v>—</v>
      </c>
      <c r="AC63" s="13" t="str">
        <f t="shared" si="19"/>
        <v>⬜  Pendiente de instrumento</v>
      </c>
      <c r="AD63" s="13" t="str">
        <f>IF(MATRIZ_174!U62="","",IF(MATRIZ_174!U62=0,"🚫  Inh. vigente OSCE",""))</f>
        <v/>
      </c>
      <c r="AE63" s="22" t="str">
        <f>IFERROR(MATRIZ_174!W62,0)</f>
        <v/>
      </c>
      <c r="AF63" s="22" t="str">
        <f>IFERROR(MATRIZ_174!X62,0)</f>
        <v/>
      </c>
      <c r="AG63" s="22" t="str">
        <f>IFERROR(MATRIZ_174!Y62,0)</f>
        <v/>
      </c>
      <c r="AH63" s="22" t="str">
        <f>IFERROR(MATRIZ_174!Z62,0)</f>
        <v/>
      </c>
      <c r="AI63" s="17" t="str">
        <f>IFERROR(MATRIZ_174!AP62,"—")</f>
        <v>—</v>
      </c>
      <c r="AJ63" s="17" t="str">
        <f>IFERROR(MATRIZ_174!AO62,"N/A")</f>
        <v>N/A</v>
      </c>
      <c r="AK63" s="23" t="str">
        <f t="shared" si="20"/>
        <v>N/A</v>
      </c>
      <c r="AL63" s="24" t="str">
        <f t="shared" si="21"/>
        <v>—</v>
      </c>
      <c r="AM63" t="str">
        <f>IFERROR(MATRIZ_174!AT62,"")</f>
        <v>sin dato</v>
      </c>
    </row>
    <row r="64" spans="1:39" ht="16.05" customHeight="1" x14ac:dyDescent="0.3">
      <c r="A64" s="13" t="s">
        <v>204</v>
      </c>
      <c r="B64" s="14" t="s">
        <v>205</v>
      </c>
      <c r="C64" s="13" t="s">
        <v>101</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t="str">
        <f t="shared" si="12"/>
        <v/>
      </c>
      <c r="R64" s="17" t="str">
        <f t="shared" si="13"/>
        <v/>
      </c>
      <c r="S64" s="17" t="str">
        <f t="shared" si="14"/>
        <v/>
      </c>
      <c r="T64" s="17" t="str">
        <f>IF(ISNUMBER(MATRIZ_174!O63),IFERROR((K64+M64+MATRIZ_174!O63*100)/3,0),"")</f>
        <v/>
      </c>
      <c r="U64" s="18" t="str">
        <f>IF(ISNUMBER(MATRIZ_174!M63),MIN(100,ROUND(MATRIZ_174!M63,1)),"")</f>
        <v/>
      </c>
      <c r="V64" s="18">
        <f t="shared" si="15"/>
        <v>50</v>
      </c>
      <c r="W64" s="18">
        <f>IFERROR(IF(MATRIZ_174!R63=0,65,IF(MATRIZ_174!R63/MATRIZ_174!Q63&gt;=2,35,IF(MATRIZ_174!R63/MATRIZ_174!Q63&gt;=0.5,50,65))),65)</f>
        <v>65</v>
      </c>
      <c r="X64" s="18" t="str">
        <f>IF(ISNUMBER(MATRIZ_174!O63),MIN(100,IF(MATRIZ_174!O63=0,70,30)+IF(MATRIZ_174!U63="",0,0.3*(100-MATRIZ_174!U63*100))),"")</f>
        <v/>
      </c>
      <c r="Y64" s="18">
        <f>IF(OR(MATRIZ_174!P63="ASOCIACION",MATRIZ_174!P63="PENDIENTE"),65,40)</f>
        <v>65</v>
      </c>
      <c r="Z64" s="19" t="str">
        <f t="shared" si="16"/>
        <v>—</v>
      </c>
      <c r="AA64" s="20">
        <f t="shared" si="17"/>
        <v>60</v>
      </c>
      <c r="AB64" s="21" t="str">
        <f t="shared" si="18"/>
        <v>—</v>
      </c>
      <c r="AC64" s="13" t="str">
        <f t="shared" si="19"/>
        <v>⬜  Pendiente de instrumento</v>
      </c>
      <c r="AD64" s="13" t="str">
        <f>IF(MATRIZ_174!U63="","",IF(MATRIZ_174!U63=0,"🚫  Inh. vigente OSCE",""))</f>
        <v/>
      </c>
      <c r="AE64" s="22" t="str">
        <f>IFERROR(MATRIZ_174!W63,0)</f>
        <v/>
      </c>
      <c r="AF64" s="22" t="str">
        <f>IFERROR(MATRIZ_174!X63,0)</f>
        <v/>
      </c>
      <c r="AG64" s="22" t="str">
        <f>IFERROR(MATRIZ_174!Y63,0)</f>
        <v/>
      </c>
      <c r="AH64" s="22" t="str">
        <f>IFERROR(MATRIZ_174!Z63,0)</f>
        <v/>
      </c>
      <c r="AI64" s="17" t="str">
        <f>IFERROR(MATRIZ_174!AP63,"—")</f>
        <v>—</v>
      </c>
      <c r="AJ64" s="17" t="str">
        <f>IFERROR(MATRIZ_174!AO63,"N/A")</f>
        <v>N/A</v>
      </c>
      <c r="AK64" s="23" t="str">
        <f t="shared" si="20"/>
        <v>N/A</v>
      </c>
      <c r="AL64" s="24" t="str">
        <f t="shared" si="21"/>
        <v>—</v>
      </c>
      <c r="AM64" t="str">
        <f>IFERROR(MATRIZ_174!AT63,"")</f>
        <v>sin dato</v>
      </c>
    </row>
    <row r="65" spans="1:39" ht="16.05" customHeight="1" x14ac:dyDescent="0.3">
      <c r="A65" s="13" t="s">
        <v>206</v>
      </c>
      <c r="B65" s="14" t="s">
        <v>207</v>
      </c>
      <c r="C65" s="13" t="s">
        <v>137</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t="str">
        <f t="shared" si="12"/>
        <v/>
      </c>
      <c r="R65" s="17" t="str">
        <f t="shared" si="13"/>
        <v/>
      </c>
      <c r="S65" s="17" t="str">
        <f t="shared" si="14"/>
        <v/>
      </c>
      <c r="T65" s="17" t="str">
        <f>IF(ISNUMBER(MATRIZ_174!O64),IFERROR((K65+M65+MATRIZ_174!O64*100)/3,0),"")</f>
        <v/>
      </c>
      <c r="U65" s="18" t="str">
        <f>IF(ISNUMBER(MATRIZ_174!M64),MIN(100,ROUND(MATRIZ_174!M64,1)),"")</f>
        <v/>
      </c>
      <c r="V65" s="18">
        <f t="shared" si="15"/>
        <v>50</v>
      </c>
      <c r="W65" s="18">
        <f>IFERROR(IF(MATRIZ_174!R64=0,65,IF(MATRIZ_174!R64/MATRIZ_174!Q64&gt;=2,35,IF(MATRIZ_174!R64/MATRIZ_174!Q64&gt;=0.5,50,65))),65)</f>
        <v>65</v>
      </c>
      <c r="X65" s="18" t="str">
        <f>IF(ISNUMBER(MATRIZ_174!O64),MIN(100,IF(MATRIZ_174!O64=0,70,30)+IF(MATRIZ_174!U64="",0,0.3*(100-MATRIZ_174!U64*100))),"")</f>
        <v/>
      </c>
      <c r="Y65" s="18">
        <f>IF(OR(MATRIZ_174!P64="ASOCIACION",MATRIZ_174!P64="PENDIENTE"),65,40)</f>
        <v>65</v>
      </c>
      <c r="Z65" s="19" t="str">
        <f t="shared" si="16"/>
        <v>—</v>
      </c>
      <c r="AA65" s="20">
        <f t="shared" si="17"/>
        <v>60</v>
      </c>
      <c r="AB65" s="21" t="str">
        <f t="shared" si="18"/>
        <v>—</v>
      </c>
      <c r="AC65" s="13" t="str">
        <f t="shared" si="19"/>
        <v>⬜  Pendiente de instrumento</v>
      </c>
      <c r="AD65" s="13" t="str">
        <f>IF(MATRIZ_174!U64="","",IF(MATRIZ_174!U64=0,"🚫  Inh. vigente OSCE",""))</f>
        <v/>
      </c>
      <c r="AE65" s="22" t="str">
        <f>IFERROR(MATRIZ_174!W64,0)</f>
        <v/>
      </c>
      <c r="AF65" s="22" t="str">
        <f>IFERROR(MATRIZ_174!X64,0)</f>
        <v/>
      </c>
      <c r="AG65" s="22" t="str">
        <f>IFERROR(MATRIZ_174!Y64,0)</f>
        <v/>
      </c>
      <c r="AH65" s="22" t="str">
        <f>IFERROR(MATRIZ_174!Z64,0)</f>
        <v/>
      </c>
      <c r="AI65" s="17" t="str">
        <f>IFERROR(MATRIZ_174!AP64,"—")</f>
        <v>—</v>
      </c>
      <c r="AJ65" s="17" t="str">
        <f>IFERROR(MATRIZ_174!AO64,"N/A")</f>
        <v>N/A</v>
      </c>
      <c r="AK65" s="23" t="str">
        <f t="shared" si="20"/>
        <v>N/A</v>
      </c>
      <c r="AL65" s="24" t="str">
        <f t="shared" si="21"/>
        <v>—</v>
      </c>
      <c r="AM65" t="str">
        <f>IFERROR(MATRIZ_174!AT64,"")</f>
        <v>sin dato</v>
      </c>
    </row>
    <row r="66" spans="1:39" ht="16.05" customHeight="1" x14ac:dyDescent="0.3">
      <c r="A66" s="13" t="s">
        <v>208</v>
      </c>
      <c r="B66" s="14" t="s">
        <v>209</v>
      </c>
      <c r="C66" s="13" t="s">
        <v>137</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t="str">
        <f t="shared" si="12"/>
        <v/>
      </c>
      <c r="R66" s="17" t="str">
        <f t="shared" si="13"/>
        <v/>
      </c>
      <c r="S66" s="17" t="str">
        <f t="shared" si="14"/>
        <v/>
      </c>
      <c r="T66" s="17" t="str">
        <f>IF(ISNUMBER(MATRIZ_174!O65),IFERROR((K66+M66+MATRIZ_174!O65*100)/3,0),"")</f>
        <v/>
      </c>
      <c r="U66" s="18">
        <f>IF(ISNUMBER(MATRIZ_174!M65),MIN(100,ROUND(MATRIZ_174!M65,1)),"")</f>
        <v>0</v>
      </c>
      <c r="V66" s="18">
        <f t="shared" si="15"/>
        <v>50</v>
      </c>
      <c r="W66" s="18">
        <f>IFERROR(IF(MATRIZ_174!R65=0,65,IF(MATRIZ_174!R65/MATRIZ_174!Q65&gt;=2,35,IF(MATRIZ_174!R65/MATRIZ_174!Q65&gt;=0.5,50,65))),65)</f>
        <v>65</v>
      </c>
      <c r="X66" s="18" t="str">
        <f>IF(ISNUMBER(MATRIZ_174!O65),MIN(100,IF(MATRIZ_174!O65=0,70,30)+IF(MATRIZ_174!U65="",0,0.3*(100-MATRIZ_174!U65*100))),"")</f>
        <v/>
      </c>
      <c r="Y66" s="18">
        <f>IF(OR(MATRIZ_174!P65="ASOCIACION",MATRIZ_174!P65="PENDIENTE"),65,40)</f>
        <v>65</v>
      </c>
      <c r="Z66" s="19" t="str">
        <f t="shared" si="16"/>
        <v>—</v>
      </c>
      <c r="AA66" s="20">
        <f t="shared" si="17"/>
        <v>45</v>
      </c>
      <c r="AB66" s="21" t="str">
        <f t="shared" si="18"/>
        <v>—</v>
      </c>
      <c r="AC66" s="13" t="str">
        <f t="shared" si="19"/>
        <v>⬜  Pendiente de instrumento</v>
      </c>
      <c r="AD66" s="13" t="str">
        <f>IF(MATRIZ_174!U65="","",IF(MATRIZ_174!U65=0,"🚫  Inh. vigente OSCE",""))</f>
        <v/>
      </c>
      <c r="AE66" s="22" t="str">
        <f>IFERROR(MATRIZ_174!W65,0)</f>
        <v/>
      </c>
      <c r="AF66" s="22" t="str">
        <f>IFERROR(MATRIZ_174!X65,0)</f>
        <v/>
      </c>
      <c r="AG66" s="22" t="str">
        <f>IFERROR(MATRIZ_174!Y65,0)</f>
        <v/>
      </c>
      <c r="AH66" s="22" t="str">
        <f>IFERROR(MATRIZ_174!Z65,0)</f>
        <v/>
      </c>
      <c r="AI66" s="17">
        <f>IFERROR(MATRIZ_174!AP65,"—")</f>
        <v>0</v>
      </c>
      <c r="AJ66" s="17" t="str">
        <f>IFERROR(MATRIZ_174!AO65,"N/A")</f>
        <v>N/A</v>
      </c>
      <c r="AK66" s="23" t="str">
        <f t="shared" si="20"/>
        <v>N/A</v>
      </c>
      <c r="AL66" s="24" t="str">
        <f t="shared" si="21"/>
        <v>—</v>
      </c>
      <c r="AM66" t="str">
        <f>IFERROR(MATRIZ_174!AT65,"")</f>
        <v>parcial · 1/7 · D12-D15 0/4</v>
      </c>
    </row>
    <row r="67" spans="1:39" ht="16.05" customHeight="1" x14ac:dyDescent="0.3">
      <c r="A67" s="13" t="s">
        <v>210</v>
      </c>
      <c r="B67" s="14" t="s">
        <v>211</v>
      </c>
      <c r="C67" s="13" t="s">
        <v>78</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t="str">
        <f t="shared" si="12"/>
        <v/>
      </c>
      <c r="R67" s="17" t="str">
        <f t="shared" si="13"/>
        <v/>
      </c>
      <c r="S67" s="17" t="str">
        <f t="shared" si="14"/>
        <v/>
      </c>
      <c r="T67" s="17" t="str">
        <f>IF(ISNUMBER(MATRIZ_174!O66),IFERROR((K67+M67+MATRIZ_174!O66*100)/3,0),"")</f>
        <v/>
      </c>
      <c r="U67" s="18" t="str">
        <f>IF(ISNUMBER(MATRIZ_174!M66),MIN(100,ROUND(MATRIZ_174!M66,1)),"")</f>
        <v/>
      </c>
      <c r="V67" s="18">
        <f t="shared" si="15"/>
        <v>50</v>
      </c>
      <c r="W67" s="18">
        <f>IFERROR(IF(MATRIZ_174!R66=0,65,IF(MATRIZ_174!R66/MATRIZ_174!Q66&gt;=2,35,IF(MATRIZ_174!R66/MATRIZ_174!Q66&gt;=0.5,50,65))),65)</f>
        <v>65</v>
      </c>
      <c r="X67" s="18" t="str">
        <f>IF(ISNUMBER(MATRIZ_174!O66),MIN(100,IF(MATRIZ_174!O66=0,70,30)+IF(MATRIZ_174!U66="",0,0.3*(100-MATRIZ_174!U66*100))),"")</f>
        <v/>
      </c>
      <c r="Y67" s="18">
        <f>IF(OR(MATRIZ_174!P66="ASOCIACION",MATRIZ_174!P66="PENDIENTE"),65,40)</f>
        <v>65</v>
      </c>
      <c r="Z67" s="19" t="str">
        <f t="shared" si="16"/>
        <v>—</v>
      </c>
      <c r="AA67" s="20">
        <f t="shared" si="17"/>
        <v>60</v>
      </c>
      <c r="AB67" s="21" t="str">
        <f t="shared" si="18"/>
        <v>—</v>
      </c>
      <c r="AC67" s="13" t="str">
        <f t="shared" si="19"/>
        <v>⬜  Pendiente de instrumento</v>
      </c>
      <c r="AD67" s="13" t="str">
        <f>IF(MATRIZ_174!U66="","",IF(MATRIZ_174!U66=0,"🚫  Inh. vigente OSCE",""))</f>
        <v/>
      </c>
      <c r="AE67" s="22" t="str">
        <f>IFERROR(MATRIZ_174!W66,0)</f>
        <v/>
      </c>
      <c r="AF67" s="22" t="str">
        <f>IFERROR(MATRIZ_174!X66,0)</f>
        <v/>
      </c>
      <c r="AG67" s="22" t="str">
        <f>IFERROR(MATRIZ_174!Y66,0)</f>
        <v/>
      </c>
      <c r="AH67" s="22" t="str">
        <f>IFERROR(MATRIZ_174!Z66,0)</f>
        <v/>
      </c>
      <c r="AI67" s="17" t="str">
        <f>IFERROR(MATRIZ_174!AP66,"—")</f>
        <v>—</v>
      </c>
      <c r="AJ67" s="17" t="str">
        <f>IFERROR(MATRIZ_174!AO66,"N/A")</f>
        <v>N/A</v>
      </c>
      <c r="AK67" s="23" t="str">
        <f t="shared" si="20"/>
        <v>N/A</v>
      </c>
      <c r="AL67" s="24" t="str">
        <f t="shared" si="21"/>
        <v>—</v>
      </c>
      <c r="AM67" t="str">
        <f>IFERROR(MATRIZ_174!AT66,"")</f>
        <v>sin dato</v>
      </c>
    </row>
    <row r="68" spans="1:39" ht="16.05" customHeight="1" x14ac:dyDescent="0.3">
      <c r="A68" s="13" t="s">
        <v>212</v>
      </c>
      <c r="B68" s="14" t="s">
        <v>213</v>
      </c>
      <c r="C68" s="13" t="s">
        <v>110</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t="str">
        <f t="shared" ref="Q68:Q99" si="23">IFERROR(SQRT(G68*H68),"")</f>
        <v/>
      </c>
      <c r="R68" s="17" t="str">
        <f t="shared" ref="R68:R99" si="24">IFERROR((I68+J68+L68)/3,"")</f>
        <v/>
      </c>
      <c r="S68" s="17" t="str">
        <f t="shared" ref="S68:S99" si="25">IFERROR((J68+F68)/2,"")</f>
        <v/>
      </c>
      <c r="T68" s="17" t="str">
        <f>IF(ISNUMBER(MATRIZ_174!O67),IFERROR((K68+M68+MATRIZ_174!O67*100)/3,0),"")</f>
        <v/>
      </c>
      <c r="U68" s="18" t="str">
        <f>IF(ISNUMBER(MATRIZ_174!M67),MIN(100,ROUND(MATRIZ_174!M67,1)),"")</f>
        <v/>
      </c>
      <c r="V68" s="18">
        <f t="shared" ref="V68:V99" si="26">IF(OR(NOT(ISNUMBER(F68)),F68=0),50,F68)</f>
        <v>50</v>
      </c>
      <c r="W68" s="18">
        <f>IFERROR(IF(MATRIZ_174!R67=0,65,IF(MATRIZ_174!R67/MATRIZ_174!Q67&gt;=2,35,IF(MATRIZ_174!R67/MATRIZ_174!Q67&gt;=0.5,50,65))),65)</f>
        <v>65</v>
      </c>
      <c r="X68" s="18" t="str">
        <f>IF(ISNUMBER(MATRIZ_174!O67),MIN(100,IF(MATRIZ_174!O67=0,70,30)+IF(MATRIZ_174!U67="",0,0.3*(100-MATRIZ_174!U67*100))),"")</f>
        <v/>
      </c>
      <c r="Y68" s="18">
        <f>IF(OR(MATRIZ_174!P67="ASOCIACION",MATRIZ_174!P67="PENDIENTE"),65,40)</f>
        <v>65</v>
      </c>
      <c r="Z68" s="19" t="str">
        <f t="shared" ref="Z68:Z99" si="27">IF(COUNT(F68:M68)&lt;8,"—",IFERROR(ROUND(AVERAGE(P68:T68),1),"—"))</f>
        <v>—</v>
      </c>
      <c r="AA68" s="20">
        <f t="shared" ref="AA68:AA99" si="28">IFERROR(ROUND(AVERAGE(U68,V68,W68,X68,Y68),1),"—")</f>
        <v>60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t="str">
        <f>IFERROR(MATRIZ_174!W67,0)</f>
        <v/>
      </c>
      <c r="AF68" s="22" t="str">
        <f>IFERROR(MATRIZ_174!X67,0)</f>
        <v/>
      </c>
      <c r="AG68" s="22" t="str">
        <f>IFERROR(MATRIZ_174!Y67,0)</f>
        <v/>
      </c>
      <c r="AH68" s="22" t="str">
        <f>IFERROR(MATRIZ_174!Z67,0)</f>
        <v/>
      </c>
      <c r="AI68" s="17" t="str">
        <f>IFERROR(MATRIZ_174!AP67,"—")</f>
        <v>—</v>
      </c>
      <c r="AJ68" s="17" t="str">
        <f>IFERROR(MATRIZ_174!AO67,"N/A")</f>
        <v>N/A</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c r="AM68" t="str">
        <f>IFERROR(MATRIZ_174!AT67,"")</f>
        <v>sin dato</v>
      </c>
    </row>
    <row r="69" spans="1:39" ht="16.05" customHeight="1" x14ac:dyDescent="0.3">
      <c r="A69" s="13" t="s">
        <v>214</v>
      </c>
      <c r="B69" s="14" t="s">
        <v>215</v>
      </c>
      <c r="C69" s="13" t="s">
        <v>110</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t="str">
        <f t="shared" si="23"/>
        <v/>
      </c>
      <c r="R69" s="17" t="str">
        <f t="shared" si="24"/>
        <v/>
      </c>
      <c r="S69" s="17" t="str">
        <f t="shared" si="25"/>
        <v/>
      </c>
      <c r="T69" s="17" t="str">
        <f>IF(ISNUMBER(MATRIZ_174!O68),IFERROR((K69+M69+MATRIZ_174!O68*100)/3,0),"")</f>
        <v/>
      </c>
      <c r="U69" s="18" t="str">
        <f>IF(ISNUMBER(MATRIZ_174!M68),MIN(100,ROUND(MATRIZ_174!M68,1)),"")</f>
        <v/>
      </c>
      <c r="V69" s="18">
        <f t="shared" si="26"/>
        <v>50</v>
      </c>
      <c r="W69" s="18">
        <f>IFERROR(IF(MATRIZ_174!R68=0,65,IF(MATRIZ_174!R68/MATRIZ_174!Q68&gt;=2,35,IF(MATRIZ_174!R68/MATRIZ_174!Q68&gt;=0.5,50,65))),65)</f>
        <v>65</v>
      </c>
      <c r="X69" s="18" t="str">
        <f>IF(ISNUMBER(MATRIZ_174!O68),MIN(100,IF(MATRIZ_174!O68=0,70,30)+IF(MATRIZ_174!U68="",0,0.3*(100-MATRIZ_174!U68*100))),"")</f>
        <v/>
      </c>
      <c r="Y69" s="18">
        <f>IF(OR(MATRIZ_174!P68="ASOCIACION",MATRIZ_174!P68="PENDIENTE"),65,40)</f>
        <v>65</v>
      </c>
      <c r="Z69" s="19" t="str">
        <f t="shared" si="27"/>
        <v>—</v>
      </c>
      <c r="AA69" s="20">
        <f t="shared" si="28"/>
        <v>60</v>
      </c>
      <c r="AB69" s="21" t="str">
        <f t="shared" si="29"/>
        <v>—</v>
      </c>
      <c r="AC69" s="13" t="str">
        <f t="shared" si="30"/>
        <v>⬜  Pendiente de instrumento</v>
      </c>
      <c r="AD69" s="13" t="str">
        <f>IF(MATRIZ_174!U68="","",IF(MATRIZ_174!U68=0,"🚫  Inh. vigente OSCE",""))</f>
        <v/>
      </c>
      <c r="AE69" s="22" t="str">
        <f>IFERROR(MATRIZ_174!W68,0)</f>
        <v/>
      </c>
      <c r="AF69" s="22" t="str">
        <f>IFERROR(MATRIZ_174!X68,0)</f>
        <v/>
      </c>
      <c r="AG69" s="22" t="str">
        <f>IFERROR(MATRIZ_174!Y68,0)</f>
        <v/>
      </c>
      <c r="AH69" s="22" t="str">
        <f>IFERROR(MATRIZ_174!Z68,0)</f>
        <v/>
      </c>
      <c r="AI69" s="17" t="str">
        <f>IFERROR(MATRIZ_174!AP68,"—")</f>
        <v>—</v>
      </c>
      <c r="AJ69" s="17" t="str">
        <f>IFERROR(MATRIZ_174!AO68,"N/A")</f>
        <v>N/A</v>
      </c>
      <c r="AK69" s="23" t="str">
        <f t="shared" si="31"/>
        <v>N/A</v>
      </c>
      <c r="AL69" s="24" t="str">
        <f t="shared" si="32"/>
        <v>—</v>
      </c>
      <c r="AM69" t="str">
        <f>IFERROR(MATRIZ_174!AT68,"")</f>
        <v>sin dato</v>
      </c>
    </row>
    <row r="70" spans="1:39" ht="16.05" customHeight="1" x14ac:dyDescent="0.3">
      <c r="A70" s="13" t="s">
        <v>216</v>
      </c>
      <c r="B70" s="14" t="s">
        <v>217</v>
      </c>
      <c r="C70" s="13" t="s">
        <v>177</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t="str">
        <f t="shared" si="23"/>
        <v/>
      </c>
      <c r="R70" s="17" t="str">
        <f t="shared" si="24"/>
        <v/>
      </c>
      <c r="S70" s="17" t="str">
        <f t="shared" si="25"/>
        <v/>
      </c>
      <c r="T70" s="17" t="str">
        <f>IF(ISNUMBER(MATRIZ_174!O69),IFERROR((K70+M70+MATRIZ_174!O69*100)/3,0),"")</f>
        <v/>
      </c>
      <c r="U70" s="18" t="str">
        <f>IF(ISNUMBER(MATRIZ_174!M69),MIN(100,ROUND(MATRIZ_174!M69,1)),"")</f>
        <v/>
      </c>
      <c r="V70" s="18">
        <f t="shared" si="26"/>
        <v>50</v>
      </c>
      <c r="W70" s="18">
        <f>IFERROR(IF(MATRIZ_174!R69=0,65,IF(MATRIZ_174!R69/MATRIZ_174!Q69&gt;=2,35,IF(MATRIZ_174!R69/MATRIZ_174!Q69&gt;=0.5,50,65))),65)</f>
        <v>65</v>
      </c>
      <c r="X70" s="18" t="str">
        <f>IF(ISNUMBER(MATRIZ_174!O69),MIN(100,IF(MATRIZ_174!O69=0,70,30)+IF(MATRIZ_174!U69="",0,0.3*(100-MATRIZ_174!U69*100))),"")</f>
        <v/>
      </c>
      <c r="Y70" s="18">
        <f>IF(OR(MATRIZ_174!P69="ASOCIACION",MATRIZ_174!P69="PENDIENTE"),65,40)</f>
        <v>65</v>
      </c>
      <c r="Z70" s="19" t="str">
        <f t="shared" si="27"/>
        <v>—</v>
      </c>
      <c r="AA70" s="20">
        <f t="shared" si="28"/>
        <v>60</v>
      </c>
      <c r="AB70" s="21" t="str">
        <f t="shared" si="29"/>
        <v>—</v>
      </c>
      <c r="AC70" s="13" t="str">
        <f t="shared" si="30"/>
        <v>⬜  Pendiente de instrumento</v>
      </c>
      <c r="AD70" s="13" t="str">
        <f>IF(MATRIZ_174!U69="","",IF(MATRIZ_174!U69=0,"🚫  Inh. vigente OSCE",""))</f>
        <v/>
      </c>
      <c r="AE70" s="22" t="str">
        <f>IFERROR(MATRIZ_174!W69,0)</f>
        <v/>
      </c>
      <c r="AF70" s="22" t="str">
        <f>IFERROR(MATRIZ_174!X69,0)</f>
        <v/>
      </c>
      <c r="AG70" s="22" t="str">
        <f>IFERROR(MATRIZ_174!Y69,0)</f>
        <v/>
      </c>
      <c r="AH70" s="22" t="str">
        <f>IFERROR(MATRIZ_174!Z69,0)</f>
        <v/>
      </c>
      <c r="AI70" s="17" t="str">
        <f>IFERROR(MATRIZ_174!AP69,"—")</f>
        <v>—</v>
      </c>
      <c r="AJ70" s="17" t="str">
        <f>IFERROR(MATRIZ_174!AO69,"N/A")</f>
        <v>N/A</v>
      </c>
      <c r="AK70" s="23" t="str">
        <f t="shared" si="31"/>
        <v>N/A</v>
      </c>
      <c r="AL70" s="24" t="str">
        <f t="shared" si="32"/>
        <v>—</v>
      </c>
      <c r="AM70" t="str">
        <f>IFERROR(MATRIZ_174!AT69,"")</f>
        <v>sin dato</v>
      </c>
    </row>
    <row r="71" spans="1:39" ht="16.05" customHeight="1" x14ac:dyDescent="0.3">
      <c r="A71" s="13" t="s">
        <v>218</v>
      </c>
      <c r="B71" s="14" t="s">
        <v>219</v>
      </c>
      <c r="C71" s="13" t="s">
        <v>137</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t="str">
        <f t="shared" si="23"/>
        <v/>
      </c>
      <c r="R71" s="17" t="str">
        <f t="shared" si="24"/>
        <v/>
      </c>
      <c r="S71" s="17" t="str">
        <f t="shared" si="25"/>
        <v/>
      </c>
      <c r="T71" s="17">
        <f>IF(ISNUMBER(MATRIZ_174!O70),IFERROR((K71+M71+MATRIZ_174!O70*100)/3,0),"")</f>
        <v>0</v>
      </c>
      <c r="U71" s="18">
        <f>IF(ISNUMBER(MATRIZ_174!M70),MIN(100,ROUND(MATRIZ_174!M70,1)),"")</f>
        <v>59.5</v>
      </c>
      <c r="V71" s="18">
        <f t="shared" si="26"/>
        <v>50</v>
      </c>
      <c r="W71" s="18">
        <f>IFERROR(IF(MATRIZ_174!R70=0,65,IF(MATRIZ_174!R70/MATRIZ_174!Q70&gt;=2,35,IF(MATRIZ_174!R70/MATRIZ_174!Q70&gt;=0.5,50,65))),65)</f>
        <v>35</v>
      </c>
      <c r="X71" s="18">
        <f>IF(ISNUMBER(MATRIZ_174!O70),MIN(100,IF(MATRIZ_174!O70=0,70,30)+IF(MATRIZ_174!U70="",0,0.3*(100-MATRIZ_174!U70*100))),"")</f>
        <v>30</v>
      </c>
      <c r="Y71" s="18">
        <f>IF(OR(MATRIZ_174!P70="ASOCIACION",MATRIZ_174!P70="PENDIENTE"),65,40)</f>
        <v>65</v>
      </c>
      <c r="Z71" s="19" t="str">
        <f t="shared" si="27"/>
        <v>—</v>
      </c>
      <c r="AA71" s="20">
        <f t="shared" si="28"/>
        <v>47.9</v>
      </c>
      <c r="AB71" s="21" t="str">
        <f t="shared" si="29"/>
        <v>—</v>
      </c>
      <c r="AC71" s="13" t="str">
        <f t="shared" si="30"/>
        <v>⬜  Pendiente de instrumento</v>
      </c>
      <c r="AD71" s="13" t="str">
        <f>IF(MATRIZ_174!U70="","",IF(MATRIZ_174!U70=0,"🚫  Inh. vigente OSCE",""))</f>
        <v/>
      </c>
      <c r="AE71" s="22">
        <f>IFERROR(MATRIZ_174!W70,0)</f>
        <v>1</v>
      </c>
      <c r="AF71" s="22" t="str">
        <f>IFERROR(MATRIZ_174!X70,0)</f>
        <v/>
      </c>
      <c r="AG71" s="22" t="str">
        <f>IFERROR(MATRIZ_174!Y70,0)</f>
        <v/>
      </c>
      <c r="AH71" s="22" t="str">
        <f>IFERROR(MATRIZ_174!Z70,0)</f>
        <v/>
      </c>
      <c r="AI71" s="17">
        <f>IFERROR(MATRIZ_174!AP70,"—")</f>
        <v>0.62291666666666667</v>
      </c>
      <c r="AJ71" s="17" t="str">
        <f>IFERROR(MATRIZ_174!AO70,"N/A")</f>
        <v>N/A</v>
      </c>
      <c r="AK71" s="23" t="str">
        <f t="shared" si="31"/>
        <v>N/A</v>
      </c>
      <c r="AL71" s="24" t="str">
        <f t="shared" si="32"/>
        <v>—</v>
      </c>
      <c r="AM71" t="str">
        <f>IFERROR(MATRIZ_174!AT70,"")</f>
        <v>parcial · 3/7 · D12-D15 0/4</v>
      </c>
    </row>
    <row r="72" spans="1:39" ht="16.05" customHeight="1" x14ac:dyDescent="0.3">
      <c r="A72" s="13" t="s">
        <v>221</v>
      </c>
      <c r="B72" s="14" t="s">
        <v>222</v>
      </c>
      <c r="C72" s="13" t="s">
        <v>137</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t="str">
        <f t="shared" si="23"/>
        <v/>
      </c>
      <c r="R72" s="17" t="str">
        <f t="shared" si="24"/>
        <v/>
      </c>
      <c r="S72" s="17" t="str">
        <f t="shared" si="25"/>
        <v/>
      </c>
      <c r="T72" s="17" t="str">
        <f>IF(ISNUMBER(MATRIZ_174!O71),IFERROR((K72+M72+MATRIZ_174!O71*100)/3,0),"")</f>
        <v/>
      </c>
      <c r="U72" s="18" t="str">
        <f>IF(ISNUMBER(MATRIZ_174!M71),MIN(100,ROUND(MATRIZ_174!M71,1)),"")</f>
        <v/>
      </c>
      <c r="V72" s="18">
        <f t="shared" si="26"/>
        <v>50</v>
      </c>
      <c r="W72" s="18">
        <f>IFERROR(IF(MATRIZ_174!R71=0,65,IF(MATRIZ_174!R71/MATRIZ_174!Q71&gt;=2,35,IF(MATRIZ_174!R71/MATRIZ_174!Q71&gt;=0.5,50,65))),65)</f>
        <v>65</v>
      </c>
      <c r="X72" s="18" t="str">
        <f>IF(ISNUMBER(MATRIZ_174!O71),MIN(100,IF(MATRIZ_174!O71=0,70,30)+IF(MATRIZ_174!U71="",0,0.3*(100-MATRIZ_174!U71*100))),"")</f>
        <v/>
      </c>
      <c r="Y72" s="18">
        <f>IF(OR(MATRIZ_174!P71="ASOCIACION",MATRIZ_174!P71="PENDIENTE"),65,40)</f>
        <v>65</v>
      </c>
      <c r="Z72" s="19" t="str">
        <f t="shared" si="27"/>
        <v>—</v>
      </c>
      <c r="AA72" s="20">
        <f t="shared" si="28"/>
        <v>60</v>
      </c>
      <c r="AB72" s="21" t="str">
        <f t="shared" si="29"/>
        <v>—</v>
      </c>
      <c r="AC72" s="13" t="str">
        <f t="shared" si="30"/>
        <v>⬜  Pendiente de instrumento</v>
      </c>
      <c r="AD72" s="13" t="str">
        <f>IF(MATRIZ_174!U71="","",IF(MATRIZ_174!U71=0,"🚫  Inh. vigente OSCE",""))</f>
        <v/>
      </c>
      <c r="AE72" s="22" t="str">
        <f>IFERROR(MATRIZ_174!W71,0)</f>
        <v/>
      </c>
      <c r="AF72" s="22" t="str">
        <f>IFERROR(MATRIZ_174!X71,0)</f>
        <v/>
      </c>
      <c r="AG72" s="22" t="str">
        <f>IFERROR(MATRIZ_174!Y71,0)</f>
        <v/>
      </c>
      <c r="AH72" s="22" t="str">
        <f>IFERROR(MATRIZ_174!Z71,0)</f>
        <v/>
      </c>
      <c r="AI72" s="17" t="str">
        <f>IFERROR(MATRIZ_174!AP71,"—")</f>
        <v>—</v>
      </c>
      <c r="AJ72" s="17" t="str">
        <f>IFERROR(MATRIZ_174!AO71,"N/A")</f>
        <v>N/A</v>
      </c>
      <c r="AK72" s="23" t="str">
        <f t="shared" si="31"/>
        <v>N/A</v>
      </c>
      <c r="AL72" s="24" t="str">
        <f t="shared" si="32"/>
        <v>—</v>
      </c>
      <c r="AM72" t="str">
        <f>IFERROR(MATRIZ_174!AT71,"")</f>
        <v>sin dato</v>
      </c>
    </row>
    <row r="73" spans="1:39" ht="16.05" customHeight="1" x14ac:dyDescent="0.3">
      <c r="A73" s="13" t="s">
        <v>223</v>
      </c>
      <c r="B73" s="14" t="s">
        <v>224</v>
      </c>
      <c r="C73" s="13" t="s">
        <v>137</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t="str">
        <f t="shared" si="23"/>
        <v/>
      </c>
      <c r="R73" s="17" t="str">
        <f t="shared" si="24"/>
        <v/>
      </c>
      <c r="S73" s="17" t="str">
        <f t="shared" si="25"/>
        <v/>
      </c>
      <c r="T73" s="17" t="str">
        <f>IF(ISNUMBER(MATRIZ_174!O72),IFERROR((K73+M73+MATRIZ_174!O72*100)/3,0),"")</f>
        <v/>
      </c>
      <c r="U73" s="18">
        <f>IF(ISNUMBER(MATRIZ_174!M72),MIN(100,ROUND(MATRIZ_174!M72,1)),"")</f>
        <v>50</v>
      </c>
      <c r="V73" s="18">
        <f t="shared" si="26"/>
        <v>50</v>
      </c>
      <c r="W73" s="18">
        <f>IFERROR(IF(MATRIZ_174!R72=0,65,IF(MATRIZ_174!R72/MATRIZ_174!Q72&gt;=2,35,IF(MATRIZ_174!R72/MATRIZ_174!Q72&gt;=0.5,50,65))),65)</f>
        <v>65</v>
      </c>
      <c r="X73" s="18" t="str">
        <f>IF(ISNUMBER(MATRIZ_174!O72),MIN(100,IF(MATRIZ_174!O72=0,70,30)+IF(MATRIZ_174!U72="",0,0.3*(100-MATRIZ_174!U72*100))),"")</f>
        <v/>
      </c>
      <c r="Y73" s="18">
        <f>IF(OR(MATRIZ_174!P72="ASOCIACION",MATRIZ_174!P72="PENDIENTE"),65,40)</f>
        <v>65</v>
      </c>
      <c r="Z73" s="19" t="str">
        <f t="shared" si="27"/>
        <v>—</v>
      </c>
      <c r="AA73" s="20">
        <f t="shared" si="28"/>
        <v>57.5</v>
      </c>
      <c r="AB73" s="21" t="str">
        <f t="shared" si="29"/>
        <v>—</v>
      </c>
      <c r="AC73" s="13" t="str">
        <f t="shared" si="30"/>
        <v>⬜  Pendiente de instrumento</v>
      </c>
      <c r="AD73" s="13" t="str">
        <f>IF(MATRIZ_174!U72="","",IF(MATRIZ_174!U72=0,"🚫  Inh. vigente OSCE",""))</f>
        <v/>
      </c>
      <c r="AE73" s="22">
        <f>IFERROR(MATRIZ_174!W72,0)</f>
        <v>1</v>
      </c>
      <c r="AF73" s="22" t="str">
        <f>IFERROR(MATRIZ_174!X72,0)</f>
        <v/>
      </c>
      <c r="AG73" s="22" t="str">
        <f>IFERROR(MATRIZ_174!Y72,0)</f>
        <v/>
      </c>
      <c r="AH73" s="22" t="str">
        <f>IFERROR(MATRIZ_174!Z72,0)</f>
        <v/>
      </c>
      <c r="AI73" s="17">
        <f>IFERROR(MATRIZ_174!AP72,"—")</f>
        <v>0.5</v>
      </c>
      <c r="AJ73" s="17" t="str">
        <f>IFERROR(MATRIZ_174!AO72,"N/A")</f>
        <v>N/A</v>
      </c>
      <c r="AK73" s="23" t="str">
        <f t="shared" si="31"/>
        <v>N/A</v>
      </c>
      <c r="AL73" s="24" t="str">
        <f t="shared" si="32"/>
        <v>—</v>
      </c>
      <c r="AM73" t="str">
        <f>IFERROR(MATRIZ_174!AT72,"")</f>
        <v>parcial · 2/7 · D12-D15 0/4</v>
      </c>
    </row>
    <row r="74" spans="1:39" ht="16.05" customHeight="1" x14ac:dyDescent="0.3">
      <c r="A74" s="13" t="s">
        <v>225</v>
      </c>
      <c r="B74" s="14" t="s">
        <v>226</v>
      </c>
      <c r="C74" s="13" t="s">
        <v>137</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t="str">
        <f t="shared" si="23"/>
        <v/>
      </c>
      <c r="R74" s="17" t="str">
        <f t="shared" si="24"/>
        <v/>
      </c>
      <c r="S74" s="17" t="str">
        <f t="shared" si="25"/>
        <v/>
      </c>
      <c r="T74" s="17">
        <f>IF(ISNUMBER(MATRIZ_174!O73),IFERROR((K74+M74+MATRIZ_174!O73*100)/3,0),"")</f>
        <v>0</v>
      </c>
      <c r="U74" s="18">
        <f>IF(ISNUMBER(MATRIZ_174!M73),MIN(100,ROUND(MATRIZ_174!M73,1)),"")</f>
        <v>100</v>
      </c>
      <c r="V74" s="18">
        <f t="shared" si="26"/>
        <v>50</v>
      </c>
      <c r="W74" s="18">
        <f>IFERROR(IF(MATRIZ_174!R73=0,65,IF(MATRIZ_174!R73/MATRIZ_174!Q73&gt;=2,35,IF(MATRIZ_174!R73/MATRIZ_174!Q73&gt;=0.5,50,65))),65)</f>
        <v>35</v>
      </c>
      <c r="X74" s="18">
        <f>IF(ISNUMBER(MATRIZ_174!O73),MIN(100,IF(MATRIZ_174!O73=0,70,30)+IF(MATRIZ_174!U73="",0,0.3*(100-MATRIZ_174!U73*100))),"")</f>
        <v>30</v>
      </c>
      <c r="Y74" s="18">
        <f>IF(OR(MATRIZ_174!P73="ASOCIACION",MATRIZ_174!P73="PENDIENTE"),65,40)</f>
        <v>65</v>
      </c>
      <c r="Z74" s="19" t="str">
        <f t="shared" si="27"/>
        <v>—</v>
      </c>
      <c r="AA74" s="20">
        <f t="shared" si="28"/>
        <v>56</v>
      </c>
      <c r="AB74" s="21" t="str">
        <f t="shared" si="29"/>
        <v>—</v>
      </c>
      <c r="AC74" s="13" t="str">
        <f t="shared" si="30"/>
        <v>⬜  Pendiente de instrumento</v>
      </c>
      <c r="AD74" s="13" t="str">
        <f>IF(MATRIZ_174!U73="","",IF(MATRIZ_174!U73=0,"🚫  Inh. vigente OSCE",""))</f>
        <v/>
      </c>
      <c r="AE74" s="22">
        <f>IFERROR(MATRIZ_174!W73,0)</f>
        <v>1</v>
      </c>
      <c r="AF74" s="22" t="str">
        <f>IFERROR(MATRIZ_174!X73,0)</f>
        <v/>
      </c>
      <c r="AG74" s="22" t="str">
        <f>IFERROR(MATRIZ_174!Y73,0)</f>
        <v/>
      </c>
      <c r="AH74" s="22" t="str">
        <f>IFERROR(MATRIZ_174!Z73,0)</f>
        <v/>
      </c>
      <c r="AI74" s="17">
        <f>IFERROR(MATRIZ_174!AP73,"—")</f>
        <v>0.79166666666666663</v>
      </c>
      <c r="AJ74" s="17" t="str">
        <f>IFERROR(MATRIZ_174!AO73,"N/A")</f>
        <v>N/A</v>
      </c>
      <c r="AK74" s="23" t="str">
        <f t="shared" si="31"/>
        <v>N/A</v>
      </c>
      <c r="AL74" s="24" t="str">
        <f t="shared" si="32"/>
        <v>—</v>
      </c>
      <c r="AM74" t="str">
        <f>IFERROR(MATRIZ_174!AT73,"")</f>
        <v>parcial · 3/7 · D12-D15 0/4</v>
      </c>
    </row>
    <row r="75" spans="1:39" ht="16.05" customHeight="1" x14ac:dyDescent="0.3">
      <c r="A75" s="13" t="s">
        <v>227</v>
      </c>
      <c r="B75" s="14" t="s">
        <v>228</v>
      </c>
      <c r="C75" s="13" t="s">
        <v>137</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t="str">
        <f t="shared" si="23"/>
        <v/>
      </c>
      <c r="R75" s="17" t="str">
        <f t="shared" si="24"/>
        <v/>
      </c>
      <c r="S75" s="17" t="str">
        <f t="shared" si="25"/>
        <v/>
      </c>
      <c r="T75" s="17" t="str">
        <f>IF(ISNUMBER(MATRIZ_174!O74),IFERROR((K75+M75+MATRIZ_174!O74*100)/3,0),"")</f>
        <v/>
      </c>
      <c r="U75" s="18">
        <f>IF(ISNUMBER(MATRIZ_174!M74),MIN(100,ROUND(MATRIZ_174!M74,1)),"")</f>
        <v>50</v>
      </c>
      <c r="V75" s="18">
        <f t="shared" si="26"/>
        <v>50</v>
      </c>
      <c r="W75" s="18">
        <f>IFERROR(IF(MATRIZ_174!R74=0,65,IF(MATRIZ_174!R74/MATRIZ_174!Q74&gt;=2,35,IF(MATRIZ_174!R74/MATRIZ_174!Q74&gt;=0.5,50,65))),65)</f>
        <v>65</v>
      </c>
      <c r="X75" s="18" t="str">
        <f>IF(ISNUMBER(MATRIZ_174!O74),MIN(100,IF(MATRIZ_174!O74=0,70,30)+IF(MATRIZ_174!U74="",0,0.3*(100-MATRIZ_174!U74*100))),"")</f>
        <v/>
      </c>
      <c r="Y75" s="18">
        <f>IF(OR(MATRIZ_174!P74="ASOCIACION",MATRIZ_174!P74="PENDIENTE"),65,40)</f>
        <v>65</v>
      </c>
      <c r="Z75" s="19" t="str">
        <f t="shared" si="27"/>
        <v>—</v>
      </c>
      <c r="AA75" s="20">
        <f t="shared" si="28"/>
        <v>57.5</v>
      </c>
      <c r="AB75" s="21" t="str">
        <f t="shared" si="29"/>
        <v>—</v>
      </c>
      <c r="AC75" s="13" t="str">
        <f t="shared" si="30"/>
        <v>⬜  Pendiente de instrumento</v>
      </c>
      <c r="AD75" s="13" t="str">
        <f>IF(MATRIZ_174!U74="","",IF(MATRIZ_174!U74=0,"🚫  Inh. vigente OSCE",""))</f>
        <v/>
      </c>
      <c r="AE75" s="22">
        <f>IFERROR(MATRIZ_174!W74,0)</f>
        <v>1</v>
      </c>
      <c r="AF75" s="22" t="str">
        <f>IFERROR(MATRIZ_174!X74,0)</f>
        <v/>
      </c>
      <c r="AG75" s="22" t="str">
        <f>IFERROR(MATRIZ_174!Y74,0)</f>
        <v/>
      </c>
      <c r="AH75" s="22" t="str">
        <f>IFERROR(MATRIZ_174!Z74,0)</f>
        <v/>
      </c>
      <c r="AI75" s="17">
        <f>IFERROR(MATRIZ_174!AP74,"—")</f>
        <v>0.5</v>
      </c>
      <c r="AJ75" s="17" t="str">
        <f>IFERROR(MATRIZ_174!AO74,"N/A")</f>
        <v>N/A</v>
      </c>
      <c r="AK75" s="23" t="str">
        <f t="shared" si="31"/>
        <v>N/A</v>
      </c>
      <c r="AL75" s="24" t="str">
        <f t="shared" si="32"/>
        <v>—</v>
      </c>
      <c r="AM75" t="str">
        <f>IFERROR(MATRIZ_174!AT74,"")</f>
        <v>parcial · 2/7 · D12-D15 0/4</v>
      </c>
    </row>
    <row r="76" spans="1:39" ht="16.05" customHeight="1" x14ac:dyDescent="0.3">
      <c r="A76" s="13" t="s">
        <v>229</v>
      </c>
      <c r="B76" s="14" t="s">
        <v>230</v>
      </c>
      <c r="C76" s="13" t="s">
        <v>190</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t="str">
        <f t="shared" si="23"/>
        <v/>
      </c>
      <c r="R76" s="17" t="str">
        <f t="shared" si="24"/>
        <v/>
      </c>
      <c r="S76" s="17" t="str">
        <f t="shared" si="25"/>
        <v/>
      </c>
      <c r="T76" s="17" t="str">
        <f>IF(ISNUMBER(MATRIZ_174!O75),IFERROR((K76+M76+MATRIZ_174!O75*100)/3,0),"")</f>
        <v/>
      </c>
      <c r="U76" s="18" t="str">
        <f>IF(ISNUMBER(MATRIZ_174!M75),MIN(100,ROUND(MATRIZ_174!M75,1)),"")</f>
        <v/>
      </c>
      <c r="V76" s="18">
        <f t="shared" si="26"/>
        <v>50</v>
      </c>
      <c r="W76" s="18">
        <f>IFERROR(IF(MATRIZ_174!R75=0,65,IF(MATRIZ_174!R75/MATRIZ_174!Q75&gt;=2,35,IF(MATRIZ_174!R75/MATRIZ_174!Q75&gt;=0.5,50,65))),65)</f>
        <v>65</v>
      </c>
      <c r="X76" s="18" t="str">
        <f>IF(ISNUMBER(MATRIZ_174!O75),MIN(100,IF(MATRIZ_174!O75=0,70,30)+IF(MATRIZ_174!U75="",0,0.3*(100-MATRIZ_174!U75*100))),"")</f>
        <v/>
      </c>
      <c r="Y76" s="18">
        <f>IF(OR(MATRIZ_174!P75="ASOCIACION",MATRIZ_174!P75="PENDIENTE"),65,40)</f>
        <v>65</v>
      </c>
      <c r="Z76" s="19" t="str">
        <f t="shared" si="27"/>
        <v>—</v>
      </c>
      <c r="AA76" s="20">
        <f t="shared" si="28"/>
        <v>60</v>
      </c>
      <c r="AB76" s="21" t="str">
        <f t="shared" si="29"/>
        <v>—</v>
      </c>
      <c r="AC76" s="13" t="str">
        <f t="shared" si="30"/>
        <v>⬜  Pendiente de instrumento</v>
      </c>
      <c r="AD76" s="13" t="str">
        <f>IF(MATRIZ_174!U75="","",IF(MATRIZ_174!U75=0,"🚫  Inh. vigente OSCE",""))</f>
        <v/>
      </c>
      <c r="AE76" s="22" t="str">
        <f>IFERROR(MATRIZ_174!W75,0)</f>
        <v/>
      </c>
      <c r="AF76" s="22" t="str">
        <f>IFERROR(MATRIZ_174!X75,0)</f>
        <v/>
      </c>
      <c r="AG76" s="22" t="str">
        <f>IFERROR(MATRIZ_174!Y75,0)</f>
        <v/>
      </c>
      <c r="AH76" s="22" t="str">
        <f>IFERROR(MATRIZ_174!Z75,0)</f>
        <v/>
      </c>
      <c r="AI76" s="17" t="str">
        <f>IFERROR(MATRIZ_174!AP75,"—")</f>
        <v>—</v>
      </c>
      <c r="AJ76" s="17" t="str">
        <f>IFERROR(MATRIZ_174!AO75,"N/A")</f>
        <v>N/A</v>
      </c>
      <c r="AK76" s="23" t="str">
        <f t="shared" si="31"/>
        <v>N/A</v>
      </c>
      <c r="AL76" s="24" t="str">
        <f t="shared" si="32"/>
        <v>—</v>
      </c>
      <c r="AM76" t="str">
        <f>IFERROR(MATRIZ_174!AT75,"")</f>
        <v>sin dato</v>
      </c>
    </row>
    <row r="77" spans="1:39" ht="16.05" customHeight="1" x14ac:dyDescent="0.3">
      <c r="A77" s="13" t="s">
        <v>231</v>
      </c>
      <c r="B77" s="14" t="s">
        <v>232</v>
      </c>
      <c r="C77" s="13" t="s">
        <v>190</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t="str">
        <f t="shared" si="23"/>
        <v/>
      </c>
      <c r="R77" s="17" t="str">
        <f t="shared" si="24"/>
        <v/>
      </c>
      <c r="S77" s="17" t="str">
        <f t="shared" si="25"/>
        <v/>
      </c>
      <c r="T77" s="17" t="str">
        <f>IF(ISNUMBER(MATRIZ_174!O76),IFERROR((K77+M77+MATRIZ_174!O76*100)/3,0),"")</f>
        <v/>
      </c>
      <c r="U77" s="18" t="str">
        <f>IF(ISNUMBER(MATRIZ_174!M76),MIN(100,ROUND(MATRIZ_174!M76,1)),"")</f>
        <v/>
      </c>
      <c r="V77" s="18">
        <f t="shared" si="26"/>
        <v>50</v>
      </c>
      <c r="W77" s="18">
        <f>IFERROR(IF(MATRIZ_174!R76=0,65,IF(MATRIZ_174!R76/MATRIZ_174!Q76&gt;=2,35,IF(MATRIZ_174!R76/MATRIZ_174!Q76&gt;=0.5,50,65))),65)</f>
        <v>65</v>
      </c>
      <c r="X77" s="18" t="str">
        <f>IF(ISNUMBER(MATRIZ_174!O76),MIN(100,IF(MATRIZ_174!O76=0,70,30)+IF(MATRIZ_174!U76="",0,0.3*(100-MATRIZ_174!U76*100))),"")</f>
        <v/>
      </c>
      <c r="Y77" s="18">
        <f>IF(OR(MATRIZ_174!P76="ASOCIACION",MATRIZ_174!P76="PENDIENTE"),65,40)</f>
        <v>65</v>
      </c>
      <c r="Z77" s="19" t="str">
        <f t="shared" si="27"/>
        <v>—</v>
      </c>
      <c r="AA77" s="20">
        <f t="shared" si="28"/>
        <v>60</v>
      </c>
      <c r="AB77" s="21" t="str">
        <f t="shared" si="29"/>
        <v>—</v>
      </c>
      <c r="AC77" s="13" t="str">
        <f t="shared" si="30"/>
        <v>⬜  Pendiente de instrumento</v>
      </c>
      <c r="AD77" s="13" t="str">
        <f>IF(MATRIZ_174!U76="","",IF(MATRIZ_174!U76=0,"🚫  Inh. vigente OSCE",""))</f>
        <v/>
      </c>
      <c r="AE77" s="22" t="str">
        <f>IFERROR(MATRIZ_174!W76,0)</f>
        <v/>
      </c>
      <c r="AF77" s="22" t="str">
        <f>IFERROR(MATRIZ_174!X76,0)</f>
        <v/>
      </c>
      <c r="AG77" s="22" t="str">
        <f>IFERROR(MATRIZ_174!Y76,0)</f>
        <v/>
      </c>
      <c r="AH77" s="22" t="str">
        <f>IFERROR(MATRIZ_174!Z76,0)</f>
        <v/>
      </c>
      <c r="AI77" s="17" t="str">
        <f>IFERROR(MATRIZ_174!AP76,"—")</f>
        <v>—</v>
      </c>
      <c r="AJ77" s="17" t="str">
        <f>IFERROR(MATRIZ_174!AO76,"N/A")</f>
        <v>N/A</v>
      </c>
      <c r="AK77" s="23" t="str">
        <f t="shared" si="31"/>
        <v>N/A</v>
      </c>
      <c r="AL77" s="24" t="str">
        <f t="shared" si="32"/>
        <v>—</v>
      </c>
      <c r="AM77" t="str">
        <f>IFERROR(MATRIZ_174!AT76,"")</f>
        <v>sin dato</v>
      </c>
    </row>
    <row r="78" spans="1:39" ht="16.05" customHeight="1" x14ac:dyDescent="0.3">
      <c r="A78" s="13" t="s">
        <v>233</v>
      </c>
      <c r="B78" s="14" t="s">
        <v>234</v>
      </c>
      <c r="C78" s="13" t="s">
        <v>148</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t="str">
        <f t="shared" si="23"/>
        <v/>
      </c>
      <c r="R78" s="17" t="str">
        <f t="shared" si="24"/>
        <v/>
      </c>
      <c r="S78" s="17" t="str">
        <f t="shared" si="25"/>
        <v/>
      </c>
      <c r="T78" s="17" t="str">
        <f>IF(ISNUMBER(MATRIZ_174!O77),IFERROR((K78+M78+MATRIZ_174!O77*100)/3,0),"")</f>
        <v/>
      </c>
      <c r="U78" s="18">
        <f>IF(ISNUMBER(MATRIZ_174!M77),MIN(100,ROUND(MATRIZ_174!M77,1)),"")</f>
        <v>50</v>
      </c>
      <c r="V78" s="18">
        <f t="shared" si="26"/>
        <v>50</v>
      </c>
      <c r="W78" s="18">
        <f>IFERROR(IF(MATRIZ_174!R77=0,65,IF(MATRIZ_174!R77/MATRIZ_174!Q77&gt;=2,35,IF(MATRIZ_174!R77/MATRIZ_174!Q77&gt;=0.5,50,65))),65)</f>
        <v>65</v>
      </c>
      <c r="X78" s="18" t="str">
        <f>IF(ISNUMBER(MATRIZ_174!O77),MIN(100,IF(MATRIZ_174!O77=0,70,30)+IF(MATRIZ_174!U77="",0,0.3*(100-MATRIZ_174!U77*100))),"")</f>
        <v/>
      </c>
      <c r="Y78" s="18">
        <f>IF(OR(MATRIZ_174!P77="ASOCIACION",MATRIZ_174!P77="PENDIENTE"),65,40)</f>
        <v>65</v>
      </c>
      <c r="Z78" s="19" t="str">
        <f t="shared" si="27"/>
        <v>—</v>
      </c>
      <c r="AA78" s="20">
        <f t="shared" si="28"/>
        <v>57.5</v>
      </c>
      <c r="AB78" s="21" t="str">
        <f t="shared" si="29"/>
        <v>—</v>
      </c>
      <c r="AC78" s="13" t="str">
        <f t="shared" si="30"/>
        <v>⬜  Pendiente de instrumento</v>
      </c>
      <c r="AD78" s="13" t="str">
        <f>IF(MATRIZ_174!U77="","",IF(MATRIZ_174!U77=0,"🚫  Inh. vigente OSCE",""))</f>
        <v/>
      </c>
      <c r="AE78" s="22">
        <f>IFERROR(MATRIZ_174!W77,0)</f>
        <v>1</v>
      </c>
      <c r="AF78" s="22" t="str">
        <f>IFERROR(MATRIZ_174!X77,0)</f>
        <v/>
      </c>
      <c r="AG78" s="22" t="str">
        <f>IFERROR(MATRIZ_174!Y77,0)</f>
        <v/>
      </c>
      <c r="AH78" s="22" t="str">
        <f>IFERROR(MATRIZ_174!Z77,0)</f>
        <v/>
      </c>
      <c r="AI78" s="17">
        <f>IFERROR(MATRIZ_174!AP77,"—")</f>
        <v>0.5</v>
      </c>
      <c r="AJ78" s="17" t="str">
        <f>IFERROR(MATRIZ_174!AO77,"N/A")</f>
        <v>N/A</v>
      </c>
      <c r="AK78" s="23" t="str">
        <f t="shared" si="31"/>
        <v>N/A</v>
      </c>
      <c r="AL78" s="24" t="str">
        <f t="shared" si="32"/>
        <v>—</v>
      </c>
      <c r="AM78" t="str">
        <f>IFERROR(MATRIZ_174!AT77,"")</f>
        <v>parcial · 2/7 · D12-D15 0/4</v>
      </c>
    </row>
    <row r="79" spans="1:39" ht="16.05" customHeight="1" x14ac:dyDescent="0.3">
      <c r="A79" s="13" t="s">
        <v>235</v>
      </c>
      <c r="B79" s="14" t="s">
        <v>236</v>
      </c>
      <c r="C79" s="13" t="s">
        <v>117</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t="str">
        <f t="shared" si="23"/>
        <v/>
      </c>
      <c r="R79" s="17" t="str">
        <f t="shared" si="24"/>
        <v/>
      </c>
      <c r="S79" s="17" t="str">
        <f t="shared" si="25"/>
        <v/>
      </c>
      <c r="T79" s="17" t="str">
        <f>IF(ISNUMBER(MATRIZ_174!O78),IFERROR((K79+M79+MATRIZ_174!O78*100)/3,0),"")</f>
        <v/>
      </c>
      <c r="U79" s="18" t="str">
        <f>IF(ISNUMBER(MATRIZ_174!M78),MIN(100,ROUND(MATRIZ_174!M78,1)),"")</f>
        <v/>
      </c>
      <c r="V79" s="18">
        <f t="shared" si="26"/>
        <v>50</v>
      </c>
      <c r="W79" s="18">
        <f>IFERROR(IF(MATRIZ_174!R78=0,65,IF(MATRIZ_174!R78/MATRIZ_174!Q78&gt;=2,35,IF(MATRIZ_174!R78/MATRIZ_174!Q78&gt;=0.5,50,65))),65)</f>
        <v>65</v>
      </c>
      <c r="X79" s="18" t="str">
        <f>IF(ISNUMBER(MATRIZ_174!O78),MIN(100,IF(MATRIZ_174!O78=0,70,30)+IF(MATRIZ_174!U78="",0,0.3*(100-MATRIZ_174!U78*100))),"")</f>
        <v/>
      </c>
      <c r="Y79" s="18">
        <f>IF(OR(MATRIZ_174!P78="ASOCIACION",MATRIZ_174!P78="PENDIENTE"),65,40)</f>
        <v>65</v>
      </c>
      <c r="Z79" s="19" t="str">
        <f t="shared" si="27"/>
        <v>—</v>
      </c>
      <c r="AA79" s="20">
        <f t="shared" si="28"/>
        <v>60</v>
      </c>
      <c r="AB79" s="21" t="str">
        <f t="shared" si="29"/>
        <v>—</v>
      </c>
      <c r="AC79" s="13" t="str">
        <f t="shared" si="30"/>
        <v>⬜  Pendiente de instrumento</v>
      </c>
      <c r="AD79" s="13" t="str">
        <f>IF(MATRIZ_174!U78="","",IF(MATRIZ_174!U78=0,"🚫  Inh. vigente OSCE",""))</f>
        <v/>
      </c>
      <c r="AE79" s="22" t="str">
        <f>IFERROR(MATRIZ_174!W78,0)</f>
        <v/>
      </c>
      <c r="AF79" s="22" t="str">
        <f>IFERROR(MATRIZ_174!X78,0)</f>
        <v/>
      </c>
      <c r="AG79" s="22" t="str">
        <f>IFERROR(MATRIZ_174!Y78,0)</f>
        <v/>
      </c>
      <c r="AH79" s="22" t="str">
        <f>IFERROR(MATRIZ_174!Z78,0)</f>
        <v/>
      </c>
      <c r="AI79" s="17" t="str">
        <f>IFERROR(MATRIZ_174!AP78,"—")</f>
        <v>—</v>
      </c>
      <c r="AJ79" s="17" t="str">
        <f>IFERROR(MATRIZ_174!AO78,"N/A")</f>
        <v>N/A</v>
      </c>
      <c r="AK79" s="23" t="str">
        <f t="shared" si="31"/>
        <v>N/A</v>
      </c>
      <c r="AL79" s="24" t="str">
        <f t="shared" si="32"/>
        <v>—</v>
      </c>
      <c r="AM79" t="str">
        <f>IFERROR(MATRIZ_174!AT78,"")</f>
        <v>sin dato</v>
      </c>
    </row>
    <row r="80" spans="1:39" ht="16.05" customHeight="1" x14ac:dyDescent="0.3">
      <c r="A80" s="13" t="s">
        <v>237</v>
      </c>
      <c r="B80" s="14" t="s">
        <v>238</v>
      </c>
      <c r="C80" s="13" t="s">
        <v>239</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t="str">
        <f t="shared" si="23"/>
        <v/>
      </c>
      <c r="R80" s="17" t="str">
        <f t="shared" si="24"/>
        <v/>
      </c>
      <c r="S80" s="17" t="str">
        <f t="shared" si="25"/>
        <v/>
      </c>
      <c r="T80" s="17" t="str">
        <f>IF(ISNUMBER(MATRIZ_174!O79),IFERROR((K80+M80+MATRIZ_174!O79*100)/3,0),"")</f>
        <v/>
      </c>
      <c r="U80" s="18" t="str">
        <f>IF(ISNUMBER(MATRIZ_174!M79),MIN(100,ROUND(MATRIZ_174!M79,1)),"")</f>
        <v/>
      </c>
      <c r="V80" s="18">
        <f t="shared" si="26"/>
        <v>50</v>
      </c>
      <c r="W80" s="18">
        <f>IFERROR(IF(MATRIZ_174!R79=0,65,IF(MATRIZ_174!R79/MATRIZ_174!Q79&gt;=2,35,IF(MATRIZ_174!R79/MATRIZ_174!Q79&gt;=0.5,50,65))),65)</f>
        <v>65</v>
      </c>
      <c r="X80" s="18" t="str">
        <f>IF(ISNUMBER(MATRIZ_174!O79),MIN(100,IF(MATRIZ_174!O79=0,70,30)+IF(MATRIZ_174!U79="",0,0.3*(100-MATRIZ_174!U79*100))),"")</f>
        <v/>
      </c>
      <c r="Y80" s="18">
        <f>IF(OR(MATRIZ_174!P79="ASOCIACION",MATRIZ_174!P79="PENDIENTE"),65,40)</f>
        <v>65</v>
      </c>
      <c r="Z80" s="19" t="str">
        <f t="shared" si="27"/>
        <v>—</v>
      </c>
      <c r="AA80" s="20">
        <f t="shared" si="28"/>
        <v>60</v>
      </c>
      <c r="AB80" s="21" t="str">
        <f t="shared" si="29"/>
        <v>—</v>
      </c>
      <c r="AC80" s="13" t="str">
        <f t="shared" si="30"/>
        <v>⬜  Pendiente de instrumento</v>
      </c>
      <c r="AD80" s="13" t="str">
        <f>IF(MATRIZ_174!U79="","",IF(MATRIZ_174!U79=0,"🚫  Inh. vigente OSCE",""))</f>
        <v/>
      </c>
      <c r="AE80" s="22" t="str">
        <f>IFERROR(MATRIZ_174!W79,0)</f>
        <v/>
      </c>
      <c r="AF80" s="22" t="str">
        <f>IFERROR(MATRIZ_174!X79,0)</f>
        <v/>
      </c>
      <c r="AG80" s="22" t="str">
        <f>IFERROR(MATRIZ_174!Y79,0)</f>
        <v/>
      </c>
      <c r="AH80" s="22" t="str">
        <f>IFERROR(MATRIZ_174!Z79,0)</f>
        <v/>
      </c>
      <c r="AI80" s="17" t="str">
        <f>IFERROR(MATRIZ_174!AP79,"—")</f>
        <v>—</v>
      </c>
      <c r="AJ80" s="17" t="str">
        <f>IFERROR(MATRIZ_174!AO79,"N/A")</f>
        <v>N/A</v>
      </c>
      <c r="AK80" s="23" t="str">
        <f t="shared" si="31"/>
        <v>N/A</v>
      </c>
      <c r="AL80" s="24" t="str">
        <f t="shared" si="32"/>
        <v>—</v>
      </c>
      <c r="AM80" t="str">
        <f>IFERROR(MATRIZ_174!AT79,"")</f>
        <v>sin dato</v>
      </c>
    </row>
    <row r="81" spans="1:39" ht="16.05" customHeight="1" x14ac:dyDescent="0.3">
      <c r="A81" s="13" t="s">
        <v>240</v>
      </c>
      <c r="B81" s="14" t="s">
        <v>241</v>
      </c>
      <c r="C81" s="13" t="s">
        <v>110</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t="str">
        <f t="shared" si="23"/>
        <v/>
      </c>
      <c r="R81" s="17" t="str">
        <f t="shared" si="24"/>
        <v/>
      </c>
      <c r="S81" s="17" t="str">
        <f t="shared" si="25"/>
        <v/>
      </c>
      <c r="T81" s="17">
        <f>IF(ISNUMBER(MATRIZ_174!O80),IFERROR((K81+M81+MATRIZ_174!O80*100)/3,0),"")</f>
        <v>0</v>
      </c>
      <c r="U81" s="18" t="str">
        <f>IF(ISNUMBER(MATRIZ_174!M80),MIN(100,ROUND(MATRIZ_174!M80,1)),"")</f>
        <v/>
      </c>
      <c r="V81" s="18">
        <f t="shared" si="26"/>
        <v>50</v>
      </c>
      <c r="W81" s="18">
        <f>IFERROR(IF(MATRIZ_174!R80=0,65,IF(MATRIZ_174!R80/MATRIZ_174!Q80&gt;=2,35,IF(MATRIZ_174!R80/MATRIZ_174!Q80&gt;=0.5,50,65))),65)</f>
        <v>35</v>
      </c>
      <c r="X81" s="18">
        <f>IF(ISNUMBER(MATRIZ_174!O80),MIN(100,IF(MATRIZ_174!O80=0,70,30)+IF(MATRIZ_174!U80="",0,0.3*(100-MATRIZ_174!U80*100))),"")</f>
        <v>30</v>
      </c>
      <c r="Y81" s="18">
        <f>IF(OR(MATRIZ_174!P80="ASOCIACION",MATRIZ_174!P80="PENDIENTE"),65,40)</f>
        <v>65</v>
      </c>
      <c r="Z81" s="19" t="str">
        <f t="shared" si="27"/>
        <v>—</v>
      </c>
      <c r="AA81" s="20">
        <f t="shared" si="28"/>
        <v>45</v>
      </c>
      <c r="AB81" s="21" t="str">
        <f t="shared" si="29"/>
        <v>—</v>
      </c>
      <c r="AC81" s="13" t="str">
        <f t="shared" si="30"/>
        <v>⬜  Pendiente de instrumento</v>
      </c>
      <c r="AD81" s="13" t="str">
        <f>IF(MATRIZ_174!U80="","",IF(MATRIZ_174!U80=0,"🚫  Inh. vigente OSCE",""))</f>
        <v/>
      </c>
      <c r="AE81" s="22">
        <f>IFERROR(MATRIZ_174!W80,0)</f>
        <v>1</v>
      </c>
      <c r="AF81" s="22" t="str">
        <f>IFERROR(MATRIZ_174!X80,0)</f>
        <v/>
      </c>
      <c r="AG81" s="22" t="str">
        <f>IFERROR(MATRIZ_174!Y80,0)</f>
        <v/>
      </c>
      <c r="AH81" s="22" t="str">
        <f>IFERROR(MATRIZ_174!Z80,0)</f>
        <v/>
      </c>
      <c r="AI81" s="17">
        <f>IFERROR(MATRIZ_174!AP80,"—")</f>
        <v>0.52857142857142858</v>
      </c>
      <c r="AJ81" s="17" t="str">
        <f>IFERROR(MATRIZ_174!AO80,"N/A")</f>
        <v>N/A</v>
      </c>
      <c r="AK81" s="23" t="str">
        <f t="shared" si="31"/>
        <v>N/A</v>
      </c>
      <c r="AL81" s="24" t="str">
        <f t="shared" si="32"/>
        <v>—</v>
      </c>
      <c r="AM81" t="str">
        <f>IFERROR(MATRIZ_174!AT80,"")</f>
        <v>parcial · 2/7 · D12-D15 0/4</v>
      </c>
    </row>
    <row r="82" spans="1:39" ht="16.05" customHeight="1" x14ac:dyDescent="0.3">
      <c r="A82" s="13" t="s">
        <v>243</v>
      </c>
      <c r="B82" s="14" t="s">
        <v>244</v>
      </c>
      <c r="C82" s="13" t="s">
        <v>78</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t="str">
        <f t="shared" si="23"/>
        <v/>
      </c>
      <c r="R82" s="17" t="str">
        <f t="shared" si="24"/>
        <v/>
      </c>
      <c r="S82" s="17" t="str">
        <f t="shared" si="25"/>
        <v/>
      </c>
      <c r="T82" s="17" t="str">
        <f>IF(ISNUMBER(MATRIZ_174!O81),IFERROR((K82+M82+MATRIZ_174!O81*100)/3,0),"")</f>
        <v/>
      </c>
      <c r="U82" s="18" t="str">
        <f>IF(ISNUMBER(MATRIZ_174!M81),MIN(100,ROUND(MATRIZ_174!M81,1)),"")</f>
        <v/>
      </c>
      <c r="V82" s="18">
        <f t="shared" si="26"/>
        <v>50</v>
      </c>
      <c r="W82" s="18">
        <f>IFERROR(IF(MATRIZ_174!R81=0,65,IF(MATRIZ_174!R81/MATRIZ_174!Q81&gt;=2,35,IF(MATRIZ_174!R81/MATRIZ_174!Q81&gt;=0.5,50,65))),65)</f>
        <v>65</v>
      </c>
      <c r="X82" s="18" t="str">
        <f>IF(ISNUMBER(MATRIZ_174!O81),MIN(100,IF(MATRIZ_174!O81=0,70,30)+IF(MATRIZ_174!U81="",0,0.3*(100-MATRIZ_174!U81*100))),"")</f>
        <v/>
      </c>
      <c r="Y82" s="18">
        <f>IF(OR(MATRIZ_174!P81="ASOCIACION",MATRIZ_174!P81="PENDIENTE"),65,40)</f>
        <v>65</v>
      </c>
      <c r="Z82" s="19" t="str">
        <f t="shared" si="27"/>
        <v>—</v>
      </c>
      <c r="AA82" s="20">
        <f t="shared" si="28"/>
        <v>60</v>
      </c>
      <c r="AB82" s="21" t="str">
        <f t="shared" si="29"/>
        <v>—</v>
      </c>
      <c r="AC82" s="13" t="str">
        <f t="shared" si="30"/>
        <v>⬜  Pendiente de instrumento</v>
      </c>
      <c r="AD82" s="13" t="str">
        <f>IF(MATRIZ_174!U81="","",IF(MATRIZ_174!U81=0,"🚫  Inh. vigente OSCE",""))</f>
        <v/>
      </c>
      <c r="AE82" s="22" t="str">
        <f>IFERROR(MATRIZ_174!W81,0)</f>
        <v/>
      </c>
      <c r="AF82" s="22" t="str">
        <f>IFERROR(MATRIZ_174!X81,0)</f>
        <v/>
      </c>
      <c r="AG82" s="22" t="str">
        <f>IFERROR(MATRIZ_174!Y81,0)</f>
        <v/>
      </c>
      <c r="AH82" s="22" t="str">
        <f>IFERROR(MATRIZ_174!Z81,0)</f>
        <v/>
      </c>
      <c r="AI82" s="17" t="str">
        <f>IFERROR(MATRIZ_174!AP81,"—")</f>
        <v>—</v>
      </c>
      <c r="AJ82" s="17" t="str">
        <f>IFERROR(MATRIZ_174!AO81,"N/A")</f>
        <v>N/A</v>
      </c>
      <c r="AK82" s="23" t="str">
        <f t="shared" si="31"/>
        <v>N/A</v>
      </c>
      <c r="AL82" s="24" t="str">
        <f t="shared" si="32"/>
        <v>—</v>
      </c>
      <c r="AM82" t="str">
        <f>IFERROR(MATRIZ_174!AT81,"")</f>
        <v>sin dato</v>
      </c>
    </row>
    <row r="83" spans="1:39" ht="16.05" customHeight="1" x14ac:dyDescent="0.3">
      <c r="A83" s="13" t="s">
        <v>245</v>
      </c>
      <c r="B83" s="14" t="s">
        <v>246</v>
      </c>
      <c r="C83" s="13" t="s">
        <v>247</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t="str">
        <f t="shared" si="23"/>
        <v/>
      </c>
      <c r="R83" s="17" t="str">
        <f t="shared" si="24"/>
        <v/>
      </c>
      <c r="S83" s="17" t="str">
        <f t="shared" si="25"/>
        <v/>
      </c>
      <c r="T83" s="17" t="str">
        <f>IF(ISNUMBER(MATRIZ_174!O82),IFERROR((K83+M83+MATRIZ_174!O82*100)/3,0),"")</f>
        <v/>
      </c>
      <c r="U83" s="18">
        <f>IF(ISNUMBER(MATRIZ_174!M82),MIN(100,ROUND(MATRIZ_174!M82,1)),"")</f>
        <v>50</v>
      </c>
      <c r="V83" s="18">
        <f t="shared" si="26"/>
        <v>50</v>
      </c>
      <c r="W83" s="18">
        <f>IFERROR(IF(MATRIZ_174!R82=0,65,IF(MATRIZ_174!R82/MATRIZ_174!Q82&gt;=2,35,IF(MATRIZ_174!R82/MATRIZ_174!Q82&gt;=0.5,50,65))),65)</f>
        <v>65</v>
      </c>
      <c r="X83" s="18" t="str">
        <f>IF(ISNUMBER(MATRIZ_174!O82),MIN(100,IF(MATRIZ_174!O82=0,70,30)+IF(MATRIZ_174!U82="",0,0.3*(100-MATRIZ_174!U82*100))),"")</f>
        <v/>
      </c>
      <c r="Y83" s="18">
        <f>IF(OR(MATRIZ_174!P82="ASOCIACION",MATRIZ_174!P82="PENDIENTE"),65,40)</f>
        <v>65</v>
      </c>
      <c r="Z83" s="19" t="str">
        <f t="shared" si="27"/>
        <v>—</v>
      </c>
      <c r="AA83" s="20">
        <f t="shared" si="28"/>
        <v>57.5</v>
      </c>
      <c r="AB83" s="21" t="str">
        <f t="shared" si="29"/>
        <v>—</v>
      </c>
      <c r="AC83" s="13" t="str">
        <f t="shared" si="30"/>
        <v>⬜  Pendiente de instrumento</v>
      </c>
      <c r="AD83" s="13" t="str">
        <f>IF(MATRIZ_174!U82="","",IF(MATRIZ_174!U82=0,"🚫  Inh. vigente OSCE",""))</f>
        <v/>
      </c>
      <c r="AE83" s="22">
        <f>IFERROR(MATRIZ_174!W82,0)</f>
        <v>1</v>
      </c>
      <c r="AF83" s="22" t="str">
        <f>IFERROR(MATRIZ_174!X82,0)</f>
        <v/>
      </c>
      <c r="AG83" s="22" t="str">
        <f>IFERROR(MATRIZ_174!Y82,0)</f>
        <v/>
      </c>
      <c r="AH83" s="22" t="str">
        <f>IFERROR(MATRIZ_174!Z82,0)</f>
        <v/>
      </c>
      <c r="AI83" s="17">
        <f>IFERROR(MATRIZ_174!AP82,"—")</f>
        <v>0.5</v>
      </c>
      <c r="AJ83" s="17" t="str">
        <f>IFERROR(MATRIZ_174!AO82,"N/A")</f>
        <v>N/A</v>
      </c>
      <c r="AK83" s="23" t="str">
        <f t="shared" si="31"/>
        <v>N/A</v>
      </c>
      <c r="AL83" s="24" t="str">
        <f t="shared" si="32"/>
        <v>—</v>
      </c>
      <c r="AM83" t="str">
        <f>IFERROR(MATRIZ_174!AT82,"")</f>
        <v>parcial · 2/7 · D12-D15 0/4</v>
      </c>
    </row>
    <row r="84" spans="1:39" ht="16.05" customHeight="1" x14ac:dyDescent="0.3">
      <c r="A84" s="13" t="s">
        <v>248</v>
      </c>
      <c r="B84" s="14" t="s">
        <v>249</v>
      </c>
      <c r="C84" s="13" t="s">
        <v>247</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t="str">
        <f t="shared" si="23"/>
        <v/>
      </c>
      <c r="R84" s="17" t="str">
        <f t="shared" si="24"/>
        <v/>
      </c>
      <c r="S84" s="17" t="str">
        <f t="shared" si="25"/>
        <v/>
      </c>
      <c r="T84" s="17" t="str">
        <f>IF(ISNUMBER(MATRIZ_174!O83),IFERROR((K84+M84+MATRIZ_174!O83*100)/3,0),"")</f>
        <v/>
      </c>
      <c r="U84" s="18" t="str">
        <f>IF(ISNUMBER(MATRIZ_174!M83),MIN(100,ROUND(MATRIZ_174!M83,1)),"")</f>
        <v/>
      </c>
      <c r="V84" s="18">
        <f t="shared" si="26"/>
        <v>50</v>
      </c>
      <c r="W84" s="18">
        <f>IFERROR(IF(MATRIZ_174!R83=0,65,IF(MATRIZ_174!R83/MATRIZ_174!Q83&gt;=2,35,IF(MATRIZ_174!R83/MATRIZ_174!Q83&gt;=0.5,50,65))),65)</f>
        <v>65</v>
      </c>
      <c r="X84" s="18" t="str">
        <f>IF(ISNUMBER(MATRIZ_174!O83),MIN(100,IF(MATRIZ_174!O83=0,70,30)+IF(MATRIZ_174!U83="",0,0.3*(100-MATRIZ_174!U83*100))),"")</f>
        <v/>
      </c>
      <c r="Y84" s="18">
        <f>IF(OR(MATRIZ_174!P83="ASOCIACION",MATRIZ_174!P83="PENDIENTE"),65,40)</f>
        <v>65</v>
      </c>
      <c r="Z84" s="19" t="str">
        <f t="shared" si="27"/>
        <v>—</v>
      </c>
      <c r="AA84" s="20">
        <f t="shared" si="28"/>
        <v>60</v>
      </c>
      <c r="AB84" s="21" t="str">
        <f t="shared" si="29"/>
        <v>—</v>
      </c>
      <c r="AC84" s="13" t="str">
        <f t="shared" si="30"/>
        <v>⬜  Pendiente de instrumento</v>
      </c>
      <c r="AD84" s="13" t="str">
        <f>IF(MATRIZ_174!U83="","",IF(MATRIZ_174!U83=0,"🚫  Inh. vigente OSCE",""))</f>
        <v/>
      </c>
      <c r="AE84" s="22" t="str">
        <f>IFERROR(MATRIZ_174!W83,0)</f>
        <v/>
      </c>
      <c r="AF84" s="22" t="str">
        <f>IFERROR(MATRIZ_174!X83,0)</f>
        <v/>
      </c>
      <c r="AG84" s="22" t="str">
        <f>IFERROR(MATRIZ_174!Y83,0)</f>
        <v/>
      </c>
      <c r="AH84" s="22" t="str">
        <f>IFERROR(MATRIZ_174!Z83,0)</f>
        <v/>
      </c>
      <c r="AI84" s="17" t="str">
        <f>IFERROR(MATRIZ_174!AP83,"—")</f>
        <v>—</v>
      </c>
      <c r="AJ84" s="17" t="str">
        <f>IFERROR(MATRIZ_174!AO83,"N/A")</f>
        <v>N/A</v>
      </c>
      <c r="AK84" s="23" t="str">
        <f t="shared" si="31"/>
        <v>N/A</v>
      </c>
      <c r="AL84" s="24" t="str">
        <f t="shared" si="32"/>
        <v>—</v>
      </c>
      <c r="AM84" t="str">
        <f>IFERROR(MATRIZ_174!AT83,"")</f>
        <v>sin dato</v>
      </c>
    </row>
    <row r="85" spans="1:39" ht="16.05" customHeight="1" x14ac:dyDescent="0.3">
      <c r="A85" s="13" t="s">
        <v>250</v>
      </c>
      <c r="B85" s="14" t="s">
        <v>251</v>
      </c>
      <c r="C85" s="13" t="s">
        <v>75</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t="str">
        <f t="shared" si="23"/>
        <v/>
      </c>
      <c r="R85" s="17" t="str">
        <f t="shared" si="24"/>
        <v/>
      </c>
      <c r="S85" s="17" t="str">
        <f t="shared" si="25"/>
        <v/>
      </c>
      <c r="T85" s="17" t="str">
        <f>IF(ISNUMBER(MATRIZ_174!O84),IFERROR((K85+M85+MATRIZ_174!O84*100)/3,0),"")</f>
        <v/>
      </c>
      <c r="U85" s="18">
        <f>IF(ISNUMBER(MATRIZ_174!M84),MIN(100,ROUND(MATRIZ_174!M84,1)),"")</f>
        <v>0</v>
      </c>
      <c r="V85" s="18">
        <f t="shared" si="26"/>
        <v>50</v>
      </c>
      <c r="W85" s="18">
        <f>IFERROR(IF(MATRIZ_174!R84=0,65,IF(MATRIZ_174!R84/MATRIZ_174!Q84&gt;=2,35,IF(MATRIZ_174!R84/MATRIZ_174!Q84&gt;=0.5,50,65))),65)</f>
        <v>65</v>
      </c>
      <c r="X85" s="18" t="str">
        <f>IF(ISNUMBER(MATRIZ_174!O84),MIN(100,IF(MATRIZ_174!O84=0,70,30)+IF(MATRIZ_174!U84="",0,0.3*(100-MATRIZ_174!U84*100))),"")</f>
        <v/>
      </c>
      <c r="Y85" s="18">
        <f>IF(OR(MATRIZ_174!P84="ASOCIACION",MATRIZ_174!P84="PENDIENTE"),65,40)</f>
        <v>65</v>
      </c>
      <c r="Z85" s="19" t="str">
        <f t="shared" si="27"/>
        <v>—</v>
      </c>
      <c r="AA85" s="20">
        <f t="shared" si="28"/>
        <v>45</v>
      </c>
      <c r="AB85" s="21" t="str">
        <f t="shared" si="29"/>
        <v>—</v>
      </c>
      <c r="AC85" s="13" t="str">
        <f t="shared" si="30"/>
        <v>⬜  Pendiente de instrumento</v>
      </c>
      <c r="AD85" s="13" t="str">
        <f>IF(MATRIZ_174!U84="","",IF(MATRIZ_174!U84=0,"🚫  Inh. vigente OSCE",""))</f>
        <v/>
      </c>
      <c r="AE85" s="22" t="str">
        <f>IFERROR(MATRIZ_174!W84,0)</f>
        <v/>
      </c>
      <c r="AF85" s="22" t="str">
        <f>IFERROR(MATRIZ_174!X84,0)</f>
        <v/>
      </c>
      <c r="AG85" s="22" t="str">
        <f>IFERROR(MATRIZ_174!Y84,0)</f>
        <v/>
      </c>
      <c r="AH85" s="22" t="str">
        <f>IFERROR(MATRIZ_174!Z84,0)</f>
        <v/>
      </c>
      <c r="AI85" s="17">
        <f>IFERROR(MATRIZ_174!AP84,"—")</f>
        <v>0</v>
      </c>
      <c r="AJ85" s="17" t="str">
        <f>IFERROR(MATRIZ_174!AO84,"N/A")</f>
        <v>N/A</v>
      </c>
      <c r="AK85" s="23" t="str">
        <f t="shared" si="31"/>
        <v>N/A</v>
      </c>
      <c r="AL85" s="24" t="str">
        <f t="shared" si="32"/>
        <v>—</v>
      </c>
      <c r="AM85" t="str">
        <f>IFERROR(MATRIZ_174!AT84,"")</f>
        <v>parcial · 1/7 · D12-D15 0/4</v>
      </c>
    </row>
    <row r="86" spans="1:39" ht="16.05" customHeight="1" x14ac:dyDescent="0.3">
      <c r="A86" s="13" t="s">
        <v>252</v>
      </c>
      <c r="B86" s="14" t="s">
        <v>253</v>
      </c>
      <c r="C86" s="13" t="s">
        <v>75</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t="str">
        <f t="shared" si="23"/>
        <v/>
      </c>
      <c r="R86" s="17" t="str">
        <f t="shared" si="24"/>
        <v/>
      </c>
      <c r="S86" s="17" t="str">
        <f t="shared" si="25"/>
        <v/>
      </c>
      <c r="T86" s="17" t="str">
        <f>IF(ISNUMBER(MATRIZ_174!O85),IFERROR((K86+M86+MATRIZ_174!O85*100)/3,0),"")</f>
        <v/>
      </c>
      <c r="U86" s="18">
        <f>IF(ISNUMBER(MATRIZ_174!M85),MIN(100,ROUND(MATRIZ_174!M85,1)),"")</f>
        <v>50</v>
      </c>
      <c r="V86" s="18">
        <f t="shared" si="26"/>
        <v>50</v>
      </c>
      <c r="W86" s="18">
        <f>IFERROR(IF(MATRIZ_174!R85=0,65,IF(MATRIZ_174!R85/MATRIZ_174!Q85&gt;=2,35,IF(MATRIZ_174!R85/MATRIZ_174!Q85&gt;=0.5,50,65))),65)</f>
        <v>65</v>
      </c>
      <c r="X86" s="18" t="str">
        <f>IF(ISNUMBER(MATRIZ_174!O85),MIN(100,IF(MATRIZ_174!O85=0,70,30)+IF(MATRIZ_174!U85="",0,0.3*(100-MATRIZ_174!U85*100))),"")</f>
        <v/>
      </c>
      <c r="Y86" s="18">
        <f>IF(OR(MATRIZ_174!P85="ASOCIACION",MATRIZ_174!P85="PENDIENTE"),65,40)</f>
        <v>65</v>
      </c>
      <c r="Z86" s="19" t="str">
        <f t="shared" si="27"/>
        <v>—</v>
      </c>
      <c r="AA86" s="20">
        <f t="shared" si="28"/>
        <v>57.5</v>
      </c>
      <c r="AB86" s="21" t="str">
        <f t="shared" si="29"/>
        <v>—</v>
      </c>
      <c r="AC86" s="13" t="str">
        <f t="shared" si="30"/>
        <v>⬜  Pendiente de instrumento</v>
      </c>
      <c r="AD86" s="13" t="str">
        <f>IF(MATRIZ_174!U85="","",IF(MATRIZ_174!U85=0,"🚫  Inh. vigente OSCE",""))</f>
        <v/>
      </c>
      <c r="AE86" s="22">
        <f>IFERROR(MATRIZ_174!W85,0)</f>
        <v>1</v>
      </c>
      <c r="AF86" s="22" t="str">
        <f>IFERROR(MATRIZ_174!X85,0)</f>
        <v/>
      </c>
      <c r="AG86" s="22" t="str">
        <f>IFERROR(MATRIZ_174!Y85,0)</f>
        <v/>
      </c>
      <c r="AH86" s="22" t="str">
        <f>IFERROR(MATRIZ_174!Z85,0)</f>
        <v/>
      </c>
      <c r="AI86" s="17">
        <f>IFERROR(MATRIZ_174!AP85,"—")</f>
        <v>0.5</v>
      </c>
      <c r="AJ86" s="17" t="str">
        <f>IFERROR(MATRIZ_174!AO85,"N/A")</f>
        <v>N/A</v>
      </c>
      <c r="AK86" s="23" t="str">
        <f t="shared" si="31"/>
        <v>N/A</v>
      </c>
      <c r="AL86" s="24" t="str">
        <f t="shared" si="32"/>
        <v>—</v>
      </c>
      <c r="AM86" t="str">
        <f>IFERROR(MATRIZ_174!AT85,"")</f>
        <v>parcial · 2/7 · D12-D15 0/4</v>
      </c>
    </row>
    <row r="87" spans="1:39" ht="16.05" customHeight="1" x14ac:dyDescent="0.3">
      <c r="A87" s="13" t="s">
        <v>254</v>
      </c>
      <c r="B87" s="14" t="s">
        <v>255</v>
      </c>
      <c r="C87" s="13" t="s">
        <v>247</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t="str">
        <f t="shared" si="23"/>
        <v/>
      </c>
      <c r="R87" s="17" t="str">
        <f t="shared" si="24"/>
        <v/>
      </c>
      <c r="S87" s="17" t="str">
        <f t="shared" si="25"/>
        <v/>
      </c>
      <c r="T87" s="17" t="str">
        <f>IF(ISNUMBER(MATRIZ_174!O86),IFERROR((K87+M87+MATRIZ_174!O86*100)/3,0),"")</f>
        <v/>
      </c>
      <c r="U87" s="18" t="str">
        <f>IF(ISNUMBER(MATRIZ_174!M86),MIN(100,ROUND(MATRIZ_174!M86,1)),"")</f>
        <v/>
      </c>
      <c r="V87" s="18">
        <f t="shared" si="26"/>
        <v>50</v>
      </c>
      <c r="W87" s="18">
        <f>IFERROR(IF(MATRIZ_174!R86=0,65,IF(MATRIZ_174!R86/MATRIZ_174!Q86&gt;=2,35,IF(MATRIZ_174!R86/MATRIZ_174!Q86&gt;=0.5,50,65))),65)</f>
        <v>65</v>
      </c>
      <c r="X87" s="18" t="str">
        <f>IF(ISNUMBER(MATRIZ_174!O86),MIN(100,IF(MATRIZ_174!O86=0,70,30)+IF(MATRIZ_174!U86="",0,0.3*(100-MATRIZ_174!U86*100))),"")</f>
        <v/>
      </c>
      <c r="Y87" s="18">
        <f>IF(OR(MATRIZ_174!P86="ASOCIACION",MATRIZ_174!P86="PENDIENTE"),65,40)</f>
        <v>65</v>
      </c>
      <c r="Z87" s="19" t="str">
        <f t="shared" si="27"/>
        <v>—</v>
      </c>
      <c r="AA87" s="20">
        <f t="shared" si="28"/>
        <v>60</v>
      </c>
      <c r="AB87" s="21" t="str">
        <f t="shared" si="29"/>
        <v>—</v>
      </c>
      <c r="AC87" s="13" t="str">
        <f t="shared" si="30"/>
        <v>⬜  Pendiente de instrumento</v>
      </c>
      <c r="AD87" s="13" t="str">
        <f>IF(MATRIZ_174!U86="","",IF(MATRIZ_174!U86=0,"🚫  Inh. vigente OSCE",""))</f>
        <v/>
      </c>
      <c r="AE87" s="22" t="str">
        <f>IFERROR(MATRIZ_174!W86,0)</f>
        <v/>
      </c>
      <c r="AF87" s="22" t="str">
        <f>IFERROR(MATRIZ_174!X86,0)</f>
        <v/>
      </c>
      <c r="AG87" s="22" t="str">
        <f>IFERROR(MATRIZ_174!Y86,0)</f>
        <v/>
      </c>
      <c r="AH87" s="22" t="str">
        <f>IFERROR(MATRIZ_174!Z86,0)</f>
        <v/>
      </c>
      <c r="AI87" s="17" t="str">
        <f>IFERROR(MATRIZ_174!AP86,"—")</f>
        <v>—</v>
      </c>
      <c r="AJ87" s="17" t="str">
        <f>IFERROR(MATRIZ_174!AO86,"N/A")</f>
        <v>N/A</v>
      </c>
      <c r="AK87" s="23" t="str">
        <f t="shared" si="31"/>
        <v>N/A</v>
      </c>
      <c r="AL87" s="24" t="str">
        <f t="shared" si="32"/>
        <v>—</v>
      </c>
      <c r="AM87" t="str">
        <f>IFERROR(MATRIZ_174!AT86,"")</f>
        <v>sin dato</v>
      </c>
    </row>
    <row r="88" spans="1:39" ht="16.05" customHeight="1" x14ac:dyDescent="0.3">
      <c r="A88" s="13" t="s">
        <v>256</v>
      </c>
      <c r="B88" s="14" t="s">
        <v>257</v>
      </c>
      <c r="C88" s="13" t="s">
        <v>247</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t="str">
        <f t="shared" si="23"/>
        <v/>
      </c>
      <c r="R88" s="17" t="str">
        <f t="shared" si="24"/>
        <v/>
      </c>
      <c r="S88" s="17" t="str">
        <f t="shared" si="25"/>
        <v/>
      </c>
      <c r="T88" s="17" t="str">
        <f>IF(ISNUMBER(MATRIZ_174!O87),IFERROR((K88+M88+MATRIZ_174!O87*100)/3,0),"")</f>
        <v/>
      </c>
      <c r="U88" s="18" t="str">
        <f>IF(ISNUMBER(MATRIZ_174!M87),MIN(100,ROUND(MATRIZ_174!M87,1)),"")</f>
        <v/>
      </c>
      <c r="V88" s="18">
        <f t="shared" si="26"/>
        <v>50</v>
      </c>
      <c r="W88" s="18">
        <f>IFERROR(IF(MATRIZ_174!R87=0,65,IF(MATRIZ_174!R87/MATRIZ_174!Q87&gt;=2,35,IF(MATRIZ_174!R87/MATRIZ_174!Q87&gt;=0.5,50,65))),65)</f>
        <v>65</v>
      </c>
      <c r="X88" s="18" t="str">
        <f>IF(ISNUMBER(MATRIZ_174!O87),MIN(100,IF(MATRIZ_174!O87=0,70,30)+IF(MATRIZ_174!U87="",0,0.3*(100-MATRIZ_174!U87*100))),"")</f>
        <v/>
      </c>
      <c r="Y88" s="18">
        <f>IF(OR(MATRIZ_174!P87="ASOCIACION",MATRIZ_174!P87="PENDIENTE"),65,40)</f>
        <v>65</v>
      </c>
      <c r="Z88" s="19" t="str">
        <f t="shared" si="27"/>
        <v>—</v>
      </c>
      <c r="AA88" s="20">
        <f t="shared" si="28"/>
        <v>60</v>
      </c>
      <c r="AB88" s="21" t="str">
        <f t="shared" si="29"/>
        <v>—</v>
      </c>
      <c r="AC88" s="13" t="str">
        <f t="shared" si="30"/>
        <v>⬜  Pendiente de instrumento</v>
      </c>
      <c r="AD88" s="13" t="str">
        <f>IF(MATRIZ_174!U87="","",IF(MATRIZ_174!U87=0,"🚫  Inh. vigente OSCE",""))</f>
        <v/>
      </c>
      <c r="AE88" s="22" t="str">
        <f>IFERROR(MATRIZ_174!W87,0)</f>
        <v/>
      </c>
      <c r="AF88" s="22" t="str">
        <f>IFERROR(MATRIZ_174!X87,0)</f>
        <v/>
      </c>
      <c r="AG88" s="22" t="str">
        <f>IFERROR(MATRIZ_174!Y87,0)</f>
        <v/>
      </c>
      <c r="AH88" s="22" t="str">
        <f>IFERROR(MATRIZ_174!Z87,0)</f>
        <v/>
      </c>
      <c r="AI88" s="17" t="str">
        <f>IFERROR(MATRIZ_174!AP87,"—")</f>
        <v>—</v>
      </c>
      <c r="AJ88" s="17" t="str">
        <f>IFERROR(MATRIZ_174!AO87,"N/A")</f>
        <v>N/A</v>
      </c>
      <c r="AK88" s="23" t="str">
        <f t="shared" si="31"/>
        <v>N/A</v>
      </c>
      <c r="AL88" s="24" t="str">
        <f t="shared" si="32"/>
        <v>—</v>
      </c>
      <c r="AM88" t="str">
        <f>IFERROR(MATRIZ_174!AT87,"")</f>
        <v>sin dato</v>
      </c>
    </row>
    <row r="89" spans="1:39" ht="16.05" customHeight="1" x14ac:dyDescent="0.3">
      <c r="A89" s="13" t="s">
        <v>258</v>
      </c>
      <c r="B89" s="14" t="s">
        <v>259</v>
      </c>
      <c r="C89" s="13" t="s">
        <v>247</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t="str">
        <f t="shared" si="23"/>
        <v/>
      </c>
      <c r="R89" s="17" t="str">
        <f t="shared" si="24"/>
        <v/>
      </c>
      <c r="S89" s="17" t="str">
        <f t="shared" si="25"/>
        <v/>
      </c>
      <c r="T89" s="17" t="str">
        <f>IF(ISNUMBER(MATRIZ_174!O88),IFERROR((K89+M89+MATRIZ_174!O88*100)/3,0),"")</f>
        <v/>
      </c>
      <c r="U89" s="18" t="str">
        <f>IF(ISNUMBER(MATRIZ_174!M88),MIN(100,ROUND(MATRIZ_174!M88,1)),"")</f>
        <v/>
      </c>
      <c r="V89" s="18">
        <f t="shared" si="26"/>
        <v>50</v>
      </c>
      <c r="W89" s="18">
        <f>IFERROR(IF(MATRIZ_174!R88=0,65,IF(MATRIZ_174!R88/MATRIZ_174!Q88&gt;=2,35,IF(MATRIZ_174!R88/MATRIZ_174!Q88&gt;=0.5,50,65))),65)</f>
        <v>65</v>
      </c>
      <c r="X89" s="18" t="str">
        <f>IF(ISNUMBER(MATRIZ_174!O88),MIN(100,IF(MATRIZ_174!O88=0,70,30)+IF(MATRIZ_174!U88="",0,0.3*(100-MATRIZ_174!U88*100))),"")</f>
        <v/>
      </c>
      <c r="Y89" s="18">
        <f>IF(OR(MATRIZ_174!P88="ASOCIACION",MATRIZ_174!P88="PENDIENTE"),65,40)</f>
        <v>65</v>
      </c>
      <c r="Z89" s="19" t="str">
        <f t="shared" si="27"/>
        <v>—</v>
      </c>
      <c r="AA89" s="20">
        <f t="shared" si="28"/>
        <v>60</v>
      </c>
      <c r="AB89" s="21" t="str">
        <f t="shared" si="29"/>
        <v>—</v>
      </c>
      <c r="AC89" s="13" t="str">
        <f t="shared" si="30"/>
        <v>⬜  Pendiente de instrumento</v>
      </c>
      <c r="AD89" s="13" t="str">
        <f>IF(MATRIZ_174!U88="","",IF(MATRIZ_174!U88=0,"🚫  Inh. vigente OSCE",""))</f>
        <v/>
      </c>
      <c r="AE89" s="22" t="str">
        <f>IFERROR(MATRIZ_174!W88,0)</f>
        <v/>
      </c>
      <c r="AF89" s="22" t="str">
        <f>IFERROR(MATRIZ_174!X88,0)</f>
        <v/>
      </c>
      <c r="AG89" s="22" t="str">
        <f>IFERROR(MATRIZ_174!Y88,0)</f>
        <v/>
      </c>
      <c r="AH89" s="22" t="str">
        <f>IFERROR(MATRIZ_174!Z88,0)</f>
        <v/>
      </c>
      <c r="AI89" s="17" t="str">
        <f>IFERROR(MATRIZ_174!AP88,"—")</f>
        <v>—</v>
      </c>
      <c r="AJ89" s="17" t="str">
        <f>IFERROR(MATRIZ_174!AO88,"N/A")</f>
        <v>N/A</v>
      </c>
      <c r="AK89" s="23" t="str">
        <f t="shared" si="31"/>
        <v>N/A</v>
      </c>
      <c r="AL89" s="24" t="str">
        <f t="shared" si="32"/>
        <v>—</v>
      </c>
      <c r="AM89" t="str">
        <f>IFERROR(MATRIZ_174!AT88,"")</f>
        <v>sin dato</v>
      </c>
    </row>
    <row r="90" spans="1:39" ht="16.05" customHeight="1" x14ac:dyDescent="0.3">
      <c r="A90" s="13" t="s">
        <v>260</v>
      </c>
      <c r="B90" s="14" t="s">
        <v>261</v>
      </c>
      <c r="C90" s="13" t="s">
        <v>247</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t="str">
        <f t="shared" si="23"/>
        <v/>
      </c>
      <c r="R90" s="17" t="str">
        <f t="shared" si="24"/>
        <v/>
      </c>
      <c r="S90" s="17" t="str">
        <f t="shared" si="25"/>
        <v/>
      </c>
      <c r="T90" s="17" t="str">
        <f>IF(ISNUMBER(MATRIZ_174!O89),IFERROR((K90+M90+MATRIZ_174!O89*100)/3,0),"")</f>
        <v/>
      </c>
      <c r="U90" s="18" t="str">
        <f>IF(ISNUMBER(MATRIZ_174!M89),MIN(100,ROUND(MATRIZ_174!M89,1)),"")</f>
        <v/>
      </c>
      <c r="V90" s="18">
        <f t="shared" si="26"/>
        <v>50</v>
      </c>
      <c r="W90" s="18">
        <f>IFERROR(IF(MATRIZ_174!R89=0,65,IF(MATRIZ_174!R89/MATRIZ_174!Q89&gt;=2,35,IF(MATRIZ_174!R89/MATRIZ_174!Q89&gt;=0.5,50,65))),65)</f>
        <v>65</v>
      </c>
      <c r="X90" s="18" t="str">
        <f>IF(ISNUMBER(MATRIZ_174!O89),MIN(100,IF(MATRIZ_174!O89=0,70,30)+IF(MATRIZ_174!U89="",0,0.3*(100-MATRIZ_174!U89*100))),"")</f>
        <v/>
      </c>
      <c r="Y90" s="18">
        <f>IF(OR(MATRIZ_174!P89="ASOCIACION",MATRIZ_174!P89="PENDIENTE"),65,40)</f>
        <v>65</v>
      </c>
      <c r="Z90" s="19" t="str">
        <f t="shared" si="27"/>
        <v>—</v>
      </c>
      <c r="AA90" s="20">
        <f t="shared" si="28"/>
        <v>60</v>
      </c>
      <c r="AB90" s="21" t="str">
        <f t="shared" si="29"/>
        <v>—</v>
      </c>
      <c r="AC90" s="13" t="str">
        <f t="shared" si="30"/>
        <v>⬜  Pendiente de instrumento</v>
      </c>
      <c r="AD90" s="13" t="str">
        <f>IF(MATRIZ_174!U89="","",IF(MATRIZ_174!U89=0,"🚫  Inh. vigente OSCE",""))</f>
        <v/>
      </c>
      <c r="AE90" s="22" t="str">
        <f>IFERROR(MATRIZ_174!W89,0)</f>
        <v/>
      </c>
      <c r="AF90" s="22" t="str">
        <f>IFERROR(MATRIZ_174!X89,0)</f>
        <v/>
      </c>
      <c r="AG90" s="22" t="str">
        <f>IFERROR(MATRIZ_174!Y89,0)</f>
        <v/>
      </c>
      <c r="AH90" s="22" t="str">
        <f>IFERROR(MATRIZ_174!Z89,0)</f>
        <v/>
      </c>
      <c r="AI90" s="17" t="str">
        <f>IFERROR(MATRIZ_174!AP89,"—")</f>
        <v>—</v>
      </c>
      <c r="AJ90" s="17" t="str">
        <f>IFERROR(MATRIZ_174!AO89,"N/A")</f>
        <v>N/A</v>
      </c>
      <c r="AK90" s="23" t="str">
        <f t="shared" si="31"/>
        <v>N/A</v>
      </c>
      <c r="AL90" s="24" t="str">
        <f t="shared" si="32"/>
        <v>—</v>
      </c>
      <c r="AM90" t="str">
        <f>IFERROR(MATRIZ_174!AT89,"")</f>
        <v>sin dato</v>
      </c>
    </row>
    <row r="91" spans="1:39" ht="16.05" customHeight="1" x14ac:dyDescent="0.3">
      <c r="A91" s="13" t="s">
        <v>262</v>
      </c>
      <c r="B91" s="14" t="s">
        <v>263</v>
      </c>
      <c r="C91" s="13" t="s">
        <v>75</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t="str">
        <f t="shared" si="23"/>
        <v/>
      </c>
      <c r="R91" s="17" t="str">
        <f t="shared" si="24"/>
        <v/>
      </c>
      <c r="S91" s="17" t="str">
        <f t="shared" si="25"/>
        <v/>
      </c>
      <c r="T91" s="17" t="str">
        <f>IF(ISNUMBER(MATRIZ_174!O90),IFERROR((K91+M91+MATRIZ_174!O90*100)/3,0),"")</f>
        <v/>
      </c>
      <c r="U91" s="18" t="str">
        <f>IF(ISNUMBER(MATRIZ_174!M90),MIN(100,ROUND(MATRIZ_174!M90,1)),"")</f>
        <v/>
      </c>
      <c r="V91" s="18">
        <f t="shared" si="26"/>
        <v>50</v>
      </c>
      <c r="W91" s="18">
        <f>IFERROR(IF(MATRIZ_174!R90=0,65,IF(MATRIZ_174!R90/MATRIZ_174!Q90&gt;=2,35,IF(MATRIZ_174!R90/MATRIZ_174!Q90&gt;=0.5,50,65))),65)</f>
        <v>65</v>
      </c>
      <c r="X91" s="18" t="str">
        <f>IF(ISNUMBER(MATRIZ_174!O90),MIN(100,IF(MATRIZ_174!O90=0,70,30)+IF(MATRIZ_174!U90="",0,0.3*(100-MATRIZ_174!U90*100))),"")</f>
        <v/>
      </c>
      <c r="Y91" s="18">
        <f>IF(OR(MATRIZ_174!P90="ASOCIACION",MATRIZ_174!P90="PENDIENTE"),65,40)</f>
        <v>65</v>
      </c>
      <c r="Z91" s="19" t="str">
        <f t="shared" si="27"/>
        <v>—</v>
      </c>
      <c r="AA91" s="20">
        <f t="shared" si="28"/>
        <v>60</v>
      </c>
      <c r="AB91" s="21" t="str">
        <f t="shared" si="29"/>
        <v>—</v>
      </c>
      <c r="AC91" s="13" t="str">
        <f t="shared" si="30"/>
        <v>⬜  Pendiente de instrumento</v>
      </c>
      <c r="AD91" s="13" t="str">
        <f>IF(MATRIZ_174!U90="","",IF(MATRIZ_174!U90=0,"🚫  Inh. vigente OSCE",""))</f>
        <v/>
      </c>
      <c r="AE91" s="22" t="str">
        <f>IFERROR(MATRIZ_174!W90,0)</f>
        <v/>
      </c>
      <c r="AF91" s="22" t="str">
        <f>IFERROR(MATRIZ_174!X90,0)</f>
        <v/>
      </c>
      <c r="AG91" s="22" t="str">
        <f>IFERROR(MATRIZ_174!Y90,0)</f>
        <v/>
      </c>
      <c r="AH91" s="22" t="str">
        <f>IFERROR(MATRIZ_174!Z90,0)</f>
        <v/>
      </c>
      <c r="AI91" s="17" t="str">
        <f>IFERROR(MATRIZ_174!AP90,"—")</f>
        <v>—</v>
      </c>
      <c r="AJ91" s="17" t="str">
        <f>IFERROR(MATRIZ_174!AO90,"N/A")</f>
        <v>N/A</v>
      </c>
      <c r="AK91" s="23" t="str">
        <f t="shared" si="31"/>
        <v>N/A</v>
      </c>
      <c r="AL91" s="24" t="str">
        <f t="shared" si="32"/>
        <v>—</v>
      </c>
      <c r="AM91" t="str">
        <f>IFERROR(MATRIZ_174!AT90,"")</f>
        <v>sin dato</v>
      </c>
    </row>
    <row r="92" spans="1:39" ht="16.05" customHeight="1" x14ac:dyDescent="0.3">
      <c r="A92" s="13" t="s">
        <v>264</v>
      </c>
      <c r="B92" s="14" t="s">
        <v>265</v>
      </c>
      <c r="C92" s="13" t="s">
        <v>75</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t="str">
        <f t="shared" si="23"/>
        <v/>
      </c>
      <c r="R92" s="17" t="str">
        <f t="shared" si="24"/>
        <v/>
      </c>
      <c r="S92" s="17" t="str">
        <f t="shared" si="25"/>
        <v/>
      </c>
      <c r="T92" s="17" t="str">
        <f>IF(ISNUMBER(MATRIZ_174!O91),IFERROR((K92+M92+MATRIZ_174!O91*100)/3,0),"")</f>
        <v/>
      </c>
      <c r="U92" s="18" t="str">
        <f>IF(ISNUMBER(MATRIZ_174!M91),MIN(100,ROUND(MATRIZ_174!M91,1)),"")</f>
        <v/>
      </c>
      <c r="V92" s="18">
        <f t="shared" si="26"/>
        <v>50</v>
      </c>
      <c r="W92" s="18">
        <f>IFERROR(IF(MATRIZ_174!R91=0,65,IF(MATRIZ_174!R91/MATRIZ_174!Q91&gt;=2,35,IF(MATRIZ_174!R91/MATRIZ_174!Q91&gt;=0.5,50,65))),65)</f>
        <v>65</v>
      </c>
      <c r="X92" s="18" t="str">
        <f>IF(ISNUMBER(MATRIZ_174!O91),MIN(100,IF(MATRIZ_174!O91=0,70,30)+IF(MATRIZ_174!U91="",0,0.3*(100-MATRIZ_174!U91*100))),"")</f>
        <v/>
      </c>
      <c r="Y92" s="18">
        <f>IF(OR(MATRIZ_174!P91="ASOCIACION",MATRIZ_174!P91="PENDIENTE"),65,40)</f>
        <v>65</v>
      </c>
      <c r="Z92" s="19" t="str">
        <f t="shared" si="27"/>
        <v>—</v>
      </c>
      <c r="AA92" s="20">
        <f t="shared" si="28"/>
        <v>60</v>
      </c>
      <c r="AB92" s="21" t="str">
        <f t="shared" si="29"/>
        <v>—</v>
      </c>
      <c r="AC92" s="13" t="str">
        <f t="shared" si="30"/>
        <v>⬜  Pendiente de instrumento</v>
      </c>
      <c r="AD92" s="13" t="str">
        <f>IF(MATRIZ_174!U91="","",IF(MATRIZ_174!U91=0,"🚫  Inh. vigente OSCE",""))</f>
        <v/>
      </c>
      <c r="AE92" s="22" t="str">
        <f>IFERROR(MATRIZ_174!W91,0)</f>
        <v/>
      </c>
      <c r="AF92" s="22" t="str">
        <f>IFERROR(MATRIZ_174!X91,0)</f>
        <v/>
      </c>
      <c r="AG92" s="22" t="str">
        <f>IFERROR(MATRIZ_174!Y91,0)</f>
        <v/>
      </c>
      <c r="AH92" s="22" t="str">
        <f>IFERROR(MATRIZ_174!Z91,0)</f>
        <v/>
      </c>
      <c r="AI92" s="17" t="str">
        <f>IFERROR(MATRIZ_174!AP91,"—")</f>
        <v>—</v>
      </c>
      <c r="AJ92" s="17" t="str">
        <f>IFERROR(MATRIZ_174!AO91,"N/A")</f>
        <v>N/A</v>
      </c>
      <c r="AK92" s="23" t="str">
        <f t="shared" si="31"/>
        <v>N/A</v>
      </c>
      <c r="AL92" s="24" t="str">
        <f t="shared" si="32"/>
        <v>—</v>
      </c>
      <c r="AM92" t="str">
        <f>IFERROR(MATRIZ_174!AT91,"")</f>
        <v>sin dato</v>
      </c>
    </row>
    <row r="93" spans="1:39" ht="16.05" customHeight="1" x14ac:dyDescent="0.3">
      <c r="A93" s="13" t="s">
        <v>266</v>
      </c>
      <c r="B93" s="14" t="s">
        <v>267</v>
      </c>
      <c r="C93" s="13" t="s">
        <v>148</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t="str">
        <f t="shared" si="23"/>
        <v/>
      </c>
      <c r="R93" s="17" t="str">
        <f t="shared" si="24"/>
        <v/>
      </c>
      <c r="S93" s="17" t="str">
        <f t="shared" si="25"/>
        <v/>
      </c>
      <c r="T93" s="17" t="str">
        <f>IF(ISNUMBER(MATRIZ_174!O92),IFERROR((K93+M93+MATRIZ_174!O92*100)/3,0),"")</f>
        <v/>
      </c>
      <c r="U93" s="18">
        <f>IF(ISNUMBER(MATRIZ_174!M92),MIN(100,ROUND(MATRIZ_174!M92,1)),"")</f>
        <v>50</v>
      </c>
      <c r="V93" s="18">
        <f t="shared" si="26"/>
        <v>50</v>
      </c>
      <c r="W93" s="18">
        <f>IFERROR(IF(MATRIZ_174!R92=0,65,IF(MATRIZ_174!R92/MATRIZ_174!Q92&gt;=2,35,IF(MATRIZ_174!R92/MATRIZ_174!Q92&gt;=0.5,50,65))),65)</f>
        <v>65</v>
      </c>
      <c r="X93" s="18" t="str">
        <f>IF(ISNUMBER(MATRIZ_174!O92),MIN(100,IF(MATRIZ_174!O92=0,70,30)+IF(MATRIZ_174!U92="",0,0.3*(100-MATRIZ_174!U92*100))),"")</f>
        <v/>
      </c>
      <c r="Y93" s="18">
        <f>IF(OR(MATRIZ_174!P92="ASOCIACION",MATRIZ_174!P92="PENDIENTE"),65,40)</f>
        <v>65</v>
      </c>
      <c r="Z93" s="19" t="str">
        <f t="shared" si="27"/>
        <v>—</v>
      </c>
      <c r="AA93" s="20">
        <f t="shared" si="28"/>
        <v>57.5</v>
      </c>
      <c r="AB93" s="21" t="str">
        <f t="shared" si="29"/>
        <v>—</v>
      </c>
      <c r="AC93" s="13" t="str">
        <f t="shared" si="30"/>
        <v>⬜  Pendiente de instrumento</v>
      </c>
      <c r="AD93" s="13" t="str">
        <f>IF(MATRIZ_174!U92="","",IF(MATRIZ_174!U92=0,"🚫  Inh. vigente OSCE",""))</f>
        <v/>
      </c>
      <c r="AE93" s="22">
        <f>IFERROR(MATRIZ_174!W92,0)</f>
        <v>1</v>
      </c>
      <c r="AF93" s="22" t="str">
        <f>IFERROR(MATRIZ_174!X92,0)</f>
        <v/>
      </c>
      <c r="AG93" s="22" t="str">
        <f>IFERROR(MATRIZ_174!Y92,0)</f>
        <v/>
      </c>
      <c r="AH93" s="22" t="str">
        <f>IFERROR(MATRIZ_174!Z92,0)</f>
        <v/>
      </c>
      <c r="AI93" s="17">
        <f>IFERROR(MATRIZ_174!AP92,"—")</f>
        <v>0.5</v>
      </c>
      <c r="AJ93" s="17" t="str">
        <f>IFERROR(MATRIZ_174!AO92,"N/A")</f>
        <v>N/A</v>
      </c>
      <c r="AK93" s="23" t="str">
        <f t="shared" si="31"/>
        <v>N/A</v>
      </c>
      <c r="AL93" s="24" t="str">
        <f t="shared" si="32"/>
        <v>—</v>
      </c>
      <c r="AM93" t="str">
        <f>IFERROR(MATRIZ_174!AT92,"")</f>
        <v>parcial · 2/7 · D12-D15 0/4</v>
      </c>
    </row>
    <row r="94" spans="1:39" ht="16.05" customHeight="1" x14ac:dyDescent="0.3">
      <c r="A94" s="13" t="s">
        <v>268</v>
      </c>
      <c r="B94" s="14" t="s">
        <v>269</v>
      </c>
      <c r="C94" s="13" t="s">
        <v>137</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t="str">
        <f t="shared" si="23"/>
        <v/>
      </c>
      <c r="R94" s="17" t="str">
        <f t="shared" si="24"/>
        <v/>
      </c>
      <c r="S94" s="17" t="str">
        <f t="shared" si="25"/>
        <v/>
      </c>
      <c r="T94" s="17" t="str">
        <f>IF(ISNUMBER(MATRIZ_174!O93),IFERROR((K94+M94+MATRIZ_174!O93*100)/3,0),"")</f>
        <v/>
      </c>
      <c r="U94" s="18" t="str">
        <f>IF(ISNUMBER(MATRIZ_174!M93),MIN(100,ROUND(MATRIZ_174!M93,1)),"")</f>
        <v/>
      </c>
      <c r="V94" s="18">
        <f t="shared" si="26"/>
        <v>50</v>
      </c>
      <c r="W94" s="18">
        <f>IFERROR(IF(MATRIZ_174!R93=0,65,IF(MATRIZ_174!R93/MATRIZ_174!Q93&gt;=2,35,IF(MATRIZ_174!R93/MATRIZ_174!Q93&gt;=0.5,50,65))),65)</f>
        <v>65</v>
      </c>
      <c r="X94" s="18" t="str">
        <f>IF(ISNUMBER(MATRIZ_174!O93),MIN(100,IF(MATRIZ_174!O93=0,70,30)+IF(MATRIZ_174!U93="",0,0.3*(100-MATRIZ_174!U93*100))),"")</f>
        <v/>
      </c>
      <c r="Y94" s="18">
        <f>IF(OR(MATRIZ_174!P93="ASOCIACION",MATRIZ_174!P93="PENDIENTE"),65,40)</f>
        <v>65</v>
      </c>
      <c r="Z94" s="19" t="str">
        <f t="shared" si="27"/>
        <v>—</v>
      </c>
      <c r="AA94" s="20">
        <f t="shared" si="28"/>
        <v>60</v>
      </c>
      <c r="AB94" s="21" t="str">
        <f t="shared" si="29"/>
        <v>—</v>
      </c>
      <c r="AC94" s="13" t="str">
        <f t="shared" si="30"/>
        <v>⬜  Pendiente de instrumento</v>
      </c>
      <c r="AD94" s="13" t="str">
        <f>IF(MATRIZ_174!U93="","",IF(MATRIZ_174!U93=0,"🚫  Inh. vigente OSCE",""))</f>
        <v/>
      </c>
      <c r="AE94" s="22" t="str">
        <f>IFERROR(MATRIZ_174!W93,0)</f>
        <v/>
      </c>
      <c r="AF94" s="22" t="str">
        <f>IFERROR(MATRIZ_174!X93,0)</f>
        <v/>
      </c>
      <c r="AG94" s="22" t="str">
        <f>IFERROR(MATRIZ_174!Y93,0)</f>
        <v/>
      </c>
      <c r="AH94" s="22" t="str">
        <f>IFERROR(MATRIZ_174!Z93,0)</f>
        <v/>
      </c>
      <c r="AI94" s="17" t="str">
        <f>IFERROR(MATRIZ_174!AP93,"—")</f>
        <v>—</v>
      </c>
      <c r="AJ94" s="17" t="str">
        <f>IFERROR(MATRIZ_174!AO93,"N/A")</f>
        <v>N/A</v>
      </c>
      <c r="AK94" s="23" t="str">
        <f t="shared" si="31"/>
        <v>N/A</v>
      </c>
      <c r="AL94" s="24" t="str">
        <f t="shared" si="32"/>
        <v>—</v>
      </c>
      <c r="AM94" t="str">
        <f>IFERROR(MATRIZ_174!AT93,"")</f>
        <v>sin dato</v>
      </c>
    </row>
    <row r="95" spans="1:39" ht="16.05" customHeight="1" x14ac:dyDescent="0.3">
      <c r="A95" s="13" t="s">
        <v>270</v>
      </c>
      <c r="B95" s="14" t="s">
        <v>271</v>
      </c>
      <c r="C95" s="13" t="s">
        <v>137</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t="str">
        <f t="shared" si="23"/>
        <v/>
      </c>
      <c r="R95" s="17" t="str">
        <f t="shared" si="24"/>
        <v/>
      </c>
      <c r="S95" s="17" t="str">
        <f t="shared" si="25"/>
        <v/>
      </c>
      <c r="T95" s="17" t="str">
        <f>IF(ISNUMBER(MATRIZ_174!O94),IFERROR((K95+M95+MATRIZ_174!O94*100)/3,0),"")</f>
        <v/>
      </c>
      <c r="U95" s="18">
        <f>IF(ISNUMBER(MATRIZ_174!M94),MIN(100,ROUND(MATRIZ_174!M94,1)),"")</f>
        <v>50</v>
      </c>
      <c r="V95" s="18">
        <f t="shared" si="26"/>
        <v>50</v>
      </c>
      <c r="W95" s="18">
        <f>IFERROR(IF(MATRIZ_174!R94=0,65,IF(MATRIZ_174!R94/MATRIZ_174!Q94&gt;=2,35,IF(MATRIZ_174!R94/MATRIZ_174!Q94&gt;=0.5,50,65))),65)</f>
        <v>65</v>
      </c>
      <c r="X95" s="18" t="str">
        <f>IF(ISNUMBER(MATRIZ_174!O94),MIN(100,IF(MATRIZ_174!O94=0,70,30)+IF(MATRIZ_174!U94="",0,0.3*(100-MATRIZ_174!U94*100))),"")</f>
        <v/>
      </c>
      <c r="Y95" s="18">
        <f>IF(OR(MATRIZ_174!P94="ASOCIACION",MATRIZ_174!P94="PENDIENTE"),65,40)</f>
        <v>65</v>
      </c>
      <c r="Z95" s="19" t="str">
        <f t="shared" si="27"/>
        <v>—</v>
      </c>
      <c r="AA95" s="20">
        <f t="shared" si="28"/>
        <v>57.5</v>
      </c>
      <c r="AB95" s="21" t="str">
        <f t="shared" si="29"/>
        <v>—</v>
      </c>
      <c r="AC95" s="13" t="str">
        <f t="shared" si="30"/>
        <v>⬜  Pendiente de instrumento</v>
      </c>
      <c r="AD95" s="13" t="str">
        <f>IF(MATRIZ_174!U94="","",IF(MATRIZ_174!U94=0,"🚫  Inh. vigente OSCE",""))</f>
        <v/>
      </c>
      <c r="AE95" s="22">
        <f>IFERROR(MATRIZ_174!W94,0)</f>
        <v>1</v>
      </c>
      <c r="AF95" s="22" t="str">
        <f>IFERROR(MATRIZ_174!X94,0)</f>
        <v/>
      </c>
      <c r="AG95" s="22" t="str">
        <f>IFERROR(MATRIZ_174!Y94,0)</f>
        <v/>
      </c>
      <c r="AH95" s="22" t="str">
        <f>IFERROR(MATRIZ_174!Z94,0)</f>
        <v/>
      </c>
      <c r="AI95" s="17">
        <f>IFERROR(MATRIZ_174!AP94,"—")</f>
        <v>0.5</v>
      </c>
      <c r="AJ95" s="17" t="str">
        <f>IFERROR(MATRIZ_174!AO94,"N/A")</f>
        <v>N/A</v>
      </c>
      <c r="AK95" s="23" t="str">
        <f t="shared" si="31"/>
        <v>N/A</v>
      </c>
      <c r="AL95" s="24" t="str">
        <f t="shared" si="32"/>
        <v>—</v>
      </c>
      <c r="AM95" t="str">
        <f>IFERROR(MATRIZ_174!AT94,"")</f>
        <v>parcial · 2/7 · D12-D15 0/4</v>
      </c>
    </row>
    <row r="96" spans="1:39" ht="16.05" customHeight="1" x14ac:dyDescent="0.3">
      <c r="A96" s="13" t="s">
        <v>272</v>
      </c>
      <c r="B96" s="14" t="s">
        <v>273</v>
      </c>
      <c r="C96" s="13" t="s">
        <v>117</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t="str">
        <f t="shared" si="23"/>
        <v/>
      </c>
      <c r="R96" s="17" t="str">
        <f t="shared" si="24"/>
        <v/>
      </c>
      <c r="S96" s="17" t="str">
        <f t="shared" si="25"/>
        <v/>
      </c>
      <c r="T96" s="17" t="str">
        <f>IF(ISNUMBER(MATRIZ_174!O95),IFERROR((K96+M96+MATRIZ_174!O95*100)/3,0),"")</f>
        <v/>
      </c>
      <c r="U96" s="18" t="str">
        <f>IF(ISNUMBER(MATRIZ_174!M95),MIN(100,ROUND(MATRIZ_174!M95,1)),"")</f>
        <v/>
      </c>
      <c r="V96" s="18">
        <f t="shared" si="26"/>
        <v>50</v>
      </c>
      <c r="W96" s="18">
        <f>IFERROR(IF(MATRIZ_174!R95=0,65,IF(MATRIZ_174!R95/MATRIZ_174!Q95&gt;=2,35,IF(MATRIZ_174!R95/MATRIZ_174!Q95&gt;=0.5,50,65))),65)</f>
        <v>65</v>
      </c>
      <c r="X96" s="18" t="str">
        <f>IF(ISNUMBER(MATRIZ_174!O95),MIN(100,IF(MATRIZ_174!O95=0,70,30)+IF(MATRIZ_174!U95="",0,0.3*(100-MATRIZ_174!U95*100))),"")</f>
        <v/>
      </c>
      <c r="Y96" s="18">
        <f>IF(OR(MATRIZ_174!P95="ASOCIACION",MATRIZ_174!P95="PENDIENTE"),65,40)</f>
        <v>65</v>
      </c>
      <c r="Z96" s="19" t="str">
        <f t="shared" si="27"/>
        <v>—</v>
      </c>
      <c r="AA96" s="20">
        <f t="shared" si="28"/>
        <v>60</v>
      </c>
      <c r="AB96" s="21" t="str">
        <f t="shared" si="29"/>
        <v>—</v>
      </c>
      <c r="AC96" s="13" t="str">
        <f t="shared" si="30"/>
        <v>⬜  Pendiente de instrumento</v>
      </c>
      <c r="AD96" s="13" t="str">
        <f>IF(MATRIZ_174!U95="","",IF(MATRIZ_174!U95=0,"🚫  Inh. vigente OSCE",""))</f>
        <v/>
      </c>
      <c r="AE96" s="22" t="str">
        <f>IFERROR(MATRIZ_174!W95,0)</f>
        <v/>
      </c>
      <c r="AF96" s="22" t="str">
        <f>IFERROR(MATRIZ_174!X95,0)</f>
        <v/>
      </c>
      <c r="AG96" s="22" t="str">
        <f>IFERROR(MATRIZ_174!Y95,0)</f>
        <v/>
      </c>
      <c r="AH96" s="22" t="str">
        <f>IFERROR(MATRIZ_174!Z95,0)</f>
        <v/>
      </c>
      <c r="AI96" s="17" t="str">
        <f>IFERROR(MATRIZ_174!AP95,"—")</f>
        <v>—</v>
      </c>
      <c r="AJ96" s="17" t="str">
        <f>IFERROR(MATRIZ_174!AO95,"N/A")</f>
        <v>N/A</v>
      </c>
      <c r="AK96" s="23" t="str">
        <f t="shared" si="31"/>
        <v>N/A</v>
      </c>
      <c r="AL96" s="24" t="str">
        <f t="shared" si="32"/>
        <v>—</v>
      </c>
      <c r="AM96" t="str">
        <f>IFERROR(MATRIZ_174!AT95,"")</f>
        <v>sin dato</v>
      </c>
    </row>
    <row r="97" spans="1:39" ht="16.05" customHeight="1" x14ac:dyDescent="0.3">
      <c r="A97" s="13" t="s">
        <v>274</v>
      </c>
      <c r="B97" s="14" t="s">
        <v>275</v>
      </c>
      <c r="C97" s="13" t="s">
        <v>117</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t="str">
        <f t="shared" si="23"/>
        <v/>
      </c>
      <c r="R97" s="17" t="str">
        <f t="shared" si="24"/>
        <v/>
      </c>
      <c r="S97" s="17" t="str">
        <f t="shared" si="25"/>
        <v/>
      </c>
      <c r="T97" s="17" t="str">
        <f>IF(ISNUMBER(MATRIZ_174!O96),IFERROR((K97+M97+MATRIZ_174!O96*100)/3,0),"")</f>
        <v/>
      </c>
      <c r="U97" s="18" t="str">
        <f>IF(ISNUMBER(MATRIZ_174!M96),MIN(100,ROUND(MATRIZ_174!M96,1)),"")</f>
        <v/>
      </c>
      <c r="V97" s="18">
        <f t="shared" si="26"/>
        <v>50</v>
      </c>
      <c r="W97" s="18">
        <f>IFERROR(IF(MATRIZ_174!R96=0,65,IF(MATRIZ_174!R96/MATRIZ_174!Q96&gt;=2,35,IF(MATRIZ_174!R96/MATRIZ_174!Q96&gt;=0.5,50,65))),65)</f>
        <v>65</v>
      </c>
      <c r="X97" s="18" t="str">
        <f>IF(ISNUMBER(MATRIZ_174!O96),MIN(100,IF(MATRIZ_174!O96=0,70,30)+IF(MATRIZ_174!U96="",0,0.3*(100-MATRIZ_174!U96*100))),"")</f>
        <v/>
      </c>
      <c r="Y97" s="18">
        <f>IF(OR(MATRIZ_174!P96="ASOCIACION",MATRIZ_174!P96="PENDIENTE"),65,40)</f>
        <v>65</v>
      </c>
      <c r="Z97" s="19" t="str">
        <f t="shared" si="27"/>
        <v>—</v>
      </c>
      <c r="AA97" s="20">
        <f t="shared" si="28"/>
        <v>60</v>
      </c>
      <c r="AB97" s="21" t="str">
        <f t="shared" si="29"/>
        <v>—</v>
      </c>
      <c r="AC97" s="13" t="str">
        <f t="shared" si="30"/>
        <v>⬜  Pendiente de instrumento</v>
      </c>
      <c r="AD97" s="13" t="str">
        <f>IF(MATRIZ_174!U96="","",IF(MATRIZ_174!U96=0,"🚫  Inh. vigente OSCE",""))</f>
        <v/>
      </c>
      <c r="AE97" s="22" t="str">
        <f>IFERROR(MATRIZ_174!W96,0)</f>
        <v/>
      </c>
      <c r="AF97" s="22" t="str">
        <f>IFERROR(MATRIZ_174!X96,0)</f>
        <v/>
      </c>
      <c r="AG97" s="22" t="str">
        <f>IFERROR(MATRIZ_174!Y96,0)</f>
        <v/>
      </c>
      <c r="AH97" s="22" t="str">
        <f>IFERROR(MATRIZ_174!Z96,0)</f>
        <v/>
      </c>
      <c r="AI97" s="17" t="str">
        <f>IFERROR(MATRIZ_174!AP96,"—")</f>
        <v>—</v>
      </c>
      <c r="AJ97" s="17" t="str">
        <f>IFERROR(MATRIZ_174!AO96,"N/A")</f>
        <v>N/A</v>
      </c>
      <c r="AK97" s="23" t="str">
        <f t="shared" si="31"/>
        <v>N/A</v>
      </c>
      <c r="AL97" s="24" t="str">
        <f t="shared" si="32"/>
        <v>—</v>
      </c>
      <c r="AM97" t="str">
        <f>IFERROR(MATRIZ_174!AT96,"")</f>
        <v>sin dato</v>
      </c>
    </row>
    <row r="98" spans="1:39" ht="16.05" customHeight="1" x14ac:dyDescent="0.3">
      <c r="A98" s="13" t="s">
        <v>276</v>
      </c>
      <c r="B98" s="14" t="s">
        <v>277</v>
      </c>
      <c r="C98" s="13" t="s">
        <v>117</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t="str">
        <f t="shared" si="23"/>
        <v/>
      </c>
      <c r="R98" s="17" t="str">
        <f t="shared" si="24"/>
        <v/>
      </c>
      <c r="S98" s="17" t="str">
        <f t="shared" si="25"/>
        <v/>
      </c>
      <c r="T98" s="17" t="str">
        <f>IF(ISNUMBER(MATRIZ_174!O97),IFERROR((K98+M98+MATRIZ_174!O97*100)/3,0),"")</f>
        <v/>
      </c>
      <c r="U98" s="18" t="str">
        <f>IF(ISNUMBER(MATRIZ_174!M97),MIN(100,ROUND(MATRIZ_174!M97,1)),"")</f>
        <v/>
      </c>
      <c r="V98" s="18">
        <f t="shared" si="26"/>
        <v>50</v>
      </c>
      <c r="W98" s="18">
        <f>IFERROR(IF(MATRIZ_174!R97=0,65,IF(MATRIZ_174!R97/MATRIZ_174!Q97&gt;=2,35,IF(MATRIZ_174!R97/MATRIZ_174!Q97&gt;=0.5,50,65))),65)</f>
        <v>65</v>
      </c>
      <c r="X98" s="18" t="str">
        <f>IF(ISNUMBER(MATRIZ_174!O97),MIN(100,IF(MATRIZ_174!O97=0,70,30)+IF(MATRIZ_174!U97="",0,0.3*(100-MATRIZ_174!U97*100))),"")</f>
        <v/>
      </c>
      <c r="Y98" s="18">
        <f>IF(OR(MATRIZ_174!P97="ASOCIACION",MATRIZ_174!P97="PENDIENTE"),65,40)</f>
        <v>65</v>
      </c>
      <c r="Z98" s="19" t="str">
        <f t="shared" si="27"/>
        <v>—</v>
      </c>
      <c r="AA98" s="20">
        <f t="shared" si="28"/>
        <v>60</v>
      </c>
      <c r="AB98" s="21" t="str">
        <f t="shared" si="29"/>
        <v>—</v>
      </c>
      <c r="AC98" s="13" t="str">
        <f t="shared" si="30"/>
        <v>⬜  Pendiente de instrumento</v>
      </c>
      <c r="AD98" s="13" t="str">
        <f>IF(MATRIZ_174!U97="","",IF(MATRIZ_174!U97=0,"🚫  Inh. vigente OSCE",""))</f>
        <v/>
      </c>
      <c r="AE98" s="22" t="str">
        <f>IFERROR(MATRIZ_174!W97,0)</f>
        <v/>
      </c>
      <c r="AF98" s="22" t="str">
        <f>IFERROR(MATRIZ_174!X97,0)</f>
        <v/>
      </c>
      <c r="AG98" s="22" t="str">
        <f>IFERROR(MATRIZ_174!Y97,0)</f>
        <v/>
      </c>
      <c r="AH98" s="22" t="str">
        <f>IFERROR(MATRIZ_174!Z97,0)</f>
        <v/>
      </c>
      <c r="AI98" s="17" t="str">
        <f>IFERROR(MATRIZ_174!AP97,"—")</f>
        <v>—</v>
      </c>
      <c r="AJ98" s="17" t="str">
        <f>IFERROR(MATRIZ_174!AO97,"N/A")</f>
        <v>N/A</v>
      </c>
      <c r="AK98" s="23" t="str">
        <f t="shared" si="31"/>
        <v>N/A</v>
      </c>
      <c r="AL98" s="24" t="str">
        <f t="shared" si="32"/>
        <v>—</v>
      </c>
      <c r="AM98" t="str">
        <f>IFERROR(MATRIZ_174!AT97,"")</f>
        <v>sin dato</v>
      </c>
    </row>
    <row r="99" spans="1:39" ht="16.05" customHeight="1" x14ac:dyDescent="0.3">
      <c r="A99" s="13" t="s">
        <v>278</v>
      </c>
      <c r="B99" s="14" t="s">
        <v>279</v>
      </c>
      <c r="C99" s="13" t="s">
        <v>117</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t="str">
        <f t="shared" si="23"/>
        <v/>
      </c>
      <c r="R99" s="17" t="str">
        <f t="shared" si="24"/>
        <v/>
      </c>
      <c r="S99" s="17" t="str">
        <f t="shared" si="25"/>
        <v/>
      </c>
      <c r="T99" s="17" t="str">
        <f>IF(ISNUMBER(MATRIZ_174!O98),IFERROR((K99+M99+MATRIZ_174!O98*100)/3,0),"")</f>
        <v/>
      </c>
      <c r="U99" s="18" t="str">
        <f>IF(ISNUMBER(MATRIZ_174!M98),MIN(100,ROUND(MATRIZ_174!M98,1)),"")</f>
        <v/>
      </c>
      <c r="V99" s="18">
        <f t="shared" si="26"/>
        <v>50</v>
      </c>
      <c r="W99" s="18">
        <f>IFERROR(IF(MATRIZ_174!R98=0,65,IF(MATRIZ_174!R98/MATRIZ_174!Q98&gt;=2,35,IF(MATRIZ_174!R98/MATRIZ_174!Q98&gt;=0.5,50,65))),65)</f>
        <v>65</v>
      </c>
      <c r="X99" s="18" t="str">
        <f>IF(ISNUMBER(MATRIZ_174!O98),MIN(100,IF(MATRIZ_174!O98=0,70,30)+IF(MATRIZ_174!U98="",0,0.3*(100-MATRIZ_174!U98*100))),"")</f>
        <v/>
      </c>
      <c r="Y99" s="18">
        <f>IF(OR(MATRIZ_174!P98="ASOCIACION",MATRIZ_174!P98="PENDIENTE"),65,40)</f>
        <v>65</v>
      </c>
      <c r="Z99" s="19" t="str">
        <f t="shared" si="27"/>
        <v>—</v>
      </c>
      <c r="AA99" s="20">
        <f t="shared" si="28"/>
        <v>60</v>
      </c>
      <c r="AB99" s="21" t="str">
        <f t="shared" si="29"/>
        <v>—</v>
      </c>
      <c r="AC99" s="13" t="str">
        <f t="shared" si="30"/>
        <v>⬜  Pendiente de instrumento</v>
      </c>
      <c r="AD99" s="13" t="str">
        <f>IF(MATRIZ_174!U98="","",IF(MATRIZ_174!U98=0,"🚫  Inh. vigente OSCE",""))</f>
        <v/>
      </c>
      <c r="AE99" s="22" t="str">
        <f>IFERROR(MATRIZ_174!W98,0)</f>
        <v/>
      </c>
      <c r="AF99" s="22" t="str">
        <f>IFERROR(MATRIZ_174!X98,0)</f>
        <v/>
      </c>
      <c r="AG99" s="22" t="str">
        <f>IFERROR(MATRIZ_174!Y98,0)</f>
        <v/>
      </c>
      <c r="AH99" s="22" t="str">
        <f>IFERROR(MATRIZ_174!Z98,0)</f>
        <v/>
      </c>
      <c r="AI99" s="17" t="str">
        <f>IFERROR(MATRIZ_174!AP98,"—")</f>
        <v>—</v>
      </c>
      <c r="AJ99" s="17" t="str">
        <f>IFERROR(MATRIZ_174!AO98,"N/A")</f>
        <v>N/A</v>
      </c>
      <c r="AK99" s="23" t="str">
        <f t="shared" si="31"/>
        <v>N/A</v>
      </c>
      <c r="AL99" s="24" t="str">
        <f t="shared" si="32"/>
        <v>—</v>
      </c>
      <c r="AM99" t="str">
        <f>IFERROR(MATRIZ_174!AT98,"")</f>
        <v>sin dato</v>
      </c>
    </row>
    <row r="100" spans="1:39" ht="16.05" customHeight="1" x14ac:dyDescent="0.3">
      <c r="A100" s="13" t="s">
        <v>280</v>
      </c>
      <c r="B100" s="14" t="s">
        <v>281</v>
      </c>
      <c r="C100" s="13" t="s">
        <v>117</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t="str">
        <f t="shared" ref="Q100:Q131" si="34">IFERROR(SQRT(G100*H100),"")</f>
        <v/>
      </c>
      <c r="R100" s="17" t="str">
        <f t="shared" ref="R100:R131" si="35">IFERROR((I100+J100+L100)/3,"")</f>
        <v/>
      </c>
      <c r="S100" s="17" t="str">
        <f t="shared" ref="S100:S131" si="36">IFERROR((J100+F100)/2,"")</f>
        <v/>
      </c>
      <c r="T100" s="17" t="str">
        <f>IF(ISNUMBER(MATRIZ_174!O99),IFERROR((K100+M100+MATRIZ_174!O99*100)/3,0),"")</f>
        <v/>
      </c>
      <c r="U100" s="18" t="str">
        <f>IF(ISNUMBER(MATRIZ_174!M99),MIN(100,ROUND(MATRIZ_174!M99,1)),"")</f>
        <v/>
      </c>
      <c r="V100" s="18">
        <f t="shared" ref="V100:V131" si="37">IF(OR(NOT(ISNUMBER(F100)),F100=0),50,F100)</f>
        <v>50</v>
      </c>
      <c r="W100" s="18">
        <f>IFERROR(IF(MATRIZ_174!R99=0,65,IF(MATRIZ_174!R99/MATRIZ_174!Q99&gt;=2,35,IF(MATRIZ_174!R99/MATRIZ_174!Q99&gt;=0.5,50,65))),65)</f>
        <v>65</v>
      </c>
      <c r="X100" s="18" t="str">
        <f>IF(ISNUMBER(MATRIZ_174!O99),MIN(100,IF(MATRIZ_174!O99=0,70,30)+IF(MATRIZ_174!U99="",0,0.3*(100-MATRIZ_174!U99*100))),"")</f>
        <v/>
      </c>
      <c r="Y100" s="18">
        <f>IF(OR(MATRIZ_174!P99="ASOCIACION",MATRIZ_174!P99="PENDIENTE"),65,40)</f>
        <v>65</v>
      </c>
      <c r="Z100" s="19" t="str">
        <f t="shared" ref="Z100:Z131" si="38">IF(COUNT(F100:M100)&lt;8,"—",IFERROR(ROUND(AVERAGE(P100:T100),1),"—"))</f>
        <v>—</v>
      </c>
      <c r="AA100" s="20">
        <f t="shared" ref="AA100:AA131" si="39">IFERROR(ROUND(AVERAGE(U100,V100,W100,X100,Y100),1),"—")</f>
        <v>60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t="str">
        <f>IFERROR(MATRIZ_174!W99,0)</f>
        <v/>
      </c>
      <c r="AF100" s="22" t="str">
        <f>IFERROR(MATRIZ_174!X99,0)</f>
        <v/>
      </c>
      <c r="AG100" s="22" t="str">
        <f>IFERROR(MATRIZ_174!Y99,0)</f>
        <v/>
      </c>
      <c r="AH100" s="22" t="str">
        <f>IFERROR(MATRIZ_174!Z99,0)</f>
        <v/>
      </c>
      <c r="AI100" s="17" t="str">
        <f>IFERROR(MATRIZ_174!AP99,"—")</f>
        <v>—</v>
      </c>
      <c r="AJ100" s="17" t="str">
        <f>IFERROR(MATRIZ_174!AO99,"N/A")</f>
        <v>N/A</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c r="AM100" t="str">
        <f>IFERROR(MATRIZ_174!AT99,"")</f>
        <v>sin dato</v>
      </c>
    </row>
    <row r="101" spans="1:39" ht="16.05" customHeight="1" x14ac:dyDescent="0.3">
      <c r="A101" s="13" t="s">
        <v>283</v>
      </c>
      <c r="B101" s="14" t="s">
        <v>284</v>
      </c>
      <c r="C101" s="13" t="s">
        <v>78</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t="str">
        <f t="shared" si="34"/>
        <v/>
      </c>
      <c r="R101" s="17" t="str">
        <f t="shared" si="35"/>
        <v/>
      </c>
      <c r="S101" s="17" t="str">
        <f t="shared" si="36"/>
        <v/>
      </c>
      <c r="T101" s="17" t="str">
        <f>IF(ISNUMBER(MATRIZ_174!O100),IFERROR((K101+M101+MATRIZ_174!O100*100)/3,0),"")</f>
        <v/>
      </c>
      <c r="U101" s="18" t="str">
        <f>IF(ISNUMBER(MATRIZ_174!M100),MIN(100,ROUND(MATRIZ_174!M100,1)),"")</f>
        <v/>
      </c>
      <c r="V101" s="18">
        <f t="shared" si="37"/>
        <v>50</v>
      </c>
      <c r="W101" s="18">
        <f>IFERROR(IF(MATRIZ_174!R100=0,65,IF(MATRIZ_174!R100/MATRIZ_174!Q100&gt;=2,35,IF(MATRIZ_174!R100/MATRIZ_174!Q100&gt;=0.5,50,65))),65)</f>
        <v>65</v>
      </c>
      <c r="X101" s="18" t="str">
        <f>IF(ISNUMBER(MATRIZ_174!O100),MIN(100,IF(MATRIZ_174!O100=0,70,30)+IF(MATRIZ_174!U100="",0,0.3*(100-MATRIZ_174!U100*100))),"")</f>
        <v/>
      </c>
      <c r="Y101" s="18">
        <f>IF(OR(MATRIZ_174!P100="ASOCIACION",MATRIZ_174!P100="PENDIENTE"),65,40)</f>
        <v>65</v>
      </c>
      <c r="Z101" s="19" t="str">
        <f t="shared" si="38"/>
        <v>—</v>
      </c>
      <c r="AA101" s="20">
        <f t="shared" si="39"/>
        <v>60</v>
      </c>
      <c r="AB101" s="21" t="str">
        <f t="shared" si="40"/>
        <v>—</v>
      </c>
      <c r="AC101" s="13" t="str">
        <f t="shared" si="41"/>
        <v>⬜  Pendiente de instrumento</v>
      </c>
      <c r="AD101" s="13" t="str">
        <f>IF(MATRIZ_174!U100="","",IF(MATRIZ_174!U100=0,"🚫  Inh. vigente OSCE",""))</f>
        <v/>
      </c>
      <c r="AE101" s="22" t="str">
        <f>IFERROR(MATRIZ_174!W100,0)</f>
        <v/>
      </c>
      <c r="AF101" s="22" t="str">
        <f>IFERROR(MATRIZ_174!X100,0)</f>
        <v/>
      </c>
      <c r="AG101" s="22" t="str">
        <f>IFERROR(MATRIZ_174!Y100,0)</f>
        <v/>
      </c>
      <c r="AH101" s="22" t="str">
        <f>IFERROR(MATRIZ_174!Z100,0)</f>
        <v/>
      </c>
      <c r="AI101" s="17" t="str">
        <f>IFERROR(MATRIZ_174!AP100,"—")</f>
        <v>—</v>
      </c>
      <c r="AJ101" s="17" t="str">
        <f>IFERROR(MATRIZ_174!AO100,"N/A")</f>
        <v>N/A</v>
      </c>
      <c r="AK101" s="23" t="str">
        <f t="shared" si="42"/>
        <v>N/A</v>
      </c>
      <c r="AL101" s="24" t="str">
        <f t="shared" si="43"/>
        <v>—</v>
      </c>
      <c r="AM101" t="str">
        <f>IFERROR(MATRIZ_174!AT100,"")</f>
        <v>sin dato</v>
      </c>
    </row>
    <row r="102" spans="1:39" ht="16.05" customHeight="1" x14ac:dyDescent="0.3">
      <c r="A102" s="13" t="s">
        <v>285</v>
      </c>
      <c r="B102" s="14" t="s">
        <v>286</v>
      </c>
      <c r="C102" s="13" t="s">
        <v>110</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t="str">
        <f t="shared" si="34"/>
        <v/>
      </c>
      <c r="R102" s="17" t="str">
        <f t="shared" si="35"/>
        <v/>
      </c>
      <c r="S102" s="17" t="str">
        <f t="shared" si="36"/>
        <v/>
      </c>
      <c r="T102" s="17" t="str">
        <f>IF(ISNUMBER(MATRIZ_174!O101),IFERROR((K102+M102+MATRIZ_174!O101*100)/3,0),"")</f>
        <v/>
      </c>
      <c r="U102" s="18" t="str">
        <f>IF(ISNUMBER(MATRIZ_174!M101),MIN(100,ROUND(MATRIZ_174!M101,1)),"")</f>
        <v/>
      </c>
      <c r="V102" s="18">
        <f t="shared" si="37"/>
        <v>50</v>
      </c>
      <c r="W102" s="18">
        <f>IFERROR(IF(MATRIZ_174!R101=0,65,IF(MATRIZ_174!R101/MATRIZ_174!Q101&gt;=2,35,IF(MATRIZ_174!R101/MATRIZ_174!Q101&gt;=0.5,50,65))),65)</f>
        <v>65</v>
      </c>
      <c r="X102" s="18" t="str">
        <f>IF(ISNUMBER(MATRIZ_174!O101),MIN(100,IF(MATRIZ_174!O101=0,70,30)+IF(MATRIZ_174!U101="",0,0.3*(100-MATRIZ_174!U101*100))),"")</f>
        <v/>
      </c>
      <c r="Y102" s="18">
        <f>IF(OR(MATRIZ_174!P101="ASOCIACION",MATRIZ_174!P101="PENDIENTE"),65,40)</f>
        <v>65</v>
      </c>
      <c r="Z102" s="19" t="str">
        <f t="shared" si="38"/>
        <v>—</v>
      </c>
      <c r="AA102" s="20">
        <f t="shared" si="39"/>
        <v>60</v>
      </c>
      <c r="AB102" s="21" t="str">
        <f t="shared" si="40"/>
        <v>—</v>
      </c>
      <c r="AC102" s="13" t="str">
        <f t="shared" si="41"/>
        <v>⬜  Pendiente de instrumento</v>
      </c>
      <c r="AD102" s="13" t="str">
        <f>IF(MATRIZ_174!U101="","",IF(MATRIZ_174!U101=0,"🚫  Inh. vigente OSCE",""))</f>
        <v/>
      </c>
      <c r="AE102" s="22" t="str">
        <f>IFERROR(MATRIZ_174!W101,0)</f>
        <v/>
      </c>
      <c r="AF102" s="22" t="str">
        <f>IFERROR(MATRIZ_174!X101,0)</f>
        <v/>
      </c>
      <c r="AG102" s="22" t="str">
        <f>IFERROR(MATRIZ_174!Y101,0)</f>
        <v/>
      </c>
      <c r="AH102" s="22" t="str">
        <f>IFERROR(MATRIZ_174!Z101,0)</f>
        <v/>
      </c>
      <c r="AI102" s="17" t="str">
        <f>IFERROR(MATRIZ_174!AP101,"—")</f>
        <v>—</v>
      </c>
      <c r="AJ102" s="17" t="str">
        <f>IFERROR(MATRIZ_174!AO101,"N/A")</f>
        <v>N/A</v>
      </c>
      <c r="AK102" s="23" t="str">
        <f t="shared" si="42"/>
        <v>N/A</v>
      </c>
      <c r="AL102" s="24" t="str">
        <f t="shared" si="43"/>
        <v>—</v>
      </c>
      <c r="AM102" t="str">
        <f>IFERROR(MATRIZ_174!AT101,"")</f>
        <v>sin dato</v>
      </c>
    </row>
    <row r="103" spans="1:39" ht="16.05" customHeight="1" x14ac:dyDescent="0.3">
      <c r="A103" s="13" t="s">
        <v>287</v>
      </c>
      <c r="B103" s="14" t="s">
        <v>288</v>
      </c>
      <c r="C103" s="13" t="s">
        <v>117</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t="str">
        <f t="shared" si="34"/>
        <v/>
      </c>
      <c r="R103" s="17" t="str">
        <f t="shared" si="35"/>
        <v/>
      </c>
      <c r="S103" s="17" t="str">
        <f t="shared" si="36"/>
        <v/>
      </c>
      <c r="T103" s="17" t="str">
        <f>IF(ISNUMBER(MATRIZ_174!O102),IFERROR((K103+M103+MATRIZ_174!O102*100)/3,0),"")</f>
        <v/>
      </c>
      <c r="U103" s="18" t="str">
        <f>IF(ISNUMBER(MATRIZ_174!M102),MIN(100,ROUND(MATRIZ_174!M102,1)),"")</f>
        <v/>
      </c>
      <c r="V103" s="18">
        <f t="shared" si="37"/>
        <v>50</v>
      </c>
      <c r="W103" s="18">
        <f>IFERROR(IF(MATRIZ_174!R102=0,65,IF(MATRIZ_174!R102/MATRIZ_174!Q102&gt;=2,35,IF(MATRIZ_174!R102/MATRIZ_174!Q102&gt;=0.5,50,65))),65)</f>
        <v>65</v>
      </c>
      <c r="X103" s="18" t="str">
        <f>IF(ISNUMBER(MATRIZ_174!O102),MIN(100,IF(MATRIZ_174!O102=0,70,30)+IF(MATRIZ_174!U102="",0,0.3*(100-MATRIZ_174!U102*100))),"")</f>
        <v/>
      </c>
      <c r="Y103" s="18">
        <f>IF(OR(MATRIZ_174!P102="ASOCIACION",MATRIZ_174!P102="PENDIENTE"),65,40)</f>
        <v>65</v>
      </c>
      <c r="Z103" s="19" t="str">
        <f t="shared" si="38"/>
        <v>—</v>
      </c>
      <c r="AA103" s="20">
        <f t="shared" si="39"/>
        <v>60</v>
      </c>
      <c r="AB103" s="21" t="str">
        <f t="shared" si="40"/>
        <v>—</v>
      </c>
      <c r="AC103" s="13" t="str">
        <f t="shared" si="41"/>
        <v>⬜  Pendiente de instrumento</v>
      </c>
      <c r="AD103" s="13" t="str">
        <f>IF(MATRIZ_174!U102="","",IF(MATRIZ_174!U102=0,"🚫  Inh. vigente OSCE",""))</f>
        <v/>
      </c>
      <c r="AE103" s="22" t="str">
        <f>IFERROR(MATRIZ_174!W102,0)</f>
        <v/>
      </c>
      <c r="AF103" s="22" t="str">
        <f>IFERROR(MATRIZ_174!X102,0)</f>
        <v/>
      </c>
      <c r="AG103" s="22" t="str">
        <f>IFERROR(MATRIZ_174!Y102,0)</f>
        <v/>
      </c>
      <c r="AH103" s="22" t="str">
        <f>IFERROR(MATRIZ_174!Z102,0)</f>
        <v/>
      </c>
      <c r="AI103" s="17" t="str">
        <f>IFERROR(MATRIZ_174!AP102,"—")</f>
        <v>—</v>
      </c>
      <c r="AJ103" s="17" t="str">
        <f>IFERROR(MATRIZ_174!AO102,"N/A")</f>
        <v>N/A</v>
      </c>
      <c r="AK103" s="23" t="str">
        <f t="shared" si="42"/>
        <v>N/A</v>
      </c>
      <c r="AL103" s="24" t="str">
        <f t="shared" si="43"/>
        <v>—</v>
      </c>
      <c r="AM103" t="str">
        <f>IFERROR(MATRIZ_174!AT102,"")</f>
        <v>sin dato</v>
      </c>
    </row>
    <row r="104" spans="1:39" ht="16.05" customHeight="1" x14ac:dyDescent="0.3">
      <c r="A104" s="13" t="s">
        <v>289</v>
      </c>
      <c r="B104" s="14" t="s">
        <v>290</v>
      </c>
      <c r="C104" s="13" t="s">
        <v>190</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t="str">
        <f t="shared" si="34"/>
        <v/>
      </c>
      <c r="R104" s="17" t="str">
        <f t="shared" si="35"/>
        <v/>
      </c>
      <c r="S104" s="17" t="str">
        <f t="shared" si="36"/>
        <v/>
      </c>
      <c r="T104" s="17" t="str">
        <f>IF(ISNUMBER(MATRIZ_174!O103),IFERROR((K104+M104+MATRIZ_174!O103*100)/3,0),"")</f>
        <v/>
      </c>
      <c r="U104" s="18" t="str">
        <f>IF(ISNUMBER(MATRIZ_174!M103),MIN(100,ROUND(MATRIZ_174!M103,1)),"")</f>
        <v/>
      </c>
      <c r="V104" s="18">
        <f t="shared" si="37"/>
        <v>50</v>
      </c>
      <c r="W104" s="18">
        <f>IFERROR(IF(MATRIZ_174!R103=0,65,IF(MATRIZ_174!R103/MATRIZ_174!Q103&gt;=2,35,IF(MATRIZ_174!R103/MATRIZ_174!Q103&gt;=0.5,50,65))),65)</f>
        <v>65</v>
      </c>
      <c r="X104" s="18" t="str">
        <f>IF(ISNUMBER(MATRIZ_174!O103),MIN(100,IF(MATRIZ_174!O103=0,70,30)+IF(MATRIZ_174!U103="",0,0.3*(100-MATRIZ_174!U103*100))),"")</f>
        <v/>
      </c>
      <c r="Y104" s="18">
        <f>IF(OR(MATRIZ_174!P103="ASOCIACION",MATRIZ_174!P103="PENDIENTE"),65,40)</f>
        <v>65</v>
      </c>
      <c r="Z104" s="19" t="str">
        <f t="shared" si="38"/>
        <v>—</v>
      </c>
      <c r="AA104" s="20">
        <f t="shared" si="39"/>
        <v>60</v>
      </c>
      <c r="AB104" s="21" t="str">
        <f t="shared" si="40"/>
        <v>—</v>
      </c>
      <c r="AC104" s="13" t="str">
        <f t="shared" si="41"/>
        <v>⬜  Pendiente de instrumento</v>
      </c>
      <c r="AD104" s="13" t="str">
        <f>IF(MATRIZ_174!U103="","",IF(MATRIZ_174!U103=0,"🚫  Inh. vigente OSCE",""))</f>
        <v/>
      </c>
      <c r="AE104" s="22" t="str">
        <f>IFERROR(MATRIZ_174!W103,0)</f>
        <v/>
      </c>
      <c r="AF104" s="22" t="str">
        <f>IFERROR(MATRIZ_174!X103,0)</f>
        <v/>
      </c>
      <c r="AG104" s="22" t="str">
        <f>IFERROR(MATRIZ_174!Y103,0)</f>
        <v/>
      </c>
      <c r="AH104" s="22" t="str">
        <f>IFERROR(MATRIZ_174!Z103,0)</f>
        <v/>
      </c>
      <c r="AI104" s="17" t="str">
        <f>IFERROR(MATRIZ_174!AP103,"—")</f>
        <v>—</v>
      </c>
      <c r="AJ104" s="17" t="str">
        <f>IFERROR(MATRIZ_174!AO103,"N/A")</f>
        <v>N/A</v>
      </c>
      <c r="AK104" s="23" t="str">
        <f t="shared" si="42"/>
        <v>N/A</v>
      </c>
      <c r="AL104" s="24" t="str">
        <f t="shared" si="43"/>
        <v>—</v>
      </c>
      <c r="AM104" t="str">
        <f>IFERROR(MATRIZ_174!AT103,"")</f>
        <v>sin dato</v>
      </c>
    </row>
    <row r="105" spans="1:39" ht="16.05" customHeight="1" x14ac:dyDescent="0.3">
      <c r="A105" s="13" t="s">
        <v>291</v>
      </c>
      <c r="B105" s="14" t="s">
        <v>292</v>
      </c>
      <c r="C105" s="13" t="s">
        <v>239</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t="str">
        <f t="shared" si="34"/>
        <v/>
      </c>
      <c r="R105" s="17" t="str">
        <f t="shared" si="35"/>
        <v/>
      </c>
      <c r="S105" s="17" t="str">
        <f t="shared" si="36"/>
        <v/>
      </c>
      <c r="T105" s="17" t="str">
        <f>IF(ISNUMBER(MATRIZ_174!O104),IFERROR((K105+M105+MATRIZ_174!O104*100)/3,0),"")</f>
        <v/>
      </c>
      <c r="U105" s="18" t="str">
        <f>IF(ISNUMBER(MATRIZ_174!M104),MIN(100,ROUND(MATRIZ_174!M104,1)),"")</f>
        <v/>
      </c>
      <c r="V105" s="18">
        <f t="shared" si="37"/>
        <v>50</v>
      </c>
      <c r="W105" s="18">
        <f>IFERROR(IF(MATRIZ_174!R104=0,65,IF(MATRIZ_174!R104/MATRIZ_174!Q104&gt;=2,35,IF(MATRIZ_174!R104/MATRIZ_174!Q104&gt;=0.5,50,65))),65)</f>
        <v>65</v>
      </c>
      <c r="X105" s="18" t="str">
        <f>IF(ISNUMBER(MATRIZ_174!O104),MIN(100,IF(MATRIZ_174!O104=0,70,30)+IF(MATRIZ_174!U104="",0,0.3*(100-MATRIZ_174!U104*100))),"")</f>
        <v/>
      </c>
      <c r="Y105" s="18">
        <f>IF(OR(MATRIZ_174!P104="ASOCIACION",MATRIZ_174!P104="PENDIENTE"),65,40)</f>
        <v>65</v>
      </c>
      <c r="Z105" s="19" t="str">
        <f t="shared" si="38"/>
        <v>—</v>
      </c>
      <c r="AA105" s="20">
        <f t="shared" si="39"/>
        <v>60</v>
      </c>
      <c r="AB105" s="21" t="str">
        <f t="shared" si="40"/>
        <v>—</v>
      </c>
      <c r="AC105" s="13" t="str">
        <f t="shared" si="41"/>
        <v>⬜  Pendiente de instrumento</v>
      </c>
      <c r="AD105" s="13" t="str">
        <f>IF(MATRIZ_174!U104="","",IF(MATRIZ_174!U104=0,"🚫  Inh. vigente OSCE",""))</f>
        <v/>
      </c>
      <c r="AE105" s="22" t="str">
        <f>IFERROR(MATRIZ_174!W104,0)</f>
        <v/>
      </c>
      <c r="AF105" s="22" t="str">
        <f>IFERROR(MATRIZ_174!X104,0)</f>
        <v/>
      </c>
      <c r="AG105" s="22" t="str">
        <f>IFERROR(MATRIZ_174!Y104,0)</f>
        <v/>
      </c>
      <c r="AH105" s="22" t="str">
        <f>IFERROR(MATRIZ_174!Z104,0)</f>
        <v/>
      </c>
      <c r="AI105" s="17" t="str">
        <f>IFERROR(MATRIZ_174!AP104,"—")</f>
        <v>—</v>
      </c>
      <c r="AJ105" s="17" t="str">
        <f>IFERROR(MATRIZ_174!AO104,"N/A")</f>
        <v>N/A</v>
      </c>
      <c r="AK105" s="23" t="str">
        <f t="shared" si="42"/>
        <v>N/A</v>
      </c>
      <c r="AL105" s="24" t="str">
        <f t="shared" si="43"/>
        <v>—</v>
      </c>
      <c r="AM105" t="str">
        <f>IFERROR(MATRIZ_174!AT104,"")</f>
        <v>sin dato</v>
      </c>
    </row>
    <row r="106" spans="1:39" ht="16.05" customHeight="1" x14ac:dyDescent="0.3">
      <c r="A106" s="13" t="s">
        <v>293</v>
      </c>
      <c r="B106" s="14" t="s">
        <v>294</v>
      </c>
      <c r="C106" s="13" t="s">
        <v>110</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t="str">
        <f t="shared" si="34"/>
        <v/>
      </c>
      <c r="R106" s="17" t="str">
        <f t="shared" si="35"/>
        <v/>
      </c>
      <c r="S106" s="17" t="str">
        <f t="shared" si="36"/>
        <v/>
      </c>
      <c r="T106" s="17" t="str">
        <f>IF(ISNUMBER(MATRIZ_174!O105),IFERROR((K106+M106+MATRIZ_174!O105*100)/3,0),"")</f>
        <v/>
      </c>
      <c r="U106" s="18" t="str">
        <f>IF(ISNUMBER(MATRIZ_174!M105),MIN(100,ROUND(MATRIZ_174!M105,1)),"")</f>
        <v/>
      </c>
      <c r="V106" s="18">
        <f t="shared" si="37"/>
        <v>50</v>
      </c>
      <c r="W106" s="18">
        <f>IFERROR(IF(MATRIZ_174!R105=0,65,IF(MATRIZ_174!R105/MATRIZ_174!Q105&gt;=2,35,IF(MATRIZ_174!R105/MATRIZ_174!Q105&gt;=0.5,50,65))),65)</f>
        <v>65</v>
      </c>
      <c r="X106" s="18" t="str">
        <f>IF(ISNUMBER(MATRIZ_174!O105),MIN(100,IF(MATRIZ_174!O105=0,70,30)+IF(MATRIZ_174!U105="",0,0.3*(100-MATRIZ_174!U105*100))),"")</f>
        <v/>
      </c>
      <c r="Y106" s="18">
        <f>IF(OR(MATRIZ_174!P105="ASOCIACION",MATRIZ_174!P105="PENDIENTE"),65,40)</f>
        <v>65</v>
      </c>
      <c r="Z106" s="19" t="str">
        <f t="shared" si="38"/>
        <v>—</v>
      </c>
      <c r="AA106" s="20">
        <f t="shared" si="39"/>
        <v>60</v>
      </c>
      <c r="AB106" s="21" t="str">
        <f t="shared" si="40"/>
        <v>—</v>
      </c>
      <c r="AC106" s="13" t="str">
        <f t="shared" si="41"/>
        <v>⬜  Pendiente de instrumento</v>
      </c>
      <c r="AD106" s="13" t="str">
        <f>IF(MATRIZ_174!U105="","",IF(MATRIZ_174!U105=0,"🚫  Inh. vigente OSCE",""))</f>
        <v/>
      </c>
      <c r="AE106" s="22" t="str">
        <f>IFERROR(MATRIZ_174!W105,0)</f>
        <v/>
      </c>
      <c r="AF106" s="22" t="str">
        <f>IFERROR(MATRIZ_174!X105,0)</f>
        <v/>
      </c>
      <c r="AG106" s="22" t="str">
        <f>IFERROR(MATRIZ_174!Y105,0)</f>
        <v/>
      </c>
      <c r="AH106" s="22" t="str">
        <f>IFERROR(MATRIZ_174!Z105,0)</f>
        <v/>
      </c>
      <c r="AI106" s="17" t="str">
        <f>IFERROR(MATRIZ_174!AP105,"—")</f>
        <v>—</v>
      </c>
      <c r="AJ106" s="17" t="str">
        <f>IFERROR(MATRIZ_174!AO105,"N/A")</f>
        <v>N/A</v>
      </c>
      <c r="AK106" s="23" t="str">
        <f t="shared" si="42"/>
        <v>N/A</v>
      </c>
      <c r="AL106" s="24" t="str">
        <f t="shared" si="43"/>
        <v>—</v>
      </c>
      <c r="AM106" t="str">
        <f>IFERROR(MATRIZ_174!AT105,"")</f>
        <v>sin dato</v>
      </c>
    </row>
    <row r="107" spans="1:39" ht="16.05" customHeight="1" x14ac:dyDescent="0.3">
      <c r="A107" s="13" t="s">
        <v>295</v>
      </c>
      <c r="B107" s="14" t="s">
        <v>296</v>
      </c>
      <c r="C107" s="13" t="s">
        <v>137</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t="str">
        <f t="shared" si="34"/>
        <v/>
      </c>
      <c r="R107" s="17" t="str">
        <f t="shared" si="35"/>
        <v/>
      </c>
      <c r="S107" s="17" t="str">
        <f t="shared" si="36"/>
        <v/>
      </c>
      <c r="T107" s="17">
        <f>IF(ISNUMBER(MATRIZ_174!O106),IFERROR((K107+M107+MATRIZ_174!O106*100)/3,0),"")</f>
        <v>0</v>
      </c>
      <c r="U107" s="18">
        <f>IF(ISNUMBER(MATRIZ_174!M106),MIN(100,ROUND(MATRIZ_174!M106,1)),"")</f>
        <v>49.6</v>
      </c>
      <c r="V107" s="18">
        <f t="shared" si="37"/>
        <v>50</v>
      </c>
      <c r="W107" s="18">
        <f>IFERROR(IF(MATRIZ_174!R106=0,65,IF(MATRIZ_174!R106/MATRIZ_174!Q106&gt;=2,35,IF(MATRIZ_174!R106/MATRIZ_174!Q106&gt;=0.5,50,65))),65)</f>
        <v>35</v>
      </c>
      <c r="X107" s="18">
        <f>IF(ISNUMBER(MATRIZ_174!O106),MIN(100,IF(MATRIZ_174!O106=0,70,30)+IF(MATRIZ_174!U106="",0,0.3*(100-MATRIZ_174!U106*100))),"")</f>
        <v>30</v>
      </c>
      <c r="Y107" s="18">
        <f>IF(OR(MATRIZ_174!P106="ASOCIACION",MATRIZ_174!P106="PENDIENTE"),65,40)</f>
        <v>65</v>
      </c>
      <c r="Z107" s="19" t="str">
        <f t="shared" si="38"/>
        <v>—</v>
      </c>
      <c r="AA107" s="20">
        <f t="shared" si="39"/>
        <v>45.9</v>
      </c>
      <c r="AB107" s="21" t="str">
        <f t="shared" si="40"/>
        <v>—</v>
      </c>
      <c r="AC107" s="13" t="str">
        <f t="shared" si="41"/>
        <v>⬜  Pendiente de instrumento</v>
      </c>
      <c r="AD107" s="13" t="str">
        <f>IF(MATRIZ_174!U106="","",IF(MATRIZ_174!U106=0,"🚫  Inh. vigente OSCE",""))</f>
        <v/>
      </c>
      <c r="AE107" s="22">
        <f>IFERROR(MATRIZ_174!W106,0)</f>
        <v>1</v>
      </c>
      <c r="AF107" s="22" t="str">
        <f>IFERROR(MATRIZ_174!X106,0)</f>
        <v/>
      </c>
      <c r="AG107" s="22" t="str">
        <f>IFERROR(MATRIZ_174!Y106,0)</f>
        <v/>
      </c>
      <c r="AH107" s="22" t="str">
        <f>IFERROR(MATRIZ_174!Z106,0)</f>
        <v/>
      </c>
      <c r="AI107" s="17">
        <f>IFERROR(MATRIZ_174!AP106,"—")</f>
        <v>0.58166666666666667</v>
      </c>
      <c r="AJ107" s="17" t="str">
        <f>IFERROR(MATRIZ_174!AO106,"N/A")</f>
        <v>N/A</v>
      </c>
      <c r="AK107" s="23" t="str">
        <f t="shared" si="42"/>
        <v>N/A</v>
      </c>
      <c r="AL107" s="24" t="str">
        <f t="shared" si="43"/>
        <v>—</v>
      </c>
      <c r="AM107" t="str">
        <f>IFERROR(MATRIZ_174!AT106,"")</f>
        <v>parcial · 3/7 · D12-D15 0/4</v>
      </c>
    </row>
    <row r="108" spans="1:39" ht="16.05" customHeight="1" x14ac:dyDescent="0.3">
      <c r="A108" s="13" t="s">
        <v>297</v>
      </c>
      <c r="B108" s="14" t="s">
        <v>298</v>
      </c>
      <c r="C108" s="13" t="s">
        <v>107</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t="str">
        <f t="shared" si="34"/>
        <v/>
      </c>
      <c r="R108" s="17" t="str">
        <f t="shared" si="35"/>
        <v/>
      </c>
      <c r="S108" s="17" t="str">
        <f t="shared" si="36"/>
        <v/>
      </c>
      <c r="T108" s="17" t="str">
        <f>IF(ISNUMBER(MATRIZ_174!O107),IFERROR((K108+M108+MATRIZ_174!O107*100)/3,0),"")</f>
        <v/>
      </c>
      <c r="U108" s="18" t="str">
        <f>IF(ISNUMBER(MATRIZ_174!M107),MIN(100,ROUND(MATRIZ_174!M107,1)),"")</f>
        <v/>
      </c>
      <c r="V108" s="18">
        <f t="shared" si="37"/>
        <v>50</v>
      </c>
      <c r="W108" s="18">
        <f>IFERROR(IF(MATRIZ_174!R107=0,65,IF(MATRIZ_174!R107/MATRIZ_174!Q107&gt;=2,35,IF(MATRIZ_174!R107/MATRIZ_174!Q107&gt;=0.5,50,65))),65)</f>
        <v>65</v>
      </c>
      <c r="X108" s="18" t="str">
        <f>IF(ISNUMBER(MATRIZ_174!O107),MIN(100,IF(MATRIZ_174!O107=0,70,30)+IF(MATRIZ_174!U107="",0,0.3*(100-MATRIZ_174!U107*100))),"")</f>
        <v/>
      </c>
      <c r="Y108" s="18">
        <f>IF(OR(MATRIZ_174!P107="ASOCIACION",MATRIZ_174!P107="PENDIENTE"),65,40)</f>
        <v>65</v>
      </c>
      <c r="Z108" s="19" t="str">
        <f t="shared" si="38"/>
        <v>—</v>
      </c>
      <c r="AA108" s="20">
        <f t="shared" si="39"/>
        <v>60</v>
      </c>
      <c r="AB108" s="21" t="str">
        <f t="shared" si="40"/>
        <v>—</v>
      </c>
      <c r="AC108" s="13" t="str">
        <f t="shared" si="41"/>
        <v>⬜  Pendiente de instrumento</v>
      </c>
      <c r="AD108" s="13" t="str">
        <f>IF(MATRIZ_174!U107="","",IF(MATRIZ_174!U107=0,"🚫  Inh. vigente OSCE",""))</f>
        <v/>
      </c>
      <c r="AE108" s="22" t="str">
        <f>IFERROR(MATRIZ_174!W107,0)</f>
        <v/>
      </c>
      <c r="AF108" s="22" t="str">
        <f>IFERROR(MATRIZ_174!X107,0)</f>
        <v/>
      </c>
      <c r="AG108" s="22" t="str">
        <f>IFERROR(MATRIZ_174!Y107,0)</f>
        <v/>
      </c>
      <c r="AH108" s="22" t="str">
        <f>IFERROR(MATRIZ_174!Z107,0)</f>
        <v/>
      </c>
      <c r="AI108" s="17" t="str">
        <f>IFERROR(MATRIZ_174!AP107,"—")</f>
        <v>—</v>
      </c>
      <c r="AJ108" s="17" t="str">
        <f>IFERROR(MATRIZ_174!AO107,"N/A")</f>
        <v>N/A</v>
      </c>
      <c r="AK108" s="23" t="str">
        <f t="shared" si="42"/>
        <v>N/A</v>
      </c>
      <c r="AL108" s="24" t="str">
        <f t="shared" si="43"/>
        <v>—</v>
      </c>
      <c r="AM108" t="str">
        <f>IFERROR(MATRIZ_174!AT107,"")</f>
        <v>sin dato</v>
      </c>
    </row>
    <row r="109" spans="1:39" ht="16.05" customHeight="1" x14ac:dyDescent="0.3">
      <c r="A109" s="13" t="s">
        <v>299</v>
      </c>
      <c r="B109" s="14" t="s">
        <v>300</v>
      </c>
      <c r="C109" s="13" t="s">
        <v>107</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t="str">
        <f t="shared" si="34"/>
        <v/>
      </c>
      <c r="R109" s="17" t="str">
        <f t="shared" si="35"/>
        <v/>
      </c>
      <c r="S109" s="17" t="str">
        <f t="shared" si="36"/>
        <v/>
      </c>
      <c r="T109" s="17" t="str">
        <f>IF(ISNUMBER(MATRIZ_174!O108),IFERROR((K109+M109+MATRIZ_174!O108*100)/3,0),"")</f>
        <v/>
      </c>
      <c r="U109" s="18">
        <f>IF(ISNUMBER(MATRIZ_174!M108),MIN(100,ROUND(MATRIZ_174!M108,1)),"")</f>
        <v>50</v>
      </c>
      <c r="V109" s="18">
        <f t="shared" si="37"/>
        <v>50</v>
      </c>
      <c r="W109" s="18">
        <f>IFERROR(IF(MATRIZ_174!R108=0,65,IF(MATRIZ_174!R108/MATRIZ_174!Q108&gt;=2,35,IF(MATRIZ_174!R108/MATRIZ_174!Q108&gt;=0.5,50,65))),65)</f>
        <v>65</v>
      </c>
      <c r="X109" s="18" t="str">
        <f>IF(ISNUMBER(MATRIZ_174!O108),MIN(100,IF(MATRIZ_174!O108=0,70,30)+IF(MATRIZ_174!U108="",0,0.3*(100-MATRIZ_174!U108*100))),"")</f>
        <v/>
      </c>
      <c r="Y109" s="18">
        <f>IF(OR(MATRIZ_174!P108="ASOCIACION",MATRIZ_174!P108="PENDIENTE"),65,40)</f>
        <v>65</v>
      </c>
      <c r="Z109" s="19" t="str">
        <f t="shared" si="38"/>
        <v>—</v>
      </c>
      <c r="AA109" s="20">
        <f t="shared" si="39"/>
        <v>57.5</v>
      </c>
      <c r="AB109" s="21" t="str">
        <f t="shared" si="40"/>
        <v>—</v>
      </c>
      <c r="AC109" s="13" t="str">
        <f t="shared" si="41"/>
        <v>⬜  Pendiente de instrumento</v>
      </c>
      <c r="AD109" s="13" t="str">
        <f>IF(MATRIZ_174!U108="","",IF(MATRIZ_174!U108=0,"🚫  Inh. vigente OSCE",""))</f>
        <v/>
      </c>
      <c r="AE109" s="22">
        <f>IFERROR(MATRIZ_174!W108,0)</f>
        <v>1</v>
      </c>
      <c r="AF109" s="22" t="str">
        <f>IFERROR(MATRIZ_174!X108,0)</f>
        <v/>
      </c>
      <c r="AG109" s="22" t="str">
        <f>IFERROR(MATRIZ_174!Y108,0)</f>
        <v/>
      </c>
      <c r="AH109" s="22" t="str">
        <f>IFERROR(MATRIZ_174!Z108,0)</f>
        <v/>
      </c>
      <c r="AI109" s="17">
        <f>IFERROR(MATRIZ_174!AP108,"—")</f>
        <v>0.5</v>
      </c>
      <c r="AJ109" s="17" t="str">
        <f>IFERROR(MATRIZ_174!AO108,"N/A")</f>
        <v>N/A</v>
      </c>
      <c r="AK109" s="23" t="str">
        <f t="shared" si="42"/>
        <v>N/A</v>
      </c>
      <c r="AL109" s="24" t="str">
        <f t="shared" si="43"/>
        <v>—</v>
      </c>
      <c r="AM109" t="str">
        <f>IFERROR(MATRIZ_174!AT108,"")</f>
        <v>parcial · 2/7 · D12-D15 0/4</v>
      </c>
    </row>
    <row r="110" spans="1:39" ht="16.05" customHeight="1" x14ac:dyDescent="0.3">
      <c r="A110" s="13" t="s">
        <v>301</v>
      </c>
      <c r="B110" s="14" t="s">
        <v>302</v>
      </c>
      <c r="C110" s="13" t="s">
        <v>70</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t="str">
        <f t="shared" si="34"/>
        <v/>
      </c>
      <c r="R110" s="17" t="str">
        <f t="shared" si="35"/>
        <v/>
      </c>
      <c r="S110" s="17" t="str">
        <f t="shared" si="36"/>
        <v/>
      </c>
      <c r="T110" s="17" t="str">
        <f>IF(ISNUMBER(MATRIZ_174!O109),IFERROR((K110+M110+MATRIZ_174!O109*100)/3,0),"")</f>
        <v/>
      </c>
      <c r="U110" s="18" t="str">
        <f>IF(ISNUMBER(MATRIZ_174!M109),MIN(100,ROUND(MATRIZ_174!M109,1)),"")</f>
        <v/>
      </c>
      <c r="V110" s="18">
        <f t="shared" si="37"/>
        <v>50</v>
      </c>
      <c r="W110" s="18">
        <f>IFERROR(IF(MATRIZ_174!R109=0,65,IF(MATRIZ_174!R109/MATRIZ_174!Q109&gt;=2,35,IF(MATRIZ_174!R109/MATRIZ_174!Q109&gt;=0.5,50,65))),65)</f>
        <v>65</v>
      </c>
      <c r="X110" s="18" t="str">
        <f>IF(ISNUMBER(MATRIZ_174!O109),MIN(100,IF(MATRIZ_174!O109=0,70,30)+IF(MATRIZ_174!U109="",0,0.3*(100-MATRIZ_174!U109*100))),"")</f>
        <v/>
      </c>
      <c r="Y110" s="18">
        <f>IF(OR(MATRIZ_174!P109="ASOCIACION",MATRIZ_174!P109="PENDIENTE"),65,40)</f>
        <v>65</v>
      </c>
      <c r="Z110" s="19" t="str">
        <f t="shared" si="38"/>
        <v>—</v>
      </c>
      <c r="AA110" s="20">
        <f t="shared" si="39"/>
        <v>60</v>
      </c>
      <c r="AB110" s="21" t="str">
        <f t="shared" si="40"/>
        <v>—</v>
      </c>
      <c r="AC110" s="13" t="str">
        <f t="shared" si="41"/>
        <v>⬜  Pendiente de instrumento</v>
      </c>
      <c r="AD110" s="13" t="str">
        <f>IF(MATRIZ_174!U109="","",IF(MATRIZ_174!U109=0,"🚫  Inh. vigente OSCE",""))</f>
        <v/>
      </c>
      <c r="AE110" s="22" t="str">
        <f>IFERROR(MATRIZ_174!W109,0)</f>
        <v/>
      </c>
      <c r="AF110" s="22" t="str">
        <f>IFERROR(MATRIZ_174!X109,0)</f>
        <v/>
      </c>
      <c r="AG110" s="22" t="str">
        <f>IFERROR(MATRIZ_174!Y109,0)</f>
        <v/>
      </c>
      <c r="AH110" s="22" t="str">
        <f>IFERROR(MATRIZ_174!Z109,0)</f>
        <v/>
      </c>
      <c r="AI110" s="17" t="str">
        <f>IFERROR(MATRIZ_174!AP109,"—")</f>
        <v>—</v>
      </c>
      <c r="AJ110" s="17" t="str">
        <f>IFERROR(MATRIZ_174!AO109,"N/A")</f>
        <v>N/A</v>
      </c>
      <c r="AK110" s="23" t="str">
        <f t="shared" si="42"/>
        <v>N/A</v>
      </c>
      <c r="AL110" s="24" t="str">
        <f t="shared" si="43"/>
        <v>—</v>
      </c>
      <c r="AM110" t="str">
        <f>IFERROR(MATRIZ_174!AT109,"")</f>
        <v>sin dato</v>
      </c>
    </row>
    <row r="111" spans="1:39" ht="16.05" customHeight="1" x14ac:dyDescent="0.3">
      <c r="A111" s="13" t="s">
        <v>303</v>
      </c>
      <c r="B111" s="14" t="s">
        <v>304</v>
      </c>
      <c r="C111" s="13" t="s">
        <v>117</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t="str">
        <f t="shared" si="34"/>
        <v/>
      </c>
      <c r="R111" s="17" t="str">
        <f t="shared" si="35"/>
        <v/>
      </c>
      <c r="S111" s="17" t="str">
        <f t="shared" si="36"/>
        <v/>
      </c>
      <c r="T111" s="17" t="str">
        <f>IF(ISNUMBER(MATRIZ_174!O110),IFERROR((K111+M111+MATRIZ_174!O110*100)/3,0),"")</f>
        <v/>
      </c>
      <c r="U111" s="18" t="str">
        <f>IF(ISNUMBER(MATRIZ_174!M110),MIN(100,ROUND(MATRIZ_174!M110,1)),"")</f>
        <v/>
      </c>
      <c r="V111" s="18">
        <f t="shared" si="37"/>
        <v>50</v>
      </c>
      <c r="W111" s="18">
        <f>IFERROR(IF(MATRIZ_174!R110=0,65,IF(MATRIZ_174!R110/MATRIZ_174!Q110&gt;=2,35,IF(MATRIZ_174!R110/MATRIZ_174!Q110&gt;=0.5,50,65))),65)</f>
        <v>65</v>
      </c>
      <c r="X111" s="18" t="str">
        <f>IF(ISNUMBER(MATRIZ_174!O110),MIN(100,IF(MATRIZ_174!O110=0,70,30)+IF(MATRIZ_174!U110="",0,0.3*(100-MATRIZ_174!U110*100))),"")</f>
        <v/>
      </c>
      <c r="Y111" s="18">
        <f>IF(OR(MATRIZ_174!P110="ASOCIACION",MATRIZ_174!P110="PENDIENTE"),65,40)</f>
        <v>65</v>
      </c>
      <c r="Z111" s="19" t="str">
        <f t="shared" si="38"/>
        <v>—</v>
      </c>
      <c r="AA111" s="20">
        <f t="shared" si="39"/>
        <v>60</v>
      </c>
      <c r="AB111" s="21" t="str">
        <f t="shared" si="40"/>
        <v>—</v>
      </c>
      <c r="AC111" s="13" t="str">
        <f t="shared" si="41"/>
        <v>⬜  Pendiente de instrumento</v>
      </c>
      <c r="AD111" s="13" t="str">
        <f>IF(MATRIZ_174!U110="","",IF(MATRIZ_174!U110=0,"🚫  Inh. vigente OSCE",""))</f>
        <v/>
      </c>
      <c r="AE111" s="22" t="str">
        <f>IFERROR(MATRIZ_174!W110,0)</f>
        <v/>
      </c>
      <c r="AF111" s="22" t="str">
        <f>IFERROR(MATRIZ_174!X110,0)</f>
        <v/>
      </c>
      <c r="AG111" s="22" t="str">
        <f>IFERROR(MATRIZ_174!Y110,0)</f>
        <v/>
      </c>
      <c r="AH111" s="22" t="str">
        <f>IFERROR(MATRIZ_174!Z110,0)</f>
        <v/>
      </c>
      <c r="AI111" s="17" t="str">
        <f>IFERROR(MATRIZ_174!AP110,"—")</f>
        <v>—</v>
      </c>
      <c r="AJ111" s="17" t="str">
        <f>IFERROR(MATRIZ_174!AO110,"N/A")</f>
        <v>N/A</v>
      </c>
      <c r="AK111" s="23" t="str">
        <f t="shared" si="42"/>
        <v>N/A</v>
      </c>
      <c r="AL111" s="24" t="str">
        <f t="shared" si="43"/>
        <v>—</v>
      </c>
      <c r="AM111" t="str">
        <f>IFERROR(MATRIZ_174!AT110,"")</f>
        <v>sin dato</v>
      </c>
    </row>
    <row r="112" spans="1:39" ht="16.05" customHeight="1" x14ac:dyDescent="0.3">
      <c r="A112" s="13" t="s">
        <v>305</v>
      </c>
      <c r="B112" s="14" t="s">
        <v>306</v>
      </c>
      <c r="C112" s="13" t="s">
        <v>110</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t="str">
        <f t="shared" si="34"/>
        <v/>
      </c>
      <c r="R112" s="17" t="str">
        <f t="shared" si="35"/>
        <v/>
      </c>
      <c r="S112" s="17" t="str">
        <f t="shared" si="36"/>
        <v/>
      </c>
      <c r="T112" s="17" t="str">
        <f>IF(ISNUMBER(MATRIZ_174!O111),IFERROR((K112+M112+MATRIZ_174!O111*100)/3,0),"")</f>
        <v/>
      </c>
      <c r="U112" s="18">
        <f>IF(ISNUMBER(MATRIZ_174!M111),MIN(100,ROUND(MATRIZ_174!M111,1)),"")</f>
        <v>0</v>
      </c>
      <c r="V112" s="18">
        <f t="shared" si="37"/>
        <v>50</v>
      </c>
      <c r="W112" s="18">
        <f>IFERROR(IF(MATRIZ_174!R111=0,65,IF(MATRIZ_174!R111/MATRIZ_174!Q111&gt;=2,35,IF(MATRIZ_174!R111/MATRIZ_174!Q111&gt;=0.5,50,65))),65)</f>
        <v>65</v>
      </c>
      <c r="X112" s="18" t="str">
        <f>IF(ISNUMBER(MATRIZ_174!O111),MIN(100,IF(MATRIZ_174!O111=0,70,30)+IF(MATRIZ_174!U111="",0,0.3*(100-MATRIZ_174!U111*100))),"")</f>
        <v/>
      </c>
      <c r="Y112" s="18">
        <f>IF(OR(MATRIZ_174!P111="ASOCIACION",MATRIZ_174!P111="PENDIENTE"),65,40)</f>
        <v>65</v>
      </c>
      <c r="Z112" s="19" t="str">
        <f t="shared" si="38"/>
        <v>—</v>
      </c>
      <c r="AA112" s="20">
        <f t="shared" si="39"/>
        <v>45</v>
      </c>
      <c r="AB112" s="21" t="str">
        <f t="shared" si="40"/>
        <v>—</v>
      </c>
      <c r="AC112" s="13" t="str">
        <f t="shared" si="41"/>
        <v>⬜  Pendiente de instrumento</v>
      </c>
      <c r="AD112" s="13" t="str">
        <f>IF(MATRIZ_174!U111="","",IF(MATRIZ_174!U111=0,"🚫  Inh. vigente OSCE",""))</f>
        <v/>
      </c>
      <c r="AE112" s="22" t="str">
        <f>IFERROR(MATRIZ_174!W111,0)</f>
        <v/>
      </c>
      <c r="AF112" s="22" t="str">
        <f>IFERROR(MATRIZ_174!X111,0)</f>
        <v/>
      </c>
      <c r="AG112" s="22" t="str">
        <f>IFERROR(MATRIZ_174!Y111,0)</f>
        <v/>
      </c>
      <c r="AH112" s="22" t="str">
        <f>IFERROR(MATRIZ_174!Z111,0)</f>
        <v/>
      </c>
      <c r="AI112" s="17">
        <f>IFERROR(MATRIZ_174!AP111,"—")</f>
        <v>0</v>
      </c>
      <c r="AJ112" s="17" t="str">
        <f>IFERROR(MATRIZ_174!AO111,"N/A")</f>
        <v>N/A</v>
      </c>
      <c r="AK112" s="23" t="str">
        <f t="shared" si="42"/>
        <v>N/A</v>
      </c>
      <c r="AL112" s="24" t="str">
        <f t="shared" si="43"/>
        <v>—</v>
      </c>
      <c r="AM112" t="str">
        <f>IFERROR(MATRIZ_174!AT111,"")</f>
        <v>parcial · 1/7 · D12-D15 0/4</v>
      </c>
    </row>
    <row r="113" spans="1:39" ht="16.05" customHeight="1" x14ac:dyDescent="0.3">
      <c r="A113" s="13" t="s">
        <v>307</v>
      </c>
      <c r="B113" s="14" t="s">
        <v>308</v>
      </c>
      <c r="C113" s="13" t="s">
        <v>117</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t="str">
        <f t="shared" si="34"/>
        <v/>
      </c>
      <c r="R113" s="17" t="str">
        <f t="shared" si="35"/>
        <v/>
      </c>
      <c r="S113" s="17" t="str">
        <f t="shared" si="36"/>
        <v/>
      </c>
      <c r="T113" s="17" t="str">
        <f>IF(ISNUMBER(MATRIZ_174!O112),IFERROR((K113+M113+MATRIZ_174!O112*100)/3,0),"")</f>
        <v/>
      </c>
      <c r="U113" s="18" t="str">
        <f>IF(ISNUMBER(MATRIZ_174!M112),MIN(100,ROUND(MATRIZ_174!M112,1)),"")</f>
        <v/>
      </c>
      <c r="V113" s="18">
        <f t="shared" si="37"/>
        <v>50</v>
      </c>
      <c r="W113" s="18">
        <f>IFERROR(IF(MATRIZ_174!R112=0,65,IF(MATRIZ_174!R112/MATRIZ_174!Q112&gt;=2,35,IF(MATRIZ_174!R112/MATRIZ_174!Q112&gt;=0.5,50,65))),65)</f>
        <v>65</v>
      </c>
      <c r="X113" s="18" t="str">
        <f>IF(ISNUMBER(MATRIZ_174!O112),MIN(100,IF(MATRIZ_174!O112=0,70,30)+IF(MATRIZ_174!U112="",0,0.3*(100-MATRIZ_174!U112*100))),"")</f>
        <v/>
      </c>
      <c r="Y113" s="18">
        <f>IF(OR(MATRIZ_174!P112="ASOCIACION",MATRIZ_174!P112="PENDIENTE"),65,40)</f>
        <v>65</v>
      </c>
      <c r="Z113" s="19" t="str">
        <f t="shared" si="38"/>
        <v>—</v>
      </c>
      <c r="AA113" s="20">
        <f t="shared" si="39"/>
        <v>60</v>
      </c>
      <c r="AB113" s="21" t="str">
        <f t="shared" si="40"/>
        <v>—</v>
      </c>
      <c r="AC113" s="13" t="str">
        <f t="shared" si="41"/>
        <v>⬜  Pendiente de instrumento</v>
      </c>
      <c r="AD113" s="13" t="str">
        <f>IF(MATRIZ_174!U112="","",IF(MATRIZ_174!U112=0,"🚫  Inh. vigente OSCE",""))</f>
        <v/>
      </c>
      <c r="AE113" s="22" t="str">
        <f>IFERROR(MATRIZ_174!W112,0)</f>
        <v/>
      </c>
      <c r="AF113" s="22" t="str">
        <f>IFERROR(MATRIZ_174!X112,0)</f>
        <v/>
      </c>
      <c r="AG113" s="22" t="str">
        <f>IFERROR(MATRIZ_174!Y112,0)</f>
        <v/>
      </c>
      <c r="AH113" s="22" t="str">
        <f>IFERROR(MATRIZ_174!Z112,0)</f>
        <v/>
      </c>
      <c r="AI113" s="17" t="str">
        <f>IFERROR(MATRIZ_174!AP112,"—")</f>
        <v>—</v>
      </c>
      <c r="AJ113" s="17" t="str">
        <f>IFERROR(MATRIZ_174!AO112,"N/A")</f>
        <v>N/A</v>
      </c>
      <c r="AK113" s="23" t="str">
        <f t="shared" si="42"/>
        <v>N/A</v>
      </c>
      <c r="AL113" s="24" t="str">
        <f t="shared" si="43"/>
        <v>—</v>
      </c>
      <c r="AM113" t="str">
        <f>IFERROR(MATRIZ_174!AT112,"")</f>
        <v>sin dato</v>
      </c>
    </row>
    <row r="114" spans="1:39" ht="16.05" customHeight="1" x14ac:dyDescent="0.3">
      <c r="A114" s="13" t="s">
        <v>309</v>
      </c>
      <c r="B114" s="14" t="s">
        <v>310</v>
      </c>
      <c r="C114" s="13" t="s">
        <v>148</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t="str">
        <f t="shared" si="34"/>
        <v/>
      </c>
      <c r="R114" s="17" t="str">
        <f t="shared" si="35"/>
        <v/>
      </c>
      <c r="S114" s="17" t="str">
        <f t="shared" si="36"/>
        <v/>
      </c>
      <c r="T114" s="17" t="str">
        <f>IF(ISNUMBER(MATRIZ_174!O113),IFERROR((K114+M114+MATRIZ_174!O113*100)/3,0),"")</f>
        <v/>
      </c>
      <c r="U114" s="18">
        <f>IF(ISNUMBER(MATRIZ_174!M113),MIN(100,ROUND(MATRIZ_174!M113,1)),"")</f>
        <v>0</v>
      </c>
      <c r="V114" s="18">
        <f t="shared" si="37"/>
        <v>50</v>
      </c>
      <c r="W114" s="18">
        <f>IFERROR(IF(MATRIZ_174!R113=0,65,IF(MATRIZ_174!R113/MATRIZ_174!Q113&gt;=2,35,IF(MATRIZ_174!R113/MATRIZ_174!Q113&gt;=0.5,50,65))),65)</f>
        <v>65</v>
      </c>
      <c r="X114" s="18" t="str">
        <f>IF(ISNUMBER(MATRIZ_174!O113),MIN(100,IF(MATRIZ_174!O113=0,70,30)+IF(MATRIZ_174!U113="",0,0.3*(100-MATRIZ_174!U113*100))),"")</f>
        <v/>
      </c>
      <c r="Y114" s="18">
        <f>IF(OR(MATRIZ_174!P113="ASOCIACION",MATRIZ_174!P113="PENDIENTE"),65,40)</f>
        <v>65</v>
      </c>
      <c r="Z114" s="19" t="str">
        <f t="shared" si="38"/>
        <v>—</v>
      </c>
      <c r="AA114" s="20">
        <f t="shared" si="39"/>
        <v>45</v>
      </c>
      <c r="AB114" s="21" t="str">
        <f t="shared" si="40"/>
        <v>—</v>
      </c>
      <c r="AC114" s="13" t="str">
        <f t="shared" si="41"/>
        <v>⬜  Pendiente de instrumento</v>
      </c>
      <c r="AD114" s="13" t="str">
        <f>IF(MATRIZ_174!U113="","",IF(MATRIZ_174!U113=0,"🚫  Inh. vigente OSCE",""))</f>
        <v/>
      </c>
      <c r="AE114" s="22" t="str">
        <f>IFERROR(MATRIZ_174!W113,0)</f>
        <v/>
      </c>
      <c r="AF114" s="22" t="str">
        <f>IFERROR(MATRIZ_174!X113,0)</f>
        <v/>
      </c>
      <c r="AG114" s="22" t="str">
        <f>IFERROR(MATRIZ_174!Y113,0)</f>
        <v/>
      </c>
      <c r="AH114" s="22" t="str">
        <f>IFERROR(MATRIZ_174!Z113,0)</f>
        <v/>
      </c>
      <c r="AI114" s="17">
        <f>IFERROR(MATRIZ_174!AP113,"—")</f>
        <v>0</v>
      </c>
      <c r="AJ114" s="17" t="str">
        <f>IFERROR(MATRIZ_174!AO113,"N/A")</f>
        <v>N/A</v>
      </c>
      <c r="AK114" s="23" t="str">
        <f t="shared" si="42"/>
        <v>N/A</v>
      </c>
      <c r="AL114" s="24" t="str">
        <f t="shared" si="43"/>
        <v>—</v>
      </c>
      <c r="AM114" t="str">
        <f>IFERROR(MATRIZ_174!AT113,"")</f>
        <v>parcial · 1/7 · D12-D15 0/4</v>
      </c>
    </row>
    <row r="115" spans="1:39" ht="16.05" customHeight="1" x14ac:dyDescent="0.3">
      <c r="A115" s="13" t="s">
        <v>311</v>
      </c>
      <c r="B115" s="14" t="s">
        <v>312</v>
      </c>
      <c r="C115" s="13" t="s">
        <v>239</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t="str">
        <f t="shared" si="34"/>
        <v/>
      </c>
      <c r="R115" s="17" t="str">
        <f t="shared" si="35"/>
        <v/>
      </c>
      <c r="S115" s="17" t="str">
        <f t="shared" si="36"/>
        <v/>
      </c>
      <c r="T115" s="17" t="str">
        <f>IF(ISNUMBER(MATRIZ_174!O114),IFERROR((K115+M115+MATRIZ_174!O114*100)/3,0),"")</f>
        <v/>
      </c>
      <c r="U115" s="18" t="str">
        <f>IF(ISNUMBER(MATRIZ_174!M114),MIN(100,ROUND(MATRIZ_174!M114,1)),"")</f>
        <v/>
      </c>
      <c r="V115" s="18">
        <f t="shared" si="37"/>
        <v>50</v>
      </c>
      <c r="W115" s="18">
        <f>IFERROR(IF(MATRIZ_174!R114=0,65,IF(MATRIZ_174!R114/MATRIZ_174!Q114&gt;=2,35,IF(MATRIZ_174!R114/MATRIZ_174!Q114&gt;=0.5,50,65))),65)</f>
        <v>65</v>
      </c>
      <c r="X115" s="18" t="str">
        <f>IF(ISNUMBER(MATRIZ_174!O114),MIN(100,IF(MATRIZ_174!O114=0,70,30)+IF(MATRIZ_174!U114="",0,0.3*(100-MATRIZ_174!U114*100))),"")</f>
        <v/>
      </c>
      <c r="Y115" s="18">
        <f>IF(OR(MATRIZ_174!P114="ASOCIACION",MATRIZ_174!P114="PENDIENTE"),65,40)</f>
        <v>65</v>
      </c>
      <c r="Z115" s="19" t="str">
        <f t="shared" si="38"/>
        <v>—</v>
      </c>
      <c r="AA115" s="20">
        <f t="shared" si="39"/>
        <v>60</v>
      </c>
      <c r="AB115" s="21" t="str">
        <f t="shared" si="40"/>
        <v>—</v>
      </c>
      <c r="AC115" s="13" t="str">
        <f t="shared" si="41"/>
        <v>⬜  Pendiente de instrumento</v>
      </c>
      <c r="AD115" s="13" t="str">
        <f>IF(MATRIZ_174!U114="","",IF(MATRIZ_174!U114=0,"🚫  Inh. vigente OSCE",""))</f>
        <v/>
      </c>
      <c r="AE115" s="22" t="str">
        <f>IFERROR(MATRIZ_174!W114,0)</f>
        <v/>
      </c>
      <c r="AF115" s="22" t="str">
        <f>IFERROR(MATRIZ_174!X114,0)</f>
        <v/>
      </c>
      <c r="AG115" s="22" t="str">
        <f>IFERROR(MATRIZ_174!Y114,0)</f>
        <v/>
      </c>
      <c r="AH115" s="22" t="str">
        <f>IFERROR(MATRIZ_174!Z114,0)</f>
        <v/>
      </c>
      <c r="AI115" s="17" t="str">
        <f>IFERROR(MATRIZ_174!AP114,"—")</f>
        <v>—</v>
      </c>
      <c r="AJ115" s="17" t="str">
        <f>IFERROR(MATRIZ_174!AO114,"N/A")</f>
        <v>N/A</v>
      </c>
      <c r="AK115" s="23" t="str">
        <f t="shared" si="42"/>
        <v>N/A</v>
      </c>
      <c r="AL115" s="24" t="str">
        <f t="shared" si="43"/>
        <v>—</v>
      </c>
      <c r="AM115" t="str">
        <f>IFERROR(MATRIZ_174!AT114,"")</f>
        <v>sin dato</v>
      </c>
    </row>
    <row r="116" spans="1:39" ht="16.05" customHeight="1" x14ac:dyDescent="0.3">
      <c r="A116" s="13" t="s">
        <v>313</v>
      </c>
      <c r="B116" s="14" t="s">
        <v>314</v>
      </c>
      <c r="C116" s="13" t="s">
        <v>137</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t="str">
        <f t="shared" si="34"/>
        <v/>
      </c>
      <c r="R116" s="17" t="str">
        <f t="shared" si="35"/>
        <v/>
      </c>
      <c r="S116" s="17" t="str">
        <f t="shared" si="36"/>
        <v/>
      </c>
      <c r="T116" s="17" t="str">
        <f>IF(ISNUMBER(MATRIZ_174!O115),IFERROR((K116+M116+MATRIZ_174!O115*100)/3,0),"")</f>
        <v/>
      </c>
      <c r="U116" s="18">
        <f>IF(ISNUMBER(MATRIZ_174!M115),MIN(100,ROUND(MATRIZ_174!M115,1)),"")</f>
        <v>0</v>
      </c>
      <c r="V116" s="18">
        <f t="shared" si="37"/>
        <v>50</v>
      </c>
      <c r="W116" s="18">
        <f>IFERROR(IF(MATRIZ_174!R115=0,65,IF(MATRIZ_174!R115/MATRIZ_174!Q115&gt;=2,35,IF(MATRIZ_174!R115/MATRIZ_174!Q115&gt;=0.5,50,65))),65)</f>
        <v>65</v>
      </c>
      <c r="X116" s="18" t="str">
        <f>IF(ISNUMBER(MATRIZ_174!O115),MIN(100,IF(MATRIZ_174!O115=0,70,30)+IF(MATRIZ_174!U115="",0,0.3*(100-MATRIZ_174!U115*100))),"")</f>
        <v/>
      </c>
      <c r="Y116" s="18">
        <f>IF(OR(MATRIZ_174!P115="ASOCIACION",MATRIZ_174!P115="PENDIENTE"),65,40)</f>
        <v>65</v>
      </c>
      <c r="Z116" s="19" t="str">
        <f t="shared" si="38"/>
        <v>—</v>
      </c>
      <c r="AA116" s="20">
        <f t="shared" si="39"/>
        <v>45</v>
      </c>
      <c r="AB116" s="21" t="str">
        <f t="shared" si="40"/>
        <v>—</v>
      </c>
      <c r="AC116" s="13" t="str">
        <f t="shared" si="41"/>
        <v>⬜  Pendiente de instrumento</v>
      </c>
      <c r="AD116" s="13" t="str">
        <f>IF(MATRIZ_174!U115="","",IF(MATRIZ_174!U115=0,"🚫  Inh. vigente OSCE",""))</f>
        <v/>
      </c>
      <c r="AE116" s="22" t="str">
        <f>IFERROR(MATRIZ_174!W115,0)</f>
        <v/>
      </c>
      <c r="AF116" s="22" t="str">
        <f>IFERROR(MATRIZ_174!X115,0)</f>
        <v/>
      </c>
      <c r="AG116" s="22" t="str">
        <f>IFERROR(MATRIZ_174!Y115,0)</f>
        <v/>
      </c>
      <c r="AH116" s="22" t="str">
        <f>IFERROR(MATRIZ_174!Z115,0)</f>
        <v/>
      </c>
      <c r="AI116" s="17">
        <f>IFERROR(MATRIZ_174!AP115,"—")</f>
        <v>0</v>
      </c>
      <c r="AJ116" s="17" t="str">
        <f>IFERROR(MATRIZ_174!AO115,"N/A")</f>
        <v>N/A</v>
      </c>
      <c r="AK116" s="23" t="str">
        <f t="shared" si="42"/>
        <v>N/A</v>
      </c>
      <c r="AL116" s="24" t="str">
        <f t="shared" si="43"/>
        <v>—</v>
      </c>
      <c r="AM116" t="str">
        <f>IFERROR(MATRIZ_174!AT115,"")</f>
        <v>parcial · 1/7 · D12-D15 0/4</v>
      </c>
    </row>
    <row r="117" spans="1:39" ht="16.05" customHeight="1" x14ac:dyDescent="0.3">
      <c r="A117" s="13" t="s">
        <v>315</v>
      </c>
      <c r="B117" s="14" t="s">
        <v>316</v>
      </c>
      <c r="C117" s="13" t="s">
        <v>239</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t="str">
        <f t="shared" si="34"/>
        <v/>
      </c>
      <c r="R117" s="17" t="str">
        <f t="shared" si="35"/>
        <v/>
      </c>
      <c r="S117" s="17" t="str">
        <f t="shared" si="36"/>
        <v/>
      </c>
      <c r="T117" s="17" t="str">
        <f>IF(ISNUMBER(MATRIZ_174!O116),IFERROR((K117+M117+MATRIZ_174!O116*100)/3,0),"")</f>
        <v/>
      </c>
      <c r="U117" s="18" t="str">
        <f>IF(ISNUMBER(MATRIZ_174!M116),MIN(100,ROUND(MATRIZ_174!M116,1)),"")</f>
        <v/>
      </c>
      <c r="V117" s="18">
        <f t="shared" si="37"/>
        <v>50</v>
      </c>
      <c r="W117" s="18">
        <f>IFERROR(IF(MATRIZ_174!R116=0,65,IF(MATRIZ_174!R116/MATRIZ_174!Q116&gt;=2,35,IF(MATRIZ_174!R116/MATRIZ_174!Q116&gt;=0.5,50,65))),65)</f>
        <v>65</v>
      </c>
      <c r="X117" s="18" t="str">
        <f>IF(ISNUMBER(MATRIZ_174!O116),MIN(100,IF(MATRIZ_174!O116=0,70,30)+IF(MATRIZ_174!U116="",0,0.3*(100-MATRIZ_174!U116*100))),"")</f>
        <v/>
      </c>
      <c r="Y117" s="18">
        <f>IF(OR(MATRIZ_174!P116="ASOCIACION",MATRIZ_174!P116="PENDIENTE"),65,40)</f>
        <v>65</v>
      </c>
      <c r="Z117" s="19" t="str">
        <f t="shared" si="38"/>
        <v>—</v>
      </c>
      <c r="AA117" s="20">
        <f t="shared" si="39"/>
        <v>60</v>
      </c>
      <c r="AB117" s="21" t="str">
        <f t="shared" si="40"/>
        <v>—</v>
      </c>
      <c r="AC117" s="13" t="str">
        <f t="shared" si="41"/>
        <v>⬜  Pendiente de instrumento</v>
      </c>
      <c r="AD117" s="13" t="str">
        <f>IF(MATRIZ_174!U116="","",IF(MATRIZ_174!U116=0,"🚫  Inh. vigente OSCE",""))</f>
        <v/>
      </c>
      <c r="AE117" s="22" t="str">
        <f>IFERROR(MATRIZ_174!W116,0)</f>
        <v/>
      </c>
      <c r="AF117" s="22" t="str">
        <f>IFERROR(MATRIZ_174!X116,0)</f>
        <v/>
      </c>
      <c r="AG117" s="22" t="str">
        <f>IFERROR(MATRIZ_174!Y116,0)</f>
        <v/>
      </c>
      <c r="AH117" s="22" t="str">
        <f>IFERROR(MATRIZ_174!Z116,0)</f>
        <v/>
      </c>
      <c r="AI117" s="17" t="str">
        <f>IFERROR(MATRIZ_174!AP116,"—")</f>
        <v>—</v>
      </c>
      <c r="AJ117" s="17" t="str">
        <f>IFERROR(MATRIZ_174!AO116,"N/A")</f>
        <v>N/A</v>
      </c>
      <c r="AK117" s="23" t="str">
        <f t="shared" si="42"/>
        <v>N/A</v>
      </c>
      <c r="AL117" s="24" t="str">
        <f t="shared" si="43"/>
        <v>—</v>
      </c>
      <c r="AM117" t="str">
        <f>IFERROR(MATRIZ_174!AT116,"")</f>
        <v>sin dato</v>
      </c>
    </row>
    <row r="118" spans="1:39" ht="16.05" customHeight="1" x14ac:dyDescent="0.3">
      <c r="A118" s="13" t="s">
        <v>317</v>
      </c>
      <c r="B118" s="14" t="s">
        <v>318</v>
      </c>
      <c r="C118" s="13" t="s">
        <v>177</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t="str">
        <f t="shared" si="34"/>
        <v/>
      </c>
      <c r="R118" s="17" t="str">
        <f t="shared" si="35"/>
        <v/>
      </c>
      <c r="S118" s="17" t="str">
        <f t="shared" si="36"/>
        <v/>
      </c>
      <c r="T118" s="17" t="str">
        <f>IF(ISNUMBER(MATRIZ_174!O117),IFERROR((K118+M118+MATRIZ_174!O117*100)/3,0),"")</f>
        <v/>
      </c>
      <c r="U118" s="18" t="str">
        <f>IF(ISNUMBER(MATRIZ_174!M117),MIN(100,ROUND(MATRIZ_174!M117,1)),"")</f>
        <v/>
      </c>
      <c r="V118" s="18">
        <f t="shared" si="37"/>
        <v>50</v>
      </c>
      <c r="W118" s="18">
        <f>IFERROR(IF(MATRIZ_174!R117=0,65,IF(MATRIZ_174!R117/MATRIZ_174!Q117&gt;=2,35,IF(MATRIZ_174!R117/MATRIZ_174!Q117&gt;=0.5,50,65))),65)</f>
        <v>65</v>
      </c>
      <c r="X118" s="18" t="str">
        <f>IF(ISNUMBER(MATRIZ_174!O117),MIN(100,IF(MATRIZ_174!O117=0,70,30)+IF(MATRIZ_174!U117="",0,0.3*(100-MATRIZ_174!U117*100))),"")</f>
        <v/>
      </c>
      <c r="Y118" s="18">
        <f>IF(OR(MATRIZ_174!P117="ASOCIACION",MATRIZ_174!P117="PENDIENTE"),65,40)</f>
        <v>65</v>
      </c>
      <c r="Z118" s="19" t="str">
        <f t="shared" si="38"/>
        <v>—</v>
      </c>
      <c r="AA118" s="20">
        <f t="shared" si="39"/>
        <v>60</v>
      </c>
      <c r="AB118" s="21" t="str">
        <f t="shared" si="40"/>
        <v>—</v>
      </c>
      <c r="AC118" s="13" t="str">
        <f t="shared" si="41"/>
        <v>⬜  Pendiente de instrumento</v>
      </c>
      <c r="AD118" s="13" t="str">
        <f>IF(MATRIZ_174!U117="","",IF(MATRIZ_174!U117=0,"🚫  Inh. vigente OSCE",""))</f>
        <v/>
      </c>
      <c r="AE118" s="22" t="str">
        <f>IFERROR(MATRIZ_174!W117,0)</f>
        <v/>
      </c>
      <c r="AF118" s="22" t="str">
        <f>IFERROR(MATRIZ_174!X117,0)</f>
        <v/>
      </c>
      <c r="AG118" s="22" t="str">
        <f>IFERROR(MATRIZ_174!Y117,0)</f>
        <v/>
      </c>
      <c r="AH118" s="22" t="str">
        <f>IFERROR(MATRIZ_174!Z117,0)</f>
        <v/>
      </c>
      <c r="AI118" s="17" t="str">
        <f>IFERROR(MATRIZ_174!AP117,"—")</f>
        <v>—</v>
      </c>
      <c r="AJ118" s="17" t="str">
        <f>IFERROR(MATRIZ_174!AO117,"N/A")</f>
        <v>N/A</v>
      </c>
      <c r="AK118" s="23" t="str">
        <f t="shared" si="42"/>
        <v>N/A</v>
      </c>
      <c r="AL118" s="24" t="str">
        <f t="shared" si="43"/>
        <v>—</v>
      </c>
      <c r="AM118" t="str">
        <f>IFERROR(MATRIZ_174!AT117,"")</f>
        <v>sin dato</v>
      </c>
    </row>
    <row r="119" spans="1:39" ht="16.05" customHeight="1" x14ac:dyDescent="0.3">
      <c r="A119" s="13" t="s">
        <v>319</v>
      </c>
      <c r="B119" s="14" t="s">
        <v>320</v>
      </c>
      <c r="C119" s="13" t="s">
        <v>107</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t="str">
        <f t="shared" si="34"/>
        <v/>
      </c>
      <c r="R119" s="17" t="str">
        <f t="shared" si="35"/>
        <v/>
      </c>
      <c r="S119" s="17" t="str">
        <f t="shared" si="36"/>
        <v/>
      </c>
      <c r="T119" s="17" t="str">
        <f>IF(ISNUMBER(MATRIZ_174!O118),IFERROR((K119+M119+MATRIZ_174!O118*100)/3,0),"")</f>
        <v/>
      </c>
      <c r="U119" s="18" t="str">
        <f>IF(ISNUMBER(MATRIZ_174!M118),MIN(100,ROUND(MATRIZ_174!M118,1)),"")</f>
        <v/>
      </c>
      <c r="V119" s="18">
        <f t="shared" si="37"/>
        <v>50</v>
      </c>
      <c r="W119" s="18">
        <f>IFERROR(IF(MATRIZ_174!R118=0,65,IF(MATRIZ_174!R118/MATRIZ_174!Q118&gt;=2,35,IF(MATRIZ_174!R118/MATRIZ_174!Q118&gt;=0.5,50,65))),65)</f>
        <v>65</v>
      </c>
      <c r="X119" s="18" t="str">
        <f>IF(ISNUMBER(MATRIZ_174!O118),MIN(100,IF(MATRIZ_174!O118=0,70,30)+IF(MATRIZ_174!U118="",0,0.3*(100-MATRIZ_174!U118*100))),"")</f>
        <v/>
      </c>
      <c r="Y119" s="18">
        <f>IF(OR(MATRIZ_174!P118="ASOCIACION",MATRIZ_174!P118="PENDIENTE"),65,40)</f>
        <v>65</v>
      </c>
      <c r="Z119" s="19" t="str">
        <f t="shared" si="38"/>
        <v>—</v>
      </c>
      <c r="AA119" s="20">
        <f t="shared" si="39"/>
        <v>60</v>
      </c>
      <c r="AB119" s="21" t="str">
        <f t="shared" si="40"/>
        <v>—</v>
      </c>
      <c r="AC119" s="13" t="str">
        <f t="shared" si="41"/>
        <v>⬜  Pendiente de instrumento</v>
      </c>
      <c r="AD119" s="13" t="str">
        <f>IF(MATRIZ_174!U118="","",IF(MATRIZ_174!U118=0,"🚫  Inh. vigente OSCE",""))</f>
        <v/>
      </c>
      <c r="AE119" s="22" t="str">
        <f>IFERROR(MATRIZ_174!W118,0)</f>
        <v/>
      </c>
      <c r="AF119" s="22" t="str">
        <f>IFERROR(MATRIZ_174!X118,0)</f>
        <v/>
      </c>
      <c r="AG119" s="22" t="str">
        <f>IFERROR(MATRIZ_174!Y118,0)</f>
        <v/>
      </c>
      <c r="AH119" s="22" t="str">
        <f>IFERROR(MATRIZ_174!Z118,0)</f>
        <v/>
      </c>
      <c r="AI119" s="17" t="str">
        <f>IFERROR(MATRIZ_174!AP118,"—")</f>
        <v>—</v>
      </c>
      <c r="AJ119" s="17" t="str">
        <f>IFERROR(MATRIZ_174!AO118,"N/A")</f>
        <v>N/A</v>
      </c>
      <c r="AK119" s="23" t="str">
        <f t="shared" si="42"/>
        <v>N/A</v>
      </c>
      <c r="AL119" s="24" t="str">
        <f t="shared" si="43"/>
        <v>—</v>
      </c>
      <c r="AM119" t="str">
        <f>IFERROR(MATRIZ_174!AT118,"")</f>
        <v>sin dato</v>
      </c>
    </row>
    <row r="120" spans="1:39" ht="16.05" customHeight="1" x14ac:dyDescent="0.3">
      <c r="A120" s="13" t="s">
        <v>321</v>
      </c>
      <c r="B120" s="14" t="s">
        <v>322</v>
      </c>
      <c r="C120" s="13" t="s">
        <v>107</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t="str">
        <f t="shared" si="34"/>
        <v/>
      </c>
      <c r="R120" s="17" t="str">
        <f t="shared" si="35"/>
        <v/>
      </c>
      <c r="S120" s="17" t="str">
        <f t="shared" si="36"/>
        <v/>
      </c>
      <c r="T120" s="17" t="str">
        <f>IF(ISNUMBER(MATRIZ_174!O119),IFERROR((K120+M120+MATRIZ_174!O119*100)/3,0),"")</f>
        <v/>
      </c>
      <c r="U120" s="18" t="str">
        <f>IF(ISNUMBER(MATRIZ_174!M119),MIN(100,ROUND(MATRIZ_174!M119,1)),"")</f>
        <v/>
      </c>
      <c r="V120" s="18">
        <f t="shared" si="37"/>
        <v>50</v>
      </c>
      <c r="W120" s="18">
        <f>IFERROR(IF(MATRIZ_174!R119=0,65,IF(MATRIZ_174!R119/MATRIZ_174!Q119&gt;=2,35,IF(MATRIZ_174!R119/MATRIZ_174!Q119&gt;=0.5,50,65))),65)</f>
        <v>65</v>
      </c>
      <c r="X120" s="18" t="str">
        <f>IF(ISNUMBER(MATRIZ_174!O119),MIN(100,IF(MATRIZ_174!O119=0,70,30)+IF(MATRIZ_174!U119="",0,0.3*(100-MATRIZ_174!U119*100))),"")</f>
        <v/>
      </c>
      <c r="Y120" s="18">
        <f>IF(OR(MATRIZ_174!P119="ASOCIACION",MATRIZ_174!P119="PENDIENTE"),65,40)</f>
        <v>65</v>
      </c>
      <c r="Z120" s="19" t="str">
        <f t="shared" si="38"/>
        <v>—</v>
      </c>
      <c r="AA120" s="20">
        <f t="shared" si="39"/>
        <v>60</v>
      </c>
      <c r="AB120" s="21" t="str">
        <f t="shared" si="40"/>
        <v>—</v>
      </c>
      <c r="AC120" s="13" t="str">
        <f t="shared" si="41"/>
        <v>⬜  Pendiente de instrumento</v>
      </c>
      <c r="AD120" s="13" t="str">
        <f>IF(MATRIZ_174!U119="","",IF(MATRIZ_174!U119=0,"🚫  Inh. vigente OSCE",""))</f>
        <v/>
      </c>
      <c r="AE120" s="22" t="str">
        <f>IFERROR(MATRIZ_174!W119,0)</f>
        <v/>
      </c>
      <c r="AF120" s="22" t="str">
        <f>IFERROR(MATRIZ_174!X119,0)</f>
        <v/>
      </c>
      <c r="AG120" s="22" t="str">
        <f>IFERROR(MATRIZ_174!Y119,0)</f>
        <v/>
      </c>
      <c r="AH120" s="22" t="str">
        <f>IFERROR(MATRIZ_174!Z119,0)</f>
        <v/>
      </c>
      <c r="AI120" s="17" t="str">
        <f>IFERROR(MATRIZ_174!AP119,"—")</f>
        <v>—</v>
      </c>
      <c r="AJ120" s="17" t="str">
        <f>IFERROR(MATRIZ_174!AO119,"N/A")</f>
        <v>N/A</v>
      </c>
      <c r="AK120" s="23" t="str">
        <f t="shared" si="42"/>
        <v>N/A</v>
      </c>
      <c r="AL120" s="24" t="str">
        <f t="shared" si="43"/>
        <v>—</v>
      </c>
      <c r="AM120" t="str">
        <f>IFERROR(MATRIZ_174!AT119,"")</f>
        <v>sin dato</v>
      </c>
    </row>
    <row r="121" spans="1:39" ht="16.05" customHeight="1" x14ac:dyDescent="0.3">
      <c r="A121" s="13" t="s">
        <v>323</v>
      </c>
      <c r="B121" s="14" t="s">
        <v>324</v>
      </c>
      <c r="C121" s="13" t="s">
        <v>148</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t="str">
        <f t="shared" si="34"/>
        <v/>
      </c>
      <c r="R121" s="17" t="str">
        <f t="shared" si="35"/>
        <v/>
      </c>
      <c r="S121" s="17" t="str">
        <f t="shared" si="36"/>
        <v/>
      </c>
      <c r="T121" s="17" t="str">
        <f>IF(ISNUMBER(MATRIZ_174!O120),IFERROR((K121+M121+MATRIZ_174!O120*100)/3,0),"")</f>
        <v/>
      </c>
      <c r="U121" s="18" t="str">
        <f>IF(ISNUMBER(MATRIZ_174!M120),MIN(100,ROUND(MATRIZ_174!M120,1)),"")</f>
        <v/>
      </c>
      <c r="V121" s="18">
        <f t="shared" si="37"/>
        <v>50</v>
      </c>
      <c r="W121" s="18">
        <f>IFERROR(IF(MATRIZ_174!R120=0,65,IF(MATRIZ_174!R120/MATRIZ_174!Q120&gt;=2,35,IF(MATRIZ_174!R120/MATRIZ_174!Q120&gt;=0.5,50,65))),65)</f>
        <v>65</v>
      </c>
      <c r="X121" s="18" t="str">
        <f>IF(ISNUMBER(MATRIZ_174!O120),MIN(100,IF(MATRIZ_174!O120=0,70,30)+IF(MATRIZ_174!U120="",0,0.3*(100-MATRIZ_174!U120*100))),"")</f>
        <v/>
      </c>
      <c r="Y121" s="18">
        <f>IF(OR(MATRIZ_174!P120="ASOCIACION",MATRIZ_174!P120="PENDIENTE"),65,40)</f>
        <v>65</v>
      </c>
      <c r="Z121" s="19" t="str">
        <f t="shared" si="38"/>
        <v>—</v>
      </c>
      <c r="AA121" s="20">
        <f t="shared" si="39"/>
        <v>60</v>
      </c>
      <c r="AB121" s="21" t="str">
        <f t="shared" si="40"/>
        <v>—</v>
      </c>
      <c r="AC121" s="13" t="str">
        <f t="shared" si="41"/>
        <v>⬜  Pendiente de instrumento</v>
      </c>
      <c r="AD121" s="13" t="str">
        <f>IF(MATRIZ_174!U120="","",IF(MATRIZ_174!U120=0,"🚫  Inh. vigente OSCE",""))</f>
        <v/>
      </c>
      <c r="AE121" s="22" t="str">
        <f>IFERROR(MATRIZ_174!W120,0)</f>
        <v/>
      </c>
      <c r="AF121" s="22" t="str">
        <f>IFERROR(MATRIZ_174!X120,0)</f>
        <v/>
      </c>
      <c r="AG121" s="22" t="str">
        <f>IFERROR(MATRIZ_174!Y120,0)</f>
        <v/>
      </c>
      <c r="AH121" s="22" t="str">
        <f>IFERROR(MATRIZ_174!Z120,0)</f>
        <v/>
      </c>
      <c r="AI121" s="17" t="str">
        <f>IFERROR(MATRIZ_174!AP120,"—")</f>
        <v>—</v>
      </c>
      <c r="AJ121" s="17" t="str">
        <f>IFERROR(MATRIZ_174!AO120,"N/A")</f>
        <v>N/A</v>
      </c>
      <c r="AK121" s="23" t="str">
        <f t="shared" si="42"/>
        <v>N/A</v>
      </c>
      <c r="AL121" s="24" t="str">
        <f t="shared" si="43"/>
        <v>—</v>
      </c>
      <c r="AM121" t="str">
        <f>IFERROR(MATRIZ_174!AT120,"")</f>
        <v>sin dato</v>
      </c>
    </row>
    <row r="122" spans="1:39" ht="16.05" customHeight="1" x14ac:dyDescent="0.3">
      <c r="A122" s="13" t="s">
        <v>325</v>
      </c>
      <c r="B122" s="14" t="s">
        <v>326</v>
      </c>
      <c r="C122" s="13" t="s">
        <v>247</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t="str">
        <f t="shared" si="34"/>
        <v/>
      </c>
      <c r="R122" s="17" t="str">
        <f t="shared" si="35"/>
        <v/>
      </c>
      <c r="S122" s="17" t="str">
        <f t="shared" si="36"/>
        <v/>
      </c>
      <c r="T122" s="17" t="str">
        <f>IF(ISNUMBER(MATRIZ_174!O121),IFERROR((K122+M122+MATRIZ_174!O121*100)/3,0),"")</f>
        <v/>
      </c>
      <c r="U122" s="18" t="str">
        <f>IF(ISNUMBER(MATRIZ_174!M121),MIN(100,ROUND(MATRIZ_174!M121,1)),"")</f>
        <v/>
      </c>
      <c r="V122" s="18">
        <f t="shared" si="37"/>
        <v>50</v>
      </c>
      <c r="W122" s="18">
        <f>IFERROR(IF(MATRIZ_174!R121=0,65,IF(MATRIZ_174!R121/MATRIZ_174!Q121&gt;=2,35,IF(MATRIZ_174!R121/MATRIZ_174!Q121&gt;=0.5,50,65))),65)</f>
        <v>65</v>
      </c>
      <c r="X122" s="18" t="str">
        <f>IF(ISNUMBER(MATRIZ_174!O121),MIN(100,IF(MATRIZ_174!O121=0,70,30)+IF(MATRIZ_174!U121="",0,0.3*(100-MATRIZ_174!U121*100))),"")</f>
        <v/>
      </c>
      <c r="Y122" s="18">
        <f>IF(OR(MATRIZ_174!P121="ASOCIACION",MATRIZ_174!P121="PENDIENTE"),65,40)</f>
        <v>65</v>
      </c>
      <c r="Z122" s="19" t="str">
        <f t="shared" si="38"/>
        <v>—</v>
      </c>
      <c r="AA122" s="20">
        <f t="shared" si="39"/>
        <v>60</v>
      </c>
      <c r="AB122" s="21" t="str">
        <f t="shared" si="40"/>
        <v>—</v>
      </c>
      <c r="AC122" s="13" t="str">
        <f t="shared" si="41"/>
        <v>⬜  Pendiente de instrumento</v>
      </c>
      <c r="AD122" s="13" t="str">
        <f>IF(MATRIZ_174!U121="","",IF(MATRIZ_174!U121=0,"🚫  Inh. vigente OSCE",""))</f>
        <v/>
      </c>
      <c r="AE122" s="22" t="str">
        <f>IFERROR(MATRIZ_174!W121,0)</f>
        <v/>
      </c>
      <c r="AF122" s="22" t="str">
        <f>IFERROR(MATRIZ_174!X121,0)</f>
        <v/>
      </c>
      <c r="AG122" s="22" t="str">
        <f>IFERROR(MATRIZ_174!Y121,0)</f>
        <v/>
      </c>
      <c r="AH122" s="22" t="str">
        <f>IFERROR(MATRIZ_174!Z121,0)</f>
        <v/>
      </c>
      <c r="AI122" s="17" t="str">
        <f>IFERROR(MATRIZ_174!AP121,"—")</f>
        <v>—</v>
      </c>
      <c r="AJ122" s="17" t="str">
        <f>IFERROR(MATRIZ_174!AO121,"N/A")</f>
        <v>N/A</v>
      </c>
      <c r="AK122" s="23" t="str">
        <f t="shared" si="42"/>
        <v>N/A</v>
      </c>
      <c r="AL122" s="24" t="str">
        <f t="shared" si="43"/>
        <v>—</v>
      </c>
      <c r="AM122" t="str">
        <f>IFERROR(MATRIZ_174!AT121,"")</f>
        <v>sin dato</v>
      </c>
    </row>
    <row r="123" spans="1:39" ht="16.05" customHeight="1" x14ac:dyDescent="0.3">
      <c r="A123" s="13" t="s">
        <v>327</v>
      </c>
      <c r="B123" s="14" t="s">
        <v>328</v>
      </c>
      <c r="C123" s="13" t="s">
        <v>117</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t="str">
        <f t="shared" si="34"/>
        <v/>
      </c>
      <c r="R123" s="17" t="str">
        <f t="shared" si="35"/>
        <v/>
      </c>
      <c r="S123" s="17" t="str">
        <f t="shared" si="36"/>
        <v/>
      </c>
      <c r="T123" s="17" t="str">
        <f>IF(ISNUMBER(MATRIZ_174!O122),IFERROR((K123+M123+MATRIZ_174!O122*100)/3,0),"")</f>
        <v/>
      </c>
      <c r="U123" s="18" t="str">
        <f>IF(ISNUMBER(MATRIZ_174!M122),MIN(100,ROUND(MATRIZ_174!M122,1)),"")</f>
        <v/>
      </c>
      <c r="V123" s="18">
        <f t="shared" si="37"/>
        <v>50</v>
      </c>
      <c r="W123" s="18">
        <f>IFERROR(IF(MATRIZ_174!R122=0,65,IF(MATRIZ_174!R122/MATRIZ_174!Q122&gt;=2,35,IF(MATRIZ_174!R122/MATRIZ_174!Q122&gt;=0.5,50,65))),65)</f>
        <v>65</v>
      </c>
      <c r="X123" s="18" t="str">
        <f>IF(ISNUMBER(MATRIZ_174!O122),MIN(100,IF(MATRIZ_174!O122=0,70,30)+IF(MATRIZ_174!U122="",0,0.3*(100-MATRIZ_174!U122*100))),"")</f>
        <v/>
      </c>
      <c r="Y123" s="18">
        <f>IF(OR(MATRIZ_174!P122="ASOCIACION",MATRIZ_174!P122="PENDIENTE"),65,40)</f>
        <v>65</v>
      </c>
      <c r="Z123" s="19" t="str">
        <f t="shared" si="38"/>
        <v>—</v>
      </c>
      <c r="AA123" s="20">
        <f t="shared" si="39"/>
        <v>60</v>
      </c>
      <c r="AB123" s="21" t="str">
        <f t="shared" si="40"/>
        <v>—</v>
      </c>
      <c r="AC123" s="13" t="str">
        <f t="shared" si="41"/>
        <v>⬜  Pendiente de instrumento</v>
      </c>
      <c r="AD123" s="13" t="str">
        <f>IF(MATRIZ_174!U122="","",IF(MATRIZ_174!U122=0,"🚫  Inh. vigente OSCE",""))</f>
        <v/>
      </c>
      <c r="AE123" s="22" t="str">
        <f>IFERROR(MATRIZ_174!W122,0)</f>
        <v/>
      </c>
      <c r="AF123" s="22" t="str">
        <f>IFERROR(MATRIZ_174!X122,0)</f>
        <v/>
      </c>
      <c r="AG123" s="22" t="str">
        <f>IFERROR(MATRIZ_174!Y122,0)</f>
        <v/>
      </c>
      <c r="AH123" s="22" t="str">
        <f>IFERROR(MATRIZ_174!Z122,0)</f>
        <v/>
      </c>
      <c r="AI123" s="17" t="str">
        <f>IFERROR(MATRIZ_174!AP122,"—")</f>
        <v>—</v>
      </c>
      <c r="AJ123" s="17" t="str">
        <f>IFERROR(MATRIZ_174!AO122,"N/A")</f>
        <v>N/A</v>
      </c>
      <c r="AK123" s="23" t="str">
        <f t="shared" si="42"/>
        <v>N/A</v>
      </c>
      <c r="AL123" s="24" t="str">
        <f t="shared" si="43"/>
        <v>—</v>
      </c>
      <c r="AM123" t="str">
        <f>IFERROR(MATRIZ_174!AT122,"")</f>
        <v>sin dato</v>
      </c>
    </row>
    <row r="124" spans="1:39" ht="16.05" customHeight="1" x14ac:dyDescent="0.3">
      <c r="A124" s="13" t="s">
        <v>329</v>
      </c>
      <c r="B124" s="14" t="s">
        <v>330</v>
      </c>
      <c r="C124" s="13" t="s">
        <v>75</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t="str">
        <f t="shared" si="34"/>
        <v/>
      </c>
      <c r="R124" s="17" t="str">
        <f t="shared" si="35"/>
        <v/>
      </c>
      <c r="S124" s="17" t="str">
        <f t="shared" si="36"/>
        <v/>
      </c>
      <c r="T124" s="17" t="str">
        <f>IF(ISNUMBER(MATRIZ_174!O123),IFERROR((K124+M124+MATRIZ_174!O123*100)/3,0),"")</f>
        <v/>
      </c>
      <c r="U124" s="18" t="str">
        <f>IF(ISNUMBER(MATRIZ_174!M123),MIN(100,ROUND(MATRIZ_174!M123,1)),"")</f>
        <v/>
      </c>
      <c r="V124" s="18">
        <f t="shared" si="37"/>
        <v>50</v>
      </c>
      <c r="W124" s="18">
        <f>IFERROR(IF(MATRIZ_174!R123=0,65,IF(MATRIZ_174!R123/MATRIZ_174!Q123&gt;=2,35,IF(MATRIZ_174!R123/MATRIZ_174!Q123&gt;=0.5,50,65))),65)</f>
        <v>65</v>
      </c>
      <c r="X124" s="18" t="str">
        <f>IF(ISNUMBER(MATRIZ_174!O123),MIN(100,IF(MATRIZ_174!O123=0,70,30)+IF(MATRIZ_174!U123="",0,0.3*(100-MATRIZ_174!U123*100))),"")</f>
        <v/>
      </c>
      <c r="Y124" s="18">
        <f>IF(OR(MATRIZ_174!P123="ASOCIACION",MATRIZ_174!P123="PENDIENTE"),65,40)</f>
        <v>65</v>
      </c>
      <c r="Z124" s="19" t="str">
        <f t="shared" si="38"/>
        <v>—</v>
      </c>
      <c r="AA124" s="20">
        <f t="shared" si="39"/>
        <v>60</v>
      </c>
      <c r="AB124" s="21" t="str">
        <f t="shared" si="40"/>
        <v>—</v>
      </c>
      <c r="AC124" s="13" t="str">
        <f t="shared" si="41"/>
        <v>⬜  Pendiente de instrumento</v>
      </c>
      <c r="AD124" s="13" t="str">
        <f>IF(MATRIZ_174!U123="","",IF(MATRIZ_174!U123=0,"🚫  Inh. vigente OSCE",""))</f>
        <v/>
      </c>
      <c r="AE124" s="22" t="str">
        <f>IFERROR(MATRIZ_174!W123,0)</f>
        <v/>
      </c>
      <c r="AF124" s="22" t="str">
        <f>IFERROR(MATRIZ_174!X123,0)</f>
        <v/>
      </c>
      <c r="AG124" s="22" t="str">
        <f>IFERROR(MATRIZ_174!Y123,0)</f>
        <v/>
      </c>
      <c r="AH124" s="22" t="str">
        <f>IFERROR(MATRIZ_174!Z123,0)</f>
        <v/>
      </c>
      <c r="AI124" s="17" t="str">
        <f>IFERROR(MATRIZ_174!AP123,"—")</f>
        <v>—</v>
      </c>
      <c r="AJ124" s="17" t="str">
        <f>IFERROR(MATRIZ_174!AO123,"N/A")</f>
        <v>N/A</v>
      </c>
      <c r="AK124" s="23" t="str">
        <f t="shared" si="42"/>
        <v>N/A</v>
      </c>
      <c r="AL124" s="24" t="str">
        <f t="shared" si="43"/>
        <v>—</v>
      </c>
      <c r="AM124" t="str">
        <f>IFERROR(MATRIZ_174!AT123,"")</f>
        <v>sin dato</v>
      </c>
    </row>
    <row r="125" spans="1:39" ht="16.05" customHeight="1" x14ac:dyDescent="0.3">
      <c r="A125" s="13" t="s">
        <v>331</v>
      </c>
      <c r="B125" s="14" t="s">
        <v>332</v>
      </c>
      <c r="C125" s="13" t="s">
        <v>110</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t="str">
        <f t="shared" si="34"/>
        <v/>
      </c>
      <c r="R125" s="17" t="str">
        <f t="shared" si="35"/>
        <v/>
      </c>
      <c r="S125" s="17" t="str">
        <f t="shared" si="36"/>
        <v/>
      </c>
      <c r="T125" s="17">
        <f>IF(ISNUMBER(MATRIZ_174!O124),IFERROR((K125+M125+MATRIZ_174!O124*100)/3,0),"")</f>
        <v>0</v>
      </c>
      <c r="U125" s="18">
        <f>IF(ISNUMBER(MATRIZ_174!M124),MIN(100,ROUND(MATRIZ_174!M124,1)),"")</f>
        <v>0</v>
      </c>
      <c r="V125" s="18">
        <f t="shared" si="37"/>
        <v>50</v>
      </c>
      <c r="W125" s="18">
        <f>IFERROR(IF(MATRIZ_174!R124=0,65,IF(MATRIZ_174!R124/MATRIZ_174!Q124&gt;=2,35,IF(MATRIZ_174!R124/MATRIZ_174!Q124&gt;=0.5,50,65))),65)</f>
        <v>35</v>
      </c>
      <c r="X125" s="18">
        <f>IF(ISNUMBER(MATRIZ_174!O124),MIN(100,IF(MATRIZ_174!O124=0,70,30)+IF(MATRIZ_174!U124="",0,0.3*(100-MATRIZ_174!U124*100))),"")</f>
        <v>30</v>
      </c>
      <c r="Y125" s="18">
        <f>IF(OR(MATRIZ_174!P124="ASOCIACION",MATRIZ_174!P124="PENDIENTE"),65,40)</f>
        <v>65</v>
      </c>
      <c r="Z125" s="19" t="str">
        <f t="shared" si="38"/>
        <v>—</v>
      </c>
      <c r="AA125" s="20">
        <f t="shared" si="39"/>
        <v>36</v>
      </c>
      <c r="AB125" s="21" t="str">
        <f t="shared" si="40"/>
        <v>—</v>
      </c>
      <c r="AC125" s="13" t="str">
        <f t="shared" si="41"/>
        <v>⬜  Pendiente de instrumento</v>
      </c>
      <c r="AD125" s="13" t="str">
        <f>IF(MATRIZ_174!U124="","",IF(MATRIZ_174!U124=0,"🚫  Inh. vigente OSCE",""))</f>
        <v/>
      </c>
      <c r="AE125" s="22">
        <f>IFERROR(MATRIZ_174!W124,0)</f>
        <v>1</v>
      </c>
      <c r="AF125" s="22" t="str">
        <f>IFERROR(MATRIZ_174!X124,0)</f>
        <v/>
      </c>
      <c r="AG125" s="22" t="str">
        <f>IFERROR(MATRIZ_174!Y124,0)</f>
        <v/>
      </c>
      <c r="AH125" s="22" t="str">
        <f>IFERROR(MATRIZ_174!Z124,0)</f>
        <v/>
      </c>
      <c r="AI125" s="17">
        <f>IFERROR(MATRIZ_174!AP124,"—")</f>
        <v>0.375</v>
      </c>
      <c r="AJ125" s="17" t="str">
        <f>IFERROR(MATRIZ_174!AO124,"N/A")</f>
        <v>N/A</v>
      </c>
      <c r="AK125" s="23" t="str">
        <f t="shared" si="42"/>
        <v>N/A</v>
      </c>
      <c r="AL125" s="24" t="str">
        <f t="shared" si="43"/>
        <v>—</v>
      </c>
      <c r="AM125" t="str">
        <f>IFERROR(MATRIZ_174!AT124,"")</f>
        <v>parcial · 3/7 · D12-D15 0/4</v>
      </c>
    </row>
    <row r="126" spans="1:39" ht="16.05" customHeight="1" x14ac:dyDescent="0.3">
      <c r="A126" s="13" t="s">
        <v>334</v>
      </c>
      <c r="B126" s="14" t="s">
        <v>335</v>
      </c>
      <c r="C126" s="13" t="s">
        <v>75</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t="str">
        <f t="shared" si="34"/>
        <v/>
      </c>
      <c r="R126" s="17" t="str">
        <f t="shared" si="35"/>
        <v/>
      </c>
      <c r="S126" s="17" t="str">
        <f t="shared" si="36"/>
        <v/>
      </c>
      <c r="T126" s="17" t="str">
        <f>IF(ISNUMBER(MATRIZ_174!O125),IFERROR((K126+M126+MATRIZ_174!O125*100)/3,0),"")</f>
        <v/>
      </c>
      <c r="U126" s="18" t="str">
        <f>IF(ISNUMBER(MATRIZ_174!M125),MIN(100,ROUND(MATRIZ_174!M125,1)),"")</f>
        <v/>
      </c>
      <c r="V126" s="18">
        <f t="shared" si="37"/>
        <v>50</v>
      </c>
      <c r="W126" s="18">
        <f>IFERROR(IF(MATRIZ_174!R125=0,65,IF(MATRIZ_174!R125/MATRIZ_174!Q125&gt;=2,35,IF(MATRIZ_174!R125/MATRIZ_174!Q125&gt;=0.5,50,65))),65)</f>
        <v>65</v>
      </c>
      <c r="X126" s="18" t="str">
        <f>IF(ISNUMBER(MATRIZ_174!O125),MIN(100,IF(MATRIZ_174!O125=0,70,30)+IF(MATRIZ_174!U125="",0,0.3*(100-MATRIZ_174!U125*100))),"")</f>
        <v/>
      </c>
      <c r="Y126" s="18">
        <f>IF(OR(MATRIZ_174!P125="ASOCIACION",MATRIZ_174!P125="PENDIENTE"),65,40)</f>
        <v>65</v>
      </c>
      <c r="Z126" s="19" t="str">
        <f t="shared" si="38"/>
        <v>—</v>
      </c>
      <c r="AA126" s="20">
        <f t="shared" si="39"/>
        <v>60</v>
      </c>
      <c r="AB126" s="21" t="str">
        <f t="shared" si="40"/>
        <v>—</v>
      </c>
      <c r="AC126" s="13" t="str">
        <f t="shared" si="41"/>
        <v>⬜  Pendiente de instrumento</v>
      </c>
      <c r="AD126" s="13" t="str">
        <f>IF(MATRIZ_174!U125="","",IF(MATRIZ_174!U125=0,"🚫  Inh. vigente OSCE",""))</f>
        <v/>
      </c>
      <c r="AE126" s="22" t="str">
        <f>IFERROR(MATRIZ_174!W125,0)</f>
        <v/>
      </c>
      <c r="AF126" s="22" t="str">
        <f>IFERROR(MATRIZ_174!X125,0)</f>
        <v/>
      </c>
      <c r="AG126" s="22" t="str">
        <f>IFERROR(MATRIZ_174!Y125,0)</f>
        <v/>
      </c>
      <c r="AH126" s="22" t="str">
        <f>IFERROR(MATRIZ_174!Z125,0)</f>
        <v/>
      </c>
      <c r="AI126" s="17" t="str">
        <f>IFERROR(MATRIZ_174!AP125,"—")</f>
        <v>—</v>
      </c>
      <c r="AJ126" s="17" t="str">
        <f>IFERROR(MATRIZ_174!AO125,"N/A")</f>
        <v>N/A</v>
      </c>
      <c r="AK126" s="23" t="str">
        <f t="shared" si="42"/>
        <v>N/A</v>
      </c>
      <c r="AL126" s="24" t="str">
        <f t="shared" si="43"/>
        <v>—</v>
      </c>
      <c r="AM126" t="str">
        <f>IFERROR(MATRIZ_174!AT125,"")</f>
        <v>sin dato</v>
      </c>
    </row>
    <row r="127" spans="1:39" ht="16.05" customHeight="1" x14ac:dyDescent="0.3">
      <c r="A127" s="13" t="s">
        <v>336</v>
      </c>
      <c r="B127" s="14" t="s">
        <v>337</v>
      </c>
      <c r="C127" s="13" t="s">
        <v>75</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t="str">
        <f t="shared" si="34"/>
        <v/>
      </c>
      <c r="R127" s="17" t="str">
        <f t="shared" si="35"/>
        <v/>
      </c>
      <c r="S127" s="17" t="str">
        <f t="shared" si="36"/>
        <v/>
      </c>
      <c r="T127" s="17" t="str">
        <f>IF(ISNUMBER(MATRIZ_174!O126),IFERROR((K127+M127+MATRIZ_174!O126*100)/3,0),"")</f>
        <v/>
      </c>
      <c r="U127" s="18" t="str">
        <f>IF(ISNUMBER(MATRIZ_174!M126),MIN(100,ROUND(MATRIZ_174!M126,1)),"")</f>
        <v/>
      </c>
      <c r="V127" s="18">
        <f t="shared" si="37"/>
        <v>50</v>
      </c>
      <c r="W127" s="18">
        <f>IFERROR(IF(MATRIZ_174!R126=0,65,IF(MATRIZ_174!R126/MATRIZ_174!Q126&gt;=2,35,IF(MATRIZ_174!R126/MATRIZ_174!Q126&gt;=0.5,50,65))),65)</f>
        <v>65</v>
      </c>
      <c r="X127" s="18" t="str">
        <f>IF(ISNUMBER(MATRIZ_174!O126),MIN(100,IF(MATRIZ_174!O126=0,70,30)+IF(MATRIZ_174!U126="",0,0.3*(100-MATRIZ_174!U126*100))),"")</f>
        <v/>
      </c>
      <c r="Y127" s="18">
        <f>IF(OR(MATRIZ_174!P126="ASOCIACION",MATRIZ_174!P126="PENDIENTE"),65,40)</f>
        <v>65</v>
      </c>
      <c r="Z127" s="19" t="str">
        <f t="shared" si="38"/>
        <v>—</v>
      </c>
      <c r="AA127" s="20">
        <f t="shared" si="39"/>
        <v>60</v>
      </c>
      <c r="AB127" s="21" t="str">
        <f t="shared" si="40"/>
        <v>—</v>
      </c>
      <c r="AC127" s="13" t="str">
        <f t="shared" si="41"/>
        <v>⬜  Pendiente de instrumento</v>
      </c>
      <c r="AD127" s="13" t="str">
        <f>IF(MATRIZ_174!U126="","",IF(MATRIZ_174!U126=0,"🚫  Inh. vigente OSCE",""))</f>
        <v/>
      </c>
      <c r="AE127" s="22" t="str">
        <f>IFERROR(MATRIZ_174!W126,0)</f>
        <v/>
      </c>
      <c r="AF127" s="22" t="str">
        <f>IFERROR(MATRIZ_174!X126,0)</f>
        <v/>
      </c>
      <c r="AG127" s="22" t="str">
        <f>IFERROR(MATRIZ_174!Y126,0)</f>
        <v/>
      </c>
      <c r="AH127" s="22" t="str">
        <f>IFERROR(MATRIZ_174!Z126,0)</f>
        <v/>
      </c>
      <c r="AI127" s="17" t="str">
        <f>IFERROR(MATRIZ_174!AP126,"—")</f>
        <v>—</v>
      </c>
      <c r="AJ127" s="17" t="str">
        <f>IFERROR(MATRIZ_174!AO126,"N/A")</f>
        <v>N/A</v>
      </c>
      <c r="AK127" s="23" t="str">
        <f t="shared" si="42"/>
        <v>N/A</v>
      </c>
      <c r="AL127" s="24" t="str">
        <f t="shared" si="43"/>
        <v>—</v>
      </c>
      <c r="AM127" t="str">
        <f>IFERROR(MATRIZ_174!AT126,"")</f>
        <v>sin dato</v>
      </c>
    </row>
    <row r="128" spans="1:39" ht="16.05" customHeight="1" x14ac:dyDescent="0.3">
      <c r="A128" s="13" t="s">
        <v>338</v>
      </c>
      <c r="B128" s="14" t="s">
        <v>339</v>
      </c>
      <c r="C128" s="13" t="s">
        <v>75</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t="str">
        <f t="shared" si="34"/>
        <v/>
      </c>
      <c r="R128" s="17" t="str">
        <f t="shared" si="35"/>
        <v/>
      </c>
      <c r="S128" s="17" t="str">
        <f t="shared" si="36"/>
        <v/>
      </c>
      <c r="T128" s="17" t="str">
        <f>IF(ISNUMBER(MATRIZ_174!O127),IFERROR((K128+M128+MATRIZ_174!O127*100)/3,0),"")</f>
        <v/>
      </c>
      <c r="U128" s="18" t="str">
        <f>IF(ISNUMBER(MATRIZ_174!M127),MIN(100,ROUND(MATRIZ_174!M127,1)),"")</f>
        <v/>
      </c>
      <c r="V128" s="18">
        <f t="shared" si="37"/>
        <v>50</v>
      </c>
      <c r="W128" s="18">
        <f>IFERROR(IF(MATRIZ_174!R127=0,65,IF(MATRIZ_174!R127/MATRIZ_174!Q127&gt;=2,35,IF(MATRIZ_174!R127/MATRIZ_174!Q127&gt;=0.5,50,65))),65)</f>
        <v>65</v>
      </c>
      <c r="X128" s="18" t="str">
        <f>IF(ISNUMBER(MATRIZ_174!O127),MIN(100,IF(MATRIZ_174!O127=0,70,30)+IF(MATRIZ_174!U127="",0,0.3*(100-MATRIZ_174!U127*100))),"")</f>
        <v/>
      </c>
      <c r="Y128" s="18">
        <f>IF(OR(MATRIZ_174!P127="ASOCIACION",MATRIZ_174!P127="PENDIENTE"),65,40)</f>
        <v>65</v>
      </c>
      <c r="Z128" s="19" t="str">
        <f t="shared" si="38"/>
        <v>—</v>
      </c>
      <c r="AA128" s="20">
        <f t="shared" si="39"/>
        <v>60</v>
      </c>
      <c r="AB128" s="21" t="str">
        <f t="shared" si="40"/>
        <v>—</v>
      </c>
      <c r="AC128" s="13" t="str">
        <f t="shared" si="41"/>
        <v>⬜  Pendiente de instrumento</v>
      </c>
      <c r="AD128" s="13" t="str">
        <f>IF(MATRIZ_174!U127="","",IF(MATRIZ_174!U127=0,"🚫  Inh. vigente OSCE",""))</f>
        <v/>
      </c>
      <c r="AE128" s="22" t="str">
        <f>IFERROR(MATRIZ_174!W127,0)</f>
        <v/>
      </c>
      <c r="AF128" s="22" t="str">
        <f>IFERROR(MATRIZ_174!X127,0)</f>
        <v/>
      </c>
      <c r="AG128" s="22" t="str">
        <f>IFERROR(MATRIZ_174!Y127,0)</f>
        <v/>
      </c>
      <c r="AH128" s="22" t="str">
        <f>IFERROR(MATRIZ_174!Z127,0)</f>
        <v/>
      </c>
      <c r="AI128" s="17" t="str">
        <f>IFERROR(MATRIZ_174!AP127,"—")</f>
        <v>—</v>
      </c>
      <c r="AJ128" s="17" t="str">
        <f>IFERROR(MATRIZ_174!AO127,"N/A")</f>
        <v>N/A</v>
      </c>
      <c r="AK128" s="23" t="str">
        <f t="shared" si="42"/>
        <v>N/A</v>
      </c>
      <c r="AL128" s="24" t="str">
        <f t="shared" si="43"/>
        <v>—</v>
      </c>
      <c r="AM128" t="str">
        <f>IFERROR(MATRIZ_174!AT127,"")</f>
        <v>sin dato</v>
      </c>
    </row>
    <row r="129" spans="1:39" ht="16.05" customHeight="1" x14ac:dyDescent="0.3">
      <c r="A129" s="13" t="s">
        <v>340</v>
      </c>
      <c r="B129" s="14" t="s">
        <v>341</v>
      </c>
      <c r="C129" s="13" t="s">
        <v>110</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t="str">
        <f t="shared" si="34"/>
        <v/>
      </c>
      <c r="R129" s="17" t="str">
        <f t="shared" si="35"/>
        <v/>
      </c>
      <c r="S129" s="17" t="str">
        <f t="shared" si="36"/>
        <v/>
      </c>
      <c r="T129" s="17" t="str">
        <f>IF(ISNUMBER(MATRIZ_174!O128),IFERROR((K129+M129+MATRIZ_174!O128*100)/3,0),"")</f>
        <v/>
      </c>
      <c r="U129" s="18">
        <f>IF(ISNUMBER(MATRIZ_174!M128),MIN(100,ROUND(MATRIZ_174!M128,1)),"")</f>
        <v>50</v>
      </c>
      <c r="V129" s="18">
        <f t="shared" si="37"/>
        <v>50</v>
      </c>
      <c r="W129" s="18">
        <f>IFERROR(IF(MATRIZ_174!R128=0,65,IF(MATRIZ_174!R128/MATRIZ_174!Q128&gt;=2,35,IF(MATRIZ_174!R128/MATRIZ_174!Q128&gt;=0.5,50,65))),65)</f>
        <v>65</v>
      </c>
      <c r="X129" s="18" t="str">
        <f>IF(ISNUMBER(MATRIZ_174!O128),MIN(100,IF(MATRIZ_174!O128=0,70,30)+IF(MATRIZ_174!U128="",0,0.3*(100-MATRIZ_174!U128*100))),"")</f>
        <v/>
      </c>
      <c r="Y129" s="18">
        <f>IF(OR(MATRIZ_174!P128="ASOCIACION",MATRIZ_174!P128="PENDIENTE"),65,40)</f>
        <v>65</v>
      </c>
      <c r="Z129" s="19" t="str">
        <f t="shared" si="38"/>
        <v>—</v>
      </c>
      <c r="AA129" s="20">
        <f t="shared" si="39"/>
        <v>57.5</v>
      </c>
      <c r="AB129" s="21" t="str">
        <f t="shared" si="40"/>
        <v>—</v>
      </c>
      <c r="AC129" s="13" t="str">
        <f t="shared" si="41"/>
        <v>⬜  Pendiente de instrumento</v>
      </c>
      <c r="AD129" s="13" t="str">
        <f>IF(MATRIZ_174!U128="","",IF(MATRIZ_174!U128=0,"🚫  Inh. vigente OSCE",""))</f>
        <v/>
      </c>
      <c r="AE129" s="22">
        <f>IFERROR(MATRIZ_174!W128,0)</f>
        <v>1</v>
      </c>
      <c r="AF129" s="22" t="str">
        <f>IFERROR(MATRIZ_174!X128,0)</f>
        <v/>
      </c>
      <c r="AG129" s="22" t="str">
        <f>IFERROR(MATRIZ_174!Y128,0)</f>
        <v/>
      </c>
      <c r="AH129" s="22" t="str">
        <f>IFERROR(MATRIZ_174!Z128,0)</f>
        <v/>
      </c>
      <c r="AI129" s="17">
        <f>IFERROR(MATRIZ_174!AP128,"—")</f>
        <v>0.5</v>
      </c>
      <c r="AJ129" s="17" t="str">
        <f>IFERROR(MATRIZ_174!AO128,"N/A")</f>
        <v>N/A</v>
      </c>
      <c r="AK129" s="23" t="str">
        <f t="shared" si="42"/>
        <v>N/A</v>
      </c>
      <c r="AL129" s="24" t="str">
        <f t="shared" si="43"/>
        <v>—</v>
      </c>
      <c r="AM129" t="str">
        <f>IFERROR(MATRIZ_174!AT128,"")</f>
        <v>parcial · 2/7 · D12-D15 0/4</v>
      </c>
    </row>
    <row r="130" spans="1:39" ht="16.05" customHeight="1" x14ac:dyDescent="0.3">
      <c r="A130" s="13" t="s">
        <v>342</v>
      </c>
      <c r="B130" s="14" t="s">
        <v>343</v>
      </c>
      <c r="C130" s="13" t="s">
        <v>107</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t="str">
        <f t="shared" si="34"/>
        <v/>
      </c>
      <c r="R130" s="17" t="str">
        <f t="shared" si="35"/>
        <v/>
      </c>
      <c r="S130" s="17" t="str">
        <f t="shared" si="36"/>
        <v/>
      </c>
      <c r="T130" s="17" t="str">
        <f>IF(ISNUMBER(MATRIZ_174!O129),IFERROR((K130+M130+MATRIZ_174!O129*100)/3,0),"")</f>
        <v/>
      </c>
      <c r="U130" s="18" t="str">
        <f>IF(ISNUMBER(MATRIZ_174!M129),MIN(100,ROUND(MATRIZ_174!M129,1)),"")</f>
        <v/>
      </c>
      <c r="V130" s="18">
        <f t="shared" si="37"/>
        <v>50</v>
      </c>
      <c r="W130" s="18">
        <f>IFERROR(IF(MATRIZ_174!R129=0,65,IF(MATRIZ_174!R129/MATRIZ_174!Q129&gt;=2,35,IF(MATRIZ_174!R129/MATRIZ_174!Q129&gt;=0.5,50,65))),65)</f>
        <v>65</v>
      </c>
      <c r="X130" s="18" t="str">
        <f>IF(ISNUMBER(MATRIZ_174!O129),MIN(100,IF(MATRIZ_174!O129=0,70,30)+IF(MATRIZ_174!U129="",0,0.3*(100-MATRIZ_174!U129*100))),"")</f>
        <v/>
      </c>
      <c r="Y130" s="18">
        <f>IF(OR(MATRIZ_174!P129="ASOCIACION",MATRIZ_174!P129="PENDIENTE"),65,40)</f>
        <v>65</v>
      </c>
      <c r="Z130" s="19" t="str">
        <f t="shared" si="38"/>
        <v>—</v>
      </c>
      <c r="AA130" s="20">
        <f t="shared" si="39"/>
        <v>60</v>
      </c>
      <c r="AB130" s="21" t="str">
        <f t="shared" si="40"/>
        <v>—</v>
      </c>
      <c r="AC130" s="13" t="str">
        <f t="shared" si="41"/>
        <v>⬜  Pendiente de instrumento</v>
      </c>
      <c r="AD130" s="13" t="str">
        <f>IF(MATRIZ_174!U129="","",IF(MATRIZ_174!U129=0,"🚫  Inh. vigente OSCE",""))</f>
        <v/>
      </c>
      <c r="AE130" s="22" t="str">
        <f>IFERROR(MATRIZ_174!W129,0)</f>
        <v/>
      </c>
      <c r="AF130" s="22" t="str">
        <f>IFERROR(MATRIZ_174!X129,0)</f>
        <v/>
      </c>
      <c r="AG130" s="22" t="str">
        <f>IFERROR(MATRIZ_174!Y129,0)</f>
        <v/>
      </c>
      <c r="AH130" s="22" t="str">
        <f>IFERROR(MATRIZ_174!Z129,0)</f>
        <v/>
      </c>
      <c r="AI130" s="17" t="str">
        <f>IFERROR(MATRIZ_174!AP129,"—")</f>
        <v>—</v>
      </c>
      <c r="AJ130" s="17" t="str">
        <f>IFERROR(MATRIZ_174!AO129,"N/A")</f>
        <v>N/A</v>
      </c>
      <c r="AK130" s="23" t="str">
        <f t="shared" si="42"/>
        <v>N/A</v>
      </c>
      <c r="AL130" s="24" t="str">
        <f t="shared" si="43"/>
        <v>—</v>
      </c>
      <c r="AM130" t="str">
        <f>IFERROR(MATRIZ_174!AT129,"")</f>
        <v>sin dato</v>
      </c>
    </row>
    <row r="131" spans="1:39" ht="16.05" customHeight="1" x14ac:dyDescent="0.3">
      <c r="A131" s="13" t="s">
        <v>344</v>
      </c>
      <c r="B131" s="14" t="s">
        <v>345</v>
      </c>
      <c r="C131" s="13" t="s">
        <v>247</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t="str">
        <f t="shared" si="34"/>
        <v/>
      </c>
      <c r="R131" s="17" t="str">
        <f t="shared" si="35"/>
        <v/>
      </c>
      <c r="S131" s="17" t="str">
        <f t="shared" si="36"/>
        <v/>
      </c>
      <c r="T131" s="17">
        <f>IF(ISNUMBER(MATRIZ_174!O130),IFERROR((K131+M131+MATRIZ_174!O130*100)/3,0),"")</f>
        <v>0</v>
      </c>
      <c r="U131" s="18">
        <f>IF(ISNUMBER(MATRIZ_174!M130),MIN(100,ROUND(MATRIZ_174!M130,1)),"")</f>
        <v>0</v>
      </c>
      <c r="V131" s="18">
        <f t="shared" si="37"/>
        <v>50</v>
      </c>
      <c r="W131" s="18">
        <f>IFERROR(IF(MATRIZ_174!R130=0,65,IF(MATRIZ_174!R130/MATRIZ_174!Q130&gt;=2,35,IF(MATRIZ_174!R130/MATRIZ_174!Q130&gt;=0.5,50,65))),65)</f>
        <v>50</v>
      </c>
      <c r="X131" s="18">
        <f>IF(ISNUMBER(MATRIZ_174!O130),MIN(100,IF(MATRIZ_174!O130=0,70,30)+IF(MATRIZ_174!U130="",0,0.3*(100-MATRIZ_174!U130*100))),"")</f>
        <v>30</v>
      </c>
      <c r="Y131" s="18">
        <f>IF(OR(MATRIZ_174!P130="ASOCIACION",MATRIZ_174!P130="PENDIENTE"),65,40)</f>
        <v>65</v>
      </c>
      <c r="Z131" s="19" t="str">
        <f t="shared" si="38"/>
        <v>—</v>
      </c>
      <c r="AA131" s="20">
        <f t="shared" si="39"/>
        <v>39</v>
      </c>
      <c r="AB131" s="21" t="str">
        <f t="shared" si="40"/>
        <v>—</v>
      </c>
      <c r="AC131" s="13" t="str">
        <f t="shared" si="41"/>
        <v>⬜  Pendiente de instrumento</v>
      </c>
      <c r="AD131" s="13" t="str">
        <f>IF(MATRIZ_174!U130="","",IF(MATRIZ_174!U130=0,"🚫  Inh. vigente OSCE",""))</f>
        <v/>
      </c>
      <c r="AE131" s="22">
        <f>IFERROR(MATRIZ_174!W130,0)</f>
        <v>1</v>
      </c>
      <c r="AF131" s="22" t="str">
        <f>IFERROR(MATRIZ_174!X130,0)</f>
        <v/>
      </c>
      <c r="AG131" s="22" t="str">
        <f>IFERROR(MATRIZ_174!Y130,0)</f>
        <v/>
      </c>
      <c r="AH131" s="22" t="str">
        <f>IFERROR(MATRIZ_174!Z130,0)</f>
        <v/>
      </c>
      <c r="AI131" s="17">
        <f>IFERROR(MATRIZ_174!AP130,"—")</f>
        <v>0.375</v>
      </c>
      <c r="AJ131" s="17" t="str">
        <f>IFERROR(MATRIZ_174!AO130,"N/A")</f>
        <v>N/A</v>
      </c>
      <c r="AK131" s="23" t="str">
        <f t="shared" si="42"/>
        <v>N/A</v>
      </c>
      <c r="AL131" s="24" t="str">
        <f t="shared" si="43"/>
        <v>—</v>
      </c>
      <c r="AM131" t="str">
        <f>IFERROR(MATRIZ_174!AT130,"")</f>
        <v>parcial · 3/7 · D12-D15 0/4</v>
      </c>
    </row>
    <row r="132" spans="1:39" ht="16.05" customHeight="1" x14ac:dyDescent="0.3">
      <c r="A132" s="13" t="s">
        <v>347</v>
      </c>
      <c r="B132" s="14" t="s">
        <v>348</v>
      </c>
      <c r="C132" s="13" t="s">
        <v>75</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t="str">
        <f t="shared" ref="Q132:Q163" si="45">IFERROR(SQRT(G132*H132),"")</f>
        <v/>
      </c>
      <c r="R132" s="17" t="str">
        <f t="shared" ref="R132:R163" si="46">IFERROR((I132+J132+L132)/3,"")</f>
        <v/>
      </c>
      <c r="S132" s="17" t="str">
        <f t="shared" ref="S132:S163" si="47">IFERROR((J132+F132)/2,"")</f>
        <v/>
      </c>
      <c r="T132" s="17" t="str">
        <f>IF(ISNUMBER(MATRIZ_174!O131),IFERROR((K132+M132+MATRIZ_174!O131*100)/3,0),"")</f>
        <v/>
      </c>
      <c r="U132" s="18" t="str">
        <f>IF(ISNUMBER(MATRIZ_174!M131),MIN(100,ROUND(MATRIZ_174!M131,1)),"")</f>
        <v/>
      </c>
      <c r="V132" s="18">
        <f t="shared" ref="V132:V163" si="48">IF(OR(NOT(ISNUMBER(F132)),F132=0),50,F132)</f>
        <v>50</v>
      </c>
      <c r="W132" s="18">
        <f>IFERROR(IF(MATRIZ_174!R131=0,65,IF(MATRIZ_174!R131/MATRIZ_174!Q131&gt;=2,35,IF(MATRIZ_174!R131/MATRIZ_174!Q131&gt;=0.5,50,65))),65)</f>
        <v>65</v>
      </c>
      <c r="X132" s="18" t="str">
        <f>IF(ISNUMBER(MATRIZ_174!O131),MIN(100,IF(MATRIZ_174!O131=0,70,30)+IF(MATRIZ_174!U131="",0,0.3*(100-MATRIZ_174!U131*100))),"")</f>
        <v/>
      </c>
      <c r="Y132" s="18">
        <f>IF(OR(MATRIZ_174!P131="ASOCIACION",MATRIZ_174!P131="PENDIENTE"),65,40)</f>
        <v>65</v>
      </c>
      <c r="Z132" s="19" t="str">
        <f t="shared" ref="Z132:Z163" si="49">IF(COUNT(F132:M132)&lt;8,"—",IFERROR(ROUND(AVERAGE(P132:T132),1),"—"))</f>
        <v>—</v>
      </c>
      <c r="AA132" s="20">
        <f t="shared" ref="AA132:AA163" si="50">IFERROR(ROUND(AVERAGE(U132,V132,W132,X132,Y132),1),"—")</f>
        <v>60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t="str">
        <f>IFERROR(MATRIZ_174!W131,0)</f>
        <v/>
      </c>
      <c r="AF132" s="22" t="str">
        <f>IFERROR(MATRIZ_174!X131,0)</f>
        <v/>
      </c>
      <c r="AG132" s="22" t="str">
        <f>IFERROR(MATRIZ_174!Y131,0)</f>
        <v/>
      </c>
      <c r="AH132" s="22" t="str">
        <f>IFERROR(MATRIZ_174!Z131,0)</f>
        <v/>
      </c>
      <c r="AI132" s="17" t="str">
        <f>IFERROR(MATRIZ_174!AP131,"—")</f>
        <v>—</v>
      </c>
      <c r="AJ132" s="17" t="str">
        <f>IFERROR(MATRIZ_174!AO131,"N/A")</f>
        <v>N/A</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c r="AM132" t="str">
        <f>IFERROR(MATRIZ_174!AT131,"")</f>
        <v>sin dato</v>
      </c>
    </row>
    <row r="133" spans="1:39" ht="16.05" customHeight="1" x14ac:dyDescent="0.3">
      <c r="A133" s="13" t="s">
        <v>349</v>
      </c>
      <c r="B133" s="14" t="s">
        <v>350</v>
      </c>
      <c r="C133" s="13" t="s">
        <v>107</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t="str">
        <f t="shared" si="45"/>
        <v/>
      </c>
      <c r="R133" s="17" t="str">
        <f t="shared" si="46"/>
        <v/>
      </c>
      <c r="S133" s="17" t="str">
        <f t="shared" si="47"/>
        <v/>
      </c>
      <c r="T133" s="17" t="str">
        <f>IF(ISNUMBER(MATRIZ_174!O132),IFERROR((K133+M133+MATRIZ_174!O132*100)/3,0),"")</f>
        <v/>
      </c>
      <c r="U133" s="18" t="str">
        <f>IF(ISNUMBER(MATRIZ_174!M132),MIN(100,ROUND(MATRIZ_174!M132,1)),"")</f>
        <v/>
      </c>
      <c r="V133" s="18">
        <f t="shared" si="48"/>
        <v>50</v>
      </c>
      <c r="W133" s="18">
        <f>IFERROR(IF(MATRIZ_174!R132=0,65,IF(MATRIZ_174!R132/MATRIZ_174!Q132&gt;=2,35,IF(MATRIZ_174!R132/MATRIZ_174!Q132&gt;=0.5,50,65))),65)</f>
        <v>65</v>
      </c>
      <c r="X133" s="18" t="str">
        <f>IF(ISNUMBER(MATRIZ_174!O132),MIN(100,IF(MATRIZ_174!O132=0,70,30)+IF(MATRIZ_174!U132="",0,0.3*(100-MATRIZ_174!U132*100))),"")</f>
        <v/>
      </c>
      <c r="Y133" s="18">
        <f>IF(OR(MATRIZ_174!P132="ASOCIACION",MATRIZ_174!P132="PENDIENTE"),65,40)</f>
        <v>65</v>
      </c>
      <c r="Z133" s="19" t="str">
        <f t="shared" si="49"/>
        <v>—</v>
      </c>
      <c r="AA133" s="20">
        <f t="shared" si="50"/>
        <v>60</v>
      </c>
      <c r="AB133" s="21" t="str">
        <f t="shared" si="51"/>
        <v>—</v>
      </c>
      <c r="AC133" s="13" t="str">
        <f t="shared" si="52"/>
        <v>⬜  Pendiente de instrumento</v>
      </c>
      <c r="AD133" s="13" t="str">
        <f>IF(MATRIZ_174!U132="","",IF(MATRIZ_174!U132=0,"🚫  Inh. vigente OSCE",""))</f>
        <v/>
      </c>
      <c r="AE133" s="22" t="str">
        <f>IFERROR(MATRIZ_174!W132,0)</f>
        <v/>
      </c>
      <c r="AF133" s="22" t="str">
        <f>IFERROR(MATRIZ_174!X132,0)</f>
        <v/>
      </c>
      <c r="AG133" s="22" t="str">
        <f>IFERROR(MATRIZ_174!Y132,0)</f>
        <v/>
      </c>
      <c r="AH133" s="22" t="str">
        <f>IFERROR(MATRIZ_174!Z132,0)</f>
        <v/>
      </c>
      <c r="AI133" s="17" t="str">
        <f>IFERROR(MATRIZ_174!AP132,"—")</f>
        <v>—</v>
      </c>
      <c r="AJ133" s="17" t="str">
        <f>IFERROR(MATRIZ_174!AO132,"N/A")</f>
        <v>N/A</v>
      </c>
      <c r="AK133" s="23" t="str">
        <f t="shared" si="53"/>
        <v>N/A</v>
      </c>
      <c r="AL133" s="24" t="str">
        <f t="shared" si="54"/>
        <v>—</v>
      </c>
      <c r="AM133" t="str">
        <f>IFERROR(MATRIZ_174!AT132,"")</f>
        <v>sin dato</v>
      </c>
    </row>
    <row r="134" spans="1:39" ht="16.05" customHeight="1" x14ac:dyDescent="0.3">
      <c r="A134" s="13" t="s">
        <v>351</v>
      </c>
      <c r="B134" s="14" t="s">
        <v>352</v>
      </c>
      <c r="C134" s="13" t="s">
        <v>101</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t="str">
        <f t="shared" si="45"/>
        <v/>
      </c>
      <c r="R134" s="17" t="str">
        <f t="shared" si="46"/>
        <v/>
      </c>
      <c r="S134" s="17" t="str">
        <f t="shared" si="47"/>
        <v/>
      </c>
      <c r="T134" s="17" t="str">
        <f>IF(ISNUMBER(MATRIZ_174!O133),IFERROR((K134+M134+MATRIZ_174!O133*100)/3,0),"")</f>
        <v/>
      </c>
      <c r="U134" s="18" t="str">
        <f>IF(ISNUMBER(MATRIZ_174!M133),MIN(100,ROUND(MATRIZ_174!M133,1)),"")</f>
        <v/>
      </c>
      <c r="V134" s="18">
        <f t="shared" si="48"/>
        <v>50</v>
      </c>
      <c r="W134" s="18">
        <f>IFERROR(IF(MATRIZ_174!R133=0,65,IF(MATRIZ_174!R133/MATRIZ_174!Q133&gt;=2,35,IF(MATRIZ_174!R133/MATRIZ_174!Q133&gt;=0.5,50,65))),65)</f>
        <v>65</v>
      </c>
      <c r="X134" s="18" t="str">
        <f>IF(ISNUMBER(MATRIZ_174!O133),MIN(100,IF(MATRIZ_174!O133=0,70,30)+IF(MATRIZ_174!U133="",0,0.3*(100-MATRIZ_174!U133*100))),"")</f>
        <v/>
      </c>
      <c r="Y134" s="18">
        <f>IF(OR(MATRIZ_174!P133="ASOCIACION",MATRIZ_174!P133="PENDIENTE"),65,40)</f>
        <v>65</v>
      </c>
      <c r="Z134" s="19" t="str">
        <f t="shared" si="49"/>
        <v>—</v>
      </c>
      <c r="AA134" s="20">
        <f t="shared" si="50"/>
        <v>60</v>
      </c>
      <c r="AB134" s="21" t="str">
        <f t="shared" si="51"/>
        <v>—</v>
      </c>
      <c r="AC134" s="13" t="str">
        <f t="shared" si="52"/>
        <v>⬜  Pendiente de instrumento</v>
      </c>
      <c r="AD134" s="13" t="str">
        <f>IF(MATRIZ_174!U133="","",IF(MATRIZ_174!U133=0,"🚫  Inh. vigente OSCE",""))</f>
        <v/>
      </c>
      <c r="AE134" s="22" t="str">
        <f>IFERROR(MATRIZ_174!W133,0)</f>
        <v/>
      </c>
      <c r="AF134" s="22" t="str">
        <f>IFERROR(MATRIZ_174!X133,0)</f>
        <v/>
      </c>
      <c r="AG134" s="22" t="str">
        <f>IFERROR(MATRIZ_174!Y133,0)</f>
        <v/>
      </c>
      <c r="AH134" s="22" t="str">
        <f>IFERROR(MATRIZ_174!Z133,0)</f>
        <v/>
      </c>
      <c r="AI134" s="17" t="str">
        <f>IFERROR(MATRIZ_174!AP133,"—")</f>
        <v>—</v>
      </c>
      <c r="AJ134" s="17" t="str">
        <f>IFERROR(MATRIZ_174!AO133,"N/A")</f>
        <v>N/A</v>
      </c>
      <c r="AK134" s="23" t="str">
        <f t="shared" si="53"/>
        <v>N/A</v>
      </c>
      <c r="AL134" s="24" t="str">
        <f t="shared" si="54"/>
        <v>—</v>
      </c>
      <c r="AM134" t="str">
        <f>IFERROR(MATRIZ_174!AT133,"")</f>
        <v>sin dato</v>
      </c>
    </row>
    <row r="135" spans="1:39" ht="16.05" customHeight="1" x14ac:dyDescent="0.3">
      <c r="A135" s="13" t="s">
        <v>353</v>
      </c>
      <c r="B135" s="14" t="s">
        <v>354</v>
      </c>
      <c r="C135" s="13" t="s">
        <v>75</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t="str">
        <f t="shared" si="45"/>
        <v/>
      </c>
      <c r="R135" s="17" t="str">
        <f t="shared" si="46"/>
        <v/>
      </c>
      <c r="S135" s="17" t="str">
        <f t="shared" si="47"/>
        <v/>
      </c>
      <c r="T135" s="17">
        <f>IF(ISNUMBER(MATRIZ_174!O134),IFERROR((K135+M135+MATRIZ_174!O134*100)/3,0),"")</f>
        <v>0</v>
      </c>
      <c r="U135" s="18" t="str">
        <f>IF(ISNUMBER(MATRIZ_174!M134),MIN(100,ROUND(MATRIZ_174!M134,1)),"")</f>
        <v/>
      </c>
      <c r="V135" s="18">
        <f t="shared" si="48"/>
        <v>50</v>
      </c>
      <c r="W135" s="18">
        <f>IFERROR(IF(MATRIZ_174!R134=0,65,IF(MATRIZ_174!R134/MATRIZ_174!Q134&gt;=2,35,IF(MATRIZ_174!R134/MATRIZ_174!Q134&gt;=0.5,50,65))),65)</f>
        <v>35</v>
      </c>
      <c r="X135" s="18">
        <f>IF(ISNUMBER(MATRIZ_174!O134),MIN(100,IF(MATRIZ_174!O134=0,70,30)+IF(MATRIZ_174!U134="",0,0.3*(100-MATRIZ_174!U134*100))),"")</f>
        <v>30</v>
      </c>
      <c r="Y135" s="18">
        <f>IF(OR(MATRIZ_174!P134="ASOCIACION",MATRIZ_174!P134="PENDIENTE"),65,40)</f>
        <v>65</v>
      </c>
      <c r="Z135" s="19" t="str">
        <f t="shared" si="49"/>
        <v>—</v>
      </c>
      <c r="AA135" s="20">
        <f t="shared" si="50"/>
        <v>45</v>
      </c>
      <c r="AB135" s="21" t="str">
        <f t="shared" si="51"/>
        <v>—</v>
      </c>
      <c r="AC135" s="13" t="str">
        <f t="shared" si="52"/>
        <v>⬜  Pendiente de instrumento</v>
      </c>
      <c r="AD135" s="13" t="str">
        <f>IF(MATRIZ_174!U134="","",IF(MATRIZ_174!U134=0,"🚫  Inh. vigente OSCE",""))</f>
        <v/>
      </c>
      <c r="AE135" s="22">
        <f>IFERROR(MATRIZ_174!W134,0)</f>
        <v>1</v>
      </c>
      <c r="AF135" s="22" t="str">
        <f>IFERROR(MATRIZ_174!X134,0)</f>
        <v/>
      </c>
      <c r="AG135" s="22" t="str">
        <f>IFERROR(MATRIZ_174!Y134,0)</f>
        <v/>
      </c>
      <c r="AH135" s="22" t="str">
        <f>IFERROR(MATRIZ_174!Z134,0)</f>
        <v/>
      </c>
      <c r="AI135" s="17">
        <f>IFERROR(MATRIZ_174!AP134,"—")</f>
        <v>0.6428571428571429</v>
      </c>
      <c r="AJ135" s="17" t="str">
        <f>IFERROR(MATRIZ_174!AO134,"N/A")</f>
        <v>N/A</v>
      </c>
      <c r="AK135" s="23" t="str">
        <f t="shared" si="53"/>
        <v>N/A</v>
      </c>
      <c r="AL135" s="24" t="str">
        <f t="shared" si="54"/>
        <v>—</v>
      </c>
      <c r="AM135" t="str">
        <f>IFERROR(MATRIZ_174!AT134,"")</f>
        <v>parcial · 2/7 · D12-D15 0/4</v>
      </c>
    </row>
    <row r="136" spans="1:39" ht="16.05" customHeight="1" x14ac:dyDescent="0.3">
      <c r="A136" s="13" t="s">
        <v>356</v>
      </c>
      <c r="B136" s="14" t="s">
        <v>357</v>
      </c>
      <c r="C136" s="13" t="s">
        <v>137</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t="str">
        <f t="shared" si="45"/>
        <v/>
      </c>
      <c r="R136" s="17" t="str">
        <f t="shared" si="46"/>
        <v/>
      </c>
      <c r="S136" s="17" t="str">
        <f t="shared" si="47"/>
        <v/>
      </c>
      <c r="T136" s="17">
        <f>IF(ISNUMBER(MATRIZ_174!O135),IFERROR((K136+M136+MATRIZ_174!O135*100)/3,0),"")</f>
        <v>0</v>
      </c>
      <c r="U136" s="18">
        <f>IF(ISNUMBER(MATRIZ_174!M135),MIN(100,ROUND(MATRIZ_174!M135,1)),"")</f>
        <v>66.900000000000006</v>
      </c>
      <c r="V136" s="18">
        <f t="shared" si="48"/>
        <v>50</v>
      </c>
      <c r="W136" s="18">
        <f>IFERROR(IF(MATRIZ_174!R135=0,65,IF(MATRIZ_174!R135/MATRIZ_174!Q135&gt;=2,35,IF(MATRIZ_174!R135/MATRIZ_174!Q135&gt;=0.5,50,65))),65)</f>
        <v>50</v>
      </c>
      <c r="X136" s="18">
        <f>IF(ISNUMBER(MATRIZ_174!O135),MIN(100,IF(MATRIZ_174!O135=0,70,30)+IF(MATRIZ_174!U135="",0,0.3*(100-MATRIZ_174!U135*100))),"")</f>
        <v>30</v>
      </c>
      <c r="Y136" s="18">
        <f>IF(OR(MATRIZ_174!P135="ASOCIACION",MATRIZ_174!P135="PENDIENTE"),65,40)</f>
        <v>65</v>
      </c>
      <c r="Z136" s="19" t="str">
        <f t="shared" si="49"/>
        <v>—</v>
      </c>
      <c r="AA136" s="20">
        <f t="shared" si="50"/>
        <v>52.4</v>
      </c>
      <c r="AB136" s="21" t="str">
        <f t="shared" si="51"/>
        <v>—</v>
      </c>
      <c r="AC136" s="13" t="str">
        <f t="shared" si="52"/>
        <v>⬜  Pendiente de instrumento</v>
      </c>
      <c r="AD136" s="13" t="str">
        <f>IF(MATRIZ_174!U135="","",IF(MATRIZ_174!U135=0,"🚫  Inh. vigente OSCE",""))</f>
        <v/>
      </c>
      <c r="AE136" s="22">
        <f>IFERROR(MATRIZ_174!W135,0)</f>
        <v>1</v>
      </c>
      <c r="AF136" s="22" t="str">
        <f>IFERROR(MATRIZ_174!X135,0)</f>
        <v/>
      </c>
      <c r="AG136" s="22" t="str">
        <f>IFERROR(MATRIZ_174!Y135,0)</f>
        <v/>
      </c>
      <c r="AH136" s="22" t="str">
        <f>IFERROR(MATRIZ_174!Z135,0)</f>
        <v/>
      </c>
      <c r="AI136" s="17">
        <f>IFERROR(MATRIZ_174!AP135,"—")</f>
        <v>0.65375000000000005</v>
      </c>
      <c r="AJ136" s="17" t="str">
        <f>IFERROR(MATRIZ_174!AO135,"N/A")</f>
        <v>N/A</v>
      </c>
      <c r="AK136" s="23" t="str">
        <f t="shared" si="53"/>
        <v>N/A</v>
      </c>
      <c r="AL136" s="24" t="str">
        <f t="shared" si="54"/>
        <v>—</v>
      </c>
      <c r="AM136" t="str">
        <f>IFERROR(MATRIZ_174!AT135,"")</f>
        <v>parcial · 3/7 · D12-D15 0/4</v>
      </c>
    </row>
    <row r="137" spans="1:39" ht="16.05" customHeight="1" x14ac:dyDescent="0.3">
      <c r="A137" s="13" t="s">
        <v>359</v>
      </c>
      <c r="B137" s="14" t="s">
        <v>360</v>
      </c>
      <c r="C137" s="13" t="s">
        <v>75</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t="str">
        <f t="shared" si="45"/>
        <v/>
      </c>
      <c r="R137" s="17" t="str">
        <f t="shared" si="46"/>
        <v/>
      </c>
      <c r="S137" s="17" t="str">
        <f t="shared" si="47"/>
        <v/>
      </c>
      <c r="T137" s="17" t="str">
        <f>IF(ISNUMBER(MATRIZ_174!O136),IFERROR((K137+M137+MATRIZ_174!O136*100)/3,0),"")</f>
        <v/>
      </c>
      <c r="U137" s="18" t="str">
        <f>IF(ISNUMBER(MATRIZ_174!M136),MIN(100,ROUND(MATRIZ_174!M136,1)),"")</f>
        <v/>
      </c>
      <c r="V137" s="18">
        <f t="shared" si="48"/>
        <v>50</v>
      </c>
      <c r="W137" s="18">
        <f>IFERROR(IF(MATRIZ_174!R136=0,65,IF(MATRIZ_174!R136/MATRIZ_174!Q136&gt;=2,35,IF(MATRIZ_174!R136/MATRIZ_174!Q136&gt;=0.5,50,65))),65)</f>
        <v>65</v>
      </c>
      <c r="X137" s="18" t="str">
        <f>IF(ISNUMBER(MATRIZ_174!O136),MIN(100,IF(MATRIZ_174!O136=0,70,30)+IF(MATRIZ_174!U136="",0,0.3*(100-MATRIZ_174!U136*100))),"")</f>
        <v/>
      </c>
      <c r="Y137" s="18">
        <f>IF(OR(MATRIZ_174!P136="ASOCIACION",MATRIZ_174!P136="PENDIENTE"),65,40)</f>
        <v>65</v>
      </c>
      <c r="Z137" s="19" t="str">
        <f t="shared" si="49"/>
        <v>—</v>
      </c>
      <c r="AA137" s="20">
        <f t="shared" si="50"/>
        <v>60</v>
      </c>
      <c r="AB137" s="21" t="str">
        <f t="shared" si="51"/>
        <v>—</v>
      </c>
      <c r="AC137" s="13" t="str">
        <f t="shared" si="52"/>
        <v>⬜  Pendiente de instrumento</v>
      </c>
      <c r="AD137" s="13" t="str">
        <f>IF(MATRIZ_174!U136="","",IF(MATRIZ_174!U136=0,"🚫  Inh. vigente OSCE",""))</f>
        <v/>
      </c>
      <c r="AE137" s="22" t="str">
        <f>IFERROR(MATRIZ_174!W136,0)</f>
        <v/>
      </c>
      <c r="AF137" s="22" t="str">
        <f>IFERROR(MATRIZ_174!X136,0)</f>
        <v/>
      </c>
      <c r="AG137" s="22" t="str">
        <f>IFERROR(MATRIZ_174!Y136,0)</f>
        <v/>
      </c>
      <c r="AH137" s="22" t="str">
        <f>IFERROR(MATRIZ_174!Z136,0)</f>
        <v/>
      </c>
      <c r="AI137" s="17" t="str">
        <f>IFERROR(MATRIZ_174!AP136,"—")</f>
        <v>—</v>
      </c>
      <c r="AJ137" s="17" t="str">
        <f>IFERROR(MATRIZ_174!AO136,"N/A")</f>
        <v>N/A</v>
      </c>
      <c r="AK137" s="23" t="str">
        <f t="shared" si="53"/>
        <v>N/A</v>
      </c>
      <c r="AL137" s="24" t="str">
        <f t="shared" si="54"/>
        <v>—</v>
      </c>
      <c r="AM137" t="str">
        <f>IFERROR(MATRIZ_174!AT136,"")</f>
        <v>sin dato</v>
      </c>
    </row>
    <row r="138" spans="1:39" ht="16.05" customHeight="1" x14ac:dyDescent="0.3">
      <c r="A138" s="13" t="s">
        <v>361</v>
      </c>
      <c r="B138" s="14" t="s">
        <v>362</v>
      </c>
      <c r="C138" s="13" t="s">
        <v>78</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t="str">
        <f t="shared" si="45"/>
        <v/>
      </c>
      <c r="R138" s="17" t="str">
        <f t="shared" si="46"/>
        <v/>
      </c>
      <c r="S138" s="17" t="str">
        <f t="shared" si="47"/>
        <v/>
      </c>
      <c r="T138" s="17" t="str">
        <f>IF(ISNUMBER(MATRIZ_174!O137),IFERROR((K138+M138+MATRIZ_174!O137*100)/3,0),"")</f>
        <v/>
      </c>
      <c r="U138" s="18" t="str">
        <f>IF(ISNUMBER(MATRIZ_174!M137),MIN(100,ROUND(MATRIZ_174!M137,1)),"")</f>
        <v/>
      </c>
      <c r="V138" s="18">
        <f t="shared" si="48"/>
        <v>50</v>
      </c>
      <c r="W138" s="18">
        <f>IFERROR(IF(MATRIZ_174!R137=0,65,IF(MATRIZ_174!R137/MATRIZ_174!Q137&gt;=2,35,IF(MATRIZ_174!R137/MATRIZ_174!Q137&gt;=0.5,50,65))),65)</f>
        <v>65</v>
      </c>
      <c r="X138" s="18" t="str">
        <f>IF(ISNUMBER(MATRIZ_174!O137),MIN(100,IF(MATRIZ_174!O137=0,70,30)+IF(MATRIZ_174!U137="",0,0.3*(100-MATRIZ_174!U137*100))),"")</f>
        <v/>
      </c>
      <c r="Y138" s="18">
        <f>IF(OR(MATRIZ_174!P137="ASOCIACION",MATRIZ_174!P137="PENDIENTE"),65,40)</f>
        <v>65</v>
      </c>
      <c r="Z138" s="19" t="str">
        <f t="shared" si="49"/>
        <v>—</v>
      </c>
      <c r="AA138" s="20">
        <f t="shared" si="50"/>
        <v>60</v>
      </c>
      <c r="AB138" s="21" t="str">
        <f t="shared" si="51"/>
        <v>—</v>
      </c>
      <c r="AC138" s="13" t="str">
        <f t="shared" si="52"/>
        <v>⬜  Pendiente de instrumento</v>
      </c>
      <c r="AD138" s="13" t="str">
        <f>IF(MATRIZ_174!U137="","",IF(MATRIZ_174!U137=0,"🚫  Inh. vigente OSCE",""))</f>
        <v/>
      </c>
      <c r="AE138" s="22" t="str">
        <f>IFERROR(MATRIZ_174!W137,0)</f>
        <v/>
      </c>
      <c r="AF138" s="22" t="str">
        <f>IFERROR(MATRIZ_174!X137,0)</f>
        <v/>
      </c>
      <c r="AG138" s="22" t="str">
        <f>IFERROR(MATRIZ_174!Y137,0)</f>
        <v/>
      </c>
      <c r="AH138" s="22" t="str">
        <f>IFERROR(MATRIZ_174!Z137,0)</f>
        <v/>
      </c>
      <c r="AI138" s="17" t="str">
        <f>IFERROR(MATRIZ_174!AP137,"—")</f>
        <v>—</v>
      </c>
      <c r="AJ138" s="17" t="str">
        <f>IFERROR(MATRIZ_174!AO137,"N/A")</f>
        <v>N/A</v>
      </c>
      <c r="AK138" s="23" t="str">
        <f t="shared" si="53"/>
        <v>N/A</v>
      </c>
      <c r="AL138" s="24" t="str">
        <f t="shared" si="54"/>
        <v>—</v>
      </c>
      <c r="AM138" t="str">
        <f>IFERROR(MATRIZ_174!AT137,"")</f>
        <v>sin dato</v>
      </c>
    </row>
    <row r="139" spans="1:39" ht="16.05" customHeight="1" x14ac:dyDescent="0.3">
      <c r="A139" s="13" t="s">
        <v>363</v>
      </c>
      <c r="B139" s="14" t="s">
        <v>364</v>
      </c>
      <c r="C139" s="13" t="s">
        <v>110</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t="str">
        <f t="shared" si="45"/>
        <v/>
      </c>
      <c r="R139" s="17" t="str">
        <f t="shared" si="46"/>
        <v/>
      </c>
      <c r="S139" s="17" t="str">
        <f t="shared" si="47"/>
        <v/>
      </c>
      <c r="T139" s="17" t="str">
        <f>IF(ISNUMBER(MATRIZ_174!O138),IFERROR((K139+M139+MATRIZ_174!O138*100)/3,0),"")</f>
        <v/>
      </c>
      <c r="U139" s="18">
        <f>IF(ISNUMBER(MATRIZ_174!M138),MIN(100,ROUND(MATRIZ_174!M138,1)),"")</f>
        <v>50</v>
      </c>
      <c r="V139" s="18">
        <f t="shared" si="48"/>
        <v>50</v>
      </c>
      <c r="W139" s="18">
        <f>IFERROR(IF(MATRIZ_174!R138=0,65,IF(MATRIZ_174!R138/MATRIZ_174!Q138&gt;=2,35,IF(MATRIZ_174!R138/MATRIZ_174!Q138&gt;=0.5,50,65))),65)</f>
        <v>65</v>
      </c>
      <c r="X139" s="18" t="str">
        <f>IF(ISNUMBER(MATRIZ_174!O138),MIN(100,IF(MATRIZ_174!O138=0,70,30)+IF(MATRIZ_174!U138="",0,0.3*(100-MATRIZ_174!U138*100))),"")</f>
        <v/>
      </c>
      <c r="Y139" s="18">
        <f>IF(OR(MATRIZ_174!P138="ASOCIACION",MATRIZ_174!P138="PENDIENTE"),65,40)</f>
        <v>65</v>
      </c>
      <c r="Z139" s="19" t="str">
        <f t="shared" si="49"/>
        <v>—</v>
      </c>
      <c r="AA139" s="20">
        <f t="shared" si="50"/>
        <v>57.5</v>
      </c>
      <c r="AB139" s="21" t="str">
        <f t="shared" si="51"/>
        <v>—</v>
      </c>
      <c r="AC139" s="13" t="str">
        <f t="shared" si="52"/>
        <v>⬜  Pendiente de instrumento</v>
      </c>
      <c r="AD139" s="13" t="str">
        <f>IF(MATRIZ_174!U138="","",IF(MATRIZ_174!U138=0,"🚫  Inh. vigente OSCE",""))</f>
        <v/>
      </c>
      <c r="AE139" s="22" t="str">
        <f>IFERROR(MATRIZ_174!W138,0)</f>
        <v/>
      </c>
      <c r="AF139" s="22" t="str">
        <f>IFERROR(MATRIZ_174!X138,0)</f>
        <v/>
      </c>
      <c r="AG139" s="22" t="str">
        <f>IFERROR(MATRIZ_174!Y138,0)</f>
        <v/>
      </c>
      <c r="AH139" s="22" t="str">
        <f>IFERROR(MATRIZ_174!Z138,0)</f>
        <v/>
      </c>
      <c r="AI139" s="17">
        <f>IFERROR(MATRIZ_174!AP138,"—")</f>
        <v>0.5</v>
      </c>
      <c r="AJ139" s="17" t="str">
        <f>IFERROR(MATRIZ_174!AO138,"N/A")</f>
        <v>N/A</v>
      </c>
      <c r="AK139" s="23" t="str">
        <f t="shared" si="53"/>
        <v>N/A</v>
      </c>
      <c r="AL139" s="24" t="str">
        <f t="shared" si="54"/>
        <v>—</v>
      </c>
      <c r="AM139" t="str">
        <f>IFERROR(MATRIZ_174!AT138,"")</f>
        <v>parcial · 1/7 · D12-D15 0/4</v>
      </c>
    </row>
    <row r="140" spans="1:39" ht="16.05" customHeight="1" x14ac:dyDescent="0.3">
      <c r="A140" s="13" t="s">
        <v>365</v>
      </c>
      <c r="B140" s="14" t="s">
        <v>366</v>
      </c>
      <c r="C140" s="13" t="s">
        <v>190</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t="str">
        <f t="shared" si="45"/>
        <v/>
      </c>
      <c r="R140" s="17" t="str">
        <f t="shared" si="46"/>
        <v/>
      </c>
      <c r="S140" s="17" t="str">
        <f t="shared" si="47"/>
        <v/>
      </c>
      <c r="T140" s="17" t="str">
        <f>IF(ISNUMBER(MATRIZ_174!O139),IFERROR((K140+M140+MATRIZ_174!O139*100)/3,0),"")</f>
        <v/>
      </c>
      <c r="U140" s="18" t="str">
        <f>IF(ISNUMBER(MATRIZ_174!M139),MIN(100,ROUND(MATRIZ_174!M139,1)),"")</f>
        <v/>
      </c>
      <c r="V140" s="18">
        <f t="shared" si="48"/>
        <v>50</v>
      </c>
      <c r="W140" s="18">
        <f>IFERROR(IF(MATRIZ_174!R139=0,65,IF(MATRIZ_174!R139/MATRIZ_174!Q139&gt;=2,35,IF(MATRIZ_174!R139/MATRIZ_174!Q139&gt;=0.5,50,65))),65)</f>
        <v>65</v>
      </c>
      <c r="X140" s="18" t="str">
        <f>IF(ISNUMBER(MATRIZ_174!O139),MIN(100,IF(MATRIZ_174!O139=0,70,30)+IF(MATRIZ_174!U139="",0,0.3*(100-MATRIZ_174!U139*100))),"")</f>
        <v/>
      </c>
      <c r="Y140" s="18">
        <f>IF(OR(MATRIZ_174!P139="ASOCIACION",MATRIZ_174!P139="PENDIENTE"),65,40)</f>
        <v>65</v>
      </c>
      <c r="Z140" s="19" t="str">
        <f t="shared" si="49"/>
        <v>—</v>
      </c>
      <c r="AA140" s="20">
        <f t="shared" si="50"/>
        <v>60</v>
      </c>
      <c r="AB140" s="21" t="str">
        <f t="shared" si="51"/>
        <v>—</v>
      </c>
      <c r="AC140" s="13" t="str">
        <f t="shared" si="52"/>
        <v>⬜  Pendiente de instrumento</v>
      </c>
      <c r="AD140" s="13" t="str">
        <f>IF(MATRIZ_174!U139="","",IF(MATRIZ_174!U139=0,"🚫  Inh. vigente OSCE",""))</f>
        <v/>
      </c>
      <c r="AE140" s="22" t="str">
        <f>IFERROR(MATRIZ_174!W139,0)</f>
        <v/>
      </c>
      <c r="AF140" s="22" t="str">
        <f>IFERROR(MATRIZ_174!X139,0)</f>
        <v/>
      </c>
      <c r="AG140" s="22" t="str">
        <f>IFERROR(MATRIZ_174!Y139,0)</f>
        <v/>
      </c>
      <c r="AH140" s="22" t="str">
        <f>IFERROR(MATRIZ_174!Z139,0)</f>
        <v/>
      </c>
      <c r="AI140" s="17" t="str">
        <f>IFERROR(MATRIZ_174!AP139,"—")</f>
        <v>—</v>
      </c>
      <c r="AJ140" s="17" t="str">
        <f>IFERROR(MATRIZ_174!AO139,"N/A")</f>
        <v>N/A</v>
      </c>
      <c r="AK140" s="23" t="str">
        <f t="shared" si="53"/>
        <v>N/A</v>
      </c>
      <c r="AL140" s="24" t="str">
        <f t="shared" si="54"/>
        <v>—</v>
      </c>
      <c r="AM140" t="str">
        <f>IFERROR(MATRIZ_174!AT139,"")</f>
        <v>sin dato</v>
      </c>
    </row>
    <row r="141" spans="1:39" ht="16.05" customHeight="1" x14ac:dyDescent="0.3">
      <c r="A141" s="13" t="s">
        <v>367</v>
      </c>
      <c r="B141" s="14" t="s">
        <v>368</v>
      </c>
      <c r="C141" s="13" t="s">
        <v>75</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t="str">
        <f t="shared" si="45"/>
        <v/>
      </c>
      <c r="R141" s="17" t="str">
        <f t="shared" si="46"/>
        <v/>
      </c>
      <c r="S141" s="17" t="str">
        <f t="shared" si="47"/>
        <v/>
      </c>
      <c r="T141" s="17" t="str">
        <f>IF(ISNUMBER(MATRIZ_174!O140),IFERROR((K141+M141+MATRIZ_174!O140*100)/3,0),"")</f>
        <v/>
      </c>
      <c r="U141" s="18">
        <f>IF(ISNUMBER(MATRIZ_174!M140),MIN(100,ROUND(MATRIZ_174!M140,1)),"")</f>
        <v>0</v>
      </c>
      <c r="V141" s="18">
        <f t="shared" si="48"/>
        <v>50</v>
      </c>
      <c r="W141" s="18">
        <f>IFERROR(IF(MATRIZ_174!R140=0,65,IF(MATRIZ_174!R140/MATRIZ_174!Q140&gt;=2,35,IF(MATRIZ_174!R140/MATRIZ_174!Q140&gt;=0.5,50,65))),65)</f>
        <v>65</v>
      </c>
      <c r="X141" s="18" t="str">
        <f>IF(ISNUMBER(MATRIZ_174!O140),MIN(100,IF(MATRIZ_174!O140=0,70,30)+IF(MATRIZ_174!U140="",0,0.3*(100-MATRIZ_174!U140*100))),"")</f>
        <v/>
      </c>
      <c r="Y141" s="18">
        <f>IF(OR(MATRIZ_174!P140="ASOCIACION",MATRIZ_174!P140="PENDIENTE"),65,40)</f>
        <v>65</v>
      </c>
      <c r="Z141" s="19" t="str">
        <f t="shared" si="49"/>
        <v>—</v>
      </c>
      <c r="AA141" s="20">
        <f t="shared" si="50"/>
        <v>45</v>
      </c>
      <c r="AB141" s="21" t="str">
        <f t="shared" si="51"/>
        <v>—</v>
      </c>
      <c r="AC141" s="13" t="str">
        <f t="shared" si="52"/>
        <v>⬜  Pendiente de instrumento</v>
      </c>
      <c r="AD141" s="13" t="str">
        <f>IF(MATRIZ_174!U140="","",IF(MATRIZ_174!U140=0,"🚫  Inh. vigente OSCE",""))</f>
        <v/>
      </c>
      <c r="AE141" s="22" t="str">
        <f>IFERROR(MATRIZ_174!W140,0)</f>
        <v/>
      </c>
      <c r="AF141" s="22" t="str">
        <f>IFERROR(MATRIZ_174!X140,0)</f>
        <v/>
      </c>
      <c r="AG141" s="22" t="str">
        <f>IFERROR(MATRIZ_174!Y140,0)</f>
        <v/>
      </c>
      <c r="AH141" s="22" t="str">
        <f>IFERROR(MATRIZ_174!Z140,0)</f>
        <v/>
      </c>
      <c r="AI141" s="17">
        <f>IFERROR(MATRIZ_174!AP140,"—")</f>
        <v>0</v>
      </c>
      <c r="AJ141" s="17" t="str">
        <f>IFERROR(MATRIZ_174!AO140,"N/A")</f>
        <v>N/A</v>
      </c>
      <c r="AK141" s="23" t="str">
        <f t="shared" si="53"/>
        <v>N/A</v>
      </c>
      <c r="AL141" s="24" t="str">
        <f t="shared" si="54"/>
        <v>—</v>
      </c>
      <c r="AM141" t="str">
        <f>IFERROR(MATRIZ_174!AT140,"")</f>
        <v>parcial · 1/7 · D12-D15 0/4</v>
      </c>
    </row>
    <row r="142" spans="1:39" ht="16.05" customHeight="1" x14ac:dyDescent="0.3">
      <c r="A142" s="13" t="s">
        <v>369</v>
      </c>
      <c r="B142" s="14" t="s">
        <v>370</v>
      </c>
      <c r="C142" s="13" t="s">
        <v>78</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t="str">
        <f t="shared" si="45"/>
        <v/>
      </c>
      <c r="R142" s="17" t="str">
        <f t="shared" si="46"/>
        <v/>
      </c>
      <c r="S142" s="17" t="str">
        <f t="shared" si="47"/>
        <v/>
      </c>
      <c r="T142" s="17" t="str">
        <f>IF(ISNUMBER(MATRIZ_174!O141),IFERROR((K142+M142+MATRIZ_174!O141*100)/3,0),"")</f>
        <v/>
      </c>
      <c r="U142" s="18" t="str">
        <f>IF(ISNUMBER(MATRIZ_174!M141),MIN(100,ROUND(MATRIZ_174!M141,1)),"")</f>
        <v/>
      </c>
      <c r="V142" s="18">
        <f t="shared" si="48"/>
        <v>50</v>
      </c>
      <c r="W142" s="18">
        <f>IFERROR(IF(MATRIZ_174!R141=0,65,IF(MATRIZ_174!R141/MATRIZ_174!Q141&gt;=2,35,IF(MATRIZ_174!R141/MATRIZ_174!Q141&gt;=0.5,50,65))),65)</f>
        <v>65</v>
      </c>
      <c r="X142" s="18" t="str">
        <f>IF(ISNUMBER(MATRIZ_174!O141),MIN(100,IF(MATRIZ_174!O141=0,70,30)+IF(MATRIZ_174!U141="",0,0.3*(100-MATRIZ_174!U141*100))),"")</f>
        <v/>
      </c>
      <c r="Y142" s="18">
        <f>IF(OR(MATRIZ_174!P141="ASOCIACION",MATRIZ_174!P141="PENDIENTE"),65,40)</f>
        <v>65</v>
      </c>
      <c r="Z142" s="19" t="str">
        <f t="shared" si="49"/>
        <v>—</v>
      </c>
      <c r="AA142" s="20">
        <f t="shared" si="50"/>
        <v>60</v>
      </c>
      <c r="AB142" s="21" t="str">
        <f t="shared" si="51"/>
        <v>—</v>
      </c>
      <c r="AC142" s="13" t="str">
        <f t="shared" si="52"/>
        <v>⬜  Pendiente de instrumento</v>
      </c>
      <c r="AD142" s="13" t="str">
        <f>IF(MATRIZ_174!U141="","",IF(MATRIZ_174!U141=0,"🚫  Inh. vigente OSCE",""))</f>
        <v/>
      </c>
      <c r="AE142" s="22" t="str">
        <f>IFERROR(MATRIZ_174!W141,0)</f>
        <v/>
      </c>
      <c r="AF142" s="22" t="str">
        <f>IFERROR(MATRIZ_174!X141,0)</f>
        <v/>
      </c>
      <c r="AG142" s="22" t="str">
        <f>IFERROR(MATRIZ_174!Y141,0)</f>
        <v/>
      </c>
      <c r="AH142" s="22" t="str">
        <f>IFERROR(MATRIZ_174!Z141,0)</f>
        <v/>
      </c>
      <c r="AI142" s="17" t="str">
        <f>IFERROR(MATRIZ_174!AP141,"—")</f>
        <v>—</v>
      </c>
      <c r="AJ142" s="17" t="str">
        <f>IFERROR(MATRIZ_174!AO141,"N/A")</f>
        <v>N/A</v>
      </c>
      <c r="AK142" s="23" t="str">
        <f t="shared" si="53"/>
        <v>N/A</v>
      </c>
      <c r="AL142" s="24" t="str">
        <f t="shared" si="54"/>
        <v>—</v>
      </c>
      <c r="AM142" t="str">
        <f>IFERROR(MATRIZ_174!AT141,"")</f>
        <v>sin dato</v>
      </c>
    </row>
    <row r="143" spans="1:39" ht="16.05" customHeight="1" x14ac:dyDescent="0.3">
      <c r="A143" s="13" t="s">
        <v>371</v>
      </c>
      <c r="B143" s="14" t="s">
        <v>372</v>
      </c>
      <c r="C143" s="13" t="s">
        <v>78</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t="str">
        <f t="shared" si="45"/>
        <v/>
      </c>
      <c r="R143" s="17" t="str">
        <f t="shared" si="46"/>
        <v/>
      </c>
      <c r="S143" s="17" t="str">
        <f t="shared" si="47"/>
        <v/>
      </c>
      <c r="T143" s="17" t="str">
        <f>IF(ISNUMBER(MATRIZ_174!O142),IFERROR((K143+M143+MATRIZ_174!O142*100)/3,0),"")</f>
        <v/>
      </c>
      <c r="U143" s="18" t="str">
        <f>IF(ISNUMBER(MATRIZ_174!M142),MIN(100,ROUND(MATRIZ_174!M142,1)),"")</f>
        <v/>
      </c>
      <c r="V143" s="18">
        <f t="shared" si="48"/>
        <v>50</v>
      </c>
      <c r="W143" s="18">
        <f>IFERROR(IF(MATRIZ_174!R142=0,65,IF(MATRIZ_174!R142/MATRIZ_174!Q142&gt;=2,35,IF(MATRIZ_174!R142/MATRIZ_174!Q142&gt;=0.5,50,65))),65)</f>
        <v>65</v>
      </c>
      <c r="X143" s="18" t="str">
        <f>IF(ISNUMBER(MATRIZ_174!O142),MIN(100,IF(MATRIZ_174!O142=0,70,30)+IF(MATRIZ_174!U142="",0,0.3*(100-MATRIZ_174!U142*100))),"")</f>
        <v/>
      </c>
      <c r="Y143" s="18">
        <f>IF(OR(MATRIZ_174!P142="ASOCIACION",MATRIZ_174!P142="PENDIENTE"),65,40)</f>
        <v>65</v>
      </c>
      <c r="Z143" s="19" t="str">
        <f t="shared" si="49"/>
        <v>—</v>
      </c>
      <c r="AA143" s="20">
        <f t="shared" si="50"/>
        <v>60</v>
      </c>
      <c r="AB143" s="21" t="str">
        <f t="shared" si="51"/>
        <v>—</v>
      </c>
      <c r="AC143" s="13" t="str">
        <f t="shared" si="52"/>
        <v>⬜  Pendiente de instrumento</v>
      </c>
      <c r="AD143" s="13" t="str">
        <f>IF(MATRIZ_174!U142="","",IF(MATRIZ_174!U142=0,"🚫  Inh. vigente OSCE",""))</f>
        <v/>
      </c>
      <c r="AE143" s="22" t="str">
        <f>IFERROR(MATRIZ_174!W142,0)</f>
        <v/>
      </c>
      <c r="AF143" s="22" t="str">
        <f>IFERROR(MATRIZ_174!X142,0)</f>
        <v/>
      </c>
      <c r="AG143" s="22" t="str">
        <f>IFERROR(MATRIZ_174!Y142,0)</f>
        <v/>
      </c>
      <c r="AH143" s="22" t="str">
        <f>IFERROR(MATRIZ_174!Z142,0)</f>
        <v/>
      </c>
      <c r="AI143" s="17" t="str">
        <f>IFERROR(MATRIZ_174!AP142,"—")</f>
        <v>—</v>
      </c>
      <c r="AJ143" s="17" t="str">
        <f>IFERROR(MATRIZ_174!AO142,"N/A")</f>
        <v>N/A</v>
      </c>
      <c r="AK143" s="23" t="str">
        <f t="shared" si="53"/>
        <v>N/A</v>
      </c>
      <c r="AL143" s="24" t="str">
        <f t="shared" si="54"/>
        <v>—</v>
      </c>
      <c r="AM143" t="str">
        <f>IFERROR(MATRIZ_174!AT142,"")</f>
        <v>sin dato</v>
      </c>
    </row>
    <row r="144" spans="1:39" ht="16.05" customHeight="1" x14ac:dyDescent="0.3">
      <c r="A144" s="13" t="s">
        <v>373</v>
      </c>
      <c r="B144" s="14" t="s">
        <v>374</v>
      </c>
      <c r="C144" s="13" t="s">
        <v>137</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t="str">
        <f t="shared" si="45"/>
        <v/>
      </c>
      <c r="R144" s="17" t="str">
        <f t="shared" si="46"/>
        <v/>
      </c>
      <c r="S144" s="17" t="str">
        <f t="shared" si="47"/>
        <v/>
      </c>
      <c r="T144" s="17">
        <f>IF(ISNUMBER(MATRIZ_174!O143),IFERROR((K144+M144+MATRIZ_174!O143*100)/3,0),"")</f>
        <v>0</v>
      </c>
      <c r="U144" s="18">
        <f>IF(ISNUMBER(MATRIZ_174!M143),MIN(100,ROUND(MATRIZ_174!M143,1)),"")</f>
        <v>71</v>
      </c>
      <c r="V144" s="18">
        <f t="shared" si="48"/>
        <v>50</v>
      </c>
      <c r="W144" s="18">
        <f>IFERROR(IF(MATRIZ_174!R143=0,65,IF(MATRIZ_174!R143/MATRIZ_174!Q143&gt;=2,35,IF(MATRIZ_174!R143/MATRIZ_174!Q143&gt;=0.5,50,65))),65)</f>
        <v>35</v>
      </c>
      <c r="X144" s="18">
        <f>IF(ISNUMBER(MATRIZ_174!O143),MIN(100,IF(MATRIZ_174!O143=0,70,30)+IF(MATRIZ_174!U143="",0,0.3*(100-MATRIZ_174!U143*100))),"")</f>
        <v>30</v>
      </c>
      <c r="Y144" s="18">
        <f>IF(OR(MATRIZ_174!P143="ASOCIACION",MATRIZ_174!P143="PENDIENTE"),65,40)</f>
        <v>65</v>
      </c>
      <c r="Z144" s="19" t="str">
        <f t="shared" si="49"/>
        <v>—</v>
      </c>
      <c r="AA144" s="20">
        <f t="shared" si="50"/>
        <v>50.2</v>
      </c>
      <c r="AB144" s="21" t="str">
        <f t="shared" si="51"/>
        <v>—</v>
      </c>
      <c r="AC144" s="13" t="str">
        <f t="shared" si="52"/>
        <v>⬜  Pendiente de instrumento</v>
      </c>
      <c r="AD144" s="13" t="str">
        <f>IF(MATRIZ_174!U143="","",IF(MATRIZ_174!U143=0,"🚫  Inh. vigente OSCE",""))</f>
        <v/>
      </c>
      <c r="AE144" s="22">
        <f>IFERROR(MATRIZ_174!W143,0)</f>
        <v>1</v>
      </c>
      <c r="AF144" s="22" t="str">
        <f>IFERROR(MATRIZ_174!X143,0)</f>
        <v/>
      </c>
      <c r="AG144" s="22" t="str">
        <f>IFERROR(MATRIZ_174!Y143,0)</f>
        <v/>
      </c>
      <c r="AH144" s="22" t="str">
        <f>IFERROR(MATRIZ_174!Z143,0)</f>
        <v/>
      </c>
      <c r="AI144" s="17">
        <f>IFERROR(MATRIZ_174!AP143,"—")</f>
        <v>0.67083333333333339</v>
      </c>
      <c r="AJ144" s="17" t="str">
        <f>IFERROR(MATRIZ_174!AO143,"N/A")</f>
        <v>N/A</v>
      </c>
      <c r="AK144" s="23" t="str">
        <f t="shared" si="53"/>
        <v>N/A</v>
      </c>
      <c r="AL144" s="24" t="str">
        <f t="shared" si="54"/>
        <v>—</v>
      </c>
      <c r="AM144" t="str">
        <f>IFERROR(MATRIZ_174!AT143,"")</f>
        <v>parcial · 3/7 · D12-D15 0/4</v>
      </c>
    </row>
    <row r="145" spans="1:39" ht="16.05" customHeight="1" x14ac:dyDescent="0.3">
      <c r="A145" s="13" t="s">
        <v>375</v>
      </c>
      <c r="B145" s="14" t="s">
        <v>376</v>
      </c>
      <c r="C145" s="13" t="s">
        <v>78</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t="str">
        <f t="shared" si="45"/>
        <v/>
      </c>
      <c r="R145" s="17" t="str">
        <f t="shared" si="46"/>
        <v/>
      </c>
      <c r="S145" s="17" t="str">
        <f t="shared" si="47"/>
        <v/>
      </c>
      <c r="T145" s="17" t="str">
        <f>IF(ISNUMBER(MATRIZ_174!O144),IFERROR((K145+M145+MATRIZ_174!O144*100)/3,0),"")</f>
        <v/>
      </c>
      <c r="U145" s="18" t="str">
        <f>IF(ISNUMBER(MATRIZ_174!M144),MIN(100,ROUND(MATRIZ_174!M144,1)),"")</f>
        <v/>
      </c>
      <c r="V145" s="18">
        <f t="shared" si="48"/>
        <v>50</v>
      </c>
      <c r="W145" s="18">
        <f>IFERROR(IF(MATRIZ_174!R144=0,65,IF(MATRIZ_174!R144/MATRIZ_174!Q144&gt;=2,35,IF(MATRIZ_174!R144/MATRIZ_174!Q144&gt;=0.5,50,65))),65)</f>
        <v>65</v>
      </c>
      <c r="X145" s="18" t="str">
        <f>IF(ISNUMBER(MATRIZ_174!O144),MIN(100,IF(MATRIZ_174!O144=0,70,30)+IF(MATRIZ_174!U144="",0,0.3*(100-MATRIZ_174!U144*100))),"")</f>
        <v/>
      </c>
      <c r="Y145" s="18">
        <f>IF(OR(MATRIZ_174!P144="ASOCIACION",MATRIZ_174!P144="PENDIENTE"),65,40)</f>
        <v>65</v>
      </c>
      <c r="Z145" s="19" t="str">
        <f t="shared" si="49"/>
        <v>—</v>
      </c>
      <c r="AA145" s="20">
        <f t="shared" si="50"/>
        <v>60</v>
      </c>
      <c r="AB145" s="21" t="str">
        <f t="shared" si="51"/>
        <v>—</v>
      </c>
      <c r="AC145" s="13" t="str">
        <f t="shared" si="52"/>
        <v>⬜  Pendiente de instrumento</v>
      </c>
      <c r="AD145" s="13" t="str">
        <f>IF(MATRIZ_174!U144="","",IF(MATRIZ_174!U144=0,"🚫  Inh. vigente OSCE",""))</f>
        <v/>
      </c>
      <c r="AE145" s="22" t="str">
        <f>IFERROR(MATRIZ_174!W144,0)</f>
        <v/>
      </c>
      <c r="AF145" s="22" t="str">
        <f>IFERROR(MATRIZ_174!X144,0)</f>
        <v/>
      </c>
      <c r="AG145" s="22" t="str">
        <f>IFERROR(MATRIZ_174!Y144,0)</f>
        <v/>
      </c>
      <c r="AH145" s="22" t="str">
        <f>IFERROR(MATRIZ_174!Z144,0)</f>
        <v/>
      </c>
      <c r="AI145" s="17" t="str">
        <f>IFERROR(MATRIZ_174!AP144,"—")</f>
        <v>—</v>
      </c>
      <c r="AJ145" s="17" t="str">
        <f>IFERROR(MATRIZ_174!AO144,"N/A")</f>
        <v>N/A</v>
      </c>
      <c r="AK145" s="23" t="str">
        <f t="shared" si="53"/>
        <v>N/A</v>
      </c>
      <c r="AL145" s="24" t="str">
        <f t="shared" si="54"/>
        <v>—</v>
      </c>
      <c r="AM145" t="str">
        <f>IFERROR(MATRIZ_174!AT144,"")</f>
        <v>sin dato</v>
      </c>
    </row>
    <row r="146" spans="1:39" ht="16.05" customHeight="1" x14ac:dyDescent="0.3">
      <c r="A146" s="13" t="s">
        <v>377</v>
      </c>
      <c r="B146" s="14" t="s">
        <v>378</v>
      </c>
      <c r="C146" s="13" t="s">
        <v>78</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t="str">
        <f t="shared" si="45"/>
        <v/>
      </c>
      <c r="R146" s="17" t="str">
        <f t="shared" si="46"/>
        <v/>
      </c>
      <c r="S146" s="17" t="str">
        <f t="shared" si="47"/>
        <v/>
      </c>
      <c r="T146" s="17" t="str">
        <f>IF(ISNUMBER(MATRIZ_174!O145),IFERROR((K146+M146+MATRIZ_174!O145*100)/3,0),"")</f>
        <v/>
      </c>
      <c r="U146" s="18" t="str">
        <f>IF(ISNUMBER(MATRIZ_174!M145),MIN(100,ROUND(MATRIZ_174!M145,1)),"")</f>
        <v/>
      </c>
      <c r="V146" s="18">
        <f t="shared" si="48"/>
        <v>50</v>
      </c>
      <c r="W146" s="18">
        <f>IFERROR(IF(MATRIZ_174!R145=0,65,IF(MATRIZ_174!R145/MATRIZ_174!Q145&gt;=2,35,IF(MATRIZ_174!R145/MATRIZ_174!Q145&gt;=0.5,50,65))),65)</f>
        <v>65</v>
      </c>
      <c r="X146" s="18" t="str">
        <f>IF(ISNUMBER(MATRIZ_174!O145),MIN(100,IF(MATRIZ_174!O145=0,70,30)+IF(MATRIZ_174!U145="",0,0.3*(100-MATRIZ_174!U145*100))),"")</f>
        <v/>
      </c>
      <c r="Y146" s="18">
        <f>IF(OR(MATRIZ_174!P145="ASOCIACION",MATRIZ_174!P145="PENDIENTE"),65,40)</f>
        <v>65</v>
      </c>
      <c r="Z146" s="19" t="str">
        <f t="shared" si="49"/>
        <v>—</v>
      </c>
      <c r="AA146" s="20">
        <f t="shared" si="50"/>
        <v>60</v>
      </c>
      <c r="AB146" s="21" t="str">
        <f t="shared" si="51"/>
        <v>—</v>
      </c>
      <c r="AC146" s="13" t="str">
        <f t="shared" si="52"/>
        <v>⬜  Pendiente de instrumento</v>
      </c>
      <c r="AD146" s="13" t="str">
        <f>IF(MATRIZ_174!U145="","",IF(MATRIZ_174!U145=0,"🚫  Inh. vigente OSCE",""))</f>
        <v/>
      </c>
      <c r="AE146" s="22" t="str">
        <f>IFERROR(MATRIZ_174!W145,0)</f>
        <v/>
      </c>
      <c r="AF146" s="22" t="str">
        <f>IFERROR(MATRIZ_174!X145,0)</f>
        <v/>
      </c>
      <c r="AG146" s="22" t="str">
        <f>IFERROR(MATRIZ_174!Y145,0)</f>
        <v/>
      </c>
      <c r="AH146" s="22" t="str">
        <f>IFERROR(MATRIZ_174!Z145,0)</f>
        <v/>
      </c>
      <c r="AI146" s="17" t="str">
        <f>IFERROR(MATRIZ_174!AP145,"—")</f>
        <v>—</v>
      </c>
      <c r="AJ146" s="17" t="str">
        <f>IFERROR(MATRIZ_174!AO145,"N/A")</f>
        <v>N/A</v>
      </c>
      <c r="AK146" s="23" t="str">
        <f t="shared" si="53"/>
        <v>N/A</v>
      </c>
      <c r="AL146" s="24" t="str">
        <f t="shared" si="54"/>
        <v>—</v>
      </c>
      <c r="AM146" t="str">
        <f>IFERROR(MATRIZ_174!AT145,"")</f>
        <v>sin dato</v>
      </c>
    </row>
    <row r="147" spans="1:39" ht="16.05" customHeight="1" x14ac:dyDescent="0.3">
      <c r="A147" s="13" t="s">
        <v>379</v>
      </c>
      <c r="B147" s="14" t="s">
        <v>380</v>
      </c>
      <c r="C147" s="13" t="s">
        <v>75</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t="str">
        <f t="shared" si="45"/>
        <v/>
      </c>
      <c r="R147" s="17" t="str">
        <f t="shared" si="46"/>
        <v/>
      </c>
      <c r="S147" s="17" t="str">
        <f t="shared" si="47"/>
        <v/>
      </c>
      <c r="T147" s="17">
        <f>IF(ISNUMBER(MATRIZ_174!O146),IFERROR((K147+M147+MATRIZ_174!O146*100)/3,0),"")</f>
        <v>0</v>
      </c>
      <c r="U147" s="18">
        <f>IF(ISNUMBER(MATRIZ_174!M146),MIN(100,ROUND(MATRIZ_174!M146,1)),"")</f>
        <v>100</v>
      </c>
      <c r="V147" s="18">
        <f t="shared" si="48"/>
        <v>50</v>
      </c>
      <c r="W147" s="18">
        <f>IFERROR(IF(MATRIZ_174!R146=0,65,IF(MATRIZ_174!R146/MATRIZ_174!Q146&gt;=2,35,IF(MATRIZ_174!R146/MATRIZ_174!Q146&gt;=0.5,50,65))),65)</f>
        <v>35</v>
      </c>
      <c r="X147" s="18">
        <f>IF(ISNUMBER(MATRIZ_174!O146),MIN(100,IF(MATRIZ_174!O146=0,70,30)+IF(MATRIZ_174!U146="",0,0.3*(100-MATRIZ_174!U146*100))),"")</f>
        <v>30</v>
      </c>
      <c r="Y147" s="18">
        <f>IF(OR(MATRIZ_174!P146="ASOCIACION",MATRIZ_174!P146="PENDIENTE"),65,40)</f>
        <v>65</v>
      </c>
      <c r="Z147" s="19" t="str">
        <f t="shared" si="49"/>
        <v>—</v>
      </c>
      <c r="AA147" s="20">
        <f t="shared" si="50"/>
        <v>56</v>
      </c>
      <c r="AB147" s="21" t="str">
        <f t="shared" si="51"/>
        <v>—</v>
      </c>
      <c r="AC147" s="13" t="str">
        <f t="shared" si="52"/>
        <v>⬜  Pendiente de instrumento</v>
      </c>
      <c r="AD147" s="13" t="str">
        <f>IF(MATRIZ_174!U146="","",IF(MATRIZ_174!U146=0,"🚫  Inh. vigente OSCE",""))</f>
        <v/>
      </c>
      <c r="AE147" s="22">
        <f>IFERROR(MATRIZ_174!W146,0)</f>
        <v>1</v>
      </c>
      <c r="AF147" s="22" t="str">
        <f>IFERROR(MATRIZ_174!X146,0)</f>
        <v/>
      </c>
      <c r="AG147" s="22" t="str">
        <f>IFERROR(MATRIZ_174!Y146,0)</f>
        <v/>
      </c>
      <c r="AH147" s="22" t="str">
        <f>IFERROR(MATRIZ_174!Z146,0)</f>
        <v/>
      </c>
      <c r="AI147" s="17">
        <f>IFERROR(MATRIZ_174!AP146,"—")</f>
        <v>0.79166666666666663</v>
      </c>
      <c r="AJ147" s="17" t="str">
        <f>IFERROR(MATRIZ_174!AO146,"N/A")</f>
        <v>N/A</v>
      </c>
      <c r="AK147" s="23" t="str">
        <f t="shared" si="53"/>
        <v>N/A</v>
      </c>
      <c r="AL147" s="24" t="str">
        <f t="shared" si="54"/>
        <v>—</v>
      </c>
      <c r="AM147" t="str">
        <f>IFERROR(MATRIZ_174!AT146,"")</f>
        <v>parcial · 3/7 · D12-D15 0/4</v>
      </c>
    </row>
    <row r="148" spans="1:39" ht="16.05" customHeight="1" x14ac:dyDescent="0.3">
      <c r="A148" s="13" t="s">
        <v>381</v>
      </c>
      <c r="B148" s="14" t="s">
        <v>382</v>
      </c>
      <c r="C148" s="13" t="s">
        <v>239</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t="str">
        <f t="shared" si="45"/>
        <v/>
      </c>
      <c r="R148" s="17" t="str">
        <f t="shared" si="46"/>
        <v/>
      </c>
      <c r="S148" s="17" t="str">
        <f t="shared" si="47"/>
        <v/>
      </c>
      <c r="T148" s="17" t="str">
        <f>IF(ISNUMBER(MATRIZ_174!O147),IFERROR((K148+M148+MATRIZ_174!O147*100)/3,0),"")</f>
        <v/>
      </c>
      <c r="U148" s="18">
        <f>IF(ISNUMBER(MATRIZ_174!M147),MIN(100,ROUND(MATRIZ_174!M147,1)),"")</f>
        <v>50</v>
      </c>
      <c r="V148" s="18">
        <f t="shared" si="48"/>
        <v>50</v>
      </c>
      <c r="W148" s="18">
        <f>IFERROR(IF(MATRIZ_174!R147=0,65,IF(MATRIZ_174!R147/MATRIZ_174!Q147&gt;=2,35,IF(MATRIZ_174!R147/MATRIZ_174!Q147&gt;=0.5,50,65))),65)</f>
        <v>65</v>
      </c>
      <c r="X148" s="18" t="str">
        <f>IF(ISNUMBER(MATRIZ_174!O147),MIN(100,IF(MATRIZ_174!O147=0,70,30)+IF(MATRIZ_174!U147="",0,0.3*(100-MATRIZ_174!U147*100))),"")</f>
        <v/>
      </c>
      <c r="Y148" s="18">
        <f>IF(OR(MATRIZ_174!P147="ASOCIACION",MATRIZ_174!P147="PENDIENTE"),65,40)</f>
        <v>65</v>
      </c>
      <c r="Z148" s="19" t="str">
        <f t="shared" si="49"/>
        <v>—</v>
      </c>
      <c r="AA148" s="20">
        <f t="shared" si="50"/>
        <v>57.5</v>
      </c>
      <c r="AB148" s="21" t="str">
        <f t="shared" si="51"/>
        <v>—</v>
      </c>
      <c r="AC148" s="13" t="str">
        <f t="shared" si="52"/>
        <v>⬜  Pendiente de instrumento</v>
      </c>
      <c r="AD148" s="13" t="str">
        <f>IF(MATRIZ_174!U147="","",IF(MATRIZ_174!U147=0,"🚫  Inh. vigente OSCE",""))</f>
        <v/>
      </c>
      <c r="AE148" s="22" t="str">
        <f>IFERROR(MATRIZ_174!W147,0)</f>
        <v/>
      </c>
      <c r="AF148" s="22" t="str">
        <f>IFERROR(MATRIZ_174!X147,0)</f>
        <v/>
      </c>
      <c r="AG148" s="22" t="str">
        <f>IFERROR(MATRIZ_174!Y147,0)</f>
        <v/>
      </c>
      <c r="AH148" s="22" t="str">
        <f>IFERROR(MATRIZ_174!Z147,0)</f>
        <v/>
      </c>
      <c r="AI148" s="17">
        <f>IFERROR(MATRIZ_174!AP147,"—")</f>
        <v>0.5</v>
      </c>
      <c r="AJ148" s="17" t="str">
        <f>IFERROR(MATRIZ_174!AO147,"N/A")</f>
        <v>N/A</v>
      </c>
      <c r="AK148" s="23" t="str">
        <f t="shared" si="53"/>
        <v>N/A</v>
      </c>
      <c r="AL148" s="24" t="str">
        <f t="shared" si="54"/>
        <v>—</v>
      </c>
      <c r="AM148" t="str">
        <f>IFERROR(MATRIZ_174!AT147,"")</f>
        <v>parcial · 1/7 · D12-D15 0/4</v>
      </c>
    </row>
    <row r="149" spans="1:39" ht="16.05" customHeight="1" x14ac:dyDescent="0.3">
      <c r="A149" s="13" t="s">
        <v>383</v>
      </c>
      <c r="B149" s="14" t="s">
        <v>384</v>
      </c>
      <c r="C149" s="13" t="s">
        <v>78</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t="str">
        <f t="shared" si="45"/>
        <v/>
      </c>
      <c r="R149" s="17" t="str">
        <f t="shared" si="46"/>
        <v/>
      </c>
      <c r="S149" s="17" t="str">
        <f t="shared" si="47"/>
        <v/>
      </c>
      <c r="T149" s="17" t="str">
        <f>IF(ISNUMBER(MATRIZ_174!O148),IFERROR((K149+M149+MATRIZ_174!O148*100)/3,0),"")</f>
        <v/>
      </c>
      <c r="U149" s="18" t="str">
        <f>IF(ISNUMBER(MATRIZ_174!M148),MIN(100,ROUND(MATRIZ_174!M148,1)),"")</f>
        <v/>
      </c>
      <c r="V149" s="18">
        <f t="shared" si="48"/>
        <v>50</v>
      </c>
      <c r="W149" s="18">
        <f>IFERROR(IF(MATRIZ_174!R148=0,65,IF(MATRIZ_174!R148/MATRIZ_174!Q148&gt;=2,35,IF(MATRIZ_174!R148/MATRIZ_174!Q148&gt;=0.5,50,65))),65)</f>
        <v>65</v>
      </c>
      <c r="X149" s="18" t="str">
        <f>IF(ISNUMBER(MATRIZ_174!O148),MIN(100,IF(MATRIZ_174!O148=0,70,30)+IF(MATRIZ_174!U148="",0,0.3*(100-MATRIZ_174!U148*100))),"")</f>
        <v/>
      </c>
      <c r="Y149" s="18">
        <f>IF(OR(MATRIZ_174!P148="ASOCIACION",MATRIZ_174!P148="PENDIENTE"),65,40)</f>
        <v>65</v>
      </c>
      <c r="Z149" s="19" t="str">
        <f t="shared" si="49"/>
        <v>—</v>
      </c>
      <c r="AA149" s="20">
        <f t="shared" si="50"/>
        <v>60</v>
      </c>
      <c r="AB149" s="21" t="str">
        <f t="shared" si="51"/>
        <v>—</v>
      </c>
      <c r="AC149" s="13" t="str">
        <f t="shared" si="52"/>
        <v>⬜  Pendiente de instrumento</v>
      </c>
      <c r="AD149" s="13" t="str">
        <f>IF(MATRIZ_174!U148="","",IF(MATRIZ_174!U148=0,"🚫  Inh. vigente OSCE",""))</f>
        <v/>
      </c>
      <c r="AE149" s="22" t="str">
        <f>IFERROR(MATRIZ_174!W148,0)</f>
        <v/>
      </c>
      <c r="AF149" s="22" t="str">
        <f>IFERROR(MATRIZ_174!X148,0)</f>
        <v/>
      </c>
      <c r="AG149" s="22" t="str">
        <f>IFERROR(MATRIZ_174!Y148,0)</f>
        <v/>
      </c>
      <c r="AH149" s="22" t="str">
        <f>IFERROR(MATRIZ_174!Z148,0)</f>
        <v/>
      </c>
      <c r="AI149" s="17" t="str">
        <f>IFERROR(MATRIZ_174!AP148,"—")</f>
        <v>—</v>
      </c>
      <c r="AJ149" s="17" t="str">
        <f>IFERROR(MATRIZ_174!AO148,"N/A")</f>
        <v>N/A</v>
      </c>
      <c r="AK149" s="23" t="str">
        <f t="shared" si="53"/>
        <v>N/A</v>
      </c>
      <c r="AL149" s="24" t="str">
        <f t="shared" si="54"/>
        <v>—</v>
      </c>
      <c r="AM149" t="str">
        <f>IFERROR(MATRIZ_174!AT148,"")</f>
        <v>sin dato</v>
      </c>
    </row>
    <row r="150" spans="1:39" ht="16.05" customHeight="1" x14ac:dyDescent="0.3">
      <c r="A150" s="13" t="s">
        <v>385</v>
      </c>
      <c r="B150" s="14" t="s">
        <v>386</v>
      </c>
      <c r="C150" s="13" t="s">
        <v>148</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t="str">
        <f t="shared" si="45"/>
        <v/>
      </c>
      <c r="R150" s="17" t="str">
        <f t="shared" si="46"/>
        <v/>
      </c>
      <c r="S150" s="17" t="str">
        <f t="shared" si="47"/>
        <v/>
      </c>
      <c r="T150" s="17">
        <f>IF(ISNUMBER(MATRIZ_174!O149),IFERROR((K150+M150+MATRIZ_174!O149*100)/3,0),"")</f>
        <v>0</v>
      </c>
      <c r="U150" s="18">
        <f>IF(ISNUMBER(MATRIZ_174!M149),MIN(100,ROUND(MATRIZ_174!M149,1)),"")</f>
        <v>0</v>
      </c>
      <c r="V150" s="18">
        <f t="shared" si="48"/>
        <v>50</v>
      </c>
      <c r="W150" s="18">
        <f>IFERROR(IF(MATRIZ_174!R149=0,65,IF(MATRIZ_174!R149/MATRIZ_174!Q149&gt;=2,35,IF(MATRIZ_174!R149/MATRIZ_174!Q149&gt;=0.5,50,65))),65)</f>
        <v>35</v>
      </c>
      <c r="X150" s="18">
        <f>IF(ISNUMBER(MATRIZ_174!O149),MIN(100,IF(MATRIZ_174!O149=0,70,30)+IF(MATRIZ_174!U149="",0,0.3*(100-MATRIZ_174!U149*100))),"")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t="str">
        <f>IFERROR(MATRIZ_174!X149,0)</f>
        <v/>
      </c>
      <c r="AG150" s="22" t="str">
        <f>IFERROR(MATRIZ_174!Y149,0)</f>
        <v/>
      </c>
      <c r="AH150" s="22" t="str">
        <f>IFERROR(MATRIZ_174!Z149,0)</f>
        <v/>
      </c>
      <c r="AI150" s="17">
        <f>IFERROR(MATRIZ_174!AP149,"—")</f>
        <v>0.375</v>
      </c>
      <c r="AJ150" s="17" t="str">
        <f>IFERROR(MATRIZ_174!AO149,"N/A")</f>
        <v>N/A</v>
      </c>
      <c r="AK150" s="23" t="str">
        <f t="shared" si="53"/>
        <v>N/A</v>
      </c>
      <c r="AL150" s="24" t="str">
        <f t="shared" si="54"/>
        <v>—</v>
      </c>
      <c r="AM150" t="str">
        <f>IFERROR(MATRIZ_174!AT149,"")</f>
        <v>parcial · 3/7 · D12-D15 0/4</v>
      </c>
    </row>
    <row r="151" spans="1:39" ht="16.05" customHeight="1" x14ac:dyDescent="0.3">
      <c r="A151" s="13" t="s">
        <v>387</v>
      </c>
      <c r="B151" s="14" t="s">
        <v>388</v>
      </c>
      <c r="C151" s="13" t="s">
        <v>101</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t="str">
        <f t="shared" si="45"/>
        <v/>
      </c>
      <c r="R151" s="17" t="str">
        <f t="shared" si="46"/>
        <v/>
      </c>
      <c r="S151" s="17" t="str">
        <f t="shared" si="47"/>
        <v/>
      </c>
      <c r="T151" s="17" t="str">
        <f>IF(ISNUMBER(MATRIZ_174!O150),IFERROR((K151+M151+MATRIZ_174!O150*100)/3,0),"")</f>
        <v/>
      </c>
      <c r="U151" s="18" t="str">
        <f>IF(ISNUMBER(MATRIZ_174!M150),MIN(100,ROUND(MATRIZ_174!M150,1)),"")</f>
        <v/>
      </c>
      <c r="V151" s="18">
        <f t="shared" si="48"/>
        <v>50</v>
      </c>
      <c r="W151" s="18">
        <f>IFERROR(IF(MATRIZ_174!R150=0,65,IF(MATRIZ_174!R150/MATRIZ_174!Q150&gt;=2,35,IF(MATRIZ_174!R150/MATRIZ_174!Q150&gt;=0.5,50,65))),65)</f>
        <v>65</v>
      </c>
      <c r="X151" s="18" t="str">
        <f>IF(ISNUMBER(MATRIZ_174!O150),MIN(100,IF(MATRIZ_174!O150=0,70,30)+IF(MATRIZ_174!U150="",0,0.3*(100-MATRIZ_174!U150*100))),"")</f>
        <v/>
      </c>
      <c r="Y151" s="18">
        <f>IF(OR(MATRIZ_174!P150="ASOCIACION",MATRIZ_174!P150="PENDIENTE"),65,40)</f>
        <v>65</v>
      </c>
      <c r="Z151" s="19" t="str">
        <f t="shared" si="49"/>
        <v>—</v>
      </c>
      <c r="AA151" s="20">
        <f t="shared" si="50"/>
        <v>60</v>
      </c>
      <c r="AB151" s="21" t="str">
        <f t="shared" si="51"/>
        <v>—</v>
      </c>
      <c r="AC151" s="13" t="str">
        <f t="shared" si="52"/>
        <v>⬜  Pendiente de instrumento</v>
      </c>
      <c r="AD151" s="13" t="str">
        <f>IF(MATRIZ_174!U150="","",IF(MATRIZ_174!U150=0,"🚫  Inh. vigente OSCE",""))</f>
        <v/>
      </c>
      <c r="AE151" s="22" t="str">
        <f>IFERROR(MATRIZ_174!W150,0)</f>
        <v/>
      </c>
      <c r="AF151" s="22" t="str">
        <f>IFERROR(MATRIZ_174!X150,0)</f>
        <v/>
      </c>
      <c r="AG151" s="22" t="str">
        <f>IFERROR(MATRIZ_174!Y150,0)</f>
        <v/>
      </c>
      <c r="AH151" s="22" t="str">
        <f>IFERROR(MATRIZ_174!Z150,0)</f>
        <v/>
      </c>
      <c r="AI151" s="17" t="str">
        <f>IFERROR(MATRIZ_174!AP150,"—")</f>
        <v>—</v>
      </c>
      <c r="AJ151" s="17" t="str">
        <f>IFERROR(MATRIZ_174!AO150,"N/A")</f>
        <v>N/A</v>
      </c>
      <c r="AK151" s="23" t="str">
        <f t="shared" si="53"/>
        <v>N/A</v>
      </c>
      <c r="AL151" s="24" t="str">
        <f t="shared" si="54"/>
        <v>—</v>
      </c>
      <c r="AM151" t="str">
        <f>IFERROR(MATRIZ_174!AT150,"")</f>
        <v>sin dato</v>
      </c>
    </row>
    <row r="152" spans="1:39" ht="16.05" customHeight="1" x14ac:dyDescent="0.3">
      <c r="A152" s="13" t="s">
        <v>389</v>
      </c>
      <c r="B152" s="14" t="s">
        <v>390</v>
      </c>
      <c r="C152" s="13" t="s">
        <v>177</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t="str">
        <f t="shared" si="45"/>
        <v/>
      </c>
      <c r="R152" s="17" t="str">
        <f t="shared" si="46"/>
        <v/>
      </c>
      <c r="S152" s="17" t="str">
        <f t="shared" si="47"/>
        <v/>
      </c>
      <c r="T152" s="17" t="str">
        <f>IF(ISNUMBER(MATRIZ_174!O151),IFERROR((K152+M152+MATRIZ_174!O151*100)/3,0),"")</f>
        <v/>
      </c>
      <c r="U152" s="18" t="str">
        <f>IF(ISNUMBER(MATRIZ_174!M151),MIN(100,ROUND(MATRIZ_174!M151,1)),"")</f>
        <v/>
      </c>
      <c r="V152" s="18">
        <f t="shared" si="48"/>
        <v>50</v>
      </c>
      <c r="W152" s="18">
        <f>IFERROR(IF(MATRIZ_174!R151=0,65,IF(MATRIZ_174!R151/MATRIZ_174!Q151&gt;=2,35,IF(MATRIZ_174!R151/MATRIZ_174!Q151&gt;=0.5,50,65))),65)</f>
        <v>65</v>
      </c>
      <c r="X152" s="18" t="str">
        <f>IF(ISNUMBER(MATRIZ_174!O151),MIN(100,IF(MATRIZ_174!O151=0,70,30)+IF(MATRIZ_174!U151="",0,0.3*(100-MATRIZ_174!U151*100))),"")</f>
        <v/>
      </c>
      <c r="Y152" s="18">
        <f>IF(OR(MATRIZ_174!P151="ASOCIACION",MATRIZ_174!P151="PENDIENTE"),65,40)</f>
        <v>65</v>
      </c>
      <c r="Z152" s="19" t="str">
        <f t="shared" si="49"/>
        <v>—</v>
      </c>
      <c r="AA152" s="20">
        <f t="shared" si="50"/>
        <v>60</v>
      </c>
      <c r="AB152" s="21" t="str">
        <f t="shared" si="51"/>
        <v>—</v>
      </c>
      <c r="AC152" s="13" t="str">
        <f t="shared" si="52"/>
        <v>⬜  Pendiente de instrumento</v>
      </c>
      <c r="AD152" s="13" t="str">
        <f>IF(MATRIZ_174!U151="","",IF(MATRIZ_174!U151=0,"🚫  Inh. vigente OSCE",""))</f>
        <v/>
      </c>
      <c r="AE152" s="22" t="str">
        <f>IFERROR(MATRIZ_174!W151,0)</f>
        <v/>
      </c>
      <c r="AF152" s="22" t="str">
        <f>IFERROR(MATRIZ_174!X151,0)</f>
        <v/>
      </c>
      <c r="AG152" s="22" t="str">
        <f>IFERROR(MATRIZ_174!Y151,0)</f>
        <v/>
      </c>
      <c r="AH152" s="22" t="str">
        <f>IFERROR(MATRIZ_174!Z151,0)</f>
        <v/>
      </c>
      <c r="AI152" s="17" t="str">
        <f>IFERROR(MATRIZ_174!AP151,"—")</f>
        <v>—</v>
      </c>
      <c r="AJ152" s="17" t="str">
        <f>IFERROR(MATRIZ_174!AO151,"N/A")</f>
        <v>N/A</v>
      </c>
      <c r="AK152" s="23" t="str">
        <f t="shared" si="53"/>
        <v>N/A</v>
      </c>
      <c r="AL152" s="24" t="str">
        <f t="shared" si="54"/>
        <v>—</v>
      </c>
      <c r="AM152" t="str">
        <f>IFERROR(MATRIZ_174!AT151,"")</f>
        <v>sin dato</v>
      </c>
    </row>
    <row r="153" spans="1:39" ht="16.05" customHeight="1" x14ac:dyDescent="0.3">
      <c r="A153" s="13" t="s">
        <v>391</v>
      </c>
      <c r="B153" s="14" t="s">
        <v>392</v>
      </c>
      <c r="C153" s="13" t="s">
        <v>78</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t="str">
        <f t="shared" si="45"/>
        <v/>
      </c>
      <c r="R153" s="17" t="str">
        <f t="shared" si="46"/>
        <v/>
      </c>
      <c r="S153" s="17" t="str">
        <f t="shared" si="47"/>
        <v/>
      </c>
      <c r="T153" s="17" t="str">
        <f>IF(ISNUMBER(MATRIZ_174!O152),IFERROR((K153+M153+MATRIZ_174!O152*100)/3,0),"")</f>
        <v/>
      </c>
      <c r="U153" s="18" t="str">
        <f>IF(ISNUMBER(MATRIZ_174!M152),MIN(100,ROUND(MATRIZ_174!M152,1)),"")</f>
        <v/>
      </c>
      <c r="V153" s="18">
        <f t="shared" si="48"/>
        <v>50</v>
      </c>
      <c r="W153" s="18">
        <f>IFERROR(IF(MATRIZ_174!R152=0,65,IF(MATRIZ_174!R152/MATRIZ_174!Q152&gt;=2,35,IF(MATRIZ_174!R152/MATRIZ_174!Q152&gt;=0.5,50,65))),65)</f>
        <v>65</v>
      </c>
      <c r="X153" s="18" t="str">
        <f>IF(ISNUMBER(MATRIZ_174!O152),MIN(100,IF(MATRIZ_174!O152=0,70,30)+IF(MATRIZ_174!U152="",0,0.3*(100-MATRIZ_174!U152*100))),"")</f>
        <v/>
      </c>
      <c r="Y153" s="18">
        <f>IF(OR(MATRIZ_174!P152="ASOCIACION",MATRIZ_174!P152="PENDIENTE"),65,40)</f>
        <v>65</v>
      </c>
      <c r="Z153" s="19" t="str">
        <f t="shared" si="49"/>
        <v>—</v>
      </c>
      <c r="AA153" s="20">
        <f t="shared" si="50"/>
        <v>60</v>
      </c>
      <c r="AB153" s="21" t="str">
        <f t="shared" si="51"/>
        <v>—</v>
      </c>
      <c r="AC153" s="13" t="str">
        <f t="shared" si="52"/>
        <v>⬜  Pendiente de instrumento</v>
      </c>
      <c r="AD153" s="13" t="str">
        <f>IF(MATRIZ_174!U152="","",IF(MATRIZ_174!U152=0,"🚫  Inh. vigente OSCE",""))</f>
        <v/>
      </c>
      <c r="AE153" s="22" t="str">
        <f>IFERROR(MATRIZ_174!W152,0)</f>
        <v/>
      </c>
      <c r="AF153" s="22" t="str">
        <f>IFERROR(MATRIZ_174!X152,0)</f>
        <v/>
      </c>
      <c r="AG153" s="22" t="str">
        <f>IFERROR(MATRIZ_174!Y152,0)</f>
        <v/>
      </c>
      <c r="AH153" s="22" t="str">
        <f>IFERROR(MATRIZ_174!Z152,0)</f>
        <v/>
      </c>
      <c r="AI153" s="17" t="str">
        <f>IFERROR(MATRIZ_174!AP152,"—")</f>
        <v>—</v>
      </c>
      <c r="AJ153" s="17" t="str">
        <f>IFERROR(MATRIZ_174!AO152,"N/A")</f>
        <v>N/A</v>
      </c>
      <c r="AK153" s="23" t="str">
        <f t="shared" si="53"/>
        <v>N/A</v>
      </c>
      <c r="AL153" s="24" t="str">
        <f t="shared" si="54"/>
        <v>—</v>
      </c>
      <c r="AM153" t="str">
        <f>IFERROR(MATRIZ_174!AT152,"")</f>
        <v>sin dato</v>
      </c>
    </row>
    <row r="154" spans="1:39" ht="16.05" customHeight="1" x14ac:dyDescent="0.3">
      <c r="A154" s="13" t="s">
        <v>393</v>
      </c>
      <c r="B154" s="14" t="s">
        <v>394</v>
      </c>
      <c r="C154" s="13" t="s">
        <v>78</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t="str">
        <f t="shared" si="45"/>
        <v/>
      </c>
      <c r="R154" s="17" t="str">
        <f t="shared" si="46"/>
        <v/>
      </c>
      <c r="S154" s="17" t="str">
        <f t="shared" si="47"/>
        <v/>
      </c>
      <c r="T154" s="17" t="str">
        <f>IF(ISNUMBER(MATRIZ_174!O153),IFERROR((K154+M154+MATRIZ_174!O153*100)/3,0),"")</f>
        <v/>
      </c>
      <c r="U154" s="18" t="str">
        <f>IF(ISNUMBER(MATRIZ_174!M153),MIN(100,ROUND(MATRIZ_174!M153,1)),"")</f>
        <v/>
      </c>
      <c r="V154" s="18">
        <f t="shared" si="48"/>
        <v>50</v>
      </c>
      <c r="W154" s="18">
        <f>IFERROR(IF(MATRIZ_174!R153=0,65,IF(MATRIZ_174!R153/MATRIZ_174!Q153&gt;=2,35,IF(MATRIZ_174!R153/MATRIZ_174!Q153&gt;=0.5,50,65))),65)</f>
        <v>65</v>
      </c>
      <c r="X154" s="18" t="str">
        <f>IF(ISNUMBER(MATRIZ_174!O153),MIN(100,IF(MATRIZ_174!O153=0,70,30)+IF(MATRIZ_174!U153="",0,0.3*(100-MATRIZ_174!U153*100))),"")</f>
        <v/>
      </c>
      <c r="Y154" s="18">
        <f>IF(OR(MATRIZ_174!P153="ASOCIACION",MATRIZ_174!P153="PENDIENTE"),65,40)</f>
        <v>65</v>
      </c>
      <c r="Z154" s="19" t="str">
        <f t="shared" si="49"/>
        <v>—</v>
      </c>
      <c r="AA154" s="20">
        <f t="shared" si="50"/>
        <v>60</v>
      </c>
      <c r="AB154" s="21" t="str">
        <f t="shared" si="51"/>
        <v>—</v>
      </c>
      <c r="AC154" s="13" t="str">
        <f t="shared" si="52"/>
        <v>⬜  Pendiente de instrumento</v>
      </c>
      <c r="AD154" s="13" t="str">
        <f>IF(MATRIZ_174!U153="","",IF(MATRIZ_174!U153=0,"🚫  Inh. vigente OSCE",""))</f>
        <v/>
      </c>
      <c r="AE154" s="22" t="str">
        <f>IFERROR(MATRIZ_174!W153,0)</f>
        <v/>
      </c>
      <c r="AF154" s="22" t="str">
        <f>IFERROR(MATRIZ_174!X153,0)</f>
        <v/>
      </c>
      <c r="AG154" s="22" t="str">
        <f>IFERROR(MATRIZ_174!Y153,0)</f>
        <v/>
      </c>
      <c r="AH154" s="22" t="str">
        <f>IFERROR(MATRIZ_174!Z153,0)</f>
        <v/>
      </c>
      <c r="AI154" s="17" t="str">
        <f>IFERROR(MATRIZ_174!AP153,"—")</f>
        <v>—</v>
      </c>
      <c r="AJ154" s="17" t="str">
        <f>IFERROR(MATRIZ_174!AO153,"N/A")</f>
        <v>N/A</v>
      </c>
      <c r="AK154" s="23" t="str">
        <f t="shared" si="53"/>
        <v>N/A</v>
      </c>
      <c r="AL154" s="24" t="str">
        <f t="shared" si="54"/>
        <v>—</v>
      </c>
      <c r="AM154" t="str">
        <f>IFERROR(MATRIZ_174!AT153,"")</f>
        <v>sin dato</v>
      </c>
    </row>
    <row r="155" spans="1:39" ht="16.05" customHeight="1" x14ac:dyDescent="0.3">
      <c r="A155" s="13" t="s">
        <v>395</v>
      </c>
      <c r="B155" s="14" t="s">
        <v>396</v>
      </c>
      <c r="C155" s="13" t="s">
        <v>75</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t="str">
        <f t="shared" si="45"/>
        <v/>
      </c>
      <c r="R155" s="17" t="str">
        <f t="shared" si="46"/>
        <v/>
      </c>
      <c r="S155" s="17" t="str">
        <f t="shared" si="47"/>
        <v/>
      </c>
      <c r="T155" s="17">
        <f>IF(ISNUMBER(MATRIZ_174!O154),IFERROR((K155+M155+MATRIZ_174!O154*100)/3,0),"")</f>
        <v>0</v>
      </c>
      <c r="U155" s="18">
        <f>IF(ISNUMBER(MATRIZ_174!M154),MIN(100,ROUND(MATRIZ_174!M154,1)),"")</f>
        <v>0</v>
      </c>
      <c r="V155" s="18">
        <f t="shared" si="48"/>
        <v>50</v>
      </c>
      <c r="W155" s="18">
        <f>IFERROR(IF(MATRIZ_174!R154=0,65,IF(MATRIZ_174!R154/MATRIZ_174!Q154&gt;=2,35,IF(MATRIZ_174!R154/MATRIZ_174!Q154&gt;=0.5,50,65))),65)</f>
        <v>35</v>
      </c>
      <c r="X155" s="18">
        <f>IF(ISNUMBER(MATRIZ_174!O154),MIN(100,IF(MATRIZ_174!O154=0,70,30)+IF(MATRIZ_174!U154="",0,0.3*(100-MATRIZ_174!U154*100))),"")</f>
        <v>30</v>
      </c>
      <c r="Y155" s="18">
        <f>IF(OR(MATRIZ_174!P154="ASOCIACION",MATRIZ_174!P154="PENDIENTE"),65,40)</f>
        <v>65</v>
      </c>
      <c r="Z155" s="19" t="str">
        <f t="shared" si="49"/>
        <v>—</v>
      </c>
      <c r="AA155" s="20">
        <f t="shared" si="50"/>
        <v>36</v>
      </c>
      <c r="AB155" s="21" t="str">
        <f t="shared" si="51"/>
        <v>—</v>
      </c>
      <c r="AC155" s="13" t="str">
        <f t="shared" si="52"/>
        <v>⬜  Pendiente de instrumento</v>
      </c>
      <c r="AD155" s="13" t="str">
        <f>IF(MATRIZ_174!U154="","",IF(MATRIZ_174!U154=0,"🚫  Inh. vigente OSCE",""))</f>
        <v/>
      </c>
      <c r="AE155" s="22">
        <f>IFERROR(MATRIZ_174!W154,0)</f>
        <v>1</v>
      </c>
      <c r="AF155" s="22" t="str">
        <f>IFERROR(MATRIZ_174!X154,0)</f>
        <v/>
      </c>
      <c r="AG155" s="22" t="str">
        <f>IFERROR(MATRIZ_174!Y154,0)</f>
        <v/>
      </c>
      <c r="AH155" s="22" t="str">
        <f>IFERROR(MATRIZ_174!Z154,0)</f>
        <v/>
      </c>
      <c r="AI155" s="17">
        <f>IFERROR(MATRIZ_174!AP154,"—")</f>
        <v>0.27499999999999997</v>
      </c>
      <c r="AJ155" s="17" t="str">
        <f>IFERROR(MATRIZ_174!AO154,"N/A")</f>
        <v>N/A</v>
      </c>
      <c r="AK155" s="23" t="str">
        <f t="shared" si="53"/>
        <v>N/A</v>
      </c>
      <c r="AL155" s="24" t="str">
        <f t="shared" si="54"/>
        <v>—</v>
      </c>
      <c r="AM155" t="str">
        <f>IFERROR(MATRIZ_174!AT154,"")</f>
        <v>parcial · 3/7 · D12-D15 0/4</v>
      </c>
    </row>
    <row r="156" spans="1:39" ht="16.05" customHeight="1" x14ac:dyDescent="0.3">
      <c r="A156" s="13" t="s">
        <v>397</v>
      </c>
      <c r="B156" s="14" t="s">
        <v>398</v>
      </c>
      <c r="C156" s="13" t="s">
        <v>107</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t="str">
        <f t="shared" si="45"/>
        <v/>
      </c>
      <c r="R156" s="17" t="str">
        <f t="shared" si="46"/>
        <v/>
      </c>
      <c r="S156" s="17" t="str">
        <f t="shared" si="47"/>
        <v/>
      </c>
      <c r="T156" s="17" t="str">
        <f>IF(ISNUMBER(MATRIZ_174!O155),IFERROR((K156+M156+MATRIZ_174!O155*100)/3,0),"")</f>
        <v/>
      </c>
      <c r="U156" s="18" t="str">
        <f>IF(ISNUMBER(MATRIZ_174!M155),MIN(100,ROUND(MATRIZ_174!M155,1)),"")</f>
        <v/>
      </c>
      <c r="V156" s="18">
        <f t="shared" si="48"/>
        <v>50</v>
      </c>
      <c r="W156" s="18">
        <f>IFERROR(IF(MATRIZ_174!R155=0,65,IF(MATRIZ_174!R155/MATRIZ_174!Q155&gt;=2,35,IF(MATRIZ_174!R155/MATRIZ_174!Q155&gt;=0.5,50,65))),65)</f>
        <v>65</v>
      </c>
      <c r="X156" s="18" t="str">
        <f>IF(ISNUMBER(MATRIZ_174!O155),MIN(100,IF(MATRIZ_174!O155=0,70,30)+IF(MATRIZ_174!U155="",0,0.3*(100-MATRIZ_174!U155*100))),"")</f>
        <v/>
      </c>
      <c r="Y156" s="18">
        <f>IF(OR(MATRIZ_174!P155="ASOCIACION",MATRIZ_174!P155="PENDIENTE"),65,40)</f>
        <v>65</v>
      </c>
      <c r="Z156" s="19" t="str">
        <f t="shared" si="49"/>
        <v>—</v>
      </c>
      <c r="AA156" s="20">
        <f t="shared" si="50"/>
        <v>60</v>
      </c>
      <c r="AB156" s="21" t="str">
        <f t="shared" si="51"/>
        <v>—</v>
      </c>
      <c r="AC156" s="13" t="str">
        <f t="shared" si="52"/>
        <v>⬜  Pendiente de instrumento</v>
      </c>
      <c r="AD156" s="13" t="str">
        <f>IF(MATRIZ_174!U155="","",IF(MATRIZ_174!U155=0,"🚫  Inh. vigente OSCE",""))</f>
        <v/>
      </c>
      <c r="AE156" s="22" t="str">
        <f>IFERROR(MATRIZ_174!W155,0)</f>
        <v/>
      </c>
      <c r="AF156" s="22" t="str">
        <f>IFERROR(MATRIZ_174!X155,0)</f>
        <v/>
      </c>
      <c r="AG156" s="22" t="str">
        <f>IFERROR(MATRIZ_174!Y155,0)</f>
        <v/>
      </c>
      <c r="AH156" s="22" t="str">
        <f>IFERROR(MATRIZ_174!Z155,0)</f>
        <v/>
      </c>
      <c r="AI156" s="17" t="str">
        <f>IFERROR(MATRIZ_174!AP155,"—")</f>
        <v>—</v>
      </c>
      <c r="AJ156" s="17" t="str">
        <f>IFERROR(MATRIZ_174!AO155,"N/A")</f>
        <v>N/A</v>
      </c>
      <c r="AK156" s="23" t="str">
        <f t="shared" si="53"/>
        <v>N/A</v>
      </c>
      <c r="AL156" s="24" t="str">
        <f t="shared" si="54"/>
        <v>—</v>
      </c>
      <c r="AM156" t="str">
        <f>IFERROR(MATRIZ_174!AT155,"")</f>
        <v>sin dato</v>
      </c>
    </row>
    <row r="157" spans="1:39" ht="16.05" customHeight="1" x14ac:dyDescent="0.3">
      <c r="A157" s="13" t="s">
        <v>399</v>
      </c>
      <c r="B157" s="14" t="s">
        <v>400</v>
      </c>
      <c r="C157" s="13" t="s">
        <v>177</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t="str">
        <f t="shared" si="45"/>
        <v/>
      </c>
      <c r="R157" s="17" t="str">
        <f t="shared" si="46"/>
        <v/>
      </c>
      <c r="S157" s="17" t="str">
        <f t="shared" si="47"/>
        <v/>
      </c>
      <c r="T157" s="17" t="str">
        <f>IF(ISNUMBER(MATRIZ_174!O156),IFERROR((K157+M157+MATRIZ_174!O156*100)/3,0),"")</f>
        <v/>
      </c>
      <c r="U157" s="18" t="str">
        <f>IF(ISNUMBER(MATRIZ_174!M156),MIN(100,ROUND(MATRIZ_174!M156,1)),"")</f>
        <v/>
      </c>
      <c r="V157" s="18">
        <f t="shared" si="48"/>
        <v>50</v>
      </c>
      <c r="W157" s="18">
        <f>IFERROR(IF(MATRIZ_174!R156=0,65,IF(MATRIZ_174!R156/MATRIZ_174!Q156&gt;=2,35,IF(MATRIZ_174!R156/MATRIZ_174!Q156&gt;=0.5,50,65))),65)</f>
        <v>65</v>
      </c>
      <c r="X157" s="18" t="str">
        <f>IF(ISNUMBER(MATRIZ_174!O156),MIN(100,IF(MATRIZ_174!O156=0,70,30)+IF(MATRIZ_174!U156="",0,0.3*(100-MATRIZ_174!U156*100))),"")</f>
        <v/>
      </c>
      <c r="Y157" s="18">
        <f>IF(OR(MATRIZ_174!P156="ASOCIACION",MATRIZ_174!P156="PENDIENTE"),65,40)</f>
        <v>65</v>
      </c>
      <c r="Z157" s="19" t="str">
        <f t="shared" si="49"/>
        <v>—</v>
      </c>
      <c r="AA157" s="20">
        <f t="shared" si="50"/>
        <v>60</v>
      </c>
      <c r="AB157" s="21" t="str">
        <f t="shared" si="51"/>
        <v>—</v>
      </c>
      <c r="AC157" s="13" t="str">
        <f t="shared" si="52"/>
        <v>⬜  Pendiente de instrumento</v>
      </c>
      <c r="AD157" s="13" t="str">
        <f>IF(MATRIZ_174!U156="","",IF(MATRIZ_174!U156=0,"🚫  Inh. vigente OSCE",""))</f>
        <v/>
      </c>
      <c r="AE157" s="22" t="str">
        <f>IFERROR(MATRIZ_174!W156,0)</f>
        <v/>
      </c>
      <c r="AF157" s="22" t="str">
        <f>IFERROR(MATRIZ_174!X156,0)</f>
        <v/>
      </c>
      <c r="AG157" s="22" t="str">
        <f>IFERROR(MATRIZ_174!Y156,0)</f>
        <v/>
      </c>
      <c r="AH157" s="22" t="str">
        <f>IFERROR(MATRIZ_174!Z156,0)</f>
        <v/>
      </c>
      <c r="AI157" s="17" t="str">
        <f>IFERROR(MATRIZ_174!AP156,"—")</f>
        <v>—</v>
      </c>
      <c r="AJ157" s="17" t="str">
        <f>IFERROR(MATRIZ_174!AO156,"N/A")</f>
        <v>N/A</v>
      </c>
      <c r="AK157" s="23" t="str">
        <f t="shared" si="53"/>
        <v>N/A</v>
      </c>
      <c r="AL157" s="24" t="str">
        <f t="shared" si="54"/>
        <v>—</v>
      </c>
      <c r="AM157" t="str">
        <f>IFERROR(MATRIZ_174!AT156,"")</f>
        <v>sin dato</v>
      </c>
    </row>
    <row r="158" spans="1:39" ht="16.05" customHeight="1" x14ac:dyDescent="0.3">
      <c r="A158" s="13" t="s">
        <v>401</v>
      </c>
      <c r="B158" s="14" t="s">
        <v>402</v>
      </c>
      <c r="C158" s="13" t="s">
        <v>137</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t="str">
        <f t="shared" si="45"/>
        <v/>
      </c>
      <c r="R158" s="17" t="str">
        <f t="shared" si="46"/>
        <v/>
      </c>
      <c r="S158" s="17" t="str">
        <f t="shared" si="47"/>
        <v/>
      </c>
      <c r="T158" s="17">
        <f>IF(ISNUMBER(MATRIZ_174!O157),IFERROR((K158+M158+MATRIZ_174!O157*100)/3,0),"")</f>
        <v>0</v>
      </c>
      <c r="U158" s="18">
        <f>IF(ISNUMBER(MATRIZ_174!M157),MIN(100,ROUND(MATRIZ_174!M157,1)),"")</f>
        <v>8.1</v>
      </c>
      <c r="V158" s="18">
        <f t="shared" si="48"/>
        <v>50</v>
      </c>
      <c r="W158" s="18">
        <f>IFERROR(IF(MATRIZ_174!R157=0,65,IF(MATRIZ_174!R157/MATRIZ_174!Q157&gt;=2,35,IF(MATRIZ_174!R157/MATRIZ_174!Q157&gt;=0.5,50,65))),65)</f>
        <v>35</v>
      </c>
      <c r="X158" s="18">
        <f>IF(ISNUMBER(MATRIZ_174!O157),MIN(100,IF(MATRIZ_174!O157=0,70,30)+IF(MATRIZ_174!U157="",0,0.3*(100-MATRIZ_174!U157*100))),"")</f>
        <v>30</v>
      </c>
      <c r="Y158" s="18">
        <f>IF(OR(MATRIZ_174!P157="ASOCIACION",MATRIZ_174!P157="PENDIENTE"),65,40)</f>
        <v>65</v>
      </c>
      <c r="Z158" s="19" t="str">
        <f t="shared" si="49"/>
        <v>—</v>
      </c>
      <c r="AA158" s="20">
        <f t="shared" si="50"/>
        <v>37.6</v>
      </c>
      <c r="AB158" s="21" t="str">
        <f t="shared" si="51"/>
        <v>—</v>
      </c>
      <c r="AC158" s="13" t="str">
        <f t="shared" si="52"/>
        <v>⬜  Pendiente de instrumento</v>
      </c>
      <c r="AD158" s="13" t="str">
        <f>IF(MATRIZ_174!U157="","",IF(MATRIZ_174!U157=0,"🚫  Inh. vigente OSCE",""))</f>
        <v/>
      </c>
      <c r="AE158" s="22">
        <f>IFERROR(MATRIZ_174!W157,0)</f>
        <v>1</v>
      </c>
      <c r="AF158" s="22" t="str">
        <f>IFERROR(MATRIZ_174!X157,0)</f>
        <v/>
      </c>
      <c r="AG158" s="22" t="str">
        <f>IFERROR(MATRIZ_174!Y157,0)</f>
        <v/>
      </c>
      <c r="AH158" s="22" t="str">
        <f>IFERROR(MATRIZ_174!Z157,0)</f>
        <v/>
      </c>
      <c r="AI158" s="17">
        <f>IFERROR(MATRIZ_174!AP157,"—")</f>
        <v>0.40875</v>
      </c>
      <c r="AJ158" s="17" t="str">
        <f>IFERROR(MATRIZ_174!AO157,"N/A")</f>
        <v>N/A</v>
      </c>
      <c r="AK158" s="23" t="str">
        <f t="shared" si="53"/>
        <v>N/A</v>
      </c>
      <c r="AL158" s="24" t="str">
        <f t="shared" si="54"/>
        <v>—</v>
      </c>
      <c r="AM158" t="str">
        <f>IFERROR(MATRIZ_174!AT157,"")</f>
        <v>parcial · 3/7 · D12-D15 0/4</v>
      </c>
    </row>
    <row r="159" spans="1:39" ht="16.05" customHeight="1" x14ac:dyDescent="0.3">
      <c r="A159" s="13" t="s">
        <v>404</v>
      </c>
      <c r="B159" s="14" t="s">
        <v>405</v>
      </c>
      <c r="C159" s="13" t="s">
        <v>75</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t="str">
        <f t="shared" si="45"/>
        <v/>
      </c>
      <c r="R159" s="17" t="str">
        <f t="shared" si="46"/>
        <v/>
      </c>
      <c r="S159" s="17" t="str">
        <f t="shared" si="47"/>
        <v/>
      </c>
      <c r="T159" s="17" t="str">
        <f>IF(ISNUMBER(MATRIZ_174!O158),IFERROR((K159+M159+MATRIZ_174!O158*100)/3,0),"")</f>
        <v/>
      </c>
      <c r="U159" s="18" t="str">
        <f>IF(ISNUMBER(MATRIZ_174!M158),MIN(100,ROUND(MATRIZ_174!M158,1)),"")</f>
        <v/>
      </c>
      <c r="V159" s="18">
        <f t="shared" si="48"/>
        <v>50</v>
      </c>
      <c r="W159" s="18">
        <f>IFERROR(IF(MATRIZ_174!R158=0,65,IF(MATRIZ_174!R158/MATRIZ_174!Q158&gt;=2,35,IF(MATRIZ_174!R158/MATRIZ_174!Q158&gt;=0.5,50,65))),65)</f>
        <v>65</v>
      </c>
      <c r="X159" s="18" t="str">
        <f>IF(ISNUMBER(MATRIZ_174!O158),MIN(100,IF(MATRIZ_174!O158=0,70,30)+IF(MATRIZ_174!U158="",0,0.3*(100-MATRIZ_174!U158*100))),"")</f>
        <v/>
      </c>
      <c r="Y159" s="18">
        <f>IF(OR(MATRIZ_174!P158="ASOCIACION",MATRIZ_174!P158="PENDIENTE"),65,40)</f>
        <v>65</v>
      </c>
      <c r="Z159" s="19" t="str">
        <f t="shared" si="49"/>
        <v>—</v>
      </c>
      <c r="AA159" s="20">
        <f t="shared" si="50"/>
        <v>60</v>
      </c>
      <c r="AB159" s="21" t="str">
        <f t="shared" si="51"/>
        <v>—</v>
      </c>
      <c r="AC159" s="13" t="str">
        <f t="shared" si="52"/>
        <v>⬜  Pendiente de instrumento</v>
      </c>
      <c r="AD159" s="13" t="str">
        <f>IF(MATRIZ_174!U158="","",IF(MATRIZ_174!U158=0,"🚫  Inh. vigente OSCE",""))</f>
        <v/>
      </c>
      <c r="AE159" s="22" t="str">
        <f>IFERROR(MATRIZ_174!W158,0)</f>
        <v/>
      </c>
      <c r="AF159" s="22" t="str">
        <f>IFERROR(MATRIZ_174!X158,0)</f>
        <v/>
      </c>
      <c r="AG159" s="22" t="str">
        <f>IFERROR(MATRIZ_174!Y158,0)</f>
        <v/>
      </c>
      <c r="AH159" s="22" t="str">
        <f>IFERROR(MATRIZ_174!Z158,0)</f>
        <v/>
      </c>
      <c r="AI159" s="17" t="str">
        <f>IFERROR(MATRIZ_174!AP158,"—")</f>
        <v>—</v>
      </c>
      <c r="AJ159" s="17" t="str">
        <f>IFERROR(MATRIZ_174!AO158,"N/A")</f>
        <v>N/A</v>
      </c>
      <c r="AK159" s="23" t="str">
        <f t="shared" si="53"/>
        <v>N/A</v>
      </c>
      <c r="AL159" s="24" t="str">
        <f t="shared" si="54"/>
        <v>—</v>
      </c>
      <c r="AM159" t="str">
        <f>IFERROR(MATRIZ_174!AT158,"")</f>
        <v>sin dato</v>
      </c>
    </row>
    <row r="160" spans="1:39" ht="16.05" customHeight="1" x14ac:dyDescent="0.3">
      <c r="A160" s="13" t="s">
        <v>406</v>
      </c>
      <c r="B160" s="14" t="s">
        <v>407</v>
      </c>
      <c r="C160" s="13" t="s">
        <v>137</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t="str">
        <f t="shared" si="45"/>
        <v/>
      </c>
      <c r="R160" s="17" t="str">
        <f t="shared" si="46"/>
        <v/>
      </c>
      <c r="S160" s="17" t="str">
        <f t="shared" si="47"/>
        <v/>
      </c>
      <c r="T160" s="17" t="str">
        <f>IF(ISNUMBER(MATRIZ_174!O159),IFERROR((K160+M160+MATRIZ_174!O159*100)/3,0),"")</f>
        <v/>
      </c>
      <c r="U160" s="18" t="str">
        <f>IF(ISNUMBER(MATRIZ_174!M159),MIN(100,ROUND(MATRIZ_174!M159,1)),"")</f>
        <v/>
      </c>
      <c r="V160" s="18">
        <f t="shared" si="48"/>
        <v>50</v>
      </c>
      <c r="W160" s="18">
        <f>IFERROR(IF(MATRIZ_174!R159=0,65,IF(MATRIZ_174!R159/MATRIZ_174!Q159&gt;=2,35,IF(MATRIZ_174!R159/MATRIZ_174!Q159&gt;=0.5,50,65))),65)</f>
        <v>65</v>
      </c>
      <c r="X160" s="18" t="str">
        <f>IF(ISNUMBER(MATRIZ_174!O159),MIN(100,IF(MATRIZ_174!O159=0,70,30)+IF(MATRIZ_174!U159="",0,0.3*(100-MATRIZ_174!U159*100))),"")</f>
        <v/>
      </c>
      <c r="Y160" s="18">
        <f>IF(OR(MATRIZ_174!P159="ASOCIACION",MATRIZ_174!P159="PENDIENTE"),65,40)</f>
        <v>65</v>
      </c>
      <c r="Z160" s="19" t="str">
        <f t="shared" si="49"/>
        <v>—</v>
      </c>
      <c r="AA160" s="20">
        <f t="shared" si="50"/>
        <v>60</v>
      </c>
      <c r="AB160" s="21" t="str">
        <f t="shared" si="51"/>
        <v>—</v>
      </c>
      <c r="AC160" s="13" t="str">
        <f t="shared" si="52"/>
        <v>⬜  Pendiente de instrumento</v>
      </c>
      <c r="AD160" s="13" t="str">
        <f>IF(MATRIZ_174!U159="","",IF(MATRIZ_174!U159=0,"🚫  Inh. vigente OSCE",""))</f>
        <v/>
      </c>
      <c r="AE160" s="22" t="str">
        <f>IFERROR(MATRIZ_174!W159,0)</f>
        <v/>
      </c>
      <c r="AF160" s="22" t="str">
        <f>IFERROR(MATRIZ_174!X159,0)</f>
        <v/>
      </c>
      <c r="AG160" s="22" t="str">
        <f>IFERROR(MATRIZ_174!Y159,0)</f>
        <v/>
      </c>
      <c r="AH160" s="22" t="str">
        <f>IFERROR(MATRIZ_174!Z159,0)</f>
        <v/>
      </c>
      <c r="AI160" s="17" t="str">
        <f>IFERROR(MATRIZ_174!AP159,"—")</f>
        <v>—</v>
      </c>
      <c r="AJ160" s="17" t="str">
        <f>IFERROR(MATRIZ_174!AO159,"N/A")</f>
        <v>N/A</v>
      </c>
      <c r="AK160" s="23" t="str">
        <f t="shared" si="53"/>
        <v>N/A</v>
      </c>
      <c r="AL160" s="24" t="str">
        <f t="shared" si="54"/>
        <v>—</v>
      </c>
      <c r="AM160" t="str">
        <f>IFERROR(MATRIZ_174!AT159,"")</f>
        <v>sin dato</v>
      </c>
    </row>
    <row r="161" spans="1:39" ht="16.05" customHeight="1" x14ac:dyDescent="0.3">
      <c r="A161" s="13" t="s">
        <v>408</v>
      </c>
      <c r="B161" s="14" t="s">
        <v>409</v>
      </c>
      <c r="C161" s="13" t="s">
        <v>101</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t="str">
        <f t="shared" si="45"/>
        <v/>
      </c>
      <c r="R161" s="17" t="str">
        <f t="shared" si="46"/>
        <v/>
      </c>
      <c r="S161" s="17" t="str">
        <f t="shared" si="47"/>
        <v/>
      </c>
      <c r="T161" s="17" t="str">
        <f>IF(ISNUMBER(MATRIZ_174!O160),IFERROR((K161+M161+MATRIZ_174!O160*100)/3,0),"")</f>
        <v/>
      </c>
      <c r="U161" s="18" t="str">
        <f>IF(ISNUMBER(MATRIZ_174!M160),MIN(100,ROUND(MATRIZ_174!M160,1)),"")</f>
        <v/>
      </c>
      <c r="V161" s="18">
        <f t="shared" si="48"/>
        <v>50</v>
      </c>
      <c r="W161" s="18">
        <f>IFERROR(IF(MATRIZ_174!R160=0,65,IF(MATRIZ_174!R160/MATRIZ_174!Q160&gt;=2,35,IF(MATRIZ_174!R160/MATRIZ_174!Q160&gt;=0.5,50,65))),65)</f>
        <v>65</v>
      </c>
      <c r="X161" s="18" t="str">
        <f>IF(ISNUMBER(MATRIZ_174!O160),MIN(100,IF(MATRIZ_174!O160=0,70,30)+IF(MATRIZ_174!U160="",0,0.3*(100-MATRIZ_174!U160*100))),"")</f>
        <v/>
      </c>
      <c r="Y161" s="18">
        <f>IF(OR(MATRIZ_174!P160="ASOCIACION",MATRIZ_174!P160="PENDIENTE"),65,40)</f>
        <v>65</v>
      </c>
      <c r="Z161" s="19" t="str">
        <f t="shared" si="49"/>
        <v>—</v>
      </c>
      <c r="AA161" s="20">
        <f t="shared" si="50"/>
        <v>60</v>
      </c>
      <c r="AB161" s="21" t="str">
        <f t="shared" si="51"/>
        <v>—</v>
      </c>
      <c r="AC161" s="13" t="str">
        <f t="shared" si="52"/>
        <v>⬜  Pendiente de instrumento</v>
      </c>
      <c r="AD161" s="13" t="str">
        <f>IF(MATRIZ_174!U160="","",IF(MATRIZ_174!U160=0,"🚫  Inh. vigente OSCE",""))</f>
        <v/>
      </c>
      <c r="AE161" s="22" t="str">
        <f>IFERROR(MATRIZ_174!W160,0)</f>
        <v/>
      </c>
      <c r="AF161" s="22" t="str">
        <f>IFERROR(MATRIZ_174!X160,0)</f>
        <v/>
      </c>
      <c r="AG161" s="22" t="str">
        <f>IFERROR(MATRIZ_174!Y160,0)</f>
        <v/>
      </c>
      <c r="AH161" s="22" t="str">
        <f>IFERROR(MATRIZ_174!Z160,0)</f>
        <v/>
      </c>
      <c r="AI161" s="17" t="str">
        <f>IFERROR(MATRIZ_174!AP160,"—")</f>
        <v>—</v>
      </c>
      <c r="AJ161" s="17" t="str">
        <f>IFERROR(MATRIZ_174!AO160,"N/A")</f>
        <v>N/A</v>
      </c>
      <c r="AK161" s="23" t="str">
        <f t="shared" si="53"/>
        <v>N/A</v>
      </c>
      <c r="AL161" s="24" t="str">
        <f t="shared" si="54"/>
        <v>—</v>
      </c>
      <c r="AM161" t="str">
        <f>IFERROR(MATRIZ_174!AT160,"")</f>
        <v>sin dato</v>
      </c>
    </row>
    <row r="162" spans="1:39" ht="16.05" customHeight="1" x14ac:dyDescent="0.3">
      <c r="A162" s="13" t="s">
        <v>411</v>
      </c>
      <c r="B162" s="14" t="s">
        <v>412</v>
      </c>
      <c r="C162" s="13" t="s">
        <v>177</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t="str">
        <f t="shared" si="45"/>
        <v/>
      </c>
      <c r="R162" s="17" t="str">
        <f t="shared" si="46"/>
        <v/>
      </c>
      <c r="S162" s="17" t="str">
        <f t="shared" si="47"/>
        <v/>
      </c>
      <c r="T162" s="17" t="str">
        <f>IF(ISNUMBER(MATRIZ_174!O161),IFERROR((K162+M162+MATRIZ_174!O161*100)/3,0),"")</f>
        <v/>
      </c>
      <c r="U162" s="18" t="str">
        <f>IF(ISNUMBER(MATRIZ_174!M161),MIN(100,ROUND(MATRIZ_174!M161,1)),"")</f>
        <v/>
      </c>
      <c r="V162" s="18">
        <f t="shared" si="48"/>
        <v>50</v>
      </c>
      <c r="W162" s="18">
        <f>IFERROR(IF(MATRIZ_174!R161=0,65,IF(MATRIZ_174!R161/MATRIZ_174!Q161&gt;=2,35,IF(MATRIZ_174!R161/MATRIZ_174!Q161&gt;=0.5,50,65))),65)</f>
        <v>65</v>
      </c>
      <c r="X162" s="18" t="str">
        <f>IF(ISNUMBER(MATRIZ_174!O161),MIN(100,IF(MATRIZ_174!O161=0,70,30)+IF(MATRIZ_174!U161="",0,0.3*(100-MATRIZ_174!U161*100))),"")</f>
        <v/>
      </c>
      <c r="Y162" s="18">
        <f>IF(OR(MATRIZ_174!P161="ASOCIACION",MATRIZ_174!P161="PENDIENTE"),65,40)</f>
        <v>65</v>
      </c>
      <c r="Z162" s="19" t="str">
        <f t="shared" si="49"/>
        <v>—</v>
      </c>
      <c r="AA162" s="20">
        <f t="shared" si="50"/>
        <v>60</v>
      </c>
      <c r="AB162" s="21" t="str">
        <f t="shared" si="51"/>
        <v>—</v>
      </c>
      <c r="AC162" s="13" t="str">
        <f t="shared" si="52"/>
        <v>⬜  Pendiente de instrumento</v>
      </c>
      <c r="AD162" s="13" t="str">
        <f>IF(MATRIZ_174!U161="","",IF(MATRIZ_174!U161=0,"🚫  Inh. vigente OSCE",""))</f>
        <v/>
      </c>
      <c r="AE162" s="22" t="str">
        <f>IFERROR(MATRIZ_174!W161,0)</f>
        <v/>
      </c>
      <c r="AF162" s="22" t="str">
        <f>IFERROR(MATRIZ_174!X161,0)</f>
        <v/>
      </c>
      <c r="AG162" s="22" t="str">
        <f>IFERROR(MATRIZ_174!Y161,0)</f>
        <v/>
      </c>
      <c r="AH162" s="22" t="str">
        <f>IFERROR(MATRIZ_174!Z161,0)</f>
        <v/>
      </c>
      <c r="AI162" s="17" t="str">
        <f>IFERROR(MATRIZ_174!AP161,"—")</f>
        <v>—</v>
      </c>
      <c r="AJ162" s="17" t="str">
        <f>IFERROR(MATRIZ_174!AO161,"N/A")</f>
        <v>N/A</v>
      </c>
      <c r="AK162" s="23" t="str">
        <f t="shared" si="53"/>
        <v>N/A</v>
      </c>
      <c r="AL162" s="24" t="str">
        <f t="shared" si="54"/>
        <v>—</v>
      </c>
      <c r="AM162" t="str">
        <f>IFERROR(MATRIZ_174!AT161,"")</f>
        <v>sin dato</v>
      </c>
    </row>
    <row r="163" spans="1:39" ht="16.05" customHeight="1" x14ac:dyDescent="0.3">
      <c r="A163" s="13" t="s">
        <v>413</v>
      </c>
      <c r="B163" s="14" t="s">
        <v>414</v>
      </c>
      <c r="C163" s="13" t="s">
        <v>101</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t="str">
        <f t="shared" si="45"/>
        <v/>
      </c>
      <c r="R163" s="17" t="str">
        <f t="shared" si="46"/>
        <v/>
      </c>
      <c r="S163" s="17" t="str">
        <f t="shared" si="47"/>
        <v/>
      </c>
      <c r="T163" s="17" t="str">
        <f>IF(ISNUMBER(MATRIZ_174!O162),IFERROR((K163+M163+MATRIZ_174!O162*100)/3,0),"")</f>
        <v/>
      </c>
      <c r="U163" s="18" t="str">
        <f>IF(ISNUMBER(MATRIZ_174!M162),MIN(100,ROUND(MATRIZ_174!M162,1)),"")</f>
        <v/>
      </c>
      <c r="V163" s="18">
        <f t="shared" si="48"/>
        <v>50</v>
      </c>
      <c r="W163" s="18">
        <f>IFERROR(IF(MATRIZ_174!R162=0,65,IF(MATRIZ_174!R162/MATRIZ_174!Q162&gt;=2,35,IF(MATRIZ_174!R162/MATRIZ_174!Q162&gt;=0.5,50,65))),65)</f>
        <v>65</v>
      </c>
      <c r="X163" s="18" t="str">
        <f>IF(ISNUMBER(MATRIZ_174!O162),MIN(100,IF(MATRIZ_174!O162=0,70,30)+IF(MATRIZ_174!U162="",0,0.3*(100-MATRIZ_174!U162*100))),"")</f>
        <v/>
      </c>
      <c r="Y163" s="18">
        <f>IF(OR(MATRIZ_174!P162="ASOCIACION",MATRIZ_174!P162="PENDIENTE"),65,40)</f>
        <v>65</v>
      </c>
      <c r="Z163" s="19" t="str">
        <f t="shared" si="49"/>
        <v>—</v>
      </c>
      <c r="AA163" s="20">
        <f t="shared" si="50"/>
        <v>60</v>
      </c>
      <c r="AB163" s="21" t="str">
        <f t="shared" si="51"/>
        <v>—</v>
      </c>
      <c r="AC163" s="13" t="str">
        <f t="shared" si="52"/>
        <v>⬜  Pendiente de instrumento</v>
      </c>
      <c r="AD163" s="13" t="str">
        <f>IF(MATRIZ_174!U162="","",IF(MATRIZ_174!U162=0,"🚫  Inh. vigente OSCE",""))</f>
        <v/>
      </c>
      <c r="AE163" s="22" t="str">
        <f>IFERROR(MATRIZ_174!W162,0)</f>
        <v/>
      </c>
      <c r="AF163" s="22" t="str">
        <f>IFERROR(MATRIZ_174!X162,0)</f>
        <v/>
      </c>
      <c r="AG163" s="22" t="str">
        <f>IFERROR(MATRIZ_174!Y162,0)</f>
        <v/>
      </c>
      <c r="AH163" s="22" t="str">
        <f>IFERROR(MATRIZ_174!Z162,0)</f>
        <v/>
      </c>
      <c r="AI163" s="17" t="str">
        <f>IFERROR(MATRIZ_174!AP162,"—")</f>
        <v>—</v>
      </c>
      <c r="AJ163" s="17" t="str">
        <f>IFERROR(MATRIZ_174!AO162,"N/A")</f>
        <v>N/A</v>
      </c>
      <c r="AK163" s="23" t="str">
        <f t="shared" si="53"/>
        <v>N/A</v>
      </c>
      <c r="AL163" s="24" t="str">
        <f t="shared" si="54"/>
        <v>—</v>
      </c>
      <c r="AM163" t="str">
        <f>IFERROR(MATRIZ_174!AT162,"")</f>
        <v>sin dato</v>
      </c>
    </row>
    <row r="164" spans="1:39" ht="16.05" customHeight="1" x14ac:dyDescent="0.3">
      <c r="A164" s="13" t="s">
        <v>415</v>
      </c>
      <c r="B164" s="14" t="s">
        <v>416</v>
      </c>
      <c r="C164" s="13" t="s">
        <v>148</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t="str">
        <f t="shared" ref="Q164:Q177" si="56">IFERROR(SQRT(G164*H164),"")</f>
        <v/>
      </c>
      <c r="R164" s="17" t="str">
        <f t="shared" ref="R164:R177" si="57">IFERROR((I164+J164+L164)/3,"")</f>
        <v/>
      </c>
      <c r="S164" s="17" t="str">
        <f t="shared" ref="S164:S177" si="58">IFERROR((J164+F164)/2,"")</f>
        <v/>
      </c>
      <c r="T164" s="17" t="str">
        <f>IF(ISNUMBER(MATRIZ_174!O163),IFERROR((K164+M164+MATRIZ_174!O163*100)/3,0),"")</f>
        <v/>
      </c>
      <c r="U164" s="18">
        <f>IF(ISNUMBER(MATRIZ_174!M163),MIN(100,ROUND(MATRIZ_174!M163,1)),"")</f>
        <v>50</v>
      </c>
      <c r="V164" s="18">
        <f t="shared" ref="V164:V177" si="59">IF(OR(NOT(ISNUMBER(F164)),F164=0),50,F164)</f>
        <v>50</v>
      </c>
      <c r="W164" s="18">
        <f>IFERROR(IF(MATRIZ_174!R163=0,65,IF(MATRIZ_174!R163/MATRIZ_174!Q163&gt;=2,35,IF(MATRIZ_174!R163/MATRIZ_174!Q163&gt;=0.5,50,65))),65)</f>
        <v>65</v>
      </c>
      <c r="X164" s="18" t="str">
        <f>IF(ISNUMBER(MATRIZ_174!O163),MIN(100,IF(MATRIZ_174!O163=0,70,30)+IF(MATRIZ_174!U163="",0,0.3*(100-MATRIZ_174!U163*100))),"")</f>
        <v/>
      </c>
      <c r="Y164" s="18">
        <f>IF(OR(MATRIZ_174!P163="ASOCIACION",MATRIZ_174!P163="PENDIENTE"),65,40)</f>
        <v>65</v>
      </c>
      <c r="Z164" s="19" t="str">
        <f t="shared" ref="Z164:Z177" si="60">IF(COUNT(F164:M164)&lt;8,"—",IFERROR(ROUND(AVERAGE(P164:T164),1),"—"))</f>
        <v>—</v>
      </c>
      <c r="AA164" s="20">
        <f t="shared" ref="AA164:AA177" si="61">IFERROR(ROUND(AVERAGE(U164,V164,W164,X164,Y164),1),"—")</f>
        <v>57.5</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t="str">
        <f>IFERROR(MATRIZ_174!X163,0)</f>
        <v/>
      </c>
      <c r="AG164" s="22" t="str">
        <f>IFERROR(MATRIZ_174!Y163,0)</f>
        <v/>
      </c>
      <c r="AH164" s="22" t="str">
        <f>IFERROR(MATRIZ_174!Z163,0)</f>
        <v/>
      </c>
      <c r="AI164" s="17">
        <f>IFERROR(MATRIZ_174!AP163,"—")</f>
        <v>0.5</v>
      </c>
      <c r="AJ164" s="17" t="str">
        <f>IFERROR(MATRIZ_174!AO163,"N/A")</f>
        <v>N/A</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c r="AM164" t="str">
        <f>IFERROR(MATRIZ_174!AT163,"")</f>
        <v>parcial · 2/7 · D12-D15 0/4</v>
      </c>
    </row>
    <row r="165" spans="1:39" ht="16.05" customHeight="1" x14ac:dyDescent="0.3">
      <c r="A165" s="13" t="s">
        <v>417</v>
      </c>
      <c r="B165" s="14" t="s">
        <v>418</v>
      </c>
      <c r="C165" s="13" t="s">
        <v>110</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t="str">
        <f t="shared" si="56"/>
        <v/>
      </c>
      <c r="R165" s="17" t="str">
        <f t="shared" si="57"/>
        <v/>
      </c>
      <c r="S165" s="17" t="str">
        <f t="shared" si="58"/>
        <v/>
      </c>
      <c r="T165" s="17" t="str">
        <f>IF(ISNUMBER(MATRIZ_174!O164),IFERROR((K165+M165+MATRIZ_174!O164*100)/3,0),"")</f>
        <v/>
      </c>
      <c r="U165" s="18" t="str">
        <f>IF(ISNUMBER(MATRIZ_174!M164),MIN(100,ROUND(MATRIZ_174!M164,1)),"")</f>
        <v/>
      </c>
      <c r="V165" s="18">
        <f t="shared" si="59"/>
        <v>50</v>
      </c>
      <c r="W165" s="18">
        <f>IFERROR(IF(MATRIZ_174!R164=0,65,IF(MATRIZ_174!R164/MATRIZ_174!Q164&gt;=2,35,IF(MATRIZ_174!R164/MATRIZ_174!Q164&gt;=0.5,50,65))),65)</f>
        <v>65</v>
      </c>
      <c r="X165" s="18" t="str">
        <f>IF(ISNUMBER(MATRIZ_174!O164),MIN(100,IF(MATRIZ_174!O164=0,70,30)+IF(MATRIZ_174!U164="",0,0.3*(100-MATRIZ_174!U164*100))),"")</f>
        <v/>
      </c>
      <c r="Y165" s="18">
        <f>IF(OR(MATRIZ_174!P164="ASOCIACION",MATRIZ_174!P164="PENDIENTE"),65,40)</f>
        <v>65</v>
      </c>
      <c r="Z165" s="19" t="str">
        <f t="shared" si="60"/>
        <v>—</v>
      </c>
      <c r="AA165" s="20">
        <f t="shared" si="61"/>
        <v>60</v>
      </c>
      <c r="AB165" s="21" t="str">
        <f t="shared" si="62"/>
        <v>—</v>
      </c>
      <c r="AC165" s="13" t="str">
        <f t="shared" si="63"/>
        <v>⬜  Pendiente de instrumento</v>
      </c>
      <c r="AD165" s="13" t="str">
        <f>IF(MATRIZ_174!U164="","",IF(MATRIZ_174!U164=0,"🚫  Inh. vigente OSCE",""))</f>
        <v/>
      </c>
      <c r="AE165" s="22" t="str">
        <f>IFERROR(MATRIZ_174!W164,0)</f>
        <v/>
      </c>
      <c r="AF165" s="22" t="str">
        <f>IFERROR(MATRIZ_174!X164,0)</f>
        <v/>
      </c>
      <c r="AG165" s="22" t="str">
        <f>IFERROR(MATRIZ_174!Y164,0)</f>
        <v/>
      </c>
      <c r="AH165" s="22" t="str">
        <f>IFERROR(MATRIZ_174!Z164,0)</f>
        <v/>
      </c>
      <c r="AI165" s="17" t="str">
        <f>IFERROR(MATRIZ_174!AP164,"—")</f>
        <v>—</v>
      </c>
      <c r="AJ165" s="17" t="str">
        <f>IFERROR(MATRIZ_174!AO164,"N/A")</f>
        <v>N/A</v>
      </c>
      <c r="AK165" s="23" t="str">
        <f t="shared" si="64"/>
        <v>N/A</v>
      </c>
      <c r="AL165" s="24" t="str">
        <f t="shared" si="65"/>
        <v>—</v>
      </c>
      <c r="AM165" t="str">
        <f>IFERROR(MATRIZ_174!AT164,"")</f>
        <v>sin dato</v>
      </c>
    </row>
    <row r="166" spans="1:39" ht="16.05" customHeight="1" x14ac:dyDescent="0.3">
      <c r="A166" s="13" t="s">
        <v>419</v>
      </c>
      <c r="B166" s="14" t="s">
        <v>420</v>
      </c>
      <c r="C166" s="13" t="s">
        <v>177</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t="str">
        <f t="shared" si="56"/>
        <v/>
      </c>
      <c r="R166" s="17" t="str">
        <f t="shared" si="57"/>
        <v/>
      </c>
      <c r="S166" s="17" t="str">
        <f t="shared" si="58"/>
        <v/>
      </c>
      <c r="T166" s="17" t="str">
        <f>IF(ISNUMBER(MATRIZ_174!O165),IFERROR((K166+M166+MATRIZ_174!O165*100)/3,0),"")</f>
        <v/>
      </c>
      <c r="U166" s="18" t="str">
        <f>IF(ISNUMBER(MATRIZ_174!M165),MIN(100,ROUND(MATRIZ_174!M165,1)),"")</f>
        <v/>
      </c>
      <c r="V166" s="18">
        <f t="shared" si="59"/>
        <v>50</v>
      </c>
      <c r="W166" s="18">
        <f>IFERROR(IF(MATRIZ_174!R165=0,65,IF(MATRIZ_174!R165/MATRIZ_174!Q165&gt;=2,35,IF(MATRIZ_174!R165/MATRIZ_174!Q165&gt;=0.5,50,65))),65)</f>
        <v>65</v>
      </c>
      <c r="X166" s="18" t="str">
        <f>IF(ISNUMBER(MATRIZ_174!O165),MIN(100,IF(MATRIZ_174!O165=0,70,30)+IF(MATRIZ_174!U165="",0,0.3*(100-MATRIZ_174!U165*100))),"")</f>
        <v/>
      </c>
      <c r="Y166" s="18">
        <f>IF(OR(MATRIZ_174!P165="ASOCIACION",MATRIZ_174!P165="PENDIENTE"),65,40)</f>
        <v>65</v>
      </c>
      <c r="Z166" s="19" t="str">
        <f t="shared" si="60"/>
        <v>—</v>
      </c>
      <c r="AA166" s="20">
        <f t="shared" si="61"/>
        <v>60</v>
      </c>
      <c r="AB166" s="21" t="str">
        <f t="shared" si="62"/>
        <v>—</v>
      </c>
      <c r="AC166" s="13" t="str">
        <f t="shared" si="63"/>
        <v>⬜  Pendiente de instrumento</v>
      </c>
      <c r="AD166" s="13" t="str">
        <f>IF(MATRIZ_174!U165="","",IF(MATRIZ_174!U165=0,"🚫  Inh. vigente OSCE",""))</f>
        <v/>
      </c>
      <c r="AE166" s="22" t="str">
        <f>IFERROR(MATRIZ_174!W165,0)</f>
        <v/>
      </c>
      <c r="AF166" s="22" t="str">
        <f>IFERROR(MATRIZ_174!X165,0)</f>
        <v/>
      </c>
      <c r="AG166" s="22" t="str">
        <f>IFERROR(MATRIZ_174!Y165,0)</f>
        <v/>
      </c>
      <c r="AH166" s="22" t="str">
        <f>IFERROR(MATRIZ_174!Z165,0)</f>
        <v/>
      </c>
      <c r="AI166" s="17" t="str">
        <f>IFERROR(MATRIZ_174!AP165,"—")</f>
        <v>—</v>
      </c>
      <c r="AJ166" s="17" t="str">
        <f>IFERROR(MATRIZ_174!AO165,"N/A")</f>
        <v>N/A</v>
      </c>
      <c r="AK166" s="23" t="str">
        <f t="shared" si="64"/>
        <v>N/A</v>
      </c>
      <c r="AL166" s="24" t="str">
        <f t="shared" si="65"/>
        <v>—</v>
      </c>
      <c r="AM166" t="str">
        <f>IFERROR(MATRIZ_174!AT165,"")</f>
        <v>sin dato</v>
      </c>
    </row>
    <row r="167" spans="1:39" ht="16.05" customHeight="1" x14ac:dyDescent="0.3">
      <c r="A167" s="13" t="s">
        <v>421</v>
      </c>
      <c r="B167" s="14" t="s">
        <v>422</v>
      </c>
      <c r="C167" s="13" t="s">
        <v>239</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t="str">
        <f t="shared" si="56"/>
        <v/>
      </c>
      <c r="R167" s="17" t="str">
        <f t="shared" si="57"/>
        <v/>
      </c>
      <c r="S167" s="17" t="str">
        <f t="shared" si="58"/>
        <v/>
      </c>
      <c r="T167" s="17" t="str">
        <f>IF(ISNUMBER(MATRIZ_174!O166),IFERROR((K167+M167+MATRIZ_174!O166*100)/3,0),"")</f>
        <v/>
      </c>
      <c r="U167" s="18" t="str">
        <f>IF(ISNUMBER(MATRIZ_174!M166),MIN(100,ROUND(MATRIZ_174!M166,1)),"")</f>
        <v/>
      </c>
      <c r="V167" s="18">
        <f t="shared" si="59"/>
        <v>50</v>
      </c>
      <c r="W167" s="18">
        <f>IFERROR(IF(MATRIZ_174!R166=0,65,IF(MATRIZ_174!R166/MATRIZ_174!Q166&gt;=2,35,IF(MATRIZ_174!R166/MATRIZ_174!Q166&gt;=0.5,50,65))),65)</f>
        <v>65</v>
      </c>
      <c r="X167" s="18" t="str">
        <f>IF(ISNUMBER(MATRIZ_174!O166),MIN(100,IF(MATRIZ_174!O166=0,70,30)+IF(MATRIZ_174!U166="",0,0.3*(100-MATRIZ_174!U166*100))),"")</f>
        <v/>
      </c>
      <c r="Y167" s="18">
        <f>IF(OR(MATRIZ_174!P166="ASOCIACION",MATRIZ_174!P166="PENDIENTE"),65,40)</f>
        <v>65</v>
      </c>
      <c r="Z167" s="19" t="str">
        <f t="shared" si="60"/>
        <v>—</v>
      </c>
      <c r="AA167" s="20">
        <f t="shared" si="61"/>
        <v>60</v>
      </c>
      <c r="AB167" s="21" t="str">
        <f t="shared" si="62"/>
        <v>—</v>
      </c>
      <c r="AC167" s="13" t="str">
        <f t="shared" si="63"/>
        <v>⬜  Pendiente de instrumento</v>
      </c>
      <c r="AD167" s="13" t="str">
        <f>IF(MATRIZ_174!U166="","",IF(MATRIZ_174!U166=0,"🚫  Inh. vigente OSCE",""))</f>
        <v/>
      </c>
      <c r="AE167" s="22" t="str">
        <f>IFERROR(MATRIZ_174!W166,0)</f>
        <v/>
      </c>
      <c r="AF167" s="22" t="str">
        <f>IFERROR(MATRIZ_174!X166,0)</f>
        <v/>
      </c>
      <c r="AG167" s="22" t="str">
        <f>IFERROR(MATRIZ_174!Y166,0)</f>
        <v/>
      </c>
      <c r="AH167" s="22" t="str">
        <f>IFERROR(MATRIZ_174!Z166,0)</f>
        <v/>
      </c>
      <c r="AI167" s="17" t="str">
        <f>IFERROR(MATRIZ_174!AP166,"—")</f>
        <v>—</v>
      </c>
      <c r="AJ167" s="17" t="str">
        <f>IFERROR(MATRIZ_174!AO166,"N/A")</f>
        <v>N/A</v>
      </c>
      <c r="AK167" s="23" t="str">
        <f t="shared" si="64"/>
        <v>N/A</v>
      </c>
      <c r="AL167" s="24" t="str">
        <f t="shared" si="65"/>
        <v>—</v>
      </c>
      <c r="AM167" t="str">
        <f>IFERROR(MATRIZ_174!AT166,"")</f>
        <v>sin dato</v>
      </c>
    </row>
    <row r="168" spans="1:39" ht="16.05" customHeight="1" x14ac:dyDescent="0.3">
      <c r="A168" s="13" t="s">
        <v>423</v>
      </c>
      <c r="B168" s="14" t="s">
        <v>424</v>
      </c>
      <c r="C168" s="13" t="s">
        <v>137</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t="str">
        <f t="shared" si="56"/>
        <v/>
      </c>
      <c r="R168" s="17" t="str">
        <f t="shared" si="57"/>
        <v/>
      </c>
      <c r="S168" s="17" t="str">
        <f t="shared" si="58"/>
        <v/>
      </c>
      <c r="T168" s="17" t="str">
        <f>IF(ISNUMBER(MATRIZ_174!O167),IFERROR((K168+M168+MATRIZ_174!O167*100)/3,0),"")</f>
        <v/>
      </c>
      <c r="U168" s="18">
        <f>IF(ISNUMBER(MATRIZ_174!M167),MIN(100,ROUND(MATRIZ_174!M167,1)),"")</f>
        <v>0</v>
      </c>
      <c r="V168" s="18">
        <f t="shared" si="59"/>
        <v>50</v>
      </c>
      <c r="W168" s="18">
        <f>IFERROR(IF(MATRIZ_174!R167=0,65,IF(MATRIZ_174!R167/MATRIZ_174!Q167&gt;=2,35,IF(MATRIZ_174!R167/MATRIZ_174!Q167&gt;=0.5,50,65))),65)</f>
        <v>65</v>
      </c>
      <c r="X168" s="18" t="str">
        <f>IF(ISNUMBER(MATRIZ_174!O167),MIN(100,IF(MATRIZ_174!O167=0,70,30)+IF(MATRIZ_174!U167="",0,0.3*(100-MATRIZ_174!U167*100))),"")</f>
        <v/>
      </c>
      <c r="Y168" s="18">
        <f>IF(OR(MATRIZ_174!P167="ASOCIACION",MATRIZ_174!P167="PENDIENTE"),65,40)</f>
        <v>65</v>
      </c>
      <c r="Z168" s="19" t="str">
        <f t="shared" si="60"/>
        <v>—</v>
      </c>
      <c r="AA168" s="20">
        <f t="shared" si="61"/>
        <v>45</v>
      </c>
      <c r="AB168" s="21" t="str">
        <f t="shared" si="62"/>
        <v>—</v>
      </c>
      <c r="AC168" s="13" t="str">
        <f t="shared" si="63"/>
        <v>⬜  Pendiente de instrumento</v>
      </c>
      <c r="AD168" s="13" t="str">
        <f>IF(MATRIZ_174!U167="","",IF(MATRIZ_174!U167=0,"🚫  Inh. vigente OSCE",""))</f>
        <v/>
      </c>
      <c r="AE168" s="22" t="str">
        <f>IFERROR(MATRIZ_174!W167,0)</f>
        <v/>
      </c>
      <c r="AF168" s="22" t="str">
        <f>IFERROR(MATRIZ_174!X167,0)</f>
        <v/>
      </c>
      <c r="AG168" s="22" t="str">
        <f>IFERROR(MATRIZ_174!Y167,0)</f>
        <v/>
      </c>
      <c r="AH168" s="22" t="str">
        <f>IFERROR(MATRIZ_174!Z167,0)</f>
        <v/>
      </c>
      <c r="AI168" s="17">
        <f>IFERROR(MATRIZ_174!AP167,"—")</f>
        <v>0</v>
      </c>
      <c r="AJ168" s="17" t="str">
        <f>IFERROR(MATRIZ_174!AO167,"N/A")</f>
        <v>N/A</v>
      </c>
      <c r="AK168" s="23" t="str">
        <f t="shared" si="64"/>
        <v>N/A</v>
      </c>
      <c r="AL168" s="24" t="str">
        <f t="shared" si="65"/>
        <v>—</v>
      </c>
      <c r="AM168" t="str">
        <f>IFERROR(MATRIZ_174!AT167,"")</f>
        <v>parcial · 1/7 · D12-D15 0/4</v>
      </c>
    </row>
    <row r="169" spans="1:39" ht="16.05" customHeight="1" x14ac:dyDescent="0.3">
      <c r="A169" s="13" t="s">
        <v>425</v>
      </c>
      <c r="B169" s="14" t="s">
        <v>426</v>
      </c>
      <c r="C169" s="13" t="s">
        <v>110</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t="str">
        <f t="shared" si="56"/>
        <v/>
      </c>
      <c r="R169" s="17" t="str">
        <f t="shared" si="57"/>
        <v/>
      </c>
      <c r="S169" s="17" t="str">
        <f t="shared" si="58"/>
        <v/>
      </c>
      <c r="T169" s="17" t="str">
        <f>IF(ISNUMBER(MATRIZ_174!O168),IFERROR((K169+M169+MATRIZ_174!O168*100)/3,0),"")</f>
        <v/>
      </c>
      <c r="U169" s="18">
        <f>IF(ISNUMBER(MATRIZ_174!M168),MIN(100,ROUND(MATRIZ_174!M168,1)),"")</f>
        <v>0</v>
      </c>
      <c r="V169" s="18">
        <f t="shared" si="59"/>
        <v>50</v>
      </c>
      <c r="W169" s="18">
        <f>IFERROR(IF(MATRIZ_174!R168=0,65,IF(MATRIZ_174!R168/MATRIZ_174!Q168&gt;=2,35,IF(MATRIZ_174!R168/MATRIZ_174!Q168&gt;=0.5,50,65))),65)</f>
        <v>65</v>
      </c>
      <c r="X169" s="18" t="str">
        <f>IF(ISNUMBER(MATRIZ_174!O168),MIN(100,IF(MATRIZ_174!O168=0,70,30)+IF(MATRIZ_174!U168="",0,0.3*(100-MATRIZ_174!U168*100))),"")</f>
        <v/>
      </c>
      <c r="Y169" s="18">
        <f>IF(OR(MATRIZ_174!P168="ASOCIACION",MATRIZ_174!P168="PENDIENTE"),65,40)</f>
        <v>65</v>
      </c>
      <c r="Z169" s="19" t="str">
        <f t="shared" si="60"/>
        <v>—</v>
      </c>
      <c r="AA169" s="20">
        <f t="shared" si="61"/>
        <v>45</v>
      </c>
      <c r="AB169" s="21" t="str">
        <f t="shared" si="62"/>
        <v>—</v>
      </c>
      <c r="AC169" s="13" t="str">
        <f t="shared" si="63"/>
        <v>⬜  Pendiente de instrumento</v>
      </c>
      <c r="AD169" s="13" t="str">
        <f>IF(MATRIZ_174!U168="","",IF(MATRIZ_174!U168=0,"🚫  Inh. vigente OSCE",""))</f>
        <v/>
      </c>
      <c r="AE169" s="22" t="str">
        <f>IFERROR(MATRIZ_174!W168,0)</f>
        <v/>
      </c>
      <c r="AF169" s="22" t="str">
        <f>IFERROR(MATRIZ_174!X168,0)</f>
        <v/>
      </c>
      <c r="AG169" s="22" t="str">
        <f>IFERROR(MATRIZ_174!Y168,0)</f>
        <v/>
      </c>
      <c r="AH169" s="22" t="str">
        <f>IFERROR(MATRIZ_174!Z168,0)</f>
        <v/>
      </c>
      <c r="AI169" s="17">
        <f>IFERROR(MATRIZ_174!AP168,"—")</f>
        <v>0</v>
      </c>
      <c r="AJ169" s="17" t="str">
        <f>IFERROR(MATRIZ_174!AO168,"N/A")</f>
        <v>N/A</v>
      </c>
      <c r="AK169" s="23" t="str">
        <f t="shared" si="64"/>
        <v>N/A</v>
      </c>
      <c r="AL169" s="24" t="str">
        <f t="shared" si="65"/>
        <v>—</v>
      </c>
      <c r="AM169" t="str">
        <f>IFERROR(MATRIZ_174!AT168,"")</f>
        <v>parcial · 1/7 · D12-D15 0/4</v>
      </c>
    </row>
    <row r="170" spans="1:39" ht="16.05" customHeight="1" x14ac:dyDescent="0.3">
      <c r="A170" s="13" t="s">
        <v>427</v>
      </c>
      <c r="B170" s="14" t="s">
        <v>428</v>
      </c>
      <c r="C170" s="13" t="s">
        <v>148</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t="str">
        <f t="shared" si="56"/>
        <v/>
      </c>
      <c r="R170" s="17" t="str">
        <f t="shared" si="57"/>
        <v/>
      </c>
      <c r="S170" s="17" t="str">
        <f t="shared" si="58"/>
        <v/>
      </c>
      <c r="T170" s="17" t="str">
        <f>IF(ISNUMBER(MATRIZ_174!O169),IFERROR((K170+M170+MATRIZ_174!O169*100)/3,0),"")</f>
        <v/>
      </c>
      <c r="U170" s="18" t="str">
        <f>IF(ISNUMBER(MATRIZ_174!M169),MIN(100,ROUND(MATRIZ_174!M169,1)),"")</f>
        <v/>
      </c>
      <c r="V170" s="18">
        <f t="shared" si="59"/>
        <v>50</v>
      </c>
      <c r="W170" s="18">
        <f>IFERROR(IF(MATRIZ_174!R169=0,65,IF(MATRIZ_174!R169/MATRIZ_174!Q169&gt;=2,35,IF(MATRIZ_174!R169/MATRIZ_174!Q169&gt;=0.5,50,65))),65)</f>
        <v>65</v>
      </c>
      <c r="X170" s="18" t="str">
        <f>IF(ISNUMBER(MATRIZ_174!O169),MIN(100,IF(MATRIZ_174!O169=0,70,30)+IF(MATRIZ_174!U169="",0,0.3*(100-MATRIZ_174!U169*100))),"")</f>
        <v/>
      </c>
      <c r="Y170" s="18">
        <f>IF(OR(MATRIZ_174!P169="ASOCIACION",MATRIZ_174!P169="PENDIENTE"),65,40)</f>
        <v>65</v>
      </c>
      <c r="Z170" s="19" t="str">
        <f t="shared" si="60"/>
        <v>—</v>
      </c>
      <c r="AA170" s="20">
        <f t="shared" si="61"/>
        <v>60</v>
      </c>
      <c r="AB170" s="21" t="str">
        <f t="shared" si="62"/>
        <v>—</v>
      </c>
      <c r="AC170" s="13" t="str">
        <f t="shared" si="63"/>
        <v>⬜  Pendiente de instrumento</v>
      </c>
      <c r="AD170" s="13" t="str">
        <f>IF(MATRIZ_174!U169="","",IF(MATRIZ_174!U169=0,"🚫  Inh. vigente OSCE",""))</f>
        <v/>
      </c>
      <c r="AE170" s="22" t="str">
        <f>IFERROR(MATRIZ_174!W169,0)</f>
        <v/>
      </c>
      <c r="AF170" s="22" t="str">
        <f>IFERROR(MATRIZ_174!X169,0)</f>
        <v/>
      </c>
      <c r="AG170" s="22" t="str">
        <f>IFERROR(MATRIZ_174!Y169,0)</f>
        <v/>
      </c>
      <c r="AH170" s="22" t="str">
        <f>IFERROR(MATRIZ_174!Z169,0)</f>
        <v/>
      </c>
      <c r="AI170" s="17" t="str">
        <f>IFERROR(MATRIZ_174!AP169,"—")</f>
        <v>—</v>
      </c>
      <c r="AJ170" s="17" t="str">
        <f>IFERROR(MATRIZ_174!AO169,"N/A")</f>
        <v>N/A</v>
      </c>
      <c r="AK170" s="23" t="str">
        <f t="shared" si="64"/>
        <v>N/A</v>
      </c>
      <c r="AL170" s="24" t="str">
        <f t="shared" si="65"/>
        <v>—</v>
      </c>
      <c r="AM170" t="str">
        <f>IFERROR(MATRIZ_174!AT169,"")</f>
        <v>sin dato</v>
      </c>
    </row>
    <row r="171" spans="1:39" ht="16.05" customHeight="1" x14ac:dyDescent="0.3">
      <c r="A171" s="13" t="s">
        <v>429</v>
      </c>
      <c r="B171" s="14" t="s">
        <v>430</v>
      </c>
      <c r="C171" s="13" t="s">
        <v>107</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t="str">
        <f t="shared" si="56"/>
        <v/>
      </c>
      <c r="R171" s="17" t="str">
        <f t="shared" si="57"/>
        <v/>
      </c>
      <c r="S171" s="17" t="str">
        <f t="shared" si="58"/>
        <v/>
      </c>
      <c r="T171" s="17" t="str">
        <f>IF(ISNUMBER(MATRIZ_174!O170),IFERROR((K171+M171+MATRIZ_174!O170*100)/3,0),"")</f>
        <v/>
      </c>
      <c r="U171" s="18">
        <f>IF(ISNUMBER(MATRIZ_174!M170),MIN(100,ROUND(MATRIZ_174!M170,1)),"")</f>
        <v>0</v>
      </c>
      <c r="V171" s="18">
        <f t="shared" si="59"/>
        <v>50</v>
      </c>
      <c r="W171" s="18">
        <f>IFERROR(IF(MATRIZ_174!R170=0,65,IF(MATRIZ_174!R170/MATRIZ_174!Q170&gt;=2,35,IF(MATRIZ_174!R170/MATRIZ_174!Q170&gt;=0.5,50,65))),65)</f>
        <v>65</v>
      </c>
      <c r="X171" s="18" t="str">
        <f>IF(ISNUMBER(MATRIZ_174!O170),MIN(100,IF(MATRIZ_174!O170=0,70,30)+IF(MATRIZ_174!U170="",0,0.3*(100-MATRIZ_174!U170*100))),"")</f>
        <v/>
      </c>
      <c r="Y171" s="18">
        <f>IF(OR(MATRIZ_174!P170="ASOCIACION",MATRIZ_174!P170="PENDIENTE"),65,40)</f>
        <v>65</v>
      </c>
      <c r="Z171" s="19" t="str">
        <f t="shared" si="60"/>
        <v>—</v>
      </c>
      <c r="AA171" s="20">
        <f t="shared" si="61"/>
        <v>45</v>
      </c>
      <c r="AB171" s="21" t="str">
        <f t="shared" si="62"/>
        <v>—</v>
      </c>
      <c r="AC171" s="13" t="str">
        <f t="shared" si="63"/>
        <v>⬜  Pendiente de instrumento</v>
      </c>
      <c r="AD171" s="13" t="str">
        <f>IF(MATRIZ_174!U170="","",IF(MATRIZ_174!U170=0,"🚫  Inh. vigente OSCE",""))</f>
        <v/>
      </c>
      <c r="AE171" s="22" t="str">
        <f>IFERROR(MATRIZ_174!W170,0)</f>
        <v/>
      </c>
      <c r="AF171" s="22" t="str">
        <f>IFERROR(MATRIZ_174!X170,0)</f>
        <v/>
      </c>
      <c r="AG171" s="22" t="str">
        <f>IFERROR(MATRIZ_174!Y170,0)</f>
        <v/>
      </c>
      <c r="AH171" s="22" t="str">
        <f>IFERROR(MATRIZ_174!Z170,0)</f>
        <v/>
      </c>
      <c r="AI171" s="17">
        <f>IFERROR(MATRIZ_174!AP170,"—")</f>
        <v>0</v>
      </c>
      <c r="AJ171" s="17" t="str">
        <f>IFERROR(MATRIZ_174!AO170,"N/A")</f>
        <v>N/A</v>
      </c>
      <c r="AK171" s="23" t="str">
        <f t="shared" si="64"/>
        <v>N/A</v>
      </c>
      <c r="AL171" s="24" t="str">
        <f t="shared" si="65"/>
        <v>—</v>
      </c>
      <c r="AM171" t="str">
        <f>IFERROR(MATRIZ_174!AT170,"")</f>
        <v>parcial · 1/7 · D12-D15 0/4</v>
      </c>
    </row>
    <row r="172" spans="1:39" ht="16.05" customHeight="1" x14ac:dyDescent="0.3">
      <c r="A172" s="13" t="s">
        <v>431</v>
      </c>
      <c r="B172" s="14" t="s">
        <v>432</v>
      </c>
      <c r="C172" s="13" t="s">
        <v>137</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t="str">
        <f t="shared" si="56"/>
        <v/>
      </c>
      <c r="R172" s="17" t="str">
        <f t="shared" si="57"/>
        <v/>
      </c>
      <c r="S172" s="17" t="str">
        <f t="shared" si="58"/>
        <v/>
      </c>
      <c r="T172" s="17">
        <f>IF(ISNUMBER(MATRIZ_174!O171),IFERROR((K172+M172+MATRIZ_174!O171*100)/3,0),"")</f>
        <v>0</v>
      </c>
      <c r="U172" s="18" t="str">
        <f>IF(ISNUMBER(MATRIZ_174!M171),MIN(100,ROUND(MATRIZ_174!M171,1)),"")</f>
        <v/>
      </c>
      <c r="V172" s="18">
        <f t="shared" si="59"/>
        <v>50</v>
      </c>
      <c r="W172" s="18">
        <f>IFERROR(IF(MATRIZ_174!R171=0,65,IF(MATRIZ_174!R171/MATRIZ_174!Q171&gt;=2,35,IF(MATRIZ_174!R171/MATRIZ_174!Q171&gt;=0.5,50,65))),65)</f>
        <v>50</v>
      </c>
      <c r="X172" s="18">
        <f>IF(ISNUMBER(MATRIZ_174!O171),MIN(100,IF(MATRIZ_174!O171=0,70,30)+IF(MATRIZ_174!U171="",0,0.3*(100-MATRIZ_174!U171*100))),"")</f>
        <v>30</v>
      </c>
      <c r="Y172" s="18">
        <f>IF(OR(MATRIZ_174!P171="ASOCIACION",MATRIZ_174!P171="PENDIENTE"),65,40)</f>
        <v>65</v>
      </c>
      <c r="Z172" s="19" t="str">
        <f t="shared" si="60"/>
        <v>—</v>
      </c>
      <c r="AA172" s="20">
        <f t="shared" si="61"/>
        <v>48.8</v>
      </c>
      <c r="AB172" s="21" t="str">
        <f t="shared" si="62"/>
        <v>—</v>
      </c>
      <c r="AC172" s="13" t="str">
        <f t="shared" si="63"/>
        <v>⬜  Pendiente de instrumento</v>
      </c>
      <c r="AD172" s="13" t="str">
        <f>IF(MATRIZ_174!U171="","",IF(MATRIZ_174!U171=0,"🚫  Inh. vigente OSCE",""))</f>
        <v/>
      </c>
      <c r="AE172" s="22">
        <f>IFERROR(MATRIZ_174!W171,0)</f>
        <v>1</v>
      </c>
      <c r="AF172" s="22" t="str">
        <f>IFERROR(MATRIZ_174!X171,0)</f>
        <v/>
      </c>
      <c r="AG172" s="22" t="str">
        <f>IFERROR(MATRIZ_174!Y171,0)</f>
        <v/>
      </c>
      <c r="AH172" s="22" t="str">
        <f>IFERROR(MATRIZ_174!Z171,0)</f>
        <v/>
      </c>
      <c r="AI172" s="17">
        <f>IFERROR(MATRIZ_174!AP171,"—")</f>
        <v>0.52857142857142858</v>
      </c>
      <c r="AJ172" s="17" t="str">
        <f>IFERROR(MATRIZ_174!AO171,"N/A")</f>
        <v>N/A</v>
      </c>
      <c r="AK172" s="23" t="str">
        <f t="shared" si="64"/>
        <v>N/A</v>
      </c>
      <c r="AL172" s="24" t="str">
        <f t="shared" si="65"/>
        <v>—</v>
      </c>
      <c r="AM172" t="str">
        <f>IFERROR(MATRIZ_174!AT171,"")</f>
        <v>parcial · 2/7 · D12-D15 0/4</v>
      </c>
    </row>
    <row r="173" spans="1:39" ht="16.05" customHeight="1" x14ac:dyDescent="0.3">
      <c r="A173" s="13" t="s">
        <v>433</v>
      </c>
      <c r="B173" s="14" t="s">
        <v>434</v>
      </c>
      <c r="C173" s="13" t="s">
        <v>110</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t="str">
        <f t="shared" si="56"/>
        <v/>
      </c>
      <c r="R173" s="17" t="str">
        <f t="shared" si="57"/>
        <v/>
      </c>
      <c r="S173" s="17" t="str">
        <f t="shared" si="58"/>
        <v/>
      </c>
      <c r="T173" s="17" t="str">
        <f>IF(ISNUMBER(MATRIZ_174!O172),IFERROR((K173+M173+MATRIZ_174!O172*100)/3,0),"")</f>
        <v/>
      </c>
      <c r="U173" s="18" t="str">
        <f>IF(ISNUMBER(MATRIZ_174!M172),MIN(100,ROUND(MATRIZ_174!M172,1)),"")</f>
        <v/>
      </c>
      <c r="V173" s="18">
        <f t="shared" si="59"/>
        <v>50</v>
      </c>
      <c r="W173" s="18">
        <f>IFERROR(IF(MATRIZ_174!R172=0,65,IF(MATRIZ_174!R172/MATRIZ_174!Q172&gt;=2,35,IF(MATRIZ_174!R172/MATRIZ_174!Q172&gt;=0.5,50,65))),65)</f>
        <v>65</v>
      </c>
      <c r="X173" s="18" t="str">
        <f>IF(ISNUMBER(MATRIZ_174!O172),MIN(100,IF(MATRIZ_174!O172=0,70,30)+IF(MATRIZ_174!U172="",0,0.3*(100-MATRIZ_174!U172*100))),"")</f>
        <v/>
      </c>
      <c r="Y173" s="18">
        <f>IF(OR(MATRIZ_174!P172="ASOCIACION",MATRIZ_174!P172="PENDIENTE"),65,40)</f>
        <v>65</v>
      </c>
      <c r="Z173" s="19" t="str">
        <f t="shared" si="60"/>
        <v>—</v>
      </c>
      <c r="AA173" s="20">
        <f t="shared" si="61"/>
        <v>60</v>
      </c>
      <c r="AB173" s="21" t="str">
        <f t="shared" si="62"/>
        <v>—</v>
      </c>
      <c r="AC173" s="13" t="str">
        <f t="shared" si="63"/>
        <v>⬜  Pendiente de instrumento</v>
      </c>
      <c r="AD173" s="13" t="str">
        <f>IF(MATRIZ_174!U172="","",IF(MATRIZ_174!U172=0,"🚫  Inh. vigente OSCE",""))</f>
        <v/>
      </c>
      <c r="AE173" s="22" t="str">
        <f>IFERROR(MATRIZ_174!W172,0)</f>
        <v/>
      </c>
      <c r="AF173" s="22" t="str">
        <f>IFERROR(MATRIZ_174!X172,0)</f>
        <v/>
      </c>
      <c r="AG173" s="22" t="str">
        <f>IFERROR(MATRIZ_174!Y172,0)</f>
        <v/>
      </c>
      <c r="AH173" s="22" t="str">
        <f>IFERROR(MATRIZ_174!Z172,0)</f>
        <v/>
      </c>
      <c r="AI173" s="17" t="str">
        <f>IFERROR(MATRIZ_174!AP172,"—")</f>
        <v>—</v>
      </c>
      <c r="AJ173" s="17" t="str">
        <f>IFERROR(MATRIZ_174!AO172,"N/A")</f>
        <v>N/A</v>
      </c>
      <c r="AK173" s="23" t="str">
        <f t="shared" si="64"/>
        <v>N/A</v>
      </c>
      <c r="AL173" s="24" t="str">
        <f t="shared" si="65"/>
        <v>—</v>
      </c>
      <c r="AM173" t="str">
        <f>IFERROR(MATRIZ_174!AT172,"")</f>
        <v>sin dato</v>
      </c>
    </row>
    <row r="174" spans="1:39" ht="16.05" customHeight="1" x14ac:dyDescent="0.3">
      <c r="A174" s="13" t="s">
        <v>435</v>
      </c>
      <c r="B174" s="14" t="s">
        <v>436</v>
      </c>
      <c r="C174" s="13" t="s">
        <v>177</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t="str">
        <f t="shared" si="56"/>
        <v/>
      </c>
      <c r="R174" s="17" t="str">
        <f t="shared" si="57"/>
        <v/>
      </c>
      <c r="S174" s="17" t="str">
        <f t="shared" si="58"/>
        <v/>
      </c>
      <c r="T174" s="17" t="str">
        <f>IF(ISNUMBER(MATRIZ_174!O173),IFERROR((K174+M174+MATRIZ_174!O173*100)/3,0),"")</f>
        <v/>
      </c>
      <c r="U174" s="18" t="str">
        <f>IF(ISNUMBER(MATRIZ_174!M173),MIN(100,ROUND(MATRIZ_174!M173,1)),"")</f>
        <v/>
      </c>
      <c r="V174" s="18">
        <f t="shared" si="59"/>
        <v>50</v>
      </c>
      <c r="W174" s="18">
        <f>IFERROR(IF(MATRIZ_174!R173=0,65,IF(MATRIZ_174!R173/MATRIZ_174!Q173&gt;=2,35,IF(MATRIZ_174!R173/MATRIZ_174!Q173&gt;=0.5,50,65))),65)</f>
        <v>65</v>
      </c>
      <c r="X174" s="18" t="str">
        <f>IF(ISNUMBER(MATRIZ_174!O173),MIN(100,IF(MATRIZ_174!O173=0,70,30)+IF(MATRIZ_174!U173="",0,0.3*(100-MATRIZ_174!U173*100))),"")</f>
        <v/>
      </c>
      <c r="Y174" s="18">
        <f>IF(OR(MATRIZ_174!P173="ASOCIACION",MATRIZ_174!P173="PENDIENTE"),65,40)</f>
        <v>65</v>
      </c>
      <c r="Z174" s="19" t="str">
        <f t="shared" si="60"/>
        <v>—</v>
      </c>
      <c r="AA174" s="20">
        <f t="shared" si="61"/>
        <v>60</v>
      </c>
      <c r="AB174" s="21" t="str">
        <f t="shared" si="62"/>
        <v>—</v>
      </c>
      <c r="AC174" s="13" t="str">
        <f t="shared" si="63"/>
        <v>⬜  Pendiente de instrumento</v>
      </c>
      <c r="AD174" s="13" t="str">
        <f>IF(MATRIZ_174!U173="","",IF(MATRIZ_174!U173=0,"🚫  Inh. vigente OSCE",""))</f>
        <v/>
      </c>
      <c r="AE174" s="22" t="str">
        <f>IFERROR(MATRIZ_174!W173,0)</f>
        <v/>
      </c>
      <c r="AF174" s="22" t="str">
        <f>IFERROR(MATRIZ_174!X173,0)</f>
        <v/>
      </c>
      <c r="AG174" s="22" t="str">
        <f>IFERROR(MATRIZ_174!Y173,0)</f>
        <v/>
      </c>
      <c r="AH174" s="22" t="str">
        <f>IFERROR(MATRIZ_174!Z173,0)</f>
        <v/>
      </c>
      <c r="AI174" s="17" t="str">
        <f>IFERROR(MATRIZ_174!AP173,"—")</f>
        <v>—</v>
      </c>
      <c r="AJ174" s="17" t="str">
        <f>IFERROR(MATRIZ_174!AO173,"N/A")</f>
        <v>N/A</v>
      </c>
      <c r="AK174" s="23" t="str">
        <f t="shared" si="64"/>
        <v>N/A</v>
      </c>
      <c r="AL174" s="24" t="str">
        <f t="shared" si="65"/>
        <v>—</v>
      </c>
      <c r="AM174" t="str">
        <f>IFERROR(MATRIZ_174!AT173,"")</f>
        <v>sin dato</v>
      </c>
    </row>
    <row r="175" spans="1:39" ht="16.05" customHeight="1" x14ac:dyDescent="0.3">
      <c r="A175" s="13" t="s">
        <v>437</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t="str">
        <f t="shared" si="56"/>
        <v/>
      </c>
      <c r="R175" s="17" t="str">
        <f t="shared" si="57"/>
        <v/>
      </c>
      <c r="S175" s="17" t="str">
        <f t="shared" si="58"/>
        <v/>
      </c>
      <c r="T175" s="17" t="str">
        <f>IF(ISNUMBER(MATRIZ_174!O174),IFERROR((K175+M175+MATRIZ_174!O174*100)/3,0),"")</f>
        <v/>
      </c>
      <c r="U175" s="18" t="str">
        <f>IF(ISNUMBER(MATRIZ_174!M174),MIN(100,ROUND(MATRIZ_174!M174,1)),"")</f>
        <v/>
      </c>
      <c r="V175" s="18">
        <f t="shared" si="59"/>
        <v>50</v>
      </c>
      <c r="W175" s="18">
        <f>IFERROR(IF(MATRIZ_174!R174=0,65,IF(MATRIZ_174!R174/MATRIZ_174!Q174&gt;=2,35,IF(MATRIZ_174!R174/MATRIZ_174!Q174&gt;=0.5,50,65))),65)</f>
        <v>65</v>
      </c>
      <c r="X175" s="18" t="str">
        <f>IF(ISNUMBER(MATRIZ_174!O174),MIN(100,IF(MATRIZ_174!O174=0,70,30)+IF(MATRIZ_174!U174="",0,0.3*(100-MATRIZ_174!U174*100))),"")</f>
        <v/>
      </c>
      <c r="Y175" s="18">
        <f>IF(OR(MATRIZ_174!P174="ASOCIACION",MATRIZ_174!P174="PENDIENTE"),65,40)</f>
        <v>65</v>
      </c>
      <c r="Z175" s="19" t="str">
        <f t="shared" si="60"/>
        <v>—</v>
      </c>
      <c r="AA175" s="20">
        <f t="shared" si="61"/>
        <v>60</v>
      </c>
      <c r="AB175" s="21" t="str">
        <f t="shared" si="62"/>
        <v>—</v>
      </c>
      <c r="AC175" s="13" t="str">
        <f t="shared" si="63"/>
        <v>⬜  Pendiente de instrumento</v>
      </c>
      <c r="AD175" s="13" t="str">
        <f>IF(MATRIZ_174!U174="","",IF(MATRIZ_174!U174=0,"🚫  Inh. vigente OSCE",""))</f>
        <v/>
      </c>
      <c r="AE175" s="22" t="str">
        <f>IFERROR(MATRIZ_174!W174,0)</f>
        <v/>
      </c>
      <c r="AF175" s="22" t="str">
        <f>IFERROR(MATRIZ_174!X174,0)</f>
        <v/>
      </c>
      <c r="AG175" s="22" t="str">
        <f>IFERROR(MATRIZ_174!Y174,0)</f>
        <v/>
      </c>
      <c r="AH175" s="22" t="str">
        <f>IFERROR(MATRIZ_174!Z174,0)</f>
        <v/>
      </c>
      <c r="AI175" s="17" t="str">
        <f>IFERROR(MATRIZ_174!AP174,"—")</f>
        <v>—</v>
      </c>
      <c r="AJ175" s="17" t="str">
        <f>IFERROR(MATRIZ_174!AO174,"N/A")</f>
        <v>N/A</v>
      </c>
      <c r="AK175" s="23" t="str">
        <f t="shared" si="64"/>
        <v>N/A</v>
      </c>
      <c r="AL175" s="24" t="str">
        <f t="shared" si="65"/>
        <v>—</v>
      </c>
      <c r="AM175" t="str">
        <f>IFERROR(MATRIZ_174!AT174,"")</f>
        <v>sin dato</v>
      </c>
    </row>
    <row r="176" spans="1:39" ht="16.05" customHeight="1" x14ac:dyDescent="0.3">
      <c r="A176" s="13" t="s">
        <v>439</v>
      </c>
      <c r="B176" s="14" t="s">
        <v>440</v>
      </c>
      <c r="C176" s="13" t="s">
        <v>107</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t="str">
        <f t="shared" si="56"/>
        <v/>
      </c>
      <c r="R176" s="17" t="str">
        <f t="shared" si="57"/>
        <v/>
      </c>
      <c r="S176" s="17" t="str">
        <f t="shared" si="58"/>
        <v/>
      </c>
      <c r="T176" s="17" t="str">
        <f>IF(ISNUMBER(MATRIZ_174!O175),IFERROR((K176+M176+MATRIZ_174!O175*100)/3,0),"")</f>
        <v/>
      </c>
      <c r="U176" s="18">
        <f>IF(ISNUMBER(MATRIZ_174!M175),MIN(100,ROUND(MATRIZ_174!M175,1)),"")</f>
        <v>50</v>
      </c>
      <c r="V176" s="18">
        <f t="shared" si="59"/>
        <v>50</v>
      </c>
      <c r="W176" s="18">
        <f>IFERROR(IF(MATRIZ_174!R175=0,65,IF(MATRIZ_174!R175/MATRIZ_174!Q175&gt;=2,35,IF(MATRIZ_174!R175/MATRIZ_174!Q175&gt;=0.5,50,65))),65)</f>
        <v>65</v>
      </c>
      <c r="X176" s="18" t="str">
        <f>IF(ISNUMBER(MATRIZ_174!O175),MIN(100,IF(MATRIZ_174!O175=0,70,30)+IF(MATRIZ_174!U175="",0,0.3*(100-MATRIZ_174!U175*100))),"")</f>
        <v/>
      </c>
      <c r="Y176" s="18">
        <f>IF(OR(MATRIZ_174!P175="ASOCIACION",MATRIZ_174!P175="PENDIENTE"),65,40)</f>
        <v>65</v>
      </c>
      <c r="Z176" s="19" t="str">
        <f t="shared" si="60"/>
        <v>—</v>
      </c>
      <c r="AA176" s="20">
        <f t="shared" si="61"/>
        <v>57.5</v>
      </c>
      <c r="AB176" s="21" t="str">
        <f t="shared" si="62"/>
        <v>—</v>
      </c>
      <c r="AC176" s="13" t="str">
        <f t="shared" si="63"/>
        <v>⬜  Pendiente de instrumento</v>
      </c>
      <c r="AD176" s="13" t="str">
        <f>IF(MATRIZ_174!U175="","",IF(MATRIZ_174!U175=0,"🚫  Inh. vigente OSCE",""))</f>
        <v/>
      </c>
      <c r="AE176" s="22">
        <f>IFERROR(MATRIZ_174!W175,0)</f>
        <v>1</v>
      </c>
      <c r="AF176" s="22" t="str">
        <f>IFERROR(MATRIZ_174!X175,0)</f>
        <v/>
      </c>
      <c r="AG176" s="22" t="str">
        <f>IFERROR(MATRIZ_174!Y175,0)</f>
        <v/>
      </c>
      <c r="AH176" s="22" t="str">
        <f>IFERROR(MATRIZ_174!Z175,0)</f>
        <v/>
      </c>
      <c r="AI176" s="17">
        <f>IFERROR(MATRIZ_174!AP175,"—")</f>
        <v>0.5</v>
      </c>
      <c r="AJ176" s="17" t="str">
        <f>IFERROR(MATRIZ_174!AO175,"N/A")</f>
        <v>N/A</v>
      </c>
      <c r="AK176" s="23" t="str">
        <f t="shared" si="64"/>
        <v>N/A</v>
      </c>
      <c r="AL176" s="24" t="str">
        <f t="shared" si="65"/>
        <v>—</v>
      </c>
      <c r="AM176" t="str">
        <f>IFERROR(MATRIZ_174!AT175,"")</f>
        <v>parcial · 2/7 · D12-D15 0/4</v>
      </c>
    </row>
    <row r="177" spans="1:39" ht="16.05" customHeight="1" x14ac:dyDescent="0.3">
      <c r="A177" s="13" t="s">
        <v>441</v>
      </c>
      <c r="B177" s="14" t="s">
        <v>442</v>
      </c>
      <c r="C177" s="13" t="s">
        <v>110</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t="str">
        <f t="shared" si="56"/>
        <v/>
      </c>
      <c r="R177" s="17" t="str">
        <f t="shared" si="57"/>
        <v/>
      </c>
      <c r="S177" s="17" t="str">
        <f t="shared" si="58"/>
        <v/>
      </c>
      <c r="T177" s="17" t="str">
        <f>IF(ISNUMBER(MATRIZ_174!O176),IFERROR((K177+M177+MATRIZ_174!O176*100)/3,0),"")</f>
        <v/>
      </c>
      <c r="U177" s="18">
        <f>IF(ISNUMBER(MATRIZ_174!M176),MIN(100,ROUND(MATRIZ_174!M176,1)),"")</f>
        <v>0</v>
      </c>
      <c r="V177" s="18">
        <f t="shared" si="59"/>
        <v>50</v>
      </c>
      <c r="W177" s="18">
        <f>IFERROR(IF(MATRIZ_174!R176=0,65,IF(MATRIZ_174!R176/MATRIZ_174!Q176&gt;=2,35,IF(MATRIZ_174!R176/MATRIZ_174!Q176&gt;=0.5,50,65))),65)</f>
        <v>65</v>
      </c>
      <c r="X177" s="18" t="str">
        <f>IF(ISNUMBER(MATRIZ_174!O176),MIN(100,IF(MATRIZ_174!O176=0,70,30)+IF(MATRIZ_174!U176="",0,0.3*(100-MATRIZ_174!U176*100))),"")</f>
        <v/>
      </c>
      <c r="Y177" s="18">
        <f>IF(OR(MATRIZ_174!P176="ASOCIACION",MATRIZ_174!P176="PENDIENTE"),65,40)</f>
        <v>65</v>
      </c>
      <c r="Z177" s="19" t="str">
        <f t="shared" si="60"/>
        <v>—</v>
      </c>
      <c r="AA177" s="20">
        <f t="shared" si="61"/>
        <v>45</v>
      </c>
      <c r="AB177" s="21" t="str">
        <f t="shared" si="62"/>
        <v>—</v>
      </c>
      <c r="AC177" s="13" t="str">
        <f t="shared" si="63"/>
        <v>⬜  Pendiente de instrumento</v>
      </c>
      <c r="AD177" s="13" t="str">
        <f>IF(MATRIZ_174!U176="","",IF(MATRIZ_174!U176=0,"🚫  Inh. vigente OSCE",""))</f>
        <v/>
      </c>
      <c r="AE177" s="22" t="str">
        <f>IFERROR(MATRIZ_174!W176,0)</f>
        <v/>
      </c>
      <c r="AF177" s="22" t="str">
        <f>IFERROR(MATRIZ_174!X176,0)</f>
        <v/>
      </c>
      <c r="AG177" s="22" t="str">
        <f>IFERROR(MATRIZ_174!Y176,0)</f>
        <v/>
      </c>
      <c r="AH177" s="22" t="str">
        <f>IFERROR(MATRIZ_174!Z176,0)</f>
        <v/>
      </c>
      <c r="AI177" s="17">
        <f>IFERROR(MATRIZ_174!AP176,"—")</f>
        <v>0</v>
      </c>
      <c r="AJ177" s="17" t="str">
        <f>IFERROR(MATRIZ_174!AO176,"N/A")</f>
        <v>N/A</v>
      </c>
      <c r="AK177" s="23" t="str">
        <f t="shared" si="64"/>
        <v>N/A</v>
      </c>
      <c r="AL177" s="24" t="str">
        <f t="shared" si="65"/>
        <v>—</v>
      </c>
      <c r="AM177" t="str">
        <f>IFERROR(MATRIZ_174!AT176,"")</f>
        <v>parcial · 1/7 · D12-D15 0/4</v>
      </c>
    </row>
    <row r="178" spans="1:39" ht="22.05" customHeight="1" x14ac:dyDescent="0.3">
      <c r="A178" s="72" t="s">
        <v>930</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56.687931034482752</v>
      </c>
      <c r="AB178" s="26" t="str">
        <f>IFERROR(AVERAGE(AB4:AB177),"—")</f>
        <v>—</v>
      </c>
      <c r="AC178" s="25" t="s">
        <v>931</v>
      </c>
      <c r="AD178" s="25"/>
      <c r="AE178" s="25"/>
      <c r="AF178" s="25"/>
      <c r="AG178" s="25"/>
      <c r="AH178" s="25"/>
      <c r="AI178" s="25"/>
      <c r="AJ178" s="25"/>
      <c r="AK178" s="25"/>
      <c r="AL178" s="26" t="str">
        <f>IFERROR(AVERAGE(AL4:AL177),"—")</f>
        <v>—</v>
      </c>
    </row>
    <row r="180" spans="1:39" ht="30" customHeight="1" x14ac:dyDescent="0.3">
      <c r="A180" s="75" t="s">
        <v>1071</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9" x14ac:dyDescent="0.3">
      <c r="A182" s="55" t="s">
        <v>1515</v>
      </c>
    </row>
    <row r="183" spans="1:39" x14ac:dyDescent="0.3">
      <c r="A183" t="s">
        <v>603</v>
      </c>
      <c r="B183">
        <f>COUNT(E$4:E$177)</f>
        <v>0</v>
      </c>
      <c r="C183" t="str">
        <f t="shared" ref="C183:C197" si="66">IF(B183=174,"completo",IF(B183=0,"pendiente","parcial"))</f>
        <v>pendiente</v>
      </c>
    </row>
    <row r="184" spans="1:39" x14ac:dyDescent="0.3">
      <c r="A184" t="s">
        <v>1072</v>
      </c>
      <c r="B184">
        <f>COUNT(F$4:F$177)</f>
        <v>0</v>
      </c>
      <c r="C184" t="str">
        <f t="shared" si="66"/>
        <v>pendiente</v>
      </c>
    </row>
    <row r="185" spans="1:39" x14ac:dyDescent="0.3">
      <c r="A185" t="s">
        <v>1516</v>
      </c>
      <c r="B185">
        <f>COUNT(G$4:G$177)</f>
        <v>174</v>
      </c>
      <c r="C185" t="str">
        <f t="shared" si="66"/>
        <v>completo</v>
      </c>
    </row>
    <row r="186" spans="1:39" x14ac:dyDescent="0.3">
      <c r="A186" t="s">
        <v>1073</v>
      </c>
      <c r="B186">
        <f>COUNT(H$4:H$177)</f>
        <v>0</v>
      </c>
      <c r="C186" t="str">
        <f t="shared" si="66"/>
        <v>pendiente</v>
      </c>
    </row>
    <row r="187" spans="1:39" x14ac:dyDescent="0.3">
      <c r="A187" t="s">
        <v>706</v>
      </c>
      <c r="B187">
        <f>COUNT(I$4:I$177)</f>
        <v>0</v>
      </c>
      <c r="C187" t="str">
        <f t="shared" si="66"/>
        <v>pendiente</v>
      </c>
    </row>
    <row r="188" spans="1:39" x14ac:dyDescent="0.3">
      <c r="A188" t="s">
        <v>1074</v>
      </c>
      <c r="B188">
        <f>COUNT(J$4:J$177)</f>
        <v>0</v>
      </c>
      <c r="C188" t="str">
        <f t="shared" si="66"/>
        <v>pendiente</v>
      </c>
    </row>
    <row r="189" spans="1:39" x14ac:dyDescent="0.3">
      <c r="A189" t="s">
        <v>1075</v>
      </c>
      <c r="B189">
        <f>COUNT(K$4:K$177)</f>
        <v>0</v>
      </c>
      <c r="C189" t="str">
        <f t="shared" si="66"/>
        <v>pendiente</v>
      </c>
    </row>
    <row r="190" spans="1:39" x14ac:dyDescent="0.3">
      <c r="A190" t="s">
        <v>905</v>
      </c>
      <c r="B190">
        <f>COUNT(L$4:L$177)</f>
        <v>0</v>
      </c>
      <c r="C190" t="str">
        <f t="shared" si="66"/>
        <v>pendiente</v>
      </c>
    </row>
    <row r="191" spans="1:39" x14ac:dyDescent="0.3">
      <c r="A191" t="s">
        <v>1076</v>
      </c>
      <c r="B191">
        <f>COUNT(M$4:M$177)</f>
        <v>0</v>
      </c>
      <c r="C191" t="str">
        <f t="shared" si="66"/>
        <v>pendiente</v>
      </c>
    </row>
    <row r="192" spans="1:39" x14ac:dyDescent="0.3">
      <c r="A192" t="s">
        <v>1077</v>
      </c>
      <c r="B192">
        <f>COUNT(N$4:N$177)</f>
        <v>0</v>
      </c>
      <c r="C192" t="str">
        <f t="shared" si="66"/>
        <v>pendiente</v>
      </c>
    </row>
    <row r="193" spans="1:3" x14ac:dyDescent="0.3">
      <c r="A193" t="s">
        <v>1078</v>
      </c>
      <c r="B193">
        <f>COUNT(O$4:O$177)</f>
        <v>0</v>
      </c>
      <c r="C193" t="str">
        <f t="shared" si="66"/>
        <v>pendiente</v>
      </c>
    </row>
    <row r="194" spans="1:3" x14ac:dyDescent="0.3">
      <c r="A194" t="s">
        <v>1082</v>
      </c>
      <c r="B194">
        <f>COUNT(NORMALIZADO!BV3:BV176)</f>
        <v>0</v>
      </c>
      <c r="C194" t="str">
        <f t="shared" si="66"/>
        <v>pendiente</v>
      </c>
    </row>
    <row r="195" spans="1:3" x14ac:dyDescent="0.3">
      <c r="A195" t="s">
        <v>1079</v>
      </c>
      <c r="B195">
        <f>COUNT(NORMALIZADO!BW3:BW176)</f>
        <v>0</v>
      </c>
      <c r="C195" t="str">
        <f t="shared" si="66"/>
        <v>pendiente</v>
      </c>
    </row>
    <row r="196" spans="1:3" x14ac:dyDescent="0.3">
      <c r="A196" t="s">
        <v>1080</v>
      </c>
      <c r="B196">
        <f>COUNT(NORMALIZADO!BX3:BX176)</f>
        <v>0</v>
      </c>
      <c r="C196" t="str">
        <f t="shared" si="66"/>
        <v>pendiente</v>
      </c>
    </row>
    <row r="197" spans="1:3" x14ac:dyDescent="0.3">
      <c r="A197" t="s">
        <v>1081</v>
      </c>
      <c r="B197">
        <f>COUNT(NORMALIZADO!BY3:BY176)</f>
        <v>0</v>
      </c>
      <c r="C197" t="str">
        <f t="shared" si="66"/>
        <v>pendiente</v>
      </c>
    </row>
    <row r="198" spans="1:3" x14ac:dyDescent="0.3">
      <c r="A198" t="s">
        <v>1517</v>
      </c>
      <c r="B198">
        <f>COUNT(AK4:AK177)</f>
        <v>0</v>
      </c>
      <c r="C198" t="str">
        <f>IF(B198=0,"pendiente",IF(B198=174,"completo","parcial"))</f>
        <v>pendiente</v>
      </c>
    </row>
    <row r="199" spans="1:3" x14ac:dyDescent="0.3">
      <c r="A199" t="s">
        <v>1518</v>
      </c>
      <c r="B199">
        <f>COUNT(Z4:Z177)</f>
        <v>0</v>
      </c>
      <c r="C199" t="str">
        <f>IF(B199=0,"pendiente",IF(B199=174,"completo","parcial"))</f>
        <v>pendiente</v>
      </c>
    </row>
    <row r="201" spans="1:3" x14ac:dyDescent="0.3">
      <c r="A201" t="s">
        <v>1087</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2"/>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932</v>
      </c>
      <c r="B1" s="65"/>
      <c r="C1" s="65"/>
      <c r="D1" s="65"/>
    </row>
    <row r="2" spans="1:4" x14ac:dyDescent="0.3">
      <c r="A2" s="65" t="s">
        <v>933</v>
      </c>
      <c r="B2" s="65"/>
      <c r="C2" s="65"/>
      <c r="D2" s="65"/>
    </row>
    <row r="3" spans="1:4" x14ac:dyDescent="0.3">
      <c r="A3" t="s">
        <v>934</v>
      </c>
      <c r="B3" t="s">
        <v>935</v>
      </c>
    </row>
    <row r="4" spans="1:4" x14ac:dyDescent="0.3">
      <c r="A4" t="s">
        <v>936</v>
      </c>
      <c r="B4" t="s">
        <v>937</v>
      </c>
    </row>
    <row r="5" spans="1:4" x14ac:dyDescent="0.3">
      <c r="A5" t="s">
        <v>938</v>
      </c>
      <c r="B5" t="s">
        <v>939</v>
      </c>
    </row>
    <row r="6" spans="1:4" x14ac:dyDescent="0.3">
      <c r="A6" t="s">
        <v>940</v>
      </c>
      <c r="B6" t="s">
        <v>941</v>
      </c>
    </row>
    <row r="7" spans="1:4" x14ac:dyDescent="0.3">
      <c r="A7" t="s">
        <v>942</v>
      </c>
      <c r="B7" t="s">
        <v>943</v>
      </c>
    </row>
    <row r="8" spans="1:4" x14ac:dyDescent="0.3">
      <c r="A8" t="s">
        <v>944</v>
      </c>
      <c r="B8" t="s">
        <v>945</v>
      </c>
    </row>
    <row r="10" spans="1:4" x14ac:dyDescent="0.3">
      <c r="A10" s="65" t="s">
        <v>946</v>
      </c>
      <c r="B10" s="65"/>
      <c r="C10" s="65"/>
      <c r="D10" s="65"/>
    </row>
    <row r="11" spans="1:4" x14ac:dyDescent="0.3">
      <c r="A11" t="s">
        <v>947</v>
      </c>
      <c r="B11" t="s">
        <v>948</v>
      </c>
      <c r="C11" t="s">
        <v>949</v>
      </c>
      <c r="D11" t="s">
        <v>950</v>
      </c>
    </row>
    <row r="12" spans="1:4" ht="18" customHeight="1" x14ac:dyDescent="0.3">
      <c r="A12" t="s">
        <v>951</v>
      </c>
      <c r="B12" t="s">
        <v>952</v>
      </c>
      <c r="C12" t="s">
        <v>953</v>
      </c>
      <c r="D12">
        <v>20</v>
      </c>
    </row>
    <row r="13" spans="1:4" ht="18" customHeight="1" x14ac:dyDescent="0.3">
      <c r="A13" t="s">
        <v>954</v>
      </c>
      <c r="B13" t="s">
        <v>955</v>
      </c>
      <c r="C13" t="s">
        <v>956</v>
      </c>
      <c r="D13">
        <v>16</v>
      </c>
    </row>
    <row r="14" spans="1:4" ht="18" customHeight="1" x14ac:dyDescent="0.3">
      <c r="A14" t="s">
        <v>957</v>
      </c>
      <c r="B14" t="s">
        <v>958</v>
      </c>
      <c r="C14" t="s">
        <v>959</v>
      </c>
      <c r="D14">
        <v>12</v>
      </c>
    </row>
    <row r="15" spans="1:4" ht="18" customHeight="1" x14ac:dyDescent="0.3">
      <c r="A15" t="s">
        <v>960</v>
      </c>
      <c r="B15" t="s">
        <v>961</v>
      </c>
      <c r="C15" t="s">
        <v>962</v>
      </c>
      <c r="D15">
        <v>8</v>
      </c>
    </row>
    <row r="16" spans="1:4" ht="18" customHeight="1" x14ac:dyDescent="0.3">
      <c r="A16" t="s">
        <v>963</v>
      </c>
      <c r="B16" t="s">
        <v>964</v>
      </c>
      <c r="C16" t="s">
        <v>965</v>
      </c>
      <c r="D16">
        <v>12</v>
      </c>
    </row>
    <row r="17" spans="1:4" ht="18" customHeight="1" x14ac:dyDescent="0.3">
      <c r="A17" t="s">
        <v>966</v>
      </c>
      <c r="B17" t="s">
        <v>967</v>
      </c>
      <c r="C17" t="s">
        <v>968</v>
      </c>
      <c r="D17">
        <v>8</v>
      </c>
    </row>
    <row r="18" spans="1:4" ht="18" customHeight="1" x14ac:dyDescent="0.3">
      <c r="A18" t="s">
        <v>969</v>
      </c>
      <c r="B18" t="s">
        <v>970</v>
      </c>
      <c r="C18" t="s">
        <v>971</v>
      </c>
      <c r="D18">
        <v>4</v>
      </c>
    </row>
    <row r="19" spans="1:4" ht="19.95" customHeight="1" x14ac:dyDescent="0.3">
      <c r="A19" t="s">
        <v>972</v>
      </c>
      <c r="B19" s="65" t="s">
        <v>973</v>
      </c>
      <c r="C19" s="65"/>
      <c r="D19">
        <v>20</v>
      </c>
    </row>
    <row r="20" spans="1:4" x14ac:dyDescent="0.3">
      <c r="A20" t="s">
        <v>974</v>
      </c>
      <c r="D20">
        <f>SUM(D12:D19)</f>
        <v>100</v>
      </c>
    </row>
    <row r="21" spans="1:4" x14ac:dyDescent="0.3">
      <c r="A21" s="65"/>
      <c r="B21" s="65"/>
      <c r="C21" s="65"/>
      <c r="D21" s="65"/>
    </row>
    <row r="22" spans="1:4" x14ac:dyDescent="0.3">
      <c r="A22" t="s">
        <v>975</v>
      </c>
    </row>
    <row r="23" spans="1:4" x14ac:dyDescent="0.3">
      <c r="A23" s="65"/>
      <c r="B23" s="65"/>
      <c r="C23" s="65"/>
      <c r="D23" s="65"/>
    </row>
    <row r="24" spans="1:4" x14ac:dyDescent="0.3">
      <c r="A24" s="77" t="s">
        <v>976</v>
      </c>
      <c r="B24" s="65"/>
      <c r="C24" s="65"/>
      <c r="D24" s="65"/>
    </row>
    <row r="25" spans="1:4" x14ac:dyDescent="0.3">
      <c r="A25" s="52" t="s">
        <v>977</v>
      </c>
    </row>
    <row r="26" spans="1:4" ht="43.2" customHeight="1" x14ac:dyDescent="0.3">
      <c r="A26" s="27" t="s">
        <v>978</v>
      </c>
      <c r="B26" s="27" t="s">
        <v>979</v>
      </c>
      <c r="C26" s="27" t="s">
        <v>980</v>
      </c>
    </row>
    <row r="27" spans="1:4" ht="43.2" customHeight="1" x14ac:dyDescent="0.3">
      <c r="A27" s="28" t="s">
        <v>981</v>
      </c>
      <c r="B27" s="29" t="s">
        <v>982</v>
      </c>
      <c r="C27" s="27" t="s">
        <v>983</v>
      </c>
    </row>
    <row r="28" spans="1:4" ht="28.8" customHeight="1" x14ac:dyDescent="0.3">
      <c r="A28" s="14"/>
      <c r="B28" s="14"/>
      <c r="C28" s="13"/>
    </row>
    <row r="29" spans="1:4" ht="43.2" customHeight="1" x14ac:dyDescent="0.3">
      <c r="A29" s="28" t="s">
        <v>984</v>
      </c>
      <c r="B29" s="29" t="s">
        <v>1523</v>
      </c>
      <c r="C29" s="27" t="s">
        <v>983</v>
      </c>
    </row>
    <row r="30" spans="1:4" ht="28.8" customHeight="1" x14ac:dyDescent="0.3">
      <c r="A30" s="14"/>
      <c r="B30" s="14"/>
      <c r="C30" s="13"/>
    </row>
    <row r="31" spans="1:4" ht="28.8" customHeight="1" x14ac:dyDescent="0.3">
      <c r="A31" s="28" t="s">
        <v>985</v>
      </c>
      <c r="B31" s="29" t="s">
        <v>986</v>
      </c>
      <c r="C31" s="27" t="s">
        <v>983</v>
      </c>
    </row>
    <row r="32" spans="1:4" x14ac:dyDescent="0.3">
      <c r="A32" s="14"/>
      <c r="B32" s="14"/>
      <c r="C32" s="13"/>
    </row>
    <row r="33" spans="1:3" ht="28.8" customHeight="1" x14ac:dyDescent="0.3">
      <c r="A33" s="30" t="s">
        <v>987</v>
      </c>
      <c r="B33" s="31" t="s">
        <v>988</v>
      </c>
      <c r="C33" s="32" t="s">
        <v>989</v>
      </c>
    </row>
    <row r="34" spans="1:3" ht="28.8" customHeight="1" x14ac:dyDescent="0.3">
      <c r="A34" s="33" t="s">
        <v>990</v>
      </c>
      <c r="B34" s="34" t="s">
        <v>991</v>
      </c>
      <c r="C34" s="35" t="s">
        <v>989</v>
      </c>
    </row>
    <row r="35" spans="1:3" ht="28.8" customHeight="1" x14ac:dyDescent="0.3">
      <c r="A35" s="30" t="s">
        <v>992</v>
      </c>
      <c r="B35" s="31" t="s">
        <v>993</v>
      </c>
      <c r="C35" s="32" t="s">
        <v>989</v>
      </c>
    </row>
    <row r="36" spans="1:3" ht="28.8" customHeight="1" x14ac:dyDescent="0.3">
      <c r="A36" s="33" t="s">
        <v>994</v>
      </c>
      <c r="B36" s="34" t="s">
        <v>995</v>
      </c>
      <c r="C36" s="35" t="s">
        <v>989</v>
      </c>
    </row>
    <row r="37" spans="1:3" ht="28.8" customHeight="1" x14ac:dyDescent="0.3">
      <c r="A37" s="30" t="s">
        <v>996</v>
      </c>
      <c r="B37" s="31" t="s">
        <v>997</v>
      </c>
      <c r="C37" s="32" t="s">
        <v>989</v>
      </c>
    </row>
    <row r="38" spans="1:3" ht="28.8" customHeight="1" x14ac:dyDescent="0.3">
      <c r="A38" s="33" t="s">
        <v>998</v>
      </c>
      <c r="B38" s="34" t="s">
        <v>999</v>
      </c>
      <c r="C38" s="35" t="s">
        <v>983</v>
      </c>
    </row>
    <row r="39" spans="1:3" ht="43.2" customHeight="1" x14ac:dyDescent="0.3">
      <c r="A39" s="14"/>
      <c r="B39" s="14"/>
      <c r="C39" s="13"/>
    </row>
    <row r="40" spans="1:3" ht="28.8" customHeight="1" x14ac:dyDescent="0.3">
      <c r="A40" s="33" t="s">
        <v>1000</v>
      </c>
      <c r="B40" s="34" t="s">
        <v>1001</v>
      </c>
      <c r="C40" s="35" t="s">
        <v>989</v>
      </c>
    </row>
    <row r="41" spans="1:3" ht="43.2" customHeight="1" x14ac:dyDescent="0.3">
      <c r="A41" s="30" t="s">
        <v>1002</v>
      </c>
      <c r="B41" s="31" t="s">
        <v>1003</v>
      </c>
      <c r="C41" s="32" t="s">
        <v>989</v>
      </c>
    </row>
    <row r="42" spans="1:3" ht="43.2" customHeight="1" x14ac:dyDescent="0.3">
      <c r="A42" s="33" t="s">
        <v>1004</v>
      </c>
      <c r="B42" s="34" t="s">
        <v>1005</v>
      </c>
      <c r="C42" s="35" t="s">
        <v>989</v>
      </c>
    </row>
    <row r="43" spans="1:3" ht="43.2" customHeight="1" x14ac:dyDescent="0.3">
      <c r="A43" s="30" t="s">
        <v>1006</v>
      </c>
      <c r="B43" s="31" t="s">
        <v>1069</v>
      </c>
      <c r="C43" s="32" t="s">
        <v>989</v>
      </c>
    </row>
    <row r="44" spans="1:3" ht="28.8" customHeight="1" x14ac:dyDescent="0.3">
      <c r="A44" s="33" t="s">
        <v>1007</v>
      </c>
      <c r="B44" s="34" t="s">
        <v>1008</v>
      </c>
      <c r="C44" s="35" t="s">
        <v>989</v>
      </c>
    </row>
    <row r="45" spans="1:3" ht="28.8" customHeight="1" x14ac:dyDescent="0.3">
      <c r="A45" s="30" t="s">
        <v>1009</v>
      </c>
      <c r="B45" s="31" t="s">
        <v>1010</v>
      </c>
      <c r="C45" s="32" t="s">
        <v>983</v>
      </c>
    </row>
    <row r="46" spans="1:3" x14ac:dyDescent="0.3">
      <c r="A46" s="14"/>
      <c r="B46" s="14"/>
      <c r="C46" s="13"/>
    </row>
    <row r="47" spans="1:3" ht="28.8" customHeight="1" x14ac:dyDescent="0.3">
      <c r="A47" s="30" t="s">
        <v>1011</v>
      </c>
      <c r="B47" s="31"/>
      <c r="C47" s="32" t="s">
        <v>496</v>
      </c>
    </row>
    <row r="48" spans="1:3" ht="28.8" customHeight="1" x14ac:dyDescent="0.3">
      <c r="A48" s="33" t="s">
        <v>1012</v>
      </c>
      <c r="B48" s="34" t="s">
        <v>1013</v>
      </c>
      <c r="C48" s="35" t="s">
        <v>1014</v>
      </c>
    </row>
    <row r="49" spans="1:4" x14ac:dyDescent="0.3">
      <c r="A49" t="s">
        <v>1015</v>
      </c>
      <c r="B49" t="s">
        <v>1068</v>
      </c>
    </row>
    <row r="50" spans="1:4" x14ac:dyDescent="0.3">
      <c r="A50" t="s">
        <v>1016</v>
      </c>
      <c r="B50" t="s">
        <v>1017</v>
      </c>
    </row>
    <row r="51" spans="1:4" x14ac:dyDescent="0.3">
      <c r="A51" t="s">
        <v>1018</v>
      </c>
      <c r="B51" t="s">
        <v>1019</v>
      </c>
    </row>
    <row r="53" spans="1:4" x14ac:dyDescent="0.3">
      <c r="A53" t="s">
        <v>1083</v>
      </c>
      <c r="B53" t="s">
        <v>1084</v>
      </c>
    </row>
    <row r="54" spans="1:4" x14ac:dyDescent="0.3">
      <c r="A54" s="55" t="s">
        <v>1521</v>
      </c>
    </row>
    <row r="55" spans="1:4" ht="374.4" x14ac:dyDescent="0.3">
      <c r="A55" s="56" t="s">
        <v>1522</v>
      </c>
    </row>
    <row r="56" spans="1:4" ht="16.05" customHeight="1" x14ac:dyDescent="0.3">
      <c r="A56" s="70" t="s">
        <v>1524</v>
      </c>
      <c r="B56" s="70"/>
      <c r="C56" s="70"/>
      <c r="D56" s="70"/>
    </row>
    <row r="57" spans="1:4" ht="46.05" customHeight="1" x14ac:dyDescent="0.3">
      <c r="A57" s="67" t="s">
        <v>1525</v>
      </c>
      <c r="B57" s="67"/>
      <c r="C57" s="67"/>
      <c r="D57" s="67"/>
    </row>
    <row r="58" spans="1:4" ht="16.05" customHeight="1" x14ac:dyDescent="0.3">
      <c r="A58" s="70" t="s">
        <v>1601</v>
      </c>
      <c r="B58" s="70"/>
      <c r="C58" s="70"/>
      <c r="D58" s="70"/>
    </row>
    <row r="59" spans="1:4" ht="46.05" customHeight="1" x14ac:dyDescent="0.3">
      <c r="A59" s="67" t="s">
        <v>1606</v>
      </c>
      <c r="B59" s="67"/>
      <c r="C59" s="67"/>
      <c r="D59" s="67"/>
    </row>
    <row r="61" spans="1:4" ht="16.05" customHeight="1" x14ac:dyDescent="0.3">
      <c r="A61" s="78" t="s">
        <v>1596</v>
      </c>
      <c r="B61" s="66"/>
      <c r="C61" s="66"/>
      <c r="D61" s="66"/>
    </row>
    <row r="62" spans="1:4" ht="78" customHeight="1" x14ac:dyDescent="0.3">
      <c r="A62" s="66" t="s">
        <v>1597</v>
      </c>
      <c r="B62" s="66"/>
      <c r="C62" s="66"/>
      <c r="D62" s="66"/>
    </row>
  </sheetData>
  <mergeCells count="13">
    <mergeCell ref="A61:D61"/>
    <mergeCell ref="A62:D62"/>
    <mergeCell ref="A56:D56"/>
    <mergeCell ref="A57:D57"/>
    <mergeCell ref="A58:D58"/>
    <mergeCell ref="A59:D59"/>
    <mergeCell ref="A1:D1"/>
    <mergeCell ref="A23:D23"/>
    <mergeCell ref="B19:C19"/>
    <mergeCell ref="A21:D21"/>
    <mergeCell ref="A24:D24"/>
    <mergeCell ref="A2:D2"/>
    <mergeCell ref="A10:D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186"/>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 min="46" max="46" width="27.77734375" customWidth="1"/>
  </cols>
  <sheetData>
    <row r="1" spans="1:46"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6"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1600</v>
      </c>
      <c r="U2" s="50" t="s">
        <v>40</v>
      </c>
      <c r="V2" s="50" t="s">
        <v>41</v>
      </c>
      <c r="W2" s="50" t="s">
        <v>42</v>
      </c>
      <c r="X2" s="50" t="s">
        <v>43</v>
      </c>
      <c r="Y2" s="50" t="s">
        <v>44</v>
      </c>
      <c r="Z2" s="50" t="s">
        <v>45</v>
      </c>
      <c r="AA2" s="50" t="s">
        <v>46</v>
      </c>
      <c r="AB2" s="50" t="s">
        <v>47</v>
      </c>
      <c r="AC2" s="50" t="s">
        <v>48</v>
      </c>
      <c r="AD2" s="50" t="s">
        <v>49</v>
      </c>
      <c r="AE2" s="50" t="s">
        <v>50</v>
      </c>
      <c r="AF2" s="50" t="s">
        <v>51</v>
      </c>
      <c r="AG2" s="50" t="s">
        <v>52</v>
      </c>
      <c r="AH2" s="50" t="s">
        <v>53</v>
      </c>
      <c r="AI2" s="50" t="s">
        <v>54</v>
      </c>
      <c r="AJ2" s="50" t="s">
        <v>55</v>
      </c>
      <c r="AK2" s="50" t="s">
        <v>56</v>
      </c>
      <c r="AL2" s="50" t="s">
        <v>57</v>
      </c>
      <c r="AM2" s="50" t="s">
        <v>58</v>
      </c>
      <c r="AN2" s="50" t="s">
        <v>59</v>
      </c>
      <c r="AO2" s="50" t="s">
        <v>1065</v>
      </c>
      <c r="AP2" s="50" t="s">
        <v>1598</v>
      </c>
      <c r="AQ2" s="50" t="s">
        <v>1599</v>
      </c>
      <c r="AR2" s="50" t="s">
        <v>1526</v>
      </c>
      <c r="AS2" s="50" t="s">
        <v>1527</v>
      </c>
      <c r="AT2" s="50" t="s">
        <v>1609</v>
      </c>
    </row>
    <row r="3" spans="1:46" ht="16.05" customHeight="1" x14ac:dyDescent="0.3">
      <c r="A3" t="s">
        <v>60</v>
      </c>
      <c r="B3" t="s">
        <v>61</v>
      </c>
      <c r="C3" t="s">
        <v>62</v>
      </c>
      <c r="D3" t="s">
        <v>63</v>
      </c>
      <c r="E3">
        <v>5107246.6199999992</v>
      </c>
      <c r="F3">
        <v>38</v>
      </c>
      <c r="G3" t="s">
        <v>64</v>
      </c>
      <c r="J3" t="s">
        <v>65</v>
      </c>
      <c r="L3">
        <v>2553623.31</v>
      </c>
      <c r="M3">
        <f>IF(E3&gt;0,ROUND(L3/E3*100,1),"")</f>
        <v>50</v>
      </c>
      <c r="N3" t="s">
        <v>66</v>
      </c>
      <c r="O3" t="str">
        <f>IF(AND(H3="",I3=""),"",IF(H3="SI",1,0)*0.6+IF(I3="SI",1,0)*0.4)</f>
        <v/>
      </c>
      <c r="P3" t="s">
        <v>66</v>
      </c>
      <c r="S3">
        <f t="shared" ref="S3:S34" si="0">IFERROR(ROUND(AP3*100,1),"—")</f>
        <v>50</v>
      </c>
      <c r="T3" t="str">
        <f>IF(NOT(ISNUMBER(S3)),"⬜  Sin dato PVE",IF(AND(COUNT(NORMALIZADO!BV3:BY3)&gt;=3,AQ3=7),IF(S3&lt;34,"🔴 Crítico",IF(S3&lt;67,"🟡 Vulnerable","🟢 Preparado")),"◐  Parcial · "&amp;AQ3&amp;"/7"))</f>
        <v>◐  Parcial · 2/7</v>
      </c>
      <c r="U3" s="53">
        <v>1</v>
      </c>
      <c r="V3" t="s">
        <v>67</v>
      </c>
      <c r="W3">
        <f>IF(NORMALIZADO!BV3="",1,NORMALIZADO!BV3)</f>
        <v>1</v>
      </c>
      <c r="X3" t="str">
        <f>IF(NORMALIZADO!BW3="","",NORMALIZADO!BW3)</f>
        <v/>
      </c>
      <c r="Y3" t="str">
        <f>IF(NORMALIZADO!BX3="","",NORMALIZADO!BX3)</f>
        <v/>
      </c>
      <c r="Z3" t="str">
        <f>IF(NORMALIZADO!BY3="","",NORMALIZADO!BY3)</f>
        <v/>
      </c>
      <c r="AO3" t="str">
        <f t="shared" ref="AO3:AO34" si="1">IFERROR(AVERAGE(AA3,AB3,AC3,AD3,AE3,AF3,AG3,AH3,AI3,AJ3,AK3,AL3,AM3,AN3),"N/A")</f>
        <v>N/A</v>
      </c>
      <c r="AP3">
        <f>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f>
        <v>0.5</v>
      </c>
      <c r="AQ3">
        <f>IF(ISNUMBER(M3),1,0)+IF(ISNUMBER(SCORECARDS!H3),1,0)+IF(ISNUMBER(SCORECARDS!I3),1,0)+IF(ISNUMBER(SCORECARDS!J3),1,0)+IF(ISNUMBER(ISCAM_Score!K4),1,0)+IF(ISNUMBER(O3),1,0)+IF(COUNT(W3:Z3)&gt;0,1,0)</f>
        <v>2</v>
      </c>
      <c r="AT3" t="str">
        <f>IF(NOT(ISNUMBER(AP3)),"sin dato",IF(AND(COUNT(NORMALIZADO!BV3:BY3)&gt;=3,AQ3=7),"completo","parcial · "&amp;AQ3&amp;"/7 · D12-D15 "&amp;COUNT(NORMALIZADO!BV3:BY3)&amp;"/4"))</f>
        <v>parcial · 2/7 · D12-D15 0/4</v>
      </c>
    </row>
    <row r="4" spans="1:46" ht="16.05" customHeight="1" x14ac:dyDescent="0.3">
      <c r="A4" t="s">
        <v>68</v>
      </c>
      <c r="B4" t="s">
        <v>69</v>
      </c>
      <c r="C4" t="s">
        <v>70</v>
      </c>
      <c r="D4" t="s">
        <v>71</v>
      </c>
      <c r="G4" t="s">
        <v>72</v>
      </c>
      <c r="J4" t="s">
        <v>65</v>
      </c>
      <c r="M4" t="str">
        <f t="shared" ref="M4:M67" si="2">IF(E4&gt;0,ROUND(L4/E4*100,1),"")</f>
        <v/>
      </c>
      <c r="N4" t="s">
        <v>66</v>
      </c>
      <c r="O4" t="str">
        <f t="shared" ref="O4:O67" si="3">IF(AND(H4="",I4=""),"",IF(H4="SI",1,0)*0.6+IF(I4="SI",1,0)*0.4)</f>
        <v/>
      </c>
      <c r="P4" t="s">
        <v>66</v>
      </c>
      <c r="S4" t="str">
        <f t="shared" si="0"/>
        <v>—</v>
      </c>
      <c r="T4" t="str">
        <f>IF(NOT(ISNUMBER(S4)),"⬜  Sin dato PVE",IF(AND(COUNT(NORMALIZADO!BV4:BY4)&gt;=3,AQ4=7),IF(S4&lt;34,"🔴 Crítico",IF(S4&lt;67,"🟡 Vulnerable","🟢 Preparado")),"◐  Parcial · "&amp;AQ4&amp;"/7"))</f>
        <v>⬜  Sin dato PVE</v>
      </c>
      <c r="U4" s="53">
        <v>1</v>
      </c>
      <c r="V4" t="s">
        <v>67</v>
      </c>
      <c r="W4" t="str">
        <f>IF(NORMALIZADO!BV4="","",NORMALIZADO!BV4)</f>
        <v/>
      </c>
      <c r="X4" t="str">
        <f>IF(NORMALIZADO!BW4="","",NORMALIZADO!BW4)</f>
        <v/>
      </c>
      <c r="Y4" t="str">
        <f>IF(NORMALIZADO!BX4="","",NORMALIZADO!BX4)</f>
        <v/>
      </c>
      <c r="Z4" t="str">
        <f>IF(NORMALIZADO!BY4="","",NORMALIZADO!BY4)</f>
        <v/>
      </c>
      <c r="AO4" t="str">
        <f t="shared" si="1"/>
        <v>N/A</v>
      </c>
      <c r="AP4" t="str">
        <f>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f>
        <v>—</v>
      </c>
      <c r="AQ4">
        <f>IF(ISNUMBER(M4),1,0)+IF(ISNUMBER(SCORECARDS!H4),1,0)+IF(ISNUMBER(SCORECARDS!I4),1,0)+IF(ISNUMBER(SCORECARDS!J4),1,0)+IF(ISNUMBER(ISCAM_Score!K5),1,0)+IF(ISNUMBER(O4),1,0)+IF(COUNT(W4:Z4)&gt;0,1,0)</f>
        <v>0</v>
      </c>
      <c r="AT4" t="str">
        <f>IF(NOT(ISNUMBER(AP4)),"sin dato",IF(AND(COUNT(NORMALIZADO!BV4:BY4)&gt;=3,AQ4=7),"completo","parcial · "&amp;AQ4&amp;"/7 · D12-D15 "&amp;COUNT(NORMALIZADO!BV4:BY4)&amp;"/4"))</f>
        <v>sin dato</v>
      </c>
    </row>
    <row r="5" spans="1:46" ht="16.05" customHeight="1" x14ac:dyDescent="0.3">
      <c r="A5" t="s">
        <v>73</v>
      </c>
      <c r="B5" t="s">
        <v>74</v>
      </c>
      <c r="C5" t="s">
        <v>75</v>
      </c>
      <c r="E5">
        <v>9603968.1199999992</v>
      </c>
      <c r="F5">
        <v>41</v>
      </c>
      <c r="G5" t="s">
        <v>64</v>
      </c>
      <c r="J5" t="s">
        <v>65</v>
      </c>
      <c r="L5">
        <v>4801984.0599999996</v>
      </c>
      <c r="M5">
        <f t="shared" si="2"/>
        <v>50</v>
      </c>
      <c r="N5" t="s">
        <v>66</v>
      </c>
      <c r="O5" t="str">
        <f t="shared" si="3"/>
        <v/>
      </c>
      <c r="P5" t="s">
        <v>66</v>
      </c>
      <c r="S5">
        <f t="shared" si="0"/>
        <v>50</v>
      </c>
      <c r="T5" t="str">
        <f>IF(NOT(ISNUMBER(S5)),"⬜  Sin dato PVE",IF(AND(COUNT(NORMALIZADO!BV5:BY5)&gt;=3,AQ5=7),IF(S5&lt;34,"🔴 Crítico",IF(S5&lt;67,"🟡 Vulnerable","🟢 Preparado")),"◐  Parcial · "&amp;AQ5&amp;"/7"))</f>
        <v>◐  Parcial · 2/7</v>
      </c>
      <c r="U5" s="53">
        <v>1</v>
      </c>
      <c r="V5" t="s">
        <v>67</v>
      </c>
      <c r="W5">
        <f>IF(NORMALIZADO!BV5="",1,NORMALIZADO!BV5)</f>
        <v>1</v>
      </c>
      <c r="X5" t="str">
        <f>IF(NORMALIZADO!BW5="","",NORMALIZADO!BW5)</f>
        <v/>
      </c>
      <c r="Y5" t="str">
        <f>IF(NORMALIZADO!BX5="","",NORMALIZADO!BX5)</f>
        <v/>
      </c>
      <c r="Z5" t="str">
        <f>IF(NORMALIZADO!BY5="","",NORMALIZADO!BY5)</f>
        <v/>
      </c>
      <c r="AO5" t="str">
        <f t="shared" si="1"/>
        <v>N/A</v>
      </c>
      <c r="AP5">
        <f>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f>
        <v>0.5</v>
      </c>
      <c r="AQ5">
        <f>IF(ISNUMBER(M5),1,0)+IF(ISNUMBER(SCORECARDS!H5),1,0)+IF(ISNUMBER(SCORECARDS!I5),1,0)+IF(ISNUMBER(SCORECARDS!J5),1,0)+IF(ISNUMBER(ISCAM_Score!K6),1,0)+IF(ISNUMBER(O5),1,0)+IF(COUNT(W5:Z5)&gt;0,1,0)</f>
        <v>2</v>
      </c>
      <c r="AT5" t="str">
        <f>IF(NOT(ISNUMBER(AP5)),"sin dato",IF(AND(COUNT(NORMALIZADO!BV5:BY5)&gt;=3,AQ5=7),"completo","parcial · "&amp;AQ5&amp;"/7 · D12-D15 "&amp;COUNT(NORMALIZADO!BV5:BY5)&amp;"/4"))</f>
        <v>parcial · 2/7 · D12-D15 0/4</v>
      </c>
    </row>
    <row r="6" spans="1:46" ht="16.05" customHeight="1" x14ac:dyDescent="0.3">
      <c r="A6" t="s">
        <v>76</v>
      </c>
      <c r="B6" t="s">
        <v>77</v>
      </c>
      <c r="C6" t="s">
        <v>78</v>
      </c>
      <c r="G6" t="s">
        <v>72</v>
      </c>
      <c r="H6" t="s">
        <v>64</v>
      </c>
      <c r="J6" t="s">
        <v>65</v>
      </c>
      <c r="M6" t="str">
        <f t="shared" si="2"/>
        <v/>
      </c>
      <c r="N6" t="s">
        <v>66</v>
      </c>
      <c r="O6">
        <f t="shared" si="3"/>
        <v>0.6</v>
      </c>
      <c r="P6" t="s">
        <v>66</v>
      </c>
      <c r="Q6">
        <v>44</v>
      </c>
      <c r="R6">
        <v>44</v>
      </c>
      <c r="S6">
        <f t="shared" si="0"/>
        <v>52.9</v>
      </c>
      <c r="T6" t="str">
        <f>IF(NOT(ISNUMBER(S6)),"⬜  Sin dato PVE",IF(AND(COUNT(NORMALIZADO!BV6:BY6)&gt;=3,AQ6=7),IF(S6&lt;34,"🔴 Crítico",IF(S6&lt;67,"🟡 Vulnerable","🟢 Preparado")),"◐  Parcial · "&amp;AQ6&amp;"/7"))</f>
        <v>◐  Parcial · 2/7</v>
      </c>
      <c r="U6" s="53">
        <v>1</v>
      </c>
      <c r="V6" t="s">
        <v>67</v>
      </c>
      <c r="W6">
        <f>IF(NORMALIZADO!BV6="",1,NORMALIZADO!BV6)</f>
        <v>1</v>
      </c>
      <c r="X6" t="str">
        <f>IF(NORMALIZADO!BW6="","",NORMALIZADO!BW6)</f>
        <v/>
      </c>
      <c r="Y6" t="str">
        <f>IF(NORMALIZADO!BX6="","",NORMALIZADO!BX6)</f>
        <v/>
      </c>
      <c r="Z6" t="str">
        <f>IF(NORMALIZADO!BY6="","",NORMALIZADO!BY6)</f>
        <v/>
      </c>
      <c r="AO6" t="str">
        <f t="shared" si="1"/>
        <v>N/A</v>
      </c>
      <c r="AP6">
        <f>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f>
        <v>0.52857142857142858</v>
      </c>
      <c r="AQ6">
        <f>IF(ISNUMBER(M6),1,0)+IF(ISNUMBER(SCORECARDS!H6),1,0)+IF(ISNUMBER(SCORECARDS!I6),1,0)+IF(ISNUMBER(SCORECARDS!J6),1,0)+IF(ISNUMBER(ISCAM_Score!K7),1,0)+IF(ISNUMBER(O6),1,0)+IF(COUNT(W6:Z6)&gt;0,1,0)</f>
        <v>2</v>
      </c>
      <c r="AR6" t="s">
        <v>1528</v>
      </c>
      <c r="AS6" t="s">
        <v>1529</v>
      </c>
      <c r="AT6" t="str">
        <f>IF(NOT(ISNUMBER(AP6)),"sin dato",IF(AND(COUNT(NORMALIZADO!BV6:BY6)&gt;=3,AQ6=7),"completo","parcial · "&amp;AQ6&amp;"/7 · D12-D15 "&amp;COUNT(NORMALIZADO!BV6:BY6)&amp;"/4"))</f>
        <v>parcial · 2/7 · D12-D15 0/4</v>
      </c>
    </row>
    <row r="7" spans="1:46" ht="16.05" customHeight="1" x14ac:dyDescent="0.3">
      <c r="A7" t="s">
        <v>79</v>
      </c>
      <c r="B7" t="s">
        <v>80</v>
      </c>
      <c r="C7" t="s">
        <v>78</v>
      </c>
      <c r="D7" t="s">
        <v>63</v>
      </c>
      <c r="G7" t="s">
        <v>72</v>
      </c>
      <c r="H7" t="s">
        <v>64</v>
      </c>
      <c r="I7" t="s">
        <v>64</v>
      </c>
      <c r="J7" t="s">
        <v>65</v>
      </c>
      <c r="K7" t="s">
        <v>81</v>
      </c>
      <c r="M7" t="str">
        <f t="shared" si="2"/>
        <v/>
      </c>
      <c r="N7" t="s">
        <v>66</v>
      </c>
      <c r="O7">
        <f t="shared" si="3"/>
        <v>1</v>
      </c>
      <c r="P7" t="s">
        <v>66</v>
      </c>
      <c r="Q7">
        <v>100</v>
      </c>
      <c r="R7">
        <v>218</v>
      </c>
      <c r="S7">
        <f t="shared" si="0"/>
        <v>64.3</v>
      </c>
      <c r="T7" t="str">
        <f>IF(NOT(ISNUMBER(S7)),"⬜  Sin dato PVE",IF(AND(COUNT(NORMALIZADO!BV7:BY7)&gt;=3,AQ7=7),IF(S7&lt;34,"🔴 Crítico",IF(S7&lt;67,"🟡 Vulnerable","🟢 Preparado")),"◐  Parcial · "&amp;AQ7&amp;"/7"))</f>
        <v>◐  Parcial · 2/7</v>
      </c>
      <c r="U7" s="53">
        <v>1</v>
      </c>
      <c r="V7" t="s">
        <v>67</v>
      </c>
      <c r="W7">
        <f>IF(NORMALIZADO!BV7="",1,NORMALIZADO!BV7)</f>
        <v>1</v>
      </c>
      <c r="X7" t="str">
        <f>IF(NORMALIZADO!BW7="","",NORMALIZADO!BW7)</f>
        <v/>
      </c>
      <c r="Y7" t="str">
        <f>IF(NORMALIZADO!BX7="","",NORMALIZADO!BX7)</f>
        <v/>
      </c>
      <c r="Z7" t="str">
        <f>IF(NORMALIZADO!BY7="","",NORMALIZADO!BY7)</f>
        <v/>
      </c>
      <c r="AO7" t="str">
        <f t="shared" si="1"/>
        <v>N/A</v>
      </c>
      <c r="AP7">
        <f>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f>
        <v>0.6428571428571429</v>
      </c>
      <c r="AQ7">
        <f>IF(ISNUMBER(M7),1,0)+IF(ISNUMBER(SCORECARDS!H7),1,0)+IF(ISNUMBER(SCORECARDS!I7),1,0)+IF(ISNUMBER(SCORECARDS!J7),1,0)+IF(ISNUMBER(ISCAM_Score!K8),1,0)+IF(ISNUMBER(O7),1,0)+IF(COUNT(W7:Z7)&gt;0,1,0)</f>
        <v>2</v>
      </c>
      <c r="AR7" t="s">
        <v>1530</v>
      </c>
      <c r="AT7" t="str">
        <f>IF(NOT(ISNUMBER(AP7)),"sin dato",IF(AND(COUNT(NORMALIZADO!BV7:BY7)&gt;=3,AQ7=7),"completo","parcial · "&amp;AQ7&amp;"/7 · D12-D15 "&amp;COUNT(NORMALIZADO!BV7:BY7)&amp;"/4"))</f>
        <v>parcial · 2/7 · D12-D15 0/4</v>
      </c>
    </row>
    <row r="8" spans="1:46" ht="16.05" customHeight="1" x14ac:dyDescent="0.3">
      <c r="A8" t="s">
        <v>82</v>
      </c>
      <c r="B8" t="s">
        <v>83</v>
      </c>
      <c r="C8" t="s">
        <v>78</v>
      </c>
      <c r="D8" t="s">
        <v>63</v>
      </c>
      <c r="E8">
        <v>2477083.5</v>
      </c>
      <c r="F8">
        <v>14</v>
      </c>
      <c r="G8" t="s">
        <v>64</v>
      </c>
      <c r="J8" t="s">
        <v>65</v>
      </c>
      <c r="L8">
        <v>1238541.75</v>
      </c>
      <c r="M8">
        <f t="shared" si="2"/>
        <v>50</v>
      </c>
      <c r="N8" t="s">
        <v>66</v>
      </c>
      <c r="O8" t="str">
        <f t="shared" si="3"/>
        <v/>
      </c>
      <c r="P8" t="s">
        <v>66</v>
      </c>
      <c r="S8">
        <f t="shared" si="0"/>
        <v>50</v>
      </c>
      <c r="T8" t="str">
        <f>IF(NOT(ISNUMBER(S8)),"⬜  Sin dato PVE",IF(AND(COUNT(NORMALIZADO!BV8:BY8)&gt;=3,AQ8=7),IF(S8&lt;34,"🔴 Crítico",IF(S8&lt;67,"🟡 Vulnerable","🟢 Preparado")),"◐  Parcial · "&amp;AQ8&amp;"/7"))</f>
        <v>◐  Parcial · 2/7</v>
      </c>
      <c r="U8" s="53">
        <v>1</v>
      </c>
      <c r="V8" t="s">
        <v>67</v>
      </c>
      <c r="W8">
        <f>IF(NORMALIZADO!BV8="",1,NORMALIZADO!BV8)</f>
        <v>1</v>
      </c>
      <c r="X8" t="str">
        <f>IF(NORMALIZADO!BW8="","",NORMALIZADO!BW8)</f>
        <v/>
      </c>
      <c r="Y8" t="str">
        <f>IF(NORMALIZADO!BX8="","",NORMALIZADO!BX8)</f>
        <v/>
      </c>
      <c r="Z8" t="str">
        <f>IF(NORMALIZADO!BY8="","",NORMALIZADO!BY8)</f>
        <v/>
      </c>
      <c r="AO8" t="str">
        <f t="shared" si="1"/>
        <v>N/A</v>
      </c>
      <c r="AP8">
        <f>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f>
        <v>0.5</v>
      </c>
      <c r="AQ8">
        <f>IF(ISNUMBER(M8),1,0)+IF(ISNUMBER(SCORECARDS!H8),1,0)+IF(ISNUMBER(SCORECARDS!I8),1,0)+IF(ISNUMBER(SCORECARDS!J8),1,0)+IF(ISNUMBER(ISCAM_Score!K9),1,0)+IF(ISNUMBER(O8),1,0)+IF(COUNT(W8:Z8)&gt;0,1,0)</f>
        <v>2</v>
      </c>
      <c r="AT8" t="str">
        <f>IF(NOT(ISNUMBER(AP8)),"sin dato",IF(AND(COUNT(NORMALIZADO!BV8:BY8)&gt;=3,AQ8=7),"completo","parcial · "&amp;AQ8&amp;"/7 · D12-D15 "&amp;COUNT(NORMALIZADO!BV8:BY8)&amp;"/4"))</f>
        <v>parcial · 2/7 · D12-D15 0/4</v>
      </c>
    </row>
    <row r="9" spans="1:46" ht="16.05" customHeight="1" x14ac:dyDescent="0.3">
      <c r="A9" t="s">
        <v>84</v>
      </c>
      <c r="B9" t="s">
        <v>85</v>
      </c>
      <c r="C9" t="s">
        <v>78</v>
      </c>
      <c r="D9" t="s">
        <v>63</v>
      </c>
      <c r="E9">
        <v>1689820.33</v>
      </c>
      <c r="F9">
        <v>5</v>
      </c>
      <c r="G9" t="s">
        <v>64</v>
      </c>
      <c r="J9" t="s">
        <v>65</v>
      </c>
      <c r="L9">
        <v>0</v>
      </c>
      <c r="M9">
        <f t="shared" si="2"/>
        <v>0</v>
      </c>
      <c r="N9" t="s">
        <v>66</v>
      </c>
      <c r="O9" t="str">
        <f t="shared" si="3"/>
        <v/>
      </c>
      <c r="P9" t="s">
        <v>66</v>
      </c>
      <c r="S9">
        <f t="shared" si="0"/>
        <v>0</v>
      </c>
      <c r="T9" t="str">
        <f>IF(NOT(ISNUMBER(S9)),"⬜  Sin dato PVE",IF(AND(COUNT(NORMALIZADO!BV9:BY9)&gt;=3,AQ9=7),IF(S9&lt;34,"🔴 Crítico",IF(S9&lt;67,"🟡 Vulnerable","🟢 Preparado")),"◐  Parcial · "&amp;AQ9&amp;"/7"))</f>
        <v>◐  Parcial · 1/7</v>
      </c>
      <c r="U9" s="53">
        <v>1</v>
      </c>
      <c r="V9" t="s">
        <v>67</v>
      </c>
      <c r="W9" t="str">
        <f>IF(NORMALIZADO!BV9="","",NORMALIZADO!BV9)</f>
        <v/>
      </c>
      <c r="X9" t="str">
        <f>IF(NORMALIZADO!BW9="","",NORMALIZADO!BW9)</f>
        <v/>
      </c>
      <c r="Y9" t="str">
        <f>IF(NORMALIZADO!BX9="","",NORMALIZADO!BX9)</f>
        <v/>
      </c>
      <c r="Z9" t="str">
        <f>IF(NORMALIZADO!BY9="","",NORMALIZADO!BY9)</f>
        <v/>
      </c>
      <c r="AO9" t="str">
        <f t="shared" si="1"/>
        <v>N/A</v>
      </c>
      <c r="AP9">
        <f>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f>
        <v>0</v>
      </c>
      <c r="AQ9">
        <f>IF(ISNUMBER(M9),1,0)+IF(ISNUMBER(SCORECARDS!H9),1,0)+IF(ISNUMBER(SCORECARDS!I9),1,0)+IF(ISNUMBER(SCORECARDS!J9),1,0)+IF(ISNUMBER(ISCAM_Score!K10),1,0)+IF(ISNUMBER(O9),1,0)+IF(COUNT(W9:Z9)&gt;0,1,0)</f>
        <v>1</v>
      </c>
      <c r="AT9" t="str">
        <f>IF(NOT(ISNUMBER(AP9)),"sin dato",IF(AND(COUNT(NORMALIZADO!BV9:BY9)&gt;=3,AQ9=7),"completo","parcial · "&amp;AQ9&amp;"/7 · D12-D15 "&amp;COUNT(NORMALIZADO!BV9:BY9)&amp;"/4"))</f>
        <v>parcial · 1/7 · D12-D15 0/4</v>
      </c>
    </row>
    <row r="10" spans="1:46" ht="16.05" customHeight="1" x14ac:dyDescent="0.3">
      <c r="A10" t="s">
        <v>86</v>
      </c>
      <c r="B10" t="s">
        <v>87</v>
      </c>
      <c r="C10" t="s">
        <v>78</v>
      </c>
      <c r="D10" t="s">
        <v>63</v>
      </c>
      <c r="G10" t="s">
        <v>72</v>
      </c>
      <c r="H10" t="s">
        <v>64</v>
      </c>
      <c r="I10" t="s">
        <v>64</v>
      </c>
      <c r="J10" t="s">
        <v>65</v>
      </c>
      <c r="K10" t="s">
        <v>81</v>
      </c>
      <c r="M10" t="str">
        <f t="shared" si="2"/>
        <v/>
      </c>
      <c r="N10" t="s">
        <v>66</v>
      </c>
      <c r="O10">
        <f t="shared" si="3"/>
        <v>1</v>
      </c>
      <c r="P10" t="s">
        <v>66</v>
      </c>
      <c r="Q10">
        <v>177</v>
      </c>
      <c r="R10">
        <v>469</v>
      </c>
      <c r="S10">
        <f t="shared" si="0"/>
        <v>64.3</v>
      </c>
      <c r="T10" t="str">
        <f>IF(NOT(ISNUMBER(S10)),"⬜  Sin dato PVE",IF(AND(COUNT(NORMALIZADO!BV10:BY10)&gt;=3,AQ10=7),IF(S10&lt;34,"🔴 Crítico",IF(S10&lt;67,"🟡 Vulnerable","🟢 Preparado")),"◐  Parcial · "&amp;AQ10&amp;"/7"))</f>
        <v>◐  Parcial · 2/7</v>
      </c>
      <c r="U10" s="53">
        <v>1</v>
      </c>
      <c r="V10" t="s">
        <v>67</v>
      </c>
      <c r="W10">
        <f>IF(NORMALIZADO!BV10="",1,NORMALIZADO!BV10)</f>
        <v>1</v>
      </c>
      <c r="X10" t="str">
        <f>IF(NORMALIZADO!BW10="","",NORMALIZADO!BW10)</f>
        <v/>
      </c>
      <c r="Y10" t="str">
        <f>IF(NORMALIZADO!BX10="","",NORMALIZADO!BX10)</f>
        <v/>
      </c>
      <c r="Z10" t="str">
        <f>IF(NORMALIZADO!BY10="","",NORMALIZADO!BY10)</f>
        <v/>
      </c>
      <c r="AO10" t="str">
        <f t="shared" si="1"/>
        <v>N/A</v>
      </c>
      <c r="AP10">
        <f>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f>
        <v>0.6428571428571429</v>
      </c>
      <c r="AQ10">
        <f>IF(ISNUMBER(M10),1,0)+IF(ISNUMBER(SCORECARDS!H10),1,0)+IF(ISNUMBER(SCORECARDS!I10),1,0)+IF(ISNUMBER(SCORECARDS!J10),1,0)+IF(ISNUMBER(ISCAM_Score!K11),1,0)+IF(ISNUMBER(O10),1,0)+IF(COUNT(W10:Z10)&gt;0,1,0)</f>
        <v>2</v>
      </c>
      <c r="AR10" t="s">
        <v>1531</v>
      </c>
      <c r="AS10" t="s">
        <v>1532</v>
      </c>
      <c r="AT10" t="str">
        <f>IF(NOT(ISNUMBER(AP10)),"sin dato",IF(AND(COUNT(NORMALIZADO!BV10:BY10)&gt;=3,AQ10=7),"completo","parcial · "&amp;AQ10&amp;"/7 · D12-D15 "&amp;COUNT(NORMALIZADO!BV10:BY10)&amp;"/4"))</f>
        <v>parcial · 2/7 · D12-D15 0/4</v>
      </c>
    </row>
    <row r="11" spans="1:46" ht="16.05" customHeight="1" x14ac:dyDescent="0.3">
      <c r="A11" t="s">
        <v>88</v>
      </c>
      <c r="B11" t="s">
        <v>89</v>
      </c>
      <c r="C11" t="s">
        <v>78</v>
      </c>
      <c r="D11" t="s">
        <v>63</v>
      </c>
      <c r="E11">
        <v>681394.36</v>
      </c>
      <c r="F11">
        <v>6</v>
      </c>
      <c r="G11" t="s">
        <v>64</v>
      </c>
      <c r="J11" t="s">
        <v>65</v>
      </c>
      <c r="L11">
        <v>0</v>
      </c>
      <c r="M11">
        <f t="shared" si="2"/>
        <v>0</v>
      </c>
      <c r="N11" t="s">
        <v>66</v>
      </c>
      <c r="O11" t="str">
        <f t="shared" si="3"/>
        <v/>
      </c>
      <c r="P11" t="s">
        <v>66</v>
      </c>
      <c r="S11">
        <f t="shared" si="0"/>
        <v>0</v>
      </c>
      <c r="T11" t="str">
        <f>IF(NOT(ISNUMBER(S11)),"⬜  Sin dato PVE",IF(AND(COUNT(NORMALIZADO!BV11:BY11)&gt;=3,AQ11=7),IF(S11&lt;34,"🔴 Crítico",IF(S11&lt;67,"🟡 Vulnerable","🟢 Preparado")),"◐  Parcial · "&amp;AQ11&amp;"/7"))</f>
        <v>◐  Parcial · 1/7</v>
      </c>
      <c r="U11" s="53">
        <v>1</v>
      </c>
      <c r="V11" t="s">
        <v>67</v>
      </c>
      <c r="W11" t="str">
        <f>IF(NORMALIZADO!BV11="","",NORMALIZADO!BV11)</f>
        <v/>
      </c>
      <c r="X11" t="str">
        <f>IF(NORMALIZADO!BW11="","",NORMALIZADO!BW11)</f>
        <v/>
      </c>
      <c r="Y11" t="str">
        <f>IF(NORMALIZADO!BX11="","",NORMALIZADO!BX11)</f>
        <v/>
      </c>
      <c r="Z11" t="str">
        <f>IF(NORMALIZADO!BY11="","",NORMALIZADO!BY11)</f>
        <v/>
      </c>
      <c r="AO11" t="str">
        <f t="shared" si="1"/>
        <v>N/A</v>
      </c>
      <c r="AP11">
        <f>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f>
        <v>0</v>
      </c>
      <c r="AQ11">
        <f>IF(ISNUMBER(M11),1,0)+IF(ISNUMBER(SCORECARDS!H11),1,0)+IF(ISNUMBER(SCORECARDS!I11),1,0)+IF(ISNUMBER(SCORECARDS!J11),1,0)+IF(ISNUMBER(ISCAM_Score!K12),1,0)+IF(ISNUMBER(O11),1,0)+IF(COUNT(W11:Z11)&gt;0,1,0)</f>
        <v>1</v>
      </c>
      <c r="AT11" t="str">
        <f>IF(NOT(ISNUMBER(AP11)),"sin dato",IF(AND(COUNT(NORMALIZADO!BV11:BY11)&gt;=3,AQ11=7),"completo","parcial · "&amp;AQ11&amp;"/7 · D12-D15 "&amp;COUNT(NORMALIZADO!BV11:BY11)&amp;"/4"))</f>
        <v>parcial · 1/7 · D12-D15 0/4</v>
      </c>
    </row>
    <row r="12" spans="1:46" ht="16.05" customHeight="1" x14ac:dyDescent="0.3">
      <c r="A12" t="s">
        <v>90</v>
      </c>
      <c r="B12" t="s">
        <v>91</v>
      </c>
      <c r="C12" t="s">
        <v>78</v>
      </c>
      <c r="D12" t="s">
        <v>63</v>
      </c>
      <c r="E12">
        <v>4445611.5999999978</v>
      </c>
      <c r="F12">
        <v>33</v>
      </c>
      <c r="G12" t="s">
        <v>64</v>
      </c>
      <c r="H12" t="s">
        <v>64</v>
      </c>
      <c r="I12" t="s">
        <v>64</v>
      </c>
      <c r="J12" t="s">
        <v>65</v>
      </c>
      <c r="K12" t="s">
        <v>81</v>
      </c>
      <c r="L12">
        <v>894391.27</v>
      </c>
      <c r="M12">
        <f t="shared" si="2"/>
        <v>20.100000000000001</v>
      </c>
      <c r="N12" t="s">
        <v>66</v>
      </c>
      <c r="O12">
        <f t="shared" si="3"/>
        <v>1</v>
      </c>
      <c r="P12" t="s">
        <v>66</v>
      </c>
      <c r="Q12">
        <v>660</v>
      </c>
      <c r="R12">
        <v>1670</v>
      </c>
      <c r="S12">
        <f t="shared" si="0"/>
        <v>45.9</v>
      </c>
      <c r="T12" t="str">
        <f>IF(NOT(ISNUMBER(S12)),"⬜  Sin dato PVE",IF(AND(COUNT(NORMALIZADO!BV12:BY12)&gt;=3,AQ12=7),IF(S12&lt;34,"🔴 Crítico",IF(S12&lt;67,"🟡 Vulnerable","🟢 Preparado")),"◐  Parcial · "&amp;AQ12&amp;"/7"))</f>
        <v>◐  Parcial · 3/7</v>
      </c>
      <c r="U12" s="54">
        <v>0.75</v>
      </c>
      <c r="V12" t="s">
        <v>92</v>
      </c>
      <c r="W12">
        <f>IF(NORMALIZADO!BV12="",1,NORMALIZADO!BV12)</f>
        <v>1</v>
      </c>
      <c r="X12" t="str">
        <f>IF(NORMALIZADO!BW12="","",NORMALIZADO!BW12)</f>
        <v/>
      </c>
      <c r="Y12" t="str">
        <f>IF(NORMALIZADO!BX12="","",NORMALIZADO!BX12)</f>
        <v/>
      </c>
      <c r="Z12" t="str">
        <f>IF(NORMALIZADO!BY12="","",NORMALIZADO!BY12)</f>
        <v/>
      </c>
      <c r="AO12" t="str">
        <f t="shared" si="1"/>
        <v>N/A</v>
      </c>
      <c r="AP12">
        <f>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f>
        <v>0.45874999999999999</v>
      </c>
      <c r="AQ12">
        <f>IF(ISNUMBER(M12),1,0)+IF(ISNUMBER(SCORECARDS!H12),1,0)+IF(ISNUMBER(SCORECARDS!I12),1,0)+IF(ISNUMBER(SCORECARDS!J12),1,0)+IF(ISNUMBER(ISCAM_Score!K13),1,0)+IF(ISNUMBER(O12),1,0)+IF(COUNT(W12:Z12)&gt;0,1,0)</f>
        <v>3</v>
      </c>
      <c r="AR12" t="s">
        <v>1533</v>
      </c>
      <c r="AS12" t="s">
        <v>1534</v>
      </c>
      <c r="AT12" t="str">
        <f>IF(NOT(ISNUMBER(AP12)),"sin dato",IF(AND(COUNT(NORMALIZADO!BV12:BY12)&gt;=3,AQ12=7),"completo","parcial · "&amp;AQ12&amp;"/7 · D12-D15 "&amp;COUNT(NORMALIZADO!BV12:BY12)&amp;"/4"))</f>
        <v>parcial · 3/7 · D12-D15 0/4</v>
      </c>
    </row>
    <row r="13" spans="1:46" ht="16.05" customHeight="1" x14ac:dyDescent="0.3">
      <c r="A13" t="s">
        <v>93</v>
      </c>
      <c r="B13" t="s">
        <v>94</v>
      </c>
      <c r="C13" t="s">
        <v>78</v>
      </c>
      <c r="D13" t="s">
        <v>63</v>
      </c>
      <c r="G13" t="s">
        <v>72</v>
      </c>
      <c r="H13" t="s">
        <v>64</v>
      </c>
      <c r="I13" t="s">
        <v>72</v>
      </c>
      <c r="J13" t="s">
        <v>65</v>
      </c>
      <c r="K13" t="s">
        <v>81</v>
      </c>
      <c r="M13" t="str">
        <f t="shared" si="2"/>
        <v/>
      </c>
      <c r="N13" t="s">
        <v>66</v>
      </c>
      <c r="O13">
        <f t="shared" si="3"/>
        <v>0.6</v>
      </c>
      <c r="P13" t="s">
        <v>66</v>
      </c>
      <c r="Q13">
        <v>49</v>
      </c>
      <c r="R13">
        <v>136.9</v>
      </c>
      <c r="S13">
        <f t="shared" si="0"/>
        <v>52.9</v>
      </c>
      <c r="T13" t="str">
        <f>IF(NOT(ISNUMBER(S13)),"⬜  Sin dato PVE",IF(AND(COUNT(NORMALIZADO!BV13:BY13)&gt;=3,AQ13=7),IF(S13&lt;34,"🔴 Crítico",IF(S13&lt;67,"🟡 Vulnerable","🟢 Preparado")),"◐  Parcial · "&amp;AQ13&amp;"/7"))</f>
        <v>◐  Parcial · 2/7</v>
      </c>
      <c r="U13" s="53">
        <v>1</v>
      </c>
      <c r="V13" t="s">
        <v>67</v>
      </c>
      <c r="W13">
        <f>IF(NORMALIZADO!BV13="",1,NORMALIZADO!BV13)</f>
        <v>1</v>
      </c>
      <c r="X13" t="str">
        <f>IF(NORMALIZADO!BW13="","",NORMALIZADO!BW13)</f>
        <v/>
      </c>
      <c r="Y13" t="str">
        <f>IF(NORMALIZADO!BX13="","",NORMALIZADO!BX13)</f>
        <v/>
      </c>
      <c r="Z13" t="str">
        <f>IF(NORMALIZADO!BY13="","",NORMALIZADO!BY13)</f>
        <v/>
      </c>
      <c r="AO13" t="str">
        <f t="shared" si="1"/>
        <v>N/A</v>
      </c>
      <c r="AP13">
        <f>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f>
        <v>0.52857142857142858</v>
      </c>
      <c r="AQ13">
        <f>IF(ISNUMBER(M13),1,0)+IF(ISNUMBER(SCORECARDS!H13),1,0)+IF(ISNUMBER(SCORECARDS!I13),1,0)+IF(ISNUMBER(SCORECARDS!J13),1,0)+IF(ISNUMBER(ISCAM_Score!K14),1,0)+IF(ISNUMBER(O13),1,0)+IF(COUNT(W13:Z13)&gt;0,1,0)</f>
        <v>2</v>
      </c>
      <c r="AR13" t="s">
        <v>1535</v>
      </c>
      <c r="AS13" t="s">
        <v>1536</v>
      </c>
      <c r="AT13" t="str">
        <f>IF(NOT(ISNUMBER(AP13)),"sin dato",IF(AND(COUNT(NORMALIZADO!BV13:BY13)&gt;=3,AQ13=7),"completo","parcial · "&amp;AQ13&amp;"/7 · D12-D15 "&amp;COUNT(NORMALIZADO!BV13:BY13)&amp;"/4"))</f>
        <v>parcial · 2/7 · D12-D15 0/4</v>
      </c>
    </row>
    <row r="14" spans="1:46" ht="16.05" customHeight="1" x14ac:dyDescent="0.3">
      <c r="A14" t="s">
        <v>95</v>
      </c>
      <c r="B14" t="s">
        <v>96</v>
      </c>
      <c r="C14" t="s">
        <v>70</v>
      </c>
      <c r="D14" t="s">
        <v>71</v>
      </c>
      <c r="E14">
        <v>4030694.66</v>
      </c>
      <c r="F14">
        <v>14</v>
      </c>
      <c r="G14" t="s">
        <v>64</v>
      </c>
      <c r="J14" t="s">
        <v>65</v>
      </c>
      <c r="L14">
        <v>2015347.33</v>
      </c>
      <c r="M14">
        <f t="shared" si="2"/>
        <v>50</v>
      </c>
      <c r="N14" t="s">
        <v>66</v>
      </c>
      <c r="O14" t="str">
        <f t="shared" si="3"/>
        <v/>
      </c>
      <c r="P14" t="s">
        <v>66</v>
      </c>
      <c r="S14">
        <f t="shared" si="0"/>
        <v>50</v>
      </c>
      <c r="T14" t="str">
        <f>IF(NOT(ISNUMBER(S14)),"⬜  Sin dato PVE",IF(AND(COUNT(NORMALIZADO!BV14:BY14)&gt;=3,AQ14=7),IF(S14&lt;34,"🔴 Crítico",IF(S14&lt;67,"🟡 Vulnerable","🟢 Preparado")),"◐  Parcial · "&amp;AQ14&amp;"/7"))</f>
        <v>◐  Parcial · 2/7</v>
      </c>
      <c r="U14" s="53">
        <v>1</v>
      </c>
      <c r="V14" t="s">
        <v>67</v>
      </c>
      <c r="W14">
        <f>IF(NORMALIZADO!BV14="",1,NORMALIZADO!BV14)</f>
        <v>1</v>
      </c>
      <c r="X14" t="str">
        <f>IF(NORMALIZADO!BW14="","",NORMALIZADO!BW14)</f>
        <v/>
      </c>
      <c r="Y14" t="str">
        <f>IF(NORMALIZADO!BX14="","",NORMALIZADO!BX14)</f>
        <v/>
      </c>
      <c r="Z14" t="str">
        <f>IF(NORMALIZADO!BY14="","",NORMALIZADO!BY14)</f>
        <v/>
      </c>
      <c r="AO14" t="str">
        <f t="shared" si="1"/>
        <v>N/A</v>
      </c>
      <c r="AP14">
        <f>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f>
        <v>0.5</v>
      </c>
      <c r="AQ14">
        <f>IF(ISNUMBER(M14),1,0)+IF(ISNUMBER(SCORECARDS!H14),1,0)+IF(ISNUMBER(SCORECARDS!I14),1,0)+IF(ISNUMBER(SCORECARDS!J14),1,0)+IF(ISNUMBER(ISCAM_Score!K15),1,0)+IF(ISNUMBER(O14),1,0)+IF(COUNT(W14:Z14)&gt;0,1,0)</f>
        <v>2</v>
      </c>
      <c r="AT14" t="str">
        <f>IF(NOT(ISNUMBER(AP14)),"sin dato",IF(AND(COUNT(NORMALIZADO!BV14:BY14)&gt;=3,AQ14=7),"completo","parcial · "&amp;AQ14&amp;"/7 · D12-D15 "&amp;COUNT(NORMALIZADO!BV14:BY14)&amp;"/4"))</f>
        <v>parcial · 2/7 · D12-D15 0/4</v>
      </c>
    </row>
    <row r="15" spans="1:46" ht="16.05" customHeight="1" x14ac:dyDescent="0.3">
      <c r="A15" t="s">
        <v>97</v>
      </c>
      <c r="B15" t="s">
        <v>98</v>
      </c>
      <c r="C15" t="s">
        <v>62</v>
      </c>
      <c r="D15" t="s">
        <v>63</v>
      </c>
      <c r="G15" t="s">
        <v>72</v>
      </c>
      <c r="J15" t="s">
        <v>65</v>
      </c>
      <c r="M15" t="str">
        <f t="shared" si="2"/>
        <v/>
      </c>
      <c r="N15" t="s">
        <v>66</v>
      </c>
      <c r="O15" t="str">
        <f t="shared" si="3"/>
        <v/>
      </c>
      <c r="P15" t="s">
        <v>66</v>
      </c>
      <c r="S15" t="str">
        <f t="shared" si="0"/>
        <v>—</v>
      </c>
      <c r="T15" t="str">
        <f>IF(NOT(ISNUMBER(S15)),"⬜  Sin dato PVE",IF(AND(COUNT(NORMALIZADO!BV15:BY15)&gt;=3,AQ15=7),IF(S15&lt;34,"🔴 Crítico",IF(S15&lt;67,"🟡 Vulnerable","🟢 Preparado")),"◐  Parcial · "&amp;AQ15&amp;"/7"))</f>
        <v>⬜  Sin dato PVE</v>
      </c>
      <c r="U15" s="53">
        <v>1</v>
      </c>
      <c r="V15" t="s">
        <v>67</v>
      </c>
      <c r="W15" t="str">
        <f>IF(NORMALIZADO!BV15="","",NORMALIZADO!BV15)</f>
        <v/>
      </c>
      <c r="X15" t="str">
        <f>IF(NORMALIZADO!BW15="","",NORMALIZADO!BW15)</f>
        <v/>
      </c>
      <c r="Y15" t="str">
        <f>IF(NORMALIZADO!BX15="","",NORMALIZADO!BX15)</f>
        <v/>
      </c>
      <c r="Z15" t="str">
        <f>IF(NORMALIZADO!BY15="","",NORMALIZADO!BY15)</f>
        <v/>
      </c>
      <c r="AO15" t="str">
        <f t="shared" si="1"/>
        <v>N/A</v>
      </c>
      <c r="AP15" t="str">
        <f>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f>
        <v>—</v>
      </c>
      <c r="AQ15">
        <f>IF(ISNUMBER(M15),1,0)+IF(ISNUMBER(SCORECARDS!H15),1,0)+IF(ISNUMBER(SCORECARDS!I15),1,0)+IF(ISNUMBER(SCORECARDS!J15),1,0)+IF(ISNUMBER(ISCAM_Score!K16),1,0)+IF(ISNUMBER(O15),1,0)+IF(COUNT(W15:Z15)&gt;0,1,0)</f>
        <v>0</v>
      </c>
      <c r="AT15" t="str">
        <f>IF(NOT(ISNUMBER(AP15)),"sin dato",IF(AND(COUNT(NORMALIZADO!BV15:BY15)&gt;=3,AQ15=7),"completo","parcial · "&amp;AQ15&amp;"/7 · D12-D15 "&amp;COUNT(NORMALIZADO!BV15:BY15)&amp;"/4"))</f>
        <v>sin dato</v>
      </c>
    </row>
    <row r="16" spans="1:46" ht="16.05" customHeight="1" x14ac:dyDescent="0.3">
      <c r="A16" t="s">
        <v>99</v>
      </c>
      <c r="B16" t="s">
        <v>100</v>
      </c>
      <c r="C16" t="s">
        <v>101</v>
      </c>
      <c r="D16" t="s">
        <v>63</v>
      </c>
      <c r="G16" t="s">
        <v>72</v>
      </c>
      <c r="J16" t="s">
        <v>65</v>
      </c>
      <c r="M16" t="str">
        <f t="shared" si="2"/>
        <v/>
      </c>
      <c r="N16" t="s">
        <v>66</v>
      </c>
      <c r="O16" t="str">
        <f t="shared" si="3"/>
        <v/>
      </c>
      <c r="P16" t="s">
        <v>66</v>
      </c>
      <c r="S16" t="str">
        <f t="shared" si="0"/>
        <v>—</v>
      </c>
      <c r="T16" t="str">
        <f>IF(NOT(ISNUMBER(S16)),"⬜  Sin dato PVE",IF(AND(COUNT(NORMALIZADO!BV16:BY16)&gt;=3,AQ16=7),IF(S16&lt;34,"🔴 Crítico",IF(S16&lt;67,"🟡 Vulnerable","🟢 Preparado")),"◐  Parcial · "&amp;AQ16&amp;"/7"))</f>
        <v>⬜  Sin dato PVE</v>
      </c>
      <c r="U16" s="53">
        <v>1</v>
      </c>
      <c r="V16" t="s">
        <v>67</v>
      </c>
      <c r="W16" t="str">
        <f>IF(NORMALIZADO!BV16="","",NORMALIZADO!BV16)</f>
        <v/>
      </c>
      <c r="X16" t="str">
        <f>IF(NORMALIZADO!BW16="","",NORMALIZADO!BW16)</f>
        <v/>
      </c>
      <c r="Y16" t="str">
        <f>IF(NORMALIZADO!BX16="","",NORMALIZADO!BX16)</f>
        <v/>
      </c>
      <c r="Z16" t="str">
        <f>IF(NORMALIZADO!BY16="","",NORMALIZADO!BY16)</f>
        <v/>
      </c>
      <c r="AO16" t="str">
        <f t="shared" si="1"/>
        <v>N/A</v>
      </c>
      <c r="AP16" t="str">
        <f>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f>
        <v>—</v>
      </c>
      <c r="AQ16">
        <f>IF(ISNUMBER(M16),1,0)+IF(ISNUMBER(SCORECARDS!H16),1,0)+IF(ISNUMBER(SCORECARDS!I16),1,0)+IF(ISNUMBER(SCORECARDS!J16),1,0)+IF(ISNUMBER(ISCAM_Score!K17),1,0)+IF(ISNUMBER(O16),1,0)+IF(COUNT(W16:Z16)&gt;0,1,0)</f>
        <v>0</v>
      </c>
      <c r="AT16" t="str">
        <f>IF(NOT(ISNUMBER(AP16)),"sin dato",IF(AND(COUNT(NORMALIZADO!BV16:BY16)&gt;=3,AQ16=7),"completo","parcial · "&amp;AQ16&amp;"/7 · D12-D15 "&amp;COUNT(NORMALIZADO!BV16:BY16)&amp;"/4"))</f>
        <v>sin dato</v>
      </c>
    </row>
    <row r="17" spans="1:46" ht="16.05" customHeight="1" x14ac:dyDescent="0.3">
      <c r="A17" t="s">
        <v>102</v>
      </c>
      <c r="B17" t="s">
        <v>103</v>
      </c>
      <c r="C17" t="s">
        <v>78</v>
      </c>
      <c r="G17" t="s">
        <v>72</v>
      </c>
      <c r="H17" t="s">
        <v>64</v>
      </c>
      <c r="J17" t="s">
        <v>104</v>
      </c>
      <c r="M17" t="str">
        <f t="shared" si="2"/>
        <v/>
      </c>
      <c r="N17" t="s">
        <v>66</v>
      </c>
      <c r="O17">
        <f t="shared" si="3"/>
        <v>0.6</v>
      </c>
      <c r="P17" t="s">
        <v>66</v>
      </c>
      <c r="Q17">
        <v>74</v>
      </c>
      <c r="R17">
        <v>150</v>
      </c>
      <c r="S17">
        <f t="shared" si="0"/>
        <v>52.9</v>
      </c>
      <c r="T17" t="str">
        <f>IF(NOT(ISNUMBER(S17)),"⬜  Sin dato PVE",IF(AND(COUNT(NORMALIZADO!BV17:BY17)&gt;=3,AQ17=7),IF(S17&lt;34,"🔴 Crítico",IF(S17&lt;67,"🟡 Vulnerable","🟢 Preparado")),"◐  Parcial · "&amp;AQ17&amp;"/7"))</f>
        <v>◐  Parcial · 2/7</v>
      </c>
      <c r="U17" s="53">
        <v>1</v>
      </c>
      <c r="V17" t="s">
        <v>67</v>
      </c>
      <c r="W17">
        <f>IF(NORMALIZADO!BV17="",1,NORMALIZADO!BV17)</f>
        <v>1</v>
      </c>
      <c r="X17" t="str">
        <f>IF(NORMALIZADO!BW17="","",NORMALIZADO!BW17)</f>
        <v/>
      </c>
      <c r="Y17" t="str">
        <f>IF(NORMALIZADO!BX17="","",NORMALIZADO!BX17)</f>
        <v/>
      </c>
      <c r="Z17" t="str">
        <f>IF(NORMALIZADO!BY17="","",NORMALIZADO!BY17)</f>
        <v/>
      </c>
      <c r="AO17" t="str">
        <f t="shared" si="1"/>
        <v>N/A</v>
      </c>
      <c r="AP17">
        <f>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f>
        <v>0.52857142857142858</v>
      </c>
      <c r="AQ17">
        <f>IF(ISNUMBER(M17),1,0)+IF(ISNUMBER(SCORECARDS!H17),1,0)+IF(ISNUMBER(SCORECARDS!I17),1,0)+IF(ISNUMBER(SCORECARDS!J17),1,0)+IF(ISNUMBER(ISCAM_Score!K18),1,0)+IF(ISNUMBER(O17),1,0)+IF(COUNT(W17:Z17)&gt;0,1,0)</f>
        <v>2</v>
      </c>
      <c r="AR17" t="s">
        <v>1528</v>
      </c>
      <c r="AS17" t="s">
        <v>1529</v>
      </c>
      <c r="AT17" t="str">
        <f>IF(NOT(ISNUMBER(AP17)),"sin dato",IF(AND(COUNT(NORMALIZADO!BV17:BY17)&gt;=3,AQ17=7),"completo","parcial · "&amp;AQ17&amp;"/7 · D12-D15 "&amp;COUNT(NORMALIZADO!BV17:BY17)&amp;"/4"))</f>
        <v>parcial · 2/7 · D12-D15 0/4</v>
      </c>
    </row>
    <row r="18" spans="1:46" ht="16.05" customHeight="1" x14ac:dyDescent="0.3">
      <c r="A18" t="s">
        <v>105</v>
      </c>
      <c r="B18" t="s">
        <v>106</v>
      </c>
      <c r="C18" t="s">
        <v>107</v>
      </c>
      <c r="D18" t="s">
        <v>71</v>
      </c>
      <c r="G18" t="s">
        <v>72</v>
      </c>
      <c r="J18" t="s">
        <v>65</v>
      </c>
      <c r="M18" t="str">
        <f t="shared" si="2"/>
        <v/>
      </c>
      <c r="N18" t="s">
        <v>66</v>
      </c>
      <c r="O18" t="str">
        <f t="shared" si="3"/>
        <v/>
      </c>
      <c r="P18" t="s">
        <v>66</v>
      </c>
      <c r="S18" t="str">
        <f t="shared" si="0"/>
        <v>—</v>
      </c>
      <c r="T18" t="str">
        <f>IF(NOT(ISNUMBER(S18)),"⬜  Sin dato PVE",IF(AND(COUNT(NORMALIZADO!BV18:BY18)&gt;=3,AQ18=7),IF(S18&lt;34,"🔴 Crítico",IF(S18&lt;67,"🟡 Vulnerable","🟢 Preparado")),"◐  Parcial · "&amp;AQ18&amp;"/7"))</f>
        <v>⬜  Sin dato PVE</v>
      </c>
      <c r="U18" s="53">
        <v>1</v>
      </c>
      <c r="V18" t="s">
        <v>67</v>
      </c>
      <c r="W18" t="str">
        <f>IF(NORMALIZADO!BV18="","",NORMALIZADO!BV18)</f>
        <v/>
      </c>
      <c r="X18" t="str">
        <f>IF(NORMALIZADO!BW18="","",NORMALIZADO!BW18)</f>
        <v/>
      </c>
      <c r="Y18" t="str">
        <f>IF(NORMALIZADO!BX18="","",NORMALIZADO!BX18)</f>
        <v/>
      </c>
      <c r="Z18" t="str">
        <f>IF(NORMALIZADO!BY18="","",NORMALIZADO!BY18)</f>
        <v/>
      </c>
      <c r="AO18" t="str">
        <f t="shared" si="1"/>
        <v>N/A</v>
      </c>
      <c r="AP18" t="str">
        <f>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f>
        <v>—</v>
      </c>
      <c r="AQ18">
        <f>IF(ISNUMBER(M18),1,0)+IF(ISNUMBER(SCORECARDS!H18),1,0)+IF(ISNUMBER(SCORECARDS!I18),1,0)+IF(ISNUMBER(SCORECARDS!J18),1,0)+IF(ISNUMBER(ISCAM_Score!K19),1,0)+IF(ISNUMBER(O18),1,0)+IF(COUNT(W18:Z18)&gt;0,1,0)</f>
        <v>0</v>
      </c>
      <c r="AT18" t="str">
        <f>IF(NOT(ISNUMBER(AP18)),"sin dato",IF(AND(COUNT(NORMALIZADO!BV18:BY18)&gt;=3,AQ18=7),"completo","parcial · "&amp;AQ18&amp;"/7 · D12-D15 "&amp;COUNT(NORMALIZADO!BV18:BY18)&amp;"/4"))</f>
        <v>sin dato</v>
      </c>
    </row>
    <row r="19" spans="1:46" ht="16.05" customHeight="1" x14ac:dyDescent="0.3">
      <c r="A19" t="s">
        <v>108</v>
      </c>
      <c r="B19" t="s">
        <v>109</v>
      </c>
      <c r="C19" t="s">
        <v>110</v>
      </c>
      <c r="D19" t="s">
        <v>63</v>
      </c>
      <c r="E19">
        <v>9070756.8800000008</v>
      </c>
      <c r="F19">
        <v>41</v>
      </c>
      <c r="G19" t="s">
        <v>64</v>
      </c>
      <c r="J19" t="s">
        <v>65</v>
      </c>
      <c r="L19">
        <v>4535378.4400000004</v>
      </c>
      <c r="M19">
        <f t="shared" si="2"/>
        <v>50</v>
      </c>
      <c r="N19" t="s">
        <v>66</v>
      </c>
      <c r="O19" t="str">
        <f t="shared" si="3"/>
        <v/>
      </c>
      <c r="P19" t="s">
        <v>66</v>
      </c>
      <c r="S19">
        <f t="shared" si="0"/>
        <v>50</v>
      </c>
      <c r="T19" t="str">
        <f>IF(NOT(ISNUMBER(S19)),"⬜  Sin dato PVE",IF(AND(COUNT(NORMALIZADO!BV19:BY19)&gt;=3,AQ19=7),IF(S19&lt;34,"🔴 Crítico",IF(S19&lt;67,"🟡 Vulnerable","🟢 Preparado")),"◐  Parcial · "&amp;AQ19&amp;"/7"))</f>
        <v>◐  Parcial · 2/7</v>
      </c>
      <c r="U19" s="53">
        <v>1</v>
      </c>
      <c r="V19" t="s">
        <v>67</v>
      </c>
      <c r="W19">
        <f>IF(NORMALIZADO!BV19="",1,NORMALIZADO!BV19)</f>
        <v>1</v>
      </c>
      <c r="X19" t="str">
        <f>IF(NORMALIZADO!BW19="","",NORMALIZADO!BW19)</f>
        <v/>
      </c>
      <c r="Y19" t="str">
        <f>IF(NORMALIZADO!BX19="","",NORMALIZADO!BX19)</f>
        <v/>
      </c>
      <c r="Z19" t="str">
        <f>IF(NORMALIZADO!BY19="","",NORMALIZADO!BY19)</f>
        <v/>
      </c>
      <c r="AO19" t="str">
        <f t="shared" si="1"/>
        <v>N/A</v>
      </c>
      <c r="AP19">
        <f>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f>
        <v>0.5</v>
      </c>
      <c r="AQ19">
        <f>IF(ISNUMBER(M19),1,0)+IF(ISNUMBER(SCORECARDS!H19),1,0)+IF(ISNUMBER(SCORECARDS!I19),1,0)+IF(ISNUMBER(SCORECARDS!J19),1,0)+IF(ISNUMBER(ISCAM_Score!K20),1,0)+IF(ISNUMBER(O19),1,0)+IF(COUNT(W19:Z19)&gt;0,1,0)</f>
        <v>2</v>
      </c>
      <c r="AT19" t="str">
        <f>IF(NOT(ISNUMBER(AP19)),"sin dato",IF(AND(COUNT(NORMALIZADO!BV19:BY19)&gt;=3,AQ19=7),"completo","parcial · "&amp;AQ19&amp;"/7 · D12-D15 "&amp;COUNT(NORMALIZADO!BV19:BY19)&amp;"/4"))</f>
        <v>parcial · 2/7 · D12-D15 0/4</v>
      </c>
    </row>
    <row r="20" spans="1:46" ht="16.05" customHeight="1" x14ac:dyDescent="0.3">
      <c r="A20" t="s">
        <v>111</v>
      </c>
      <c r="B20" t="s">
        <v>112</v>
      </c>
      <c r="C20" t="s">
        <v>78</v>
      </c>
      <c r="G20" t="s">
        <v>72</v>
      </c>
      <c r="H20" t="s">
        <v>64</v>
      </c>
      <c r="J20" t="s">
        <v>65</v>
      </c>
      <c r="M20" t="str">
        <f t="shared" si="2"/>
        <v/>
      </c>
      <c r="N20" t="s">
        <v>66</v>
      </c>
      <c r="O20">
        <f t="shared" si="3"/>
        <v>0.6</v>
      </c>
      <c r="P20" t="s">
        <v>66</v>
      </c>
      <c r="Q20">
        <v>36</v>
      </c>
      <c r="R20">
        <v>38</v>
      </c>
      <c r="S20">
        <f t="shared" si="0"/>
        <v>52.9</v>
      </c>
      <c r="T20" t="str">
        <f>IF(NOT(ISNUMBER(S20)),"⬜  Sin dato PVE",IF(AND(COUNT(NORMALIZADO!BV20:BY20)&gt;=3,AQ20=7),IF(S20&lt;34,"🔴 Crítico",IF(S20&lt;67,"🟡 Vulnerable","🟢 Preparado")),"◐  Parcial · "&amp;AQ20&amp;"/7"))</f>
        <v>◐  Parcial · 2/7</v>
      </c>
      <c r="U20" s="53">
        <v>1</v>
      </c>
      <c r="V20" t="s">
        <v>67</v>
      </c>
      <c r="W20">
        <f>IF(NORMALIZADO!BV20="",1,NORMALIZADO!BV20)</f>
        <v>1</v>
      </c>
      <c r="X20" t="str">
        <f>IF(NORMALIZADO!BW20="","",NORMALIZADO!BW20)</f>
        <v/>
      </c>
      <c r="Y20" t="str">
        <f>IF(NORMALIZADO!BX20="","",NORMALIZADO!BX20)</f>
        <v/>
      </c>
      <c r="Z20" t="str">
        <f>IF(NORMALIZADO!BY20="","",NORMALIZADO!BY20)</f>
        <v/>
      </c>
      <c r="AO20" t="str">
        <f t="shared" si="1"/>
        <v>N/A</v>
      </c>
      <c r="AP20">
        <f>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f>
        <v>0.52857142857142858</v>
      </c>
      <c r="AQ20">
        <f>IF(ISNUMBER(M20),1,0)+IF(ISNUMBER(SCORECARDS!H20),1,0)+IF(ISNUMBER(SCORECARDS!I20),1,0)+IF(ISNUMBER(SCORECARDS!J20),1,0)+IF(ISNUMBER(ISCAM_Score!K21),1,0)+IF(ISNUMBER(O20),1,0)+IF(COUNT(W20:Z20)&gt;0,1,0)</f>
        <v>2</v>
      </c>
      <c r="AR20" t="s">
        <v>1528</v>
      </c>
      <c r="AS20" t="s">
        <v>1529</v>
      </c>
      <c r="AT20" t="str">
        <f>IF(NOT(ISNUMBER(AP20)),"sin dato",IF(AND(COUNT(NORMALIZADO!BV20:BY20)&gt;=3,AQ20=7),"completo","parcial · "&amp;AQ20&amp;"/7 · D12-D15 "&amp;COUNT(NORMALIZADO!BV20:BY20)&amp;"/4"))</f>
        <v>parcial · 2/7 · D12-D15 0/4</v>
      </c>
    </row>
    <row r="21" spans="1:46" ht="16.05" customHeight="1" x14ac:dyDescent="0.3">
      <c r="A21" t="s">
        <v>113</v>
      </c>
      <c r="B21" t="s">
        <v>114</v>
      </c>
      <c r="C21" t="s">
        <v>107</v>
      </c>
      <c r="D21" t="s">
        <v>71</v>
      </c>
      <c r="G21" t="s">
        <v>72</v>
      </c>
      <c r="J21" t="s">
        <v>104</v>
      </c>
      <c r="M21" t="str">
        <f t="shared" si="2"/>
        <v/>
      </c>
      <c r="N21" t="s">
        <v>66</v>
      </c>
      <c r="O21" t="str">
        <f t="shared" si="3"/>
        <v/>
      </c>
      <c r="P21" t="s">
        <v>66</v>
      </c>
      <c r="S21" t="str">
        <f t="shared" si="0"/>
        <v>—</v>
      </c>
      <c r="T21" t="str">
        <f>IF(NOT(ISNUMBER(S21)),"⬜  Sin dato PVE",IF(AND(COUNT(NORMALIZADO!BV21:BY21)&gt;=3,AQ21=7),IF(S21&lt;34,"🔴 Crítico",IF(S21&lt;67,"🟡 Vulnerable","🟢 Preparado")),"◐  Parcial · "&amp;AQ21&amp;"/7"))</f>
        <v>⬜  Sin dato PVE</v>
      </c>
      <c r="U21" s="53">
        <v>1</v>
      </c>
      <c r="V21" t="s">
        <v>67</v>
      </c>
      <c r="W21" t="str">
        <f>IF(NORMALIZADO!BV21="","",NORMALIZADO!BV21)</f>
        <v/>
      </c>
      <c r="X21" t="str">
        <f>IF(NORMALIZADO!BW21="","",NORMALIZADO!BW21)</f>
        <v/>
      </c>
      <c r="Y21" t="str">
        <f>IF(NORMALIZADO!BX21="","",NORMALIZADO!BX21)</f>
        <v/>
      </c>
      <c r="Z21" t="str">
        <f>IF(NORMALIZADO!BY21="","",NORMALIZADO!BY21)</f>
        <v/>
      </c>
      <c r="AO21" t="str">
        <f t="shared" si="1"/>
        <v>N/A</v>
      </c>
      <c r="AP21" t="str">
        <f>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f>
        <v>—</v>
      </c>
      <c r="AQ21">
        <f>IF(ISNUMBER(M21),1,0)+IF(ISNUMBER(SCORECARDS!H21),1,0)+IF(ISNUMBER(SCORECARDS!I21),1,0)+IF(ISNUMBER(SCORECARDS!J21),1,0)+IF(ISNUMBER(ISCAM_Score!K22),1,0)+IF(ISNUMBER(O21),1,0)+IF(COUNT(W21:Z21)&gt;0,1,0)</f>
        <v>0</v>
      </c>
      <c r="AT21" t="str">
        <f>IF(NOT(ISNUMBER(AP21)),"sin dato",IF(AND(COUNT(NORMALIZADO!BV21:BY21)&gt;=3,AQ21=7),"completo","parcial · "&amp;AQ21&amp;"/7 · D12-D15 "&amp;COUNT(NORMALIZADO!BV21:BY21)&amp;"/4"))</f>
        <v>sin dato</v>
      </c>
    </row>
    <row r="22" spans="1:46" ht="16.05" customHeight="1" x14ac:dyDescent="0.3">
      <c r="A22" t="s">
        <v>115</v>
      </c>
      <c r="B22" t="s">
        <v>116</v>
      </c>
      <c r="C22" t="s">
        <v>117</v>
      </c>
      <c r="D22" t="s">
        <v>63</v>
      </c>
      <c r="G22" t="s">
        <v>72</v>
      </c>
      <c r="J22" t="s">
        <v>65</v>
      </c>
      <c r="M22" t="str">
        <f t="shared" si="2"/>
        <v/>
      </c>
      <c r="N22" t="s">
        <v>66</v>
      </c>
      <c r="O22" t="str">
        <f t="shared" si="3"/>
        <v/>
      </c>
      <c r="P22" t="s">
        <v>66</v>
      </c>
      <c r="S22" t="str">
        <f t="shared" si="0"/>
        <v>—</v>
      </c>
      <c r="T22" t="str">
        <f>IF(NOT(ISNUMBER(S22)),"⬜  Sin dato PVE",IF(AND(COUNT(NORMALIZADO!BV22:BY22)&gt;=3,AQ22=7),IF(S22&lt;34,"🔴 Crítico",IF(S22&lt;67,"🟡 Vulnerable","🟢 Preparado")),"◐  Parcial · "&amp;AQ22&amp;"/7"))</f>
        <v>⬜  Sin dato PVE</v>
      </c>
      <c r="U22" s="53">
        <v>1</v>
      </c>
      <c r="V22" t="s">
        <v>67</v>
      </c>
      <c r="W22" t="str">
        <f>IF(NORMALIZADO!BV22="","",NORMALIZADO!BV22)</f>
        <v/>
      </c>
      <c r="X22" t="str">
        <f>IF(NORMALIZADO!BW22="","",NORMALIZADO!BW22)</f>
        <v/>
      </c>
      <c r="Y22" t="str">
        <f>IF(NORMALIZADO!BX22="","",NORMALIZADO!BX22)</f>
        <v/>
      </c>
      <c r="Z22" t="str">
        <f>IF(NORMALIZADO!BY22="","",NORMALIZADO!BY22)</f>
        <v/>
      </c>
      <c r="AO22" t="str">
        <f t="shared" si="1"/>
        <v>N/A</v>
      </c>
      <c r="AP22" t="str">
        <f>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f>
        <v>—</v>
      </c>
      <c r="AQ22">
        <f>IF(ISNUMBER(M22),1,0)+IF(ISNUMBER(SCORECARDS!H22),1,0)+IF(ISNUMBER(SCORECARDS!I22),1,0)+IF(ISNUMBER(SCORECARDS!J22),1,0)+IF(ISNUMBER(ISCAM_Score!K23),1,0)+IF(ISNUMBER(O22),1,0)+IF(COUNT(W22:Z22)&gt;0,1,0)</f>
        <v>0</v>
      </c>
      <c r="AT22" t="str">
        <f>IF(NOT(ISNUMBER(AP22)),"sin dato",IF(AND(COUNT(NORMALIZADO!BV22:BY22)&gt;=3,AQ22=7),"completo","parcial · "&amp;AQ22&amp;"/7 · D12-D15 "&amp;COUNT(NORMALIZADO!BV22:BY22)&amp;"/4"))</f>
        <v>sin dato</v>
      </c>
    </row>
    <row r="23" spans="1:46" ht="16.05" customHeight="1" x14ac:dyDescent="0.3">
      <c r="A23" t="s">
        <v>118</v>
      </c>
      <c r="B23" t="s">
        <v>119</v>
      </c>
      <c r="C23" t="s">
        <v>107</v>
      </c>
      <c r="D23" t="s">
        <v>71</v>
      </c>
      <c r="G23" t="s">
        <v>72</v>
      </c>
      <c r="J23" t="s">
        <v>65</v>
      </c>
      <c r="M23" t="str">
        <f t="shared" si="2"/>
        <v/>
      </c>
      <c r="N23" t="s">
        <v>66</v>
      </c>
      <c r="O23" t="str">
        <f t="shared" si="3"/>
        <v/>
      </c>
      <c r="P23" t="s">
        <v>66</v>
      </c>
      <c r="S23" t="str">
        <f t="shared" si="0"/>
        <v>—</v>
      </c>
      <c r="T23" t="str">
        <f>IF(NOT(ISNUMBER(S23)),"⬜  Sin dato PVE",IF(AND(COUNT(NORMALIZADO!BV23:BY23)&gt;=3,AQ23=7),IF(S23&lt;34,"🔴 Crítico",IF(S23&lt;67,"🟡 Vulnerable","🟢 Preparado")),"◐  Parcial · "&amp;AQ23&amp;"/7"))</f>
        <v>⬜  Sin dato PVE</v>
      </c>
      <c r="U23" s="53">
        <v>1</v>
      </c>
      <c r="V23" t="s">
        <v>67</v>
      </c>
      <c r="W23" t="str">
        <f>IF(NORMALIZADO!BV23="","",NORMALIZADO!BV23)</f>
        <v/>
      </c>
      <c r="X23" t="str">
        <f>IF(NORMALIZADO!BW23="","",NORMALIZADO!BW23)</f>
        <v/>
      </c>
      <c r="Y23" t="str">
        <f>IF(NORMALIZADO!BX23="","",NORMALIZADO!BX23)</f>
        <v/>
      </c>
      <c r="Z23" t="str">
        <f>IF(NORMALIZADO!BY23="","",NORMALIZADO!BY23)</f>
        <v/>
      </c>
      <c r="AO23" t="str">
        <f t="shared" si="1"/>
        <v>N/A</v>
      </c>
      <c r="AP23" t="str">
        <f>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f>
        <v>—</v>
      </c>
      <c r="AQ23">
        <f>IF(ISNUMBER(M23),1,0)+IF(ISNUMBER(SCORECARDS!H23),1,0)+IF(ISNUMBER(SCORECARDS!I23),1,0)+IF(ISNUMBER(SCORECARDS!J23),1,0)+IF(ISNUMBER(ISCAM_Score!K24),1,0)+IF(ISNUMBER(O23),1,0)+IF(COUNT(W23:Z23)&gt;0,1,0)</f>
        <v>0</v>
      </c>
      <c r="AT23" t="str">
        <f>IF(NOT(ISNUMBER(AP23)),"sin dato",IF(AND(COUNT(NORMALIZADO!BV23:BY23)&gt;=3,AQ23=7),"completo","parcial · "&amp;AQ23&amp;"/7 · D12-D15 "&amp;COUNT(NORMALIZADO!BV23:BY23)&amp;"/4"))</f>
        <v>sin dato</v>
      </c>
    </row>
    <row r="24" spans="1:46" ht="16.05" customHeight="1" x14ac:dyDescent="0.3">
      <c r="A24" t="s">
        <v>120</v>
      </c>
      <c r="B24" t="s">
        <v>121</v>
      </c>
      <c r="C24" t="s">
        <v>107</v>
      </c>
      <c r="D24" t="s">
        <v>71</v>
      </c>
      <c r="G24" t="s">
        <v>72</v>
      </c>
      <c r="J24" t="s">
        <v>122</v>
      </c>
      <c r="M24" t="str">
        <f t="shared" si="2"/>
        <v/>
      </c>
      <c r="N24" t="s">
        <v>66</v>
      </c>
      <c r="O24" t="str">
        <f t="shared" si="3"/>
        <v/>
      </c>
      <c r="P24" t="s">
        <v>66</v>
      </c>
      <c r="S24" t="str">
        <f t="shared" si="0"/>
        <v>—</v>
      </c>
      <c r="T24" t="str">
        <f>IF(NOT(ISNUMBER(S24)),"⬜  Sin dato PVE",IF(AND(COUNT(NORMALIZADO!BV24:BY24)&gt;=3,AQ24=7),IF(S24&lt;34,"🔴 Crítico",IF(S24&lt;67,"🟡 Vulnerable","🟢 Preparado")),"◐  Parcial · "&amp;AQ24&amp;"/7"))</f>
        <v>⬜  Sin dato PVE</v>
      </c>
      <c r="U24" s="53">
        <v>1</v>
      </c>
      <c r="V24" t="s">
        <v>67</v>
      </c>
      <c r="W24" t="str">
        <f>IF(NORMALIZADO!BV24="","",NORMALIZADO!BV24)</f>
        <v/>
      </c>
      <c r="X24" t="str">
        <f>IF(NORMALIZADO!BW24="","",NORMALIZADO!BW24)</f>
        <v/>
      </c>
      <c r="Y24" t="str">
        <f>IF(NORMALIZADO!BX24="","",NORMALIZADO!BX24)</f>
        <v/>
      </c>
      <c r="Z24" t="str">
        <f>IF(NORMALIZADO!BY24="","",NORMALIZADO!BY24)</f>
        <v/>
      </c>
      <c r="AO24" t="str">
        <f t="shared" si="1"/>
        <v>N/A</v>
      </c>
      <c r="AP24" t="str">
        <f>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f>
        <v>—</v>
      </c>
      <c r="AQ24">
        <f>IF(ISNUMBER(M24),1,0)+IF(ISNUMBER(SCORECARDS!H24),1,0)+IF(ISNUMBER(SCORECARDS!I24),1,0)+IF(ISNUMBER(SCORECARDS!J24),1,0)+IF(ISNUMBER(ISCAM_Score!K25),1,0)+IF(ISNUMBER(O24),1,0)+IF(COUNT(W24:Z24)&gt;0,1,0)</f>
        <v>0</v>
      </c>
      <c r="AT24" t="str">
        <f>IF(NOT(ISNUMBER(AP24)),"sin dato",IF(AND(COUNT(NORMALIZADO!BV24:BY24)&gt;=3,AQ24=7),"completo","parcial · "&amp;AQ24&amp;"/7 · D12-D15 "&amp;COUNT(NORMALIZADO!BV24:BY24)&amp;"/4"))</f>
        <v>sin dato</v>
      </c>
    </row>
    <row r="25" spans="1:46" ht="16.05" customHeight="1" x14ac:dyDescent="0.3">
      <c r="A25" t="s">
        <v>123</v>
      </c>
      <c r="B25" t="s">
        <v>124</v>
      </c>
      <c r="C25" t="s">
        <v>107</v>
      </c>
      <c r="D25" t="s">
        <v>71</v>
      </c>
      <c r="G25" t="s">
        <v>72</v>
      </c>
      <c r="J25" t="s">
        <v>65</v>
      </c>
      <c r="M25" t="str">
        <f t="shared" si="2"/>
        <v/>
      </c>
      <c r="N25" t="s">
        <v>66</v>
      </c>
      <c r="O25" t="str">
        <f t="shared" si="3"/>
        <v/>
      </c>
      <c r="P25" t="s">
        <v>66</v>
      </c>
      <c r="S25" t="str">
        <f t="shared" si="0"/>
        <v>—</v>
      </c>
      <c r="T25" t="str">
        <f>IF(NOT(ISNUMBER(S25)),"⬜  Sin dato PVE",IF(AND(COUNT(NORMALIZADO!BV25:BY25)&gt;=3,AQ25=7),IF(S25&lt;34,"🔴 Crítico",IF(S25&lt;67,"🟡 Vulnerable","🟢 Preparado")),"◐  Parcial · "&amp;AQ25&amp;"/7"))</f>
        <v>⬜  Sin dato PVE</v>
      </c>
      <c r="U25" s="53">
        <v>1</v>
      </c>
      <c r="V25" t="s">
        <v>67</v>
      </c>
      <c r="W25" t="str">
        <f>IF(NORMALIZADO!BV25="","",NORMALIZADO!BV25)</f>
        <v/>
      </c>
      <c r="X25" t="str">
        <f>IF(NORMALIZADO!BW25="","",NORMALIZADO!BW25)</f>
        <v/>
      </c>
      <c r="Y25" t="str">
        <f>IF(NORMALIZADO!BX25="","",NORMALIZADO!BX25)</f>
        <v/>
      </c>
      <c r="Z25" t="str">
        <f>IF(NORMALIZADO!BY25="","",NORMALIZADO!BY25)</f>
        <v/>
      </c>
      <c r="AO25" t="str">
        <f t="shared" si="1"/>
        <v>N/A</v>
      </c>
      <c r="AP25" t="str">
        <f>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f>
        <v>—</v>
      </c>
      <c r="AQ25">
        <f>IF(ISNUMBER(M25),1,0)+IF(ISNUMBER(SCORECARDS!H25),1,0)+IF(ISNUMBER(SCORECARDS!I25),1,0)+IF(ISNUMBER(SCORECARDS!J25),1,0)+IF(ISNUMBER(ISCAM_Score!K26),1,0)+IF(ISNUMBER(O25),1,0)+IF(COUNT(W25:Z25)&gt;0,1,0)</f>
        <v>0</v>
      </c>
      <c r="AT25" t="str">
        <f>IF(NOT(ISNUMBER(AP25)),"sin dato",IF(AND(COUNT(NORMALIZADO!BV25:BY25)&gt;=3,AQ25=7),"completo","parcial · "&amp;AQ25&amp;"/7 · D12-D15 "&amp;COUNT(NORMALIZADO!BV25:BY25)&amp;"/4"))</f>
        <v>sin dato</v>
      </c>
    </row>
    <row r="26" spans="1:46" ht="16.05" customHeight="1" x14ac:dyDescent="0.3">
      <c r="A26" t="s">
        <v>125</v>
      </c>
      <c r="B26" t="s">
        <v>126</v>
      </c>
      <c r="C26" t="s">
        <v>107</v>
      </c>
      <c r="D26" t="s">
        <v>63</v>
      </c>
      <c r="G26" t="s">
        <v>72</v>
      </c>
      <c r="J26" t="s">
        <v>65</v>
      </c>
      <c r="M26" t="str">
        <f t="shared" si="2"/>
        <v/>
      </c>
      <c r="N26" t="s">
        <v>66</v>
      </c>
      <c r="O26" t="str">
        <f t="shared" si="3"/>
        <v/>
      </c>
      <c r="P26" t="s">
        <v>66</v>
      </c>
      <c r="S26" t="str">
        <f t="shared" si="0"/>
        <v>—</v>
      </c>
      <c r="T26" t="str">
        <f>IF(NOT(ISNUMBER(S26)),"⬜  Sin dato PVE",IF(AND(COUNT(NORMALIZADO!BV26:BY26)&gt;=3,AQ26=7),IF(S26&lt;34,"🔴 Crítico",IF(S26&lt;67,"🟡 Vulnerable","🟢 Preparado")),"◐  Parcial · "&amp;AQ26&amp;"/7"))</f>
        <v>⬜  Sin dato PVE</v>
      </c>
      <c r="U26" s="53">
        <v>1</v>
      </c>
      <c r="V26" t="s">
        <v>67</v>
      </c>
      <c r="W26" t="str">
        <f>IF(NORMALIZADO!BV26="","",NORMALIZADO!BV26)</f>
        <v/>
      </c>
      <c r="X26" t="str">
        <f>IF(NORMALIZADO!BW26="","",NORMALIZADO!BW26)</f>
        <v/>
      </c>
      <c r="Y26" t="str">
        <f>IF(NORMALIZADO!BX26="","",NORMALIZADO!BX26)</f>
        <v/>
      </c>
      <c r="Z26" t="str">
        <f>IF(NORMALIZADO!BY26="","",NORMALIZADO!BY26)</f>
        <v/>
      </c>
      <c r="AO26" t="str">
        <f t="shared" si="1"/>
        <v>N/A</v>
      </c>
      <c r="AP26" t="str">
        <f>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f>
        <v>—</v>
      </c>
      <c r="AQ26">
        <f>IF(ISNUMBER(M26),1,0)+IF(ISNUMBER(SCORECARDS!H26),1,0)+IF(ISNUMBER(SCORECARDS!I26),1,0)+IF(ISNUMBER(SCORECARDS!J26),1,0)+IF(ISNUMBER(ISCAM_Score!K27),1,0)+IF(ISNUMBER(O26),1,0)+IF(COUNT(W26:Z26)&gt;0,1,0)</f>
        <v>0</v>
      </c>
      <c r="AT26" t="str">
        <f>IF(NOT(ISNUMBER(AP26)),"sin dato",IF(AND(COUNT(NORMALIZADO!BV26:BY26)&gt;=3,AQ26=7),"completo","parcial · "&amp;AQ26&amp;"/7 · D12-D15 "&amp;COUNT(NORMALIZADO!BV26:BY26)&amp;"/4"))</f>
        <v>sin dato</v>
      </c>
    </row>
    <row r="27" spans="1:46" ht="16.05" customHeight="1" x14ac:dyDescent="0.3">
      <c r="A27" t="s">
        <v>127</v>
      </c>
      <c r="B27" t="s">
        <v>128</v>
      </c>
      <c r="C27" t="s">
        <v>107</v>
      </c>
      <c r="D27" t="s">
        <v>71</v>
      </c>
      <c r="G27" t="s">
        <v>72</v>
      </c>
      <c r="J27" t="s">
        <v>65</v>
      </c>
      <c r="M27" t="str">
        <f t="shared" si="2"/>
        <v/>
      </c>
      <c r="N27" t="s">
        <v>66</v>
      </c>
      <c r="O27" t="str">
        <f t="shared" si="3"/>
        <v/>
      </c>
      <c r="P27" t="s">
        <v>66</v>
      </c>
      <c r="S27" t="str">
        <f t="shared" si="0"/>
        <v>—</v>
      </c>
      <c r="T27" t="str">
        <f>IF(NOT(ISNUMBER(S27)),"⬜  Sin dato PVE",IF(AND(COUNT(NORMALIZADO!BV27:BY27)&gt;=3,AQ27=7),IF(S27&lt;34,"🔴 Crítico",IF(S27&lt;67,"🟡 Vulnerable","🟢 Preparado")),"◐  Parcial · "&amp;AQ27&amp;"/7"))</f>
        <v>⬜  Sin dato PVE</v>
      </c>
      <c r="U27" s="53">
        <v>1</v>
      </c>
      <c r="V27" t="s">
        <v>67</v>
      </c>
      <c r="W27" t="str">
        <f>IF(NORMALIZADO!BV27="","",NORMALIZADO!BV27)</f>
        <v/>
      </c>
      <c r="X27" t="str">
        <f>IF(NORMALIZADO!BW27="","",NORMALIZADO!BW27)</f>
        <v/>
      </c>
      <c r="Y27" t="str">
        <f>IF(NORMALIZADO!BX27="","",NORMALIZADO!BX27)</f>
        <v/>
      </c>
      <c r="Z27" t="str">
        <f>IF(NORMALIZADO!BY27="","",NORMALIZADO!BY27)</f>
        <v/>
      </c>
      <c r="AO27" t="str">
        <f t="shared" si="1"/>
        <v>N/A</v>
      </c>
      <c r="AP27" t="str">
        <f>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f>
        <v>—</v>
      </c>
      <c r="AQ27">
        <f>IF(ISNUMBER(M27),1,0)+IF(ISNUMBER(SCORECARDS!H27),1,0)+IF(ISNUMBER(SCORECARDS!I27),1,0)+IF(ISNUMBER(SCORECARDS!J27),1,0)+IF(ISNUMBER(ISCAM_Score!K28),1,0)+IF(ISNUMBER(O27),1,0)+IF(COUNT(W27:Z27)&gt;0,1,0)</f>
        <v>0</v>
      </c>
      <c r="AT27" t="str">
        <f>IF(NOT(ISNUMBER(AP27)),"sin dato",IF(AND(COUNT(NORMALIZADO!BV27:BY27)&gt;=3,AQ27=7),"completo","parcial · "&amp;AQ27&amp;"/7 · D12-D15 "&amp;COUNT(NORMALIZADO!BV27:BY27)&amp;"/4"))</f>
        <v>sin dato</v>
      </c>
    </row>
    <row r="28" spans="1:46" ht="16.05" customHeight="1" x14ac:dyDescent="0.3">
      <c r="A28" t="s">
        <v>129</v>
      </c>
      <c r="B28" t="s">
        <v>130</v>
      </c>
      <c r="C28" t="s">
        <v>107</v>
      </c>
      <c r="D28" t="s">
        <v>71</v>
      </c>
      <c r="G28" t="s">
        <v>72</v>
      </c>
      <c r="J28" t="s">
        <v>65</v>
      </c>
      <c r="M28" t="str">
        <f t="shared" si="2"/>
        <v/>
      </c>
      <c r="N28" t="s">
        <v>66</v>
      </c>
      <c r="O28" t="str">
        <f t="shared" si="3"/>
        <v/>
      </c>
      <c r="P28" t="s">
        <v>66</v>
      </c>
      <c r="S28" t="str">
        <f t="shared" si="0"/>
        <v>—</v>
      </c>
      <c r="T28" t="str">
        <f>IF(NOT(ISNUMBER(S28)),"⬜  Sin dato PVE",IF(AND(COUNT(NORMALIZADO!BV28:BY28)&gt;=3,AQ28=7),IF(S28&lt;34,"🔴 Crítico",IF(S28&lt;67,"🟡 Vulnerable","🟢 Preparado")),"◐  Parcial · "&amp;AQ28&amp;"/7"))</f>
        <v>⬜  Sin dato PVE</v>
      </c>
      <c r="U28" s="53">
        <v>1</v>
      </c>
      <c r="V28" t="s">
        <v>67</v>
      </c>
      <c r="W28" t="str">
        <f>IF(NORMALIZADO!BV28="","",NORMALIZADO!BV28)</f>
        <v/>
      </c>
      <c r="X28" t="str">
        <f>IF(NORMALIZADO!BW28="","",NORMALIZADO!BW28)</f>
        <v/>
      </c>
      <c r="Y28" t="str">
        <f>IF(NORMALIZADO!BX28="","",NORMALIZADO!BX28)</f>
        <v/>
      </c>
      <c r="Z28" t="str">
        <f>IF(NORMALIZADO!BY28="","",NORMALIZADO!BY28)</f>
        <v/>
      </c>
      <c r="AO28" t="str">
        <f t="shared" si="1"/>
        <v>N/A</v>
      </c>
      <c r="AP28" t="str">
        <f>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f>
        <v>—</v>
      </c>
      <c r="AQ28">
        <f>IF(ISNUMBER(M28),1,0)+IF(ISNUMBER(SCORECARDS!H28),1,0)+IF(ISNUMBER(SCORECARDS!I28),1,0)+IF(ISNUMBER(SCORECARDS!J28),1,0)+IF(ISNUMBER(ISCAM_Score!K29),1,0)+IF(ISNUMBER(O28),1,0)+IF(COUNT(W28:Z28)&gt;0,1,0)</f>
        <v>0</v>
      </c>
      <c r="AT28" t="str">
        <f>IF(NOT(ISNUMBER(AP28)),"sin dato",IF(AND(COUNT(NORMALIZADO!BV28:BY28)&gt;=3,AQ28=7),"completo","parcial · "&amp;AQ28&amp;"/7 · D12-D15 "&amp;COUNT(NORMALIZADO!BV28:BY28)&amp;"/4"))</f>
        <v>sin dato</v>
      </c>
    </row>
    <row r="29" spans="1:46" ht="16.05" customHeight="1" x14ac:dyDescent="0.3">
      <c r="A29" t="s">
        <v>131</v>
      </c>
      <c r="B29" t="s">
        <v>132</v>
      </c>
      <c r="C29" t="s">
        <v>107</v>
      </c>
      <c r="D29" t="s">
        <v>71</v>
      </c>
      <c r="G29" t="s">
        <v>72</v>
      </c>
      <c r="J29" t="s">
        <v>65</v>
      </c>
      <c r="M29" t="str">
        <f t="shared" si="2"/>
        <v/>
      </c>
      <c r="N29" t="s">
        <v>66</v>
      </c>
      <c r="O29" t="str">
        <f t="shared" si="3"/>
        <v/>
      </c>
      <c r="P29" t="s">
        <v>66</v>
      </c>
      <c r="S29" t="str">
        <f t="shared" si="0"/>
        <v>—</v>
      </c>
      <c r="T29" t="str">
        <f>IF(NOT(ISNUMBER(S29)),"⬜  Sin dato PVE",IF(AND(COUNT(NORMALIZADO!BV29:BY29)&gt;=3,AQ29=7),IF(S29&lt;34,"🔴 Crítico",IF(S29&lt;67,"🟡 Vulnerable","🟢 Preparado")),"◐  Parcial · "&amp;AQ29&amp;"/7"))</f>
        <v>⬜  Sin dato PVE</v>
      </c>
      <c r="U29" s="53">
        <v>1</v>
      </c>
      <c r="V29" t="s">
        <v>67</v>
      </c>
      <c r="W29" t="str">
        <f>IF(NORMALIZADO!BV29="","",NORMALIZADO!BV29)</f>
        <v/>
      </c>
      <c r="X29" t="str">
        <f>IF(NORMALIZADO!BW29="","",NORMALIZADO!BW29)</f>
        <v/>
      </c>
      <c r="Y29" t="str">
        <f>IF(NORMALIZADO!BX29="","",NORMALIZADO!BX29)</f>
        <v/>
      </c>
      <c r="Z29" t="str">
        <f>IF(NORMALIZADO!BY29="","",NORMALIZADO!BY29)</f>
        <v/>
      </c>
      <c r="AO29" t="str">
        <f t="shared" si="1"/>
        <v>N/A</v>
      </c>
      <c r="AP29" t="str">
        <f>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f>
        <v>—</v>
      </c>
      <c r="AQ29">
        <f>IF(ISNUMBER(M29),1,0)+IF(ISNUMBER(SCORECARDS!H29),1,0)+IF(ISNUMBER(SCORECARDS!I29),1,0)+IF(ISNUMBER(SCORECARDS!J29),1,0)+IF(ISNUMBER(ISCAM_Score!K30),1,0)+IF(ISNUMBER(O29),1,0)+IF(COUNT(W29:Z29)&gt;0,1,0)</f>
        <v>0</v>
      </c>
      <c r="AT29" t="str">
        <f>IF(NOT(ISNUMBER(AP29)),"sin dato",IF(AND(COUNT(NORMALIZADO!BV29:BY29)&gt;=3,AQ29=7),"completo","parcial · "&amp;AQ29&amp;"/7 · D12-D15 "&amp;COUNT(NORMALIZADO!BV29:BY29)&amp;"/4"))</f>
        <v>sin dato</v>
      </c>
    </row>
    <row r="30" spans="1:46" ht="16.05" customHeight="1" x14ac:dyDescent="0.3">
      <c r="A30" t="s">
        <v>133</v>
      </c>
      <c r="B30" t="s">
        <v>134</v>
      </c>
      <c r="C30" t="s">
        <v>62</v>
      </c>
      <c r="D30" t="s">
        <v>71</v>
      </c>
      <c r="G30" t="s">
        <v>72</v>
      </c>
      <c r="J30" t="s">
        <v>65</v>
      </c>
      <c r="M30" t="str">
        <f t="shared" si="2"/>
        <v/>
      </c>
      <c r="N30" t="s">
        <v>66</v>
      </c>
      <c r="O30" t="str">
        <f t="shared" si="3"/>
        <v/>
      </c>
      <c r="P30" t="s">
        <v>66</v>
      </c>
      <c r="S30" t="str">
        <f t="shared" si="0"/>
        <v>—</v>
      </c>
      <c r="T30" t="str">
        <f>IF(NOT(ISNUMBER(S30)),"⬜  Sin dato PVE",IF(AND(COUNT(NORMALIZADO!BV30:BY30)&gt;=3,AQ30=7),IF(S30&lt;34,"🔴 Crítico",IF(S30&lt;67,"🟡 Vulnerable","🟢 Preparado")),"◐  Parcial · "&amp;AQ30&amp;"/7"))</f>
        <v>⬜  Sin dato PVE</v>
      </c>
      <c r="U30" s="53">
        <v>1</v>
      </c>
      <c r="V30" t="s">
        <v>67</v>
      </c>
      <c r="W30" t="str">
        <f>IF(NORMALIZADO!BV30="","",NORMALIZADO!BV30)</f>
        <v/>
      </c>
      <c r="X30" t="str">
        <f>IF(NORMALIZADO!BW30="","",NORMALIZADO!BW30)</f>
        <v/>
      </c>
      <c r="Y30" t="str">
        <f>IF(NORMALIZADO!BX30="","",NORMALIZADO!BX30)</f>
        <v/>
      </c>
      <c r="Z30" t="str">
        <f>IF(NORMALIZADO!BY30="","",NORMALIZADO!BY30)</f>
        <v/>
      </c>
      <c r="AO30" t="str">
        <f t="shared" si="1"/>
        <v>N/A</v>
      </c>
      <c r="AP30" t="str">
        <f>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f>
        <v>—</v>
      </c>
      <c r="AQ30">
        <f>IF(ISNUMBER(M30),1,0)+IF(ISNUMBER(SCORECARDS!H30),1,0)+IF(ISNUMBER(SCORECARDS!I30),1,0)+IF(ISNUMBER(SCORECARDS!J30),1,0)+IF(ISNUMBER(ISCAM_Score!K31),1,0)+IF(ISNUMBER(O30),1,0)+IF(COUNT(W30:Z30)&gt;0,1,0)</f>
        <v>0</v>
      </c>
      <c r="AT30" t="str">
        <f>IF(NOT(ISNUMBER(AP30)),"sin dato",IF(AND(COUNT(NORMALIZADO!BV30:BY30)&gt;=3,AQ30=7),"completo","parcial · "&amp;AQ30&amp;"/7 · D12-D15 "&amp;COUNT(NORMALIZADO!BV30:BY30)&amp;"/4"))</f>
        <v>sin dato</v>
      </c>
    </row>
    <row r="31" spans="1:46" ht="16.05" customHeight="1" x14ac:dyDescent="0.3">
      <c r="A31" t="s">
        <v>135</v>
      </c>
      <c r="B31" t="s">
        <v>136</v>
      </c>
      <c r="C31" t="s">
        <v>137</v>
      </c>
      <c r="D31" t="s">
        <v>63</v>
      </c>
      <c r="G31" t="s">
        <v>72</v>
      </c>
      <c r="J31" t="s">
        <v>65</v>
      </c>
      <c r="M31" t="str">
        <f t="shared" si="2"/>
        <v/>
      </c>
      <c r="N31" t="s">
        <v>66</v>
      </c>
      <c r="O31" t="str">
        <f t="shared" si="3"/>
        <v/>
      </c>
      <c r="P31" t="s">
        <v>66</v>
      </c>
      <c r="S31" t="str">
        <f t="shared" si="0"/>
        <v>—</v>
      </c>
      <c r="T31" t="str">
        <f>IF(NOT(ISNUMBER(S31)),"⬜  Sin dato PVE",IF(AND(COUNT(NORMALIZADO!BV31:BY31)&gt;=3,AQ31=7),IF(S31&lt;34,"🔴 Crítico",IF(S31&lt;67,"🟡 Vulnerable","🟢 Preparado")),"◐  Parcial · "&amp;AQ31&amp;"/7"))</f>
        <v>⬜  Sin dato PVE</v>
      </c>
      <c r="U31" s="53">
        <v>1</v>
      </c>
      <c r="V31" t="s">
        <v>67</v>
      </c>
      <c r="W31" t="str">
        <f>IF(NORMALIZADO!BV31="","",NORMALIZADO!BV31)</f>
        <v/>
      </c>
      <c r="X31" t="str">
        <f>IF(NORMALIZADO!BW31="","",NORMALIZADO!BW31)</f>
        <v/>
      </c>
      <c r="Y31" t="str">
        <f>IF(NORMALIZADO!BX31="","",NORMALIZADO!BX31)</f>
        <v/>
      </c>
      <c r="Z31" t="str">
        <f>IF(NORMALIZADO!BY31="","",NORMALIZADO!BY31)</f>
        <v/>
      </c>
      <c r="AO31" t="str">
        <f t="shared" si="1"/>
        <v>N/A</v>
      </c>
      <c r="AP31" t="str">
        <f>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f>
        <v>—</v>
      </c>
      <c r="AQ31">
        <f>IF(ISNUMBER(M31),1,0)+IF(ISNUMBER(SCORECARDS!H31),1,0)+IF(ISNUMBER(SCORECARDS!I31),1,0)+IF(ISNUMBER(SCORECARDS!J31),1,0)+IF(ISNUMBER(ISCAM_Score!K32),1,0)+IF(ISNUMBER(O31),1,0)+IF(COUNT(W31:Z31)&gt;0,1,0)</f>
        <v>0</v>
      </c>
      <c r="AT31" t="str">
        <f>IF(NOT(ISNUMBER(AP31)),"sin dato",IF(AND(COUNT(NORMALIZADO!BV31:BY31)&gt;=3,AQ31=7),"completo","parcial · "&amp;AQ31&amp;"/7 · D12-D15 "&amp;COUNT(NORMALIZADO!BV31:BY31)&amp;"/4"))</f>
        <v>sin dato</v>
      </c>
    </row>
    <row r="32" spans="1:46" ht="16.05" customHeight="1" x14ac:dyDescent="0.3">
      <c r="A32" t="s">
        <v>138</v>
      </c>
      <c r="B32" t="s">
        <v>139</v>
      </c>
      <c r="C32" t="s">
        <v>137</v>
      </c>
      <c r="D32" t="s">
        <v>71</v>
      </c>
      <c r="G32" t="s">
        <v>72</v>
      </c>
      <c r="J32" t="s">
        <v>65</v>
      </c>
      <c r="M32" t="str">
        <f t="shared" si="2"/>
        <v/>
      </c>
      <c r="N32" t="s">
        <v>66</v>
      </c>
      <c r="O32" t="str">
        <f t="shared" si="3"/>
        <v/>
      </c>
      <c r="P32" t="s">
        <v>66</v>
      </c>
      <c r="S32" t="str">
        <f t="shared" si="0"/>
        <v>—</v>
      </c>
      <c r="T32" t="str">
        <f>IF(NOT(ISNUMBER(S32)),"⬜  Sin dato PVE",IF(AND(COUNT(NORMALIZADO!BV32:BY32)&gt;=3,AQ32=7),IF(S32&lt;34,"🔴 Crítico",IF(S32&lt;67,"🟡 Vulnerable","🟢 Preparado")),"◐  Parcial · "&amp;AQ32&amp;"/7"))</f>
        <v>⬜  Sin dato PVE</v>
      </c>
      <c r="U32" s="53">
        <v>1</v>
      </c>
      <c r="V32" t="s">
        <v>67</v>
      </c>
      <c r="W32" t="str">
        <f>IF(NORMALIZADO!BV32="","",NORMALIZADO!BV32)</f>
        <v/>
      </c>
      <c r="X32" t="str">
        <f>IF(NORMALIZADO!BW32="","",NORMALIZADO!BW32)</f>
        <v/>
      </c>
      <c r="Y32" t="str">
        <f>IF(NORMALIZADO!BX32="","",NORMALIZADO!BX32)</f>
        <v/>
      </c>
      <c r="Z32" t="str">
        <f>IF(NORMALIZADO!BY32="","",NORMALIZADO!BY32)</f>
        <v/>
      </c>
      <c r="AO32" t="str">
        <f t="shared" si="1"/>
        <v>N/A</v>
      </c>
      <c r="AP32" t="str">
        <f>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f>
        <v>—</v>
      </c>
      <c r="AQ32">
        <f>IF(ISNUMBER(M32),1,0)+IF(ISNUMBER(SCORECARDS!H32),1,0)+IF(ISNUMBER(SCORECARDS!I32),1,0)+IF(ISNUMBER(SCORECARDS!J32),1,0)+IF(ISNUMBER(ISCAM_Score!K33),1,0)+IF(ISNUMBER(O32),1,0)+IF(COUNT(W32:Z32)&gt;0,1,0)</f>
        <v>0</v>
      </c>
      <c r="AT32" t="str">
        <f>IF(NOT(ISNUMBER(AP32)),"sin dato",IF(AND(COUNT(NORMALIZADO!BV32:BY32)&gt;=3,AQ32=7),"completo","parcial · "&amp;AQ32&amp;"/7 · D12-D15 "&amp;COUNT(NORMALIZADO!BV32:BY32)&amp;"/4"))</f>
        <v>sin dato</v>
      </c>
    </row>
    <row r="33" spans="1:46" ht="16.05" customHeight="1" x14ac:dyDescent="0.3">
      <c r="A33" t="s">
        <v>140</v>
      </c>
      <c r="B33" t="s">
        <v>141</v>
      </c>
      <c r="C33" t="s">
        <v>137</v>
      </c>
      <c r="D33" t="s">
        <v>63</v>
      </c>
      <c r="G33" t="s">
        <v>72</v>
      </c>
      <c r="J33" t="s">
        <v>65</v>
      </c>
      <c r="M33" t="str">
        <f t="shared" si="2"/>
        <v/>
      </c>
      <c r="N33" t="s">
        <v>66</v>
      </c>
      <c r="O33" t="str">
        <f t="shared" si="3"/>
        <v/>
      </c>
      <c r="P33" t="s">
        <v>66</v>
      </c>
      <c r="S33" t="str">
        <f t="shared" si="0"/>
        <v>—</v>
      </c>
      <c r="T33" t="str">
        <f>IF(NOT(ISNUMBER(S33)),"⬜  Sin dato PVE",IF(AND(COUNT(NORMALIZADO!BV33:BY33)&gt;=3,AQ33=7),IF(S33&lt;34,"🔴 Crítico",IF(S33&lt;67,"🟡 Vulnerable","🟢 Preparado")),"◐  Parcial · "&amp;AQ33&amp;"/7"))</f>
        <v>⬜  Sin dato PVE</v>
      </c>
      <c r="U33" s="53">
        <v>1</v>
      </c>
      <c r="V33" t="s">
        <v>67</v>
      </c>
      <c r="W33" t="str">
        <f>IF(NORMALIZADO!BV33="","",NORMALIZADO!BV33)</f>
        <v/>
      </c>
      <c r="X33" t="str">
        <f>IF(NORMALIZADO!BW33="","",NORMALIZADO!BW33)</f>
        <v/>
      </c>
      <c r="Y33" t="str">
        <f>IF(NORMALIZADO!BX33="","",NORMALIZADO!BX33)</f>
        <v/>
      </c>
      <c r="Z33" t="str">
        <f>IF(NORMALIZADO!BY33="","",NORMALIZADO!BY33)</f>
        <v/>
      </c>
      <c r="AO33" t="str">
        <f t="shared" si="1"/>
        <v>N/A</v>
      </c>
      <c r="AP33" t="str">
        <f>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f>
        <v>—</v>
      </c>
      <c r="AQ33">
        <f>IF(ISNUMBER(M33),1,0)+IF(ISNUMBER(SCORECARDS!H33),1,0)+IF(ISNUMBER(SCORECARDS!I33),1,0)+IF(ISNUMBER(SCORECARDS!J33),1,0)+IF(ISNUMBER(ISCAM_Score!K34),1,0)+IF(ISNUMBER(O33),1,0)+IF(COUNT(W33:Z33)&gt;0,1,0)</f>
        <v>0</v>
      </c>
      <c r="AT33" t="str">
        <f>IF(NOT(ISNUMBER(AP33)),"sin dato",IF(AND(COUNT(NORMALIZADO!BV33:BY33)&gt;=3,AQ33=7),"completo","parcial · "&amp;AQ33&amp;"/7 · D12-D15 "&amp;COUNT(NORMALIZADO!BV33:BY33)&amp;"/4"))</f>
        <v>sin dato</v>
      </c>
    </row>
    <row r="34" spans="1:46" ht="16.05" customHeight="1" x14ac:dyDescent="0.3">
      <c r="A34" t="s">
        <v>142</v>
      </c>
      <c r="B34" t="s">
        <v>143</v>
      </c>
      <c r="C34" t="s">
        <v>137</v>
      </c>
      <c r="D34" t="s">
        <v>63</v>
      </c>
      <c r="G34" t="s">
        <v>72</v>
      </c>
      <c r="J34" t="s">
        <v>65</v>
      </c>
      <c r="M34" t="str">
        <f t="shared" si="2"/>
        <v/>
      </c>
      <c r="N34" t="s">
        <v>66</v>
      </c>
      <c r="O34" t="str">
        <f t="shared" si="3"/>
        <v/>
      </c>
      <c r="P34" t="s">
        <v>66</v>
      </c>
      <c r="S34" t="str">
        <f t="shared" si="0"/>
        <v>—</v>
      </c>
      <c r="T34" t="str">
        <f>IF(NOT(ISNUMBER(S34)),"⬜  Sin dato PVE",IF(AND(COUNT(NORMALIZADO!BV34:BY34)&gt;=3,AQ34=7),IF(S34&lt;34,"🔴 Crítico",IF(S34&lt;67,"🟡 Vulnerable","🟢 Preparado")),"◐  Parcial · "&amp;AQ34&amp;"/7"))</f>
        <v>⬜  Sin dato PVE</v>
      </c>
      <c r="U34" s="53">
        <v>1</v>
      </c>
      <c r="V34" t="s">
        <v>67</v>
      </c>
      <c r="W34" t="str">
        <f>IF(NORMALIZADO!BV34="","",NORMALIZADO!BV34)</f>
        <v/>
      </c>
      <c r="X34" t="str">
        <f>IF(NORMALIZADO!BW34="","",NORMALIZADO!BW34)</f>
        <v/>
      </c>
      <c r="Y34" t="str">
        <f>IF(NORMALIZADO!BX34="","",NORMALIZADO!BX34)</f>
        <v/>
      </c>
      <c r="Z34" t="str">
        <f>IF(NORMALIZADO!BY34="","",NORMALIZADO!BY34)</f>
        <v/>
      </c>
      <c r="AO34" t="str">
        <f t="shared" si="1"/>
        <v>N/A</v>
      </c>
      <c r="AP34" t="str">
        <f>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f>
        <v>—</v>
      </c>
      <c r="AQ34">
        <f>IF(ISNUMBER(M34),1,0)+IF(ISNUMBER(SCORECARDS!H34),1,0)+IF(ISNUMBER(SCORECARDS!I34),1,0)+IF(ISNUMBER(SCORECARDS!J34),1,0)+IF(ISNUMBER(ISCAM_Score!K35),1,0)+IF(ISNUMBER(O34),1,0)+IF(COUNT(W34:Z34)&gt;0,1,0)</f>
        <v>0</v>
      </c>
      <c r="AT34" t="str">
        <f>IF(NOT(ISNUMBER(AP34)),"sin dato",IF(AND(COUNT(NORMALIZADO!BV34:BY34)&gt;=3,AQ34=7),"completo","parcial · "&amp;AQ34&amp;"/7 · D12-D15 "&amp;COUNT(NORMALIZADO!BV34:BY34)&amp;"/4"))</f>
        <v>sin dato</v>
      </c>
    </row>
    <row r="35" spans="1:46" ht="16.05" customHeight="1" x14ac:dyDescent="0.3">
      <c r="A35" t="s">
        <v>144</v>
      </c>
      <c r="B35" t="s">
        <v>145</v>
      </c>
      <c r="C35" t="s">
        <v>78</v>
      </c>
      <c r="D35" t="s">
        <v>71</v>
      </c>
      <c r="E35">
        <v>1931452.7</v>
      </c>
      <c r="F35">
        <v>7</v>
      </c>
      <c r="G35" t="s">
        <v>64</v>
      </c>
      <c r="J35" t="s">
        <v>65</v>
      </c>
      <c r="L35">
        <v>965726.35</v>
      </c>
      <c r="M35">
        <f t="shared" si="2"/>
        <v>50</v>
      </c>
      <c r="N35" t="s">
        <v>66</v>
      </c>
      <c r="O35" t="str">
        <f t="shared" si="3"/>
        <v/>
      </c>
      <c r="P35" t="s">
        <v>66</v>
      </c>
      <c r="S35">
        <f t="shared" ref="S35:S66" si="4">IFERROR(ROUND(AP35*100,1),"—")</f>
        <v>50</v>
      </c>
      <c r="T35" t="str">
        <f>IF(NOT(ISNUMBER(S35)),"⬜  Sin dato PVE",IF(AND(COUNT(NORMALIZADO!BV35:BY35)&gt;=3,AQ35=7),IF(S35&lt;34,"🔴 Crítico",IF(S35&lt;67,"🟡 Vulnerable","🟢 Preparado")),"◐  Parcial · "&amp;AQ35&amp;"/7"))</f>
        <v>◐  Parcial · 2/7</v>
      </c>
      <c r="U35" s="53">
        <v>1</v>
      </c>
      <c r="V35" t="s">
        <v>67</v>
      </c>
      <c r="W35">
        <f>IF(NORMALIZADO!BV35="",1,NORMALIZADO!BV35)</f>
        <v>1</v>
      </c>
      <c r="X35" t="str">
        <f>IF(NORMALIZADO!BW35="","",NORMALIZADO!BW35)</f>
        <v/>
      </c>
      <c r="Y35" t="str">
        <f>IF(NORMALIZADO!BX35="","",NORMALIZADO!BX35)</f>
        <v/>
      </c>
      <c r="Z35" t="str">
        <f>IF(NORMALIZADO!BY35="","",NORMALIZADO!BY35)</f>
        <v/>
      </c>
      <c r="AO35" t="str">
        <f t="shared" ref="AO35:AO66" si="5">IFERROR(AVERAGE(AA35,AB35,AC35,AD35,AE35,AF35,AG35,AH35,AI35,AJ35,AK35,AL35,AM35,AN35),"N/A")</f>
        <v>N/A</v>
      </c>
      <c r="AP35">
        <f>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f>
        <v>0.5</v>
      </c>
      <c r="AQ35">
        <f>IF(ISNUMBER(M35),1,0)+IF(ISNUMBER(SCORECARDS!H35),1,0)+IF(ISNUMBER(SCORECARDS!I35),1,0)+IF(ISNUMBER(SCORECARDS!J35),1,0)+IF(ISNUMBER(ISCAM_Score!K36),1,0)+IF(ISNUMBER(O35),1,0)+IF(COUNT(W35:Z35)&gt;0,1,0)</f>
        <v>2</v>
      </c>
      <c r="AT35" t="str">
        <f>IF(NOT(ISNUMBER(AP35)),"sin dato",IF(AND(COUNT(NORMALIZADO!BV35:BY35)&gt;=3,AQ35=7),"completo","parcial · "&amp;AQ35&amp;"/7 · D12-D15 "&amp;COUNT(NORMALIZADO!BV35:BY35)&amp;"/4"))</f>
        <v>parcial · 2/7 · D12-D15 0/4</v>
      </c>
    </row>
    <row r="36" spans="1:46" ht="16.05" customHeight="1" x14ac:dyDescent="0.3">
      <c r="A36" t="s">
        <v>146</v>
      </c>
      <c r="B36" t="s">
        <v>147</v>
      </c>
      <c r="C36" t="s">
        <v>148</v>
      </c>
      <c r="D36" t="s">
        <v>63</v>
      </c>
      <c r="E36">
        <v>4538578.93</v>
      </c>
      <c r="F36">
        <v>24</v>
      </c>
      <c r="G36" t="s">
        <v>64</v>
      </c>
      <c r="H36" t="s">
        <v>64</v>
      </c>
      <c r="I36" t="s">
        <v>64</v>
      </c>
      <c r="J36" t="s">
        <v>65</v>
      </c>
      <c r="L36">
        <v>965167.45</v>
      </c>
      <c r="M36">
        <f t="shared" si="2"/>
        <v>21.3</v>
      </c>
      <c r="N36" t="s">
        <v>66</v>
      </c>
      <c r="O36">
        <f t="shared" si="3"/>
        <v>1</v>
      </c>
      <c r="P36" t="s">
        <v>66</v>
      </c>
      <c r="Q36">
        <v>178</v>
      </c>
      <c r="R36">
        <v>437</v>
      </c>
      <c r="S36">
        <f t="shared" si="4"/>
        <v>46.4</v>
      </c>
      <c r="T36" t="str">
        <f>IF(NOT(ISNUMBER(S36)),"⬜  Sin dato PVE",IF(AND(COUNT(NORMALIZADO!BV36:BY36)&gt;=3,AQ36=7),IF(S36&lt;34,"🔴 Crítico",IF(S36&lt;67,"🟡 Vulnerable","🟢 Preparado")),"◐  Parcial · "&amp;AQ36&amp;"/7"))</f>
        <v>◐  Parcial · 3/7</v>
      </c>
      <c r="U36" s="53">
        <v>1</v>
      </c>
      <c r="V36" t="s">
        <v>67</v>
      </c>
      <c r="W36">
        <f>IF(NORMALIZADO!BV36="",1,NORMALIZADO!BV36)</f>
        <v>1</v>
      </c>
      <c r="X36" t="str">
        <f>IF(NORMALIZADO!BW36="","",NORMALIZADO!BW36)</f>
        <v/>
      </c>
      <c r="Y36" t="str">
        <f>IF(NORMALIZADO!BX36="","",NORMALIZADO!BX36)</f>
        <v/>
      </c>
      <c r="Z36" t="str">
        <f>IF(NORMALIZADO!BY36="","",NORMALIZADO!BY36)</f>
        <v/>
      </c>
      <c r="AO36" t="str">
        <f t="shared" si="5"/>
        <v>N/A</v>
      </c>
      <c r="AP36">
        <f>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f>
        <v>0.46374999999999994</v>
      </c>
      <c r="AQ36">
        <f>IF(ISNUMBER(M36),1,0)+IF(ISNUMBER(SCORECARDS!H36),1,0)+IF(ISNUMBER(SCORECARDS!I36),1,0)+IF(ISNUMBER(SCORECARDS!J36),1,0)+IF(ISNUMBER(ISCAM_Score!K37),1,0)+IF(ISNUMBER(O36),1,0)+IF(COUNT(W36:Z36)&gt;0,1,0)</f>
        <v>3</v>
      </c>
      <c r="AR36" t="s">
        <v>64</v>
      </c>
      <c r="AS36" t="s">
        <v>64</v>
      </c>
      <c r="AT36" t="str">
        <f>IF(NOT(ISNUMBER(AP36)),"sin dato",IF(AND(COUNT(NORMALIZADO!BV36:BY36)&gt;=3,AQ36=7),"completo","parcial · "&amp;AQ36&amp;"/7 · D12-D15 "&amp;COUNT(NORMALIZADO!BV36:BY36)&amp;"/4"))</f>
        <v>parcial · 3/7 · D12-D15 0/4</v>
      </c>
    </row>
    <row r="37" spans="1:46" ht="16.05" customHeight="1" x14ac:dyDescent="0.3">
      <c r="A37" t="s">
        <v>149</v>
      </c>
      <c r="B37" t="s">
        <v>150</v>
      </c>
      <c r="C37" t="s">
        <v>110</v>
      </c>
      <c r="D37" t="s">
        <v>63</v>
      </c>
      <c r="G37" t="s">
        <v>72</v>
      </c>
      <c r="J37" t="s">
        <v>65</v>
      </c>
      <c r="M37" t="str">
        <f t="shared" si="2"/>
        <v/>
      </c>
      <c r="N37" t="s">
        <v>66</v>
      </c>
      <c r="O37" t="str">
        <f t="shared" si="3"/>
        <v/>
      </c>
      <c r="P37" t="s">
        <v>66</v>
      </c>
      <c r="S37" t="str">
        <f t="shared" si="4"/>
        <v>—</v>
      </c>
      <c r="T37" t="str">
        <f>IF(NOT(ISNUMBER(S37)),"⬜  Sin dato PVE",IF(AND(COUNT(NORMALIZADO!BV37:BY37)&gt;=3,AQ37=7),IF(S37&lt;34,"🔴 Crítico",IF(S37&lt;67,"🟡 Vulnerable","🟢 Preparado")),"◐  Parcial · "&amp;AQ37&amp;"/7"))</f>
        <v>⬜  Sin dato PVE</v>
      </c>
      <c r="U37" s="53">
        <v>1</v>
      </c>
      <c r="V37" t="s">
        <v>67</v>
      </c>
      <c r="W37" t="str">
        <f>IF(NORMALIZADO!BV37="","",NORMALIZADO!BV37)</f>
        <v/>
      </c>
      <c r="X37" t="str">
        <f>IF(NORMALIZADO!BW37="","",NORMALIZADO!BW37)</f>
        <v/>
      </c>
      <c r="Y37" t="str">
        <f>IF(NORMALIZADO!BX37="","",NORMALIZADO!BX37)</f>
        <v/>
      </c>
      <c r="Z37" t="str">
        <f>IF(NORMALIZADO!BY37="","",NORMALIZADO!BY37)</f>
        <v/>
      </c>
      <c r="AO37" t="str">
        <f t="shared" si="5"/>
        <v>N/A</v>
      </c>
      <c r="AP37" t="str">
        <f>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f>
        <v>—</v>
      </c>
      <c r="AQ37">
        <f>IF(ISNUMBER(M37),1,0)+IF(ISNUMBER(SCORECARDS!H37),1,0)+IF(ISNUMBER(SCORECARDS!I37),1,0)+IF(ISNUMBER(SCORECARDS!J37),1,0)+IF(ISNUMBER(ISCAM_Score!K38),1,0)+IF(ISNUMBER(O37),1,0)+IF(COUNT(W37:Z37)&gt;0,1,0)</f>
        <v>0</v>
      </c>
      <c r="AT37" t="str">
        <f>IF(NOT(ISNUMBER(AP37)),"sin dato",IF(AND(COUNT(NORMALIZADO!BV37:BY37)&gt;=3,AQ37=7),"completo","parcial · "&amp;AQ37&amp;"/7 · D12-D15 "&amp;COUNT(NORMALIZADO!BV37:BY37)&amp;"/4"))</f>
        <v>sin dato</v>
      </c>
    </row>
    <row r="38" spans="1:46" ht="16.05" customHeight="1" x14ac:dyDescent="0.3">
      <c r="A38" t="s">
        <v>151</v>
      </c>
      <c r="B38" t="s">
        <v>152</v>
      </c>
      <c r="C38" t="s">
        <v>110</v>
      </c>
      <c r="G38" t="s">
        <v>72</v>
      </c>
      <c r="J38" t="s">
        <v>122</v>
      </c>
      <c r="M38" t="str">
        <f t="shared" si="2"/>
        <v/>
      </c>
      <c r="N38" t="s">
        <v>66</v>
      </c>
      <c r="O38" t="str">
        <f t="shared" si="3"/>
        <v/>
      </c>
      <c r="P38" t="s">
        <v>66</v>
      </c>
      <c r="S38" t="str">
        <f t="shared" si="4"/>
        <v>—</v>
      </c>
      <c r="T38" t="str">
        <f>IF(NOT(ISNUMBER(S38)),"⬜  Sin dato PVE",IF(AND(COUNT(NORMALIZADO!BV38:BY38)&gt;=3,AQ38=7),IF(S38&lt;34,"🔴 Crítico",IF(S38&lt;67,"🟡 Vulnerable","🟢 Preparado")),"◐  Parcial · "&amp;AQ38&amp;"/7"))</f>
        <v>⬜  Sin dato PVE</v>
      </c>
      <c r="U38" s="53">
        <v>1</v>
      </c>
      <c r="V38" t="s">
        <v>67</v>
      </c>
      <c r="W38" t="str">
        <f>IF(NORMALIZADO!BV38="","",NORMALIZADO!BV38)</f>
        <v/>
      </c>
      <c r="X38" t="str">
        <f>IF(NORMALIZADO!BW38="","",NORMALIZADO!BW38)</f>
        <v/>
      </c>
      <c r="Y38" t="str">
        <f>IF(NORMALIZADO!BX38="","",NORMALIZADO!BX38)</f>
        <v/>
      </c>
      <c r="Z38" t="str">
        <f>IF(NORMALIZADO!BY38="","",NORMALIZADO!BY38)</f>
        <v/>
      </c>
      <c r="AO38" t="str">
        <f t="shared" si="5"/>
        <v>N/A</v>
      </c>
      <c r="AP38" t="str">
        <f>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f>
        <v>—</v>
      </c>
      <c r="AQ38">
        <f>IF(ISNUMBER(M38),1,0)+IF(ISNUMBER(SCORECARDS!H38),1,0)+IF(ISNUMBER(SCORECARDS!I38),1,0)+IF(ISNUMBER(SCORECARDS!J38),1,0)+IF(ISNUMBER(ISCAM_Score!K39),1,0)+IF(ISNUMBER(O38),1,0)+IF(COUNT(W38:Z38)&gt;0,1,0)</f>
        <v>0</v>
      </c>
      <c r="AT38" t="str">
        <f>IF(NOT(ISNUMBER(AP38)),"sin dato",IF(AND(COUNT(NORMALIZADO!BV38:BY38)&gt;=3,AQ38=7),"completo","parcial · "&amp;AQ38&amp;"/7 · D12-D15 "&amp;COUNT(NORMALIZADO!BV38:BY38)&amp;"/4"))</f>
        <v>sin dato</v>
      </c>
    </row>
    <row r="39" spans="1:46" ht="16.05" customHeight="1" x14ac:dyDescent="0.3">
      <c r="A39" t="s">
        <v>153</v>
      </c>
      <c r="B39" t="s">
        <v>154</v>
      </c>
      <c r="C39" t="s">
        <v>110</v>
      </c>
      <c r="D39" t="s">
        <v>71</v>
      </c>
      <c r="E39">
        <v>1175215.28</v>
      </c>
      <c r="F39">
        <v>7</v>
      </c>
      <c r="G39" t="s">
        <v>64</v>
      </c>
      <c r="J39" t="s">
        <v>65</v>
      </c>
      <c r="L39">
        <v>587607.64</v>
      </c>
      <c r="M39">
        <f t="shared" si="2"/>
        <v>50</v>
      </c>
      <c r="N39" t="s">
        <v>66</v>
      </c>
      <c r="O39" t="str">
        <f t="shared" si="3"/>
        <v/>
      </c>
      <c r="P39" t="s">
        <v>66</v>
      </c>
      <c r="S39">
        <f t="shared" si="4"/>
        <v>50</v>
      </c>
      <c r="T39" t="str">
        <f>IF(NOT(ISNUMBER(S39)),"⬜  Sin dato PVE",IF(AND(COUNT(NORMALIZADO!BV39:BY39)&gt;=3,AQ39=7),IF(S39&lt;34,"🔴 Crítico",IF(S39&lt;67,"🟡 Vulnerable","🟢 Preparado")),"◐  Parcial · "&amp;AQ39&amp;"/7"))</f>
        <v>◐  Parcial · 2/7</v>
      </c>
      <c r="U39" s="53">
        <v>1</v>
      </c>
      <c r="V39" t="s">
        <v>67</v>
      </c>
      <c r="W39">
        <f>IF(NORMALIZADO!BV39="",1,NORMALIZADO!BV39)</f>
        <v>1</v>
      </c>
      <c r="X39" t="str">
        <f>IF(NORMALIZADO!BW39="","",NORMALIZADO!BW39)</f>
        <v/>
      </c>
      <c r="Y39" t="str">
        <f>IF(NORMALIZADO!BX39="","",NORMALIZADO!BX39)</f>
        <v/>
      </c>
      <c r="Z39" t="str">
        <f>IF(NORMALIZADO!BY39="","",NORMALIZADO!BY39)</f>
        <v/>
      </c>
      <c r="AO39" t="str">
        <f t="shared" si="5"/>
        <v>N/A</v>
      </c>
      <c r="AP39">
        <f>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f>
        <v>0.5</v>
      </c>
      <c r="AQ39">
        <f>IF(ISNUMBER(M39),1,0)+IF(ISNUMBER(SCORECARDS!H39),1,0)+IF(ISNUMBER(SCORECARDS!I39),1,0)+IF(ISNUMBER(SCORECARDS!J39),1,0)+IF(ISNUMBER(ISCAM_Score!K40),1,0)+IF(ISNUMBER(O39),1,0)+IF(COUNT(W39:Z39)&gt;0,1,0)</f>
        <v>2</v>
      </c>
      <c r="AT39" t="str">
        <f>IF(NOT(ISNUMBER(AP39)),"sin dato",IF(AND(COUNT(NORMALIZADO!BV39:BY39)&gt;=3,AQ39=7),"completo","parcial · "&amp;AQ39&amp;"/7 · D12-D15 "&amp;COUNT(NORMALIZADO!BV39:BY39)&amp;"/4"))</f>
        <v>parcial · 2/7 · D12-D15 0/4</v>
      </c>
    </row>
    <row r="40" spans="1:46" ht="16.05" customHeight="1" x14ac:dyDescent="0.3">
      <c r="A40" t="s">
        <v>155</v>
      </c>
      <c r="B40" t="s">
        <v>156</v>
      </c>
      <c r="C40" t="s">
        <v>110</v>
      </c>
      <c r="D40" t="s">
        <v>71</v>
      </c>
      <c r="E40">
        <v>1684429.98</v>
      </c>
      <c r="F40">
        <v>14</v>
      </c>
      <c r="G40" t="s">
        <v>64</v>
      </c>
      <c r="J40" t="s">
        <v>65</v>
      </c>
      <c r="L40">
        <v>842214.99</v>
      </c>
      <c r="M40">
        <f t="shared" si="2"/>
        <v>50</v>
      </c>
      <c r="N40" t="s">
        <v>66</v>
      </c>
      <c r="O40" t="str">
        <f t="shared" si="3"/>
        <v/>
      </c>
      <c r="P40" t="s">
        <v>66</v>
      </c>
      <c r="S40">
        <f t="shared" si="4"/>
        <v>50</v>
      </c>
      <c r="T40" t="str">
        <f>IF(NOT(ISNUMBER(S40)),"⬜  Sin dato PVE",IF(AND(COUNT(NORMALIZADO!BV40:BY40)&gt;=3,AQ40=7),IF(S40&lt;34,"🔴 Crítico",IF(S40&lt;67,"🟡 Vulnerable","🟢 Preparado")),"◐  Parcial · "&amp;AQ40&amp;"/7"))</f>
        <v>◐  Parcial · 2/7</v>
      </c>
      <c r="U40" s="53">
        <v>1</v>
      </c>
      <c r="V40" t="s">
        <v>67</v>
      </c>
      <c r="W40">
        <f>IF(NORMALIZADO!BV40="",1,NORMALIZADO!BV40)</f>
        <v>1</v>
      </c>
      <c r="X40" t="str">
        <f>IF(NORMALIZADO!BW40="","",NORMALIZADO!BW40)</f>
        <v/>
      </c>
      <c r="Y40" t="str">
        <f>IF(NORMALIZADO!BX40="","",NORMALIZADO!BX40)</f>
        <v/>
      </c>
      <c r="Z40" t="str">
        <f>IF(NORMALIZADO!BY40="","",NORMALIZADO!BY40)</f>
        <v/>
      </c>
      <c r="AO40" t="str">
        <f t="shared" si="5"/>
        <v>N/A</v>
      </c>
      <c r="AP40">
        <f>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f>
        <v>0.5</v>
      </c>
      <c r="AQ40">
        <f>IF(ISNUMBER(M40),1,0)+IF(ISNUMBER(SCORECARDS!H40),1,0)+IF(ISNUMBER(SCORECARDS!I40),1,0)+IF(ISNUMBER(SCORECARDS!J40),1,0)+IF(ISNUMBER(ISCAM_Score!K41),1,0)+IF(ISNUMBER(O40),1,0)+IF(COUNT(W40:Z40)&gt;0,1,0)</f>
        <v>2</v>
      </c>
      <c r="AT40" t="str">
        <f>IF(NOT(ISNUMBER(AP40)),"sin dato",IF(AND(COUNT(NORMALIZADO!BV40:BY40)&gt;=3,AQ40=7),"completo","parcial · "&amp;AQ40&amp;"/7 · D12-D15 "&amp;COUNT(NORMALIZADO!BV40:BY40)&amp;"/4"))</f>
        <v>parcial · 2/7 · D12-D15 0/4</v>
      </c>
    </row>
    <row r="41" spans="1:46" ht="16.05" customHeight="1" x14ac:dyDescent="0.3">
      <c r="A41" t="s">
        <v>157</v>
      </c>
      <c r="B41" t="s">
        <v>158</v>
      </c>
      <c r="C41" t="s">
        <v>110</v>
      </c>
      <c r="D41" t="s">
        <v>63</v>
      </c>
      <c r="G41" t="s">
        <v>72</v>
      </c>
      <c r="J41" t="s">
        <v>122</v>
      </c>
      <c r="M41" t="str">
        <f t="shared" si="2"/>
        <v/>
      </c>
      <c r="N41" t="s">
        <v>66</v>
      </c>
      <c r="O41" t="str">
        <f t="shared" si="3"/>
        <v/>
      </c>
      <c r="P41" t="s">
        <v>66</v>
      </c>
      <c r="S41" t="str">
        <f t="shared" si="4"/>
        <v>—</v>
      </c>
      <c r="T41" t="str">
        <f>IF(NOT(ISNUMBER(S41)),"⬜  Sin dato PVE",IF(AND(COUNT(NORMALIZADO!BV41:BY41)&gt;=3,AQ41=7),IF(S41&lt;34,"🔴 Crítico",IF(S41&lt;67,"🟡 Vulnerable","🟢 Preparado")),"◐  Parcial · "&amp;AQ41&amp;"/7"))</f>
        <v>⬜  Sin dato PVE</v>
      </c>
      <c r="U41" s="53">
        <v>1</v>
      </c>
      <c r="V41" t="s">
        <v>67</v>
      </c>
      <c r="W41" t="str">
        <f>IF(NORMALIZADO!BV41="","",NORMALIZADO!BV41)</f>
        <v/>
      </c>
      <c r="X41" t="str">
        <f>IF(NORMALIZADO!BW41="","",NORMALIZADO!BW41)</f>
        <v/>
      </c>
      <c r="Y41" t="str">
        <f>IF(NORMALIZADO!BX41="","",NORMALIZADO!BX41)</f>
        <v/>
      </c>
      <c r="Z41" t="str">
        <f>IF(NORMALIZADO!BY41="","",NORMALIZADO!BY41)</f>
        <v/>
      </c>
      <c r="AO41" t="str">
        <f t="shared" si="5"/>
        <v>N/A</v>
      </c>
      <c r="AP41" t="str">
        <f>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f>
        <v>—</v>
      </c>
      <c r="AQ41">
        <f>IF(ISNUMBER(M41),1,0)+IF(ISNUMBER(SCORECARDS!H41),1,0)+IF(ISNUMBER(SCORECARDS!I41),1,0)+IF(ISNUMBER(SCORECARDS!J41),1,0)+IF(ISNUMBER(ISCAM_Score!K42),1,0)+IF(ISNUMBER(O41),1,0)+IF(COUNT(W41:Z41)&gt;0,1,0)</f>
        <v>0</v>
      </c>
      <c r="AT41" t="str">
        <f>IF(NOT(ISNUMBER(AP41)),"sin dato",IF(AND(COUNT(NORMALIZADO!BV41:BY41)&gt;=3,AQ41=7),"completo","parcial · "&amp;AQ41&amp;"/7 · D12-D15 "&amp;COUNT(NORMALIZADO!BV41:BY41)&amp;"/4"))</f>
        <v>sin dato</v>
      </c>
    </row>
    <row r="42" spans="1:46" ht="16.05" customHeight="1" x14ac:dyDescent="0.3">
      <c r="A42" t="s">
        <v>159</v>
      </c>
      <c r="B42" t="s">
        <v>160</v>
      </c>
      <c r="C42" t="s">
        <v>101</v>
      </c>
      <c r="D42" t="s">
        <v>71</v>
      </c>
      <c r="E42">
        <v>817000</v>
      </c>
      <c r="F42">
        <v>6</v>
      </c>
      <c r="G42" t="s">
        <v>64</v>
      </c>
      <c r="J42" t="s">
        <v>65</v>
      </c>
      <c r="L42">
        <v>408500</v>
      </c>
      <c r="M42">
        <f t="shared" si="2"/>
        <v>50</v>
      </c>
      <c r="N42" t="s">
        <v>66</v>
      </c>
      <c r="O42" t="str">
        <f t="shared" si="3"/>
        <v/>
      </c>
      <c r="P42" t="s">
        <v>66</v>
      </c>
      <c r="S42">
        <f t="shared" si="4"/>
        <v>50</v>
      </c>
      <c r="T42" t="str">
        <f>IF(NOT(ISNUMBER(S42)),"⬜  Sin dato PVE",IF(AND(COUNT(NORMALIZADO!BV42:BY42)&gt;=3,AQ42=7),IF(S42&lt;34,"🔴 Crítico",IF(S42&lt;67,"🟡 Vulnerable","🟢 Preparado")),"◐  Parcial · "&amp;AQ42&amp;"/7"))</f>
        <v>◐  Parcial · 1/7</v>
      </c>
      <c r="U42" s="53">
        <v>1</v>
      </c>
      <c r="V42" t="s">
        <v>67</v>
      </c>
      <c r="W42" t="str">
        <f>IF(NORMALIZADO!BV42="","",NORMALIZADO!BV42)</f>
        <v/>
      </c>
      <c r="X42" t="str">
        <f>IF(NORMALIZADO!BW42="","",NORMALIZADO!BW42)</f>
        <v/>
      </c>
      <c r="Y42" t="str">
        <f>IF(NORMALIZADO!BX42="","",NORMALIZADO!BX42)</f>
        <v/>
      </c>
      <c r="Z42" t="str">
        <f>IF(NORMALIZADO!BY42="","",NORMALIZADO!BY42)</f>
        <v/>
      </c>
      <c r="AO42" t="str">
        <f t="shared" si="5"/>
        <v>N/A</v>
      </c>
      <c r="AP42">
        <f>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f>
        <v>0.5</v>
      </c>
      <c r="AQ42">
        <f>IF(ISNUMBER(M42),1,0)+IF(ISNUMBER(SCORECARDS!H42),1,0)+IF(ISNUMBER(SCORECARDS!I42),1,0)+IF(ISNUMBER(SCORECARDS!J42),1,0)+IF(ISNUMBER(ISCAM_Score!K43),1,0)+IF(ISNUMBER(O42),1,0)+IF(COUNT(W42:Z42)&gt;0,1,0)</f>
        <v>1</v>
      </c>
      <c r="AT42" t="str">
        <f>IF(NOT(ISNUMBER(AP42)),"sin dato",IF(AND(COUNT(NORMALIZADO!BV42:BY42)&gt;=3,AQ42=7),"completo","parcial · "&amp;AQ42&amp;"/7 · D12-D15 "&amp;COUNT(NORMALIZADO!BV42:BY42)&amp;"/4"))</f>
        <v>parcial · 1/7 · D12-D15 0/4</v>
      </c>
    </row>
    <row r="43" spans="1:46" ht="16.05" customHeight="1" x14ac:dyDescent="0.3">
      <c r="A43" t="s">
        <v>161</v>
      </c>
      <c r="B43" t="s">
        <v>162</v>
      </c>
      <c r="C43" t="s">
        <v>75</v>
      </c>
      <c r="D43" t="s">
        <v>63</v>
      </c>
      <c r="G43" t="s">
        <v>72</v>
      </c>
      <c r="J43" t="s">
        <v>104</v>
      </c>
      <c r="M43" t="str">
        <f t="shared" si="2"/>
        <v/>
      </c>
      <c r="N43" t="s">
        <v>66</v>
      </c>
      <c r="O43" t="str">
        <f t="shared" si="3"/>
        <v/>
      </c>
      <c r="P43" t="s">
        <v>66</v>
      </c>
      <c r="S43" t="str">
        <f t="shared" si="4"/>
        <v>—</v>
      </c>
      <c r="T43" t="str">
        <f>IF(NOT(ISNUMBER(S43)),"⬜  Sin dato PVE",IF(AND(COUNT(NORMALIZADO!BV43:BY43)&gt;=3,AQ43=7),IF(S43&lt;34,"🔴 Crítico",IF(S43&lt;67,"🟡 Vulnerable","🟢 Preparado")),"◐  Parcial · "&amp;AQ43&amp;"/7"))</f>
        <v>⬜  Sin dato PVE</v>
      </c>
      <c r="U43" s="53">
        <v>1</v>
      </c>
      <c r="V43" t="s">
        <v>67</v>
      </c>
      <c r="W43" t="str">
        <f>IF(NORMALIZADO!BV43="","",NORMALIZADO!BV43)</f>
        <v/>
      </c>
      <c r="X43" t="str">
        <f>IF(NORMALIZADO!BW43="","",NORMALIZADO!BW43)</f>
        <v/>
      </c>
      <c r="Y43" t="str">
        <f>IF(NORMALIZADO!BX43="","",NORMALIZADO!BX43)</f>
        <v/>
      </c>
      <c r="Z43" t="str">
        <f>IF(NORMALIZADO!BY43="","",NORMALIZADO!BY43)</f>
        <v/>
      </c>
      <c r="AO43" t="str">
        <f t="shared" si="5"/>
        <v>N/A</v>
      </c>
      <c r="AP43" t="str">
        <f>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f>
        <v>—</v>
      </c>
      <c r="AQ43">
        <f>IF(ISNUMBER(M43),1,0)+IF(ISNUMBER(SCORECARDS!H43),1,0)+IF(ISNUMBER(SCORECARDS!I43),1,0)+IF(ISNUMBER(SCORECARDS!J43),1,0)+IF(ISNUMBER(ISCAM_Score!K44),1,0)+IF(ISNUMBER(O43),1,0)+IF(COUNT(W43:Z43)&gt;0,1,0)</f>
        <v>0</v>
      </c>
      <c r="AT43" t="str">
        <f>IF(NOT(ISNUMBER(AP43)),"sin dato",IF(AND(COUNT(NORMALIZADO!BV43:BY43)&gt;=3,AQ43=7),"completo","parcial · "&amp;AQ43&amp;"/7 · D12-D15 "&amp;COUNT(NORMALIZADO!BV43:BY43)&amp;"/4"))</f>
        <v>sin dato</v>
      </c>
    </row>
    <row r="44" spans="1:46" ht="16.05" customHeight="1" x14ac:dyDescent="0.3">
      <c r="A44" t="s">
        <v>163</v>
      </c>
      <c r="B44" t="s">
        <v>164</v>
      </c>
      <c r="C44" t="s">
        <v>75</v>
      </c>
      <c r="D44" t="s">
        <v>63</v>
      </c>
      <c r="G44" t="s">
        <v>72</v>
      </c>
      <c r="J44" t="s">
        <v>65</v>
      </c>
      <c r="M44" t="str">
        <f t="shared" si="2"/>
        <v/>
      </c>
      <c r="N44" t="s">
        <v>66</v>
      </c>
      <c r="O44" t="str">
        <f t="shared" si="3"/>
        <v/>
      </c>
      <c r="P44" t="s">
        <v>66</v>
      </c>
      <c r="S44" t="str">
        <f t="shared" si="4"/>
        <v>—</v>
      </c>
      <c r="T44" t="str">
        <f>IF(NOT(ISNUMBER(S44)),"⬜  Sin dato PVE",IF(AND(COUNT(NORMALIZADO!BV44:BY44)&gt;=3,AQ44=7),IF(S44&lt;34,"🔴 Crítico",IF(S44&lt;67,"🟡 Vulnerable","🟢 Preparado")),"◐  Parcial · "&amp;AQ44&amp;"/7"))</f>
        <v>⬜  Sin dato PVE</v>
      </c>
      <c r="U44" s="53">
        <v>1</v>
      </c>
      <c r="V44" t="s">
        <v>67</v>
      </c>
      <c r="W44" t="str">
        <f>IF(NORMALIZADO!BV44="","",NORMALIZADO!BV44)</f>
        <v/>
      </c>
      <c r="X44" t="str">
        <f>IF(NORMALIZADO!BW44="","",NORMALIZADO!BW44)</f>
        <v/>
      </c>
      <c r="Y44" t="str">
        <f>IF(NORMALIZADO!BX44="","",NORMALIZADO!BX44)</f>
        <v/>
      </c>
      <c r="Z44" t="str">
        <f>IF(NORMALIZADO!BY44="","",NORMALIZADO!BY44)</f>
        <v/>
      </c>
      <c r="AO44" t="str">
        <f t="shared" si="5"/>
        <v>N/A</v>
      </c>
      <c r="AP44" t="str">
        <f>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f>
        <v>—</v>
      </c>
      <c r="AQ44">
        <f>IF(ISNUMBER(M44),1,0)+IF(ISNUMBER(SCORECARDS!H44),1,0)+IF(ISNUMBER(SCORECARDS!I44),1,0)+IF(ISNUMBER(SCORECARDS!J44),1,0)+IF(ISNUMBER(ISCAM_Score!K45),1,0)+IF(ISNUMBER(O44),1,0)+IF(COUNT(W44:Z44)&gt;0,1,0)</f>
        <v>0</v>
      </c>
      <c r="AT44" t="str">
        <f>IF(NOT(ISNUMBER(AP44)),"sin dato",IF(AND(COUNT(NORMALIZADO!BV44:BY44)&gt;=3,AQ44=7),"completo","parcial · "&amp;AQ44&amp;"/7 · D12-D15 "&amp;COUNT(NORMALIZADO!BV44:BY44)&amp;"/4"))</f>
        <v>sin dato</v>
      </c>
    </row>
    <row r="45" spans="1:46" ht="16.05" customHeight="1" x14ac:dyDescent="0.3">
      <c r="A45" t="s">
        <v>165</v>
      </c>
      <c r="B45" t="s">
        <v>166</v>
      </c>
      <c r="C45" t="s">
        <v>75</v>
      </c>
      <c r="D45" t="s">
        <v>63</v>
      </c>
      <c r="E45">
        <v>13207692.050000001</v>
      </c>
      <c r="F45">
        <v>41</v>
      </c>
      <c r="G45" t="s">
        <v>64</v>
      </c>
      <c r="J45" t="s">
        <v>65</v>
      </c>
      <c r="L45">
        <v>6603846.0300000003</v>
      </c>
      <c r="M45">
        <f t="shared" si="2"/>
        <v>50</v>
      </c>
      <c r="N45" t="s">
        <v>66</v>
      </c>
      <c r="O45" t="str">
        <f t="shared" si="3"/>
        <v/>
      </c>
      <c r="P45" t="s">
        <v>66</v>
      </c>
      <c r="S45">
        <f t="shared" si="4"/>
        <v>50</v>
      </c>
      <c r="T45" t="str">
        <f>IF(NOT(ISNUMBER(S45)),"⬜  Sin dato PVE",IF(AND(COUNT(NORMALIZADO!BV45:BY45)&gt;=3,AQ45=7),IF(S45&lt;34,"🔴 Crítico",IF(S45&lt;67,"🟡 Vulnerable","🟢 Preparado")),"◐  Parcial · "&amp;AQ45&amp;"/7"))</f>
        <v>◐  Parcial · 2/7</v>
      </c>
      <c r="U45" s="53">
        <v>1</v>
      </c>
      <c r="V45" t="s">
        <v>67</v>
      </c>
      <c r="W45">
        <f>IF(NORMALIZADO!BV45="",1,NORMALIZADO!BV45)</f>
        <v>1</v>
      </c>
      <c r="X45" t="str">
        <f>IF(NORMALIZADO!BW45="","",NORMALIZADO!BW45)</f>
        <v/>
      </c>
      <c r="Y45" t="str">
        <f>IF(NORMALIZADO!BX45="","",NORMALIZADO!BX45)</f>
        <v/>
      </c>
      <c r="Z45" t="str">
        <f>IF(NORMALIZADO!BY45="","",NORMALIZADO!BY45)</f>
        <v/>
      </c>
      <c r="AO45" t="str">
        <f t="shared" si="5"/>
        <v>N/A</v>
      </c>
      <c r="AP45">
        <f>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f>
        <v>0.5</v>
      </c>
      <c r="AQ45">
        <f>IF(ISNUMBER(M45),1,0)+IF(ISNUMBER(SCORECARDS!H45),1,0)+IF(ISNUMBER(SCORECARDS!I45),1,0)+IF(ISNUMBER(SCORECARDS!J45),1,0)+IF(ISNUMBER(ISCAM_Score!K46),1,0)+IF(ISNUMBER(O45),1,0)+IF(COUNT(W45:Z45)&gt;0,1,0)</f>
        <v>2</v>
      </c>
      <c r="AT45" t="str">
        <f>IF(NOT(ISNUMBER(AP45)),"sin dato",IF(AND(COUNT(NORMALIZADO!BV45:BY45)&gt;=3,AQ45=7),"completo","parcial · "&amp;AQ45&amp;"/7 · D12-D15 "&amp;COUNT(NORMALIZADO!BV45:BY45)&amp;"/4"))</f>
        <v>parcial · 2/7 · D12-D15 0/4</v>
      </c>
    </row>
    <row r="46" spans="1:46" ht="16.05" customHeight="1" x14ac:dyDescent="0.3">
      <c r="A46" t="s">
        <v>167</v>
      </c>
      <c r="B46" t="s">
        <v>168</v>
      </c>
      <c r="C46" t="s">
        <v>75</v>
      </c>
      <c r="G46" t="s">
        <v>72</v>
      </c>
      <c r="J46" t="s">
        <v>104</v>
      </c>
      <c r="M46" t="str">
        <f t="shared" si="2"/>
        <v/>
      </c>
      <c r="N46" t="s">
        <v>66</v>
      </c>
      <c r="O46" t="str">
        <f t="shared" si="3"/>
        <v/>
      </c>
      <c r="P46" t="s">
        <v>66</v>
      </c>
      <c r="S46" t="str">
        <f t="shared" si="4"/>
        <v>—</v>
      </c>
      <c r="T46" t="str">
        <f>IF(NOT(ISNUMBER(S46)),"⬜  Sin dato PVE",IF(AND(COUNT(NORMALIZADO!BV46:BY46)&gt;=3,AQ46=7),IF(S46&lt;34,"🔴 Crítico",IF(S46&lt;67,"🟡 Vulnerable","🟢 Preparado")),"◐  Parcial · "&amp;AQ46&amp;"/7"))</f>
        <v>⬜  Sin dato PVE</v>
      </c>
      <c r="U46" s="53">
        <v>1</v>
      </c>
      <c r="V46" t="s">
        <v>67</v>
      </c>
      <c r="W46" t="str">
        <f>IF(NORMALIZADO!BV46="","",NORMALIZADO!BV46)</f>
        <v/>
      </c>
      <c r="X46" t="str">
        <f>IF(NORMALIZADO!BW46="","",NORMALIZADO!BW46)</f>
        <v/>
      </c>
      <c r="Y46" t="str">
        <f>IF(NORMALIZADO!BX46="","",NORMALIZADO!BX46)</f>
        <v/>
      </c>
      <c r="Z46" t="str">
        <f>IF(NORMALIZADO!BY46="","",NORMALIZADO!BY46)</f>
        <v/>
      </c>
      <c r="AO46" t="str">
        <f t="shared" si="5"/>
        <v>N/A</v>
      </c>
      <c r="AP46" t="str">
        <f>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f>
        <v>—</v>
      </c>
      <c r="AQ46">
        <f>IF(ISNUMBER(M46),1,0)+IF(ISNUMBER(SCORECARDS!H46),1,0)+IF(ISNUMBER(SCORECARDS!I46),1,0)+IF(ISNUMBER(SCORECARDS!J46),1,0)+IF(ISNUMBER(ISCAM_Score!K47),1,0)+IF(ISNUMBER(O46),1,0)+IF(COUNT(W46:Z46)&gt;0,1,0)</f>
        <v>0</v>
      </c>
      <c r="AT46" t="str">
        <f>IF(NOT(ISNUMBER(AP46)),"sin dato",IF(AND(COUNT(NORMALIZADO!BV46:BY46)&gt;=3,AQ46=7),"completo","parcial · "&amp;AQ46&amp;"/7 · D12-D15 "&amp;COUNT(NORMALIZADO!BV46:BY46)&amp;"/4"))</f>
        <v>sin dato</v>
      </c>
    </row>
    <row r="47" spans="1:46" ht="16.05" customHeight="1" x14ac:dyDescent="0.3">
      <c r="A47" t="s">
        <v>169</v>
      </c>
      <c r="B47" t="s">
        <v>170</v>
      </c>
      <c r="C47" t="s">
        <v>75</v>
      </c>
      <c r="D47" t="s">
        <v>71</v>
      </c>
      <c r="G47" t="s">
        <v>72</v>
      </c>
      <c r="J47" t="s">
        <v>65</v>
      </c>
      <c r="M47" t="str">
        <f t="shared" si="2"/>
        <v/>
      </c>
      <c r="N47" t="s">
        <v>66</v>
      </c>
      <c r="O47" t="str">
        <f t="shared" si="3"/>
        <v/>
      </c>
      <c r="P47" t="s">
        <v>66</v>
      </c>
      <c r="S47" t="str">
        <f t="shared" si="4"/>
        <v>—</v>
      </c>
      <c r="T47" t="str">
        <f>IF(NOT(ISNUMBER(S47)),"⬜  Sin dato PVE",IF(AND(COUNT(NORMALIZADO!BV47:BY47)&gt;=3,AQ47=7),IF(S47&lt;34,"🔴 Crítico",IF(S47&lt;67,"🟡 Vulnerable","🟢 Preparado")),"◐  Parcial · "&amp;AQ47&amp;"/7"))</f>
        <v>⬜  Sin dato PVE</v>
      </c>
      <c r="U47" s="53">
        <v>1</v>
      </c>
      <c r="V47" t="s">
        <v>67</v>
      </c>
      <c r="W47" t="str">
        <f>IF(NORMALIZADO!BV47="","",NORMALIZADO!BV47)</f>
        <v/>
      </c>
      <c r="X47" t="str">
        <f>IF(NORMALIZADO!BW47="","",NORMALIZADO!BW47)</f>
        <v/>
      </c>
      <c r="Y47" t="str">
        <f>IF(NORMALIZADO!BX47="","",NORMALIZADO!BX47)</f>
        <v/>
      </c>
      <c r="Z47" t="str">
        <f>IF(NORMALIZADO!BY47="","",NORMALIZADO!BY47)</f>
        <v/>
      </c>
      <c r="AO47" t="str">
        <f t="shared" si="5"/>
        <v>N/A</v>
      </c>
      <c r="AP47" t="str">
        <f>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f>
        <v>—</v>
      </c>
      <c r="AQ47">
        <f>IF(ISNUMBER(M47),1,0)+IF(ISNUMBER(SCORECARDS!H47),1,0)+IF(ISNUMBER(SCORECARDS!I47),1,0)+IF(ISNUMBER(SCORECARDS!J47),1,0)+IF(ISNUMBER(ISCAM_Score!K48),1,0)+IF(ISNUMBER(O47),1,0)+IF(COUNT(W47:Z47)&gt;0,1,0)</f>
        <v>0</v>
      </c>
      <c r="AT47" t="str">
        <f>IF(NOT(ISNUMBER(AP47)),"sin dato",IF(AND(COUNT(NORMALIZADO!BV47:BY47)&gt;=3,AQ47=7),"completo","parcial · "&amp;AQ47&amp;"/7 · D12-D15 "&amp;COUNT(NORMALIZADO!BV47:BY47)&amp;"/4"))</f>
        <v>sin dato</v>
      </c>
    </row>
    <row r="48" spans="1:46" ht="16.05" customHeight="1" x14ac:dyDescent="0.3">
      <c r="A48" t="s">
        <v>171</v>
      </c>
      <c r="B48" t="s">
        <v>172</v>
      </c>
      <c r="C48" t="s">
        <v>75</v>
      </c>
      <c r="D48" t="s">
        <v>71</v>
      </c>
      <c r="E48">
        <v>30342293.079999998</v>
      </c>
      <c r="F48">
        <v>108</v>
      </c>
      <c r="G48" t="s">
        <v>64</v>
      </c>
      <c r="J48" t="s">
        <v>65</v>
      </c>
      <c r="L48">
        <v>15171146.539999999</v>
      </c>
      <c r="M48">
        <f t="shared" si="2"/>
        <v>50</v>
      </c>
      <c r="N48" t="s">
        <v>66</v>
      </c>
      <c r="O48" t="str">
        <f t="shared" si="3"/>
        <v/>
      </c>
      <c r="P48" t="s">
        <v>66</v>
      </c>
      <c r="S48">
        <f t="shared" si="4"/>
        <v>50</v>
      </c>
      <c r="T48" t="str">
        <f>IF(NOT(ISNUMBER(S48)),"⬜  Sin dato PVE",IF(AND(COUNT(NORMALIZADO!BV48:BY48)&gt;=3,AQ48=7),IF(S48&lt;34,"🔴 Crítico",IF(S48&lt;67,"🟡 Vulnerable","🟢 Preparado")),"◐  Parcial · "&amp;AQ48&amp;"/7"))</f>
        <v>◐  Parcial · 2/7</v>
      </c>
      <c r="U48" s="53">
        <v>1</v>
      </c>
      <c r="V48" t="s">
        <v>67</v>
      </c>
      <c r="W48">
        <f>IF(NORMALIZADO!BV48="",1,NORMALIZADO!BV48)</f>
        <v>1</v>
      </c>
      <c r="X48" t="str">
        <f>IF(NORMALIZADO!BW48="","",NORMALIZADO!BW48)</f>
        <v/>
      </c>
      <c r="Y48" t="str">
        <f>IF(NORMALIZADO!BX48="","",NORMALIZADO!BX48)</f>
        <v/>
      </c>
      <c r="Z48" t="str">
        <f>IF(NORMALIZADO!BY48="","",NORMALIZADO!BY48)</f>
        <v/>
      </c>
      <c r="AO48" t="str">
        <f t="shared" si="5"/>
        <v>N/A</v>
      </c>
      <c r="AP48">
        <f>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f>
        <v>0.5</v>
      </c>
      <c r="AQ48">
        <f>IF(ISNUMBER(M48),1,0)+IF(ISNUMBER(SCORECARDS!H48),1,0)+IF(ISNUMBER(SCORECARDS!I48),1,0)+IF(ISNUMBER(SCORECARDS!J48),1,0)+IF(ISNUMBER(ISCAM_Score!K49),1,0)+IF(ISNUMBER(O48),1,0)+IF(COUNT(W48:Z48)&gt;0,1,0)</f>
        <v>2</v>
      </c>
      <c r="AT48" t="str">
        <f>IF(NOT(ISNUMBER(AP48)),"sin dato",IF(AND(COUNT(NORMALIZADO!BV48:BY48)&gt;=3,AQ48=7),"completo","parcial · "&amp;AQ48&amp;"/7 · D12-D15 "&amp;COUNT(NORMALIZADO!BV48:BY48)&amp;"/4"))</f>
        <v>parcial · 2/7 · D12-D15 0/4</v>
      </c>
    </row>
    <row r="49" spans="1:46" ht="16.05" customHeight="1" x14ac:dyDescent="0.3">
      <c r="A49" t="s">
        <v>173</v>
      </c>
      <c r="B49" t="s">
        <v>174</v>
      </c>
      <c r="C49" t="s">
        <v>75</v>
      </c>
      <c r="D49" t="s">
        <v>71</v>
      </c>
      <c r="E49">
        <v>2290978.7000000002</v>
      </c>
      <c r="F49">
        <v>10</v>
      </c>
      <c r="G49" t="s">
        <v>64</v>
      </c>
      <c r="J49" t="s">
        <v>65</v>
      </c>
      <c r="L49">
        <v>1145489.3500000001</v>
      </c>
      <c r="M49">
        <f t="shared" si="2"/>
        <v>50</v>
      </c>
      <c r="N49" t="s">
        <v>66</v>
      </c>
      <c r="O49" t="str">
        <f t="shared" si="3"/>
        <v/>
      </c>
      <c r="P49" t="s">
        <v>66</v>
      </c>
      <c r="S49">
        <f t="shared" si="4"/>
        <v>50</v>
      </c>
      <c r="T49" t="str">
        <f>IF(NOT(ISNUMBER(S49)),"⬜  Sin dato PVE",IF(AND(COUNT(NORMALIZADO!BV49:BY49)&gt;=3,AQ49=7),IF(S49&lt;34,"🔴 Crítico",IF(S49&lt;67,"🟡 Vulnerable","🟢 Preparado")),"◐  Parcial · "&amp;AQ49&amp;"/7"))</f>
        <v>◐  Parcial · 2/7</v>
      </c>
      <c r="U49" s="53">
        <v>1</v>
      </c>
      <c r="V49" t="s">
        <v>67</v>
      </c>
      <c r="W49">
        <f>IF(NORMALIZADO!BV49="",1,NORMALIZADO!BV49)</f>
        <v>1</v>
      </c>
      <c r="X49" t="str">
        <f>IF(NORMALIZADO!BW49="","",NORMALIZADO!BW49)</f>
        <v/>
      </c>
      <c r="Y49" t="str">
        <f>IF(NORMALIZADO!BX49="","",NORMALIZADO!BX49)</f>
        <v/>
      </c>
      <c r="Z49" t="str">
        <f>IF(NORMALIZADO!BY49="","",NORMALIZADO!BY49)</f>
        <v/>
      </c>
      <c r="AO49" t="str">
        <f t="shared" si="5"/>
        <v>N/A</v>
      </c>
      <c r="AP49">
        <f>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f>
        <v>0.5</v>
      </c>
      <c r="AQ49">
        <f>IF(ISNUMBER(M49),1,0)+IF(ISNUMBER(SCORECARDS!H49),1,0)+IF(ISNUMBER(SCORECARDS!I49),1,0)+IF(ISNUMBER(SCORECARDS!J49),1,0)+IF(ISNUMBER(ISCAM_Score!K50),1,0)+IF(ISNUMBER(O49),1,0)+IF(COUNT(W49:Z49)&gt;0,1,0)</f>
        <v>2</v>
      </c>
      <c r="AT49" t="str">
        <f>IF(NOT(ISNUMBER(AP49)),"sin dato",IF(AND(COUNT(NORMALIZADO!BV49:BY49)&gt;=3,AQ49=7),"completo","parcial · "&amp;AQ49&amp;"/7 · D12-D15 "&amp;COUNT(NORMALIZADO!BV49:BY49)&amp;"/4"))</f>
        <v>parcial · 2/7 · D12-D15 0/4</v>
      </c>
    </row>
    <row r="50" spans="1:46" ht="16.05" customHeight="1" x14ac:dyDescent="0.3">
      <c r="A50" t="s">
        <v>175</v>
      </c>
      <c r="B50" t="s">
        <v>176</v>
      </c>
      <c r="C50" t="s">
        <v>177</v>
      </c>
      <c r="D50" t="s">
        <v>63</v>
      </c>
      <c r="G50" t="s">
        <v>72</v>
      </c>
      <c r="J50" t="s">
        <v>122</v>
      </c>
      <c r="M50" t="str">
        <f t="shared" si="2"/>
        <v/>
      </c>
      <c r="N50" t="s">
        <v>66</v>
      </c>
      <c r="O50" t="str">
        <f t="shared" si="3"/>
        <v/>
      </c>
      <c r="P50" t="s">
        <v>66</v>
      </c>
      <c r="S50" t="str">
        <f t="shared" si="4"/>
        <v>—</v>
      </c>
      <c r="T50" t="str">
        <f>IF(NOT(ISNUMBER(S50)),"⬜  Sin dato PVE",IF(AND(COUNT(NORMALIZADO!BV50:BY50)&gt;=3,AQ50=7),IF(S50&lt;34,"🔴 Crítico",IF(S50&lt;67,"🟡 Vulnerable","🟢 Preparado")),"◐  Parcial · "&amp;AQ50&amp;"/7"))</f>
        <v>⬜  Sin dato PVE</v>
      </c>
      <c r="U50" s="53">
        <v>1</v>
      </c>
      <c r="V50" t="s">
        <v>67</v>
      </c>
      <c r="W50" t="str">
        <f>IF(NORMALIZADO!BV50="","",NORMALIZADO!BV50)</f>
        <v/>
      </c>
      <c r="X50" t="str">
        <f>IF(NORMALIZADO!BW50="","",NORMALIZADO!BW50)</f>
        <v/>
      </c>
      <c r="Y50" t="str">
        <f>IF(NORMALIZADO!BX50="","",NORMALIZADO!BX50)</f>
        <v/>
      </c>
      <c r="Z50" t="str">
        <f>IF(NORMALIZADO!BY50="","",NORMALIZADO!BY50)</f>
        <v/>
      </c>
      <c r="AO50" t="str">
        <f t="shared" si="5"/>
        <v>N/A</v>
      </c>
      <c r="AP50" t="str">
        <f>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f>
        <v>—</v>
      </c>
      <c r="AQ50">
        <f>IF(ISNUMBER(M50),1,0)+IF(ISNUMBER(SCORECARDS!H50),1,0)+IF(ISNUMBER(SCORECARDS!I50),1,0)+IF(ISNUMBER(SCORECARDS!J50),1,0)+IF(ISNUMBER(ISCAM_Score!K51),1,0)+IF(ISNUMBER(O50),1,0)+IF(COUNT(W50:Z50)&gt;0,1,0)</f>
        <v>0</v>
      </c>
      <c r="AT50" t="str">
        <f>IF(NOT(ISNUMBER(AP50)),"sin dato",IF(AND(COUNT(NORMALIZADO!BV50:BY50)&gt;=3,AQ50=7),"completo","parcial · "&amp;AQ50&amp;"/7 · D12-D15 "&amp;COUNT(NORMALIZADO!BV50:BY50)&amp;"/4"))</f>
        <v>sin dato</v>
      </c>
    </row>
    <row r="51" spans="1:46" ht="16.05" customHeight="1" x14ac:dyDescent="0.3">
      <c r="A51" t="s">
        <v>178</v>
      </c>
      <c r="B51" t="s">
        <v>179</v>
      </c>
      <c r="C51" t="s">
        <v>148</v>
      </c>
      <c r="D51" t="s">
        <v>71</v>
      </c>
      <c r="G51" t="s">
        <v>72</v>
      </c>
      <c r="J51" t="s">
        <v>65</v>
      </c>
      <c r="M51" t="str">
        <f t="shared" si="2"/>
        <v/>
      </c>
      <c r="N51" t="s">
        <v>66</v>
      </c>
      <c r="O51" t="str">
        <f t="shared" si="3"/>
        <v/>
      </c>
      <c r="P51" t="s">
        <v>66</v>
      </c>
      <c r="S51" t="str">
        <f t="shared" si="4"/>
        <v>—</v>
      </c>
      <c r="T51" t="str">
        <f>IF(NOT(ISNUMBER(S51)),"⬜  Sin dato PVE",IF(AND(COUNT(NORMALIZADO!BV51:BY51)&gt;=3,AQ51=7),IF(S51&lt;34,"🔴 Crítico",IF(S51&lt;67,"🟡 Vulnerable","🟢 Preparado")),"◐  Parcial · "&amp;AQ51&amp;"/7"))</f>
        <v>⬜  Sin dato PVE</v>
      </c>
      <c r="U51" s="53">
        <v>1</v>
      </c>
      <c r="V51" t="s">
        <v>67</v>
      </c>
      <c r="W51" t="str">
        <f>IF(NORMALIZADO!BV51="","",NORMALIZADO!BV51)</f>
        <v/>
      </c>
      <c r="X51" t="str">
        <f>IF(NORMALIZADO!BW51="","",NORMALIZADO!BW51)</f>
        <v/>
      </c>
      <c r="Y51" t="str">
        <f>IF(NORMALIZADO!BX51="","",NORMALIZADO!BX51)</f>
        <v/>
      </c>
      <c r="Z51" t="str">
        <f>IF(NORMALIZADO!BY51="","",NORMALIZADO!BY51)</f>
        <v/>
      </c>
      <c r="AO51" t="str">
        <f t="shared" si="5"/>
        <v>N/A</v>
      </c>
      <c r="AP51" t="str">
        <f>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f>
        <v>—</v>
      </c>
      <c r="AQ51">
        <f>IF(ISNUMBER(M51),1,0)+IF(ISNUMBER(SCORECARDS!H51),1,0)+IF(ISNUMBER(SCORECARDS!I51),1,0)+IF(ISNUMBER(SCORECARDS!J51),1,0)+IF(ISNUMBER(ISCAM_Score!K52),1,0)+IF(ISNUMBER(O51),1,0)+IF(COUNT(W51:Z51)&gt;0,1,0)</f>
        <v>0</v>
      </c>
      <c r="AT51" t="str">
        <f>IF(NOT(ISNUMBER(AP51)),"sin dato",IF(AND(COUNT(NORMALIZADO!BV51:BY51)&gt;=3,AQ51=7),"completo","parcial · "&amp;AQ51&amp;"/7 · D12-D15 "&amp;COUNT(NORMALIZADO!BV51:BY51)&amp;"/4"))</f>
        <v>sin dato</v>
      </c>
    </row>
    <row r="52" spans="1:46" ht="16.05" customHeight="1" x14ac:dyDescent="0.3">
      <c r="A52" t="s">
        <v>180</v>
      </c>
      <c r="B52" t="s">
        <v>181</v>
      </c>
      <c r="C52" t="s">
        <v>78</v>
      </c>
      <c r="D52" t="s">
        <v>71</v>
      </c>
      <c r="G52" t="s">
        <v>72</v>
      </c>
      <c r="J52" t="s">
        <v>65</v>
      </c>
      <c r="M52" t="str">
        <f t="shared" si="2"/>
        <v/>
      </c>
      <c r="N52" t="s">
        <v>66</v>
      </c>
      <c r="O52" t="str">
        <f t="shared" si="3"/>
        <v/>
      </c>
      <c r="P52" t="s">
        <v>66</v>
      </c>
      <c r="S52" t="str">
        <f t="shared" si="4"/>
        <v>—</v>
      </c>
      <c r="T52" t="str">
        <f>IF(NOT(ISNUMBER(S52)),"⬜  Sin dato PVE",IF(AND(COUNT(NORMALIZADO!BV52:BY52)&gt;=3,AQ52=7),IF(S52&lt;34,"🔴 Crítico",IF(S52&lt;67,"🟡 Vulnerable","🟢 Preparado")),"◐  Parcial · "&amp;AQ52&amp;"/7"))</f>
        <v>⬜  Sin dato PVE</v>
      </c>
      <c r="U52" s="53">
        <v>1</v>
      </c>
      <c r="V52" t="s">
        <v>67</v>
      </c>
      <c r="W52" t="str">
        <f>IF(NORMALIZADO!BV52="","",NORMALIZADO!BV52)</f>
        <v/>
      </c>
      <c r="X52" t="str">
        <f>IF(NORMALIZADO!BW52="","",NORMALIZADO!BW52)</f>
        <v/>
      </c>
      <c r="Y52" t="str">
        <f>IF(NORMALIZADO!BX52="","",NORMALIZADO!BX52)</f>
        <v/>
      </c>
      <c r="Z52" t="str">
        <f>IF(NORMALIZADO!BY52="","",NORMALIZADO!BY52)</f>
        <v/>
      </c>
      <c r="AO52" t="str">
        <f t="shared" si="5"/>
        <v>N/A</v>
      </c>
      <c r="AP52" t="str">
        <f>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f>
        <v>—</v>
      </c>
      <c r="AQ52">
        <f>IF(ISNUMBER(M52),1,0)+IF(ISNUMBER(SCORECARDS!H52),1,0)+IF(ISNUMBER(SCORECARDS!I52),1,0)+IF(ISNUMBER(SCORECARDS!J52),1,0)+IF(ISNUMBER(ISCAM_Score!K53),1,0)+IF(ISNUMBER(O52),1,0)+IF(COUNT(W52:Z52)&gt;0,1,0)</f>
        <v>0</v>
      </c>
      <c r="AT52" t="str">
        <f>IF(NOT(ISNUMBER(AP52)),"sin dato",IF(AND(COUNT(NORMALIZADO!BV52:BY52)&gt;=3,AQ52=7),"completo","parcial · "&amp;AQ52&amp;"/7 · D12-D15 "&amp;COUNT(NORMALIZADO!BV52:BY52)&amp;"/4"))</f>
        <v>sin dato</v>
      </c>
    </row>
    <row r="53" spans="1:46" ht="16.05" customHeight="1" x14ac:dyDescent="0.3">
      <c r="A53" t="s">
        <v>182</v>
      </c>
      <c r="B53" t="s">
        <v>183</v>
      </c>
      <c r="C53" t="s">
        <v>137</v>
      </c>
      <c r="D53" t="s">
        <v>71</v>
      </c>
      <c r="G53" t="s">
        <v>72</v>
      </c>
      <c r="J53" t="s">
        <v>65</v>
      </c>
      <c r="M53" t="str">
        <f t="shared" si="2"/>
        <v/>
      </c>
      <c r="N53" t="s">
        <v>66</v>
      </c>
      <c r="O53" t="str">
        <f t="shared" si="3"/>
        <v/>
      </c>
      <c r="P53" t="s">
        <v>66</v>
      </c>
      <c r="S53" t="str">
        <f t="shared" si="4"/>
        <v>—</v>
      </c>
      <c r="T53" t="str">
        <f>IF(NOT(ISNUMBER(S53)),"⬜  Sin dato PVE",IF(AND(COUNT(NORMALIZADO!BV53:BY53)&gt;=3,AQ53=7),IF(S53&lt;34,"🔴 Crítico",IF(S53&lt;67,"🟡 Vulnerable","🟢 Preparado")),"◐  Parcial · "&amp;AQ53&amp;"/7"))</f>
        <v>⬜  Sin dato PVE</v>
      </c>
      <c r="U53" s="53">
        <v>1</v>
      </c>
      <c r="V53" t="s">
        <v>67</v>
      </c>
      <c r="W53" t="str">
        <f>IF(NORMALIZADO!BV53="","",NORMALIZADO!BV53)</f>
        <v/>
      </c>
      <c r="X53" t="str">
        <f>IF(NORMALIZADO!BW53="","",NORMALIZADO!BW53)</f>
        <v/>
      </c>
      <c r="Y53" t="str">
        <f>IF(NORMALIZADO!BX53="","",NORMALIZADO!BX53)</f>
        <v/>
      </c>
      <c r="Z53" t="str">
        <f>IF(NORMALIZADO!BY53="","",NORMALIZADO!BY53)</f>
        <v/>
      </c>
      <c r="AO53" t="str">
        <f t="shared" si="5"/>
        <v>N/A</v>
      </c>
      <c r="AP53" t="str">
        <f>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f>
        <v>—</v>
      </c>
      <c r="AQ53">
        <f>IF(ISNUMBER(M53),1,0)+IF(ISNUMBER(SCORECARDS!H53),1,0)+IF(ISNUMBER(SCORECARDS!I53),1,0)+IF(ISNUMBER(SCORECARDS!J53),1,0)+IF(ISNUMBER(ISCAM_Score!K54),1,0)+IF(ISNUMBER(O53),1,0)+IF(COUNT(W53:Z53)&gt;0,1,0)</f>
        <v>0</v>
      </c>
      <c r="AT53" t="str">
        <f>IF(NOT(ISNUMBER(AP53)),"sin dato",IF(AND(COUNT(NORMALIZADO!BV53:BY53)&gt;=3,AQ53=7),"completo","parcial · "&amp;AQ53&amp;"/7 · D12-D15 "&amp;COUNT(NORMALIZADO!BV53:BY53)&amp;"/4"))</f>
        <v>sin dato</v>
      </c>
    </row>
    <row r="54" spans="1:46" ht="16.05" customHeight="1" x14ac:dyDescent="0.3">
      <c r="A54" t="s">
        <v>184</v>
      </c>
      <c r="B54" t="s">
        <v>185</v>
      </c>
      <c r="C54" t="s">
        <v>137</v>
      </c>
      <c r="D54" t="s">
        <v>71</v>
      </c>
      <c r="G54" t="s">
        <v>72</v>
      </c>
      <c r="J54" t="s">
        <v>104</v>
      </c>
      <c r="M54" t="str">
        <f t="shared" si="2"/>
        <v/>
      </c>
      <c r="N54" t="s">
        <v>66</v>
      </c>
      <c r="O54" t="str">
        <f t="shared" si="3"/>
        <v/>
      </c>
      <c r="P54" t="s">
        <v>66</v>
      </c>
      <c r="S54" t="str">
        <f t="shared" si="4"/>
        <v>—</v>
      </c>
      <c r="T54" t="str">
        <f>IF(NOT(ISNUMBER(S54)),"⬜  Sin dato PVE",IF(AND(COUNT(NORMALIZADO!BV54:BY54)&gt;=3,AQ54=7),IF(S54&lt;34,"🔴 Crítico",IF(S54&lt;67,"🟡 Vulnerable","🟢 Preparado")),"◐  Parcial · "&amp;AQ54&amp;"/7"))</f>
        <v>⬜  Sin dato PVE</v>
      </c>
      <c r="U54" s="53">
        <v>1</v>
      </c>
      <c r="V54" t="s">
        <v>67</v>
      </c>
      <c r="W54" t="str">
        <f>IF(NORMALIZADO!BV54="","",NORMALIZADO!BV54)</f>
        <v/>
      </c>
      <c r="X54" t="str">
        <f>IF(NORMALIZADO!BW54="","",NORMALIZADO!BW54)</f>
        <v/>
      </c>
      <c r="Y54" t="str">
        <f>IF(NORMALIZADO!BX54="","",NORMALIZADO!BX54)</f>
        <v/>
      </c>
      <c r="Z54" t="str">
        <f>IF(NORMALIZADO!BY54="","",NORMALIZADO!BY54)</f>
        <v/>
      </c>
      <c r="AO54" t="str">
        <f t="shared" si="5"/>
        <v>N/A</v>
      </c>
      <c r="AP54" t="str">
        <f>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f>
        <v>—</v>
      </c>
      <c r="AQ54">
        <f>IF(ISNUMBER(M54),1,0)+IF(ISNUMBER(SCORECARDS!H54),1,0)+IF(ISNUMBER(SCORECARDS!I54),1,0)+IF(ISNUMBER(SCORECARDS!J54),1,0)+IF(ISNUMBER(ISCAM_Score!K55),1,0)+IF(ISNUMBER(O54),1,0)+IF(COUNT(W54:Z54)&gt;0,1,0)</f>
        <v>0</v>
      </c>
      <c r="AT54" t="str">
        <f>IF(NOT(ISNUMBER(AP54)),"sin dato",IF(AND(COUNT(NORMALIZADO!BV54:BY54)&gt;=3,AQ54=7),"completo","parcial · "&amp;AQ54&amp;"/7 · D12-D15 "&amp;COUNT(NORMALIZADO!BV54:BY54)&amp;"/4"))</f>
        <v>sin dato</v>
      </c>
    </row>
    <row r="55" spans="1:46" ht="16.05" customHeight="1" x14ac:dyDescent="0.3">
      <c r="A55" t="s">
        <v>186</v>
      </c>
      <c r="B55" t="s">
        <v>187</v>
      </c>
      <c r="C55" t="s">
        <v>137</v>
      </c>
      <c r="D55" t="s">
        <v>71</v>
      </c>
      <c r="G55" t="s">
        <v>72</v>
      </c>
      <c r="J55" t="s">
        <v>65</v>
      </c>
      <c r="M55" t="str">
        <f t="shared" si="2"/>
        <v/>
      </c>
      <c r="N55" t="s">
        <v>66</v>
      </c>
      <c r="O55" t="str">
        <f t="shared" si="3"/>
        <v/>
      </c>
      <c r="P55" t="s">
        <v>66</v>
      </c>
      <c r="S55" t="str">
        <f t="shared" si="4"/>
        <v>—</v>
      </c>
      <c r="T55" t="str">
        <f>IF(NOT(ISNUMBER(S55)),"⬜  Sin dato PVE",IF(AND(COUNT(NORMALIZADO!BV55:BY55)&gt;=3,AQ55=7),IF(S55&lt;34,"🔴 Crítico",IF(S55&lt;67,"🟡 Vulnerable","🟢 Preparado")),"◐  Parcial · "&amp;AQ55&amp;"/7"))</f>
        <v>⬜  Sin dato PVE</v>
      </c>
      <c r="U55" s="53">
        <v>1</v>
      </c>
      <c r="V55" t="s">
        <v>67</v>
      </c>
      <c r="W55" t="str">
        <f>IF(NORMALIZADO!BV55="","",NORMALIZADO!BV55)</f>
        <v/>
      </c>
      <c r="X55" t="str">
        <f>IF(NORMALIZADO!BW55="","",NORMALIZADO!BW55)</f>
        <v/>
      </c>
      <c r="Y55" t="str">
        <f>IF(NORMALIZADO!BX55="","",NORMALIZADO!BX55)</f>
        <v/>
      </c>
      <c r="Z55" t="str">
        <f>IF(NORMALIZADO!BY55="","",NORMALIZADO!BY55)</f>
        <v/>
      </c>
      <c r="AO55" t="str">
        <f t="shared" si="5"/>
        <v>N/A</v>
      </c>
      <c r="AP55" t="str">
        <f>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f>
        <v>—</v>
      </c>
      <c r="AQ55">
        <f>IF(ISNUMBER(M55),1,0)+IF(ISNUMBER(SCORECARDS!H55),1,0)+IF(ISNUMBER(SCORECARDS!I55),1,0)+IF(ISNUMBER(SCORECARDS!J55),1,0)+IF(ISNUMBER(ISCAM_Score!K56),1,0)+IF(ISNUMBER(O55),1,0)+IF(COUNT(W55:Z55)&gt;0,1,0)</f>
        <v>0</v>
      </c>
      <c r="AT55" t="str">
        <f>IF(NOT(ISNUMBER(AP55)),"sin dato",IF(AND(COUNT(NORMALIZADO!BV55:BY55)&gt;=3,AQ55=7),"completo","parcial · "&amp;AQ55&amp;"/7 · D12-D15 "&amp;COUNT(NORMALIZADO!BV55:BY55)&amp;"/4"))</f>
        <v>sin dato</v>
      </c>
    </row>
    <row r="56" spans="1:46" ht="16.05" customHeight="1" x14ac:dyDescent="0.3">
      <c r="A56" t="s">
        <v>188</v>
      </c>
      <c r="B56" t="s">
        <v>189</v>
      </c>
      <c r="C56" t="s">
        <v>190</v>
      </c>
      <c r="D56" t="s">
        <v>71</v>
      </c>
      <c r="G56" t="s">
        <v>72</v>
      </c>
      <c r="J56" t="s">
        <v>65</v>
      </c>
      <c r="M56" t="str">
        <f t="shared" si="2"/>
        <v/>
      </c>
      <c r="N56" t="s">
        <v>66</v>
      </c>
      <c r="O56" t="str">
        <f t="shared" si="3"/>
        <v/>
      </c>
      <c r="P56" t="s">
        <v>66</v>
      </c>
      <c r="S56" t="str">
        <f t="shared" si="4"/>
        <v>—</v>
      </c>
      <c r="T56" t="str">
        <f>IF(NOT(ISNUMBER(S56)),"⬜  Sin dato PVE",IF(AND(COUNT(NORMALIZADO!BV56:BY56)&gt;=3,AQ56=7),IF(S56&lt;34,"🔴 Crítico",IF(S56&lt;67,"🟡 Vulnerable","🟢 Preparado")),"◐  Parcial · "&amp;AQ56&amp;"/7"))</f>
        <v>⬜  Sin dato PVE</v>
      </c>
      <c r="U56" s="53">
        <v>1</v>
      </c>
      <c r="V56" t="s">
        <v>67</v>
      </c>
      <c r="W56" t="str">
        <f>IF(NORMALIZADO!BV56="","",NORMALIZADO!BV56)</f>
        <v/>
      </c>
      <c r="X56" t="str">
        <f>IF(NORMALIZADO!BW56="","",NORMALIZADO!BW56)</f>
        <v/>
      </c>
      <c r="Y56" t="str">
        <f>IF(NORMALIZADO!BX56="","",NORMALIZADO!BX56)</f>
        <v/>
      </c>
      <c r="Z56" t="str">
        <f>IF(NORMALIZADO!BY56="","",NORMALIZADO!BY56)</f>
        <v/>
      </c>
      <c r="AO56" t="str">
        <f t="shared" si="5"/>
        <v>N/A</v>
      </c>
      <c r="AP56" t="str">
        <f>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f>
        <v>—</v>
      </c>
      <c r="AQ56">
        <f>IF(ISNUMBER(M56),1,0)+IF(ISNUMBER(SCORECARDS!H56),1,0)+IF(ISNUMBER(SCORECARDS!I56),1,0)+IF(ISNUMBER(SCORECARDS!J56),1,0)+IF(ISNUMBER(ISCAM_Score!K57),1,0)+IF(ISNUMBER(O56),1,0)+IF(COUNT(W56:Z56)&gt;0,1,0)</f>
        <v>0</v>
      </c>
      <c r="AT56" t="str">
        <f>IF(NOT(ISNUMBER(AP56)),"sin dato",IF(AND(COUNT(NORMALIZADO!BV56:BY56)&gt;=3,AQ56=7),"completo","parcial · "&amp;AQ56&amp;"/7 · D12-D15 "&amp;COUNT(NORMALIZADO!BV56:BY56)&amp;"/4"))</f>
        <v>sin dato</v>
      </c>
    </row>
    <row r="57" spans="1:46" ht="16.05" customHeight="1" x14ac:dyDescent="0.3">
      <c r="A57" t="s">
        <v>191</v>
      </c>
      <c r="B57" t="s">
        <v>192</v>
      </c>
      <c r="C57" t="s">
        <v>78</v>
      </c>
      <c r="D57" t="s">
        <v>71</v>
      </c>
      <c r="G57" t="s">
        <v>72</v>
      </c>
      <c r="J57" t="s">
        <v>65</v>
      </c>
      <c r="M57" t="str">
        <f t="shared" si="2"/>
        <v/>
      </c>
      <c r="N57" t="s">
        <v>66</v>
      </c>
      <c r="O57" t="str">
        <f t="shared" si="3"/>
        <v/>
      </c>
      <c r="P57" t="s">
        <v>66</v>
      </c>
      <c r="S57" t="str">
        <f t="shared" si="4"/>
        <v>—</v>
      </c>
      <c r="T57" t="str">
        <f>IF(NOT(ISNUMBER(S57)),"⬜  Sin dato PVE",IF(AND(COUNT(NORMALIZADO!BV57:BY57)&gt;=3,AQ57=7),IF(S57&lt;34,"🔴 Crítico",IF(S57&lt;67,"🟡 Vulnerable","🟢 Preparado")),"◐  Parcial · "&amp;AQ57&amp;"/7"))</f>
        <v>⬜  Sin dato PVE</v>
      </c>
      <c r="U57" s="53">
        <v>1</v>
      </c>
      <c r="V57" t="s">
        <v>67</v>
      </c>
      <c r="W57" t="str">
        <f>IF(NORMALIZADO!BV57="","",NORMALIZADO!BV57)</f>
        <v/>
      </c>
      <c r="X57" t="str">
        <f>IF(NORMALIZADO!BW57="","",NORMALIZADO!BW57)</f>
        <v/>
      </c>
      <c r="Y57" t="str">
        <f>IF(NORMALIZADO!BX57="","",NORMALIZADO!BX57)</f>
        <v/>
      </c>
      <c r="Z57" t="str">
        <f>IF(NORMALIZADO!BY57="","",NORMALIZADO!BY57)</f>
        <v/>
      </c>
      <c r="AO57" t="str">
        <f t="shared" si="5"/>
        <v>N/A</v>
      </c>
      <c r="AP57" t="str">
        <f>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f>
        <v>—</v>
      </c>
      <c r="AQ57">
        <f>IF(ISNUMBER(M57),1,0)+IF(ISNUMBER(SCORECARDS!H57),1,0)+IF(ISNUMBER(SCORECARDS!I57),1,0)+IF(ISNUMBER(SCORECARDS!J57),1,0)+IF(ISNUMBER(ISCAM_Score!K58),1,0)+IF(ISNUMBER(O57),1,0)+IF(COUNT(W57:Z57)&gt;0,1,0)</f>
        <v>0</v>
      </c>
      <c r="AT57" t="str">
        <f>IF(NOT(ISNUMBER(AP57)),"sin dato",IF(AND(COUNT(NORMALIZADO!BV57:BY57)&gt;=3,AQ57=7),"completo","parcial · "&amp;AQ57&amp;"/7 · D12-D15 "&amp;COUNT(NORMALIZADO!BV57:BY57)&amp;"/4"))</f>
        <v>sin dato</v>
      </c>
    </row>
    <row r="58" spans="1:46" ht="16.05" customHeight="1" x14ac:dyDescent="0.3">
      <c r="A58" t="s">
        <v>193</v>
      </c>
      <c r="B58" t="s">
        <v>194</v>
      </c>
      <c r="C58" t="s">
        <v>101</v>
      </c>
      <c r="D58" t="s">
        <v>71</v>
      </c>
      <c r="E58">
        <v>105840</v>
      </c>
      <c r="F58">
        <v>7</v>
      </c>
      <c r="G58" t="s">
        <v>64</v>
      </c>
      <c r="J58" t="s">
        <v>65</v>
      </c>
      <c r="L58">
        <v>52920</v>
      </c>
      <c r="M58">
        <f t="shared" si="2"/>
        <v>50</v>
      </c>
      <c r="N58" t="s">
        <v>66</v>
      </c>
      <c r="O58" t="str">
        <f t="shared" si="3"/>
        <v/>
      </c>
      <c r="P58" t="s">
        <v>66</v>
      </c>
      <c r="S58">
        <f t="shared" si="4"/>
        <v>50</v>
      </c>
      <c r="T58" t="str">
        <f>IF(NOT(ISNUMBER(S58)),"⬜  Sin dato PVE",IF(AND(COUNT(NORMALIZADO!BV58:BY58)&gt;=3,AQ58=7),IF(S58&lt;34,"🔴 Crítico",IF(S58&lt;67,"🟡 Vulnerable","🟢 Preparado")),"◐  Parcial · "&amp;AQ58&amp;"/7"))</f>
        <v>◐  Parcial · 1/7</v>
      </c>
      <c r="U58" s="53">
        <v>1</v>
      </c>
      <c r="V58" t="s">
        <v>67</v>
      </c>
      <c r="W58" t="str">
        <f>IF(NORMALIZADO!BV58="","",NORMALIZADO!BV58)</f>
        <v/>
      </c>
      <c r="X58" t="str">
        <f>IF(NORMALIZADO!BW58="","",NORMALIZADO!BW58)</f>
        <v/>
      </c>
      <c r="Y58" t="str">
        <f>IF(NORMALIZADO!BX58="","",NORMALIZADO!BX58)</f>
        <v/>
      </c>
      <c r="Z58" t="str">
        <f>IF(NORMALIZADO!BY58="","",NORMALIZADO!BY58)</f>
        <v/>
      </c>
      <c r="AO58" t="str">
        <f t="shared" si="5"/>
        <v>N/A</v>
      </c>
      <c r="AP58">
        <f>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f>
        <v>0.5</v>
      </c>
      <c r="AQ58">
        <f>IF(ISNUMBER(M58),1,0)+IF(ISNUMBER(SCORECARDS!H58),1,0)+IF(ISNUMBER(SCORECARDS!I58),1,0)+IF(ISNUMBER(SCORECARDS!J58),1,0)+IF(ISNUMBER(ISCAM_Score!K59),1,0)+IF(ISNUMBER(O58),1,0)+IF(COUNT(W58:Z58)&gt;0,1,0)</f>
        <v>1</v>
      </c>
      <c r="AT58" t="str">
        <f>IF(NOT(ISNUMBER(AP58)),"sin dato",IF(AND(COUNT(NORMALIZADO!BV58:BY58)&gt;=3,AQ58=7),"completo","parcial · "&amp;AQ58&amp;"/7 · D12-D15 "&amp;COUNT(NORMALIZADO!BV58:BY58)&amp;"/4"))</f>
        <v>parcial · 1/7 · D12-D15 0/4</v>
      </c>
    </row>
    <row r="59" spans="1:46" ht="16.05" customHeight="1" x14ac:dyDescent="0.3">
      <c r="A59" t="s">
        <v>195</v>
      </c>
      <c r="B59" t="s">
        <v>196</v>
      </c>
      <c r="C59" t="s">
        <v>101</v>
      </c>
      <c r="D59" t="s">
        <v>71</v>
      </c>
      <c r="G59" t="s">
        <v>72</v>
      </c>
      <c r="J59" t="s">
        <v>122</v>
      </c>
      <c r="M59" t="str">
        <f t="shared" si="2"/>
        <v/>
      </c>
      <c r="N59" t="s">
        <v>66</v>
      </c>
      <c r="O59" t="str">
        <f t="shared" si="3"/>
        <v/>
      </c>
      <c r="P59" t="s">
        <v>66</v>
      </c>
      <c r="S59" t="str">
        <f t="shared" si="4"/>
        <v>—</v>
      </c>
      <c r="T59" t="str">
        <f>IF(NOT(ISNUMBER(S59)),"⬜  Sin dato PVE",IF(AND(COUNT(NORMALIZADO!BV59:BY59)&gt;=3,AQ59=7),IF(S59&lt;34,"🔴 Crítico",IF(S59&lt;67,"🟡 Vulnerable","🟢 Preparado")),"◐  Parcial · "&amp;AQ59&amp;"/7"))</f>
        <v>⬜  Sin dato PVE</v>
      </c>
      <c r="U59" s="53">
        <v>1</v>
      </c>
      <c r="V59" t="s">
        <v>67</v>
      </c>
      <c r="W59" t="str">
        <f>IF(NORMALIZADO!BV59="","",NORMALIZADO!BV59)</f>
        <v/>
      </c>
      <c r="X59" t="str">
        <f>IF(NORMALIZADO!BW59="","",NORMALIZADO!BW59)</f>
        <v/>
      </c>
      <c r="Y59" t="str">
        <f>IF(NORMALIZADO!BX59="","",NORMALIZADO!BX59)</f>
        <v/>
      </c>
      <c r="Z59" t="str">
        <f>IF(NORMALIZADO!BY59="","",NORMALIZADO!BY59)</f>
        <v/>
      </c>
      <c r="AO59" t="str">
        <f t="shared" si="5"/>
        <v>N/A</v>
      </c>
      <c r="AP59" t="str">
        <f>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f>
        <v>—</v>
      </c>
      <c r="AQ59">
        <f>IF(ISNUMBER(M59),1,0)+IF(ISNUMBER(SCORECARDS!H59),1,0)+IF(ISNUMBER(SCORECARDS!I59),1,0)+IF(ISNUMBER(SCORECARDS!J59),1,0)+IF(ISNUMBER(ISCAM_Score!K60),1,0)+IF(ISNUMBER(O59),1,0)+IF(COUNT(W59:Z59)&gt;0,1,0)</f>
        <v>0</v>
      </c>
      <c r="AT59" t="str">
        <f>IF(NOT(ISNUMBER(AP59)),"sin dato",IF(AND(COUNT(NORMALIZADO!BV59:BY59)&gt;=3,AQ59=7),"completo","parcial · "&amp;AQ59&amp;"/7 · D12-D15 "&amp;COUNT(NORMALIZADO!BV59:BY59)&amp;"/4"))</f>
        <v>sin dato</v>
      </c>
    </row>
    <row r="60" spans="1:46" ht="16.05" customHeight="1" x14ac:dyDescent="0.3">
      <c r="A60" t="s">
        <v>197</v>
      </c>
      <c r="B60" t="s">
        <v>198</v>
      </c>
      <c r="C60" t="s">
        <v>199</v>
      </c>
      <c r="D60" t="s">
        <v>63</v>
      </c>
      <c r="E60">
        <v>10746930.949999999</v>
      </c>
      <c r="F60">
        <v>59</v>
      </c>
      <c r="G60" t="s">
        <v>64</v>
      </c>
      <c r="J60" t="s">
        <v>65</v>
      </c>
      <c r="L60">
        <v>5373465.4699999997</v>
      </c>
      <c r="M60">
        <f t="shared" si="2"/>
        <v>50</v>
      </c>
      <c r="N60" t="s">
        <v>66</v>
      </c>
      <c r="O60" t="str">
        <f t="shared" si="3"/>
        <v/>
      </c>
      <c r="P60" t="s">
        <v>66</v>
      </c>
      <c r="S60">
        <f t="shared" si="4"/>
        <v>50</v>
      </c>
      <c r="T60" t="str">
        <f>IF(NOT(ISNUMBER(S60)),"⬜  Sin dato PVE",IF(AND(COUNT(NORMALIZADO!BV60:BY60)&gt;=3,AQ60=7),IF(S60&lt;34,"🔴 Crítico",IF(S60&lt;67,"🟡 Vulnerable","🟢 Preparado")),"◐  Parcial · "&amp;AQ60&amp;"/7"))</f>
        <v>◐  Parcial · 2/7</v>
      </c>
      <c r="U60" s="53">
        <v>1</v>
      </c>
      <c r="V60" t="s">
        <v>67</v>
      </c>
      <c r="W60">
        <f>IF(NORMALIZADO!BV60="",1,NORMALIZADO!BV60)</f>
        <v>1</v>
      </c>
      <c r="X60" t="str">
        <f>IF(NORMALIZADO!BW60="","",NORMALIZADO!BW60)</f>
        <v/>
      </c>
      <c r="Y60" t="str">
        <f>IF(NORMALIZADO!BX60="","",NORMALIZADO!BX60)</f>
        <v/>
      </c>
      <c r="Z60" t="str">
        <f>IF(NORMALIZADO!BY60="","",NORMALIZADO!BY60)</f>
        <v/>
      </c>
      <c r="AO60" t="str">
        <f t="shared" si="5"/>
        <v>N/A</v>
      </c>
      <c r="AP60">
        <f>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f>
        <v>0.5</v>
      </c>
      <c r="AQ60">
        <f>IF(ISNUMBER(M60),1,0)+IF(ISNUMBER(SCORECARDS!H60),1,0)+IF(ISNUMBER(SCORECARDS!I60),1,0)+IF(ISNUMBER(SCORECARDS!J60),1,0)+IF(ISNUMBER(ISCAM_Score!K61),1,0)+IF(ISNUMBER(O60),1,0)+IF(COUNT(W60:Z60)&gt;0,1,0)</f>
        <v>2</v>
      </c>
      <c r="AT60" t="str">
        <f>IF(NOT(ISNUMBER(AP60)),"sin dato",IF(AND(COUNT(NORMALIZADO!BV60:BY60)&gt;=3,AQ60=7),"completo","parcial · "&amp;AQ60&amp;"/7 · D12-D15 "&amp;COUNT(NORMALIZADO!BV60:BY60)&amp;"/4"))</f>
        <v>parcial · 2/7 · D12-D15 0/4</v>
      </c>
    </row>
    <row r="61" spans="1:46" ht="16.05" customHeight="1" x14ac:dyDescent="0.3">
      <c r="A61" t="s">
        <v>200</v>
      </c>
      <c r="B61" t="s">
        <v>201</v>
      </c>
      <c r="C61" t="s">
        <v>117</v>
      </c>
      <c r="D61" t="s">
        <v>63</v>
      </c>
      <c r="G61" t="s">
        <v>72</v>
      </c>
      <c r="J61" t="s">
        <v>65</v>
      </c>
      <c r="M61" t="str">
        <f t="shared" si="2"/>
        <v/>
      </c>
      <c r="N61" t="s">
        <v>66</v>
      </c>
      <c r="O61" t="str">
        <f t="shared" si="3"/>
        <v/>
      </c>
      <c r="P61" t="s">
        <v>66</v>
      </c>
      <c r="S61" t="str">
        <f t="shared" si="4"/>
        <v>—</v>
      </c>
      <c r="T61" t="str">
        <f>IF(NOT(ISNUMBER(S61)),"⬜  Sin dato PVE",IF(AND(COUNT(NORMALIZADO!BV61:BY61)&gt;=3,AQ61=7),IF(S61&lt;34,"🔴 Crítico",IF(S61&lt;67,"🟡 Vulnerable","🟢 Preparado")),"◐  Parcial · "&amp;AQ61&amp;"/7"))</f>
        <v>⬜  Sin dato PVE</v>
      </c>
      <c r="U61" s="53">
        <v>1</v>
      </c>
      <c r="V61" t="s">
        <v>67</v>
      </c>
      <c r="W61" t="str">
        <f>IF(NORMALIZADO!BV61="","",NORMALIZADO!BV61)</f>
        <v/>
      </c>
      <c r="X61" t="str">
        <f>IF(NORMALIZADO!BW61="","",NORMALIZADO!BW61)</f>
        <v/>
      </c>
      <c r="Y61" t="str">
        <f>IF(NORMALIZADO!BX61="","",NORMALIZADO!BX61)</f>
        <v/>
      </c>
      <c r="Z61" t="str">
        <f>IF(NORMALIZADO!BY61="","",NORMALIZADO!BY61)</f>
        <v/>
      </c>
      <c r="AO61" t="str">
        <f t="shared" si="5"/>
        <v>N/A</v>
      </c>
      <c r="AP61" t="str">
        <f>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f>
        <v>—</v>
      </c>
      <c r="AQ61">
        <f>IF(ISNUMBER(M61),1,0)+IF(ISNUMBER(SCORECARDS!H61),1,0)+IF(ISNUMBER(SCORECARDS!I61),1,0)+IF(ISNUMBER(SCORECARDS!J61),1,0)+IF(ISNUMBER(ISCAM_Score!K62),1,0)+IF(ISNUMBER(O61),1,0)+IF(COUNT(W61:Z61)&gt;0,1,0)</f>
        <v>0</v>
      </c>
      <c r="AT61" t="str">
        <f>IF(NOT(ISNUMBER(AP61)),"sin dato",IF(AND(COUNT(NORMALIZADO!BV61:BY61)&gt;=3,AQ61=7),"completo","parcial · "&amp;AQ61&amp;"/7 · D12-D15 "&amp;COUNT(NORMALIZADO!BV61:BY61)&amp;"/4"))</f>
        <v>sin dato</v>
      </c>
    </row>
    <row r="62" spans="1:46" ht="16.05" customHeight="1" x14ac:dyDescent="0.3">
      <c r="A62" t="s">
        <v>202</v>
      </c>
      <c r="B62" t="s">
        <v>203</v>
      </c>
      <c r="C62" t="s">
        <v>101</v>
      </c>
      <c r="D62" t="s">
        <v>63</v>
      </c>
      <c r="G62" t="s">
        <v>72</v>
      </c>
      <c r="J62" t="s">
        <v>122</v>
      </c>
      <c r="M62" t="str">
        <f t="shared" si="2"/>
        <v/>
      </c>
      <c r="N62" t="s">
        <v>66</v>
      </c>
      <c r="O62" t="str">
        <f t="shared" si="3"/>
        <v/>
      </c>
      <c r="P62" t="s">
        <v>66</v>
      </c>
      <c r="S62" t="str">
        <f t="shared" si="4"/>
        <v>—</v>
      </c>
      <c r="T62" t="str">
        <f>IF(NOT(ISNUMBER(S62)),"⬜  Sin dato PVE",IF(AND(COUNT(NORMALIZADO!BV62:BY62)&gt;=3,AQ62=7),IF(S62&lt;34,"🔴 Crítico",IF(S62&lt;67,"🟡 Vulnerable","🟢 Preparado")),"◐  Parcial · "&amp;AQ62&amp;"/7"))</f>
        <v>⬜  Sin dato PVE</v>
      </c>
      <c r="U62" s="53">
        <v>1</v>
      </c>
      <c r="V62" t="s">
        <v>67</v>
      </c>
      <c r="W62" t="str">
        <f>IF(NORMALIZADO!BV62="","",NORMALIZADO!BV62)</f>
        <v/>
      </c>
      <c r="X62" t="str">
        <f>IF(NORMALIZADO!BW62="","",NORMALIZADO!BW62)</f>
        <v/>
      </c>
      <c r="Y62" t="str">
        <f>IF(NORMALIZADO!BX62="","",NORMALIZADO!BX62)</f>
        <v/>
      </c>
      <c r="Z62" t="str">
        <f>IF(NORMALIZADO!BY62="","",NORMALIZADO!BY62)</f>
        <v/>
      </c>
      <c r="AO62" t="str">
        <f t="shared" si="5"/>
        <v>N/A</v>
      </c>
      <c r="AP62" t="str">
        <f>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f>
        <v>—</v>
      </c>
      <c r="AQ62">
        <f>IF(ISNUMBER(M62),1,0)+IF(ISNUMBER(SCORECARDS!H62),1,0)+IF(ISNUMBER(SCORECARDS!I62),1,0)+IF(ISNUMBER(SCORECARDS!J62),1,0)+IF(ISNUMBER(ISCAM_Score!K63),1,0)+IF(ISNUMBER(O62),1,0)+IF(COUNT(W62:Z62)&gt;0,1,0)</f>
        <v>0</v>
      </c>
      <c r="AT62" t="str">
        <f>IF(NOT(ISNUMBER(AP62)),"sin dato",IF(AND(COUNT(NORMALIZADO!BV62:BY62)&gt;=3,AQ62=7),"completo","parcial · "&amp;AQ62&amp;"/7 · D12-D15 "&amp;COUNT(NORMALIZADO!BV62:BY62)&amp;"/4"))</f>
        <v>sin dato</v>
      </c>
    </row>
    <row r="63" spans="1:46" ht="16.05" customHeight="1" x14ac:dyDescent="0.3">
      <c r="A63" t="s">
        <v>204</v>
      </c>
      <c r="B63" t="s">
        <v>205</v>
      </c>
      <c r="C63" t="s">
        <v>101</v>
      </c>
      <c r="D63" t="s">
        <v>63</v>
      </c>
      <c r="G63" t="s">
        <v>72</v>
      </c>
      <c r="J63" t="s">
        <v>122</v>
      </c>
      <c r="M63" t="str">
        <f t="shared" si="2"/>
        <v/>
      </c>
      <c r="N63" t="s">
        <v>66</v>
      </c>
      <c r="O63" t="str">
        <f t="shared" si="3"/>
        <v/>
      </c>
      <c r="P63" t="s">
        <v>66</v>
      </c>
      <c r="S63" t="str">
        <f t="shared" si="4"/>
        <v>—</v>
      </c>
      <c r="T63" t="str">
        <f>IF(NOT(ISNUMBER(S63)),"⬜  Sin dato PVE",IF(AND(COUNT(NORMALIZADO!BV63:BY63)&gt;=3,AQ63=7),IF(S63&lt;34,"🔴 Crítico",IF(S63&lt;67,"🟡 Vulnerable","🟢 Preparado")),"◐  Parcial · "&amp;AQ63&amp;"/7"))</f>
        <v>⬜  Sin dato PVE</v>
      </c>
      <c r="U63" s="53">
        <v>1</v>
      </c>
      <c r="V63" t="s">
        <v>67</v>
      </c>
      <c r="W63" t="str">
        <f>IF(NORMALIZADO!BV63="","",NORMALIZADO!BV63)</f>
        <v/>
      </c>
      <c r="X63" t="str">
        <f>IF(NORMALIZADO!BW63="","",NORMALIZADO!BW63)</f>
        <v/>
      </c>
      <c r="Y63" t="str">
        <f>IF(NORMALIZADO!BX63="","",NORMALIZADO!BX63)</f>
        <v/>
      </c>
      <c r="Z63" t="str">
        <f>IF(NORMALIZADO!BY63="","",NORMALIZADO!BY63)</f>
        <v/>
      </c>
      <c r="AO63" t="str">
        <f t="shared" si="5"/>
        <v>N/A</v>
      </c>
      <c r="AP63" t="str">
        <f>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f>
        <v>—</v>
      </c>
      <c r="AQ63">
        <f>IF(ISNUMBER(M63),1,0)+IF(ISNUMBER(SCORECARDS!H63),1,0)+IF(ISNUMBER(SCORECARDS!I63),1,0)+IF(ISNUMBER(SCORECARDS!J63),1,0)+IF(ISNUMBER(ISCAM_Score!K64),1,0)+IF(ISNUMBER(O63),1,0)+IF(COUNT(W63:Z63)&gt;0,1,0)</f>
        <v>0</v>
      </c>
      <c r="AT63" t="str">
        <f>IF(NOT(ISNUMBER(AP63)),"sin dato",IF(AND(COUNT(NORMALIZADO!BV63:BY63)&gt;=3,AQ63=7),"completo","parcial · "&amp;AQ63&amp;"/7 · D12-D15 "&amp;COUNT(NORMALIZADO!BV63:BY63)&amp;"/4"))</f>
        <v>sin dato</v>
      </c>
    </row>
    <row r="64" spans="1:46" ht="16.05" customHeight="1" x14ac:dyDescent="0.3">
      <c r="A64" t="s">
        <v>206</v>
      </c>
      <c r="B64" t="s">
        <v>207</v>
      </c>
      <c r="C64" t="s">
        <v>137</v>
      </c>
      <c r="D64" t="s">
        <v>63</v>
      </c>
      <c r="G64" t="s">
        <v>72</v>
      </c>
      <c r="J64" t="s">
        <v>65</v>
      </c>
      <c r="M64" t="str">
        <f t="shared" si="2"/>
        <v/>
      </c>
      <c r="N64" t="s">
        <v>66</v>
      </c>
      <c r="O64" t="str">
        <f t="shared" si="3"/>
        <v/>
      </c>
      <c r="P64" t="s">
        <v>66</v>
      </c>
      <c r="S64" t="str">
        <f t="shared" si="4"/>
        <v>—</v>
      </c>
      <c r="T64" t="str">
        <f>IF(NOT(ISNUMBER(S64)),"⬜  Sin dato PVE",IF(AND(COUNT(NORMALIZADO!BV64:BY64)&gt;=3,AQ64=7),IF(S64&lt;34,"🔴 Crítico",IF(S64&lt;67,"🟡 Vulnerable","🟢 Preparado")),"◐  Parcial · "&amp;AQ64&amp;"/7"))</f>
        <v>⬜  Sin dato PVE</v>
      </c>
      <c r="U64" s="53">
        <v>1</v>
      </c>
      <c r="V64" t="s">
        <v>67</v>
      </c>
      <c r="W64" t="str">
        <f>IF(NORMALIZADO!BV64="","",NORMALIZADO!BV64)</f>
        <v/>
      </c>
      <c r="X64" t="str">
        <f>IF(NORMALIZADO!BW64="","",NORMALIZADO!BW64)</f>
        <v/>
      </c>
      <c r="Y64" t="str">
        <f>IF(NORMALIZADO!BX64="","",NORMALIZADO!BX64)</f>
        <v/>
      </c>
      <c r="Z64" t="str">
        <f>IF(NORMALIZADO!BY64="","",NORMALIZADO!BY64)</f>
        <v/>
      </c>
      <c r="AO64" t="str">
        <f t="shared" si="5"/>
        <v>N/A</v>
      </c>
      <c r="AP64" t="str">
        <f>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f>
        <v>—</v>
      </c>
      <c r="AQ64">
        <f>IF(ISNUMBER(M64),1,0)+IF(ISNUMBER(SCORECARDS!H64),1,0)+IF(ISNUMBER(SCORECARDS!I64),1,0)+IF(ISNUMBER(SCORECARDS!J64),1,0)+IF(ISNUMBER(ISCAM_Score!K65),1,0)+IF(ISNUMBER(O64),1,0)+IF(COUNT(W64:Z64)&gt;0,1,0)</f>
        <v>0</v>
      </c>
      <c r="AT64" t="str">
        <f>IF(NOT(ISNUMBER(AP64)),"sin dato",IF(AND(COUNT(NORMALIZADO!BV64:BY64)&gt;=3,AQ64=7),"completo","parcial · "&amp;AQ64&amp;"/7 · D12-D15 "&amp;COUNT(NORMALIZADO!BV64:BY64)&amp;"/4"))</f>
        <v>sin dato</v>
      </c>
    </row>
    <row r="65" spans="1:46" ht="16.05" customHeight="1" x14ac:dyDescent="0.3">
      <c r="A65" t="s">
        <v>208</v>
      </c>
      <c r="B65" t="s">
        <v>209</v>
      </c>
      <c r="C65" t="s">
        <v>137</v>
      </c>
      <c r="D65" t="s">
        <v>71</v>
      </c>
      <c r="E65">
        <v>1984.05</v>
      </c>
      <c r="F65">
        <v>1</v>
      </c>
      <c r="G65" t="s">
        <v>64</v>
      </c>
      <c r="J65" t="s">
        <v>65</v>
      </c>
      <c r="L65">
        <v>0</v>
      </c>
      <c r="M65">
        <f t="shared" si="2"/>
        <v>0</v>
      </c>
      <c r="N65" t="s">
        <v>66</v>
      </c>
      <c r="O65" t="str">
        <f t="shared" si="3"/>
        <v/>
      </c>
      <c r="P65" t="s">
        <v>66</v>
      </c>
      <c r="S65">
        <f t="shared" si="4"/>
        <v>0</v>
      </c>
      <c r="T65" t="str">
        <f>IF(NOT(ISNUMBER(S65)),"⬜  Sin dato PVE",IF(AND(COUNT(NORMALIZADO!BV65:BY65)&gt;=3,AQ65=7),IF(S65&lt;34,"🔴 Crítico",IF(S65&lt;67,"🟡 Vulnerable","🟢 Preparado")),"◐  Parcial · "&amp;AQ65&amp;"/7"))</f>
        <v>◐  Parcial · 1/7</v>
      </c>
      <c r="U65" s="53">
        <v>1</v>
      </c>
      <c r="V65" t="s">
        <v>67</v>
      </c>
      <c r="W65" t="str">
        <f>IF(NORMALIZADO!BV65="","",NORMALIZADO!BV65)</f>
        <v/>
      </c>
      <c r="X65" t="str">
        <f>IF(NORMALIZADO!BW65="","",NORMALIZADO!BW65)</f>
        <v/>
      </c>
      <c r="Y65" t="str">
        <f>IF(NORMALIZADO!BX65="","",NORMALIZADO!BX65)</f>
        <v/>
      </c>
      <c r="Z65" t="str">
        <f>IF(NORMALIZADO!BY65="","",NORMALIZADO!BY65)</f>
        <v/>
      </c>
      <c r="AO65" t="str">
        <f t="shared" si="5"/>
        <v>N/A</v>
      </c>
      <c r="AP65">
        <f>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f>
        <v>0</v>
      </c>
      <c r="AQ65">
        <f>IF(ISNUMBER(M65),1,0)+IF(ISNUMBER(SCORECARDS!H65),1,0)+IF(ISNUMBER(SCORECARDS!I65),1,0)+IF(ISNUMBER(SCORECARDS!J65),1,0)+IF(ISNUMBER(ISCAM_Score!K66),1,0)+IF(ISNUMBER(O65),1,0)+IF(COUNT(W65:Z65)&gt;0,1,0)</f>
        <v>1</v>
      </c>
      <c r="AT65" t="str">
        <f>IF(NOT(ISNUMBER(AP65)),"sin dato",IF(AND(COUNT(NORMALIZADO!BV65:BY65)&gt;=3,AQ65=7),"completo","parcial · "&amp;AQ65&amp;"/7 · D12-D15 "&amp;COUNT(NORMALIZADO!BV65:BY65)&amp;"/4"))</f>
        <v>parcial · 1/7 · D12-D15 0/4</v>
      </c>
    </row>
    <row r="66" spans="1:46" ht="16.05" customHeight="1" x14ac:dyDescent="0.3">
      <c r="A66" t="s">
        <v>210</v>
      </c>
      <c r="B66" t="s">
        <v>211</v>
      </c>
      <c r="C66" t="s">
        <v>78</v>
      </c>
      <c r="D66" t="s">
        <v>63</v>
      </c>
      <c r="G66" t="s">
        <v>72</v>
      </c>
      <c r="J66" t="s">
        <v>65</v>
      </c>
      <c r="M66" t="str">
        <f t="shared" si="2"/>
        <v/>
      </c>
      <c r="N66" t="s">
        <v>66</v>
      </c>
      <c r="O66" t="str">
        <f t="shared" si="3"/>
        <v/>
      </c>
      <c r="P66" t="s">
        <v>66</v>
      </c>
      <c r="S66" t="str">
        <f t="shared" si="4"/>
        <v>—</v>
      </c>
      <c r="T66" t="str">
        <f>IF(NOT(ISNUMBER(S66)),"⬜  Sin dato PVE",IF(AND(COUNT(NORMALIZADO!BV66:BY66)&gt;=3,AQ66=7),IF(S66&lt;34,"🔴 Crítico",IF(S66&lt;67,"🟡 Vulnerable","🟢 Preparado")),"◐  Parcial · "&amp;AQ66&amp;"/7"))</f>
        <v>⬜  Sin dato PVE</v>
      </c>
      <c r="U66" s="53">
        <v>1</v>
      </c>
      <c r="V66" t="s">
        <v>67</v>
      </c>
      <c r="W66" t="str">
        <f>IF(NORMALIZADO!BV66="","",NORMALIZADO!BV66)</f>
        <v/>
      </c>
      <c r="X66" t="str">
        <f>IF(NORMALIZADO!BW66="","",NORMALIZADO!BW66)</f>
        <v/>
      </c>
      <c r="Y66" t="str">
        <f>IF(NORMALIZADO!BX66="","",NORMALIZADO!BX66)</f>
        <v/>
      </c>
      <c r="Z66" t="str">
        <f>IF(NORMALIZADO!BY66="","",NORMALIZADO!BY66)</f>
        <v/>
      </c>
      <c r="AO66" t="str">
        <f t="shared" si="5"/>
        <v>N/A</v>
      </c>
      <c r="AP66" t="str">
        <f>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f>
        <v>—</v>
      </c>
      <c r="AQ66">
        <f>IF(ISNUMBER(M66),1,0)+IF(ISNUMBER(SCORECARDS!H66),1,0)+IF(ISNUMBER(SCORECARDS!I66),1,0)+IF(ISNUMBER(SCORECARDS!J66),1,0)+IF(ISNUMBER(ISCAM_Score!K67),1,0)+IF(ISNUMBER(O66),1,0)+IF(COUNT(W66:Z66)&gt;0,1,0)</f>
        <v>0</v>
      </c>
      <c r="AT66" t="str">
        <f>IF(NOT(ISNUMBER(AP66)),"sin dato",IF(AND(COUNT(NORMALIZADO!BV66:BY66)&gt;=3,AQ66=7),"completo","parcial · "&amp;AQ66&amp;"/7 · D12-D15 "&amp;COUNT(NORMALIZADO!BV66:BY66)&amp;"/4"))</f>
        <v>sin dato</v>
      </c>
    </row>
    <row r="67" spans="1:46" ht="16.05" customHeight="1" x14ac:dyDescent="0.3">
      <c r="A67" t="s">
        <v>212</v>
      </c>
      <c r="B67" t="s">
        <v>213</v>
      </c>
      <c r="C67" t="s">
        <v>110</v>
      </c>
      <c r="D67" t="s">
        <v>63</v>
      </c>
      <c r="G67" t="s">
        <v>72</v>
      </c>
      <c r="J67" t="s">
        <v>65</v>
      </c>
      <c r="M67" t="str">
        <f t="shared" si="2"/>
        <v/>
      </c>
      <c r="N67" t="s">
        <v>66</v>
      </c>
      <c r="O67" t="str">
        <f t="shared" si="3"/>
        <v/>
      </c>
      <c r="P67" t="s">
        <v>66</v>
      </c>
      <c r="S67" t="str">
        <f t="shared" ref="S67:S98" si="6">IFERROR(ROUND(AP67*100,1),"—")</f>
        <v>—</v>
      </c>
      <c r="T67" t="str">
        <f>IF(NOT(ISNUMBER(S67)),"⬜  Sin dato PVE",IF(AND(COUNT(NORMALIZADO!BV67:BY67)&gt;=3,AQ67=7),IF(S67&lt;34,"🔴 Crítico",IF(S67&lt;67,"🟡 Vulnerable","🟢 Preparado")),"◐  Parcial · "&amp;AQ67&amp;"/7"))</f>
        <v>⬜  Sin dato PVE</v>
      </c>
      <c r="U67" s="53">
        <v>1</v>
      </c>
      <c r="V67" t="s">
        <v>67</v>
      </c>
      <c r="W67" t="str">
        <f>IF(NORMALIZADO!BV67="","",NORMALIZADO!BV67)</f>
        <v/>
      </c>
      <c r="X67" t="str">
        <f>IF(NORMALIZADO!BW67="","",NORMALIZADO!BW67)</f>
        <v/>
      </c>
      <c r="Y67" t="str">
        <f>IF(NORMALIZADO!BX67="","",NORMALIZADO!BX67)</f>
        <v/>
      </c>
      <c r="Z67" t="str">
        <f>IF(NORMALIZADO!BY67="","",NORMALIZADO!BY67)</f>
        <v/>
      </c>
      <c r="AO67" t="str">
        <f t="shared" ref="AO67:AO98" si="7">IFERROR(AVERAGE(AA67,AB67,AC67,AD67,AE67,AF67,AG67,AH67,AI67,AJ67,AK67,AL67,AM67,AN67),"N/A")</f>
        <v>N/A</v>
      </c>
      <c r="AP67" t="str">
        <f>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f>
        <v>—</v>
      </c>
      <c r="AQ67">
        <f>IF(ISNUMBER(M67),1,0)+IF(ISNUMBER(SCORECARDS!H67),1,0)+IF(ISNUMBER(SCORECARDS!I67),1,0)+IF(ISNUMBER(SCORECARDS!J67),1,0)+IF(ISNUMBER(ISCAM_Score!K68),1,0)+IF(ISNUMBER(O67),1,0)+IF(COUNT(W67:Z67)&gt;0,1,0)</f>
        <v>0</v>
      </c>
      <c r="AT67" t="str">
        <f>IF(NOT(ISNUMBER(AP67)),"sin dato",IF(AND(COUNT(NORMALIZADO!BV67:BY67)&gt;=3,AQ67=7),"completo","parcial · "&amp;AQ67&amp;"/7 · D12-D15 "&amp;COUNT(NORMALIZADO!BV67:BY67)&amp;"/4"))</f>
        <v>sin dato</v>
      </c>
    </row>
    <row r="68" spans="1:46" ht="16.05" customHeight="1" x14ac:dyDescent="0.3">
      <c r="A68" t="s">
        <v>214</v>
      </c>
      <c r="B68" t="s">
        <v>215</v>
      </c>
      <c r="C68" t="s">
        <v>110</v>
      </c>
      <c r="D68" t="s">
        <v>63</v>
      </c>
      <c r="G68" t="s">
        <v>72</v>
      </c>
      <c r="J68" t="s">
        <v>65</v>
      </c>
      <c r="M68" t="str">
        <f t="shared" ref="M68:M131" si="8">IF(E68&gt;0,ROUND(L68/E68*100,1),"")</f>
        <v/>
      </c>
      <c r="N68" t="s">
        <v>66</v>
      </c>
      <c r="O68" t="str">
        <f t="shared" ref="O68:O131" si="9">IF(AND(H68="",I68=""),"",IF(H68="SI",1,0)*0.6+IF(I68="SI",1,0)*0.4)</f>
        <v/>
      </c>
      <c r="P68" t="s">
        <v>66</v>
      </c>
      <c r="S68" t="str">
        <f t="shared" si="6"/>
        <v>—</v>
      </c>
      <c r="T68" t="str">
        <f>IF(NOT(ISNUMBER(S68)),"⬜  Sin dato PVE",IF(AND(COUNT(NORMALIZADO!BV68:BY68)&gt;=3,AQ68=7),IF(S68&lt;34,"🔴 Crítico",IF(S68&lt;67,"🟡 Vulnerable","🟢 Preparado")),"◐  Parcial · "&amp;AQ68&amp;"/7"))</f>
        <v>⬜  Sin dato PVE</v>
      </c>
      <c r="U68" s="53">
        <v>1</v>
      </c>
      <c r="V68" t="s">
        <v>67</v>
      </c>
      <c r="W68" t="str">
        <f>IF(NORMALIZADO!BV68="","",NORMALIZADO!BV68)</f>
        <v/>
      </c>
      <c r="X68" t="str">
        <f>IF(NORMALIZADO!BW68="","",NORMALIZADO!BW68)</f>
        <v/>
      </c>
      <c r="Y68" t="str">
        <f>IF(NORMALIZADO!BX68="","",NORMALIZADO!BX68)</f>
        <v/>
      </c>
      <c r="Z68" t="str">
        <f>IF(NORMALIZADO!BY68="","",NORMALIZADO!BY68)</f>
        <v/>
      </c>
      <c r="AO68" t="str">
        <f t="shared" si="7"/>
        <v>N/A</v>
      </c>
      <c r="AP68" t="str">
        <f>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f>
        <v>—</v>
      </c>
      <c r="AQ68">
        <f>IF(ISNUMBER(M68),1,0)+IF(ISNUMBER(SCORECARDS!H68),1,0)+IF(ISNUMBER(SCORECARDS!I68),1,0)+IF(ISNUMBER(SCORECARDS!J68),1,0)+IF(ISNUMBER(ISCAM_Score!K69),1,0)+IF(ISNUMBER(O68),1,0)+IF(COUNT(W68:Z68)&gt;0,1,0)</f>
        <v>0</v>
      </c>
      <c r="AT68" t="str">
        <f>IF(NOT(ISNUMBER(AP68)),"sin dato",IF(AND(COUNT(NORMALIZADO!BV68:BY68)&gt;=3,AQ68=7),"completo","parcial · "&amp;AQ68&amp;"/7 · D12-D15 "&amp;COUNT(NORMALIZADO!BV68:BY68)&amp;"/4"))</f>
        <v>sin dato</v>
      </c>
    </row>
    <row r="69" spans="1:46" ht="16.05" customHeight="1" x14ac:dyDescent="0.3">
      <c r="A69" t="s">
        <v>216</v>
      </c>
      <c r="B69" t="s">
        <v>217</v>
      </c>
      <c r="C69" t="s">
        <v>177</v>
      </c>
      <c r="D69" t="s">
        <v>63</v>
      </c>
      <c r="G69" t="s">
        <v>72</v>
      </c>
      <c r="J69" t="s">
        <v>122</v>
      </c>
      <c r="M69" t="str">
        <f t="shared" si="8"/>
        <v/>
      </c>
      <c r="N69" t="s">
        <v>66</v>
      </c>
      <c r="O69" t="str">
        <f t="shared" si="9"/>
        <v/>
      </c>
      <c r="P69" t="s">
        <v>66</v>
      </c>
      <c r="S69" t="str">
        <f t="shared" si="6"/>
        <v>—</v>
      </c>
      <c r="T69" t="str">
        <f>IF(NOT(ISNUMBER(S69)),"⬜  Sin dato PVE",IF(AND(COUNT(NORMALIZADO!BV69:BY69)&gt;=3,AQ69=7),IF(S69&lt;34,"🔴 Crítico",IF(S69&lt;67,"🟡 Vulnerable","🟢 Preparado")),"◐  Parcial · "&amp;AQ69&amp;"/7"))</f>
        <v>⬜  Sin dato PVE</v>
      </c>
      <c r="U69" s="53">
        <v>1</v>
      </c>
      <c r="V69" t="s">
        <v>67</v>
      </c>
      <c r="W69" t="str">
        <f>IF(NORMALIZADO!BV69="","",NORMALIZADO!BV69)</f>
        <v/>
      </c>
      <c r="X69" t="str">
        <f>IF(NORMALIZADO!BW69="","",NORMALIZADO!BW69)</f>
        <v/>
      </c>
      <c r="Y69" t="str">
        <f>IF(NORMALIZADO!BX69="","",NORMALIZADO!BX69)</f>
        <v/>
      </c>
      <c r="Z69" t="str">
        <f>IF(NORMALIZADO!BY69="","",NORMALIZADO!BY69)</f>
        <v/>
      </c>
      <c r="AO69" t="str">
        <f t="shared" si="7"/>
        <v>N/A</v>
      </c>
      <c r="AP69" t="str">
        <f>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f>
        <v>—</v>
      </c>
      <c r="AQ69">
        <f>IF(ISNUMBER(M69),1,0)+IF(ISNUMBER(SCORECARDS!H69),1,0)+IF(ISNUMBER(SCORECARDS!I69),1,0)+IF(ISNUMBER(SCORECARDS!J69),1,0)+IF(ISNUMBER(ISCAM_Score!K70),1,0)+IF(ISNUMBER(O69),1,0)+IF(COUNT(W69:Z69)&gt;0,1,0)</f>
        <v>0</v>
      </c>
      <c r="AT69" t="str">
        <f>IF(NOT(ISNUMBER(AP69)),"sin dato",IF(AND(COUNT(NORMALIZADO!BV69:BY69)&gt;=3,AQ69=7),"completo","parcial · "&amp;AQ69&amp;"/7 · D12-D15 "&amp;COUNT(NORMALIZADO!BV69:BY69)&amp;"/4"))</f>
        <v>sin dato</v>
      </c>
    </row>
    <row r="70" spans="1:46" ht="16.05" customHeight="1" x14ac:dyDescent="0.3">
      <c r="A70" t="s">
        <v>218</v>
      </c>
      <c r="B70" t="s">
        <v>219</v>
      </c>
      <c r="C70" t="s">
        <v>137</v>
      </c>
      <c r="D70" t="s">
        <v>63</v>
      </c>
      <c r="E70">
        <v>13246408.59</v>
      </c>
      <c r="F70">
        <v>46</v>
      </c>
      <c r="G70" t="s">
        <v>64</v>
      </c>
      <c r="H70" t="s">
        <v>64</v>
      </c>
      <c r="I70" t="s">
        <v>64</v>
      </c>
      <c r="J70" t="s">
        <v>65</v>
      </c>
      <c r="K70" t="s">
        <v>220</v>
      </c>
      <c r="L70">
        <v>7878141.7300000004</v>
      </c>
      <c r="M70">
        <f t="shared" si="8"/>
        <v>59.5</v>
      </c>
      <c r="N70" t="s">
        <v>66</v>
      </c>
      <c r="O70">
        <f t="shared" si="9"/>
        <v>1</v>
      </c>
      <c r="P70" t="s">
        <v>66</v>
      </c>
      <c r="Q70">
        <v>622</v>
      </c>
      <c r="R70">
        <v>4031</v>
      </c>
      <c r="S70">
        <f t="shared" si="6"/>
        <v>62.3</v>
      </c>
      <c r="T70" t="str">
        <f>IF(NOT(ISNUMBER(S70)),"⬜  Sin dato PVE",IF(AND(COUNT(NORMALIZADO!BV70:BY70)&gt;=3,AQ70=7),IF(S70&lt;34,"🔴 Crítico",IF(S70&lt;67,"🟡 Vulnerable","🟢 Preparado")),"◐  Parcial · "&amp;AQ70&amp;"/7"))</f>
        <v>◐  Parcial · 3/7</v>
      </c>
      <c r="U70" s="53">
        <v>1</v>
      </c>
      <c r="V70" t="s">
        <v>67</v>
      </c>
      <c r="W70">
        <f>IF(NORMALIZADO!BV70="",1,NORMALIZADO!BV70)</f>
        <v>1</v>
      </c>
      <c r="X70" t="str">
        <f>IF(NORMALIZADO!BW70="","",NORMALIZADO!BW70)</f>
        <v/>
      </c>
      <c r="Y70" t="str">
        <f>IF(NORMALIZADO!BX70="","",NORMALIZADO!BX70)</f>
        <v/>
      </c>
      <c r="Z70" t="str">
        <f>IF(NORMALIZADO!BY70="","",NORMALIZADO!BY70)</f>
        <v/>
      </c>
      <c r="AO70" t="str">
        <f t="shared" si="7"/>
        <v>N/A</v>
      </c>
      <c r="AP70">
        <f>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f>
        <v>0.62291666666666667</v>
      </c>
      <c r="AQ70">
        <f>IF(ISNUMBER(M70),1,0)+IF(ISNUMBER(SCORECARDS!H70),1,0)+IF(ISNUMBER(SCORECARDS!I70),1,0)+IF(ISNUMBER(SCORECARDS!J70),1,0)+IF(ISNUMBER(ISCAM_Score!K71),1,0)+IF(ISNUMBER(O70),1,0)+IF(COUNT(W70:Z70)&gt;0,1,0)</f>
        <v>3</v>
      </c>
      <c r="AR70" t="s">
        <v>1537</v>
      </c>
      <c r="AS70" t="s">
        <v>1538</v>
      </c>
      <c r="AT70" t="str">
        <f>IF(NOT(ISNUMBER(AP70)),"sin dato",IF(AND(COUNT(NORMALIZADO!BV70:BY70)&gt;=3,AQ70=7),"completo","parcial · "&amp;AQ70&amp;"/7 · D12-D15 "&amp;COUNT(NORMALIZADO!BV70:BY70)&amp;"/4"))</f>
        <v>parcial · 3/7 · D12-D15 0/4</v>
      </c>
    </row>
    <row r="71" spans="1:46" ht="16.05" customHeight="1" x14ac:dyDescent="0.3">
      <c r="A71" t="s">
        <v>221</v>
      </c>
      <c r="B71" t="s">
        <v>222</v>
      </c>
      <c r="C71" t="s">
        <v>137</v>
      </c>
      <c r="D71" t="s">
        <v>71</v>
      </c>
      <c r="G71" t="s">
        <v>72</v>
      </c>
      <c r="J71" t="s">
        <v>65</v>
      </c>
      <c r="M71" t="str">
        <f t="shared" si="8"/>
        <v/>
      </c>
      <c r="N71" t="s">
        <v>66</v>
      </c>
      <c r="O71" t="str">
        <f t="shared" si="9"/>
        <v/>
      </c>
      <c r="P71" t="s">
        <v>66</v>
      </c>
      <c r="S71" t="str">
        <f t="shared" si="6"/>
        <v>—</v>
      </c>
      <c r="T71" t="str">
        <f>IF(NOT(ISNUMBER(S71)),"⬜  Sin dato PVE",IF(AND(COUNT(NORMALIZADO!BV71:BY71)&gt;=3,AQ71=7),IF(S71&lt;34,"🔴 Crítico",IF(S71&lt;67,"🟡 Vulnerable","🟢 Preparado")),"◐  Parcial · "&amp;AQ71&amp;"/7"))</f>
        <v>⬜  Sin dato PVE</v>
      </c>
      <c r="U71" s="53">
        <v>1</v>
      </c>
      <c r="V71" t="s">
        <v>67</v>
      </c>
      <c r="W71" t="str">
        <f>IF(NORMALIZADO!BV71="","",NORMALIZADO!BV71)</f>
        <v/>
      </c>
      <c r="X71" t="str">
        <f>IF(NORMALIZADO!BW71="","",NORMALIZADO!BW71)</f>
        <v/>
      </c>
      <c r="Y71" t="str">
        <f>IF(NORMALIZADO!BX71="","",NORMALIZADO!BX71)</f>
        <v/>
      </c>
      <c r="Z71" t="str">
        <f>IF(NORMALIZADO!BY71="","",NORMALIZADO!BY71)</f>
        <v/>
      </c>
      <c r="AO71" t="str">
        <f t="shared" si="7"/>
        <v>N/A</v>
      </c>
      <c r="AP71" t="str">
        <f>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f>
        <v>—</v>
      </c>
      <c r="AQ71">
        <f>IF(ISNUMBER(M71),1,0)+IF(ISNUMBER(SCORECARDS!H71),1,0)+IF(ISNUMBER(SCORECARDS!I71),1,0)+IF(ISNUMBER(SCORECARDS!J71),1,0)+IF(ISNUMBER(ISCAM_Score!K72),1,0)+IF(ISNUMBER(O71),1,0)+IF(COUNT(W71:Z71)&gt;0,1,0)</f>
        <v>0</v>
      </c>
      <c r="AT71" t="str">
        <f>IF(NOT(ISNUMBER(AP71)),"sin dato",IF(AND(COUNT(NORMALIZADO!BV71:BY71)&gt;=3,AQ71=7),"completo","parcial · "&amp;AQ71&amp;"/7 · D12-D15 "&amp;COUNT(NORMALIZADO!BV71:BY71)&amp;"/4"))</f>
        <v>sin dato</v>
      </c>
    </row>
    <row r="72" spans="1:46" ht="16.05" customHeight="1" x14ac:dyDescent="0.3">
      <c r="A72" t="s">
        <v>223</v>
      </c>
      <c r="B72" t="s">
        <v>224</v>
      </c>
      <c r="C72" t="s">
        <v>137</v>
      </c>
      <c r="D72" t="s">
        <v>71</v>
      </c>
      <c r="E72">
        <v>2826075</v>
      </c>
      <c r="F72">
        <v>12</v>
      </c>
      <c r="G72" t="s">
        <v>64</v>
      </c>
      <c r="J72" t="s">
        <v>65</v>
      </c>
      <c r="L72">
        <v>1413037.5</v>
      </c>
      <c r="M72">
        <f t="shared" si="8"/>
        <v>50</v>
      </c>
      <c r="N72" t="s">
        <v>66</v>
      </c>
      <c r="O72" t="str">
        <f t="shared" si="9"/>
        <v/>
      </c>
      <c r="P72" t="s">
        <v>66</v>
      </c>
      <c r="S72">
        <f t="shared" si="6"/>
        <v>50</v>
      </c>
      <c r="T72" t="str">
        <f>IF(NOT(ISNUMBER(S72)),"⬜  Sin dato PVE",IF(AND(COUNT(NORMALIZADO!BV72:BY72)&gt;=3,AQ72=7),IF(S72&lt;34,"🔴 Crítico",IF(S72&lt;67,"🟡 Vulnerable","🟢 Preparado")),"◐  Parcial · "&amp;AQ72&amp;"/7"))</f>
        <v>◐  Parcial · 2/7</v>
      </c>
      <c r="U72" s="53">
        <v>1</v>
      </c>
      <c r="V72" t="s">
        <v>67</v>
      </c>
      <c r="W72">
        <f>IF(NORMALIZADO!BV72="",1,NORMALIZADO!BV72)</f>
        <v>1</v>
      </c>
      <c r="X72" t="str">
        <f>IF(NORMALIZADO!BW72="","",NORMALIZADO!BW72)</f>
        <v/>
      </c>
      <c r="Y72" t="str">
        <f>IF(NORMALIZADO!BX72="","",NORMALIZADO!BX72)</f>
        <v/>
      </c>
      <c r="Z72" t="str">
        <f>IF(NORMALIZADO!BY72="","",NORMALIZADO!BY72)</f>
        <v/>
      </c>
      <c r="AO72" t="str">
        <f t="shared" si="7"/>
        <v>N/A</v>
      </c>
      <c r="AP72">
        <f>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f>
        <v>0.5</v>
      </c>
      <c r="AQ72">
        <f>IF(ISNUMBER(M72),1,0)+IF(ISNUMBER(SCORECARDS!H72),1,0)+IF(ISNUMBER(SCORECARDS!I72),1,0)+IF(ISNUMBER(SCORECARDS!J72),1,0)+IF(ISNUMBER(ISCAM_Score!K73),1,0)+IF(ISNUMBER(O72),1,0)+IF(COUNT(W72:Z72)&gt;0,1,0)</f>
        <v>2</v>
      </c>
      <c r="AT72" t="str">
        <f>IF(NOT(ISNUMBER(AP72)),"sin dato",IF(AND(COUNT(NORMALIZADO!BV72:BY72)&gt;=3,AQ72=7),"completo","parcial · "&amp;AQ72&amp;"/7 · D12-D15 "&amp;COUNT(NORMALIZADO!BV72:BY72)&amp;"/4"))</f>
        <v>parcial · 2/7 · D12-D15 0/4</v>
      </c>
    </row>
    <row r="73" spans="1:46" ht="16.05" customHeight="1" x14ac:dyDescent="0.3">
      <c r="A73" t="s">
        <v>225</v>
      </c>
      <c r="B73" t="s">
        <v>226</v>
      </c>
      <c r="C73" t="s">
        <v>137</v>
      </c>
      <c r="D73" t="s">
        <v>63</v>
      </c>
      <c r="E73">
        <v>1187600.46</v>
      </c>
      <c r="F73">
        <v>6</v>
      </c>
      <c r="G73" t="s">
        <v>64</v>
      </c>
      <c r="H73" t="s">
        <v>64</v>
      </c>
      <c r="I73" t="s">
        <v>64</v>
      </c>
      <c r="J73" t="s">
        <v>65</v>
      </c>
      <c r="K73" t="s">
        <v>220</v>
      </c>
      <c r="L73">
        <v>1187600.48</v>
      </c>
      <c r="M73">
        <f t="shared" si="8"/>
        <v>100</v>
      </c>
      <c r="N73" t="s">
        <v>66</v>
      </c>
      <c r="O73">
        <f t="shared" si="9"/>
        <v>1</v>
      </c>
      <c r="P73" t="s">
        <v>66</v>
      </c>
      <c r="Q73">
        <v>416</v>
      </c>
      <c r="R73">
        <v>1248</v>
      </c>
      <c r="S73">
        <f t="shared" si="6"/>
        <v>79.2</v>
      </c>
      <c r="T73" t="str">
        <f>IF(NOT(ISNUMBER(S73)),"⬜  Sin dato PVE",IF(AND(COUNT(NORMALIZADO!BV73:BY73)&gt;=3,AQ73=7),IF(S73&lt;34,"🔴 Crítico",IF(S73&lt;67,"🟡 Vulnerable","🟢 Preparado")),"◐  Parcial · "&amp;AQ73&amp;"/7"))</f>
        <v>◐  Parcial · 3/7</v>
      </c>
      <c r="U73" s="53">
        <v>1</v>
      </c>
      <c r="V73" t="s">
        <v>67</v>
      </c>
      <c r="W73">
        <f>IF(NORMALIZADO!BV73="",1,NORMALIZADO!BV73)</f>
        <v>1</v>
      </c>
      <c r="X73" t="str">
        <f>IF(NORMALIZADO!BW73="","",NORMALIZADO!BW73)</f>
        <v/>
      </c>
      <c r="Y73" t="str">
        <f>IF(NORMALIZADO!BX73="","",NORMALIZADO!BX73)</f>
        <v/>
      </c>
      <c r="Z73" t="str">
        <f>IF(NORMALIZADO!BY73="","",NORMALIZADO!BY73)</f>
        <v/>
      </c>
      <c r="AO73" t="str">
        <f t="shared" si="7"/>
        <v>N/A</v>
      </c>
      <c r="AP73">
        <f>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f>
        <v>0.79166666666666663</v>
      </c>
      <c r="AQ73">
        <f>IF(ISNUMBER(M73),1,0)+IF(ISNUMBER(SCORECARDS!H73),1,0)+IF(ISNUMBER(SCORECARDS!I73),1,0)+IF(ISNUMBER(SCORECARDS!J73),1,0)+IF(ISNUMBER(ISCAM_Score!K74),1,0)+IF(ISNUMBER(O73),1,0)+IF(COUNT(W73:Z73)&gt;0,1,0)</f>
        <v>3</v>
      </c>
      <c r="AR73" t="s">
        <v>1539</v>
      </c>
      <c r="AS73" t="s">
        <v>1540</v>
      </c>
      <c r="AT73" t="str">
        <f>IF(NOT(ISNUMBER(AP73)),"sin dato",IF(AND(COUNT(NORMALIZADO!BV73:BY73)&gt;=3,AQ73=7),"completo","parcial · "&amp;AQ73&amp;"/7 · D12-D15 "&amp;COUNT(NORMALIZADO!BV73:BY73)&amp;"/4"))</f>
        <v>parcial · 3/7 · D12-D15 0/4</v>
      </c>
    </row>
    <row r="74" spans="1:46" ht="16.05" customHeight="1" x14ac:dyDescent="0.3">
      <c r="A74" t="s">
        <v>227</v>
      </c>
      <c r="B74" t="s">
        <v>228</v>
      </c>
      <c r="C74" t="s">
        <v>137</v>
      </c>
      <c r="D74" t="s">
        <v>71</v>
      </c>
      <c r="E74">
        <v>24285431.82</v>
      </c>
      <c r="F74">
        <v>111</v>
      </c>
      <c r="G74" t="s">
        <v>64</v>
      </c>
      <c r="J74" t="s">
        <v>65</v>
      </c>
      <c r="L74">
        <v>12142715.91</v>
      </c>
      <c r="M74">
        <f t="shared" si="8"/>
        <v>50</v>
      </c>
      <c r="N74" t="s">
        <v>66</v>
      </c>
      <c r="O74" t="str">
        <f t="shared" si="9"/>
        <v/>
      </c>
      <c r="P74" t="s">
        <v>66</v>
      </c>
      <c r="S74">
        <f t="shared" si="6"/>
        <v>50</v>
      </c>
      <c r="T74" t="str">
        <f>IF(NOT(ISNUMBER(S74)),"⬜  Sin dato PVE",IF(AND(COUNT(NORMALIZADO!BV74:BY74)&gt;=3,AQ74=7),IF(S74&lt;34,"🔴 Crítico",IF(S74&lt;67,"🟡 Vulnerable","🟢 Preparado")),"◐  Parcial · "&amp;AQ74&amp;"/7"))</f>
        <v>◐  Parcial · 2/7</v>
      </c>
      <c r="U74" s="53">
        <v>1</v>
      </c>
      <c r="V74" t="s">
        <v>67</v>
      </c>
      <c r="W74">
        <f>IF(NORMALIZADO!BV74="",1,NORMALIZADO!BV74)</f>
        <v>1</v>
      </c>
      <c r="X74" t="str">
        <f>IF(NORMALIZADO!BW74="","",NORMALIZADO!BW74)</f>
        <v/>
      </c>
      <c r="Y74" t="str">
        <f>IF(NORMALIZADO!BX74="","",NORMALIZADO!BX74)</f>
        <v/>
      </c>
      <c r="Z74" t="str">
        <f>IF(NORMALIZADO!BY74="","",NORMALIZADO!BY74)</f>
        <v/>
      </c>
      <c r="AO74" t="str">
        <f t="shared" si="7"/>
        <v>N/A</v>
      </c>
      <c r="AP74">
        <f>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f>
        <v>0.5</v>
      </c>
      <c r="AQ74">
        <f>IF(ISNUMBER(M74),1,0)+IF(ISNUMBER(SCORECARDS!H74),1,0)+IF(ISNUMBER(SCORECARDS!I74),1,0)+IF(ISNUMBER(SCORECARDS!J74),1,0)+IF(ISNUMBER(ISCAM_Score!K75),1,0)+IF(ISNUMBER(O74),1,0)+IF(COUNT(W74:Z74)&gt;0,1,0)</f>
        <v>2</v>
      </c>
      <c r="AT74" t="str">
        <f>IF(NOT(ISNUMBER(AP74)),"sin dato",IF(AND(COUNT(NORMALIZADO!BV74:BY74)&gt;=3,AQ74=7),"completo","parcial · "&amp;AQ74&amp;"/7 · D12-D15 "&amp;COUNT(NORMALIZADO!BV74:BY74)&amp;"/4"))</f>
        <v>parcial · 2/7 · D12-D15 0/4</v>
      </c>
    </row>
    <row r="75" spans="1:46" ht="16.05" customHeight="1" x14ac:dyDescent="0.3">
      <c r="A75" t="s">
        <v>229</v>
      </c>
      <c r="B75" t="s">
        <v>230</v>
      </c>
      <c r="C75" t="s">
        <v>190</v>
      </c>
      <c r="D75" t="s">
        <v>71</v>
      </c>
      <c r="G75" t="s">
        <v>72</v>
      </c>
      <c r="J75" t="s">
        <v>65</v>
      </c>
      <c r="M75" t="str">
        <f t="shared" si="8"/>
        <v/>
      </c>
      <c r="N75" t="s">
        <v>66</v>
      </c>
      <c r="O75" t="str">
        <f t="shared" si="9"/>
        <v/>
      </c>
      <c r="P75" t="s">
        <v>66</v>
      </c>
      <c r="S75" t="str">
        <f t="shared" si="6"/>
        <v>—</v>
      </c>
      <c r="T75" t="str">
        <f>IF(NOT(ISNUMBER(S75)),"⬜  Sin dato PVE",IF(AND(COUNT(NORMALIZADO!BV75:BY75)&gt;=3,AQ75=7),IF(S75&lt;34,"🔴 Crítico",IF(S75&lt;67,"🟡 Vulnerable","🟢 Preparado")),"◐  Parcial · "&amp;AQ75&amp;"/7"))</f>
        <v>⬜  Sin dato PVE</v>
      </c>
      <c r="U75" s="53">
        <v>1</v>
      </c>
      <c r="V75" t="s">
        <v>67</v>
      </c>
      <c r="W75" t="str">
        <f>IF(NORMALIZADO!BV75="","",NORMALIZADO!BV75)</f>
        <v/>
      </c>
      <c r="X75" t="str">
        <f>IF(NORMALIZADO!BW75="","",NORMALIZADO!BW75)</f>
        <v/>
      </c>
      <c r="Y75" t="str">
        <f>IF(NORMALIZADO!BX75="","",NORMALIZADO!BX75)</f>
        <v/>
      </c>
      <c r="Z75" t="str">
        <f>IF(NORMALIZADO!BY75="","",NORMALIZADO!BY75)</f>
        <v/>
      </c>
      <c r="AO75" t="str">
        <f t="shared" si="7"/>
        <v>N/A</v>
      </c>
      <c r="AP75" t="str">
        <f>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f>
        <v>—</v>
      </c>
      <c r="AQ75">
        <f>IF(ISNUMBER(M75),1,0)+IF(ISNUMBER(SCORECARDS!H75),1,0)+IF(ISNUMBER(SCORECARDS!I75),1,0)+IF(ISNUMBER(SCORECARDS!J75),1,0)+IF(ISNUMBER(ISCAM_Score!K76),1,0)+IF(ISNUMBER(O75),1,0)+IF(COUNT(W75:Z75)&gt;0,1,0)</f>
        <v>0</v>
      </c>
      <c r="AT75" t="str">
        <f>IF(NOT(ISNUMBER(AP75)),"sin dato",IF(AND(COUNT(NORMALIZADO!BV75:BY75)&gt;=3,AQ75=7),"completo","parcial · "&amp;AQ75&amp;"/7 · D12-D15 "&amp;COUNT(NORMALIZADO!BV75:BY75)&amp;"/4"))</f>
        <v>sin dato</v>
      </c>
    </row>
    <row r="76" spans="1:46" ht="16.05" customHeight="1" x14ac:dyDescent="0.3">
      <c r="A76" t="s">
        <v>231</v>
      </c>
      <c r="B76" t="s">
        <v>232</v>
      </c>
      <c r="C76" t="s">
        <v>190</v>
      </c>
      <c r="D76" t="s">
        <v>71</v>
      </c>
      <c r="G76" t="s">
        <v>72</v>
      </c>
      <c r="J76" t="s">
        <v>65</v>
      </c>
      <c r="M76" t="str">
        <f t="shared" si="8"/>
        <v/>
      </c>
      <c r="N76" t="s">
        <v>66</v>
      </c>
      <c r="O76" t="str">
        <f t="shared" si="9"/>
        <v/>
      </c>
      <c r="P76" t="s">
        <v>66</v>
      </c>
      <c r="S76" t="str">
        <f t="shared" si="6"/>
        <v>—</v>
      </c>
      <c r="T76" t="str">
        <f>IF(NOT(ISNUMBER(S76)),"⬜  Sin dato PVE",IF(AND(COUNT(NORMALIZADO!BV76:BY76)&gt;=3,AQ76=7),IF(S76&lt;34,"🔴 Crítico",IF(S76&lt;67,"🟡 Vulnerable","🟢 Preparado")),"◐  Parcial · "&amp;AQ76&amp;"/7"))</f>
        <v>⬜  Sin dato PVE</v>
      </c>
      <c r="U76" s="53">
        <v>1</v>
      </c>
      <c r="V76" t="s">
        <v>67</v>
      </c>
      <c r="W76" t="str">
        <f>IF(NORMALIZADO!BV76="","",NORMALIZADO!BV76)</f>
        <v/>
      </c>
      <c r="X76" t="str">
        <f>IF(NORMALIZADO!BW76="","",NORMALIZADO!BW76)</f>
        <v/>
      </c>
      <c r="Y76" t="str">
        <f>IF(NORMALIZADO!BX76="","",NORMALIZADO!BX76)</f>
        <v/>
      </c>
      <c r="Z76" t="str">
        <f>IF(NORMALIZADO!BY76="","",NORMALIZADO!BY76)</f>
        <v/>
      </c>
      <c r="AO76" t="str">
        <f t="shared" si="7"/>
        <v>N/A</v>
      </c>
      <c r="AP76" t="str">
        <f>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f>
        <v>—</v>
      </c>
      <c r="AQ76">
        <f>IF(ISNUMBER(M76),1,0)+IF(ISNUMBER(SCORECARDS!H76),1,0)+IF(ISNUMBER(SCORECARDS!I76),1,0)+IF(ISNUMBER(SCORECARDS!J76),1,0)+IF(ISNUMBER(ISCAM_Score!K77),1,0)+IF(ISNUMBER(O76),1,0)+IF(COUNT(W76:Z76)&gt;0,1,0)</f>
        <v>0</v>
      </c>
      <c r="AT76" t="str">
        <f>IF(NOT(ISNUMBER(AP76)),"sin dato",IF(AND(COUNT(NORMALIZADO!BV76:BY76)&gt;=3,AQ76=7),"completo","parcial · "&amp;AQ76&amp;"/7 · D12-D15 "&amp;COUNT(NORMALIZADO!BV76:BY76)&amp;"/4"))</f>
        <v>sin dato</v>
      </c>
    </row>
    <row r="77" spans="1:46" ht="16.05" customHeight="1" x14ac:dyDescent="0.3">
      <c r="A77" t="s">
        <v>233</v>
      </c>
      <c r="B77" t="s">
        <v>234</v>
      </c>
      <c r="C77" t="s">
        <v>148</v>
      </c>
      <c r="D77" t="s">
        <v>63</v>
      </c>
      <c r="E77">
        <v>16891006.489999998</v>
      </c>
      <c r="F77">
        <v>81</v>
      </c>
      <c r="G77" t="s">
        <v>64</v>
      </c>
      <c r="J77" t="s">
        <v>65</v>
      </c>
      <c r="L77">
        <v>8445503.2400000002</v>
      </c>
      <c r="M77">
        <f t="shared" si="8"/>
        <v>50</v>
      </c>
      <c r="N77" t="s">
        <v>66</v>
      </c>
      <c r="O77" t="str">
        <f t="shared" si="9"/>
        <v/>
      </c>
      <c r="P77" t="s">
        <v>66</v>
      </c>
      <c r="S77">
        <f t="shared" si="6"/>
        <v>50</v>
      </c>
      <c r="T77" t="str">
        <f>IF(NOT(ISNUMBER(S77)),"⬜  Sin dato PVE",IF(AND(COUNT(NORMALIZADO!BV77:BY77)&gt;=3,AQ77=7),IF(S77&lt;34,"🔴 Crítico",IF(S77&lt;67,"🟡 Vulnerable","🟢 Preparado")),"◐  Parcial · "&amp;AQ77&amp;"/7"))</f>
        <v>◐  Parcial · 2/7</v>
      </c>
      <c r="U77" s="53">
        <v>1</v>
      </c>
      <c r="V77" t="s">
        <v>67</v>
      </c>
      <c r="W77">
        <f>IF(NORMALIZADO!BV77="",1,NORMALIZADO!BV77)</f>
        <v>1</v>
      </c>
      <c r="X77" t="str">
        <f>IF(NORMALIZADO!BW77="","",NORMALIZADO!BW77)</f>
        <v/>
      </c>
      <c r="Y77" t="str">
        <f>IF(NORMALIZADO!BX77="","",NORMALIZADO!BX77)</f>
        <v/>
      </c>
      <c r="Z77" t="str">
        <f>IF(NORMALIZADO!BY77="","",NORMALIZADO!BY77)</f>
        <v/>
      </c>
      <c r="AO77" t="str">
        <f t="shared" si="7"/>
        <v>N/A</v>
      </c>
      <c r="AP77">
        <f>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f>
        <v>0.5</v>
      </c>
      <c r="AQ77">
        <f>IF(ISNUMBER(M77),1,0)+IF(ISNUMBER(SCORECARDS!H77),1,0)+IF(ISNUMBER(SCORECARDS!I77),1,0)+IF(ISNUMBER(SCORECARDS!J77),1,0)+IF(ISNUMBER(ISCAM_Score!K78),1,0)+IF(ISNUMBER(O77),1,0)+IF(COUNT(W77:Z77)&gt;0,1,0)</f>
        <v>2</v>
      </c>
      <c r="AT77" t="str">
        <f>IF(NOT(ISNUMBER(AP77)),"sin dato",IF(AND(COUNT(NORMALIZADO!BV77:BY77)&gt;=3,AQ77=7),"completo","parcial · "&amp;AQ77&amp;"/7 · D12-D15 "&amp;COUNT(NORMALIZADO!BV77:BY77)&amp;"/4"))</f>
        <v>parcial · 2/7 · D12-D15 0/4</v>
      </c>
    </row>
    <row r="78" spans="1:46" ht="16.05" customHeight="1" x14ac:dyDescent="0.3">
      <c r="A78" t="s">
        <v>235</v>
      </c>
      <c r="B78" t="s">
        <v>236</v>
      </c>
      <c r="C78" t="s">
        <v>117</v>
      </c>
      <c r="D78" t="s">
        <v>71</v>
      </c>
      <c r="G78" t="s">
        <v>72</v>
      </c>
      <c r="J78" t="s">
        <v>104</v>
      </c>
      <c r="M78" t="str">
        <f t="shared" si="8"/>
        <v/>
      </c>
      <c r="N78" t="s">
        <v>66</v>
      </c>
      <c r="O78" t="str">
        <f t="shared" si="9"/>
        <v/>
      </c>
      <c r="P78" t="s">
        <v>66</v>
      </c>
      <c r="S78" t="str">
        <f t="shared" si="6"/>
        <v>—</v>
      </c>
      <c r="T78" t="str">
        <f>IF(NOT(ISNUMBER(S78)),"⬜  Sin dato PVE",IF(AND(COUNT(NORMALIZADO!BV78:BY78)&gt;=3,AQ78=7),IF(S78&lt;34,"🔴 Crítico",IF(S78&lt;67,"🟡 Vulnerable","🟢 Preparado")),"◐  Parcial · "&amp;AQ78&amp;"/7"))</f>
        <v>⬜  Sin dato PVE</v>
      </c>
      <c r="U78" s="53">
        <v>1</v>
      </c>
      <c r="V78" t="s">
        <v>67</v>
      </c>
      <c r="W78" t="str">
        <f>IF(NORMALIZADO!BV78="","",NORMALIZADO!BV78)</f>
        <v/>
      </c>
      <c r="X78" t="str">
        <f>IF(NORMALIZADO!BW78="","",NORMALIZADO!BW78)</f>
        <v/>
      </c>
      <c r="Y78" t="str">
        <f>IF(NORMALIZADO!BX78="","",NORMALIZADO!BX78)</f>
        <v/>
      </c>
      <c r="Z78" t="str">
        <f>IF(NORMALIZADO!BY78="","",NORMALIZADO!BY78)</f>
        <v/>
      </c>
      <c r="AO78" t="str">
        <f t="shared" si="7"/>
        <v>N/A</v>
      </c>
      <c r="AP78" t="str">
        <f>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f>
        <v>—</v>
      </c>
      <c r="AQ78">
        <f>IF(ISNUMBER(M78),1,0)+IF(ISNUMBER(SCORECARDS!H78),1,0)+IF(ISNUMBER(SCORECARDS!I78),1,0)+IF(ISNUMBER(SCORECARDS!J78),1,0)+IF(ISNUMBER(ISCAM_Score!K79),1,0)+IF(ISNUMBER(O78),1,0)+IF(COUNT(W78:Z78)&gt;0,1,0)</f>
        <v>0</v>
      </c>
      <c r="AT78" t="str">
        <f>IF(NOT(ISNUMBER(AP78)),"sin dato",IF(AND(COUNT(NORMALIZADO!BV78:BY78)&gt;=3,AQ78=7),"completo","parcial · "&amp;AQ78&amp;"/7 · D12-D15 "&amp;COUNT(NORMALIZADO!BV78:BY78)&amp;"/4"))</f>
        <v>sin dato</v>
      </c>
    </row>
    <row r="79" spans="1:46" ht="16.05" customHeight="1" x14ac:dyDescent="0.3">
      <c r="A79" t="s">
        <v>237</v>
      </c>
      <c r="B79" t="s">
        <v>238</v>
      </c>
      <c r="C79" t="s">
        <v>239</v>
      </c>
      <c r="D79" t="s">
        <v>71</v>
      </c>
      <c r="G79" t="s">
        <v>72</v>
      </c>
      <c r="J79" t="s">
        <v>65</v>
      </c>
      <c r="M79" t="str">
        <f t="shared" si="8"/>
        <v/>
      </c>
      <c r="N79" t="s">
        <v>66</v>
      </c>
      <c r="O79" t="str">
        <f t="shared" si="9"/>
        <v/>
      </c>
      <c r="P79" t="s">
        <v>66</v>
      </c>
      <c r="S79" t="str">
        <f t="shared" si="6"/>
        <v>—</v>
      </c>
      <c r="T79" t="str">
        <f>IF(NOT(ISNUMBER(S79)),"⬜  Sin dato PVE",IF(AND(COUNT(NORMALIZADO!BV79:BY79)&gt;=3,AQ79=7),IF(S79&lt;34,"🔴 Crítico",IF(S79&lt;67,"🟡 Vulnerable","🟢 Preparado")),"◐  Parcial · "&amp;AQ79&amp;"/7"))</f>
        <v>⬜  Sin dato PVE</v>
      </c>
      <c r="U79" s="53">
        <v>1</v>
      </c>
      <c r="V79" t="s">
        <v>67</v>
      </c>
      <c r="W79" t="str">
        <f>IF(NORMALIZADO!BV79="","",NORMALIZADO!BV79)</f>
        <v/>
      </c>
      <c r="X79" t="str">
        <f>IF(NORMALIZADO!BW79="","",NORMALIZADO!BW79)</f>
        <v/>
      </c>
      <c r="Y79" t="str">
        <f>IF(NORMALIZADO!BX79="","",NORMALIZADO!BX79)</f>
        <v/>
      </c>
      <c r="Z79" t="str">
        <f>IF(NORMALIZADO!BY79="","",NORMALIZADO!BY79)</f>
        <v/>
      </c>
      <c r="AO79" t="str">
        <f t="shared" si="7"/>
        <v>N/A</v>
      </c>
      <c r="AP79" t="str">
        <f>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f>
        <v>—</v>
      </c>
      <c r="AQ79">
        <f>IF(ISNUMBER(M79),1,0)+IF(ISNUMBER(SCORECARDS!H79),1,0)+IF(ISNUMBER(SCORECARDS!I79),1,0)+IF(ISNUMBER(SCORECARDS!J79),1,0)+IF(ISNUMBER(ISCAM_Score!K80),1,0)+IF(ISNUMBER(O79),1,0)+IF(COUNT(W79:Z79)&gt;0,1,0)</f>
        <v>0</v>
      </c>
      <c r="AT79" t="str">
        <f>IF(NOT(ISNUMBER(AP79)),"sin dato",IF(AND(COUNT(NORMALIZADO!BV79:BY79)&gt;=3,AQ79=7),"completo","parcial · "&amp;AQ79&amp;"/7 · D12-D15 "&amp;COUNT(NORMALIZADO!BV79:BY79)&amp;"/4"))</f>
        <v>sin dato</v>
      </c>
    </row>
    <row r="80" spans="1:46" ht="16.05" customHeight="1" x14ac:dyDescent="0.3">
      <c r="A80" t="s">
        <v>240</v>
      </c>
      <c r="B80" t="s">
        <v>241</v>
      </c>
      <c r="C80" t="s">
        <v>110</v>
      </c>
      <c r="D80" t="s">
        <v>63</v>
      </c>
      <c r="G80" t="s">
        <v>72</v>
      </c>
      <c r="H80" t="s">
        <v>64</v>
      </c>
      <c r="I80" t="s">
        <v>72</v>
      </c>
      <c r="J80" t="s">
        <v>104</v>
      </c>
      <c r="K80" t="s">
        <v>242</v>
      </c>
      <c r="M80" t="str">
        <f t="shared" si="8"/>
        <v/>
      </c>
      <c r="N80" t="s">
        <v>66</v>
      </c>
      <c r="O80">
        <f t="shared" si="9"/>
        <v>0.6</v>
      </c>
      <c r="P80" t="s">
        <v>66</v>
      </c>
      <c r="Q80">
        <v>351</v>
      </c>
      <c r="R80">
        <v>1045.5999999999999</v>
      </c>
      <c r="S80">
        <f t="shared" si="6"/>
        <v>52.9</v>
      </c>
      <c r="T80" t="str">
        <f>IF(NOT(ISNUMBER(S80)),"⬜  Sin dato PVE",IF(AND(COUNT(NORMALIZADO!BV80:BY80)&gt;=3,AQ80=7),IF(S80&lt;34,"🔴 Crítico",IF(S80&lt;67,"🟡 Vulnerable","🟢 Preparado")),"◐  Parcial · "&amp;AQ80&amp;"/7"))</f>
        <v>◐  Parcial · 2/7</v>
      </c>
      <c r="U80" s="53">
        <v>1</v>
      </c>
      <c r="V80" t="s">
        <v>67</v>
      </c>
      <c r="W80">
        <f>IF(NORMALIZADO!BV80="",1,NORMALIZADO!BV80)</f>
        <v>1</v>
      </c>
      <c r="X80" t="str">
        <f>IF(NORMALIZADO!BW80="","",NORMALIZADO!BW80)</f>
        <v/>
      </c>
      <c r="Y80" t="str">
        <f>IF(NORMALIZADO!BX80="","",NORMALIZADO!BX80)</f>
        <v/>
      </c>
      <c r="Z80" t="str">
        <f>IF(NORMALIZADO!BY80="","",NORMALIZADO!BY80)</f>
        <v/>
      </c>
      <c r="AO80" t="str">
        <f t="shared" si="7"/>
        <v>N/A</v>
      </c>
      <c r="AP80">
        <f>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f>
        <v>0.52857142857142858</v>
      </c>
      <c r="AQ80">
        <f>IF(ISNUMBER(M80),1,0)+IF(ISNUMBER(SCORECARDS!H80),1,0)+IF(ISNUMBER(SCORECARDS!I80),1,0)+IF(ISNUMBER(SCORECARDS!J80),1,0)+IF(ISNUMBER(ISCAM_Score!K81),1,0)+IF(ISNUMBER(O80),1,0)+IF(COUNT(W80:Z80)&gt;0,1,0)</f>
        <v>2</v>
      </c>
      <c r="AR80" t="s">
        <v>1541</v>
      </c>
      <c r="AS80" t="s">
        <v>72</v>
      </c>
      <c r="AT80" t="str">
        <f>IF(NOT(ISNUMBER(AP80)),"sin dato",IF(AND(COUNT(NORMALIZADO!BV80:BY80)&gt;=3,AQ80=7),"completo","parcial · "&amp;AQ80&amp;"/7 · D12-D15 "&amp;COUNT(NORMALIZADO!BV80:BY80)&amp;"/4"))</f>
        <v>parcial · 2/7 · D12-D15 0/4</v>
      </c>
    </row>
    <row r="81" spans="1:46" ht="16.05" customHeight="1" x14ac:dyDescent="0.3">
      <c r="A81" t="s">
        <v>243</v>
      </c>
      <c r="B81" t="s">
        <v>244</v>
      </c>
      <c r="C81" t="s">
        <v>78</v>
      </c>
      <c r="D81" t="s">
        <v>71</v>
      </c>
      <c r="G81" t="s">
        <v>72</v>
      </c>
      <c r="J81" t="s">
        <v>65</v>
      </c>
      <c r="M81" t="str">
        <f t="shared" si="8"/>
        <v/>
      </c>
      <c r="N81" t="s">
        <v>66</v>
      </c>
      <c r="O81" t="str">
        <f t="shared" si="9"/>
        <v/>
      </c>
      <c r="P81" t="s">
        <v>66</v>
      </c>
      <c r="S81" t="str">
        <f t="shared" si="6"/>
        <v>—</v>
      </c>
      <c r="T81" t="str">
        <f>IF(NOT(ISNUMBER(S81)),"⬜  Sin dato PVE",IF(AND(COUNT(NORMALIZADO!BV81:BY81)&gt;=3,AQ81=7),IF(S81&lt;34,"🔴 Crítico",IF(S81&lt;67,"🟡 Vulnerable","🟢 Preparado")),"◐  Parcial · "&amp;AQ81&amp;"/7"))</f>
        <v>⬜  Sin dato PVE</v>
      </c>
      <c r="U81" s="53">
        <v>1</v>
      </c>
      <c r="V81" t="s">
        <v>67</v>
      </c>
      <c r="W81" t="str">
        <f>IF(NORMALIZADO!BV81="","",NORMALIZADO!BV81)</f>
        <v/>
      </c>
      <c r="X81" t="str">
        <f>IF(NORMALIZADO!BW81="","",NORMALIZADO!BW81)</f>
        <v/>
      </c>
      <c r="Y81" t="str">
        <f>IF(NORMALIZADO!BX81="","",NORMALIZADO!BX81)</f>
        <v/>
      </c>
      <c r="Z81" t="str">
        <f>IF(NORMALIZADO!BY81="","",NORMALIZADO!BY81)</f>
        <v/>
      </c>
      <c r="AO81" t="str">
        <f t="shared" si="7"/>
        <v>N/A</v>
      </c>
      <c r="AP81" t="str">
        <f>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f>
        <v>—</v>
      </c>
      <c r="AQ81">
        <f>IF(ISNUMBER(M81),1,0)+IF(ISNUMBER(SCORECARDS!H81),1,0)+IF(ISNUMBER(SCORECARDS!I81),1,0)+IF(ISNUMBER(SCORECARDS!J81),1,0)+IF(ISNUMBER(ISCAM_Score!K82),1,0)+IF(ISNUMBER(O81),1,0)+IF(COUNT(W81:Z81)&gt;0,1,0)</f>
        <v>0</v>
      </c>
      <c r="AT81" t="str">
        <f>IF(NOT(ISNUMBER(AP81)),"sin dato",IF(AND(COUNT(NORMALIZADO!BV81:BY81)&gt;=3,AQ81=7),"completo","parcial · "&amp;AQ81&amp;"/7 · D12-D15 "&amp;COUNT(NORMALIZADO!BV81:BY81)&amp;"/4"))</f>
        <v>sin dato</v>
      </c>
    </row>
    <row r="82" spans="1:46" ht="16.05" customHeight="1" x14ac:dyDescent="0.3">
      <c r="A82" t="s">
        <v>245</v>
      </c>
      <c r="B82" t="s">
        <v>246</v>
      </c>
      <c r="C82" t="s">
        <v>247</v>
      </c>
      <c r="D82" t="s">
        <v>63</v>
      </c>
      <c r="E82">
        <v>1435723.71</v>
      </c>
      <c r="F82">
        <v>10</v>
      </c>
      <c r="G82" t="s">
        <v>64</v>
      </c>
      <c r="J82" t="s">
        <v>65</v>
      </c>
      <c r="L82">
        <v>717861.85</v>
      </c>
      <c r="M82">
        <f t="shared" si="8"/>
        <v>50</v>
      </c>
      <c r="N82" t="s">
        <v>66</v>
      </c>
      <c r="O82" t="str">
        <f t="shared" si="9"/>
        <v/>
      </c>
      <c r="P82" t="s">
        <v>66</v>
      </c>
      <c r="S82">
        <f t="shared" si="6"/>
        <v>50</v>
      </c>
      <c r="T82" t="str">
        <f>IF(NOT(ISNUMBER(S82)),"⬜  Sin dato PVE",IF(AND(COUNT(NORMALIZADO!BV82:BY82)&gt;=3,AQ82=7),IF(S82&lt;34,"🔴 Crítico",IF(S82&lt;67,"🟡 Vulnerable","🟢 Preparado")),"◐  Parcial · "&amp;AQ82&amp;"/7"))</f>
        <v>◐  Parcial · 2/7</v>
      </c>
      <c r="U82" s="53">
        <v>1</v>
      </c>
      <c r="V82" t="s">
        <v>67</v>
      </c>
      <c r="W82">
        <f>IF(NORMALIZADO!BV82="",1,NORMALIZADO!BV82)</f>
        <v>1</v>
      </c>
      <c r="X82" t="str">
        <f>IF(NORMALIZADO!BW82="","",NORMALIZADO!BW82)</f>
        <v/>
      </c>
      <c r="Y82" t="str">
        <f>IF(NORMALIZADO!BX82="","",NORMALIZADO!BX82)</f>
        <v/>
      </c>
      <c r="Z82" t="str">
        <f>IF(NORMALIZADO!BY82="","",NORMALIZADO!BY82)</f>
        <v/>
      </c>
      <c r="AO82" t="str">
        <f t="shared" si="7"/>
        <v>N/A</v>
      </c>
      <c r="AP82">
        <f>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f>
        <v>0.5</v>
      </c>
      <c r="AQ82">
        <f>IF(ISNUMBER(M82),1,0)+IF(ISNUMBER(SCORECARDS!H82),1,0)+IF(ISNUMBER(SCORECARDS!I82),1,0)+IF(ISNUMBER(SCORECARDS!J82),1,0)+IF(ISNUMBER(ISCAM_Score!K83),1,0)+IF(ISNUMBER(O82),1,0)+IF(COUNT(W82:Z82)&gt;0,1,0)</f>
        <v>2</v>
      </c>
      <c r="AT82" t="str">
        <f>IF(NOT(ISNUMBER(AP82)),"sin dato",IF(AND(COUNT(NORMALIZADO!BV82:BY82)&gt;=3,AQ82=7),"completo","parcial · "&amp;AQ82&amp;"/7 · D12-D15 "&amp;COUNT(NORMALIZADO!BV82:BY82)&amp;"/4"))</f>
        <v>parcial · 2/7 · D12-D15 0/4</v>
      </c>
    </row>
    <row r="83" spans="1:46" ht="16.05" customHeight="1" x14ac:dyDescent="0.3">
      <c r="A83" t="s">
        <v>248</v>
      </c>
      <c r="B83" t="s">
        <v>249</v>
      </c>
      <c r="C83" t="s">
        <v>247</v>
      </c>
      <c r="D83" t="s">
        <v>63</v>
      </c>
      <c r="G83" t="s">
        <v>72</v>
      </c>
      <c r="J83" t="s">
        <v>65</v>
      </c>
      <c r="M83" t="str">
        <f t="shared" si="8"/>
        <v/>
      </c>
      <c r="N83" t="s">
        <v>66</v>
      </c>
      <c r="O83" t="str">
        <f t="shared" si="9"/>
        <v/>
      </c>
      <c r="P83" t="s">
        <v>66</v>
      </c>
      <c r="S83" t="str">
        <f t="shared" si="6"/>
        <v>—</v>
      </c>
      <c r="T83" t="str">
        <f>IF(NOT(ISNUMBER(S83)),"⬜  Sin dato PVE",IF(AND(COUNT(NORMALIZADO!BV83:BY83)&gt;=3,AQ83=7),IF(S83&lt;34,"🔴 Crítico",IF(S83&lt;67,"🟡 Vulnerable","🟢 Preparado")),"◐  Parcial · "&amp;AQ83&amp;"/7"))</f>
        <v>⬜  Sin dato PVE</v>
      </c>
      <c r="U83" s="53">
        <v>1</v>
      </c>
      <c r="V83" t="s">
        <v>67</v>
      </c>
      <c r="W83" t="str">
        <f>IF(NORMALIZADO!BV83="","",NORMALIZADO!BV83)</f>
        <v/>
      </c>
      <c r="X83" t="str">
        <f>IF(NORMALIZADO!BW83="","",NORMALIZADO!BW83)</f>
        <v/>
      </c>
      <c r="Y83" t="str">
        <f>IF(NORMALIZADO!BX83="","",NORMALIZADO!BX83)</f>
        <v/>
      </c>
      <c r="Z83" t="str">
        <f>IF(NORMALIZADO!BY83="","",NORMALIZADO!BY83)</f>
        <v/>
      </c>
      <c r="AO83" t="str">
        <f t="shared" si="7"/>
        <v>N/A</v>
      </c>
      <c r="AP83" t="str">
        <f>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f>
        <v>—</v>
      </c>
      <c r="AQ83">
        <f>IF(ISNUMBER(M83),1,0)+IF(ISNUMBER(SCORECARDS!H83),1,0)+IF(ISNUMBER(SCORECARDS!I83),1,0)+IF(ISNUMBER(SCORECARDS!J83),1,0)+IF(ISNUMBER(ISCAM_Score!K84),1,0)+IF(ISNUMBER(O83),1,0)+IF(COUNT(W83:Z83)&gt;0,1,0)</f>
        <v>0</v>
      </c>
      <c r="AT83" t="str">
        <f>IF(NOT(ISNUMBER(AP83)),"sin dato",IF(AND(COUNT(NORMALIZADO!BV83:BY83)&gt;=3,AQ83=7),"completo","parcial · "&amp;AQ83&amp;"/7 · D12-D15 "&amp;COUNT(NORMALIZADO!BV83:BY83)&amp;"/4"))</f>
        <v>sin dato</v>
      </c>
    </row>
    <row r="84" spans="1:46" ht="16.05" customHeight="1" x14ac:dyDescent="0.3">
      <c r="A84" t="s">
        <v>250</v>
      </c>
      <c r="B84" t="s">
        <v>251</v>
      </c>
      <c r="C84" t="s">
        <v>75</v>
      </c>
      <c r="D84" t="s">
        <v>71</v>
      </c>
      <c r="E84">
        <v>113466.98</v>
      </c>
      <c r="F84">
        <v>10</v>
      </c>
      <c r="G84" t="s">
        <v>64</v>
      </c>
      <c r="J84" t="s">
        <v>65</v>
      </c>
      <c r="L84">
        <v>0</v>
      </c>
      <c r="M84">
        <f t="shared" si="8"/>
        <v>0</v>
      </c>
      <c r="N84" t="s">
        <v>66</v>
      </c>
      <c r="O84" t="str">
        <f t="shared" si="9"/>
        <v/>
      </c>
      <c r="P84" t="s">
        <v>66</v>
      </c>
      <c r="S84">
        <f t="shared" si="6"/>
        <v>0</v>
      </c>
      <c r="T84" t="str">
        <f>IF(NOT(ISNUMBER(S84)),"⬜  Sin dato PVE",IF(AND(COUNT(NORMALIZADO!BV84:BY84)&gt;=3,AQ84=7),IF(S84&lt;34,"🔴 Crítico",IF(S84&lt;67,"🟡 Vulnerable","🟢 Preparado")),"◐  Parcial · "&amp;AQ84&amp;"/7"))</f>
        <v>◐  Parcial · 1/7</v>
      </c>
      <c r="U84" s="53">
        <v>1</v>
      </c>
      <c r="V84" t="s">
        <v>67</v>
      </c>
      <c r="W84" t="str">
        <f>IF(NORMALIZADO!BV84="","",NORMALIZADO!BV84)</f>
        <v/>
      </c>
      <c r="X84" t="str">
        <f>IF(NORMALIZADO!BW84="","",NORMALIZADO!BW84)</f>
        <v/>
      </c>
      <c r="Y84" t="str">
        <f>IF(NORMALIZADO!BX84="","",NORMALIZADO!BX84)</f>
        <v/>
      </c>
      <c r="Z84" t="str">
        <f>IF(NORMALIZADO!BY84="","",NORMALIZADO!BY84)</f>
        <v/>
      </c>
      <c r="AO84" t="str">
        <f t="shared" si="7"/>
        <v>N/A</v>
      </c>
      <c r="AP84">
        <f>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f>
        <v>0</v>
      </c>
      <c r="AQ84">
        <f>IF(ISNUMBER(M84),1,0)+IF(ISNUMBER(SCORECARDS!H84),1,0)+IF(ISNUMBER(SCORECARDS!I84),1,0)+IF(ISNUMBER(SCORECARDS!J84),1,0)+IF(ISNUMBER(ISCAM_Score!K85),1,0)+IF(ISNUMBER(O84),1,0)+IF(COUNT(W84:Z84)&gt;0,1,0)</f>
        <v>1</v>
      </c>
      <c r="AT84" t="str">
        <f>IF(NOT(ISNUMBER(AP84)),"sin dato",IF(AND(COUNT(NORMALIZADO!BV84:BY84)&gt;=3,AQ84=7),"completo","parcial · "&amp;AQ84&amp;"/7 · D12-D15 "&amp;COUNT(NORMALIZADO!BV84:BY84)&amp;"/4"))</f>
        <v>parcial · 1/7 · D12-D15 0/4</v>
      </c>
    </row>
    <row r="85" spans="1:46" ht="16.05" customHeight="1" x14ac:dyDescent="0.3">
      <c r="A85" t="s">
        <v>252</v>
      </c>
      <c r="B85" t="s">
        <v>253</v>
      </c>
      <c r="C85" t="s">
        <v>75</v>
      </c>
      <c r="D85" t="s">
        <v>63</v>
      </c>
      <c r="E85">
        <v>5355025.2299999986</v>
      </c>
      <c r="F85">
        <v>27</v>
      </c>
      <c r="G85" t="s">
        <v>64</v>
      </c>
      <c r="J85" t="s">
        <v>65</v>
      </c>
      <c r="L85">
        <v>2677512.61</v>
      </c>
      <c r="M85">
        <f t="shared" si="8"/>
        <v>50</v>
      </c>
      <c r="N85" t="s">
        <v>66</v>
      </c>
      <c r="O85" t="str">
        <f t="shared" si="9"/>
        <v/>
      </c>
      <c r="P85" t="s">
        <v>66</v>
      </c>
      <c r="S85">
        <f t="shared" si="6"/>
        <v>50</v>
      </c>
      <c r="T85" t="str">
        <f>IF(NOT(ISNUMBER(S85)),"⬜  Sin dato PVE",IF(AND(COUNT(NORMALIZADO!BV85:BY85)&gt;=3,AQ85=7),IF(S85&lt;34,"🔴 Crítico",IF(S85&lt;67,"🟡 Vulnerable","🟢 Preparado")),"◐  Parcial · "&amp;AQ85&amp;"/7"))</f>
        <v>◐  Parcial · 2/7</v>
      </c>
      <c r="U85" s="53">
        <v>1</v>
      </c>
      <c r="V85" t="s">
        <v>67</v>
      </c>
      <c r="W85">
        <f>IF(NORMALIZADO!BV85="",1,NORMALIZADO!BV85)</f>
        <v>1</v>
      </c>
      <c r="X85" t="str">
        <f>IF(NORMALIZADO!BW85="","",NORMALIZADO!BW85)</f>
        <v/>
      </c>
      <c r="Y85" t="str">
        <f>IF(NORMALIZADO!BX85="","",NORMALIZADO!BX85)</f>
        <v/>
      </c>
      <c r="Z85" t="str">
        <f>IF(NORMALIZADO!BY85="","",NORMALIZADO!BY85)</f>
        <v/>
      </c>
      <c r="AO85" t="str">
        <f t="shared" si="7"/>
        <v>N/A</v>
      </c>
      <c r="AP85">
        <f>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f>
        <v>0.5</v>
      </c>
      <c r="AQ85">
        <f>IF(ISNUMBER(M85),1,0)+IF(ISNUMBER(SCORECARDS!H85),1,0)+IF(ISNUMBER(SCORECARDS!I85),1,0)+IF(ISNUMBER(SCORECARDS!J85),1,0)+IF(ISNUMBER(ISCAM_Score!K86),1,0)+IF(ISNUMBER(O85),1,0)+IF(COUNT(W85:Z85)&gt;0,1,0)</f>
        <v>2</v>
      </c>
      <c r="AT85" t="str">
        <f>IF(NOT(ISNUMBER(AP85)),"sin dato",IF(AND(COUNT(NORMALIZADO!BV85:BY85)&gt;=3,AQ85=7),"completo","parcial · "&amp;AQ85&amp;"/7 · D12-D15 "&amp;COUNT(NORMALIZADO!BV85:BY85)&amp;"/4"))</f>
        <v>parcial · 2/7 · D12-D15 0/4</v>
      </c>
    </row>
    <row r="86" spans="1:46" ht="16.05" customHeight="1" x14ac:dyDescent="0.3">
      <c r="A86" t="s">
        <v>254</v>
      </c>
      <c r="B86" t="s">
        <v>255</v>
      </c>
      <c r="C86" t="s">
        <v>247</v>
      </c>
      <c r="D86" t="s">
        <v>71</v>
      </c>
      <c r="G86" t="s">
        <v>72</v>
      </c>
      <c r="J86" t="s">
        <v>65</v>
      </c>
      <c r="M86" t="str">
        <f t="shared" si="8"/>
        <v/>
      </c>
      <c r="N86" t="s">
        <v>66</v>
      </c>
      <c r="O86" t="str">
        <f t="shared" si="9"/>
        <v/>
      </c>
      <c r="P86" t="s">
        <v>66</v>
      </c>
      <c r="S86" t="str">
        <f t="shared" si="6"/>
        <v>—</v>
      </c>
      <c r="T86" t="str">
        <f>IF(NOT(ISNUMBER(S86)),"⬜  Sin dato PVE",IF(AND(COUNT(NORMALIZADO!BV86:BY86)&gt;=3,AQ86=7),IF(S86&lt;34,"🔴 Crítico",IF(S86&lt;67,"🟡 Vulnerable","🟢 Preparado")),"◐  Parcial · "&amp;AQ86&amp;"/7"))</f>
        <v>⬜  Sin dato PVE</v>
      </c>
      <c r="U86" s="53">
        <v>1</v>
      </c>
      <c r="V86" t="s">
        <v>67</v>
      </c>
      <c r="W86" t="str">
        <f>IF(NORMALIZADO!BV86="","",NORMALIZADO!BV86)</f>
        <v/>
      </c>
      <c r="X86" t="str">
        <f>IF(NORMALIZADO!BW86="","",NORMALIZADO!BW86)</f>
        <v/>
      </c>
      <c r="Y86" t="str">
        <f>IF(NORMALIZADO!BX86="","",NORMALIZADO!BX86)</f>
        <v/>
      </c>
      <c r="Z86" t="str">
        <f>IF(NORMALIZADO!BY86="","",NORMALIZADO!BY86)</f>
        <v/>
      </c>
      <c r="AO86" t="str">
        <f t="shared" si="7"/>
        <v>N/A</v>
      </c>
      <c r="AP86" t="str">
        <f>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f>
        <v>—</v>
      </c>
      <c r="AQ86">
        <f>IF(ISNUMBER(M86),1,0)+IF(ISNUMBER(SCORECARDS!H86),1,0)+IF(ISNUMBER(SCORECARDS!I86),1,0)+IF(ISNUMBER(SCORECARDS!J86),1,0)+IF(ISNUMBER(ISCAM_Score!K87),1,0)+IF(ISNUMBER(O86),1,0)+IF(COUNT(W86:Z86)&gt;0,1,0)</f>
        <v>0</v>
      </c>
      <c r="AT86" t="str">
        <f>IF(NOT(ISNUMBER(AP86)),"sin dato",IF(AND(COUNT(NORMALIZADO!BV86:BY86)&gt;=3,AQ86=7),"completo","parcial · "&amp;AQ86&amp;"/7 · D12-D15 "&amp;COUNT(NORMALIZADO!BV86:BY86)&amp;"/4"))</f>
        <v>sin dato</v>
      </c>
    </row>
    <row r="87" spans="1:46" ht="16.05" customHeight="1" x14ac:dyDescent="0.3">
      <c r="A87" t="s">
        <v>256</v>
      </c>
      <c r="B87" t="s">
        <v>257</v>
      </c>
      <c r="C87" t="s">
        <v>247</v>
      </c>
      <c r="D87" t="s">
        <v>71</v>
      </c>
      <c r="G87" t="s">
        <v>72</v>
      </c>
      <c r="J87" t="s">
        <v>65</v>
      </c>
      <c r="M87" t="str">
        <f t="shared" si="8"/>
        <v/>
      </c>
      <c r="N87" t="s">
        <v>66</v>
      </c>
      <c r="O87" t="str">
        <f t="shared" si="9"/>
        <v/>
      </c>
      <c r="P87" t="s">
        <v>66</v>
      </c>
      <c r="S87" t="str">
        <f t="shared" si="6"/>
        <v>—</v>
      </c>
      <c r="T87" t="str">
        <f>IF(NOT(ISNUMBER(S87)),"⬜  Sin dato PVE",IF(AND(COUNT(NORMALIZADO!BV87:BY87)&gt;=3,AQ87=7),IF(S87&lt;34,"🔴 Crítico",IF(S87&lt;67,"🟡 Vulnerable","🟢 Preparado")),"◐  Parcial · "&amp;AQ87&amp;"/7"))</f>
        <v>⬜  Sin dato PVE</v>
      </c>
      <c r="U87" s="53">
        <v>1</v>
      </c>
      <c r="V87" t="s">
        <v>67</v>
      </c>
      <c r="W87" t="str">
        <f>IF(NORMALIZADO!BV87="","",NORMALIZADO!BV87)</f>
        <v/>
      </c>
      <c r="X87" t="str">
        <f>IF(NORMALIZADO!BW87="","",NORMALIZADO!BW87)</f>
        <v/>
      </c>
      <c r="Y87" t="str">
        <f>IF(NORMALIZADO!BX87="","",NORMALIZADO!BX87)</f>
        <v/>
      </c>
      <c r="Z87" t="str">
        <f>IF(NORMALIZADO!BY87="","",NORMALIZADO!BY87)</f>
        <v/>
      </c>
      <c r="AO87" t="str">
        <f t="shared" si="7"/>
        <v>N/A</v>
      </c>
      <c r="AP87" t="str">
        <f>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f>
        <v>—</v>
      </c>
      <c r="AQ87">
        <f>IF(ISNUMBER(M87),1,0)+IF(ISNUMBER(SCORECARDS!H87),1,0)+IF(ISNUMBER(SCORECARDS!I87),1,0)+IF(ISNUMBER(SCORECARDS!J87),1,0)+IF(ISNUMBER(ISCAM_Score!K88),1,0)+IF(ISNUMBER(O87),1,0)+IF(COUNT(W87:Z87)&gt;0,1,0)</f>
        <v>0</v>
      </c>
      <c r="AT87" t="str">
        <f>IF(NOT(ISNUMBER(AP87)),"sin dato",IF(AND(COUNT(NORMALIZADO!BV87:BY87)&gt;=3,AQ87=7),"completo","parcial · "&amp;AQ87&amp;"/7 · D12-D15 "&amp;COUNT(NORMALIZADO!BV87:BY87)&amp;"/4"))</f>
        <v>sin dato</v>
      </c>
    </row>
    <row r="88" spans="1:46" ht="16.05" customHeight="1" x14ac:dyDescent="0.3">
      <c r="A88" t="s">
        <v>258</v>
      </c>
      <c r="B88" t="s">
        <v>259</v>
      </c>
      <c r="C88" t="s">
        <v>247</v>
      </c>
      <c r="D88" t="s">
        <v>71</v>
      </c>
      <c r="G88" t="s">
        <v>72</v>
      </c>
      <c r="J88" t="s">
        <v>65</v>
      </c>
      <c r="M88" t="str">
        <f t="shared" si="8"/>
        <v/>
      </c>
      <c r="N88" t="s">
        <v>66</v>
      </c>
      <c r="O88" t="str">
        <f t="shared" si="9"/>
        <v/>
      </c>
      <c r="P88" t="s">
        <v>66</v>
      </c>
      <c r="S88" t="str">
        <f t="shared" si="6"/>
        <v>—</v>
      </c>
      <c r="T88" t="str">
        <f>IF(NOT(ISNUMBER(S88)),"⬜  Sin dato PVE",IF(AND(COUNT(NORMALIZADO!BV88:BY88)&gt;=3,AQ88=7),IF(S88&lt;34,"🔴 Crítico",IF(S88&lt;67,"🟡 Vulnerable","🟢 Preparado")),"◐  Parcial · "&amp;AQ88&amp;"/7"))</f>
        <v>⬜  Sin dato PVE</v>
      </c>
      <c r="U88" s="53">
        <v>1</v>
      </c>
      <c r="V88" t="s">
        <v>67</v>
      </c>
      <c r="W88" t="str">
        <f>IF(NORMALIZADO!BV88="","",NORMALIZADO!BV88)</f>
        <v/>
      </c>
      <c r="X88" t="str">
        <f>IF(NORMALIZADO!BW88="","",NORMALIZADO!BW88)</f>
        <v/>
      </c>
      <c r="Y88" t="str">
        <f>IF(NORMALIZADO!BX88="","",NORMALIZADO!BX88)</f>
        <v/>
      </c>
      <c r="Z88" t="str">
        <f>IF(NORMALIZADO!BY88="","",NORMALIZADO!BY88)</f>
        <v/>
      </c>
      <c r="AO88" t="str">
        <f t="shared" si="7"/>
        <v>N/A</v>
      </c>
      <c r="AP88" t="str">
        <f>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f>
        <v>—</v>
      </c>
      <c r="AQ88">
        <f>IF(ISNUMBER(M88),1,0)+IF(ISNUMBER(SCORECARDS!H88),1,0)+IF(ISNUMBER(SCORECARDS!I88),1,0)+IF(ISNUMBER(SCORECARDS!J88),1,0)+IF(ISNUMBER(ISCAM_Score!K89),1,0)+IF(ISNUMBER(O88),1,0)+IF(COUNT(W88:Z88)&gt;0,1,0)</f>
        <v>0</v>
      </c>
      <c r="AT88" t="str">
        <f>IF(NOT(ISNUMBER(AP88)),"sin dato",IF(AND(COUNT(NORMALIZADO!BV88:BY88)&gt;=3,AQ88=7),"completo","parcial · "&amp;AQ88&amp;"/7 · D12-D15 "&amp;COUNT(NORMALIZADO!BV88:BY88)&amp;"/4"))</f>
        <v>sin dato</v>
      </c>
    </row>
    <row r="89" spans="1:46" ht="16.05" customHeight="1" x14ac:dyDescent="0.3">
      <c r="A89" t="s">
        <v>260</v>
      </c>
      <c r="B89" t="s">
        <v>261</v>
      </c>
      <c r="C89" t="s">
        <v>247</v>
      </c>
      <c r="D89" t="s">
        <v>63</v>
      </c>
      <c r="G89" t="s">
        <v>72</v>
      </c>
      <c r="J89" t="s">
        <v>65</v>
      </c>
      <c r="M89" t="str">
        <f t="shared" si="8"/>
        <v/>
      </c>
      <c r="N89" t="s">
        <v>66</v>
      </c>
      <c r="O89" t="str">
        <f t="shared" si="9"/>
        <v/>
      </c>
      <c r="P89" t="s">
        <v>66</v>
      </c>
      <c r="S89" t="str">
        <f t="shared" si="6"/>
        <v>—</v>
      </c>
      <c r="T89" t="str">
        <f>IF(NOT(ISNUMBER(S89)),"⬜  Sin dato PVE",IF(AND(COUNT(NORMALIZADO!BV89:BY89)&gt;=3,AQ89=7),IF(S89&lt;34,"🔴 Crítico",IF(S89&lt;67,"🟡 Vulnerable","🟢 Preparado")),"◐  Parcial · "&amp;AQ89&amp;"/7"))</f>
        <v>⬜  Sin dato PVE</v>
      </c>
      <c r="U89" s="53">
        <v>1</v>
      </c>
      <c r="V89" t="s">
        <v>67</v>
      </c>
      <c r="W89" t="str">
        <f>IF(NORMALIZADO!BV89="","",NORMALIZADO!BV89)</f>
        <v/>
      </c>
      <c r="X89" t="str">
        <f>IF(NORMALIZADO!BW89="","",NORMALIZADO!BW89)</f>
        <v/>
      </c>
      <c r="Y89" t="str">
        <f>IF(NORMALIZADO!BX89="","",NORMALIZADO!BX89)</f>
        <v/>
      </c>
      <c r="Z89" t="str">
        <f>IF(NORMALIZADO!BY89="","",NORMALIZADO!BY89)</f>
        <v/>
      </c>
      <c r="AO89" t="str">
        <f t="shared" si="7"/>
        <v>N/A</v>
      </c>
      <c r="AP89" t="str">
        <f>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f>
        <v>—</v>
      </c>
      <c r="AQ89">
        <f>IF(ISNUMBER(M89),1,0)+IF(ISNUMBER(SCORECARDS!H89),1,0)+IF(ISNUMBER(SCORECARDS!I89),1,0)+IF(ISNUMBER(SCORECARDS!J89),1,0)+IF(ISNUMBER(ISCAM_Score!K90),1,0)+IF(ISNUMBER(O89),1,0)+IF(COUNT(W89:Z89)&gt;0,1,0)</f>
        <v>0</v>
      </c>
      <c r="AT89" t="str">
        <f>IF(NOT(ISNUMBER(AP89)),"sin dato",IF(AND(COUNT(NORMALIZADO!BV89:BY89)&gt;=3,AQ89=7),"completo","parcial · "&amp;AQ89&amp;"/7 · D12-D15 "&amp;COUNT(NORMALIZADO!BV89:BY89)&amp;"/4"))</f>
        <v>sin dato</v>
      </c>
    </row>
    <row r="90" spans="1:46" ht="16.05" customHeight="1" x14ac:dyDescent="0.3">
      <c r="A90" t="s">
        <v>262</v>
      </c>
      <c r="B90" t="s">
        <v>263</v>
      </c>
      <c r="C90" t="s">
        <v>75</v>
      </c>
      <c r="D90" t="s">
        <v>71</v>
      </c>
      <c r="G90" t="s">
        <v>72</v>
      </c>
      <c r="J90" t="s">
        <v>122</v>
      </c>
      <c r="M90" t="str">
        <f t="shared" si="8"/>
        <v/>
      </c>
      <c r="N90" t="s">
        <v>66</v>
      </c>
      <c r="O90" t="str">
        <f t="shared" si="9"/>
        <v/>
      </c>
      <c r="P90" t="s">
        <v>66</v>
      </c>
      <c r="S90" t="str">
        <f t="shared" si="6"/>
        <v>—</v>
      </c>
      <c r="T90" t="str">
        <f>IF(NOT(ISNUMBER(S90)),"⬜  Sin dato PVE",IF(AND(COUNT(NORMALIZADO!BV90:BY90)&gt;=3,AQ90=7),IF(S90&lt;34,"🔴 Crítico",IF(S90&lt;67,"🟡 Vulnerable","🟢 Preparado")),"◐  Parcial · "&amp;AQ90&amp;"/7"))</f>
        <v>⬜  Sin dato PVE</v>
      </c>
      <c r="U90" s="53">
        <v>1</v>
      </c>
      <c r="V90" t="s">
        <v>67</v>
      </c>
      <c r="W90" t="str">
        <f>IF(NORMALIZADO!BV90="","",NORMALIZADO!BV90)</f>
        <v/>
      </c>
      <c r="X90" t="str">
        <f>IF(NORMALIZADO!BW90="","",NORMALIZADO!BW90)</f>
        <v/>
      </c>
      <c r="Y90" t="str">
        <f>IF(NORMALIZADO!BX90="","",NORMALIZADO!BX90)</f>
        <v/>
      </c>
      <c r="Z90" t="str">
        <f>IF(NORMALIZADO!BY90="","",NORMALIZADO!BY90)</f>
        <v/>
      </c>
      <c r="AO90" t="str">
        <f t="shared" si="7"/>
        <v>N/A</v>
      </c>
      <c r="AP90" t="str">
        <f>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f>
        <v>—</v>
      </c>
      <c r="AQ90">
        <f>IF(ISNUMBER(M90),1,0)+IF(ISNUMBER(SCORECARDS!H90),1,0)+IF(ISNUMBER(SCORECARDS!I90),1,0)+IF(ISNUMBER(SCORECARDS!J90),1,0)+IF(ISNUMBER(ISCAM_Score!K91),1,0)+IF(ISNUMBER(O90),1,0)+IF(COUNT(W90:Z90)&gt;0,1,0)</f>
        <v>0</v>
      </c>
      <c r="AT90" t="str">
        <f>IF(NOT(ISNUMBER(AP90)),"sin dato",IF(AND(COUNT(NORMALIZADO!BV90:BY90)&gt;=3,AQ90=7),"completo","parcial · "&amp;AQ90&amp;"/7 · D12-D15 "&amp;COUNT(NORMALIZADO!BV90:BY90)&amp;"/4"))</f>
        <v>sin dato</v>
      </c>
    </row>
    <row r="91" spans="1:46" ht="16.05" customHeight="1" x14ac:dyDescent="0.3">
      <c r="A91" t="s">
        <v>264</v>
      </c>
      <c r="B91" t="s">
        <v>265</v>
      </c>
      <c r="C91" t="s">
        <v>75</v>
      </c>
      <c r="D91" t="s">
        <v>63</v>
      </c>
      <c r="G91" t="s">
        <v>72</v>
      </c>
      <c r="J91" t="s">
        <v>104</v>
      </c>
      <c r="M91" t="str">
        <f t="shared" si="8"/>
        <v/>
      </c>
      <c r="N91" t="s">
        <v>66</v>
      </c>
      <c r="O91" t="str">
        <f t="shared" si="9"/>
        <v/>
      </c>
      <c r="P91" t="s">
        <v>66</v>
      </c>
      <c r="S91" t="str">
        <f t="shared" si="6"/>
        <v>—</v>
      </c>
      <c r="T91" t="str">
        <f>IF(NOT(ISNUMBER(S91)),"⬜  Sin dato PVE",IF(AND(COUNT(NORMALIZADO!BV91:BY91)&gt;=3,AQ91=7),IF(S91&lt;34,"🔴 Crítico",IF(S91&lt;67,"🟡 Vulnerable","🟢 Preparado")),"◐  Parcial · "&amp;AQ91&amp;"/7"))</f>
        <v>⬜  Sin dato PVE</v>
      </c>
      <c r="U91" s="53">
        <v>1</v>
      </c>
      <c r="V91" t="s">
        <v>67</v>
      </c>
      <c r="W91" t="str">
        <f>IF(NORMALIZADO!BV91="","",NORMALIZADO!BV91)</f>
        <v/>
      </c>
      <c r="X91" t="str">
        <f>IF(NORMALIZADO!BW91="","",NORMALIZADO!BW91)</f>
        <v/>
      </c>
      <c r="Y91" t="str">
        <f>IF(NORMALIZADO!BX91="","",NORMALIZADO!BX91)</f>
        <v/>
      </c>
      <c r="Z91" t="str">
        <f>IF(NORMALIZADO!BY91="","",NORMALIZADO!BY91)</f>
        <v/>
      </c>
      <c r="AO91" t="str">
        <f t="shared" si="7"/>
        <v>N/A</v>
      </c>
      <c r="AP91" t="str">
        <f>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f>
        <v>—</v>
      </c>
      <c r="AQ91">
        <f>IF(ISNUMBER(M91),1,0)+IF(ISNUMBER(SCORECARDS!H91),1,0)+IF(ISNUMBER(SCORECARDS!I91),1,0)+IF(ISNUMBER(SCORECARDS!J91),1,0)+IF(ISNUMBER(ISCAM_Score!K92),1,0)+IF(ISNUMBER(O91),1,0)+IF(COUNT(W91:Z91)&gt;0,1,0)</f>
        <v>0</v>
      </c>
      <c r="AT91" t="str">
        <f>IF(NOT(ISNUMBER(AP91)),"sin dato",IF(AND(COUNT(NORMALIZADO!BV91:BY91)&gt;=3,AQ91=7),"completo","parcial · "&amp;AQ91&amp;"/7 · D12-D15 "&amp;COUNT(NORMALIZADO!BV91:BY91)&amp;"/4"))</f>
        <v>sin dato</v>
      </c>
    </row>
    <row r="92" spans="1:46" ht="16.05" customHeight="1" x14ac:dyDescent="0.3">
      <c r="A92" t="s">
        <v>266</v>
      </c>
      <c r="B92" t="s">
        <v>267</v>
      </c>
      <c r="C92" t="s">
        <v>148</v>
      </c>
      <c r="D92" t="s">
        <v>63</v>
      </c>
      <c r="E92">
        <v>9585341.8000000007</v>
      </c>
      <c r="F92">
        <v>58</v>
      </c>
      <c r="G92" t="s">
        <v>64</v>
      </c>
      <c r="J92" t="s">
        <v>65</v>
      </c>
      <c r="L92">
        <v>4792670.9000000004</v>
      </c>
      <c r="M92">
        <f t="shared" si="8"/>
        <v>50</v>
      </c>
      <c r="N92" t="s">
        <v>66</v>
      </c>
      <c r="O92" t="str">
        <f t="shared" si="9"/>
        <v/>
      </c>
      <c r="P92" t="s">
        <v>66</v>
      </c>
      <c r="S92">
        <f t="shared" si="6"/>
        <v>50</v>
      </c>
      <c r="T92" t="str">
        <f>IF(NOT(ISNUMBER(S92)),"⬜  Sin dato PVE",IF(AND(COUNT(NORMALIZADO!BV92:BY92)&gt;=3,AQ92=7),IF(S92&lt;34,"🔴 Crítico",IF(S92&lt;67,"🟡 Vulnerable","🟢 Preparado")),"◐  Parcial · "&amp;AQ92&amp;"/7"))</f>
        <v>◐  Parcial · 2/7</v>
      </c>
      <c r="U92" s="53">
        <v>1</v>
      </c>
      <c r="V92" t="s">
        <v>67</v>
      </c>
      <c r="W92">
        <f>IF(NORMALIZADO!BV92="",1,NORMALIZADO!BV92)</f>
        <v>1</v>
      </c>
      <c r="X92" t="str">
        <f>IF(NORMALIZADO!BW92="","",NORMALIZADO!BW92)</f>
        <v/>
      </c>
      <c r="Y92" t="str">
        <f>IF(NORMALIZADO!BX92="","",NORMALIZADO!BX92)</f>
        <v/>
      </c>
      <c r="Z92" t="str">
        <f>IF(NORMALIZADO!BY92="","",NORMALIZADO!BY92)</f>
        <v/>
      </c>
      <c r="AO92" t="str">
        <f t="shared" si="7"/>
        <v>N/A</v>
      </c>
      <c r="AP92">
        <f>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f>
        <v>0.5</v>
      </c>
      <c r="AQ92">
        <f>IF(ISNUMBER(M92),1,0)+IF(ISNUMBER(SCORECARDS!H92),1,0)+IF(ISNUMBER(SCORECARDS!I92),1,0)+IF(ISNUMBER(SCORECARDS!J92),1,0)+IF(ISNUMBER(ISCAM_Score!K93),1,0)+IF(ISNUMBER(O92),1,0)+IF(COUNT(W92:Z92)&gt;0,1,0)</f>
        <v>2</v>
      </c>
      <c r="AT92" t="str">
        <f>IF(NOT(ISNUMBER(AP92)),"sin dato",IF(AND(COUNT(NORMALIZADO!BV92:BY92)&gt;=3,AQ92=7),"completo","parcial · "&amp;AQ92&amp;"/7 · D12-D15 "&amp;COUNT(NORMALIZADO!BV92:BY92)&amp;"/4"))</f>
        <v>parcial · 2/7 · D12-D15 0/4</v>
      </c>
    </row>
    <row r="93" spans="1:46" ht="16.05" customHeight="1" x14ac:dyDescent="0.3">
      <c r="A93" t="s">
        <v>268</v>
      </c>
      <c r="B93" t="s">
        <v>269</v>
      </c>
      <c r="C93" t="s">
        <v>137</v>
      </c>
      <c r="G93" t="s">
        <v>72</v>
      </c>
      <c r="J93" t="s">
        <v>65</v>
      </c>
      <c r="M93" t="str">
        <f t="shared" si="8"/>
        <v/>
      </c>
      <c r="N93" t="s">
        <v>66</v>
      </c>
      <c r="O93" t="str">
        <f t="shared" si="9"/>
        <v/>
      </c>
      <c r="P93" t="s">
        <v>66</v>
      </c>
      <c r="S93" t="str">
        <f t="shared" si="6"/>
        <v>—</v>
      </c>
      <c r="T93" t="str">
        <f>IF(NOT(ISNUMBER(S93)),"⬜  Sin dato PVE",IF(AND(COUNT(NORMALIZADO!BV93:BY93)&gt;=3,AQ93=7),IF(S93&lt;34,"🔴 Crítico",IF(S93&lt;67,"🟡 Vulnerable","🟢 Preparado")),"◐  Parcial · "&amp;AQ93&amp;"/7"))</f>
        <v>⬜  Sin dato PVE</v>
      </c>
      <c r="U93" s="53">
        <v>1</v>
      </c>
      <c r="V93" t="s">
        <v>67</v>
      </c>
      <c r="W93" t="str">
        <f>IF(NORMALIZADO!BV93="","",NORMALIZADO!BV93)</f>
        <v/>
      </c>
      <c r="X93" t="str">
        <f>IF(NORMALIZADO!BW93="","",NORMALIZADO!BW93)</f>
        <v/>
      </c>
      <c r="Y93" t="str">
        <f>IF(NORMALIZADO!BX93="","",NORMALIZADO!BX93)</f>
        <v/>
      </c>
      <c r="Z93" t="str">
        <f>IF(NORMALIZADO!BY93="","",NORMALIZADO!BY93)</f>
        <v/>
      </c>
      <c r="AO93" t="str">
        <f t="shared" si="7"/>
        <v>N/A</v>
      </c>
      <c r="AP93" t="str">
        <f>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f>
        <v>—</v>
      </c>
      <c r="AQ93">
        <f>IF(ISNUMBER(M93),1,0)+IF(ISNUMBER(SCORECARDS!H93),1,0)+IF(ISNUMBER(SCORECARDS!I93),1,0)+IF(ISNUMBER(SCORECARDS!J93),1,0)+IF(ISNUMBER(ISCAM_Score!K94),1,0)+IF(ISNUMBER(O93),1,0)+IF(COUNT(W93:Z93)&gt;0,1,0)</f>
        <v>0</v>
      </c>
      <c r="AT93" t="str">
        <f>IF(NOT(ISNUMBER(AP93)),"sin dato",IF(AND(COUNT(NORMALIZADO!BV93:BY93)&gt;=3,AQ93=7),"completo","parcial · "&amp;AQ93&amp;"/7 · D12-D15 "&amp;COUNT(NORMALIZADO!BV93:BY93)&amp;"/4"))</f>
        <v>sin dato</v>
      </c>
    </row>
    <row r="94" spans="1:46" ht="16.05" customHeight="1" x14ac:dyDescent="0.3">
      <c r="A94" t="s">
        <v>270</v>
      </c>
      <c r="B94" t="s">
        <v>271</v>
      </c>
      <c r="C94" t="s">
        <v>137</v>
      </c>
      <c r="E94">
        <v>3777944.83</v>
      </c>
      <c r="F94">
        <v>14</v>
      </c>
      <c r="G94" t="s">
        <v>64</v>
      </c>
      <c r="J94" t="s">
        <v>65</v>
      </c>
      <c r="L94">
        <v>1888972.42</v>
      </c>
      <c r="M94">
        <f t="shared" si="8"/>
        <v>50</v>
      </c>
      <c r="N94" t="s">
        <v>66</v>
      </c>
      <c r="O94" t="str">
        <f t="shared" si="9"/>
        <v/>
      </c>
      <c r="P94" t="s">
        <v>66</v>
      </c>
      <c r="S94">
        <f t="shared" si="6"/>
        <v>50</v>
      </c>
      <c r="T94" t="str">
        <f>IF(NOT(ISNUMBER(S94)),"⬜  Sin dato PVE",IF(AND(COUNT(NORMALIZADO!BV94:BY94)&gt;=3,AQ94=7),IF(S94&lt;34,"🔴 Crítico",IF(S94&lt;67,"🟡 Vulnerable","🟢 Preparado")),"◐  Parcial · "&amp;AQ94&amp;"/7"))</f>
        <v>◐  Parcial · 2/7</v>
      </c>
      <c r="U94" s="53">
        <v>1</v>
      </c>
      <c r="V94" t="s">
        <v>67</v>
      </c>
      <c r="W94">
        <f>IF(NORMALIZADO!BV94="",1,NORMALIZADO!BV94)</f>
        <v>1</v>
      </c>
      <c r="X94" t="str">
        <f>IF(NORMALIZADO!BW94="","",NORMALIZADO!BW94)</f>
        <v/>
      </c>
      <c r="Y94" t="str">
        <f>IF(NORMALIZADO!BX94="","",NORMALIZADO!BX94)</f>
        <v/>
      </c>
      <c r="Z94" t="str">
        <f>IF(NORMALIZADO!BY94="","",NORMALIZADO!BY94)</f>
        <v/>
      </c>
      <c r="AO94" t="str">
        <f t="shared" si="7"/>
        <v>N/A</v>
      </c>
      <c r="AP94">
        <f>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f>
        <v>0.5</v>
      </c>
      <c r="AQ94">
        <f>IF(ISNUMBER(M94),1,0)+IF(ISNUMBER(SCORECARDS!H94),1,0)+IF(ISNUMBER(SCORECARDS!I94),1,0)+IF(ISNUMBER(SCORECARDS!J94),1,0)+IF(ISNUMBER(ISCAM_Score!K95),1,0)+IF(ISNUMBER(O94),1,0)+IF(COUNT(W94:Z94)&gt;0,1,0)</f>
        <v>2</v>
      </c>
      <c r="AT94" t="str">
        <f>IF(NOT(ISNUMBER(AP94)),"sin dato",IF(AND(COUNT(NORMALIZADO!BV94:BY94)&gt;=3,AQ94=7),"completo","parcial · "&amp;AQ94&amp;"/7 · D12-D15 "&amp;COUNT(NORMALIZADO!BV94:BY94)&amp;"/4"))</f>
        <v>parcial · 2/7 · D12-D15 0/4</v>
      </c>
    </row>
    <row r="95" spans="1:46" ht="16.05" customHeight="1" x14ac:dyDescent="0.3">
      <c r="A95" t="s">
        <v>272</v>
      </c>
      <c r="B95" t="s">
        <v>273</v>
      </c>
      <c r="C95" t="s">
        <v>117</v>
      </c>
      <c r="D95" t="s">
        <v>71</v>
      </c>
      <c r="G95" t="s">
        <v>72</v>
      </c>
      <c r="J95" t="s">
        <v>65</v>
      </c>
      <c r="M95" t="str">
        <f t="shared" si="8"/>
        <v/>
      </c>
      <c r="N95" t="s">
        <v>66</v>
      </c>
      <c r="O95" t="str">
        <f t="shared" si="9"/>
        <v/>
      </c>
      <c r="P95" t="s">
        <v>66</v>
      </c>
      <c r="S95" t="str">
        <f t="shared" si="6"/>
        <v>—</v>
      </c>
      <c r="T95" t="str">
        <f>IF(NOT(ISNUMBER(S95)),"⬜  Sin dato PVE",IF(AND(COUNT(NORMALIZADO!BV95:BY95)&gt;=3,AQ95=7),IF(S95&lt;34,"🔴 Crítico",IF(S95&lt;67,"🟡 Vulnerable","🟢 Preparado")),"◐  Parcial · "&amp;AQ95&amp;"/7"))</f>
        <v>⬜  Sin dato PVE</v>
      </c>
      <c r="U95" s="53">
        <v>1</v>
      </c>
      <c r="V95" t="s">
        <v>67</v>
      </c>
      <c r="W95" t="str">
        <f>IF(NORMALIZADO!BV95="","",NORMALIZADO!BV95)</f>
        <v/>
      </c>
      <c r="X95" t="str">
        <f>IF(NORMALIZADO!BW95="","",NORMALIZADO!BW95)</f>
        <v/>
      </c>
      <c r="Y95" t="str">
        <f>IF(NORMALIZADO!BX95="","",NORMALIZADO!BX95)</f>
        <v/>
      </c>
      <c r="Z95" t="str">
        <f>IF(NORMALIZADO!BY95="","",NORMALIZADO!BY95)</f>
        <v/>
      </c>
      <c r="AO95" t="str">
        <f t="shared" si="7"/>
        <v>N/A</v>
      </c>
      <c r="AP95" t="str">
        <f>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f>
        <v>—</v>
      </c>
      <c r="AQ95">
        <f>IF(ISNUMBER(M95),1,0)+IF(ISNUMBER(SCORECARDS!H95),1,0)+IF(ISNUMBER(SCORECARDS!I95),1,0)+IF(ISNUMBER(SCORECARDS!J95),1,0)+IF(ISNUMBER(ISCAM_Score!K96),1,0)+IF(ISNUMBER(O95),1,0)+IF(COUNT(W95:Z95)&gt;0,1,0)</f>
        <v>0</v>
      </c>
      <c r="AT95" t="str">
        <f>IF(NOT(ISNUMBER(AP95)),"sin dato",IF(AND(COUNT(NORMALIZADO!BV95:BY95)&gt;=3,AQ95=7),"completo","parcial · "&amp;AQ95&amp;"/7 · D12-D15 "&amp;COUNT(NORMALIZADO!BV95:BY95)&amp;"/4"))</f>
        <v>sin dato</v>
      </c>
    </row>
    <row r="96" spans="1:46" ht="16.05" customHeight="1" x14ac:dyDescent="0.3">
      <c r="A96" t="s">
        <v>274</v>
      </c>
      <c r="B96" t="s">
        <v>275</v>
      </c>
      <c r="C96" t="s">
        <v>117</v>
      </c>
      <c r="D96" t="s">
        <v>71</v>
      </c>
      <c r="G96" t="s">
        <v>72</v>
      </c>
      <c r="J96" t="s">
        <v>65</v>
      </c>
      <c r="M96" t="str">
        <f t="shared" si="8"/>
        <v/>
      </c>
      <c r="N96" t="s">
        <v>66</v>
      </c>
      <c r="O96" t="str">
        <f t="shared" si="9"/>
        <v/>
      </c>
      <c r="P96" t="s">
        <v>66</v>
      </c>
      <c r="S96" t="str">
        <f t="shared" si="6"/>
        <v>—</v>
      </c>
      <c r="T96" t="str">
        <f>IF(NOT(ISNUMBER(S96)),"⬜  Sin dato PVE",IF(AND(COUNT(NORMALIZADO!BV96:BY96)&gt;=3,AQ96=7),IF(S96&lt;34,"🔴 Crítico",IF(S96&lt;67,"🟡 Vulnerable","🟢 Preparado")),"◐  Parcial · "&amp;AQ96&amp;"/7"))</f>
        <v>⬜  Sin dato PVE</v>
      </c>
      <c r="U96" s="53">
        <v>1</v>
      </c>
      <c r="V96" t="s">
        <v>67</v>
      </c>
      <c r="W96" t="str">
        <f>IF(NORMALIZADO!BV96="","",NORMALIZADO!BV96)</f>
        <v/>
      </c>
      <c r="X96" t="str">
        <f>IF(NORMALIZADO!BW96="","",NORMALIZADO!BW96)</f>
        <v/>
      </c>
      <c r="Y96" t="str">
        <f>IF(NORMALIZADO!BX96="","",NORMALIZADO!BX96)</f>
        <v/>
      </c>
      <c r="Z96" t="str">
        <f>IF(NORMALIZADO!BY96="","",NORMALIZADO!BY96)</f>
        <v/>
      </c>
      <c r="AO96" t="str">
        <f t="shared" si="7"/>
        <v>N/A</v>
      </c>
      <c r="AP96" t="str">
        <f>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f>
        <v>—</v>
      </c>
      <c r="AQ96">
        <f>IF(ISNUMBER(M96),1,0)+IF(ISNUMBER(SCORECARDS!H96),1,0)+IF(ISNUMBER(SCORECARDS!I96),1,0)+IF(ISNUMBER(SCORECARDS!J96),1,0)+IF(ISNUMBER(ISCAM_Score!K97),1,0)+IF(ISNUMBER(O96),1,0)+IF(COUNT(W96:Z96)&gt;0,1,0)</f>
        <v>0</v>
      </c>
      <c r="AT96" t="str">
        <f>IF(NOT(ISNUMBER(AP96)),"sin dato",IF(AND(COUNT(NORMALIZADO!BV96:BY96)&gt;=3,AQ96=7),"completo","parcial · "&amp;AQ96&amp;"/7 · D12-D15 "&amp;COUNT(NORMALIZADO!BV96:BY96)&amp;"/4"))</f>
        <v>sin dato</v>
      </c>
    </row>
    <row r="97" spans="1:46" ht="16.05" customHeight="1" x14ac:dyDescent="0.3">
      <c r="A97" t="s">
        <v>276</v>
      </c>
      <c r="B97" t="s">
        <v>277</v>
      </c>
      <c r="C97" t="s">
        <v>117</v>
      </c>
      <c r="D97" t="s">
        <v>71</v>
      </c>
      <c r="G97" t="s">
        <v>72</v>
      </c>
      <c r="J97" t="s">
        <v>122</v>
      </c>
      <c r="M97" t="str">
        <f t="shared" si="8"/>
        <v/>
      </c>
      <c r="N97" t="s">
        <v>66</v>
      </c>
      <c r="O97" t="str">
        <f t="shared" si="9"/>
        <v/>
      </c>
      <c r="P97" t="s">
        <v>66</v>
      </c>
      <c r="S97" t="str">
        <f t="shared" si="6"/>
        <v>—</v>
      </c>
      <c r="T97" t="str">
        <f>IF(NOT(ISNUMBER(S97)),"⬜  Sin dato PVE",IF(AND(COUNT(NORMALIZADO!BV97:BY97)&gt;=3,AQ97=7),IF(S97&lt;34,"🔴 Crítico",IF(S97&lt;67,"🟡 Vulnerable","🟢 Preparado")),"◐  Parcial · "&amp;AQ97&amp;"/7"))</f>
        <v>⬜  Sin dato PVE</v>
      </c>
      <c r="U97" s="53">
        <v>1</v>
      </c>
      <c r="V97" t="s">
        <v>67</v>
      </c>
      <c r="W97" t="str">
        <f>IF(NORMALIZADO!BV97="","",NORMALIZADO!BV97)</f>
        <v/>
      </c>
      <c r="X97" t="str">
        <f>IF(NORMALIZADO!BW97="","",NORMALIZADO!BW97)</f>
        <v/>
      </c>
      <c r="Y97" t="str">
        <f>IF(NORMALIZADO!BX97="","",NORMALIZADO!BX97)</f>
        <v/>
      </c>
      <c r="Z97" t="str">
        <f>IF(NORMALIZADO!BY97="","",NORMALIZADO!BY97)</f>
        <v/>
      </c>
      <c r="AO97" t="str">
        <f t="shared" si="7"/>
        <v>N/A</v>
      </c>
      <c r="AP97" t="str">
        <f>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f>
        <v>—</v>
      </c>
      <c r="AQ97">
        <f>IF(ISNUMBER(M97),1,0)+IF(ISNUMBER(SCORECARDS!H97),1,0)+IF(ISNUMBER(SCORECARDS!I97),1,0)+IF(ISNUMBER(SCORECARDS!J97),1,0)+IF(ISNUMBER(ISCAM_Score!K98),1,0)+IF(ISNUMBER(O97),1,0)+IF(COUNT(W97:Z97)&gt;0,1,0)</f>
        <v>0</v>
      </c>
      <c r="AT97" t="str">
        <f>IF(NOT(ISNUMBER(AP97)),"sin dato",IF(AND(COUNT(NORMALIZADO!BV97:BY97)&gt;=3,AQ97=7),"completo","parcial · "&amp;AQ97&amp;"/7 · D12-D15 "&amp;COUNT(NORMALIZADO!BV97:BY97)&amp;"/4"))</f>
        <v>sin dato</v>
      </c>
    </row>
    <row r="98" spans="1:46" ht="16.05" customHeight="1" x14ac:dyDescent="0.3">
      <c r="A98" t="s">
        <v>278</v>
      </c>
      <c r="B98" t="s">
        <v>279</v>
      </c>
      <c r="C98" t="s">
        <v>117</v>
      </c>
      <c r="D98" t="s">
        <v>71</v>
      </c>
      <c r="G98" t="s">
        <v>72</v>
      </c>
      <c r="J98" t="s">
        <v>65</v>
      </c>
      <c r="M98" t="str">
        <f t="shared" si="8"/>
        <v/>
      </c>
      <c r="N98" t="s">
        <v>66</v>
      </c>
      <c r="O98" t="str">
        <f t="shared" si="9"/>
        <v/>
      </c>
      <c r="P98" t="s">
        <v>66</v>
      </c>
      <c r="S98" t="str">
        <f t="shared" si="6"/>
        <v>—</v>
      </c>
      <c r="T98" t="str">
        <f>IF(NOT(ISNUMBER(S98)),"⬜  Sin dato PVE",IF(AND(COUNT(NORMALIZADO!BV98:BY98)&gt;=3,AQ98=7),IF(S98&lt;34,"🔴 Crítico",IF(S98&lt;67,"🟡 Vulnerable","🟢 Preparado")),"◐  Parcial · "&amp;AQ98&amp;"/7"))</f>
        <v>⬜  Sin dato PVE</v>
      </c>
      <c r="U98" s="53">
        <v>1</v>
      </c>
      <c r="V98" t="s">
        <v>67</v>
      </c>
      <c r="W98" t="str">
        <f>IF(NORMALIZADO!BV98="","",NORMALIZADO!BV98)</f>
        <v/>
      </c>
      <c r="X98" t="str">
        <f>IF(NORMALIZADO!BW98="","",NORMALIZADO!BW98)</f>
        <v/>
      </c>
      <c r="Y98" t="str">
        <f>IF(NORMALIZADO!BX98="","",NORMALIZADO!BX98)</f>
        <v/>
      </c>
      <c r="Z98" t="str">
        <f>IF(NORMALIZADO!BY98="","",NORMALIZADO!BY98)</f>
        <v/>
      </c>
      <c r="AO98" t="str">
        <f t="shared" si="7"/>
        <v>N/A</v>
      </c>
      <c r="AP98" t="str">
        <f>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f>
        <v>—</v>
      </c>
      <c r="AQ98">
        <f>IF(ISNUMBER(M98),1,0)+IF(ISNUMBER(SCORECARDS!H98),1,0)+IF(ISNUMBER(SCORECARDS!I98),1,0)+IF(ISNUMBER(SCORECARDS!J98),1,0)+IF(ISNUMBER(ISCAM_Score!K99),1,0)+IF(ISNUMBER(O98),1,0)+IF(COUNT(W98:Z98)&gt;0,1,0)</f>
        <v>0</v>
      </c>
      <c r="AT98" t="str">
        <f>IF(NOT(ISNUMBER(AP98)),"sin dato",IF(AND(COUNT(NORMALIZADO!BV98:BY98)&gt;=3,AQ98=7),"completo","parcial · "&amp;AQ98&amp;"/7 · D12-D15 "&amp;COUNT(NORMALIZADO!BV98:BY98)&amp;"/4"))</f>
        <v>sin dato</v>
      </c>
    </row>
    <row r="99" spans="1:46" ht="16.05" customHeight="1" x14ac:dyDescent="0.3">
      <c r="A99" t="s">
        <v>280</v>
      </c>
      <c r="B99" t="s">
        <v>281</v>
      </c>
      <c r="C99" t="s">
        <v>117</v>
      </c>
      <c r="D99" t="s">
        <v>282</v>
      </c>
      <c r="G99" t="s">
        <v>72</v>
      </c>
      <c r="J99" t="s">
        <v>122</v>
      </c>
      <c r="M99" t="str">
        <f t="shared" si="8"/>
        <v/>
      </c>
      <c r="N99" t="s">
        <v>66</v>
      </c>
      <c r="O99" t="str">
        <f t="shared" si="9"/>
        <v/>
      </c>
      <c r="P99" t="s">
        <v>66</v>
      </c>
      <c r="S99" t="str">
        <f t="shared" ref="S99:S130" si="10">IFERROR(ROUND(AP99*100,1),"—")</f>
        <v>—</v>
      </c>
      <c r="T99" t="str">
        <f>IF(NOT(ISNUMBER(S99)),"⬜  Sin dato PVE",IF(AND(COUNT(NORMALIZADO!BV99:BY99)&gt;=3,AQ99=7),IF(S99&lt;34,"🔴 Crítico",IF(S99&lt;67,"🟡 Vulnerable","🟢 Preparado")),"◐  Parcial · "&amp;AQ99&amp;"/7"))</f>
        <v>⬜  Sin dato PVE</v>
      </c>
      <c r="U99" s="53">
        <v>1</v>
      </c>
      <c r="V99" t="s">
        <v>67</v>
      </c>
      <c r="W99" t="str">
        <f>IF(NORMALIZADO!BV99="","",NORMALIZADO!BV99)</f>
        <v/>
      </c>
      <c r="X99" t="str">
        <f>IF(NORMALIZADO!BW99="","",NORMALIZADO!BW99)</f>
        <v/>
      </c>
      <c r="Y99" t="str">
        <f>IF(NORMALIZADO!BX99="","",NORMALIZADO!BX99)</f>
        <v/>
      </c>
      <c r="Z99" t="str">
        <f>IF(NORMALIZADO!BY99="","",NORMALIZADO!BY99)</f>
        <v/>
      </c>
      <c r="AO99" t="str">
        <f t="shared" ref="AO99:AO130" si="11">IFERROR(AVERAGE(AA99,AB99,AC99,AD99,AE99,AF99,AG99,AH99,AI99,AJ99,AK99,AL99,AM99,AN99),"N/A")</f>
        <v>N/A</v>
      </c>
      <c r="AP99" t="str">
        <f>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f>
        <v>—</v>
      </c>
      <c r="AQ99">
        <f>IF(ISNUMBER(M99),1,0)+IF(ISNUMBER(SCORECARDS!H99),1,0)+IF(ISNUMBER(SCORECARDS!I99),1,0)+IF(ISNUMBER(SCORECARDS!J99),1,0)+IF(ISNUMBER(ISCAM_Score!K100),1,0)+IF(ISNUMBER(O99),1,0)+IF(COUNT(W99:Z99)&gt;0,1,0)</f>
        <v>0</v>
      </c>
      <c r="AT99" t="str">
        <f>IF(NOT(ISNUMBER(AP99)),"sin dato",IF(AND(COUNT(NORMALIZADO!BV99:BY99)&gt;=3,AQ99=7),"completo","parcial · "&amp;AQ99&amp;"/7 · D12-D15 "&amp;COUNT(NORMALIZADO!BV99:BY99)&amp;"/4"))</f>
        <v>sin dato</v>
      </c>
    </row>
    <row r="100" spans="1:46" ht="16.05" customHeight="1" x14ac:dyDescent="0.3">
      <c r="A100" t="s">
        <v>283</v>
      </c>
      <c r="B100" t="s">
        <v>284</v>
      </c>
      <c r="C100" t="s">
        <v>78</v>
      </c>
      <c r="D100" t="s">
        <v>71</v>
      </c>
      <c r="G100" t="s">
        <v>72</v>
      </c>
      <c r="J100" t="s">
        <v>65</v>
      </c>
      <c r="M100" t="str">
        <f t="shared" si="8"/>
        <v/>
      </c>
      <c r="N100" t="s">
        <v>66</v>
      </c>
      <c r="O100" t="str">
        <f t="shared" si="9"/>
        <v/>
      </c>
      <c r="P100" t="s">
        <v>66</v>
      </c>
      <c r="S100" t="str">
        <f t="shared" si="10"/>
        <v>—</v>
      </c>
      <c r="T100" t="str">
        <f>IF(NOT(ISNUMBER(S100)),"⬜  Sin dato PVE",IF(AND(COUNT(NORMALIZADO!BV100:BY100)&gt;=3,AQ100=7),IF(S100&lt;34,"🔴 Crítico",IF(S100&lt;67,"🟡 Vulnerable","🟢 Preparado")),"◐  Parcial · "&amp;AQ100&amp;"/7"))</f>
        <v>⬜  Sin dato PVE</v>
      </c>
      <c r="U100" s="53">
        <v>1</v>
      </c>
      <c r="V100" t="s">
        <v>67</v>
      </c>
      <c r="W100" t="str">
        <f>IF(NORMALIZADO!BV100="","",NORMALIZADO!BV100)</f>
        <v/>
      </c>
      <c r="X100" t="str">
        <f>IF(NORMALIZADO!BW100="","",NORMALIZADO!BW100)</f>
        <v/>
      </c>
      <c r="Y100" t="str">
        <f>IF(NORMALIZADO!BX100="","",NORMALIZADO!BX100)</f>
        <v/>
      </c>
      <c r="Z100" t="str">
        <f>IF(NORMALIZADO!BY100="","",NORMALIZADO!BY100)</f>
        <v/>
      </c>
      <c r="AO100" t="str">
        <f t="shared" si="11"/>
        <v>N/A</v>
      </c>
      <c r="AP100" t="str">
        <f>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f>
        <v>—</v>
      </c>
      <c r="AQ100">
        <f>IF(ISNUMBER(M100),1,0)+IF(ISNUMBER(SCORECARDS!H100),1,0)+IF(ISNUMBER(SCORECARDS!I100),1,0)+IF(ISNUMBER(SCORECARDS!J100),1,0)+IF(ISNUMBER(ISCAM_Score!K101),1,0)+IF(ISNUMBER(O100),1,0)+IF(COUNT(W100:Z100)&gt;0,1,0)</f>
        <v>0</v>
      </c>
      <c r="AT100" t="str">
        <f>IF(NOT(ISNUMBER(AP100)),"sin dato",IF(AND(COUNT(NORMALIZADO!BV100:BY100)&gt;=3,AQ100=7),"completo","parcial · "&amp;AQ100&amp;"/7 · D12-D15 "&amp;COUNT(NORMALIZADO!BV100:BY100)&amp;"/4"))</f>
        <v>sin dato</v>
      </c>
    </row>
    <row r="101" spans="1:46" ht="16.05" customHeight="1" x14ac:dyDescent="0.3">
      <c r="A101" t="s">
        <v>285</v>
      </c>
      <c r="B101" t="s">
        <v>286</v>
      </c>
      <c r="C101" t="s">
        <v>110</v>
      </c>
      <c r="D101" t="s">
        <v>63</v>
      </c>
      <c r="G101" t="s">
        <v>72</v>
      </c>
      <c r="J101" t="s">
        <v>65</v>
      </c>
      <c r="M101" t="str">
        <f t="shared" si="8"/>
        <v/>
      </c>
      <c r="N101" t="s">
        <v>66</v>
      </c>
      <c r="O101" t="str">
        <f t="shared" si="9"/>
        <v/>
      </c>
      <c r="P101" t="s">
        <v>66</v>
      </c>
      <c r="S101" t="str">
        <f t="shared" si="10"/>
        <v>—</v>
      </c>
      <c r="T101" t="str">
        <f>IF(NOT(ISNUMBER(S101)),"⬜  Sin dato PVE",IF(AND(COUNT(NORMALIZADO!BV101:BY101)&gt;=3,AQ101=7),IF(S101&lt;34,"🔴 Crítico",IF(S101&lt;67,"🟡 Vulnerable","🟢 Preparado")),"◐  Parcial · "&amp;AQ101&amp;"/7"))</f>
        <v>⬜  Sin dato PVE</v>
      </c>
      <c r="U101" s="53">
        <v>1</v>
      </c>
      <c r="V101" t="s">
        <v>67</v>
      </c>
      <c r="W101" t="str">
        <f>IF(NORMALIZADO!BV101="","",NORMALIZADO!BV101)</f>
        <v/>
      </c>
      <c r="X101" t="str">
        <f>IF(NORMALIZADO!BW101="","",NORMALIZADO!BW101)</f>
        <v/>
      </c>
      <c r="Y101" t="str">
        <f>IF(NORMALIZADO!BX101="","",NORMALIZADO!BX101)</f>
        <v/>
      </c>
      <c r="Z101" t="str">
        <f>IF(NORMALIZADO!BY101="","",NORMALIZADO!BY101)</f>
        <v/>
      </c>
      <c r="AO101" t="str">
        <f t="shared" si="11"/>
        <v>N/A</v>
      </c>
      <c r="AP101" t="str">
        <f>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f>
        <v>—</v>
      </c>
      <c r="AQ101">
        <f>IF(ISNUMBER(M101),1,0)+IF(ISNUMBER(SCORECARDS!H101),1,0)+IF(ISNUMBER(SCORECARDS!I101),1,0)+IF(ISNUMBER(SCORECARDS!J101),1,0)+IF(ISNUMBER(ISCAM_Score!K102),1,0)+IF(ISNUMBER(O101),1,0)+IF(COUNT(W101:Z101)&gt;0,1,0)</f>
        <v>0</v>
      </c>
      <c r="AT101" t="str">
        <f>IF(NOT(ISNUMBER(AP101)),"sin dato",IF(AND(COUNT(NORMALIZADO!BV101:BY101)&gt;=3,AQ101=7),"completo","parcial · "&amp;AQ101&amp;"/7 · D12-D15 "&amp;COUNT(NORMALIZADO!BV101:BY101)&amp;"/4"))</f>
        <v>sin dato</v>
      </c>
    </row>
    <row r="102" spans="1:46" ht="16.05" customHeight="1" x14ac:dyDescent="0.3">
      <c r="A102" t="s">
        <v>287</v>
      </c>
      <c r="B102" t="s">
        <v>288</v>
      </c>
      <c r="C102" t="s">
        <v>117</v>
      </c>
      <c r="D102" t="s">
        <v>71</v>
      </c>
      <c r="G102" t="s">
        <v>72</v>
      </c>
      <c r="J102" t="s">
        <v>65</v>
      </c>
      <c r="M102" t="str">
        <f t="shared" si="8"/>
        <v/>
      </c>
      <c r="N102" t="s">
        <v>66</v>
      </c>
      <c r="O102" t="str">
        <f t="shared" si="9"/>
        <v/>
      </c>
      <c r="P102" t="s">
        <v>66</v>
      </c>
      <c r="S102" t="str">
        <f t="shared" si="10"/>
        <v>—</v>
      </c>
      <c r="T102" t="str">
        <f>IF(NOT(ISNUMBER(S102)),"⬜  Sin dato PVE",IF(AND(COUNT(NORMALIZADO!BV102:BY102)&gt;=3,AQ102=7),IF(S102&lt;34,"🔴 Crítico",IF(S102&lt;67,"🟡 Vulnerable","🟢 Preparado")),"◐  Parcial · "&amp;AQ102&amp;"/7"))</f>
        <v>⬜  Sin dato PVE</v>
      </c>
      <c r="U102" s="53">
        <v>1</v>
      </c>
      <c r="V102" t="s">
        <v>67</v>
      </c>
      <c r="W102" t="str">
        <f>IF(NORMALIZADO!BV102="","",NORMALIZADO!BV102)</f>
        <v/>
      </c>
      <c r="X102" t="str">
        <f>IF(NORMALIZADO!BW102="","",NORMALIZADO!BW102)</f>
        <v/>
      </c>
      <c r="Y102" t="str">
        <f>IF(NORMALIZADO!BX102="","",NORMALIZADO!BX102)</f>
        <v/>
      </c>
      <c r="Z102" t="str">
        <f>IF(NORMALIZADO!BY102="","",NORMALIZADO!BY102)</f>
        <v/>
      </c>
      <c r="AO102" t="str">
        <f t="shared" si="11"/>
        <v>N/A</v>
      </c>
      <c r="AP102" t="str">
        <f>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f>
        <v>—</v>
      </c>
      <c r="AQ102">
        <f>IF(ISNUMBER(M102),1,0)+IF(ISNUMBER(SCORECARDS!H102),1,0)+IF(ISNUMBER(SCORECARDS!I102),1,0)+IF(ISNUMBER(SCORECARDS!J102),1,0)+IF(ISNUMBER(ISCAM_Score!K103),1,0)+IF(ISNUMBER(O102),1,0)+IF(COUNT(W102:Z102)&gt;0,1,0)</f>
        <v>0</v>
      </c>
      <c r="AT102" t="str">
        <f>IF(NOT(ISNUMBER(AP102)),"sin dato",IF(AND(COUNT(NORMALIZADO!BV102:BY102)&gt;=3,AQ102=7),"completo","parcial · "&amp;AQ102&amp;"/7 · D12-D15 "&amp;COUNT(NORMALIZADO!BV102:BY102)&amp;"/4"))</f>
        <v>sin dato</v>
      </c>
    </row>
    <row r="103" spans="1:46" ht="16.05" customHeight="1" x14ac:dyDescent="0.3">
      <c r="A103" t="s">
        <v>289</v>
      </c>
      <c r="B103" t="s">
        <v>290</v>
      </c>
      <c r="C103" t="s">
        <v>190</v>
      </c>
      <c r="D103" t="s">
        <v>71</v>
      </c>
      <c r="G103" t="s">
        <v>72</v>
      </c>
      <c r="J103" t="s">
        <v>65</v>
      </c>
      <c r="M103" t="str">
        <f t="shared" si="8"/>
        <v/>
      </c>
      <c r="N103" t="s">
        <v>66</v>
      </c>
      <c r="O103" t="str">
        <f t="shared" si="9"/>
        <v/>
      </c>
      <c r="P103" t="s">
        <v>66</v>
      </c>
      <c r="S103" t="str">
        <f t="shared" si="10"/>
        <v>—</v>
      </c>
      <c r="T103" t="str">
        <f>IF(NOT(ISNUMBER(S103)),"⬜  Sin dato PVE",IF(AND(COUNT(NORMALIZADO!BV103:BY103)&gt;=3,AQ103=7),IF(S103&lt;34,"🔴 Crítico",IF(S103&lt;67,"🟡 Vulnerable","🟢 Preparado")),"◐  Parcial · "&amp;AQ103&amp;"/7"))</f>
        <v>⬜  Sin dato PVE</v>
      </c>
      <c r="U103" s="53">
        <v>1</v>
      </c>
      <c r="V103" t="s">
        <v>67</v>
      </c>
      <c r="W103" t="str">
        <f>IF(NORMALIZADO!BV103="","",NORMALIZADO!BV103)</f>
        <v/>
      </c>
      <c r="X103" t="str">
        <f>IF(NORMALIZADO!BW103="","",NORMALIZADO!BW103)</f>
        <v/>
      </c>
      <c r="Y103" t="str">
        <f>IF(NORMALIZADO!BX103="","",NORMALIZADO!BX103)</f>
        <v/>
      </c>
      <c r="Z103" t="str">
        <f>IF(NORMALIZADO!BY103="","",NORMALIZADO!BY103)</f>
        <v/>
      </c>
      <c r="AO103" t="str">
        <f t="shared" si="11"/>
        <v>N/A</v>
      </c>
      <c r="AP103" t="str">
        <f>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f>
        <v>—</v>
      </c>
      <c r="AQ103">
        <f>IF(ISNUMBER(M103),1,0)+IF(ISNUMBER(SCORECARDS!H103),1,0)+IF(ISNUMBER(SCORECARDS!I103),1,0)+IF(ISNUMBER(SCORECARDS!J103),1,0)+IF(ISNUMBER(ISCAM_Score!K104),1,0)+IF(ISNUMBER(O103),1,0)+IF(COUNT(W103:Z103)&gt;0,1,0)</f>
        <v>0</v>
      </c>
      <c r="AT103" t="str">
        <f>IF(NOT(ISNUMBER(AP103)),"sin dato",IF(AND(COUNT(NORMALIZADO!BV103:BY103)&gt;=3,AQ103=7),"completo","parcial · "&amp;AQ103&amp;"/7 · D12-D15 "&amp;COUNT(NORMALIZADO!BV103:BY103)&amp;"/4"))</f>
        <v>sin dato</v>
      </c>
    </row>
    <row r="104" spans="1:46" ht="16.05" customHeight="1" x14ac:dyDescent="0.3">
      <c r="A104" t="s">
        <v>291</v>
      </c>
      <c r="B104" t="s">
        <v>292</v>
      </c>
      <c r="C104" t="s">
        <v>239</v>
      </c>
      <c r="D104" t="s">
        <v>71</v>
      </c>
      <c r="G104" t="s">
        <v>72</v>
      </c>
      <c r="J104" t="s">
        <v>65</v>
      </c>
      <c r="M104" t="str">
        <f t="shared" si="8"/>
        <v/>
      </c>
      <c r="N104" t="s">
        <v>66</v>
      </c>
      <c r="O104" t="str">
        <f t="shared" si="9"/>
        <v/>
      </c>
      <c r="P104" t="s">
        <v>66</v>
      </c>
      <c r="S104" t="str">
        <f t="shared" si="10"/>
        <v>—</v>
      </c>
      <c r="T104" t="str">
        <f>IF(NOT(ISNUMBER(S104)),"⬜  Sin dato PVE",IF(AND(COUNT(NORMALIZADO!BV104:BY104)&gt;=3,AQ104=7),IF(S104&lt;34,"🔴 Crítico",IF(S104&lt;67,"🟡 Vulnerable","🟢 Preparado")),"◐  Parcial · "&amp;AQ104&amp;"/7"))</f>
        <v>⬜  Sin dato PVE</v>
      </c>
      <c r="U104" s="53">
        <v>1</v>
      </c>
      <c r="V104" t="s">
        <v>67</v>
      </c>
      <c r="W104" t="str">
        <f>IF(NORMALIZADO!BV104="","",NORMALIZADO!BV104)</f>
        <v/>
      </c>
      <c r="X104" t="str">
        <f>IF(NORMALIZADO!BW104="","",NORMALIZADO!BW104)</f>
        <v/>
      </c>
      <c r="Y104" t="str">
        <f>IF(NORMALIZADO!BX104="","",NORMALIZADO!BX104)</f>
        <v/>
      </c>
      <c r="Z104" t="str">
        <f>IF(NORMALIZADO!BY104="","",NORMALIZADO!BY104)</f>
        <v/>
      </c>
      <c r="AO104" t="str">
        <f t="shared" si="11"/>
        <v>N/A</v>
      </c>
      <c r="AP104" t="str">
        <f>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f>
        <v>—</v>
      </c>
      <c r="AQ104">
        <f>IF(ISNUMBER(M104),1,0)+IF(ISNUMBER(SCORECARDS!H104),1,0)+IF(ISNUMBER(SCORECARDS!I104),1,0)+IF(ISNUMBER(SCORECARDS!J104),1,0)+IF(ISNUMBER(ISCAM_Score!K105),1,0)+IF(ISNUMBER(O104),1,0)+IF(COUNT(W104:Z104)&gt;0,1,0)</f>
        <v>0</v>
      </c>
      <c r="AT104" t="str">
        <f>IF(NOT(ISNUMBER(AP104)),"sin dato",IF(AND(COUNT(NORMALIZADO!BV104:BY104)&gt;=3,AQ104=7),"completo","parcial · "&amp;AQ104&amp;"/7 · D12-D15 "&amp;COUNT(NORMALIZADO!BV104:BY104)&amp;"/4"))</f>
        <v>sin dato</v>
      </c>
    </row>
    <row r="105" spans="1:46" ht="16.05" customHeight="1" x14ac:dyDescent="0.3">
      <c r="A105" t="s">
        <v>293</v>
      </c>
      <c r="B105" t="s">
        <v>294</v>
      </c>
      <c r="C105" t="s">
        <v>110</v>
      </c>
      <c r="D105" t="s">
        <v>63</v>
      </c>
      <c r="G105" t="s">
        <v>72</v>
      </c>
      <c r="J105" t="s">
        <v>65</v>
      </c>
      <c r="M105" t="str">
        <f t="shared" si="8"/>
        <v/>
      </c>
      <c r="N105" t="s">
        <v>66</v>
      </c>
      <c r="O105" t="str">
        <f t="shared" si="9"/>
        <v/>
      </c>
      <c r="P105" t="s">
        <v>66</v>
      </c>
      <c r="S105" t="str">
        <f t="shared" si="10"/>
        <v>—</v>
      </c>
      <c r="T105" t="str">
        <f>IF(NOT(ISNUMBER(S105)),"⬜  Sin dato PVE",IF(AND(COUNT(NORMALIZADO!BV105:BY105)&gt;=3,AQ105=7),IF(S105&lt;34,"🔴 Crítico",IF(S105&lt;67,"🟡 Vulnerable","🟢 Preparado")),"◐  Parcial · "&amp;AQ105&amp;"/7"))</f>
        <v>⬜  Sin dato PVE</v>
      </c>
      <c r="U105" s="53">
        <v>1</v>
      </c>
      <c r="V105" t="s">
        <v>67</v>
      </c>
      <c r="W105" t="str">
        <f>IF(NORMALIZADO!BV105="","",NORMALIZADO!BV105)</f>
        <v/>
      </c>
      <c r="X105" t="str">
        <f>IF(NORMALIZADO!BW105="","",NORMALIZADO!BW105)</f>
        <v/>
      </c>
      <c r="Y105" t="str">
        <f>IF(NORMALIZADO!BX105="","",NORMALIZADO!BX105)</f>
        <v/>
      </c>
      <c r="Z105" t="str">
        <f>IF(NORMALIZADO!BY105="","",NORMALIZADO!BY105)</f>
        <v/>
      </c>
      <c r="AO105" t="str">
        <f t="shared" si="11"/>
        <v>N/A</v>
      </c>
      <c r="AP105" t="str">
        <f>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f>
        <v>—</v>
      </c>
      <c r="AQ105">
        <f>IF(ISNUMBER(M105),1,0)+IF(ISNUMBER(SCORECARDS!H105),1,0)+IF(ISNUMBER(SCORECARDS!I105),1,0)+IF(ISNUMBER(SCORECARDS!J105),1,0)+IF(ISNUMBER(ISCAM_Score!K106),1,0)+IF(ISNUMBER(O105),1,0)+IF(COUNT(W105:Z105)&gt;0,1,0)</f>
        <v>0</v>
      </c>
      <c r="AT105" t="str">
        <f>IF(NOT(ISNUMBER(AP105)),"sin dato",IF(AND(COUNT(NORMALIZADO!BV105:BY105)&gt;=3,AQ105=7),"completo","parcial · "&amp;AQ105&amp;"/7 · D12-D15 "&amp;COUNT(NORMALIZADO!BV105:BY105)&amp;"/4"))</f>
        <v>sin dato</v>
      </c>
    </row>
    <row r="106" spans="1:46" ht="16.05" customHeight="1" x14ac:dyDescent="0.3">
      <c r="A106" t="s">
        <v>295</v>
      </c>
      <c r="B106" t="s">
        <v>296</v>
      </c>
      <c r="C106" t="s">
        <v>137</v>
      </c>
      <c r="D106" t="s">
        <v>63</v>
      </c>
      <c r="E106">
        <v>4154567.790000001</v>
      </c>
      <c r="F106">
        <v>25</v>
      </c>
      <c r="G106" t="s">
        <v>64</v>
      </c>
      <c r="H106" t="s">
        <v>64</v>
      </c>
      <c r="I106" t="s">
        <v>64</v>
      </c>
      <c r="J106" t="s">
        <v>65</v>
      </c>
      <c r="K106" t="s">
        <v>220</v>
      </c>
      <c r="L106">
        <v>2059443.82</v>
      </c>
      <c r="M106">
        <f t="shared" si="8"/>
        <v>49.6</v>
      </c>
      <c r="N106" t="s">
        <v>66</v>
      </c>
      <c r="O106">
        <f t="shared" si="9"/>
        <v>1</v>
      </c>
      <c r="P106" t="s">
        <v>66</v>
      </c>
      <c r="Q106">
        <v>797</v>
      </c>
      <c r="R106">
        <v>2110</v>
      </c>
      <c r="S106">
        <f t="shared" si="10"/>
        <v>58.2</v>
      </c>
      <c r="T106" t="str">
        <f>IF(NOT(ISNUMBER(S106)),"⬜  Sin dato PVE",IF(AND(COUNT(NORMALIZADO!BV106:BY106)&gt;=3,AQ106=7),IF(S106&lt;34,"🔴 Crítico",IF(S106&lt;67,"🟡 Vulnerable","🟢 Preparado")),"◐  Parcial · "&amp;AQ106&amp;"/7"))</f>
        <v>◐  Parcial · 3/7</v>
      </c>
      <c r="U106" s="53">
        <v>1</v>
      </c>
      <c r="V106" t="s">
        <v>67</v>
      </c>
      <c r="W106">
        <f>IF(NORMALIZADO!BV106="",1,NORMALIZADO!BV106)</f>
        <v>1</v>
      </c>
      <c r="X106" t="str">
        <f>IF(NORMALIZADO!BW106="","",NORMALIZADO!BW106)</f>
        <v/>
      </c>
      <c r="Y106" t="str">
        <f>IF(NORMALIZADO!BX106="","",NORMALIZADO!BX106)</f>
        <v/>
      </c>
      <c r="Z106" t="str">
        <f>IF(NORMALIZADO!BY106="","",NORMALIZADO!BY106)</f>
        <v/>
      </c>
      <c r="AO106" t="str">
        <f t="shared" si="11"/>
        <v>N/A</v>
      </c>
      <c r="AP106">
        <f>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f>
        <v>0.58166666666666667</v>
      </c>
      <c r="AQ106">
        <f>IF(ISNUMBER(M106),1,0)+IF(ISNUMBER(SCORECARDS!H106),1,0)+IF(ISNUMBER(SCORECARDS!I106),1,0)+IF(ISNUMBER(SCORECARDS!J106),1,0)+IF(ISNUMBER(ISCAM_Score!K107),1,0)+IF(ISNUMBER(O106),1,0)+IF(COUNT(W106:Z106)&gt;0,1,0)</f>
        <v>3</v>
      </c>
      <c r="AR106" t="s">
        <v>1542</v>
      </c>
      <c r="AS106" t="s">
        <v>1543</v>
      </c>
      <c r="AT106" t="str">
        <f>IF(NOT(ISNUMBER(AP106)),"sin dato",IF(AND(COUNT(NORMALIZADO!BV106:BY106)&gt;=3,AQ106=7),"completo","parcial · "&amp;AQ106&amp;"/7 · D12-D15 "&amp;COUNT(NORMALIZADO!BV106:BY106)&amp;"/4"))</f>
        <v>parcial · 3/7 · D12-D15 0/4</v>
      </c>
    </row>
    <row r="107" spans="1:46" ht="16.05" customHeight="1" x14ac:dyDescent="0.3">
      <c r="A107" t="s">
        <v>297</v>
      </c>
      <c r="B107" t="s">
        <v>298</v>
      </c>
      <c r="C107" t="s">
        <v>107</v>
      </c>
      <c r="D107" t="s">
        <v>71</v>
      </c>
      <c r="G107" t="s">
        <v>72</v>
      </c>
      <c r="J107" t="s">
        <v>65</v>
      </c>
      <c r="M107" t="str">
        <f t="shared" si="8"/>
        <v/>
      </c>
      <c r="N107" t="s">
        <v>66</v>
      </c>
      <c r="O107" t="str">
        <f t="shared" si="9"/>
        <v/>
      </c>
      <c r="P107" t="s">
        <v>66</v>
      </c>
      <c r="S107" t="str">
        <f t="shared" si="10"/>
        <v>—</v>
      </c>
      <c r="T107" t="str">
        <f>IF(NOT(ISNUMBER(S107)),"⬜  Sin dato PVE",IF(AND(COUNT(NORMALIZADO!BV107:BY107)&gt;=3,AQ107=7),IF(S107&lt;34,"🔴 Crítico",IF(S107&lt;67,"🟡 Vulnerable","🟢 Preparado")),"◐  Parcial · "&amp;AQ107&amp;"/7"))</f>
        <v>⬜  Sin dato PVE</v>
      </c>
      <c r="U107" s="53">
        <v>1</v>
      </c>
      <c r="V107" t="s">
        <v>67</v>
      </c>
      <c r="W107" t="str">
        <f>IF(NORMALIZADO!BV107="","",NORMALIZADO!BV107)</f>
        <v/>
      </c>
      <c r="X107" t="str">
        <f>IF(NORMALIZADO!BW107="","",NORMALIZADO!BW107)</f>
        <v/>
      </c>
      <c r="Y107" t="str">
        <f>IF(NORMALIZADO!BX107="","",NORMALIZADO!BX107)</f>
        <v/>
      </c>
      <c r="Z107" t="str">
        <f>IF(NORMALIZADO!BY107="","",NORMALIZADO!BY107)</f>
        <v/>
      </c>
      <c r="AO107" t="str">
        <f t="shared" si="11"/>
        <v>N/A</v>
      </c>
      <c r="AP107" t="str">
        <f>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f>
        <v>—</v>
      </c>
      <c r="AQ107">
        <f>IF(ISNUMBER(M107),1,0)+IF(ISNUMBER(SCORECARDS!H107),1,0)+IF(ISNUMBER(SCORECARDS!I107),1,0)+IF(ISNUMBER(SCORECARDS!J107),1,0)+IF(ISNUMBER(ISCAM_Score!K108),1,0)+IF(ISNUMBER(O107),1,0)+IF(COUNT(W107:Z107)&gt;0,1,0)</f>
        <v>0</v>
      </c>
      <c r="AT107" t="str">
        <f>IF(NOT(ISNUMBER(AP107)),"sin dato",IF(AND(COUNT(NORMALIZADO!BV107:BY107)&gt;=3,AQ107=7),"completo","parcial · "&amp;AQ107&amp;"/7 · D12-D15 "&amp;COUNT(NORMALIZADO!BV107:BY107)&amp;"/4"))</f>
        <v>sin dato</v>
      </c>
    </row>
    <row r="108" spans="1:46" ht="16.05" customHeight="1" x14ac:dyDescent="0.3">
      <c r="A108" t="s">
        <v>299</v>
      </c>
      <c r="B108" t="s">
        <v>300</v>
      </c>
      <c r="C108" t="s">
        <v>107</v>
      </c>
      <c r="D108" t="s">
        <v>71</v>
      </c>
      <c r="E108">
        <v>21233720.820000011</v>
      </c>
      <c r="F108">
        <v>93</v>
      </c>
      <c r="G108" t="s">
        <v>64</v>
      </c>
      <c r="J108" t="s">
        <v>65</v>
      </c>
      <c r="L108">
        <v>10616860.41</v>
      </c>
      <c r="M108">
        <f t="shared" si="8"/>
        <v>50</v>
      </c>
      <c r="N108" t="s">
        <v>66</v>
      </c>
      <c r="O108" t="str">
        <f t="shared" si="9"/>
        <v/>
      </c>
      <c r="P108" t="s">
        <v>66</v>
      </c>
      <c r="S108">
        <f t="shared" si="10"/>
        <v>50</v>
      </c>
      <c r="T108" t="str">
        <f>IF(NOT(ISNUMBER(S108)),"⬜  Sin dato PVE",IF(AND(COUNT(NORMALIZADO!BV108:BY108)&gt;=3,AQ108=7),IF(S108&lt;34,"🔴 Crítico",IF(S108&lt;67,"🟡 Vulnerable","🟢 Preparado")),"◐  Parcial · "&amp;AQ108&amp;"/7"))</f>
        <v>◐  Parcial · 2/7</v>
      </c>
      <c r="U108" s="53">
        <v>1</v>
      </c>
      <c r="V108" t="s">
        <v>67</v>
      </c>
      <c r="W108">
        <f>IF(NORMALIZADO!BV108="",1,NORMALIZADO!BV108)</f>
        <v>1</v>
      </c>
      <c r="X108" t="str">
        <f>IF(NORMALIZADO!BW108="","",NORMALIZADO!BW108)</f>
        <v/>
      </c>
      <c r="Y108" t="str">
        <f>IF(NORMALIZADO!BX108="","",NORMALIZADO!BX108)</f>
        <v/>
      </c>
      <c r="Z108" t="str">
        <f>IF(NORMALIZADO!BY108="","",NORMALIZADO!BY108)</f>
        <v/>
      </c>
      <c r="AO108" t="str">
        <f t="shared" si="11"/>
        <v>N/A</v>
      </c>
      <c r="AP108">
        <f>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f>
        <v>0.5</v>
      </c>
      <c r="AQ108">
        <f>IF(ISNUMBER(M108),1,0)+IF(ISNUMBER(SCORECARDS!H108),1,0)+IF(ISNUMBER(SCORECARDS!I108),1,0)+IF(ISNUMBER(SCORECARDS!J108),1,0)+IF(ISNUMBER(ISCAM_Score!K109),1,0)+IF(ISNUMBER(O108),1,0)+IF(COUNT(W108:Z108)&gt;0,1,0)</f>
        <v>2</v>
      </c>
      <c r="AT108" t="str">
        <f>IF(NOT(ISNUMBER(AP108)),"sin dato",IF(AND(COUNT(NORMALIZADO!BV108:BY108)&gt;=3,AQ108=7),"completo","parcial · "&amp;AQ108&amp;"/7 · D12-D15 "&amp;COUNT(NORMALIZADO!BV108:BY108)&amp;"/4"))</f>
        <v>parcial · 2/7 · D12-D15 0/4</v>
      </c>
    </row>
    <row r="109" spans="1:46" ht="16.05" customHeight="1" x14ac:dyDescent="0.3">
      <c r="A109" t="s">
        <v>301</v>
      </c>
      <c r="B109" t="s">
        <v>302</v>
      </c>
      <c r="C109" t="s">
        <v>70</v>
      </c>
      <c r="D109" t="s">
        <v>71</v>
      </c>
      <c r="G109" t="s">
        <v>72</v>
      </c>
      <c r="J109" t="s">
        <v>122</v>
      </c>
      <c r="M109" t="str">
        <f t="shared" si="8"/>
        <v/>
      </c>
      <c r="N109" t="s">
        <v>66</v>
      </c>
      <c r="O109" t="str">
        <f t="shared" si="9"/>
        <v/>
      </c>
      <c r="P109" t="s">
        <v>66</v>
      </c>
      <c r="S109" t="str">
        <f t="shared" si="10"/>
        <v>—</v>
      </c>
      <c r="T109" t="str">
        <f>IF(NOT(ISNUMBER(S109)),"⬜  Sin dato PVE",IF(AND(COUNT(NORMALIZADO!BV109:BY109)&gt;=3,AQ109=7),IF(S109&lt;34,"🔴 Crítico",IF(S109&lt;67,"🟡 Vulnerable","🟢 Preparado")),"◐  Parcial · "&amp;AQ109&amp;"/7"))</f>
        <v>⬜  Sin dato PVE</v>
      </c>
      <c r="U109" s="53">
        <v>1</v>
      </c>
      <c r="V109" t="s">
        <v>67</v>
      </c>
      <c r="W109" t="str">
        <f>IF(NORMALIZADO!BV109="","",NORMALIZADO!BV109)</f>
        <v/>
      </c>
      <c r="X109" t="str">
        <f>IF(NORMALIZADO!BW109="","",NORMALIZADO!BW109)</f>
        <v/>
      </c>
      <c r="Y109" t="str">
        <f>IF(NORMALIZADO!BX109="","",NORMALIZADO!BX109)</f>
        <v/>
      </c>
      <c r="Z109" t="str">
        <f>IF(NORMALIZADO!BY109="","",NORMALIZADO!BY109)</f>
        <v/>
      </c>
      <c r="AO109" t="str">
        <f t="shared" si="11"/>
        <v>N/A</v>
      </c>
      <c r="AP109" t="str">
        <f>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f>
        <v>—</v>
      </c>
      <c r="AQ109">
        <f>IF(ISNUMBER(M109),1,0)+IF(ISNUMBER(SCORECARDS!H109),1,0)+IF(ISNUMBER(SCORECARDS!I109),1,0)+IF(ISNUMBER(SCORECARDS!J109),1,0)+IF(ISNUMBER(ISCAM_Score!K110),1,0)+IF(ISNUMBER(O109),1,0)+IF(COUNT(W109:Z109)&gt;0,1,0)</f>
        <v>0</v>
      </c>
      <c r="AT109" t="str">
        <f>IF(NOT(ISNUMBER(AP109)),"sin dato",IF(AND(COUNT(NORMALIZADO!BV109:BY109)&gt;=3,AQ109=7),"completo","parcial · "&amp;AQ109&amp;"/7 · D12-D15 "&amp;COUNT(NORMALIZADO!BV109:BY109)&amp;"/4"))</f>
        <v>sin dato</v>
      </c>
    </row>
    <row r="110" spans="1:46" ht="16.05" customHeight="1" x14ac:dyDescent="0.3">
      <c r="A110" t="s">
        <v>303</v>
      </c>
      <c r="B110" t="s">
        <v>304</v>
      </c>
      <c r="C110" t="s">
        <v>117</v>
      </c>
      <c r="D110" t="s">
        <v>71</v>
      </c>
      <c r="G110" t="s">
        <v>72</v>
      </c>
      <c r="J110" t="s">
        <v>65</v>
      </c>
      <c r="M110" t="str">
        <f t="shared" si="8"/>
        <v/>
      </c>
      <c r="N110" t="s">
        <v>66</v>
      </c>
      <c r="O110" t="str">
        <f t="shared" si="9"/>
        <v/>
      </c>
      <c r="P110" t="s">
        <v>66</v>
      </c>
      <c r="S110" t="str">
        <f t="shared" si="10"/>
        <v>—</v>
      </c>
      <c r="T110" t="str">
        <f>IF(NOT(ISNUMBER(S110)),"⬜  Sin dato PVE",IF(AND(COUNT(NORMALIZADO!BV110:BY110)&gt;=3,AQ110=7),IF(S110&lt;34,"🔴 Crítico",IF(S110&lt;67,"🟡 Vulnerable","🟢 Preparado")),"◐  Parcial · "&amp;AQ110&amp;"/7"))</f>
        <v>⬜  Sin dato PVE</v>
      </c>
      <c r="U110" s="53">
        <v>1</v>
      </c>
      <c r="V110" t="s">
        <v>67</v>
      </c>
      <c r="W110" t="str">
        <f>IF(NORMALIZADO!BV110="","",NORMALIZADO!BV110)</f>
        <v/>
      </c>
      <c r="X110" t="str">
        <f>IF(NORMALIZADO!BW110="","",NORMALIZADO!BW110)</f>
        <v/>
      </c>
      <c r="Y110" t="str">
        <f>IF(NORMALIZADO!BX110="","",NORMALIZADO!BX110)</f>
        <v/>
      </c>
      <c r="Z110" t="str">
        <f>IF(NORMALIZADO!BY110="","",NORMALIZADO!BY110)</f>
        <v/>
      </c>
      <c r="AO110" t="str">
        <f t="shared" si="11"/>
        <v>N/A</v>
      </c>
      <c r="AP110" t="str">
        <f>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f>
        <v>—</v>
      </c>
      <c r="AQ110">
        <f>IF(ISNUMBER(M110),1,0)+IF(ISNUMBER(SCORECARDS!H110),1,0)+IF(ISNUMBER(SCORECARDS!I110),1,0)+IF(ISNUMBER(SCORECARDS!J110),1,0)+IF(ISNUMBER(ISCAM_Score!K111),1,0)+IF(ISNUMBER(O110),1,0)+IF(COUNT(W110:Z110)&gt;0,1,0)</f>
        <v>0</v>
      </c>
      <c r="AT110" t="str">
        <f>IF(NOT(ISNUMBER(AP110)),"sin dato",IF(AND(COUNT(NORMALIZADO!BV110:BY110)&gt;=3,AQ110=7),"completo","parcial · "&amp;AQ110&amp;"/7 · D12-D15 "&amp;COUNT(NORMALIZADO!BV110:BY110)&amp;"/4"))</f>
        <v>sin dato</v>
      </c>
    </row>
    <row r="111" spans="1:46" ht="16.05" customHeight="1" x14ac:dyDescent="0.3">
      <c r="A111" t="s">
        <v>305</v>
      </c>
      <c r="B111" t="s">
        <v>306</v>
      </c>
      <c r="C111" t="s">
        <v>110</v>
      </c>
      <c r="D111" t="s">
        <v>63</v>
      </c>
      <c r="E111">
        <v>3887946.29</v>
      </c>
      <c r="F111">
        <v>16</v>
      </c>
      <c r="G111" t="s">
        <v>64</v>
      </c>
      <c r="J111" t="s">
        <v>65</v>
      </c>
      <c r="L111">
        <v>0</v>
      </c>
      <c r="M111">
        <f t="shared" si="8"/>
        <v>0</v>
      </c>
      <c r="N111" t="s">
        <v>66</v>
      </c>
      <c r="O111" t="str">
        <f t="shared" si="9"/>
        <v/>
      </c>
      <c r="P111" t="s">
        <v>66</v>
      </c>
      <c r="S111">
        <f t="shared" si="10"/>
        <v>0</v>
      </c>
      <c r="T111" t="str">
        <f>IF(NOT(ISNUMBER(S111)),"⬜  Sin dato PVE",IF(AND(COUNT(NORMALIZADO!BV111:BY111)&gt;=3,AQ111=7),IF(S111&lt;34,"🔴 Crítico",IF(S111&lt;67,"🟡 Vulnerable","🟢 Preparado")),"◐  Parcial · "&amp;AQ111&amp;"/7"))</f>
        <v>◐  Parcial · 1/7</v>
      </c>
      <c r="U111" s="53">
        <v>1</v>
      </c>
      <c r="V111" t="s">
        <v>67</v>
      </c>
      <c r="W111" t="str">
        <f>IF(NORMALIZADO!BV111="","",NORMALIZADO!BV111)</f>
        <v/>
      </c>
      <c r="X111" t="str">
        <f>IF(NORMALIZADO!BW111="","",NORMALIZADO!BW111)</f>
        <v/>
      </c>
      <c r="Y111" t="str">
        <f>IF(NORMALIZADO!BX111="","",NORMALIZADO!BX111)</f>
        <v/>
      </c>
      <c r="Z111" t="str">
        <f>IF(NORMALIZADO!BY111="","",NORMALIZADO!BY111)</f>
        <v/>
      </c>
      <c r="AO111" t="str">
        <f t="shared" si="11"/>
        <v>N/A</v>
      </c>
      <c r="AP111">
        <f>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f>
        <v>0</v>
      </c>
      <c r="AQ111">
        <f>IF(ISNUMBER(M111),1,0)+IF(ISNUMBER(SCORECARDS!H111),1,0)+IF(ISNUMBER(SCORECARDS!I111),1,0)+IF(ISNUMBER(SCORECARDS!J111),1,0)+IF(ISNUMBER(ISCAM_Score!K112),1,0)+IF(ISNUMBER(O111),1,0)+IF(COUNT(W111:Z111)&gt;0,1,0)</f>
        <v>1</v>
      </c>
      <c r="AT111" t="str">
        <f>IF(NOT(ISNUMBER(AP111)),"sin dato",IF(AND(COUNT(NORMALIZADO!BV111:BY111)&gt;=3,AQ111=7),"completo","parcial · "&amp;AQ111&amp;"/7 · D12-D15 "&amp;COUNT(NORMALIZADO!BV111:BY111)&amp;"/4"))</f>
        <v>parcial · 1/7 · D12-D15 0/4</v>
      </c>
    </row>
    <row r="112" spans="1:46" ht="16.05" customHeight="1" x14ac:dyDescent="0.3">
      <c r="A112" t="s">
        <v>307</v>
      </c>
      <c r="B112" t="s">
        <v>308</v>
      </c>
      <c r="C112" t="s">
        <v>117</v>
      </c>
      <c r="D112" t="s">
        <v>71</v>
      </c>
      <c r="G112" t="s">
        <v>72</v>
      </c>
      <c r="J112" t="s">
        <v>65</v>
      </c>
      <c r="M112" t="str">
        <f t="shared" si="8"/>
        <v/>
      </c>
      <c r="N112" t="s">
        <v>66</v>
      </c>
      <c r="O112" t="str">
        <f t="shared" si="9"/>
        <v/>
      </c>
      <c r="P112" t="s">
        <v>66</v>
      </c>
      <c r="S112" t="str">
        <f t="shared" si="10"/>
        <v>—</v>
      </c>
      <c r="T112" t="str">
        <f>IF(NOT(ISNUMBER(S112)),"⬜  Sin dato PVE",IF(AND(COUNT(NORMALIZADO!BV112:BY112)&gt;=3,AQ112=7),IF(S112&lt;34,"🔴 Crítico",IF(S112&lt;67,"🟡 Vulnerable","🟢 Preparado")),"◐  Parcial · "&amp;AQ112&amp;"/7"))</f>
        <v>⬜  Sin dato PVE</v>
      </c>
      <c r="U112" s="53">
        <v>1</v>
      </c>
      <c r="V112" t="s">
        <v>67</v>
      </c>
      <c r="W112" t="str">
        <f>IF(NORMALIZADO!BV112="","",NORMALIZADO!BV112)</f>
        <v/>
      </c>
      <c r="X112" t="str">
        <f>IF(NORMALIZADO!BW112="","",NORMALIZADO!BW112)</f>
        <v/>
      </c>
      <c r="Y112" t="str">
        <f>IF(NORMALIZADO!BX112="","",NORMALIZADO!BX112)</f>
        <v/>
      </c>
      <c r="Z112" t="str">
        <f>IF(NORMALIZADO!BY112="","",NORMALIZADO!BY112)</f>
        <v/>
      </c>
      <c r="AO112" t="str">
        <f t="shared" si="11"/>
        <v>N/A</v>
      </c>
      <c r="AP112" t="str">
        <f>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f>
        <v>—</v>
      </c>
      <c r="AQ112">
        <f>IF(ISNUMBER(M112),1,0)+IF(ISNUMBER(SCORECARDS!H112),1,0)+IF(ISNUMBER(SCORECARDS!I112),1,0)+IF(ISNUMBER(SCORECARDS!J112),1,0)+IF(ISNUMBER(ISCAM_Score!K113),1,0)+IF(ISNUMBER(O112),1,0)+IF(COUNT(W112:Z112)&gt;0,1,0)</f>
        <v>0</v>
      </c>
      <c r="AT112" t="str">
        <f>IF(NOT(ISNUMBER(AP112)),"sin dato",IF(AND(COUNT(NORMALIZADO!BV112:BY112)&gt;=3,AQ112=7),"completo","parcial · "&amp;AQ112&amp;"/7 · D12-D15 "&amp;COUNT(NORMALIZADO!BV112:BY112)&amp;"/4"))</f>
        <v>sin dato</v>
      </c>
    </row>
    <row r="113" spans="1:46" ht="16.05" customHeight="1" x14ac:dyDescent="0.3">
      <c r="A113" t="s">
        <v>309</v>
      </c>
      <c r="B113" t="s">
        <v>310</v>
      </c>
      <c r="C113" t="s">
        <v>148</v>
      </c>
      <c r="D113" t="s">
        <v>63</v>
      </c>
      <c r="E113">
        <v>464428.88</v>
      </c>
      <c r="F113">
        <v>3</v>
      </c>
      <c r="G113" t="s">
        <v>64</v>
      </c>
      <c r="J113" t="s">
        <v>65</v>
      </c>
      <c r="L113">
        <v>0</v>
      </c>
      <c r="M113">
        <f t="shared" si="8"/>
        <v>0</v>
      </c>
      <c r="N113" t="s">
        <v>66</v>
      </c>
      <c r="O113" t="str">
        <f t="shared" si="9"/>
        <v/>
      </c>
      <c r="P113" t="s">
        <v>66</v>
      </c>
      <c r="S113">
        <f t="shared" si="10"/>
        <v>0</v>
      </c>
      <c r="T113" t="str">
        <f>IF(NOT(ISNUMBER(S113)),"⬜  Sin dato PVE",IF(AND(COUNT(NORMALIZADO!BV113:BY113)&gt;=3,AQ113=7),IF(S113&lt;34,"🔴 Crítico",IF(S113&lt;67,"🟡 Vulnerable","🟢 Preparado")),"◐  Parcial · "&amp;AQ113&amp;"/7"))</f>
        <v>◐  Parcial · 1/7</v>
      </c>
      <c r="U113" s="53">
        <v>1</v>
      </c>
      <c r="V113" t="s">
        <v>67</v>
      </c>
      <c r="W113" t="str">
        <f>IF(NORMALIZADO!BV113="","",NORMALIZADO!BV113)</f>
        <v/>
      </c>
      <c r="X113" t="str">
        <f>IF(NORMALIZADO!BW113="","",NORMALIZADO!BW113)</f>
        <v/>
      </c>
      <c r="Y113" t="str">
        <f>IF(NORMALIZADO!BX113="","",NORMALIZADO!BX113)</f>
        <v/>
      </c>
      <c r="Z113" t="str">
        <f>IF(NORMALIZADO!BY113="","",NORMALIZADO!BY113)</f>
        <v/>
      </c>
      <c r="AO113" t="str">
        <f t="shared" si="11"/>
        <v>N/A</v>
      </c>
      <c r="AP113">
        <f>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f>
        <v>0</v>
      </c>
      <c r="AQ113">
        <f>IF(ISNUMBER(M113),1,0)+IF(ISNUMBER(SCORECARDS!H113),1,0)+IF(ISNUMBER(SCORECARDS!I113),1,0)+IF(ISNUMBER(SCORECARDS!J113),1,0)+IF(ISNUMBER(ISCAM_Score!K114),1,0)+IF(ISNUMBER(O113),1,0)+IF(COUNT(W113:Z113)&gt;0,1,0)</f>
        <v>1</v>
      </c>
      <c r="AT113" t="str">
        <f>IF(NOT(ISNUMBER(AP113)),"sin dato",IF(AND(COUNT(NORMALIZADO!BV113:BY113)&gt;=3,AQ113=7),"completo","parcial · "&amp;AQ113&amp;"/7 · D12-D15 "&amp;COUNT(NORMALIZADO!BV113:BY113)&amp;"/4"))</f>
        <v>parcial · 1/7 · D12-D15 0/4</v>
      </c>
    </row>
    <row r="114" spans="1:46" ht="16.05" customHeight="1" x14ac:dyDescent="0.3">
      <c r="A114" t="s">
        <v>311</v>
      </c>
      <c r="B114" t="s">
        <v>312</v>
      </c>
      <c r="C114" t="s">
        <v>239</v>
      </c>
      <c r="D114" t="s">
        <v>71</v>
      </c>
      <c r="G114" t="s">
        <v>72</v>
      </c>
      <c r="J114" t="s">
        <v>65</v>
      </c>
      <c r="M114" t="str">
        <f t="shared" si="8"/>
        <v/>
      </c>
      <c r="N114" t="s">
        <v>66</v>
      </c>
      <c r="O114" t="str">
        <f t="shared" si="9"/>
        <v/>
      </c>
      <c r="P114" t="s">
        <v>66</v>
      </c>
      <c r="S114" t="str">
        <f t="shared" si="10"/>
        <v>—</v>
      </c>
      <c r="T114" t="str">
        <f>IF(NOT(ISNUMBER(S114)),"⬜  Sin dato PVE",IF(AND(COUNT(NORMALIZADO!BV114:BY114)&gt;=3,AQ114=7),IF(S114&lt;34,"🔴 Crítico",IF(S114&lt;67,"🟡 Vulnerable","🟢 Preparado")),"◐  Parcial · "&amp;AQ114&amp;"/7"))</f>
        <v>⬜  Sin dato PVE</v>
      </c>
      <c r="U114" s="53">
        <v>1</v>
      </c>
      <c r="V114" t="s">
        <v>67</v>
      </c>
      <c r="W114" t="str">
        <f>IF(NORMALIZADO!BV114="","",NORMALIZADO!BV114)</f>
        <v/>
      </c>
      <c r="X114" t="str">
        <f>IF(NORMALIZADO!BW114="","",NORMALIZADO!BW114)</f>
        <v/>
      </c>
      <c r="Y114" t="str">
        <f>IF(NORMALIZADO!BX114="","",NORMALIZADO!BX114)</f>
        <v/>
      </c>
      <c r="Z114" t="str">
        <f>IF(NORMALIZADO!BY114="","",NORMALIZADO!BY114)</f>
        <v/>
      </c>
      <c r="AO114" t="str">
        <f t="shared" si="11"/>
        <v>N/A</v>
      </c>
      <c r="AP114" t="str">
        <f>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f>
        <v>—</v>
      </c>
      <c r="AQ114">
        <f>IF(ISNUMBER(M114),1,0)+IF(ISNUMBER(SCORECARDS!H114),1,0)+IF(ISNUMBER(SCORECARDS!I114),1,0)+IF(ISNUMBER(SCORECARDS!J114),1,0)+IF(ISNUMBER(ISCAM_Score!K115),1,0)+IF(ISNUMBER(O114),1,0)+IF(COUNT(W114:Z114)&gt;0,1,0)</f>
        <v>0</v>
      </c>
      <c r="AT114" t="str">
        <f>IF(NOT(ISNUMBER(AP114)),"sin dato",IF(AND(COUNT(NORMALIZADO!BV114:BY114)&gt;=3,AQ114=7),"completo","parcial · "&amp;AQ114&amp;"/7 · D12-D15 "&amp;COUNT(NORMALIZADO!BV114:BY114)&amp;"/4"))</f>
        <v>sin dato</v>
      </c>
    </row>
    <row r="115" spans="1:46" ht="16.05" customHeight="1" x14ac:dyDescent="0.3">
      <c r="A115" t="s">
        <v>313</v>
      </c>
      <c r="B115" t="s">
        <v>314</v>
      </c>
      <c r="C115" t="s">
        <v>137</v>
      </c>
      <c r="D115" t="s">
        <v>63</v>
      </c>
      <c r="E115">
        <v>1789601.59</v>
      </c>
      <c r="F115">
        <v>11</v>
      </c>
      <c r="G115" t="s">
        <v>64</v>
      </c>
      <c r="J115" t="s">
        <v>65</v>
      </c>
      <c r="L115">
        <v>0</v>
      </c>
      <c r="M115">
        <f t="shared" si="8"/>
        <v>0</v>
      </c>
      <c r="N115" t="s">
        <v>66</v>
      </c>
      <c r="O115" t="str">
        <f t="shared" si="9"/>
        <v/>
      </c>
      <c r="P115" t="s">
        <v>66</v>
      </c>
      <c r="S115">
        <f t="shared" si="10"/>
        <v>0</v>
      </c>
      <c r="T115" t="str">
        <f>IF(NOT(ISNUMBER(S115)),"⬜  Sin dato PVE",IF(AND(COUNT(NORMALIZADO!BV115:BY115)&gt;=3,AQ115=7),IF(S115&lt;34,"🔴 Crítico",IF(S115&lt;67,"🟡 Vulnerable","🟢 Preparado")),"◐  Parcial · "&amp;AQ115&amp;"/7"))</f>
        <v>◐  Parcial · 1/7</v>
      </c>
      <c r="U115" s="53">
        <v>1</v>
      </c>
      <c r="V115" t="s">
        <v>67</v>
      </c>
      <c r="W115" t="str">
        <f>IF(NORMALIZADO!BV115="","",NORMALIZADO!BV115)</f>
        <v/>
      </c>
      <c r="X115" t="str">
        <f>IF(NORMALIZADO!BW115="","",NORMALIZADO!BW115)</f>
        <v/>
      </c>
      <c r="Y115" t="str">
        <f>IF(NORMALIZADO!BX115="","",NORMALIZADO!BX115)</f>
        <v/>
      </c>
      <c r="Z115" t="str">
        <f>IF(NORMALIZADO!BY115="","",NORMALIZADO!BY115)</f>
        <v/>
      </c>
      <c r="AO115" t="str">
        <f t="shared" si="11"/>
        <v>N/A</v>
      </c>
      <c r="AP115">
        <f>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f>
        <v>0</v>
      </c>
      <c r="AQ115">
        <f>IF(ISNUMBER(M115),1,0)+IF(ISNUMBER(SCORECARDS!H115),1,0)+IF(ISNUMBER(SCORECARDS!I115),1,0)+IF(ISNUMBER(SCORECARDS!J115),1,0)+IF(ISNUMBER(ISCAM_Score!K116),1,0)+IF(ISNUMBER(O115),1,0)+IF(COUNT(W115:Z115)&gt;0,1,0)</f>
        <v>1</v>
      </c>
      <c r="AT115" t="str">
        <f>IF(NOT(ISNUMBER(AP115)),"sin dato",IF(AND(COUNT(NORMALIZADO!BV115:BY115)&gt;=3,AQ115=7),"completo","parcial · "&amp;AQ115&amp;"/7 · D12-D15 "&amp;COUNT(NORMALIZADO!BV115:BY115)&amp;"/4"))</f>
        <v>parcial · 1/7 · D12-D15 0/4</v>
      </c>
    </row>
    <row r="116" spans="1:46" ht="16.05" customHeight="1" x14ac:dyDescent="0.3">
      <c r="A116" t="s">
        <v>315</v>
      </c>
      <c r="B116" t="s">
        <v>316</v>
      </c>
      <c r="C116" t="s">
        <v>239</v>
      </c>
      <c r="D116" t="s">
        <v>71</v>
      </c>
      <c r="G116" t="s">
        <v>72</v>
      </c>
      <c r="J116" t="s">
        <v>65</v>
      </c>
      <c r="M116" t="str">
        <f t="shared" si="8"/>
        <v/>
      </c>
      <c r="N116" t="s">
        <v>66</v>
      </c>
      <c r="O116" t="str">
        <f t="shared" si="9"/>
        <v/>
      </c>
      <c r="P116" t="s">
        <v>66</v>
      </c>
      <c r="S116" t="str">
        <f t="shared" si="10"/>
        <v>—</v>
      </c>
      <c r="T116" t="str">
        <f>IF(NOT(ISNUMBER(S116)),"⬜  Sin dato PVE",IF(AND(COUNT(NORMALIZADO!BV116:BY116)&gt;=3,AQ116=7),IF(S116&lt;34,"🔴 Crítico",IF(S116&lt;67,"🟡 Vulnerable","🟢 Preparado")),"◐  Parcial · "&amp;AQ116&amp;"/7"))</f>
        <v>⬜  Sin dato PVE</v>
      </c>
      <c r="U116" s="53">
        <v>1</v>
      </c>
      <c r="V116" t="s">
        <v>67</v>
      </c>
      <c r="W116" t="str">
        <f>IF(NORMALIZADO!BV116="","",NORMALIZADO!BV116)</f>
        <v/>
      </c>
      <c r="X116" t="str">
        <f>IF(NORMALIZADO!BW116="","",NORMALIZADO!BW116)</f>
        <v/>
      </c>
      <c r="Y116" t="str">
        <f>IF(NORMALIZADO!BX116="","",NORMALIZADO!BX116)</f>
        <v/>
      </c>
      <c r="Z116" t="str">
        <f>IF(NORMALIZADO!BY116="","",NORMALIZADO!BY116)</f>
        <v/>
      </c>
      <c r="AO116" t="str">
        <f t="shared" si="11"/>
        <v>N/A</v>
      </c>
      <c r="AP116" t="str">
        <f>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f>
        <v>—</v>
      </c>
      <c r="AQ116">
        <f>IF(ISNUMBER(M116),1,0)+IF(ISNUMBER(SCORECARDS!H116),1,0)+IF(ISNUMBER(SCORECARDS!I116),1,0)+IF(ISNUMBER(SCORECARDS!J116),1,0)+IF(ISNUMBER(ISCAM_Score!K117),1,0)+IF(ISNUMBER(O116),1,0)+IF(COUNT(W116:Z116)&gt;0,1,0)</f>
        <v>0</v>
      </c>
      <c r="AT116" t="str">
        <f>IF(NOT(ISNUMBER(AP116)),"sin dato",IF(AND(COUNT(NORMALIZADO!BV116:BY116)&gt;=3,AQ116=7),"completo","parcial · "&amp;AQ116&amp;"/7 · D12-D15 "&amp;COUNT(NORMALIZADO!BV116:BY116)&amp;"/4"))</f>
        <v>sin dato</v>
      </c>
    </row>
    <row r="117" spans="1:46" ht="16.05" customHeight="1" x14ac:dyDescent="0.3">
      <c r="A117" t="s">
        <v>317</v>
      </c>
      <c r="B117" t="s">
        <v>318</v>
      </c>
      <c r="C117" t="s">
        <v>177</v>
      </c>
      <c r="D117" t="s">
        <v>63</v>
      </c>
      <c r="G117" t="s">
        <v>72</v>
      </c>
      <c r="J117" t="s">
        <v>65</v>
      </c>
      <c r="M117" t="str">
        <f t="shared" si="8"/>
        <v/>
      </c>
      <c r="N117" t="s">
        <v>66</v>
      </c>
      <c r="O117" t="str">
        <f t="shared" si="9"/>
        <v/>
      </c>
      <c r="P117" t="s">
        <v>66</v>
      </c>
      <c r="S117" t="str">
        <f t="shared" si="10"/>
        <v>—</v>
      </c>
      <c r="T117" t="str">
        <f>IF(NOT(ISNUMBER(S117)),"⬜  Sin dato PVE",IF(AND(COUNT(NORMALIZADO!BV117:BY117)&gt;=3,AQ117=7),IF(S117&lt;34,"🔴 Crítico",IF(S117&lt;67,"🟡 Vulnerable","🟢 Preparado")),"◐  Parcial · "&amp;AQ117&amp;"/7"))</f>
        <v>⬜  Sin dato PVE</v>
      </c>
      <c r="U117" s="53">
        <v>1</v>
      </c>
      <c r="V117" t="s">
        <v>67</v>
      </c>
      <c r="W117" t="str">
        <f>IF(NORMALIZADO!BV117="","",NORMALIZADO!BV117)</f>
        <v/>
      </c>
      <c r="X117" t="str">
        <f>IF(NORMALIZADO!BW117="","",NORMALIZADO!BW117)</f>
        <v/>
      </c>
      <c r="Y117" t="str">
        <f>IF(NORMALIZADO!BX117="","",NORMALIZADO!BX117)</f>
        <v/>
      </c>
      <c r="Z117" t="str">
        <f>IF(NORMALIZADO!BY117="","",NORMALIZADO!BY117)</f>
        <v/>
      </c>
      <c r="AO117" t="str">
        <f t="shared" si="11"/>
        <v>N/A</v>
      </c>
      <c r="AP117" t="str">
        <f>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f>
        <v>—</v>
      </c>
      <c r="AQ117">
        <f>IF(ISNUMBER(M117),1,0)+IF(ISNUMBER(SCORECARDS!H117),1,0)+IF(ISNUMBER(SCORECARDS!I117),1,0)+IF(ISNUMBER(SCORECARDS!J117),1,0)+IF(ISNUMBER(ISCAM_Score!K118),1,0)+IF(ISNUMBER(O117),1,0)+IF(COUNT(W117:Z117)&gt;0,1,0)</f>
        <v>0</v>
      </c>
      <c r="AT117" t="str">
        <f>IF(NOT(ISNUMBER(AP117)),"sin dato",IF(AND(COUNT(NORMALIZADO!BV117:BY117)&gt;=3,AQ117=7),"completo","parcial · "&amp;AQ117&amp;"/7 · D12-D15 "&amp;COUNT(NORMALIZADO!BV117:BY117)&amp;"/4"))</f>
        <v>sin dato</v>
      </c>
    </row>
    <row r="118" spans="1:46" ht="16.05" customHeight="1" x14ac:dyDescent="0.3">
      <c r="A118" t="s">
        <v>319</v>
      </c>
      <c r="B118" t="s">
        <v>320</v>
      </c>
      <c r="C118" t="s">
        <v>107</v>
      </c>
      <c r="D118" t="s">
        <v>71</v>
      </c>
      <c r="G118" t="s">
        <v>72</v>
      </c>
      <c r="J118" t="s">
        <v>104</v>
      </c>
      <c r="M118" t="str">
        <f t="shared" si="8"/>
        <v/>
      </c>
      <c r="N118" t="s">
        <v>66</v>
      </c>
      <c r="O118" t="str">
        <f t="shared" si="9"/>
        <v/>
      </c>
      <c r="P118" t="s">
        <v>66</v>
      </c>
      <c r="S118" t="str">
        <f t="shared" si="10"/>
        <v>—</v>
      </c>
      <c r="T118" t="str">
        <f>IF(NOT(ISNUMBER(S118)),"⬜  Sin dato PVE",IF(AND(COUNT(NORMALIZADO!BV118:BY118)&gt;=3,AQ118=7),IF(S118&lt;34,"🔴 Crítico",IF(S118&lt;67,"🟡 Vulnerable","🟢 Preparado")),"◐  Parcial · "&amp;AQ118&amp;"/7"))</f>
        <v>⬜  Sin dato PVE</v>
      </c>
      <c r="U118" s="53">
        <v>1</v>
      </c>
      <c r="V118" t="s">
        <v>67</v>
      </c>
      <c r="W118" t="str">
        <f>IF(NORMALIZADO!BV118="","",NORMALIZADO!BV118)</f>
        <v/>
      </c>
      <c r="X118" t="str">
        <f>IF(NORMALIZADO!BW118="","",NORMALIZADO!BW118)</f>
        <v/>
      </c>
      <c r="Y118" t="str">
        <f>IF(NORMALIZADO!BX118="","",NORMALIZADO!BX118)</f>
        <v/>
      </c>
      <c r="Z118" t="str">
        <f>IF(NORMALIZADO!BY118="","",NORMALIZADO!BY118)</f>
        <v/>
      </c>
      <c r="AO118" t="str">
        <f t="shared" si="11"/>
        <v>N/A</v>
      </c>
      <c r="AP118" t="str">
        <f>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f>
        <v>—</v>
      </c>
      <c r="AQ118">
        <f>IF(ISNUMBER(M118),1,0)+IF(ISNUMBER(SCORECARDS!H118),1,0)+IF(ISNUMBER(SCORECARDS!I118),1,0)+IF(ISNUMBER(SCORECARDS!J118),1,0)+IF(ISNUMBER(ISCAM_Score!K119),1,0)+IF(ISNUMBER(O118),1,0)+IF(COUNT(W118:Z118)&gt;0,1,0)</f>
        <v>0</v>
      </c>
      <c r="AT118" t="str">
        <f>IF(NOT(ISNUMBER(AP118)),"sin dato",IF(AND(COUNT(NORMALIZADO!BV118:BY118)&gt;=3,AQ118=7),"completo","parcial · "&amp;AQ118&amp;"/7 · D12-D15 "&amp;COUNT(NORMALIZADO!BV118:BY118)&amp;"/4"))</f>
        <v>sin dato</v>
      </c>
    </row>
    <row r="119" spans="1:46" ht="16.05" customHeight="1" x14ac:dyDescent="0.3">
      <c r="A119" t="s">
        <v>321</v>
      </c>
      <c r="B119" t="s">
        <v>322</v>
      </c>
      <c r="C119" t="s">
        <v>107</v>
      </c>
      <c r="D119" t="s">
        <v>71</v>
      </c>
      <c r="G119" t="s">
        <v>72</v>
      </c>
      <c r="J119" t="s">
        <v>65</v>
      </c>
      <c r="M119" t="str">
        <f t="shared" si="8"/>
        <v/>
      </c>
      <c r="N119" t="s">
        <v>66</v>
      </c>
      <c r="O119" t="str">
        <f t="shared" si="9"/>
        <v/>
      </c>
      <c r="P119" t="s">
        <v>66</v>
      </c>
      <c r="S119" t="str">
        <f t="shared" si="10"/>
        <v>—</v>
      </c>
      <c r="T119" t="str">
        <f>IF(NOT(ISNUMBER(S119)),"⬜  Sin dato PVE",IF(AND(COUNT(NORMALIZADO!BV119:BY119)&gt;=3,AQ119=7),IF(S119&lt;34,"🔴 Crítico",IF(S119&lt;67,"🟡 Vulnerable","🟢 Preparado")),"◐  Parcial · "&amp;AQ119&amp;"/7"))</f>
        <v>⬜  Sin dato PVE</v>
      </c>
      <c r="U119" s="53">
        <v>1</v>
      </c>
      <c r="V119" t="s">
        <v>67</v>
      </c>
      <c r="W119" t="str">
        <f>IF(NORMALIZADO!BV119="","",NORMALIZADO!BV119)</f>
        <v/>
      </c>
      <c r="X119" t="str">
        <f>IF(NORMALIZADO!BW119="","",NORMALIZADO!BW119)</f>
        <v/>
      </c>
      <c r="Y119" t="str">
        <f>IF(NORMALIZADO!BX119="","",NORMALIZADO!BX119)</f>
        <v/>
      </c>
      <c r="Z119" t="str">
        <f>IF(NORMALIZADO!BY119="","",NORMALIZADO!BY119)</f>
        <v/>
      </c>
      <c r="AO119" t="str">
        <f t="shared" si="11"/>
        <v>N/A</v>
      </c>
      <c r="AP119" t="str">
        <f>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f>
        <v>—</v>
      </c>
      <c r="AQ119">
        <f>IF(ISNUMBER(M119),1,0)+IF(ISNUMBER(SCORECARDS!H119),1,0)+IF(ISNUMBER(SCORECARDS!I119),1,0)+IF(ISNUMBER(SCORECARDS!J119),1,0)+IF(ISNUMBER(ISCAM_Score!K120),1,0)+IF(ISNUMBER(O119),1,0)+IF(COUNT(W119:Z119)&gt;0,1,0)</f>
        <v>0</v>
      </c>
      <c r="AT119" t="str">
        <f>IF(NOT(ISNUMBER(AP119)),"sin dato",IF(AND(COUNT(NORMALIZADO!BV119:BY119)&gt;=3,AQ119=7),"completo","parcial · "&amp;AQ119&amp;"/7 · D12-D15 "&amp;COUNT(NORMALIZADO!BV119:BY119)&amp;"/4"))</f>
        <v>sin dato</v>
      </c>
    </row>
    <row r="120" spans="1:46" ht="16.05" customHeight="1" x14ac:dyDescent="0.3">
      <c r="A120" t="s">
        <v>323</v>
      </c>
      <c r="B120" t="s">
        <v>324</v>
      </c>
      <c r="C120" t="s">
        <v>148</v>
      </c>
      <c r="D120" t="s">
        <v>63</v>
      </c>
      <c r="G120" t="s">
        <v>72</v>
      </c>
      <c r="J120" t="s">
        <v>65</v>
      </c>
      <c r="M120" t="str">
        <f t="shared" si="8"/>
        <v/>
      </c>
      <c r="N120" t="s">
        <v>66</v>
      </c>
      <c r="O120" t="str">
        <f t="shared" si="9"/>
        <v/>
      </c>
      <c r="P120" t="s">
        <v>66</v>
      </c>
      <c r="S120" t="str">
        <f t="shared" si="10"/>
        <v>—</v>
      </c>
      <c r="T120" t="str">
        <f>IF(NOT(ISNUMBER(S120)),"⬜  Sin dato PVE",IF(AND(COUNT(NORMALIZADO!BV120:BY120)&gt;=3,AQ120=7),IF(S120&lt;34,"🔴 Crítico",IF(S120&lt;67,"🟡 Vulnerable","🟢 Preparado")),"◐  Parcial · "&amp;AQ120&amp;"/7"))</f>
        <v>⬜  Sin dato PVE</v>
      </c>
      <c r="U120" s="53">
        <v>1</v>
      </c>
      <c r="V120" t="s">
        <v>67</v>
      </c>
      <c r="W120" t="str">
        <f>IF(NORMALIZADO!BV120="","",NORMALIZADO!BV120)</f>
        <v/>
      </c>
      <c r="X120" t="str">
        <f>IF(NORMALIZADO!BW120="","",NORMALIZADO!BW120)</f>
        <v/>
      </c>
      <c r="Y120" t="str">
        <f>IF(NORMALIZADO!BX120="","",NORMALIZADO!BX120)</f>
        <v/>
      </c>
      <c r="Z120" t="str">
        <f>IF(NORMALIZADO!BY120="","",NORMALIZADO!BY120)</f>
        <v/>
      </c>
      <c r="AO120" t="str">
        <f t="shared" si="11"/>
        <v>N/A</v>
      </c>
      <c r="AP120" t="str">
        <f>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f>
        <v>—</v>
      </c>
      <c r="AQ120">
        <f>IF(ISNUMBER(M120),1,0)+IF(ISNUMBER(SCORECARDS!H120),1,0)+IF(ISNUMBER(SCORECARDS!I120),1,0)+IF(ISNUMBER(SCORECARDS!J120),1,0)+IF(ISNUMBER(ISCAM_Score!K121),1,0)+IF(ISNUMBER(O120),1,0)+IF(COUNT(W120:Z120)&gt;0,1,0)</f>
        <v>0</v>
      </c>
      <c r="AT120" t="str">
        <f>IF(NOT(ISNUMBER(AP120)),"sin dato",IF(AND(COUNT(NORMALIZADO!BV120:BY120)&gt;=3,AQ120=7),"completo","parcial · "&amp;AQ120&amp;"/7 · D12-D15 "&amp;COUNT(NORMALIZADO!BV120:BY120)&amp;"/4"))</f>
        <v>sin dato</v>
      </c>
    </row>
    <row r="121" spans="1:46" ht="16.05" customHeight="1" x14ac:dyDescent="0.3">
      <c r="A121" t="s">
        <v>325</v>
      </c>
      <c r="B121" t="s">
        <v>326</v>
      </c>
      <c r="C121" t="s">
        <v>247</v>
      </c>
      <c r="D121" t="s">
        <v>63</v>
      </c>
      <c r="G121" t="s">
        <v>72</v>
      </c>
      <c r="J121" t="s">
        <v>65</v>
      </c>
      <c r="M121" t="str">
        <f t="shared" si="8"/>
        <v/>
      </c>
      <c r="N121" t="s">
        <v>66</v>
      </c>
      <c r="O121" t="str">
        <f t="shared" si="9"/>
        <v/>
      </c>
      <c r="P121" t="s">
        <v>66</v>
      </c>
      <c r="S121" t="str">
        <f t="shared" si="10"/>
        <v>—</v>
      </c>
      <c r="T121" t="str">
        <f>IF(NOT(ISNUMBER(S121)),"⬜  Sin dato PVE",IF(AND(COUNT(NORMALIZADO!BV121:BY121)&gt;=3,AQ121=7),IF(S121&lt;34,"🔴 Crítico",IF(S121&lt;67,"🟡 Vulnerable","🟢 Preparado")),"◐  Parcial · "&amp;AQ121&amp;"/7"))</f>
        <v>⬜  Sin dato PVE</v>
      </c>
      <c r="U121" s="53">
        <v>1</v>
      </c>
      <c r="V121" t="s">
        <v>67</v>
      </c>
      <c r="W121" t="str">
        <f>IF(NORMALIZADO!BV121="","",NORMALIZADO!BV121)</f>
        <v/>
      </c>
      <c r="X121" t="str">
        <f>IF(NORMALIZADO!BW121="","",NORMALIZADO!BW121)</f>
        <v/>
      </c>
      <c r="Y121" t="str">
        <f>IF(NORMALIZADO!BX121="","",NORMALIZADO!BX121)</f>
        <v/>
      </c>
      <c r="Z121" t="str">
        <f>IF(NORMALIZADO!BY121="","",NORMALIZADO!BY121)</f>
        <v/>
      </c>
      <c r="AO121" t="str">
        <f t="shared" si="11"/>
        <v>N/A</v>
      </c>
      <c r="AP121" t="str">
        <f>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f>
        <v>—</v>
      </c>
      <c r="AQ121">
        <f>IF(ISNUMBER(M121),1,0)+IF(ISNUMBER(SCORECARDS!H121),1,0)+IF(ISNUMBER(SCORECARDS!I121),1,0)+IF(ISNUMBER(SCORECARDS!J121),1,0)+IF(ISNUMBER(ISCAM_Score!K122),1,0)+IF(ISNUMBER(O121),1,0)+IF(COUNT(W121:Z121)&gt;0,1,0)</f>
        <v>0</v>
      </c>
      <c r="AT121" t="str">
        <f>IF(NOT(ISNUMBER(AP121)),"sin dato",IF(AND(COUNT(NORMALIZADO!BV121:BY121)&gt;=3,AQ121=7),"completo","parcial · "&amp;AQ121&amp;"/7 · D12-D15 "&amp;COUNT(NORMALIZADO!BV121:BY121)&amp;"/4"))</f>
        <v>sin dato</v>
      </c>
    </row>
    <row r="122" spans="1:46" ht="16.05" customHeight="1" x14ac:dyDescent="0.3">
      <c r="A122" t="s">
        <v>327</v>
      </c>
      <c r="B122" t="s">
        <v>328</v>
      </c>
      <c r="C122" t="s">
        <v>117</v>
      </c>
      <c r="D122" t="s">
        <v>63</v>
      </c>
      <c r="G122" t="s">
        <v>72</v>
      </c>
      <c r="J122" t="s">
        <v>65</v>
      </c>
      <c r="M122" t="str">
        <f t="shared" si="8"/>
        <v/>
      </c>
      <c r="N122" t="s">
        <v>66</v>
      </c>
      <c r="O122" t="str">
        <f t="shared" si="9"/>
        <v/>
      </c>
      <c r="P122" t="s">
        <v>66</v>
      </c>
      <c r="S122" t="str">
        <f t="shared" si="10"/>
        <v>—</v>
      </c>
      <c r="T122" t="str">
        <f>IF(NOT(ISNUMBER(S122)),"⬜  Sin dato PVE",IF(AND(COUNT(NORMALIZADO!BV122:BY122)&gt;=3,AQ122=7),IF(S122&lt;34,"🔴 Crítico",IF(S122&lt;67,"🟡 Vulnerable","🟢 Preparado")),"◐  Parcial · "&amp;AQ122&amp;"/7"))</f>
        <v>⬜  Sin dato PVE</v>
      </c>
      <c r="U122" s="53">
        <v>1</v>
      </c>
      <c r="V122" t="s">
        <v>67</v>
      </c>
      <c r="W122" t="str">
        <f>IF(NORMALIZADO!BV122="","",NORMALIZADO!BV122)</f>
        <v/>
      </c>
      <c r="X122" t="str">
        <f>IF(NORMALIZADO!BW122="","",NORMALIZADO!BW122)</f>
        <v/>
      </c>
      <c r="Y122" t="str">
        <f>IF(NORMALIZADO!BX122="","",NORMALIZADO!BX122)</f>
        <v/>
      </c>
      <c r="Z122" t="str">
        <f>IF(NORMALIZADO!BY122="","",NORMALIZADO!BY122)</f>
        <v/>
      </c>
      <c r="AO122" t="str">
        <f t="shared" si="11"/>
        <v>N/A</v>
      </c>
      <c r="AP122" t="str">
        <f>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f>
        <v>—</v>
      </c>
      <c r="AQ122">
        <f>IF(ISNUMBER(M122),1,0)+IF(ISNUMBER(SCORECARDS!H122),1,0)+IF(ISNUMBER(SCORECARDS!I122),1,0)+IF(ISNUMBER(SCORECARDS!J122),1,0)+IF(ISNUMBER(ISCAM_Score!K123),1,0)+IF(ISNUMBER(O122),1,0)+IF(COUNT(W122:Z122)&gt;0,1,0)</f>
        <v>0</v>
      </c>
      <c r="AT122" t="str">
        <f>IF(NOT(ISNUMBER(AP122)),"sin dato",IF(AND(COUNT(NORMALIZADO!BV122:BY122)&gt;=3,AQ122=7),"completo","parcial · "&amp;AQ122&amp;"/7 · D12-D15 "&amp;COUNT(NORMALIZADO!BV122:BY122)&amp;"/4"))</f>
        <v>sin dato</v>
      </c>
    </row>
    <row r="123" spans="1:46" ht="16.05" customHeight="1" x14ac:dyDescent="0.3">
      <c r="A123" t="s">
        <v>329</v>
      </c>
      <c r="B123" t="s">
        <v>330</v>
      </c>
      <c r="C123" t="s">
        <v>75</v>
      </c>
      <c r="D123" t="s">
        <v>63</v>
      </c>
      <c r="G123" t="s">
        <v>72</v>
      </c>
      <c r="J123" t="s">
        <v>122</v>
      </c>
      <c r="M123" t="str">
        <f t="shared" si="8"/>
        <v/>
      </c>
      <c r="N123" t="s">
        <v>66</v>
      </c>
      <c r="O123" t="str">
        <f t="shared" si="9"/>
        <v/>
      </c>
      <c r="P123" t="s">
        <v>66</v>
      </c>
      <c r="S123" t="str">
        <f t="shared" si="10"/>
        <v>—</v>
      </c>
      <c r="T123" t="str">
        <f>IF(NOT(ISNUMBER(S123)),"⬜  Sin dato PVE",IF(AND(COUNT(NORMALIZADO!BV123:BY123)&gt;=3,AQ123=7),IF(S123&lt;34,"🔴 Crítico",IF(S123&lt;67,"🟡 Vulnerable","🟢 Preparado")),"◐  Parcial · "&amp;AQ123&amp;"/7"))</f>
        <v>⬜  Sin dato PVE</v>
      </c>
      <c r="U123" s="53">
        <v>1</v>
      </c>
      <c r="V123" t="s">
        <v>67</v>
      </c>
      <c r="W123" t="str">
        <f>IF(NORMALIZADO!BV123="","",NORMALIZADO!BV123)</f>
        <v/>
      </c>
      <c r="X123" t="str">
        <f>IF(NORMALIZADO!BW123="","",NORMALIZADO!BW123)</f>
        <v/>
      </c>
      <c r="Y123" t="str">
        <f>IF(NORMALIZADO!BX123="","",NORMALIZADO!BX123)</f>
        <v/>
      </c>
      <c r="Z123" t="str">
        <f>IF(NORMALIZADO!BY123="","",NORMALIZADO!BY123)</f>
        <v/>
      </c>
      <c r="AO123" t="str">
        <f t="shared" si="11"/>
        <v>N/A</v>
      </c>
      <c r="AP123" t="str">
        <f>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f>
        <v>—</v>
      </c>
      <c r="AQ123">
        <f>IF(ISNUMBER(M123),1,0)+IF(ISNUMBER(SCORECARDS!H123),1,0)+IF(ISNUMBER(SCORECARDS!I123),1,0)+IF(ISNUMBER(SCORECARDS!J123),1,0)+IF(ISNUMBER(ISCAM_Score!K124),1,0)+IF(ISNUMBER(O123),1,0)+IF(COUNT(W123:Z123)&gt;0,1,0)</f>
        <v>0</v>
      </c>
      <c r="AT123" t="str">
        <f>IF(NOT(ISNUMBER(AP123)),"sin dato",IF(AND(COUNT(NORMALIZADO!BV123:BY123)&gt;=3,AQ123=7),"completo","parcial · "&amp;AQ123&amp;"/7 · D12-D15 "&amp;COUNT(NORMALIZADO!BV123:BY123)&amp;"/4"))</f>
        <v>sin dato</v>
      </c>
    </row>
    <row r="124" spans="1:46" ht="16.05" customHeight="1" x14ac:dyDescent="0.3">
      <c r="A124" t="s">
        <v>331</v>
      </c>
      <c r="B124" t="s">
        <v>332</v>
      </c>
      <c r="C124" t="s">
        <v>110</v>
      </c>
      <c r="D124" t="s">
        <v>63</v>
      </c>
      <c r="E124">
        <v>442439.35</v>
      </c>
      <c r="F124">
        <v>4</v>
      </c>
      <c r="G124" t="s">
        <v>64</v>
      </c>
      <c r="H124" t="s">
        <v>64</v>
      </c>
      <c r="I124" t="s">
        <v>64</v>
      </c>
      <c r="J124" t="s">
        <v>65</v>
      </c>
      <c r="K124" t="s">
        <v>333</v>
      </c>
      <c r="L124">
        <v>0</v>
      </c>
      <c r="M124">
        <f t="shared" si="8"/>
        <v>0</v>
      </c>
      <c r="N124" t="s">
        <v>66</v>
      </c>
      <c r="O124">
        <f t="shared" si="9"/>
        <v>1</v>
      </c>
      <c r="P124" t="s">
        <v>66</v>
      </c>
      <c r="Q124">
        <v>256</v>
      </c>
      <c r="R124">
        <v>685</v>
      </c>
      <c r="S124">
        <f t="shared" si="10"/>
        <v>37.5</v>
      </c>
      <c r="T124" t="str">
        <f>IF(NOT(ISNUMBER(S124)),"⬜  Sin dato PVE",IF(AND(COUNT(NORMALIZADO!BV124:BY124)&gt;=3,AQ124=7),IF(S124&lt;34,"🔴 Crítico",IF(S124&lt;67,"🟡 Vulnerable","🟢 Preparado")),"◐  Parcial · "&amp;AQ124&amp;"/7"))</f>
        <v>◐  Parcial · 3/7</v>
      </c>
      <c r="U124" s="53">
        <v>1</v>
      </c>
      <c r="V124" t="s">
        <v>67</v>
      </c>
      <c r="W124">
        <f>IF(NORMALIZADO!BV124="",1,NORMALIZADO!BV124)</f>
        <v>1</v>
      </c>
      <c r="X124" t="str">
        <f>IF(NORMALIZADO!BW124="","",NORMALIZADO!BW124)</f>
        <v/>
      </c>
      <c r="Y124" t="str">
        <f>IF(NORMALIZADO!BX124="","",NORMALIZADO!BX124)</f>
        <v/>
      </c>
      <c r="Z124" t="str">
        <f>IF(NORMALIZADO!BY124="","",NORMALIZADO!BY124)</f>
        <v/>
      </c>
      <c r="AO124" t="str">
        <f t="shared" si="11"/>
        <v>N/A</v>
      </c>
      <c r="AP124">
        <f>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f>
        <v>0.375</v>
      </c>
      <c r="AQ124">
        <f>IF(ISNUMBER(M124),1,0)+IF(ISNUMBER(SCORECARDS!H124),1,0)+IF(ISNUMBER(SCORECARDS!I124),1,0)+IF(ISNUMBER(SCORECARDS!J124),1,0)+IF(ISNUMBER(ISCAM_Score!K125),1,0)+IF(ISNUMBER(O124),1,0)+IF(COUNT(W124:Z124)&gt;0,1,0)</f>
        <v>3</v>
      </c>
      <c r="AR124" t="s">
        <v>1544</v>
      </c>
      <c r="AS124" t="s">
        <v>1545</v>
      </c>
      <c r="AT124" t="str">
        <f>IF(NOT(ISNUMBER(AP124)),"sin dato",IF(AND(COUNT(NORMALIZADO!BV124:BY124)&gt;=3,AQ124=7),"completo","parcial · "&amp;AQ124&amp;"/7 · D12-D15 "&amp;COUNT(NORMALIZADO!BV124:BY124)&amp;"/4"))</f>
        <v>parcial · 3/7 · D12-D15 0/4</v>
      </c>
    </row>
    <row r="125" spans="1:46" ht="16.05" customHeight="1" x14ac:dyDescent="0.3">
      <c r="A125" t="s">
        <v>334</v>
      </c>
      <c r="B125" t="s">
        <v>335</v>
      </c>
      <c r="C125" t="s">
        <v>75</v>
      </c>
      <c r="D125" t="s">
        <v>71</v>
      </c>
      <c r="G125" t="s">
        <v>72</v>
      </c>
      <c r="J125" t="s">
        <v>65</v>
      </c>
      <c r="M125" t="str">
        <f t="shared" si="8"/>
        <v/>
      </c>
      <c r="N125" t="s">
        <v>66</v>
      </c>
      <c r="O125" t="str">
        <f t="shared" si="9"/>
        <v/>
      </c>
      <c r="P125" t="s">
        <v>66</v>
      </c>
      <c r="S125" t="str">
        <f t="shared" si="10"/>
        <v>—</v>
      </c>
      <c r="T125" t="str">
        <f>IF(NOT(ISNUMBER(S125)),"⬜  Sin dato PVE",IF(AND(COUNT(NORMALIZADO!BV125:BY125)&gt;=3,AQ125=7),IF(S125&lt;34,"🔴 Crítico",IF(S125&lt;67,"🟡 Vulnerable","🟢 Preparado")),"◐  Parcial · "&amp;AQ125&amp;"/7"))</f>
        <v>⬜  Sin dato PVE</v>
      </c>
      <c r="U125" s="53">
        <v>1</v>
      </c>
      <c r="V125" t="s">
        <v>67</v>
      </c>
      <c r="W125" t="str">
        <f>IF(NORMALIZADO!BV125="","",NORMALIZADO!BV125)</f>
        <v/>
      </c>
      <c r="X125" t="str">
        <f>IF(NORMALIZADO!BW125="","",NORMALIZADO!BW125)</f>
        <v/>
      </c>
      <c r="Y125" t="str">
        <f>IF(NORMALIZADO!BX125="","",NORMALIZADO!BX125)</f>
        <v/>
      </c>
      <c r="Z125" t="str">
        <f>IF(NORMALIZADO!BY125="","",NORMALIZADO!BY125)</f>
        <v/>
      </c>
      <c r="AO125" t="str">
        <f t="shared" si="11"/>
        <v>N/A</v>
      </c>
      <c r="AP125" t="str">
        <f>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f>
        <v>—</v>
      </c>
      <c r="AQ125">
        <f>IF(ISNUMBER(M125),1,0)+IF(ISNUMBER(SCORECARDS!H125),1,0)+IF(ISNUMBER(SCORECARDS!I125),1,0)+IF(ISNUMBER(SCORECARDS!J125),1,0)+IF(ISNUMBER(ISCAM_Score!K126),1,0)+IF(ISNUMBER(O125),1,0)+IF(COUNT(W125:Z125)&gt;0,1,0)</f>
        <v>0</v>
      </c>
      <c r="AT125" t="str">
        <f>IF(NOT(ISNUMBER(AP125)),"sin dato",IF(AND(COUNT(NORMALIZADO!BV125:BY125)&gt;=3,AQ125=7),"completo","parcial · "&amp;AQ125&amp;"/7 · D12-D15 "&amp;COUNT(NORMALIZADO!BV125:BY125)&amp;"/4"))</f>
        <v>sin dato</v>
      </c>
    </row>
    <row r="126" spans="1:46" ht="16.05" customHeight="1" x14ac:dyDescent="0.3">
      <c r="A126" t="s">
        <v>336</v>
      </c>
      <c r="B126" t="s">
        <v>337</v>
      </c>
      <c r="C126" t="s">
        <v>75</v>
      </c>
      <c r="D126" t="s">
        <v>71</v>
      </c>
      <c r="G126" t="s">
        <v>72</v>
      </c>
      <c r="J126" t="s">
        <v>65</v>
      </c>
      <c r="M126" t="str">
        <f t="shared" si="8"/>
        <v/>
      </c>
      <c r="N126" t="s">
        <v>66</v>
      </c>
      <c r="O126" t="str">
        <f t="shared" si="9"/>
        <v/>
      </c>
      <c r="P126" t="s">
        <v>66</v>
      </c>
      <c r="S126" t="str">
        <f t="shared" si="10"/>
        <v>—</v>
      </c>
      <c r="T126" t="str">
        <f>IF(NOT(ISNUMBER(S126)),"⬜  Sin dato PVE",IF(AND(COUNT(NORMALIZADO!BV126:BY126)&gt;=3,AQ126=7),IF(S126&lt;34,"🔴 Crítico",IF(S126&lt;67,"🟡 Vulnerable","🟢 Preparado")),"◐  Parcial · "&amp;AQ126&amp;"/7"))</f>
        <v>⬜  Sin dato PVE</v>
      </c>
      <c r="U126" s="53">
        <v>1</v>
      </c>
      <c r="V126" t="s">
        <v>67</v>
      </c>
      <c r="W126" t="str">
        <f>IF(NORMALIZADO!BV126="","",NORMALIZADO!BV126)</f>
        <v/>
      </c>
      <c r="X126" t="str">
        <f>IF(NORMALIZADO!BW126="","",NORMALIZADO!BW126)</f>
        <v/>
      </c>
      <c r="Y126" t="str">
        <f>IF(NORMALIZADO!BX126="","",NORMALIZADO!BX126)</f>
        <v/>
      </c>
      <c r="Z126" t="str">
        <f>IF(NORMALIZADO!BY126="","",NORMALIZADO!BY126)</f>
        <v/>
      </c>
      <c r="AO126" t="str">
        <f t="shared" si="11"/>
        <v>N/A</v>
      </c>
      <c r="AP126" t="str">
        <f>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f>
        <v>—</v>
      </c>
      <c r="AQ126">
        <f>IF(ISNUMBER(M126),1,0)+IF(ISNUMBER(SCORECARDS!H126),1,0)+IF(ISNUMBER(SCORECARDS!I126),1,0)+IF(ISNUMBER(SCORECARDS!J126),1,0)+IF(ISNUMBER(ISCAM_Score!K127),1,0)+IF(ISNUMBER(O126),1,0)+IF(COUNT(W126:Z126)&gt;0,1,0)</f>
        <v>0</v>
      </c>
      <c r="AT126" t="str">
        <f>IF(NOT(ISNUMBER(AP126)),"sin dato",IF(AND(COUNT(NORMALIZADO!BV126:BY126)&gt;=3,AQ126=7),"completo","parcial · "&amp;AQ126&amp;"/7 · D12-D15 "&amp;COUNT(NORMALIZADO!BV126:BY126)&amp;"/4"))</f>
        <v>sin dato</v>
      </c>
    </row>
    <row r="127" spans="1:46" ht="16.05" customHeight="1" x14ac:dyDescent="0.3">
      <c r="A127" t="s">
        <v>338</v>
      </c>
      <c r="B127" t="s">
        <v>339</v>
      </c>
      <c r="C127" t="s">
        <v>75</v>
      </c>
      <c r="D127" t="s">
        <v>71</v>
      </c>
      <c r="G127" t="s">
        <v>72</v>
      </c>
      <c r="J127" t="s">
        <v>65</v>
      </c>
      <c r="M127" t="str">
        <f t="shared" si="8"/>
        <v/>
      </c>
      <c r="N127" t="s">
        <v>66</v>
      </c>
      <c r="O127" t="str">
        <f t="shared" si="9"/>
        <v/>
      </c>
      <c r="P127" t="s">
        <v>66</v>
      </c>
      <c r="S127" t="str">
        <f t="shared" si="10"/>
        <v>—</v>
      </c>
      <c r="T127" t="str">
        <f>IF(NOT(ISNUMBER(S127)),"⬜  Sin dato PVE",IF(AND(COUNT(NORMALIZADO!BV127:BY127)&gt;=3,AQ127=7),IF(S127&lt;34,"🔴 Crítico",IF(S127&lt;67,"🟡 Vulnerable","🟢 Preparado")),"◐  Parcial · "&amp;AQ127&amp;"/7"))</f>
        <v>⬜  Sin dato PVE</v>
      </c>
      <c r="U127" s="53">
        <v>1</v>
      </c>
      <c r="V127" t="s">
        <v>67</v>
      </c>
      <c r="W127" t="str">
        <f>IF(NORMALIZADO!BV127="","",NORMALIZADO!BV127)</f>
        <v/>
      </c>
      <c r="X127" t="str">
        <f>IF(NORMALIZADO!BW127="","",NORMALIZADO!BW127)</f>
        <v/>
      </c>
      <c r="Y127" t="str">
        <f>IF(NORMALIZADO!BX127="","",NORMALIZADO!BX127)</f>
        <v/>
      </c>
      <c r="Z127" t="str">
        <f>IF(NORMALIZADO!BY127="","",NORMALIZADO!BY127)</f>
        <v/>
      </c>
      <c r="AO127" t="str">
        <f t="shared" si="11"/>
        <v>N/A</v>
      </c>
      <c r="AP127" t="str">
        <f>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f>
        <v>—</v>
      </c>
      <c r="AQ127">
        <f>IF(ISNUMBER(M127),1,0)+IF(ISNUMBER(SCORECARDS!H127),1,0)+IF(ISNUMBER(SCORECARDS!I127),1,0)+IF(ISNUMBER(SCORECARDS!J127),1,0)+IF(ISNUMBER(ISCAM_Score!K128),1,0)+IF(ISNUMBER(O127),1,0)+IF(COUNT(W127:Z127)&gt;0,1,0)</f>
        <v>0</v>
      </c>
      <c r="AT127" t="str">
        <f>IF(NOT(ISNUMBER(AP127)),"sin dato",IF(AND(COUNT(NORMALIZADO!BV127:BY127)&gt;=3,AQ127=7),"completo","parcial · "&amp;AQ127&amp;"/7 · D12-D15 "&amp;COUNT(NORMALIZADO!BV127:BY127)&amp;"/4"))</f>
        <v>sin dato</v>
      </c>
    </row>
    <row r="128" spans="1:46" ht="16.05" customHeight="1" x14ac:dyDescent="0.3">
      <c r="A128" t="s">
        <v>340</v>
      </c>
      <c r="B128" t="s">
        <v>341</v>
      </c>
      <c r="C128" t="s">
        <v>110</v>
      </c>
      <c r="D128" t="s">
        <v>63</v>
      </c>
      <c r="E128">
        <v>13966273.33</v>
      </c>
      <c r="F128">
        <v>80</v>
      </c>
      <c r="G128" t="s">
        <v>64</v>
      </c>
      <c r="J128" t="s">
        <v>65</v>
      </c>
      <c r="L128">
        <v>6983136.6699999999</v>
      </c>
      <c r="M128">
        <f t="shared" si="8"/>
        <v>50</v>
      </c>
      <c r="N128" t="s">
        <v>66</v>
      </c>
      <c r="O128" t="str">
        <f t="shared" si="9"/>
        <v/>
      </c>
      <c r="P128" t="s">
        <v>66</v>
      </c>
      <c r="S128">
        <f t="shared" si="10"/>
        <v>50</v>
      </c>
      <c r="T128" t="str">
        <f>IF(NOT(ISNUMBER(S128)),"⬜  Sin dato PVE",IF(AND(COUNT(NORMALIZADO!BV128:BY128)&gt;=3,AQ128=7),IF(S128&lt;34,"🔴 Crítico",IF(S128&lt;67,"🟡 Vulnerable","🟢 Preparado")),"◐  Parcial · "&amp;AQ128&amp;"/7"))</f>
        <v>◐  Parcial · 2/7</v>
      </c>
      <c r="U128" s="53">
        <v>1</v>
      </c>
      <c r="V128" t="s">
        <v>67</v>
      </c>
      <c r="W128">
        <f>IF(NORMALIZADO!BV128="",1,NORMALIZADO!BV128)</f>
        <v>1</v>
      </c>
      <c r="X128" t="str">
        <f>IF(NORMALIZADO!BW128="","",NORMALIZADO!BW128)</f>
        <v/>
      </c>
      <c r="Y128" t="str">
        <f>IF(NORMALIZADO!BX128="","",NORMALIZADO!BX128)</f>
        <v/>
      </c>
      <c r="Z128" t="str">
        <f>IF(NORMALIZADO!BY128="","",NORMALIZADO!BY128)</f>
        <v/>
      </c>
      <c r="AO128" t="str">
        <f t="shared" si="11"/>
        <v>N/A</v>
      </c>
      <c r="AP128">
        <f>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f>
        <v>0.5</v>
      </c>
      <c r="AQ128">
        <f>IF(ISNUMBER(M128),1,0)+IF(ISNUMBER(SCORECARDS!H128),1,0)+IF(ISNUMBER(SCORECARDS!I128),1,0)+IF(ISNUMBER(SCORECARDS!J128),1,0)+IF(ISNUMBER(ISCAM_Score!K129),1,0)+IF(ISNUMBER(O128),1,0)+IF(COUNT(W128:Z128)&gt;0,1,0)</f>
        <v>2</v>
      </c>
      <c r="AT128" t="str">
        <f>IF(NOT(ISNUMBER(AP128)),"sin dato",IF(AND(COUNT(NORMALIZADO!BV128:BY128)&gt;=3,AQ128=7),"completo","parcial · "&amp;AQ128&amp;"/7 · D12-D15 "&amp;COUNT(NORMALIZADO!BV128:BY128)&amp;"/4"))</f>
        <v>parcial · 2/7 · D12-D15 0/4</v>
      </c>
    </row>
    <row r="129" spans="1:46" ht="16.05" customHeight="1" x14ac:dyDescent="0.3">
      <c r="A129" t="s">
        <v>342</v>
      </c>
      <c r="B129" t="s">
        <v>343</v>
      </c>
      <c r="C129" t="s">
        <v>107</v>
      </c>
      <c r="D129" t="s">
        <v>71</v>
      </c>
      <c r="G129" t="s">
        <v>72</v>
      </c>
      <c r="J129" t="s">
        <v>65</v>
      </c>
      <c r="M129" t="str">
        <f t="shared" si="8"/>
        <v/>
      </c>
      <c r="N129" t="s">
        <v>66</v>
      </c>
      <c r="O129" t="str">
        <f t="shared" si="9"/>
        <v/>
      </c>
      <c r="P129" t="s">
        <v>66</v>
      </c>
      <c r="S129" t="str">
        <f t="shared" si="10"/>
        <v>—</v>
      </c>
      <c r="T129" t="str">
        <f>IF(NOT(ISNUMBER(S129)),"⬜  Sin dato PVE",IF(AND(COUNT(NORMALIZADO!BV129:BY129)&gt;=3,AQ129=7),IF(S129&lt;34,"🔴 Crítico",IF(S129&lt;67,"🟡 Vulnerable","🟢 Preparado")),"◐  Parcial · "&amp;AQ129&amp;"/7"))</f>
        <v>⬜  Sin dato PVE</v>
      </c>
      <c r="U129" s="53">
        <v>1</v>
      </c>
      <c r="V129" t="s">
        <v>67</v>
      </c>
      <c r="W129" t="str">
        <f>IF(NORMALIZADO!BV129="","",NORMALIZADO!BV129)</f>
        <v/>
      </c>
      <c r="X129" t="str">
        <f>IF(NORMALIZADO!BW129="","",NORMALIZADO!BW129)</f>
        <v/>
      </c>
      <c r="Y129" t="str">
        <f>IF(NORMALIZADO!BX129="","",NORMALIZADO!BX129)</f>
        <v/>
      </c>
      <c r="Z129" t="str">
        <f>IF(NORMALIZADO!BY129="","",NORMALIZADO!BY129)</f>
        <v/>
      </c>
      <c r="AO129" t="str">
        <f t="shared" si="11"/>
        <v>N/A</v>
      </c>
      <c r="AP129" t="str">
        <f>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f>
        <v>—</v>
      </c>
      <c r="AQ129">
        <f>IF(ISNUMBER(M129),1,0)+IF(ISNUMBER(SCORECARDS!H129),1,0)+IF(ISNUMBER(SCORECARDS!I129),1,0)+IF(ISNUMBER(SCORECARDS!J129),1,0)+IF(ISNUMBER(ISCAM_Score!K130),1,0)+IF(ISNUMBER(O129),1,0)+IF(COUNT(W129:Z129)&gt;0,1,0)</f>
        <v>0</v>
      </c>
      <c r="AT129" t="str">
        <f>IF(NOT(ISNUMBER(AP129)),"sin dato",IF(AND(COUNT(NORMALIZADO!BV129:BY129)&gt;=3,AQ129=7),"completo","parcial · "&amp;AQ129&amp;"/7 · D12-D15 "&amp;COUNT(NORMALIZADO!BV129:BY129)&amp;"/4"))</f>
        <v>sin dato</v>
      </c>
    </row>
    <row r="130" spans="1:46" ht="16.05" customHeight="1" x14ac:dyDescent="0.3">
      <c r="A130" t="s">
        <v>344</v>
      </c>
      <c r="B130" t="s">
        <v>345</v>
      </c>
      <c r="C130" t="s">
        <v>247</v>
      </c>
      <c r="D130" t="s">
        <v>63</v>
      </c>
      <c r="E130">
        <v>826100.75</v>
      </c>
      <c r="F130">
        <v>5</v>
      </c>
      <c r="G130" t="s">
        <v>64</v>
      </c>
      <c r="H130" t="s">
        <v>64</v>
      </c>
      <c r="I130" t="s">
        <v>64</v>
      </c>
      <c r="J130" t="s">
        <v>65</v>
      </c>
      <c r="K130" t="s">
        <v>346</v>
      </c>
      <c r="L130">
        <v>0</v>
      </c>
      <c r="M130">
        <f t="shared" si="8"/>
        <v>0</v>
      </c>
      <c r="N130" t="s">
        <v>66</v>
      </c>
      <c r="O130">
        <f t="shared" si="9"/>
        <v>1</v>
      </c>
      <c r="P130" t="s">
        <v>66</v>
      </c>
      <c r="Q130">
        <v>177</v>
      </c>
      <c r="R130">
        <v>213</v>
      </c>
      <c r="S130">
        <f t="shared" si="10"/>
        <v>37.5</v>
      </c>
      <c r="T130" t="str">
        <f>IF(NOT(ISNUMBER(S130)),"⬜  Sin dato PVE",IF(AND(COUNT(NORMALIZADO!BV130:BY130)&gt;=3,AQ130=7),IF(S130&lt;34,"🔴 Crítico",IF(S130&lt;67,"🟡 Vulnerable","🟢 Preparado")),"◐  Parcial · "&amp;AQ130&amp;"/7"))</f>
        <v>◐  Parcial · 3/7</v>
      </c>
      <c r="U130" s="53">
        <v>1</v>
      </c>
      <c r="V130" t="s">
        <v>67</v>
      </c>
      <c r="W130">
        <f>IF(NORMALIZADO!BV130="",1,NORMALIZADO!BV130)</f>
        <v>1</v>
      </c>
      <c r="X130" t="str">
        <f>IF(NORMALIZADO!BW130="","",NORMALIZADO!BW130)</f>
        <v/>
      </c>
      <c r="Y130" t="str">
        <f>IF(NORMALIZADO!BX130="","",NORMALIZADO!BX130)</f>
        <v/>
      </c>
      <c r="Z130" t="str">
        <f>IF(NORMALIZADO!BY130="","",NORMALIZADO!BY130)</f>
        <v/>
      </c>
      <c r="AO130" t="str">
        <f t="shared" si="11"/>
        <v>N/A</v>
      </c>
      <c r="AP130">
        <f>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f>
        <v>0.375</v>
      </c>
      <c r="AQ130">
        <f>IF(ISNUMBER(M130),1,0)+IF(ISNUMBER(SCORECARDS!H130),1,0)+IF(ISNUMBER(SCORECARDS!I130),1,0)+IF(ISNUMBER(SCORECARDS!J130),1,0)+IF(ISNUMBER(ISCAM_Score!K131),1,0)+IF(ISNUMBER(O130),1,0)+IF(COUNT(W130:Z130)&gt;0,1,0)</f>
        <v>3</v>
      </c>
      <c r="AR130" t="s">
        <v>1546</v>
      </c>
      <c r="AS130" t="s">
        <v>1547</v>
      </c>
      <c r="AT130" t="str">
        <f>IF(NOT(ISNUMBER(AP130)),"sin dato",IF(AND(COUNT(NORMALIZADO!BV130:BY130)&gt;=3,AQ130=7),"completo","parcial · "&amp;AQ130&amp;"/7 · D12-D15 "&amp;COUNT(NORMALIZADO!BV130:BY130)&amp;"/4"))</f>
        <v>parcial · 3/7 · D12-D15 0/4</v>
      </c>
    </row>
    <row r="131" spans="1:46" ht="16.05" customHeight="1" x14ac:dyDescent="0.3">
      <c r="A131" t="s">
        <v>347</v>
      </c>
      <c r="B131" t="s">
        <v>348</v>
      </c>
      <c r="C131" t="s">
        <v>75</v>
      </c>
      <c r="D131" t="s">
        <v>63</v>
      </c>
      <c r="G131" t="s">
        <v>72</v>
      </c>
      <c r="J131" t="s">
        <v>122</v>
      </c>
      <c r="M131" t="str">
        <f t="shared" si="8"/>
        <v/>
      </c>
      <c r="N131" t="s">
        <v>66</v>
      </c>
      <c r="O131" t="str">
        <f t="shared" si="9"/>
        <v/>
      </c>
      <c r="P131" t="s">
        <v>66</v>
      </c>
      <c r="S131" t="str">
        <f t="shared" ref="S131:S162" si="12">IFERROR(ROUND(AP131*100,1),"—")</f>
        <v>—</v>
      </c>
      <c r="T131" t="str">
        <f>IF(NOT(ISNUMBER(S131)),"⬜  Sin dato PVE",IF(AND(COUNT(NORMALIZADO!BV131:BY131)&gt;=3,AQ131=7),IF(S131&lt;34,"🔴 Crítico",IF(S131&lt;67,"🟡 Vulnerable","🟢 Preparado")),"◐  Parcial · "&amp;AQ131&amp;"/7"))</f>
        <v>⬜  Sin dato PVE</v>
      </c>
      <c r="U131" s="53">
        <v>1</v>
      </c>
      <c r="V131" t="s">
        <v>67</v>
      </c>
      <c r="W131" t="str">
        <f>IF(NORMALIZADO!BV131="","",NORMALIZADO!BV131)</f>
        <v/>
      </c>
      <c r="X131" t="str">
        <f>IF(NORMALIZADO!BW131="","",NORMALIZADO!BW131)</f>
        <v/>
      </c>
      <c r="Y131" t="str">
        <f>IF(NORMALIZADO!BX131="","",NORMALIZADO!BX131)</f>
        <v/>
      </c>
      <c r="Z131" t="str">
        <f>IF(NORMALIZADO!BY131="","",NORMALIZADO!BY131)</f>
        <v/>
      </c>
      <c r="AO131" t="str">
        <f t="shared" ref="AO131:AO162" si="13">IFERROR(AVERAGE(AA131,AB131,AC131,AD131,AE131,AF131,AG131,AH131,AI131,AJ131,AK131,AL131,AM131,AN131),"N/A")</f>
        <v>N/A</v>
      </c>
      <c r="AP131" t="str">
        <f>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f>
        <v>—</v>
      </c>
      <c r="AQ131">
        <f>IF(ISNUMBER(M131),1,0)+IF(ISNUMBER(SCORECARDS!H131),1,0)+IF(ISNUMBER(SCORECARDS!I131),1,0)+IF(ISNUMBER(SCORECARDS!J131),1,0)+IF(ISNUMBER(ISCAM_Score!K132),1,0)+IF(ISNUMBER(O131),1,0)+IF(COUNT(W131:Z131)&gt;0,1,0)</f>
        <v>0</v>
      </c>
      <c r="AT131" t="str">
        <f>IF(NOT(ISNUMBER(AP131)),"sin dato",IF(AND(COUNT(NORMALIZADO!BV131:BY131)&gt;=3,AQ131=7),"completo","parcial · "&amp;AQ131&amp;"/7 · D12-D15 "&amp;COUNT(NORMALIZADO!BV131:BY131)&amp;"/4"))</f>
        <v>sin dato</v>
      </c>
    </row>
    <row r="132" spans="1:46" ht="16.05" customHeight="1" x14ac:dyDescent="0.3">
      <c r="A132" t="s">
        <v>349</v>
      </c>
      <c r="B132" t="s">
        <v>350</v>
      </c>
      <c r="C132" t="s">
        <v>107</v>
      </c>
      <c r="D132" t="s">
        <v>71</v>
      </c>
      <c r="G132" t="s">
        <v>72</v>
      </c>
      <c r="J132" t="s">
        <v>122</v>
      </c>
      <c r="M132" t="str">
        <f t="shared" ref="M132:M176" si="14">IF(E132&gt;0,ROUND(L132/E132*100,1),"")</f>
        <v/>
      </c>
      <c r="N132" t="s">
        <v>66</v>
      </c>
      <c r="O132" t="str">
        <f t="shared" ref="O132:O176" si="15">IF(AND(H132="",I132=""),"",IF(H132="SI",1,0)*0.6+IF(I132="SI",1,0)*0.4)</f>
        <v/>
      </c>
      <c r="P132" t="s">
        <v>66</v>
      </c>
      <c r="S132" t="str">
        <f t="shared" si="12"/>
        <v>—</v>
      </c>
      <c r="T132" t="str">
        <f>IF(NOT(ISNUMBER(S132)),"⬜  Sin dato PVE",IF(AND(COUNT(NORMALIZADO!BV132:BY132)&gt;=3,AQ132=7),IF(S132&lt;34,"🔴 Crítico",IF(S132&lt;67,"🟡 Vulnerable","🟢 Preparado")),"◐  Parcial · "&amp;AQ132&amp;"/7"))</f>
        <v>⬜  Sin dato PVE</v>
      </c>
      <c r="U132" s="53">
        <v>1</v>
      </c>
      <c r="V132" t="s">
        <v>67</v>
      </c>
      <c r="W132" t="str">
        <f>IF(NORMALIZADO!BV132="","",NORMALIZADO!BV132)</f>
        <v/>
      </c>
      <c r="X132" t="str">
        <f>IF(NORMALIZADO!BW132="","",NORMALIZADO!BW132)</f>
        <v/>
      </c>
      <c r="Y132" t="str">
        <f>IF(NORMALIZADO!BX132="","",NORMALIZADO!BX132)</f>
        <v/>
      </c>
      <c r="Z132" t="str">
        <f>IF(NORMALIZADO!BY132="","",NORMALIZADO!BY132)</f>
        <v/>
      </c>
      <c r="AO132" t="str">
        <f t="shared" si="13"/>
        <v>N/A</v>
      </c>
      <c r="AP132" t="str">
        <f>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f>
        <v>—</v>
      </c>
      <c r="AQ132">
        <f>IF(ISNUMBER(M132),1,0)+IF(ISNUMBER(SCORECARDS!H132),1,0)+IF(ISNUMBER(SCORECARDS!I132),1,0)+IF(ISNUMBER(SCORECARDS!J132),1,0)+IF(ISNUMBER(ISCAM_Score!K133),1,0)+IF(ISNUMBER(O132),1,0)+IF(COUNT(W132:Z132)&gt;0,1,0)</f>
        <v>0</v>
      </c>
      <c r="AT132" t="str">
        <f>IF(NOT(ISNUMBER(AP132)),"sin dato",IF(AND(COUNT(NORMALIZADO!BV132:BY132)&gt;=3,AQ132=7),"completo","parcial · "&amp;AQ132&amp;"/7 · D12-D15 "&amp;COUNT(NORMALIZADO!BV132:BY132)&amp;"/4"))</f>
        <v>sin dato</v>
      </c>
    </row>
    <row r="133" spans="1:46" ht="16.05" customHeight="1" x14ac:dyDescent="0.3">
      <c r="A133" t="s">
        <v>351</v>
      </c>
      <c r="B133" t="s">
        <v>352</v>
      </c>
      <c r="C133" t="s">
        <v>101</v>
      </c>
      <c r="D133" t="s">
        <v>71</v>
      </c>
      <c r="G133" t="s">
        <v>72</v>
      </c>
      <c r="J133" t="s">
        <v>65</v>
      </c>
      <c r="M133" t="str">
        <f t="shared" si="14"/>
        <v/>
      </c>
      <c r="N133" t="s">
        <v>66</v>
      </c>
      <c r="O133" t="str">
        <f t="shared" si="15"/>
        <v/>
      </c>
      <c r="P133" t="s">
        <v>66</v>
      </c>
      <c r="S133" t="str">
        <f t="shared" si="12"/>
        <v>—</v>
      </c>
      <c r="T133" t="str">
        <f>IF(NOT(ISNUMBER(S133)),"⬜  Sin dato PVE",IF(AND(COUNT(NORMALIZADO!BV133:BY133)&gt;=3,AQ133=7),IF(S133&lt;34,"🔴 Crítico",IF(S133&lt;67,"🟡 Vulnerable","🟢 Preparado")),"◐  Parcial · "&amp;AQ133&amp;"/7"))</f>
        <v>⬜  Sin dato PVE</v>
      </c>
      <c r="U133" s="53">
        <v>1</v>
      </c>
      <c r="V133" t="s">
        <v>67</v>
      </c>
      <c r="W133" t="str">
        <f>IF(NORMALIZADO!BV133="","",NORMALIZADO!BV133)</f>
        <v/>
      </c>
      <c r="X133" t="str">
        <f>IF(NORMALIZADO!BW133="","",NORMALIZADO!BW133)</f>
        <v/>
      </c>
      <c r="Y133" t="str">
        <f>IF(NORMALIZADO!BX133="","",NORMALIZADO!BX133)</f>
        <v/>
      </c>
      <c r="Z133" t="str">
        <f>IF(NORMALIZADO!BY133="","",NORMALIZADO!BY133)</f>
        <v/>
      </c>
      <c r="AO133" t="str">
        <f t="shared" si="13"/>
        <v>N/A</v>
      </c>
      <c r="AP133" t="str">
        <f>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f>
        <v>—</v>
      </c>
      <c r="AQ133">
        <f>IF(ISNUMBER(M133),1,0)+IF(ISNUMBER(SCORECARDS!H133),1,0)+IF(ISNUMBER(SCORECARDS!I133),1,0)+IF(ISNUMBER(SCORECARDS!J133),1,0)+IF(ISNUMBER(ISCAM_Score!K134),1,0)+IF(ISNUMBER(O133),1,0)+IF(COUNT(W133:Z133)&gt;0,1,0)</f>
        <v>0</v>
      </c>
      <c r="AT133" t="str">
        <f>IF(NOT(ISNUMBER(AP133)),"sin dato",IF(AND(COUNT(NORMALIZADO!BV133:BY133)&gt;=3,AQ133=7),"completo","parcial · "&amp;AQ133&amp;"/7 · D12-D15 "&amp;COUNT(NORMALIZADO!BV133:BY133)&amp;"/4"))</f>
        <v>sin dato</v>
      </c>
    </row>
    <row r="134" spans="1:46" ht="16.05" customHeight="1" x14ac:dyDescent="0.3">
      <c r="A134" t="s">
        <v>353</v>
      </c>
      <c r="B134" t="s">
        <v>354</v>
      </c>
      <c r="C134" t="s">
        <v>75</v>
      </c>
      <c r="D134" t="s">
        <v>63</v>
      </c>
      <c r="G134" t="s">
        <v>72</v>
      </c>
      <c r="H134" t="s">
        <v>64</v>
      </c>
      <c r="I134" t="s">
        <v>64</v>
      </c>
      <c r="J134" t="s">
        <v>65</v>
      </c>
      <c r="K134" t="s">
        <v>355</v>
      </c>
      <c r="M134" t="str">
        <f t="shared" si="14"/>
        <v/>
      </c>
      <c r="N134" t="s">
        <v>66</v>
      </c>
      <c r="O134">
        <f t="shared" si="15"/>
        <v>1</v>
      </c>
      <c r="P134" t="s">
        <v>66</v>
      </c>
      <c r="Q134">
        <v>162</v>
      </c>
      <c r="R134">
        <v>454.5</v>
      </c>
      <c r="S134">
        <f t="shared" si="12"/>
        <v>64.3</v>
      </c>
      <c r="T134" t="str">
        <f>IF(NOT(ISNUMBER(S134)),"⬜  Sin dato PVE",IF(AND(COUNT(NORMALIZADO!BV134:BY134)&gt;=3,AQ134=7),IF(S134&lt;34,"🔴 Crítico",IF(S134&lt;67,"🟡 Vulnerable","🟢 Preparado")),"◐  Parcial · "&amp;AQ134&amp;"/7"))</f>
        <v>◐  Parcial · 2/7</v>
      </c>
      <c r="U134" s="53">
        <v>1</v>
      </c>
      <c r="V134" t="s">
        <v>67</v>
      </c>
      <c r="W134">
        <f>IF(NORMALIZADO!BV134="",1,NORMALIZADO!BV134)</f>
        <v>1</v>
      </c>
      <c r="X134" t="str">
        <f>IF(NORMALIZADO!BW134="","",NORMALIZADO!BW134)</f>
        <v/>
      </c>
      <c r="Y134" t="str">
        <f>IF(NORMALIZADO!BX134="","",NORMALIZADO!BX134)</f>
        <v/>
      </c>
      <c r="Z134" t="str">
        <f>IF(NORMALIZADO!BY134="","",NORMALIZADO!BY134)</f>
        <v/>
      </c>
      <c r="AO134" t="str">
        <f t="shared" si="13"/>
        <v>N/A</v>
      </c>
      <c r="AP134">
        <f>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f>
        <v>0.6428571428571429</v>
      </c>
      <c r="AQ134">
        <f>IF(ISNUMBER(M134),1,0)+IF(ISNUMBER(SCORECARDS!H134),1,0)+IF(ISNUMBER(SCORECARDS!I134),1,0)+IF(ISNUMBER(SCORECARDS!J134),1,0)+IF(ISNUMBER(ISCAM_Score!K135),1,0)+IF(ISNUMBER(O134),1,0)+IF(COUNT(W134:Z134)&gt;0,1,0)</f>
        <v>2</v>
      </c>
      <c r="AR134" t="s">
        <v>1548</v>
      </c>
      <c r="AS134" t="s">
        <v>1549</v>
      </c>
      <c r="AT134" t="str">
        <f>IF(NOT(ISNUMBER(AP134)),"sin dato",IF(AND(COUNT(NORMALIZADO!BV134:BY134)&gt;=3,AQ134=7),"completo","parcial · "&amp;AQ134&amp;"/7 · D12-D15 "&amp;COUNT(NORMALIZADO!BV134:BY134)&amp;"/4"))</f>
        <v>parcial · 2/7 · D12-D15 0/4</v>
      </c>
    </row>
    <row r="135" spans="1:46" ht="16.05" customHeight="1" x14ac:dyDescent="0.3">
      <c r="A135" t="s">
        <v>356</v>
      </c>
      <c r="B135" t="s">
        <v>357</v>
      </c>
      <c r="C135" t="s">
        <v>137</v>
      </c>
      <c r="D135" t="s">
        <v>63</v>
      </c>
      <c r="E135">
        <v>6836861.4500000002</v>
      </c>
      <c r="F135">
        <v>36</v>
      </c>
      <c r="G135" t="s">
        <v>64</v>
      </c>
      <c r="H135" t="s">
        <v>64</v>
      </c>
      <c r="I135" t="s">
        <v>64</v>
      </c>
      <c r="J135" t="s">
        <v>65</v>
      </c>
      <c r="K135" t="s">
        <v>358</v>
      </c>
      <c r="L135">
        <v>4575551.37</v>
      </c>
      <c r="M135">
        <f t="shared" si="14"/>
        <v>66.900000000000006</v>
      </c>
      <c r="N135" t="s">
        <v>66</v>
      </c>
      <c r="O135">
        <f t="shared" si="15"/>
        <v>1</v>
      </c>
      <c r="P135" t="s">
        <v>66</v>
      </c>
      <c r="Q135">
        <v>762</v>
      </c>
      <c r="R135">
        <v>1500</v>
      </c>
      <c r="S135">
        <f t="shared" si="12"/>
        <v>65.400000000000006</v>
      </c>
      <c r="T135" t="str">
        <f>IF(NOT(ISNUMBER(S135)),"⬜  Sin dato PVE",IF(AND(COUNT(NORMALIZADO!BV135:BY135)&gt;=3,AQ135=7),IF(S135&lt;34,"🔴 Crítico",IF(S135&lt;67,"🟡 Vulnerable","🟢 Preparado")),"◐  Parcial · "&amp;AQ135&amp;"/7"))</f>
        <v>◐  Parcial · 3/7</v>
      </c>
      <c r="U135" s="53">
        <v>1</v>
      </c>
      <c r="V135" t="s">
        <v>67</v>
      </c>
      <c r="W135">
        <f>IF(NORMALIZADO!BV135="",1,NORMALIZADO!BV135)</f>
        <v>1</v>
      </c>
      <c r="X135" t="str">
        <f>IF(NORMALIZADO!BW135="","",NORMALIZADO!BW135)</f>
        <v/>
      </c>
      <c r="Y135" t="str">
        <f>IF(NORMALIZADO!BX135="","",NORMALIZADO!BX135)</f>
        <v/>
      </c>
      <c r="Z135" t="str">
        <f>IF(NORMALIZADO!BY135="","",NORMALIZADO!BY135)</f>
        <v/>
      </c>
      <c r="AO135" t="str">
        <f t="shared" si="13"/>
        <v>N/A</v>
      </c>
      <c r="AP135">
        <f>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f>
        <v>0.65375000000000005</v>
      </c>
      <c r="AQ135">
        <f>IF(ISNUMBER(M135),1,0)+IF(ISNUMBER(SCORECARDS!H135),1,0)+IF(ISNUMBER(SCORECARDS!I135),1,0)+IF(ISNUMBER(SCORECARDS!J135),1,0)+IF(ISNUMBER(ISCAM_Score!K136),1,0)+IF(ISNUMBER(O135),1,0)+IF(COUNT(W135:Z135)&gt;0,1,0)</f>
        <v>3</v>
      </c>
      <c r="AR135" t="s">
        <v>1550</v>
      </c>
      <c r="AS135" t="s">
        <v>1551</v>
      </c>
      <c r="AT135" t="str">
        <f>IF(NOT(ISNUMBER(AP135)),"sin dato",IF(AND(COUNT(NORMALIZADO!BV135:BY135)&gt;=3,AQ135=7),"completo","parcial · "&amp;AQ135&amp;"/7 · D12-D15 "&amp;COUNT(NORMALIZADO!BV135:BY135)&amp;"/4"))</f>
        <v>parcial · 3/7 · D12-D15 0/4</v>
      </c>
    </row>
    <row r="136" spans="1:46" ht="16.05" customHeight="1" x14ac:dyDescent="0.3">
      <c r="A136" t="s">
        <v>359</v>
      </c>
      <c r="B136" t="s">
        <v>360</v>
      </c>
      <c r="C136" t="s">
        <v>75</v>
      </c>
      <c r="D136" t="s">
        <v>63</v>
      </c>
      <c r="G136" t="s">
        <v>72</v>
      </c>
      <c r="J136" t="s">
        <v>65</v>
      </c>
      <c r="M136" t="str">
        <f t="shared" si="14"/>
        <v/>
      </c>
      <c r="N136" t="s">
        <v>66</v>
      </c>
      <c r="O136" t="str">
        <f t="shared" si="15"/>
        <v/>
      </c>
      <c r="P136" t="s">
        <v>66</v>
      </c>
      <c r="S136" t="str">
        <f t="shared" si="12"/>
        <v>—</v>
      </c>
      <c r="T136" t="str">
        <f>IF(NOT(ISNUMBER(S136)),"⬜  Sin dato PVE",IF(AND(COUNT(NORMALIZADO!BV136:BY136)&gt;=3,AQ136=7),IF(S136&lt;34,"🔴 Crítico",IF(S136&lt;67,"🟡 Vulnerable","🟢 Preparado")),"◐  Parcial · "&amp;AQ136&amp;"/7"))</f>
        <v>⬜  Sin dato PVE</v>
      </c>
      <c r="U136" s="53">
        <v>1</v>
      </c>
      <c r="V136" t="s">
        <v>67</v>
      </c>
      <c r="W136" t="str">
        <f>IF(NORMALIZADO!BV136="","",NORMALIZADO!BV136)</f>
        <v/>
      </c>
      <c r="X136" t="str">
        <f>IF(NORMALIZADO!BW136="","",NORMALIZADO!BW136)</f>
        <v/>
      </c>
      <c r="Y136" t="str">
        <f>IF(NORMALIZADO!BX136="","",NORMALIZADO!BX136)</f>
        <v/>
      </c>
      <c r="Z136" t="str">
        <f>IF(NORMALIZADO!BY136="","",NORMALIZADO!BY136)</f>
        <v/>
      </c>
      <c r="AO136" t="str">
        <f t="shared" si="13"/>
        <v>N/A</v>
      </c>
      <c r="AP136" t="str">
        <f>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f>
        <v>—</v>
      </c>
      <c r="AQ136">
        <f>IF(ISNUMBER(M136),1,0)+IF(ISNUMBER(SCORECARDS!H136),1,0)+IF(ISNUMBER(SCORECARDS!I136),1,0)+IF(ISNUMBER(SCORECARDS!J136),1,0)+IF(ISNUMBER(ISCAM_Score!K137),1,0)+IF(ISNUMBER(O136),1,0)+IF(COUNT(W136:Z136)&gt;0,1,0)</f>
        <v>0</v>
      </c>
      <c r="AT136" t="str">
        <f>IF(NOT(ISNUMBER(AP136)),"sin dato",IF(AND(COUNT(NORMALIZADO!BV136:BY136)&gt;=3,AQ136=7),"completo","parcial · "&amp;AQ136&amp;"/7 · D12-D15 "&amp;COUNT(NORMALIZADO!BV136:BY136)&amp;"/4"))</f>
        <v>sin dato</v>
      </c>
    </row>
    <row r="137" spans="1:46" ht="16.05" customHeight="1" x14ac:dyDescent="0.3">
      <c r="A137" t="s">
        <v>361</v>
      </c>
      <c r="B137" t="s">
        <v>362</v>
      </c>
      <c r="C137" t="s">
        <v>78</v>
      </c>
      <c r="D137" t="s">
        <v>71</v>
      </c>
      <c r="G137" t="s">
        <v>72</v>
      </c>
      <c r="J137" t="s">
        <v>65</v>
      </c>
      <c r="M137" t="str">
        <f t="shared" si="14"/>
        <v/>
      </c>
      <c r="N137" t="s">
        <v>66</v>
      </c>
      <c r="O137" t="str">
        <f t="shared" si="15"/>
        <v/>
      </c>
      <c r="P137" t="s">
        <v>66</v>
      </c>
      <c r="S137" t="str">
        <f t="shared" si="12"/>
        <v>—</v>
      </c>
      <c r="T137" t="str">
        <f>IF(NOT(ISNUMBER(S137)),"⬜  Sin dato PVE",IF(AND(COUNT(NORMALIZADO!BV137:BY137)&gt;=3,AQ137=7),IF(S137&lt;34,"🔴 Crítico",IF(S137&lt;67,"🟡 Vulnerable","🟢 Preparado")),"◐  Parcial · "&amp;AQ137&amp;"/7"))</f>
        <v>⬜  Sin dato PVE</v>
      </c>
      <c r="U137" s="53">
        <v>1</v>
      </c>
      <c r="V137" t="s">
        <v>67</v>
      </c>
      <c r="W137" t="str">
        <f>IF(NORMALIZADO!BV137="","",NORMALIZADO!BV137)</f>
        <v/>
      </c>
      <c r="X137" t="str">
        <f>IF(NORMALIZADO!BW137="","",NORMALIZADO!BW137)</f>
        <v/>
      </c>
      <c r="Y137" t="str">
        <f>IF(NORMALIZADO!BX137="","",NORMALIZADO!BX137)</f>
        <v/>
      </c>
      <c r="Z137" t="str">
        <f>IF(NORMALIZADO!BY137="","",NORMALIZADO!BY137)</f>
        <v/>
      </c>
      <c r="AO137" t="str">
        <f t="shared" si="13"/>
        <v>N/A</v>
      </c>
      <c r="AP137" t="str">
        <f>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f>
        <v>—</v>
      </c>
      <c r="AQ137">
        <f>IF(ISNUMBER(M137),1,0)+IF(ISNUMBER(SCORECARDS!H137),1,0)+IF(ISNUMBER(SCORECARDS!I137),1,0)+IF(ISNUMBER(SCORECARDS!J137),1,0)+IF(ISNUMBER(ISCAM_Score!K138),1,0)+IF(ISNUMBER(O137),1,0)+IF(COUNT(W137:Z137)&gt;0,1,0)</f>
        <v>0</v>
      </c>
      <c r="AT137" t="str">
        <f>IF(NOT(ISNUMBER(AP137)),"sin dato",IF(AND(COUNT(NORMALIZADO!BV137:BY137)&gt;=3,AQ137=7),"completo","parcial · "&amp;AQ137&amp;"/7 · D12-D15 "&amp;COUNT(NORMALIZADO!BV137:BY137)&amp;"/4"))</f>
        <v>sin dato</v>
      </c>
    </row>
    <row r="138" spans="1:46" ht="16.05" customHeight="1" x14ac:dyDescent="0.3">
      <c r="A138" t="s">
        <v>363</v>
      </c>
      <c r="B138" t="s">
        <v>364</v>
      </c>
      <c r="C138" t="s">
        <v>110</v>
      </c>
      <c r="D138" t="s">
        <v>63</v>
      </c>
      <c r="E138">
        <v>161000</v>
      </c>
      <c r="F138">
        <v>1</v>
      </c>
      <c r="G138" t="s">
        <v>64</v>
      </c>
      <c r="J138" t="s">
        <v>65</v>
      </c>
      <c r="L138">
        <v>80500</v>
      </c>
      <c r="M138">
        <f t="shared" si="14"/>
        <v>50</v>
      </c>
      <c r="N138" t="s">
        <v>66</v>
      </c>
      <c r="O138" t="str">
        <f t="shared" si="15"/>
        <v/>
      </c>
      <c r="P138" t="s">
        <v>66</v>
      </c>
      <c r="S138">
        <f t="shared" si="12"/>
        <v>50</v>
      </c>
      <c r="T138" t="str">
        <f>IF(NOT(ISNUMBER(S138)),"⬜  Sin dato PVE",IF(AND(COUNT(NORMALIZADO!BV138:BY138)&gt;=3,AQ138=7),IF(S138&lt;34,"🔴 Crítico",IF(S138&lt;67,"🟡 Vulnerable","🟢 Preparado")),"◐  Parcial · "&amp;AQ138&amp;"/7"))</f>
        <v>◐  Parcial · 1/7</v>
      </c>
      <c r="U138" s="53">
        <v>1</v>
      </c>
      <c r="V138" t="s">
        <v>67</v>
      </c>
      <c r="W138" t="str">
        <f>IF(NORMALIZADO!BV138="","",NORMALIZADO!BV138)</f>
        <v/>
      </c>
      <c r="X138" t="str">
        <f>IF(NORMALIZADO!BW138="","",NORMALIZADO!BW138)</f>
        <v/>
      </c>
      <c r="Y138" t="str">
        <f>IF(NORMALIZADO!BX138="","",NORMALIZADO!BX138)</f>
        <v/>
      </c>
      <c r="Z138" t="str">
        <f>IF(NORMALIZADO!BY138="","",NORMALIZADO!BY138)</f>
        <v/>
      </c>
      <c r="AO138" t="str">
        <f t="shared" si="13"/>
        <v>N/A</v>
      </c>
      <c r="AP138">
        <f>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f>
        <v>0.5</v>
      </c>
      <c r="AQ138">
        <f>IF(ISNUMBER(M138),1,0)+IF(ISNUMBER(SCORECARDS!H138),1,0)+IF(ISNUMBER(SCORECARDS!I138),1,0)+IF(ISNUMBER(SCORECARDS!J138),1,0)+IF(ISNUMBER(ISCAM_Score!K139),1,0)+IF(ISNUMBER(O138),1,0)+IF(COUNT(W138:Z138)&gt;0,1,0)</f>
        <v>1</v>
      </c>
      <c r="AT138" t="str">
        <f>IF(NOT(ISNUMBER(AP138)),"sin dato",IF(AND(COUNT(NORMALIZADO!BV138:BY138)&gt;=3,AQ138=7),"completo","parcial · "&amp;AQ138&amp;"/7 · D12-D15 "&amp;COUNT(NORMALIZADO!BV138:BY138)&amp;"/4"))</f>
        <v>parcial · 1/7 · D12-D15 0/4</v>
      </c>
    </row>
    <row r="139" spans="1:46" ht="16.05" customHeight="1" x14ac:dyDescent="0.3">
      <c r="A139" t="s">
        <v>365</v>
      </c>
      <c r="B139" t="s">
        <v>366</v>
      </c>
      <c r="C139" t="s">
        <v>190</v>
      </c>
      <c r="D139" t="s">
        <v>71</v>
      </c>
      <c r="G139" t="s">
        <v>72</v>
      </c>
      <c r="J139" t="s">
        <v>65</v>
      </c>
      <c r="M139" t="str">
        <f t="shared" si="14"/>
        <v/>
      </c>
      <c r="N139" t="s">
        <v>66</v>
      </c>
      <c r="O139" t="str">
        <f t="shared" si="15"/>
        <v/>
      </c>
      <c r="P139" t="s">
        <v>66</v>
      </c>
      <c r="S139" t="str">
        <f t="shared" si="12"/>
        <v>—</v>
      </c>
      <c r="T139" t="str">
        <f>IF(NOT(ISNUMBER(S139)),"⬜  Sin dato PVE",IF(AND(COUNT(NORMALIZADO!BV139:BY139)&gt;=3,AQ139=7),IF(S139&lt;34,"🔴 Crítico",IF(S139&lt;67,"🟡 Vulnerable","🟢 Preparado")),"◐  Parcial · "&amp;AQ139&amp;"/7"))</f>
        <v>⬜  Sin dato PVE</v>
      </c>
      <c r="U139" s="53">
        <v>1</v>
      </c>
      <c r="V139" t="s">
        <v>67</v>
      </c>
      <c r="W139" t="str">
        <f>IF(NORMALIZADO!BV139="","",NORMALIZADO!BV139)</f>
        <v/>
      </c>
      <c r="X139" t="str">
        <f>IF(NORMALIZADO!BW139="","",NORMALIZADO!BW139)</f>
        <v/>
      </c>
      <c r="Y139" t="str">
        <f>IF(NORMALIZADO!BX139="","",NORMALIZADO!BX139)</f>
        <v/>
      </c>
      <c r="Z139" t="str">
        <f>IF(NORMALIZADO!BY139="","",NORMALIZADO!BY139)</f>
        <v/>
      </c>
      <c r="AO139" t="str">
        <f t="shared" si="13"/>
        <v>N/A</v>
      </c>
      <c r="AP139" t="str">
        <f>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f>
        <v>—</v>
      </c>
      <c r="AQ139">
        <f>IF(ISNUMBER(M139),1,0)+IF(ISNUMBER(SCORECARDS!H139),1,0)+IF(ISNUMBER(SCORECARDS!I139),1,0)+IF(ISNUMBER(SCORECARDS!J139),1,0)+IF(ISNUMBER(ISCAM_Score!K140),1,0)+IF(ISNUMBER(O139),1,0)+IF(COUNT(W139:Z139)&gt;0,1,0)</f>
        <v>0</v>
      </c>
      <c r="AT139" t="str">
        <f>IF(NOT(ISNUMBER(AP139)),"sin dato",IF(AND(COUNT(NORMALIZADO!BV139:BY139)&gt;=3,AQ139=7),"completo","parcial · "&amp;AQ139&amp;"/7 · D12-D15 "&amp;COUNT(NORMALIZADO!BV139:BY139)&amp;"/4"))</f>
        <v>sin dato</v>
      </c>
    </row>
    <row r="140" spans="1:46" ht="16.05" customHeight="1" x14ac:dyDescent="0.3">
      <c r="A140" t="s">
        <v>367</v>
      </c>
      <c r="B140" t="s">
        <v>368</v>
      </c>
      <c r="C140" t="s">
        <v>75</v>
      </c>
      <c r="D140" t="s">
        <v>63</v>
      </c>
      <c r="E140">
        <v>378122</v>
      </c>
      <c r="F140">
        <v>3</v>
      </c>
      <c r="G140" t="s">
        <v>64</v>
      </c>
      <c r="J140" t="s">
        <v>65</v>
      </c>
      <c r="L140">
        <v>0</v>
      </c>
      <c r="M140">
        <f t="shared" si="14"/>
        <v>0</v>
      </c>
      <c r="N140" t="s">
        <v>66</v>
      </c>
      <c r="O140" t="str">
        <f t="shared" si="15"/>
        <v/>
      </c>
      <c r="P140" t="s">
        <v>66</v>
      </c>
      <c r="S140">
        <f t="shared" si="12"/>
        <v>0</v>
      </c>
      <c r="T140" t="str">
        <f>IF(NOT(ISNUMBER(S140)),"⬜  Sin dato PVE",IF(AND(COUNT(NORMALIZADO!BV140:BY140)&gt;=3,AQ140=7),IF(S140&lt;34,"🔴 Crítico",IF(S140&lt;67,"🟡 Vulnerable","🟢 Preparado")),"◐  Parcial · "&amp;AQ140&amp;"/7"))</f>
        <v>◐  Parcial · 1/7</v>
      </c>
      <c r="U140" s="53">
        <v>1</v>
      </c>
      <c r="V140" t="s">
        <v>67</v>
      </c>
      <c r="W140" t="str">
        <f>IF(NORMALIZADO!BV140="","",NORMALIZADO!BV140)</f>
        <v/>
      </c>
      <c r="X140" t="str">
        <f>IF(NORMALIZADO!BW140="","",NORMALIZADO!BW140)</f>
        <v/>
      </c>
      <c r="Y140" t="str">
        <f>IF(NORMALIZADO!BX140="","",NORMALIZADO!BX140)</f>
        <v/>
      </c>
      <c r="Z140" t="str">
        <f>IF(NORMALIZADO!BY140="","",NORMALIZADO!BY140)</f>
        <v/>
      </c>
      <c r="AO140" t="str">
        <f t="shared" si="13"/>
        <v>N/A</v>
      </c>
      <c r="AP140">
        <f>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f>
        <v>0</v>
      </c>
      <c r="AQ140">
        <f>IF(ISNUMBER(M140),1,0)+IF(ISNUMBER(SCORECARDS!H140),1,0)+IF(ISNUMBER(SCORECARDS!I140),1,0)+IF(ISNUMBER(SCORECARDS!J140),1,0)+IF(ISNUMBER(ISCAM_Score!K141),1,0)+IF(ISNUMBER(O140),1,0)+IF(COUNT(W140:Z140)&gt;0,1,0)</f>
        <v>1</v>
      </c>
      <c r="AT140" t="str">
        <f>IF(NOT(ISNUMBER(AP140)),"sin dato",IF(AND(COUNT(NORMALIZADO!BV140:BY140)&gt;=3,AQ140=7),"completo","parcial · "&amp;AQ140&amp;"/7 · D12-D15 "&amp;COUNT(NORMALIZADO!BV140:BY140)&amp;"/4"))</f>
        <v>parcial · 1/7 · D12-D15 0/4</v>
      </c>
    </row>
    <row r="141" spans="1:46" ht="16.05" customHeight="1" x14ac:dyDescent="0.3">
      <c r="A141" t="s">
        <v>369</v>
      </c>
      <c r="B141" t="s">
        <v>370</v>
      </c>
      <c r="C141" t="s">
        <v>78</v>
      </c>
      <c r="D141" t="s">
        <v>71</v>
      </c>
      <c r="G141" t="s">
        <v>72</v>
      </c>
      <c r="J141" t="s">
        <v>65</v>
      </c>
      <c r="M141" t="str">
        <f t="shared" si="14"/>
        <v/>
      </c>
      <c r="N141" t="s">
        <v>66</v>
      </c>
      <c r="O141" t="str">
        <f t="shared" si="15"/>
        <v/>
      </c>
      <c r="P141" t="s">
        <v>66</v>
      </c>
      <c r="S141" t="str">
        <f t="shared" si="12"/>
        <v>—</v>
      </c>
      <c r="T141" t="str">
        <f>IF(NOT(ISNUMBER(S141)),"⬜  Sin dato PVE",IF(AND(COUNT(NORMALIZADO!BV141:BY141)&gt;=3,AQ141=7),IF(S141&lt;34,"🔴 Crítico",IF(S141&lt;67,"🟡 Vulnerable","🟢 Preparado")),"◐  Parcial · "&amp;AQ141&amp;"/7"))</f>
        <v>⬜  Sin dato PVE</v>
      </c>
      <c r="U141" s="53">
        <v>1</v>
      </c>
      <c r="V141" t="s">
        <v>67</v>
      </c>
      <c r="W141" t="str">
        <f>IF(NORMALIZADO!BV141="","",NORMALIZADO!BV141)</f>
        <v/>
      </c>
      <c r="X141" t="str">
        <f>IF(NORMALIZADO!BW141="","",NORMALIZADO!BW141)</f>
        <v/>
      </c>
      <c r="Y141" t="str">
        <f>IF(NORMALIZADO!BX141="","",NORMALIZADO!BX141)</f>
        <v/>
      </c>
      <c r="Z141" t="str">
        <f>IF(NORMALIZADO!BY141="","",NORMALIZADO!BY141)</f>
        <v/>
      </c>
      <c r="AO141" t="str">
        <f t="shared" si="13"/>
        <v>N/A</v>
      </c>
      <c r="AP141" t="str">
        <f>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f>
        <v>—</v>
      </c>
      <c r="AQ141">
        <f>IF(ISNUMBER(M141),1,0)+IF(ISNUMBER(SCORECARDS!H141),1,0)+IF(ISNUMBER(SCORECARDS!I141),1,0)+IF(ISNUMBER(SCORECARDS!J141),1,0)+IF(ISNUMBER(ISCAM_Score!K142),1,0)+IF(ISNUMBER(O141),1,0)+IF(COUNT(W141:Z141)&gt;0,1,0)</f>
        <v>0</v>
      </c>
      <c r="AT141" t="str">
        <f>IF(NOT(ISNUMBER(AP141)),"sin dato",IF(AND(COUNT(NORMALIZADO!BV141:BY141)&gt;=3,AQ141=7),"completo","parcial · "&amp;AQ141&amp;"/7 · D12-D15 "&amp;COUNT(NORMALIZADO!BV141:BY141)&amp;"/4"))</f>
        <v>sin dato</v>
      </c>
    </row>
    <row r="142" spans="1:46" ht="16.05" customHeight="1" x14ac:dyDescent="0.3">
      <c r="A142" t="s">
        <v>371</v>
      </c>
      <c r="B142" t="s">
        <v>372</v>
      </c>
      <c r="C142" t="s">
        <v>78</v>
      </c>
      <c r="D142" t="s">
        <v>71</v>
      </c>
      <c r="G142" t="s">
        <v>72</v>
      </c>
      <c r="J142" t="s">
        <v>65</v>
      </c>
      <c r="M142" t="str">
        <f t="shared" si="14"/>
        <v/>
      </c>
      <c r="N142" t="s">
        <v>66</v>
      </c>
      <c r="O142" t="str">
        <f t="shared" si="15"/>
        <v/>
      </c>
      <c r="P142" t="s">
        <v>66</v>
      </c>
      <c r="S142" t="str">
        <f t="shared" si="12"/>
        <v>—</v>
      </c>
      <c r="T142" t="str">
        <f>IF(NOT(ISNUMBER(S142)),"⬜  Sin dato PVE",IF(AND(COUNT(NORMALIZADO!BV142:BY142)&gt;=3,AQ142=7),IF(S142&lt;34,"🔴 Crítico",IF(S142&lt;67,"🟡 Vulnerable","🟢 Preparado")),"◐  Parcial · "&amp;AQ142&amp;"/7"))</f>
        <v>⬜  Sin dato PVE</v>
      </c>
      <c r="U142" s="53">
        <v>1</v>
      </c>
      <c r="V142" t="s">
        <v>67</v>
      </c>
      <c r="W142" t="str">
        <f>IF(NORMALIZADO!BV142="","",NORMALIZADO!BV142)</f>
        <v/>
      </c>
      <c r="X142" t="str">
        <f>IF(NORMALIZADO!BW142="","",NORMALIZADO!BW142)</f>
        <v/>
      </c>
      <c r="Y142" t="str">
        <f>IF(NORMALIZADO!BX142="","",NORMALIZADO!BX142)</f>
        <v/>
      </c>
      <c r="Z142" t="str">
        <f>IF(NORMALIZADO!BY142="","",NORMALIZADO!BY142)</f>
        <v/>
      </c>
      <c r="AO142" t="str">
        <f t="shared" si="13"/>
        <v>N/A</v>
      </c>
      <c r="AP142" t="str">
        <f>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f>
        <v>—</v>
      </c>
      <c r="AQ142">
        <f>IF(ISNUMBER(M142),1,0)+IF(ISNUMBER(SCORECARDS!H142),1,0)+IF(ISNUMBER(SCORECARDS!I142),1,0)+IF(ISNUMBER(SCORECARDS!J142),1,0)+IF(ISNUMBER(ISCAM_Score!K143),1,0)+IF(ISNUMBER(O142),1,0)+IF(COUNT(W142:Z142)&gt;0,1,0)</f>
        <v>0</v>
      </c>
      <c r="AT142" t="str">
        <f>IF(NOT(ISNUMBER(AP142)),"sin dato",IF(AND(COUNT(NORMALIZADO!BV142:BY142)&gt;=3,AQ142=7),"completo","parcial · "&amp;AQ142&amp;"/7 · D12-D15 "&amp;COUNT(NORMALIZADO!BV142:BY142)&amp;"/4"))</f>
        <v>sin dato</v>
      </c>
    </row>
    <row r="143" spans="1:46" ht="16.05" customHeight="1" x14ac:dyDescent="0.3">
      <c r="A143" t="s">
        <v>373</v>
      </c>
      <c r="B143" t="s">
        <v>374</v>
      </c>
      <c r="C143" t="s">
        <v>137</v>
      </c>
      <c r="D143" t="s">
        <v>63</v>
      </c>
      <c r="E143">
        <v>1201126.56</v>
      </c>
      <c r="F143">
        <v>8</v>
      </c>
      <c r="G143" t="s">
        <v>64</v>
      </c>
      <c r="H143" t="s">
        <v>64</v>
      </c>
      <c r="I143" t="s">
        <v>64</v>
      </c>
      <c r="J143" t="s">
        <v>65</v>
      </c>
      <c r="K143" t="s">
        <v>220</v>
      </c>
      <c r="L143">
        <v>852880.44</v>
      </c>
      <c r="M143">
        <f t="shared" si="14"/>
        <v>71</v>
      </c>
      <c r="N143" t="s">
        <v>66</v>
      </c>
      <c r="O143">
        <f t="shared" si="15"/>
        <v>1</v>
      </c>
      <c r="P143" t="s">
        <v>66</v>
      </c>
      <c r="Q143">
        <v>381</v>
      </c>
      <c r="R143">
        <v>1143</v>
      </c>
      <c r="S143">
        <f t="shared" si="12"/>
        <v>67.099999999999994</v>
      </c>
      <c r="T143" t="str">
        <f>IF(NOT(ISNUMBER(S143)),"⬜  Sin dato PVE",IF(AND(COUNT(NORMALIZADO!BV143:BY143)&gt;=3,AQ143=7),IF(S143&lt;34,"🔴 Crítico",IF(S143&lt;67,"🟡 Vulnerable","🟢 Preparado")),"◐  Parcial · "&amp;AQ143&amp;"/7"))</f>
        <v>◐  Parcial · 3/7</v>
      </c>
      <c r="U143" s="53">
        <v>1</v>
      </c>
      <c r="V143" t="s">
        <v>67</v>
      </c>
      <c r="W143">
        <f>IF(NORMALIZADO!BV143="",1,NORMALIZADO!BV143)</f>
        <v>1</v>
      </c>
      <c r="X143" t="str">
        <f>IF(NORMALIZADO!BW143="","",NORMALIZADO!BW143)</f>
        <v/>
      </c>
      <c r="Y143" t="str">
        <f>IF(NORMALIZADO!BX143="","",NORMALIZADO!BX143)</f>
        <v/>
      </c>
      <c r="Z143" t="str">
        <f>IF(NORMALIZADO!BY143="","",NORMALIZADO!BY143)</f>
        <v/>
      </c>
      <c r="AO143" t="str">
        <f t="shared" si="13"/>
        <v>N/A</v>
      </c>
      <c r="AP143">
        <f>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f>
        <v>0.67083333333333339</v>
      </c>
      <c r="AQ143">
        <f>IF(ISNUMBER(M143),1,0)+IF(ISNUMBER(SCORECARDS!H143),1,0)+IF(ISNUMBER(SCORECARDS!I143),1,0)+IF(ISNUMBER(SCORECARDS!J143),1,0)+IF(ISNUMBER(ISCAM_Score!K144),1,0)+IF(ISNUMBER(O143),1,0)+IF(COUNT(W143:Z143)&gt;0,1,0)</f>
        <v>3</v>
      </c>
      <c r="AR143" t="s">
        <v>1552</v>
      </c>
      <c r="AS143" t="s">
        <v>1553</v>
      </c>
      <c r="AT143" t="str">
        <f>IF(NOT(ISNUMBER(AP143)),"sin dato",IF(AND(COUNT(NORMALIZADO!BV143:BY143)&gt;=3,AQ143=7),"completo","parcial · "&amp;AQ143&amp;"/7 · D12-D15 "&amp;COUNT(NORMALIZADO!BV143:BY143)&amp;"/4"))</f>
        <v>parcial · 3/7 · D12-D15 0/4</v>
      </c>
    </row>
    <row r="144" spans="1:46" ht="16.05" customHeight="1" x14ac:dyDescent="0.3">
      <c r="A144" t="s">
        <v>375</v>
      </c>
      <c r="B144" t="s">
        <v>376</v>
      </c>
      <c r="C144" t="s">
        <v>78</v>
      </c>
      <c r="D144" t="s">
        <v>71</v>
      </c>
      <c r="G144" t="s">
        <v>72</v>
      </c>
      <c r="J144" t="s">
        <v>65</v>
      </c>
      <c r="M144" t="str">
        <f t="shared" si="14"/>
        <v/>
      </c>
      <c r="N144" t="s">
        <v>66</v>
      </c>
      <c r="O144" t="str">
        <f t="shared" si="15"/>
        <v/>
      </c>
      <c r="P144" t="s">
        <v>66</v>
      </c>
      <c r="S144" t="str">
        <f t="shared" si="12"/>
        <v>—</v>
      </c>
      <c r="T144" t="str">
        <f>IF(NOT(ISNUMBER(S144)),"⬜  Sin dato PVE",IF(AND(COUNT(NORMALIZADO!BV144:BY144)&gt;=3,AQ144=7),IF(S144&lt;34,"🔴 Crítico",IF(S144&lt;67,"🟡 Vulnerable","🟢 Preparado")),"◐  Parcial · "&amp;AQ144&amp;"/7"))</f>
        <v>⬜  Sin dato PVE</v>
      </c>
      <c r="U144" s="53">
        <v>1</v>
      </c>
      <c r="V144" t="s">
        <v>67</v>
      </c>
      <c r="W144" t="str">
        <f>IF(NORMALIZADO!BV144="","",NORMALIZADO!BV144)</f>
        <v/>
      </c>
      <c r="X144" t="str">
        <f>IF(NORMALIZADO!BW144="","",NORMALIZADO!BW144)</f>
        <v/>
      </c>
      <c r="Y144" t="str">
        <f>IF(NORMALIZADO!BX144="","",NORMALIZADO!BX144)</f>
        <v/>
      </c>
      <c r="Z144" t="str">
        <f>IF(NORMALIZADO!BY144="","",NORMALIZADO!BY144)</f>
        <v/>
      </c>
      <c r="AO144" t="str">
        <f t="shared" si="13"/>
        <v>N/A</v>
      </c>
      <c r="AP144" t="str">
        <f>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f>
        <v>—</v>
      </c>
      <c r="AQ144">
        <f>IF(ISNUMBER(M144),1,0)+IF(ISNUMBER(SCORECARDS!H144),1,0)+IF(ISNUMBER(SCORECARDS!I144),1,0)+IF(ISNUMBER(SCORECARDS!J144),1,0)+IF(ISNUMBER(ISCAM_Score!K145),1,0)+IF(ISNUMBER(O144),1,0)+IF(COUNT(W144:Z144)&gt;0,1,0)</f>
        <v>0</v>
      </c>
      <c r="AT144" t="str">
        <f>IF(NOT(ISNUMBER(AP144)),"sin dato",IF(AND(COUNT(NORMALIZADO!BV144:BY144)&gt;=3,AQ144=7),"completo","parcial · "&amp;AQ144&amp;"/7 · D12-D15 "&amp;COUNT(NORMALIZADO!BV144:BY144)&amp;"/4"))</f>
        <v>sin dato</v>
      </c>
    </row>
    <row r="145" spans="1:46" ht="16.05" customHeight="1" x14ac:dyDescent="0.3">
      <c r="A145" t="s">
        <v>377</v>
      </c>
      <c r="B145" t="s">
        <v>378</v>
      </c>
      <c r="C145" t="s">
        <v>78</v>
      </c>
      <c r="D145" t="s">
        <v>71</v>
      </c>
      <c r="G145" t="s">
        <v>72</v>
      </c>
      <c r="J145" t="s">
        <v>65</v>
      </c>
      <c r="M145" t="str">
        <f t="shared" si="14"/>
        <v/>
      </c>
      <c r="N145" t="s">
        <v>66</v>
      </c>
      <c r="O145" t="str">
        <f t="shared" si="15"/>
        <v/>
      </c>
      <c r="P145" t="s">
        <v>66</v>
      </c>
      <c r="S145" t="str">
        <f t="shared" si="12"/>
        <v>—</v>
      </c>
      <c r="T145" t="str">
        <f>IF(NOT(ISNUMBER(S145)),"⬜  Sin dato PVE",IF(AND(COUNT(NORMALIZADO!BV145:BY145)&gt;=3,AQ145=7),IF(S145&lt;34,"🔴 Crítico",IF(S145&lt;67,"🟡 Vulnerable","🟢 Preparado")),"◐  Parcial · "&amp;AQ145&amp;"/7"))</f>
        <v>⬜  Sin dato PVE</v>
      </c>
      <c r="U145" s="53">
        <v>1</v>
      </c>
      <c r="V145" t="s">
        <v>67</v>
      </c>
      <c r="W145" t="str">
        <f>IF(NORMALIZADO!BV145="","",NORMALIZADO!BV145)</f>
        <v/>
      </c>
      <c r="X145" t="str">
        <f>IF(NORMALIZADO!BW145="","",NORMALIZADO!BW145)</f>
        <v/>
      </c>
      <c r="Y145" t="str">
        <f>IF(NORMALIZADO!BX145="","",NORMALIZADO!BX145)</f>
        <v/>
      </c>
      <c r="Z145" t="str">
        <f>IF(NORMALIZADO!BY145="","",NORMALIZADO!BY145)</f>
        <v/>
      </c>
      <c r="AO145" t="str">
        <f t="shared" si="13"/>
        <v>N/A</v>
      </c>
      <c r="AP145" t="str">
        <f>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f>
        <v>—</v>
      </c>
      <c r="AQ145">
        <f>IF(ISNUMBER(M145),1,0)+IF(ISNUMBER(SCORECARDS!H145),1,0)+IF(ISNUMBER(SCORECARDS!I145),1,0)+IF(ISNUMBER(SCORECARDS!J145),1,0)+IF(ISNUMBER(ISCAM_Score!K146),1,0)+IF(ISNUMBER(O145),1,0)+IF(COUNT(W145:Z145)&gt;0,1,0)</f>
        <v>0</v>
      </c>
      <c r="AT145" t="str">
        <f>IF(NOT(ISNUMBER(AP145)),"sin dato",IF(AND(COUNT(NORMALIZADO!BV145:BY145)&gt;=3,AQ145=7),"completo","parcial · "&amp;AQ145&amp;"/7 · D12-D15 "&amp;COUNT(NORMALIZADO!BV145:BY145)&amp;"/4"))</f>
        <v>sin dato</v>
      </c>
    </row>
    <row r="146" spans="1:46" ht="16.05" customHeight="1" x14ac:dyDescent="0.3">
      <c r="A146" t="s">
        <v>379</v>
      </c>
      <c r="B146" t="s">
        <v>380</v>
      </c>
      <c r="C146" t="s">
        <v>75</v>
      </c>
      <c r="D146" t="s">
        <v>63</v>
      </c>
      <c r="E146">
        <v>332555.15999999997</v>
      </c>
      <c r="F146">
        <v>2</v>
      </c>
      <c r="G146" t="s">
        <v>64</v>
      </c>
      <c r="H146" t="s">
        <v>64</v>
      </c>
      <c r="I146" t="s">
        <v>64</v>
      </c>
      <c r="J146" t="s">
        <v>65</v>
      </c>
      <c r="K146" t="s">
        <v>81</v>
      </c>
      <c r="L146">
        <v>332555.15999999997</v>
      </c>
      <c r="M146">
        <f t="shared" si="14"/>
        <v>100</v>
      </c>
      <c r="N146" t="s">
        <v>66</v>
      </c>
      <c r="O146">
        <f t="shared" si="15"/>
        <v>1</v>
      </c>
      <c r="P146" t="s">
        <v>66</v>
      </c>
      <c r="Q146">
        <v>203</v>
      </c>
      <c r="R146">
        <v>609</v>
      </c>
      <c r="S146">
        <f t="shared" si="12"/>
        <v>79.2</v>
      </c>
      <c r="T146" t="str">
        <f>IF(NOT(ISNUMBER(S146)),"⬜  Sin dato PVE",IF(AND(COUNT(NORMALIZADO!BV146:BY146)&gt;=3,AQ146=7),IF(S146&lt;34,"🔴 Crítico",IF(S146&lt;67,"🟡 Vulnerable","🟢 Preparado")),"◐  Parcial · "&amp;AQ146&amp;"/7"))</f>
        <v>◐  Parcial · 3/7</v>
      </c>
      <c r="U146" s="53">
        <v>1</v>
      </c>
      <c r="V146" t="s">
        <v>67</v>
      </c>
      <c r="W146">
        <f>IF(NORMALIZADO!BV146="",1,NORMALIZADO!BV146)</f>
        <v>1</v>
      </c>
      <c r="X146" t="str">
        <f>IF(NORMALIZADO!BW146="","",NORMALIZADO!BW146)</f>
        <v/>
      </c>
      <c r="Y146" t="str">
        <f>IF(NORMALIZADO!BX146="","",NORMALIZADO!BX146)</f>
        <v/>
      </c>
      <c r="Z146" t="str">
        <f>IF(NORMALIZADO!BY146="","",NORMALIZADO!BY146)</f>
        <v/>
      </c>
      <c r="AO146" t="str">
        <f t="shared" si="13"/>
        <v>N/A</v>
      </c>
      <c r="AP146">
        <f>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f>
        <v>0.79166666666666663</v>
      </c>
      <c r="AQ146">
        <f>IF(ISNUMBER(M146),1,0)+IF(ISNUMBER(SCORECARDS!H146),1,0)+IF(ISNUMBER(SCORECARDS!I146),1,0)+IF(ISNUMBER(SCORECARDS!J146),1,0)+IF(ISNUMBER(ISCAM_Score!K147),1,0)+IF(ISNUMBER(O146),1,0)+IF(COUNT(W146:Z146)&gt;0,1,0)</f>
        <v>3</v>
      </c>
      <c r="AR146" t="s">
        <v>1554</v>
      </c>
      <c r="AS146" t="s">
        <v>1555</v>
      </c>
      <c r="AT146" t="str">
        <f>IF(NOT(ISNUMBER(AP146)),"sin dato",IF(AND(COUNT(NORMALIZADO!BV146:BY146)&gt;=3,AQ146=7),"completo","parcial · "&amp;AQ146&amp;"/7 · D12-D15 "&amp;COUNT(NORMALIZADO!BV146:BY146)&amp;"/4"))</f>
        <v>parcial · 3/7 · D12-D15 0/4</v>
      </c>
    </row>
    <row r="147" spans="1:46" ht="16.05" customHeight="1" x14ac:dyDescent="0.3">
      <c r="A147" t="s">
        <v>381</v>
      </c>
      <c r="B147" t="s">
        <v>382</v>
      </c>
      <c r="C147" t="s">
        <v>239</v>
      </c>
      <c r="D147" t="s">
        <v>71</v>
      </c>
      <c r="E147">
        <v>543961.38</v>
      </c>
      <c r="F147">
        <v>5</v>
      </c>
      <c r="G147" t="s">
        <v>64</v>
      </c>
      <c r="J147" t="s">
        <v>65</v>
      </c>
      <c r="L147">
        <v>271980.69</v>
      </c>
      <c r="M147">
        <f t="shared" si="14"/>
        <v>50</v>
      </c>
      <c r="N147" t="s">
        <v>66</v>
      </c>
      <c r="O147" t="str">
        <f t="shared" si="15"/>
        <v/>
      </c>
      <c r="P147" t="s">
        <v>66</v>
      </c>
      <c r="S147">
        <f t="shared" si="12"/>
        <v>50</v>
      </c>
      <c r="T147" t="str">
        <f>IF(NOT(ISNUMBER(S147)),"⬜  Sin dato PVE",IF(AND(COUNT(NORMALIZADO!BV147:BY147)&gt;=3,AQ147=7),IF(S147&lt;34,"🔴 Crítico",IF(S147&lt;67,"🟡 Vulnerable","🟢 Preparado")),"◐  Parcial · "&amp;AQ147&amp;"/7"))</f>
        <v>◐  Parcial · 1/7</v>
      </c>
      <c r="U147" s="53">
        <v>1</v>
      </c>
      <c r="V147" t="s">
        <v>67</v>
      </c>
      <c r="W147" t="str">
        <f>IF(NORMALIZADO!BV147="","",NORMALIZADO!BV147)</f>
        <v/>
      </c>
      <c r="X147" t="str">
        <f>IF(NORMALIZADO!BW147="","",NORMALIZADO!BW147)</f>
        <v/>
      </c>
      <c r="Y147" t="str">
        <f>IF(NORMALIZADO!BX147="","",NORMALIZADO!BX147)</f>
        <v/>
      </c>
      <c r="Z147" t="str">
        <f>IF(NORMALIZADO!BY147="","",NORMALIZADO!BY147)</f>
        <v/>
      </c>
      <c r="AO147" t="str">
        <f t="shared" si="13"/>
        <v>N/A</v>
      </c>
      <c r="AP147">
        <f>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f>
        <v>0.5</v>
      </c>
      <c r="AQ147">
        <f>IF(ISNUMBER(M147),1,0)+IF(ISNUMBER(SCORECARDS!H147),1,0)+IF(ISNUMBER(SCORECARDS!I147),1,0)+IF(ISNUMBER(SCORECARDS!J147),1,0)+IF(ISNUMBER(ISCAM_Score!K148),1,0)+IF(ISNUMBER(O147),1,0)+IF(COUNT(W147:Z147)&gt;0,1,0)</f>
        <v>1</v>
      </c>
      <c r="AT147" t="str">
        <f>IF(NOT(ISNUMBER(AP147)),"sin dato",IF(AND(COUNT(NORMALIZADO!BV147:BY147)&gt;=3,AQ147=7),"completo","parcial · "&amp;AQ147&amp;"/7 · D12-D15 "&amp;COUNT(NORMALIZADO!BV147:BY147)&amp;"/4"))</f>
        <v>parcial · 1/7 · D12-D15 0/4</v>
      </c>
    </row>
    <row r="148" spans="1:46" ht="16.05" customHeight="1" x14ac:dyDescent="0.3">
      <c r="A148" t="s">
        <v>383</v>
      </c>
      <c r="B148" t="s">
        <v>384</v>
      </c>
      <c r="C148" t="s">
        <v>78</v>
      </c>
      <c r="D148" t="s">
        <v>71</v>
      </c>
      <c r="G148" t="s">
        <v>72</v>
      </c>
      <c r="J148" t="s">
        <v>65</v>
      </c>
      <c r="M148" t="str">
        <f t="shared" si="14"/>
        <v/>
      </c>
      <c r="N148" t="s">
        <v>66</v>
      </c>
      <c r="O148" t="str">
        <f t="shared" si="15"/>
        <v/>
      </c>
      <c r="P148" t="s">
        <v>66</v>
      </c>
      <c r="S148" t="str">
        <f t="shared" si="12"/>
        <v>—</v>
      </c>
      <c r="T148" t="str">
        <f>IF(NOT(ISNUMBER(S148)),"⬜  Sin dato PVE",IF(AND(COUNT(NORMALIZADO!BV148:BY148)&gt;=3,AQ148=7),IF(S148&lt;34,"🔴 Crítico",IF(S148&lt;67,"🟡 Vulnerable","🟢 Preparado")),"◐  Parcial · "&amp;AQ148&amp;"/7"))</f>
        <v>⬜  Sin dato PVE</v>
      </c>
      <c r="U148" s="53">
        <v>1</v>
      </c>
      <c r="V148" t="s">
        <v>67</v>
      </c>
      <c r="W148" t="str">
        <f>IF(NORMALIZADO!BV148="","",NORMALIZADO!BV148)</f>
        <v/>
      </c>
      <c r="X148" t="str">
        <f>IF(NORMALIZADO!BW148="","",NORMALIZADO!BW148)</f>
        <v/>
      </c>
      <c r="Y148" t="str">
        <f>IF(NORMALIZADO!BX148="","",NORMALIZADO!BX148)</f>
        <v/>
      </c>
      <c r="Z148" t="str">
        <f>IF(NORMALIZADO!BY148="","",NORMALIZADO!BY148)</f>
        <v/>
      </c>
      <c r="AO148" t="str">
        <f t="shared" si="13"/>
        <v>N/A</v>
      </c>
      <c r="AP148" t="str">
        <f>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f>
        <v>—</v>
      </c>
      <c r="AQ148">
        <f>IF(ISNUMBER(M148),1,0)+IF(ISNUMBER(SCORECARDS!H148),1,0)+IF(ISNUMBER(SCORECARDS!I148),1,0)+IF(ISNUMBER(SCORECARDS!J148),1,0)+IF(ISNUMBER(ISCAM_Score!K149),1,0)+IF(ISNUMBER(O148),1,0)+IF(COUNT(W148:Z148)&gt;0,1,0)</f>
        <v>0</v>
      </c>
      <c r="AT148" t="str">
        <f>IF(NOT(ISNUMBER(AP148)),"sin dato",IF(AND(COUNT(NORMALIZADO!BV148:BY148)&gt;=3,AQ148=7),"completo","parcial · "&amp;AQ148&amp;"/7 · D12-D15 "&amp;COUNT(NORMALIZADO!BV148:BY148)&amp;"/4"))</f>
        <v>sin dato</v>
      </c>
    </row>
    <row r="149" spans="1:46" ht="16.05" customHeight="1" x14ac:dyDescent="0.3">
      <c r="A149" t="s">
        <v>385</v>
      </c>
      <c r="B149" t="s">
        <v>386</v>
      </c>
      <c r="C149" t="s">
        <v>148</v>
      </c>
      <c r="D149" t="s">
        <v>63</v>
      </c>
      <c r="E149">
        <v>7275.18</v>
      </c>
      <c r="F149">
        <v>1</v>
      </c>
      <c r="G149" t="s">
        <v>64</v>
      </c>
      <c r="H149" t="s">
        <v>64</v>
      </c>
      <c r="I149" t="s">
        <v>64</v>
      </c>
      <c r="J149" t="s">
        <v>65</v>
      </c>
      <c r="L149">
        <v>0</v>
      </c>
      <c r="M149">
        <f t="shared" si="14"/>
        <v>0</v>
      </c>
      <c r="N149" t="s">
        <v>66</v>
      </c>
      <c r="O149">
        <f t="shared" si="15"/>
        <v>1</v>
      </c>
      <c r="P149" t="s">
        <v>66</v>
      </c>
      <c r="Q149">
        <v>305</v>
      </c>
      <c r="R149">
        <v>699</v>
      </c>
      <c r="S149">
        <f t="shared" si="12"/>
        <v>37.5</v>
      </c>
      <c r="T149" t="str">
        <f>IF(NOT(ISNUMBER(S149)),"⬜  Sin dato PVE",IF(AND(COUNT(NORMALIZADO!BV149:BY149)&gt;=3,AQ149=7),IF(S149&lt;34,"🔴 Crítico",IF(S149&lt;67,"🟡 Vulnerable","🟢 Preparado")),"◐  Parcial · "&amp;AQ149&amp;"/7"))</f>
        <v>◐  Parcial · 3/7</v>
      </c>
      <c r="U149" s="53">
        <v>1</v>
      </c>
      <c r="V149" t="s">
        <v>67</v>
      </c>
      <c r="W149">
        <f>IF(NORMALIZADO!BV149="",1,NORMALIZADO!BV149)</f>
        <v>1</v>
      </c>
      <c r="X149" t="str">
        <f>IF(NORMALIZADO!BW149="","",NORMALIZADO!BW149)</f>
        <v/>
      </c>
      <c r="Y149" t="str">
        <f>IF(NORMALIZADO!BX149="","",NORMALIZADO!BX149)</f>
        <v/>
      </c>
      <c r="Z149" t="str">
        <f>IF(NORMALIZADO!BY149="","",NORMALIZADO!BY149)</f>
        <v/>
      </c>
      <c r="AO149" t="str">
        <f t="shared" si="13"/>
        <v>N/A</v>
      </c>
      <c r="AP149">
        <f>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f>
        <v>0.375</v>
      </c>
      <c r="AQ149">
        <f>IF(ISNUMBER(M149),1,0)+IF(ISNUMBER(SCORECARDS!H149),1,0)+IF(ISNUMBER(SCORECARDS!I149),1,0)+IF(ISNUMBER(SCORECARDS!J149),1,0)+IF(ISNUMBER(ISCAM_Score!K150),1,0)+IF(ISNUMBER(O149),1,0)+IF(COUNT(W149:Z149)&gt;0,1,0)</f>
        <v>3</v>
      </c>
      <c r="AR149" t="s">
        <v>64</v>
      </c>
      <c r="AS149" t="s">
        <v>64</v>
      </c>
      <c r="AT149" t="str">
        <f>IF(NOT(ISNUMBER(AP149)),"sin dato",IF(AND(COUNT(NORMALIZADO!BV149:BY149)&gt;=3,AQ149=7),"completo","parcial · "&amp;AQ149&amp;"/7 · D12-D15 "&amp;COUNT(NORMALIZADO!BV149:BY149)&amp;"/4"))</f>
        <v>parcial · 3/7 · D12-D15 0/4</v>
      </c>
    </row>
    <row r="150" spans="1:46" ht="16.05" customHeight="1" x14ac:dyDescent="0.3">
      <c r="A150" t="s">
        <v>387</v>
      </c>
      <c r="B150" t="s">
        <v>388</v>
      </c>
      <c r="C150" t="s">
        <v>101</v>
      </c>
      <c r="D150" t="s">
        <v>63</v>
      </c>
      <c r="G150" t="s">
        <v>72</v>
      </c>
      <c r="J150" t="s">
        <v>122</v>
      </c>
      <c r="M150" t="str">
        <f t="shared" si="14"/>
        <v/>
      </c>
      <c r="N150" t="s">
        <v>66</v>
      </c>
      <c r="O150" t="str">
        <f t="shared" si="15"/>
        <v/>
      </c>
      <c r="P150" t="s">
        <v>66</v>
      </c>
      <c r="S150" t="str">
        <f t="shared" si="12"/>
        <v>—</v>
      </c>
      <c r="T150" t="str">
        <f>IF(NOT(ISNUMBER(S150)),"⬜  Sin dato PVE",IF(AND(COUNT(NORMALIZADO!BV150:BY150)&gt;=3,AQ150=7),IF(S150&lt;34,"🔴 Crítico",IF(S150&lt;67,"🟡 Vulnerable","🟢 Preparado")),"◐  Parcial · "&amp;AQ150&amp;"/7"))</f>
        <v>⬜  Sin dato PVE</v>
      </c>
      <c r="U150" s="53">
        <v>1</v>
      </c>
      <c r="V150" t="s">
        <v>67</v>
      </c>
      <c r="W150" t="str">
        <f>IF(NORMALIZADO!BV150="","",NORMALIZADO!BV150)</f>
        <v/>
      </c>
      <c r="X150" t="str">
        <f>IF(NORMALIZADO!BW150="","",NORMALIZADO!BW150)</f>
        <v/>
      </c>
      <c r="Y150" t="str">
        <f>IF(NORMALIZADO!BX150="","",NORMALIZADO!BX150)</f>
        <v/>
      </c>
      <c r="Z150" t="str">
        <f>IF(NORMALIZADO!BY150="","",NORMALIZADO!BY150)</f>
        <v/>
      </c>
      <c r="AO150" t="str">
        <f t="shared" si="13"/>
        <v>N/A</v>
      </c>
      <c r="AP150" t="str">
        <f>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f>
        <v>—</v>
      </c>
      <c r="AQ150">
        <f>IF(ISNUMBER(M150),1,0)+IF(ISNUMBER(SCORECARDS!H150),1,0)+IF(ISNUMBER(SCORECARDS!I150),1,0)+IF(ISNUMBER(SCORECARDS!J150),1,0)+IF(ISNUMBER(ISCAM_Score!K151),1,0)+IF(ISNUMBER(O150),1,0)+IF(COUNT(W150:Z150)&gt;0,1,0)</f>
        <v>0</v>
      </c>
      <c r="AT150" t="str">
        <f>IF(NOT(ISNUMBER(AP150)),"sin dato",IF(AND(COUNT(NORMALIZADO!BV150:BY150)&gt;=3,AQ150=7),"completo","parcial · "&amp;AQ150&amp;"/7 · D12-D15 "&amp;COUNT(NORMALIZADO!BV150:BY150)&amp;"/4"))</f>
        <v>sin dato</v>
      </c>
    </row>
    <row r="151" spans="1:46" ht="16.05" customHeight="1" x14ac:dyDescent="0.3">
      <c r="A151" t="s">
        <v>389</v>
      </c>
      <c r="B151" t="s">
        <v>390</v>
      </c>
      <c r="C151" t="s">
        <v>177</v>
      </c>
      <c r="D151" t="s">
        <v>63</v>
      </c>
      <c r="G151" t="s">
        <v>72</v>
      </c>
      <c r="J151" t="s">
        <v>65</v>
      </c>
      <c r="M151" t="str">
        <f t="shared" si="14"/>
        <v/>
      </c>
      <c r="N151" t="s">
        <v>66</v>
      </c>
      <c r="O151" t="str">
        <f t="shared" si="15"/>
        <v/>
      </c>
      <c r="P151" t="s">
        <v>66</v>
      </c>
      <c r="S151" t="str">
        <f t="shared" si="12"/>
        <v>—</v>
      </c>
      <c r="T151" t="str">
        <f>IF(NOT(ISNUMBER(S151)),"⬜  Sin dato PVE",IF(AND(COUNT(NORMALIZADO!BV151:BY151)&gt;=3,AQ151=7),IF(S151&lt;34,"🔴 Crítico",IF(S151&lt;67,"🟡 Vulnerable","🟢 Preparado")),"◐  Parcial · "&amp;AQ151&amp;"/7"))</f>
        <v>⬜  Sin dato PVE</v>
      </c>
      <c r="U151" s="53">
        <v>1</v>
      </c>
      <c r="V151" t="s">
        <v>67</v>
      </c>
      <c r="W151" t="str">
        <f>IF(NORMALIZADO!BV151="","",NORMALIZADO!BV151)</f>
        <v/>
      </c>
      <c r="X151" t="str">
        <f>IF(NORMALIZADO!BW151="","",NORMALIZADO!BW151)</f>
        <v/>
      </c>
      <c r="Y151" t="str">
        <f>IF(NORMALIZADO!BX151="","",NORMALIZADO!BX151)</f>
        <v/>
      </c>
      <c r="Z151" t="str">
        <f>IF(NORMALIZADO!BY151="","",NORMALIZADO!BY151)</f>
        <v/>
      </c>
      <c r="AO151" t="str">
        <f t="shared" si="13"/>
        <v>N/A</v>
      </c>
      <c r="AP151" t="str">
        <f>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f>
        <v>—</v>
      </c>
      <c r="AQ151">
        <f>IF(ISNUMBER(M151),1,0)+IF(ISNUMBER(SCORECARDS!H151),1,0)+IF(ISNUMBER(SCORECARDS!I151),1,0)+IF(ISNUMBER(SCORECARDS!J151),1,0)+IF(ISNUMBER(ISCAM_Score!K152),1,0)+IF(ISNUMBER(O151),1,0)+IF(COUNT(W151:Z151)&gt;0,1,0)</f>
        <v>0</v>
      </c>
      <c r="AT151" t="str">
        <f>IF(NOT(ISNUMBER(AP151)),"sin dato",IF(AND(COUNT(NORMALIZADO!BV151:BY151)&gt;=3,AQ151=7),"completo","parcial · "&amp;AQ151&amp;"/7 · D12-D15 "&amp;COUNT(NORMALIZADO!BV151:BY151)&amp;"/4"))</f>
        <v>sin dato</v>
      </c>
    </row>
    <row r="152" spans="1:46" ht="16.05" customHeight="1" x14ac:dyDescent="0.3">
      <c r="A152" t="s">
        <v>391</v>
      </c>
      <c r="B152" t="s">
        <v>392</v>
      </c>
      <c r="C152" t="s">
        <v>78</v>
      </c>
      <c r="D152" t="s">
        <v>71</v>
      </c>
      <c r="G152" t="s">
        <v>72</v>
      </c>
      <c r="J152" t="s">
        <v>65</v>
      </c>
      <c r="M152" t="str">
        <f t="shared" si="14"/>
        <v/>
      </c>
      <c r="N152" t="s">
        <v>66</v>
      </c>
      <c r="O152" t="str">
        <f t="shared" si="15"/>
        <v/>
      </c>
      <c r="P152" t="s">
        <v>66</v>
      </c>
      <c r="S152" t="str">
        <f t="shared" si="12"/>
        <v>—</v>
      </c>
      <c r="T152" t="str">
        <f>IF(NOT(ISNUMBER(S152)),"⬜  Sin dato PVE",IF(AND(COUNT(NORMALIZADO!BV152:BY152)&gt;=3,AQ152=7),IF(S152&lt;34,"🔴 Crítico",IF(S152&lt;67,"🟡 Vulnerable","🟢 Preparado")),"◐  Parcial · "&amp;AQ152&amp;"/7"))</f>
        <v>⬜  Sin dato PVE</v>
      </c>
      <c r="U152" s="53">
        <v>1</v>
      </c>
      <c r="V152" t="s">
        <v>67</v>
      </c>
      <c r="W152" t="str">
        <f>IF(NORMALIZADO!BV152="","",NORMALIZADO!BV152)</f>
        <v/>
      </c>
      <c r="X152" t="str">
        <f>IF(NORMALIZADO!BW152="","",NORMALIZADO!BW152)</f>
        <v/>
      </c>
      <c r="Y152" t="str">
        <f>IF(NORMALIZADO!BX152="","",NORMALIZADO!BX152)</f>
        <v/>
      </c>
      <c r="Z152" t="str">
        <f>IF(NORMALIZADO!BY152="","",NORMALIZADO!BY152)</f>
        <v/>
      </c>
      <c r="AO152" t="str">
        <f t="shared" si="13"/>
        <v>N/A</v>
      </c>
      <c r="AP152" t="str">
        <f>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f>
        <v>—</v>
      </c>
      <c r="AQ152">
        <f>IF(ISNUMBER(M152),1,0)+IF(ISNUMBER(SCORECARDS!H152),1,0)+IF(ISNUMBER(SCORECARDS!I152),1,0)+IF(ISNUMBER(SCORECARDS!J152),1,0)+IF(ISNUMBER(ISCAM_Score!K153),1,0)+IF(ISNUMBER(O152),1,0)+IF(COUNT(W152:Z152)&gt;0,1,0)</f>
        <v>0</v>
      </c>
      <c r="AT152" t="str">
        <f>IF(NOT(ISNUMBER(AP152)),"sin dato",IF(AND(COUNT(NORMALIZADO!BV152:BY152)&gt;=3,AQ152=7),"completo","parcial · "&amp;AQ152&amp;"/7 · D12-D15 "&amp;COUNT(NORMALIZADO!BV152:BY152)&amp;"/4"))</f>
        <v>sin dato</v>
      </c>
    </row>
    <row r="153" spans="1:46" ht="16.05" customHeight="1" x14ac:dyDescent="0.3">
      <c r="A153" t="s">
        <v>393</v>
      </c>
      <c r="B153" t="s">
        <v>394</v>
      </c>
      <c r="C153" t="s">
        <v>78</v>
      </c>
      <c r="D153" t="s">
        <v>71</v>
      </c>
      <c r="G153" t="s">
        <v>72</v>
      </c>
      <c r="J153" t="s">
        <v>65</v>
      </c>
      <c r="M153" t="str">
        <f t="shared" si="14"/>
        <v/>
      </c>
      <c r="N153" t="s">
        <v>66</v>
      </c>
      <c r="O153" t="str">
        <f t="shared" si="15"/>
        <v/>
      </c>
      <c r="P153" t="s">
        <v>66</v>
      </c>
      <c r="S153" t="str">
        <f t="shared" si="12"/>
        <v>—</v>
      </c>
      <c r="T153" t="str">
        <f>IF(NOT(ISNUMBER(S153)),"⬜  Sin dato PVE",IF(AND(COUNT(NORMALIZADO!BV153:BY153)&gt;=3,AQ153=7),IF(S153&lt;34,"🔴 Crítico",IF(S153&lt;67,"🟡 Vulnerable","🟢 Preparado")),"◐  Parcial · "&amp;AQ153&amp;"/7"))</f>
        <v>⬜  Sin dato PVE</v>
      </c>
      <c r="U153" s="53">
        <v>1</v>
      </c>
      <c r="V153" t="s">
        <v>67</v>
      </c>
      <c r="W153" t="str">
        <f>IF(NORMALIZADO!BV153="","",NORMALIZADO!BV153)</f>
        <v/>
      </c>
      <c r="X153" t="str">
        <f>IF(NORMALIZADO!BW153="","",NORMALIZADO!BW153)</f>
        <v/>
      </c>
      <c r="Y153" t="str">
        <f>IF(NORMALIZADO!BX153="","",NORMALIZADO!BX153)</f>
        <v/>
      </c>
      <c r="Z153" t="str">
        <f>IF(NORMALIZADO!BY153="","",NORMALIZADO!BY153)</f>
        <v/>
      </c>
      <c r="AO153" t="str">
        <f t="shared" si="13"/>
        <v>N/A</v>
      </c>
      <c r="AP153" t="str">
        <f>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f>
        <v>—</v>
      </c>
      <c r="AQ153">
        <f>IF(ISNUMBER(M153),1,0)+IF(ISNUMBER(SCORECARDS!H153),1,0)+IF(ISNUMBER(SCORECARDS!I153),1,0)+IF(ISNUMBER(SCORECARDS!J153),1,0)+IF(ISNUMBER(ISCAM_Score!K154),1,0)+IF(ISNUMBER(O153),1,0)+IF(COUNT(W153:Z153)&gt;0,1,0)</f>
        <v>0</v>
      </c>
      <c r="AT153" t="str">
        <f>IF(NOT(ISNUMBER(AP153)),"sin dato",IF(AND(COUNT(NORMALIZADO!BV153:BY153)&gt;=3,AQ153=7),"completo","parcial · "&amp;AQ153&amp;"/7 · D12-D15 "&amp;COUNT(NORMALIZADO!BV153:BY153)&amp;"/4"))</f>
        <v>sin dato</v>
      </c>
    </row>
    <row r="154" spans="1:46" ht="16.05" customHeight="1" x14ac:dyDescent="0.3">
      <c r="A154" t="s">
        <v>395</v>
      </c>
      <c r="B154" t="s">
        <v>396</v>
      </c>
      <c r="C154" t="s">
        <v>75</v>
      </c>
      <c r="D154" t="s">
        <v>63</v>
      </c>
      <c r="E154">
        <v>147669.48000000001</v>
      </c>
      <c r="F154">
        <v>1</v>
      </c>
      <c r="G154" t="s">
        <v>64</v>
      </c>
      <c r="I154" t="s">
        <v>64</v>
      </c>
      <c r="J154" t="s">
        <v>65</v>
      </c>
      <c r="K154" t="s">
        <v>81</v>
      </c>
      <c r="L154">
        <v>0</v>
      </c>
      <c r="M154">
        <f t="shared" si="14"/>
        <v>0</v>
      </c>
      <c r="N154" t="s">
        <v>66</v>
      </c>
      <c r="O154">
        <f t="shared" si="15"/>
        <v>0.4</v>
      </c>
      <c r="P154" t="s">
        <v>66</v>
      </c>
      <c r="Q154">
        <v>257</v>
      </c>
      <c r="R154">
        <v>771</v>
      </c>
      <c r="S154">
        <f t="shared" si="12"/>
        <v>27.5</v>
      </c>
      <c r="T154" t="str">
        <f>IF(NOT(ISNUMBER(S154)),"⬜  Sin dato PVE",IF(AND(COUNT(NORMALIZADO!BV154:BY154)&gt;=3,AQ154=7),IF(S154&lt;34,"🔴 Crítico",IF(S154&lt;67,"🟡 Vulnerable","🟢 Preparado")),"◐  Parcial · "&amp;AQ154&amp;"/7"))</f>
        <v>◐  Parcial · 3/7</v>
      </c>
      <c r="U154" s="53">
        <v>1</v>
      </c>
      <c r="V154" t="s">
        <v>67</v>
      </c>
      <c r="W154">
        <f>IF(NORMALIZADO!BV154="",1,NORMALIZADO!BV154)</f>
        <v>1</v>
      </c>
      <c r="X154" t="str">
        <f>IF(NORMALIZADO!BW154="","",NORMALIZADO!BW154)</f>
        <v/>
      </c>
      <c r="Y154" t="str">
        <f>IF(NORMALIZADO!BX154="","",NORMALIZADO!BX154)</f>
        <v/>
      </c>
      <c r="Z154" t="str">
        <f>IF(NORMALIZADO!BY154="","",NORMALIZADO!BY154)</f>
        <v/>
      </c>
      <c r="AO154" t="str">
        <f t="shared" si="13"/>
        <v>N/A</v>
      </c>
      <c r="AP154">
        <f>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f>
        <v>0.27499999999999997</v>
      </c>
      <c r="AQ154">
        <f>IF(ISNUMBER(M154),1,0)+IF(ISNUMBER(SCORECARDS!H154),1,0)+IF(ISNUMBER(SCORECARDS!I154),1,0)+IF(ISNUMBER(SCORECARDS!J154),1,0)+IF(ISNUMBER(ISCAM_Score!K155),1,0)+IF(ISNUMBER(O154),1,0)+IF(COUNT(W154:Z154)&gt;0,1,0)</f>
        <v>3</v>
      </c>
      <c r="AS154" t="s">
        <v>1556</v>
      </c>
      <c r="AT154" t="str">
        <f>IF(NOT(ISNUMBER(AP154)),"sin dato",IF(AND(COUNT(NORMALIZADO!BV154:BY154)&gt;=3,AQ154=7),"completo","parcial · "&amp;AQ154&amp;"/7 · D12-D15 "&amp;COUNT(NORMALIZADO!BV154:BY154)&amp;"/4"))</f>
        <v>parcial · 3/7 · D12-D15 0/4</v>
      </c>
    </row>
    <row r="155" spans="1:46" ht="16.05" customHeight="1" x14ac:dyDescent="0.3">
      <c r="A155" t="s">
        <v>397</v>
      </c>
      <c r="B155" t="s">
        <v>398</v>
      </c>
      <c r="C155" t="s">
        <v>107</v>
      </c>
      <c r="D155" t="s">
        <v>71</v>
      </c>
      <c r="G155" t="s">
        <v>72</v>
      </c>
      <c r="J155" t="s">
        <v>65</v>
      </c>
      <c r="M155" t="str">
        <f t="shared" si="14"/>
        <v/>
      </c>
      <c r="N155" t="s">
        <v>66</v>
      </c>
      <c r="O155" t="str">
        <f t="shared" si="15"/>
        <v/>
      </c>
      <c r="P155" t="s">
        <v>66</v>
      </c>
      <c r="S155" t="str">
        <f t="shared" si="12"/>
        <v>—</v>
      </c>
      <c r="T155" t="str">
        <f>IF(NOT(ISNUMBER(S155)),"⬜  Sin dato PVE",IF(AND(COUNT(NORMALIZADO!BV155:BY155)&gt;=3,AQ155=7),IF(S155&lt;34,"🔴 Crítico",IF(S155&lt;67,"🟡 Vulnerable","🟢 Preparado")),"◐  Parcial · "&amp;AQ155&amp;"/7"))</f>
        <v>⬜  Sin dato PVE</v>
      </c>
      <c r="U155" s="53">
        <v>1</v>
      </c>
      <c r="V155" t="s">
        <v>67</v>
      </c>
      <c r="W155" t="str">
        <f>IF(NORMALIZADO!BV155="","",NORMALIZADO!BV155)</f>
        <v/>
      </c>
      <c r="X155" t="str">
        <f>IF(NORMALIZADO!BW155="","",NORMALIZADO!BW155)</f>
        <v/>
      </c>
      <c r="Y155" t="str">
        <f>IF(NORMALIZADO!BX155="","",NORMALIZADO!BX155)</f>
        <v/>
      </c>
      <c r="Z155" t="str">
        <f>IF(NORMALIZADO!BY155="","",NORMALIZADO!BY155)</f>
        <v/>
      </c>
      <c r="AO155" t="str">
        <f t="shared" si="13"/>
        <v>N/A</v>
      </c>
      <c r="AP155" t="str">
        <f>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f>
        <v>—</v>
      </c>
      <c r="AQ155">
        <f>IF(ISNUMBER(M155),1,0)+IF(ISNUMBER(SCORECARDS!H155),1,0)+IF(ISNUMBER(SCORECARDS!I155),1,0)+IF(ISNUMBER(SCORECARDS!J155),1,0)+IF(ISNUMBER(ISCAM_Score!K156),1,0)+IF(ISNUMBER(O155),1,0)+IF(COUNT(W155:Z155)&gt;0,1,0)</f>
        <v>0</v>
      </c>
      <c r="AT155" t="str">
        <f>IF(NOT(ISNUMBER(AP155)),"sin dato",IF(AND(COUNT(NORMALIZADO!BV155:BY155)&gt;=3,AQ155=7),"completo","parcial · "&amp;AQ155&amp;"/7 · D12-D15 "&amp;COUNT(NORMALIZADO!BV155:BY155)&amp;"/4"))</f>
        <v>sin dato</v>
      </c>
    </row>
    <row r="156" spans="1:46" ht="16.05" customHeight="1" x14ac:dyDescent="0.3">
      <c r="A156" t="s">
        <v>399</v>
      </c>
      <c r="B156" t="s">
        <v>400</v>
      </c>
      <c r="C156" t="s">
        <v>177</v>
      </c>
      <c r="D156" t="s">
        <v>63</v>
      </c>
      <c r="G156" t="s">
        <v>72</v>
      </c>
      <c r="J156" t="s">
        <v>122</v>
      </c>
      <c r="M156" t="str">
        <f t="shared" si="14"/>
        <v/>
      </c>
      <c r="N156" t="s">
        <v>66</v>
      </c>
      <c r="O156" t="str">
        <f t="shared" si="15"/>
        <v/>
      </c>
      <c r="P156" t="s">
        <v>66</v>
      </c>
      <c r="S156" t="str">
        <f t="shared" si="12"/>
        <v>—</v>
      </c>
      <c r="T156" t="str">
        <f>IF(NOT(ISNUMBER(S156)),"⬜  Sin dato PVE",IF(AND(COUNT(NORMALIZADO!BV156:BY156)&gt;=3,AQ156=7),IF(S156&lt;34,"🔴 Crítico",IF(S156&lt;67,"🟡 Vulnerable","🟢 Preparado")),"◐  Parcial · "&amp;AQ156&amp;"/7"))</f>
        <v>⬜  Sin dato PVE</v>
      </c>
      <c r="U156" s="53">
        <v>1</v>
      </c>
      <c r="V156" t="s">
        <v>67</v>
      </c>
      <c r="W156" t="str">
        <f>IF(NORMALIZADO!BV156="","",NORMALIZADO!BV156)</f>
        <v/>
      </c>
      <c r="X156" t="str">
        <f>IF(NORMALIZADO!BW156="","",NORMALIZADO!BW156)</f>
        <v/>
      </c>
      <c r="Y156" t="str">
        <f>IF(NORMALIZADO!BX156="","",NORMALIZADO!BX156)</f>
        <v/>
      </c>
      <c r="Z156" t="str">
        <f>IF(NORMALIZADO!BY156="","",NORMALIZADO!BY156)</f>
        <v/>
      </c>
      <c r="AO156" t="str">
        <f t="shared" si="13"/>
        <v>N/A</v>
      </c>
      <c r="AP156" t="str">
        <f>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f>
        <v>—</v>
      </c>
      <c r="AQ156">
        <f>IF(ISNUMBER(M156),1,0)+IF(ISNUMBER(SCORECARDS!H156),1,0)+IF(ISNUMBER(SCORECARDS!I156),1,0)+IF(ISNUMBER(SCORECARDS!J156),1,0)+IF(ISNUMBER(ISCAM_Score!K157),1,0)+IF(ISNUMBER(O156),1,0)+IF(COUNT(W156:Z156)&gt;0,1,0)</f>
        <v>0</v>
      </c>
      <c r="AT156" t="str">
        <f>IF(NOT(ISNUMBER(AP156)),"sin dato",IF(AND(COUNT(NORMALIZADO!BV156:BY156)&gt;=3,AQ156=7),"completo","parcial · "&amp;AQ156&amp;"/7 · D12-D15 "&amp;COUNT(NORMALIZADO!BV156:BY156)&amp;"/4"))</f>
        <v>sin dato</v>
      </c>
    </row>
    <row r="157" spans="1:46" ht="16.05" customHeight="1" x14ac:dyDescent="0.3">
      <c r="A157" t="s">
        <v>401</v>
      </c>
      <c r="B157" t="s">
        <v>402</v>
      </c>
      <c r="C157" t="s">
        <v>137</v>
      </c>
      <c r="D157" t="s">
        <v>63</v>
      </c>
      <c r="E157">
        <v>940783.32</v>
      </c>
      <c r="F157">
        <v>7</v>
      </c>
      <c r="G157" t="s">
        <v>64</v>
      </c>
      <c r="H157" t="s">
        <v>64</v>
      </c>
      <c r="I157" t="s">
        <v>64</v>
      </c>
      <c r="J157" t="s">
        <v>65</v>
      </c>
      <c r="K157" t="s">
        <v>403</v>
      </c>
      <c r="L157">
        <v>76135.47</v>
      </c>
      <c r="M157">
        <f t="shared" si="14"/>
        <v>8.1</v>
      </c>
      <c r="N157" t="s">
        <v>66</v>
      </c>
      <c r="O157">
        <f t="shared" si="15"/>
        <v>1</v>
      </c>
      <c r="P157" t="s">
        <v>66</v>
      </c>
      <c r="Q157">
        <v>187</v>
      </c>
      <c r="R157">
        <v>600</v>
      </c>
      <c r="S157">
        <f t="shared" si="12"/>
        <v>40.9</v>
      </c>
      <c r="T157" t="str">
        <f>IF(NOT(ISNUMBER(S157)),"⬜  Sin dato PVE",IF(AND(COUNT(NORMALIZADO!BV157:BY157)&gt;=3,AQ157=7),IF(S157&lt;34,"🔴 Crítico",IF(S157&lt;67,"🟡 Vulnerable","🟢 Preparado")),"◐  Parcial · "&amp;AQ157&amp;"/7"))</f>
        <v>◐  Parcial · 3/7</v>
      </c>
      <c r="U157" s="53">
        <v>1</v>
      </c>
      <c r="V157" t="s">
        <v>67</v>
      </c>
      <c r="W157">
        <f>IF(NORMALIZADO!BV157="",1,NORMALIZADO!BV157)</f>
        <v>1</v>
      </c>
      <c r="X157" t="str">
        <f>IF(NORMALIZADO!BW157="","",NORMALIZADO!BW157)</f>
        <v/>
      </c>
      <c r="Y157" t="str">
        <f>IF(NORMALIZADO!BX157="","",NORMALIZADO!BX157)</f>
        <v/>
      </c>
      <c r="Z157" t="str">
        <f>IF(NORMALIZADO!BY157="","",NORMALIZADO!BY157)</f>
        <v/>
      </c>
      <c r="AO157" t="str">
        <f t="shared" si="13"/>
        <v>N/A</v>
      </c>
      <c r="AP157">
        <f>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f>
        <v>0.40875</v>
      </c>
      <c r="AQ157">
        <f>IF(ISNUMBER(M157),1,0)+IF(ISNUMBER(SCORECARDS!H157),1,0)+IF(ISNUMBER(SCORECARDS!I157),1,0)+IF(ISNUMBER(SCORECARDS!J157),1,0)+IF(ISNUMBER(ISCAM_Score!K158),1,0)+IF(ISNUMBER(O157),1,0)+IF(COUNT(W157:Z157)&gt;0,1,0)</f>
        <v>3</v>
      </c>
      <c r="AR157" t="s">
        <v>1557</v>
      </c>
      <c r="AS157" t="s">
        <v>1558</v>
      </c>
      <c r="AT157" t="str">
        <f>IF(NOT(ISNUMBER(AP157)),"sin dato",IF(AND(COUNT(NORMALIZADO!BV157:BY157)&gt;=3,AQ157=7),"completo","parcial · "&amp;AQ157&amp;"/7 · D12-D15 "&amp;COUNT(NORMALIZADO!BV157:BY157)&amp;"/4"))</f>
        <v>parcial · 3/7 · D12-D15 0/4</v>
      </c>
    </row>
    <row r="158" spans="1:46" ht="16.05" customHeight="1" x14ac:dyDescent="0.3">
      <c r="A158" t="s">
        <v>404</v>
      </c>
      <c r="B158" t="s">
        <v>405</v>
      </c>
      <c r="C158" t="s">
        <v>75</v>
      </c>
      <c r="G158" t="s">
        <v>72</v>
      </c>
      <c r="J158" t="s">
        <v>65</v>
      </c>
      <c r="M158" t="str">
        <f t="shared" si="14"/>
        <v/>
      </c>
      <c r="N158" t="s">
        <v>66</v>
      </c>
      <c r="O158" t="str">
        <f t="shared" si="15"/>
        <v/>
      </c>
      <c r="P158" t="s">
        <v>66</v>
      </c>
      <c r="S158" t="str">
        <f t="shared" si="12"/>
        <v>—</v>
      </c>
      <c r="T158" t="str">
        <f>IF(NOT(ISNUMBER(S158)),"⬜  Sin dato PVE",IF(AND(COUNT(NORMALIZADO!BV158:BY158)&gt;=3,AQ158=7),IF(S158&lt;34,"🔴 Crítico",IF(S158&lt;67,"🟡 Vulnerable","🟢 Preparado")),"◐  Parcial · "&amp;AQ158&amp;"/7"))</f>
        <v>⬜  Sin dato PVE</v>
      </c>
      <c r="U158" s="53">
        <v>1</v>
      </c>
      <c r="V158" t="s">
        <v>67</v>
      </c>
      <c r="W158" t="str">
        <f>IF(NORMALIZADO!BV158="","",NORMALIZADO!BV158)</f>
        <v/>
      </c>
      <c r="X158" t="str">
        <f>IF(NORMALIZADO!BW158="","",NORMALIZADO!BW158)</f>
        <v/>
      </c>
      <c r="Y158" t="str">
        <f>IF(NORMALIZADO!BX158="","",NORMALIZADO!BX158)</f>
        <v/>
      </c>
      <c r="Z158" t="str">
        <f>IF(NORMALIZADO!BY158="","",NORMALIZADO!BY158)</f>
        <v/>
      </c>
      <c r="AO158" t="str">
        <f t="shared" si="13"/>
        <v>N/A</v>
      </c>
      <c r="AP158" t="str">
        <f>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f>
        <v>—</v>
      </c>
      <c r="AQ158">
        <f>IF(ISNUMBER(M158),1,0)+IF(ISNUMBER(SCORECARDS!H158),1,0)+IF(ISNUMBER(SCORECARDS!I158),1,0)+IF(ISNUMBER(SCORECARDS!J158),1,0)+IF(ISNUMBER(ISCAM_Score!K159),1,0)+IF(ISNUMBER(O158),1,0)+IF(COUNT(W158:Z158)&gt;0,1,0)</f>
        <v>0</v>
      </c>
      <c r="AT158" t="str">
        <f>IF(NOT(ISNUMBER(AP158)),"sin dato",IF(AND(COUNT(NORMALIZADO!BV158:BY158)&gt;=3,AQ158=7),"completo","parcial · "&amp;AQ158&amp;"/7 · D12-D15 "&amp;COUNT(NORMALIZADO!BV158:BY158)&amp;"/4"))</f>
        <v>sin dato</v>
      </c>
    </row>
    <row r="159" spans="1:46" ht="16.05" customHeight="1" x14ac:dyDescent="0.3">
      <c r="A159" t="s">
        <v>406</v>
      </c>
      <c r="B159" t="s">
        <v>407</v>
      </c>
      <c r="C159" t="s">
        <v>137</v>
      </c>
      <c r="D159" t="s">
        <v>71</v>
      </c>
      <c r="G159" t="s">
        <v>72</v>
      </c>
      <c r="J159" t="s">
        <v>65</v>
      </c>
      <c r="M159" t="str">
        <f t="shared" si="14"/>
        <v/>
      </c>
      <c r="N159" t="s">
        <v>66</v>
      </c>
      <c r="O159" t="str">
        <f t="shared" si="15"/>
        <v/>
      </c>
      <c r="P159" t="s">
        <v>66</v>
      </c>
      <c r="S159" t="str">
        <f t="shared" si="12"/>
        <v>—</v>
      </c>
      <c r="T159" t="str">
        <f>IF(NOT(ISNUMBER(S159)),"⬜  Sin dato PVE",IF(AND(COUNT(NORMALIZADO!BV159:BY159)&gt;=3,AQ159=7),IF(S159&lt;34,"🔴 Crítico",IF(S159&lt;67,"🟡 Vulnerable","🟢 Preparado")),"◐  Parcial · "&amp;AQ159&amp;"/7"))</f>
        <v>⬜  Sin dato PVE</v>
      </c>
      <c r="U159" s="53">
        <v>1</v>
      </c>
      <c r="V159" t="s">
        <v>67</v>
      </c>
      <c r="W159" t="str">
        <f>IF(NORMALIZADO!BV159="","",NORMALIZADO!BV159)</f>
        <v/>
      </c>
      <c r="X159" t="str">
        <f>IF(NORMALIZADO!BW159="","",NORMALIZADO!BW159)</f>
        <v/>
      </c>
      <c r="Y159" t="str">
        <f>IF(NORMALIZADO!BX159="","",NORMALIZADO!BX159)</f>
        <v/>
      </c>
      <c r="Z159" t="str">
        <f>IF(NORMALIZADO!BY159="","",NORMALIZADO!BY159)</f>
        <v/>
      </c>
      <c r="AO159" t="str">
        <f t="shared" si="13"/>
        <v>N/A</v>
      </c>
      <c r="AP159" t="str">
        <f>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f>
        <v>—</v>
      </c>
      <c r="AQ159">
        <f>IF(ISNUMBER(M159),1,0)+IF(ISNUMBER(SCORECARDS!H159),1,0)+IF(ISNUMBER(SCORECARDS!I159),1,0)+IF(ISNUMBER(SCORECARDS!J159),1,0)+IF(ISNUMBER(ISCAM_Score!K160),1,0)+IF(ISNUMBER(O159),1,0)+IF(COUNT(W159:Z159)&gt;0,1,0)</f>
        <v>0</v>
      </c>
      <c r="AT159" t="str">
        <f>IF(NOT(ISNUMBER(AP159)),"sin dato",IF(AND(COUNT(NORMALIZADO!BV159:BY159)&gt;=3,AQ159=7),"completo","parcial · "&amp;AQ159&amp;"/7 · D12-D15 "&amp;COUNT(NORMALIZADO!BV159:BY159)&amp;"/4"))</f>
        <v>sin dato</v>
      </c>
    </row>
    <row r="160" spans="1:46" ht="16.05" customHeight="1" x14ac:dyDescent="0.3">
      <c r="A160" t="s">
        <v>408</v>
      </c>
      <c r="B160" t="s">
        <v>409</v>
      </c>
      <c r="C160" t="s">
        <v>101</v>
      </c>
      <c r="D160" t="s">
        <v>63</v>
      </c>
      <c r="G160" t="s">
        <v>72</v>
      </c>
      <c r="J160" t="s">
        <v>410</v>
      </c>
      <c r="M160" t="str">
        <f t="shared" si="14"/>
        <v/>
      </c>
      <c r="N160" t="s">
        <v>66</v>
      </c>
      <c r="O160" t="str">
        <f t="shared" si="15"/>
        <v/>
      </c>
      <c r="P160" t="s">
        <v>66</v>
      </c>
      <c r="S160" t="str">
        <f t="shared" si="12"/>
        <v>—</v>
      </c>
      <c r="T160" t="str">
        <f>IF(NOT(ISNUMBER(S160)),"⬜  Sin dato PVE",IF(AND(COUNT(NORMALIZADO!BV160:BY160)&gt;=3,AQ160=7),IF(S160&lt;34,"🔴 Crítico",IF(S160&lt;67,"🟡 Vulnerable","🟢 Preparado")),"◐  Parcial · "&amp;AQ160&amp;"/7"))</f>
        <v>⬜  Sin dato PVE</v>
      </c>
      <c r="U160" s="53">
        <v>1</v>
      </c>
      <c r="V160" t="s">
        <v>67</v>
      </c>
      <c r="W160" t="str">
        <f>IF(NORMALIZADO!BV160="","",NORMALIZADO!BV160)</f>
        <v/>
      </c>
      <c r="X160" t="str">
        <f>IF(NORMALIZADO!BW160="","",NORMALIZADO!BW160)</f>
        <v/>
      </c>
      <c r="Y160" t="str">
        <f>IF(NORMALIZADO!BX160="","",NORMALIZADO!BX160)</f>
        <v/>
      </c>
      <c r="Z160" t="str">
        <f>IF(NORMALIZADO!BY160="","",NORMALIZADO!BY160)</f>
        <v/>
      </c>
      <c r="AO160" t="str">
        <f t="shared" si="13"/>
        <v>N/A</v>
      </c>
      <c r="AP160" t="str">
        <f>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f>
        <v>—</v>
      </c>
      <c r="AQ160">
        <f>IF(ISNUMBER(M160),1,0)+IF(ISNUMBER(SCORECARDS!H160),1,0)+IF(ISNUMBER(SCORECARDS!I160),1,0)+IF(ISNUMBER(SCORECARDS!J160),1,0)+IF(ISNUMBER(ISCAM_Score!K161),1,0)+IF(ISNUMBER(O160),1,0)+IF(COUNT(W160:Z160)&gt;0,1,0)</f>
        <v>0</v>
      </c>
      <c r="AT160" t="str">
        <f>IF(NOT(ISNUMBER(AP160)),"sin dato",IF(AND(COUNT(NORMALIZADO!BV160:BY160)&gt;=3,AQ160=7),"completo","parcial · "&amp;AQ160&amp;"/7 · D12-D15 "&amp;COUNT(NORMALIZADO!BV160:BY160)&amp;"/4"))</f>
        <v>sin dato</v>
      </c>
    </row>
    <row r="161" spans="1:46" ht="16.05" customHeight="1" x14ac:dyDescent="0.3">
      <c r="A161" t="s">
        <v>411</v>
      </c>
      <c r="B161" t="s">
        <v>412</v>
      </c>
      <c r="C161" t="s">
        <v>177</v>
      </c>
      <c r="D161" t="s">
        <v>63</v>
      </c>
      <c r="G161" t="s">
        <v>72</v>
      </c>
      <c r="J161" t="s">
        <v>65</v>
      </c>
      <c r="M161" t="str">
        <f t="shared" si="14"/>
        <v/>
      </c>
      <c r="N161" t="s">
        <v>66</v>
      </c>
      <c r="O161" t="str">
        <f t="shared" si="15"/>
        <v/>
      </c>
      <c r="P161" t="s">
        <v>66</v>
      </c>
      <c r="S161" t="str">
        <f t="shared" si="12"/>
        <v>—</v>
      </c>
      <c r="T161" t="str">
        <f>IF(NOT(ISNUMBER(S161)),"⬜  Sin dato PVE",IF(AND(COUNT(NORMALIZADO!BV161:BY161)&gt;=3,AQ161=7),IF(S161&lt;34,"🔴 Crítico",IF(S161&lt;67,"🟡 Vulnerable","🟢 Preparado")),"◐  Parcial · "&amp;AQ161&amp;"/7"))</f>
        <v>⬜  Sin dato PVE</v>
      </c>
      <c r="U161" s="53">
        <v>1</v>
      </c>
      <c r="V161" t="s">
        <v>67</v>
      </c>
      <c r="W161" t="str">
        <f>IF(NORMALIZADO!BV161="","",NORMALIZADO!BV161)</f>
        <v/>
      </c>
      <c r="X161" t="str">
        <f>IF(NORMALIZADO!BW161="","",NORMALIZADO!BW161)</f>
        <v/>
      </c>
      <c r="Y161" t="str">
        <f>IF(NORMALIZADO!BX161="","",NORMALIZADO!BX161)</f>
        <v/>
      </c>
      <c r="Z161" t="str">
        <f>IF(NORMALIZADO!BY161="","",NORMALIZADO!BY161)</f>
        <v/>
      </c>
      <c r="AO161" t="str">
        <f t="shared" si="13"/>
        <v>N/A</v>
      </c>
      <c r="AP161" t="str">
        <f>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f>
        <v>—</v>
      </c>
      <c r="AQ161">
        <f>IF(ISNUMBER(M161),1,0)+IF(ISNUMBER(SCORECARDS!H161),1,0)+IF(ISNUMBER(SCORECARDS!I161),1,0)+IF(ISNUMBER(SCORECARDS!J161),1,0)+IF(ISNUMBER(ISCAM_Score!K162),1,0)+IF(ISNUMBER(O161),1,0)+IF(COUNT(W161:Z161)&gt;0,1,0)</f>
        <v>0</v>
      </c>
      <c r="AT161" t="str">
        <f>IF(NOT(ISNUMBER(AP161)),"sin dato",IF(AND(COUNT(NORMALIZADO!BV161:BY161)&gt;=3,AQ161=7),"completo","parcial · "&amp;AQ161&amp;"/7 · D12-D15 "&amp;COUNT(NORMALIZADO!BV161:BY161)&amp;"/4"))</f>
        <v>sin dato</v>
      </c>
    </row>
    <row r="162" spans="1:46" ht="16.05" customHeight="1" x14ac:dyDescent="0.3">
      <c r="A162" t="s">
        <v>413</v>
      </c>
      <c r="B162" t="s">
        <v>414</v>
      </c>
      <c r="C162" t="s">
        <v>101</v>
      </c>
      <c r="D162" t="s">
        <v>63</v>
      </c>
      <c r="G162" t="s">
        <v>72</v>
      </c>
      <c r="J162" t="s">
        <v>65</v>
      </c>
      <c r="M162" t="str">
        <f t="shared" si="14"/>
        <v/>
      </c>
      <c r="N162" t="s">
        <v>66</v>
      </c>
      <c r="O162" t="str">
        <f t="shared" si="15"/>
        <v/>
      </c>
      <c r="P162" t="s">
        <v>66</v>
      </c>
      <c r="S162" t="str">
        <f t="shared" si="12"/>
        <v>—</v>
      </c>
      <c r="T162" t="str">
        <f>IF(NOT(ISNUMBER(S162)),"⬜  Sin dato PVE",IF(AND(COUNT(NORMALIZADO!BV162:BY162)&gt;=3,AQ162=7),IF(S162&lt;34,"🔴 Crítico",IF(S162&lt;67,"🟡 Vulnerable","🟢 Preparado")),"◐  Parcial · "&amp;AQ162&amp;"/7"))</f>
        <v>⬜  Sin dato PVE</v>
      </c>
      <c r="U162" s="53">
        <v>1</v>
      </c>
      <c r="V162" t="s">
        <v>67</v>
      </c>
      <c r="W162" t="str">
        <f>IF(NORMALIZADO!BV162="","",NORMALIZADO!BV162)</f>
        <v/>
      </c>
      <c r="X162" t="str">
        <f>IF(NORMALIZADO!BW162="","",NORMALIZADO!BW162)</f>
        <v/>
      </c>
      <c r="Y162" t="str">
        <f>IF(NORMALIZADO!BX162="","",NORMALIZADO!BX162)</f>
        <v/>
      </c>
      <c r="Z162" t="str">
        <f>IF(NORMALIZADO!BY162="","",NORMALIZADO!BY162)</f>
        <v/>
      </c>
      <c r="AO162" t="str">
        <f t="shared" si="13"/>
        <v>N/A</v>
      </c>
      <c r="AP162" t="str">
        <f>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f>
        <v>—</v>
      </c>
      <c r="AQ162">
        <f>IF(ISNUMBER(M162),1,0)+IF(ISNUMBER(SCORECARDS!H162),1,0)+IF(ISNUMBER(SCORECARDS!I162),1,0)+IF(ISNUMBER(SCORECARDS!J162),1,0)+IF(ISNUMBER(ISCAM_Score!K163),1,0)+IF(ISNUMBER(O162),1,0)+IF(COUNT(W162:Z162)&gt;0,1,0)</f>
        <v>0</v>
      </c>
      <c r="AT162" t="str">
        <f>IF(NOT(ISNUMBER(AP162)),"sin dato",IF(AND(COUNT(NORMALIZADO!BV162:BY162)&gt;=3,AQ162=7),"completo","parcial · "&amp;AQ162&amp;"/7 · D12-D15 "&amp;COUNT(NORMALIZADO!BV162:BY162)&amp;"/4"))</f>
        <v>sin dato</v>
      </c>
    </row>
    <row r="163" spans="1:46" ht="16.05" customHeight="1" x14ac:dyDescent="0.3">
      <c r="A163" t="s">
        <v>415</v>
      </c>
      <c r="B163" t="s">
        <v>416</v>
      </c>
      <c r="C163" t="s">
        <v>148</v>
      </c>
      <c r="D163" t="s">
        <v>63</v>
      </c>
      <c r="E163">
        <v>3002219.02</v>
      </c>
      <c r="F163">
        <v>19</v>
      </c>
      <c r="G163" t="s">
        <v>64</v>
      </c>
      <c r="J163" t="s">
        <v>65</v>
      </c>
      <c r="L163">
        <v>1501109.51</v>
      </c>
      <c r="M163">
        <f t="shared" si="14"/>
        <v>50</v>
      </c>
      <c r="N163" t="s">
        <v>66</v>
      </c>
      <c r="O163" t="str">
        <f t="shared" si="15"/>
        <v/>
      </c>
      <c r="P163" t="s">
        <v>66</v>
      </c>
      <c r="S163">
        <f t="shared" ref="S163:S176" si="16">IFERROR(ROUND(AP163*100,1),"—")</f>
        <v>50</v>
      </c>
      <c r="T163" t="str">
        <f>IF(NOT(ISNUMBER(S163)),"⬜  Sin dato PVE",IF(AND(COUNT(NORMALIZADO!BV163:BY163)&gt;=3,AQ163=7),IF(S163&lt;34,"🔴 Crítico",IF(S163&lt;67,"🟡 Vulnerable","🟢 Preparado")),"◐  Parcial · "&amp;AQ163&amp;"/7"))</f>
        <v>◐  Parcial · 2/7</v>
      </c>
      <c r="U163" s="53">
        <v>1</v>
      </c>
      <c r="V163" t="s">
        <v>67</v>
      </c>
      <c r="W163">
        <f>IF(NORMALIZADO!BV163="",1,NORMALIZADO!BV163)</f>
        <v>1</v>
      </c>
      <c r="X163" t="str">
        <f>IF(NORMALIZADO!BW163="","",NORMALIZADO!BW163)</f>
        <v/>
      </c>
      <c r="Y163" t="str">
        <f>IF(NORMALIZADO!BX163="","",NORMALIZADO!BX163)</f>
        <v/>
      </c>
      <c r="Z163" t="str">
        <f>IF(NORMALIZADO!BY163="","",NORMALIZADO!BY163)</f>
        <v/>
      </c>
      <c r="AO163" t="str">
        <f t="shared" ref="AO163:AO176" si="17">IFERROR(AVERAGE(AA163,AB163,AC163,AD163,AE163,AF163,AG163,AH163,AI163,AJ163,AK163,AL163,AM163,AN163),"N/A")</f>
        <v>N/A</v>
      </c>
      <c r="AP163">
        <f>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f>
        <v>0.5</v>
      </c>
      <c r="AQ163">
        <f>IF(ISNUMBER(M163),1,0)+IF(ISNUMBER(SCORECARDS!H163),1,0)+IF(ISNUMBER(SCORECARDS!I163),1,0)+IF(ISNUMBER(SCORECARDS!J163),1,0)+IF(ISNUMBER(ISCAM_Score!K164),1,0)+IF(ISNUMBER(O163),1,0)+IF(COUNT(W163:Z163)&gt;0,1,0)</f>
        <v>2</v>
      </c>
      <c r="AT163" t="str">
        <f>IF(NOT(ISNUMBER(AP163)),"sin dato",IF(AND(COUNT(NORMALIZADO!BV163:BY163)&gt;=3,AQ163=7),"completo","parcial · "&amp;AQ163&amp;"/7 · D12-D15 "&amp;COUNT(NORMALIZADO!BV163:BY163)&amp;"/4"))</f>
        <v>parcial · 2/7 · D12-D15 0/4</v>
      </c>
    </row>
    <row r="164" spans="1:46" ht="16.05" customHeight="1" x14ac:dyDescent="0.3">
      <c r="A164" t="s">
        <v>417</v>
      </c>
      <c r="B164" t="s">
        <v>418</v>
      </c>
      <c r="C164" t="s">
        <v>110</v>
      </c>
      <c r="D164" t="s">
        <v>71</v>
      </c>
      <c r="G164" t="s">
        <v>72</v>
      </c>
      <c r="J164" t="s">
        <v>65</v>
      </c>
      <c r="M164" t="str">
        <f t="shared" si="14"/>
        <v/>
      </c>
      <c r="N164" t="s">
        <v>66</v>
      </c>
      <c r="O164" t="str">
        <f t="shared" si="15"/>
        <v/>
      </c>
      <c r="P164" t="s">
        <v>66</v>
      </c>
      <c r="S164" t="str">
        <f t="shared" si="16"/>
        <v>—</v>
      </c>
      <c r="T164" t="str">
        <f>IF(NOT(ISNUMBER(S164)),"⬜  Sin dato PVE",IF(AND(COUNT(NORMALIZADO!BV164:BY164)&gt;=3,AQ164=7),IF(S164&lt;34,"🔴 Crítico",IF(S164&lt;67,"🟡 Vulnerable","🟢 Preparado")),"◐  Parcial · "&amp;AQ164&amp;"/7"))</f>
        <v>⬜  Sin dato PVE</v>
      </c>
      <c r="U164" s="53">
        <v>1</v>
      </c>
      <c r="V164" t="s">
        <v>67</v>
      </c>
      <c r="W164" t="str">
        <f>IF(NORMALIZADO!BV164="","",NORMALIZADO!BV164)</f>
        <v/>
      </c>
      <c r="X164" t="str">
        <f>IF(NORMALIZADO!BW164="","",NORMALIZADO!BW164)</f>
        <v/>
      </c>
      <c r="Y164" t="str">
        <f>IF(NORMALIZADO!BX164="","",NORMALIZADO!BX164)</f>
        <v/>
      </c>
      <c r="Z164" t="str">
        <f>IF(NORMALIZADO!BY164="","",NORMALIZADO!BY164)</f>
        <v/>
      </c>
      <c r="AO164" t="str">
        <f t="shared" si="17"/>
        <v>N/A</v>
      </c>
      <c r="AP164" t="str">
        <f>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f>
        <v>—</v>
      </c>
      <c r="AQ164">
        <f>IF(ISNUMBER(M164),1,0)+IF(ISNUMBER(SCORECARDS!H164),1,0)+IF(ISNUMBER(SCORECARDS!I164),1,0)+IF(ISNUMBER(SCORECARDS!J164),1,0)+IF(ISNUMBER(ISCAM_Score!K165),1,0)+IF(ISNUMBER(O164),1,0)+IF(COUNT(W164:Z164)&gt;0,1,0)</f>
        <v>0</v>
      </c>
      <c r="AT164" t="str">
        <f>IF(NOT(ISNUMBER(AP164)),"sin dato",IF(AND(COUNT(NORMALIZADO!BV164:BY164)&gt;=3,AQ164=7),"completo","parcial · "&amp;AQ164&amp;"/7 · D12-D15 "&amp;COUNT(NORMALIZADO!BV164:BY164)&amp;"/4"))</f>
        <v>sin dato</v>
      </c>
    </row>
    <row r="165" spans="1:46" ht="16.05" customHeight="1" x14ac:dyDescent="0.3">
      <c r="A165" t="s">
        <v>419</v>
      </c>
      <c r="B165" t="s">
        <v>420</v>
      </c>
      <c r="C165" t="s">
        <v>177</v>
      </c>
      <c r="D165" t="s">
        <v>63</v>
      </c>
      <c r="G165" t="s">
        <v>72</v>
      </c>
      <c r="J165" t="s">
        <v>122</v>
      </c>
      <c r="M165" t="str">
        <f t="shared" si="14"/>
        <v/>
      </c>
      <c r="N165" t="s">
        <v>66</v>
      </c>
      <c r="O165" t="str">
        <f t="shared" si="15"/>
        <v/>
      </c>
      <c r="P165" t="s">
        <v>66</v>
      </c>
      <c r="S165" t="str">
        <f t="shared" si="16"/>
        <v>—</v>
      </c>
      <c r="T165" t="str">
        <f>IF(NOT(ISNUMBER(S165)),"⬜  Sin dato PVE",IF(AND(COUNT(NORMALIZADO!BV165:BY165)&gt;=3,AQ165=7),IF(S165&lt;34,"🔴 Crítico",IF(S165&lt;67,"🟡 Vulnerable","🟢 Preparado")),"◐  Parcial · "&amp;AQ165&amp;"/7"))</f>
        <v>⬜  Sin dato PVE</v>
      </c>
      <c r="U165" s="53">
        <v>1</v>
      </c>
      <c r="V165" t="s">
        <v>67</v>
      </c>
      <c r="W165" t="str">
        <f>IF(NORMALIZADO!BV165="","",NORMALIZADO!BV165)</f>
        <v/>
      </c>
      <c r="X165" t="str">
        <f>IF(NORMALIZADO!BW165="","",NORMALIZADO!BW165)</f>
        <v/>
      </c>
      <c r="Y165" t="str">
        <f>IF(NORMALIZADO!BX165="","",NORMALIZADO!BX165)</f>
        <v/>
      </c>
      <c r="Z165" t="str">
        <f>IF(NORMALIZADO!BY165="","",NORMALIZADO!BY165)</f>
        <v/>
      </c>
      <c r="AO165" t="str">
        <f t="shared" si="17"/>
        <v>N/A</v>
      </c>
      <c r="AP165" t="str">
        <f>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f>
        <v>—</v>
      </c>
      <c r="AQ165">
        <f>IF(ISNUMBER(M165),1,0)+IF(ISNUMBER(SCORECARDS!H165),1,0)+IF(ISNUMBER(SCORECARDS!I165),1,0)+IF(ISNUMBER(SCORECARDS!J165),1,0)+IF(ISNUMBER(ISCAM_Score!K166),1,0)+IF(ISNUMBER(O165),1,0)+IF(COUNT(W165:Z165)&gt;0,1,0)</f>
        <v>0</v>
      </c>
      <c r="AT165" t="str">
        <f>IF(NOT(ISNUMBER(AP165)),"sin dato",IF(AND(COUNT(NORMALIZADO!BV165:BY165)&gt;=3,AQ165=7),"completo","parcial · "&amp;AQ165&amp;"/7 · D12-D15 "&amp;COUNT(NORMALIZADO!BV165:BY165)&amp;"/4"))</f>
        <v>sin dato</v>
      </c>
    </row>
    <row r="166" spans="1:46" ht="16.05" customHeight="1" x14ac:dyDescent="0.3">
      <c r="A166" t="s">
        <v>421</v>
      </c>
      <c r="B166" t="s">
        <v>422</v>
      </c>
      <c r="C166" t="s">
        <v>239</v>
      </c>
      <c r="D166" t="s">
        <v>71</v>
      </c>
      <c r="G166" t="s">
        <v>72</v>
      </c>
      <c r="J166" t="s">
        <v>65</v>
      </c>
      <c r="M166" t="str">
        <f t="shared" si="14"/>
        <v/>
      </c>
      <c r="N166" t="s">
        <v>66</v>
      </c>
      <c r="O166" t="str">
        <f t="shared" si="15"/>
        <v/>
      </c>
      <c r="P166" t="s">
        <v>66</v>
      </c>
      <c r="S166" t="str">
        <f t="shared" si="16"/>
        <v>—</v>
      </c>
      <c r="T166" t="str">
        <f>IF(NOT(ISNUMBER(S166)),"⬜  Sin dato PVE",IF(AND(COUNT(NORMALIZADO!BV166:BY166)&gt;=3,AQ166=7),IF(S166&lt;34,"🔴 Crítico",IF(S166&lt;67,"🟡 Vulnerable","🟢 Preparado")),"◐  Parcial · "&amp;AQ166&amp;"/7"))</f>
        <v>⬜  Sin dato PVE</v>
      </c>
      <c r="U166" s="53">
        <v>1</v>
      </c>
      <c r="V166" t="s">
        <v>67</v>
      </c>
      <c r="W166" t="str">
        <f>IF(NORMALIZADO!BV166="","",NORMALIZADO!BV166)</f>
        <v/>
      </c>
      <c r="X166" t="str">
        <f>IF(NORMALIZADO!BW166="","",NORMALIZADO!BW166)</f>
        <v/>
      </c>
      <c r="Y166" t="str">
        <f>IF(NORMALIZADO!BX166="","",NORMALIZADO!BX166)</f>
        <v/>
      </c>
      <c r="Z166" t="str">
        <f>IF(NORMALIZADO!BY166="","",NORMALIZADO!BY166)</f>
        <v/>
      </c>
      <c r="AO166" t="str">
        <f t="shared" si="17"/>
        <v>N/A</v>
      </c>
      <c r="AP166" t="str">
        <f>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f>
        <v>—</v>
      </c>
      <c r="AQ166">
        <f>IF(ISNUMBER(M166),1,0)+IF(ISNUMBER(SCORECARDS!H166),1,0)+IF(ISNUMBER(SCORECARDS!I166),1,0)+IF(ISNUMBER(SCORECARDS!J166),1,0)+IF(ISNUMBER(ISCAM_Score!K167),1,0)+IF(ISNUMBER(O166),1,0)+IF(COUNT(W166:Z166)&gt;0,1,0)</f>
        <v>0</v>
      </c>
      <c r="AT166" t="str">
        <f>IF(NOT(ISNUMBER(AP166)),"sin dato",IF(AND(COUNT(NORMALIZADO!BV166:BY166)&gt;=3,AQ166=7),"completo","parcial · "&amp;AQ166&amp;"/7 · D12-D15 "&amp;COUNT(NORMALIZADO!BV166:BY166)&amp;"/4"))</f>
        <v>sin dato</v>
      </c>
    </row>
    <row r="167" spans="1:46" ht="16.05" customHeight="1" x14ac:dyDescent="0.3">
      <c r="A167" t="s">
        <v>423</v>
      </c>
      <c r="B167" t="s">
        <v>424</v>
      </c>
      <c r="C167" t="s">
        <v>137</v>
      </c>
      <c r="D167" t="s">
        <v>71</v>
      </c>
      <c r="E167">
        <v>4097</v>
      </c>
      <c r="F167">
        <v>2</v>
      </c>
      <c r="G167" t="s">
        <v>64</v>
      </c>
      <c r="J167" t="s">
        <v>65</v>
      </c>
      <c r="L167">
        <v>0</v>
      </c>
      <c r="M167">
        <f t="shared" si="14"/>
        <v>0</v>
      </c>
      <c r="N167" t="s">
        <v>66</v>
      </c>
      <c r="O167" t="str">
        <f t="shared" si="15"/>
        <v/>
      </c>
      <c r="P167" t="s">
        <v>66</v>
      </c>
      <c r="S167">
        <f t="shared" si="16"/>
        <v>0</v>
      </c>
      <c r="T167" t="str">
        <f>IF(NOT(ISNUMBER(S167)),"⬜  Sin dato PVE",IF(AND(COUNT(NORMALIZADO!BV167:BY167)&gt;=3,AQ167=7),IF(S167&lt;34,"🔴 Crítico",IF(S167&lt;67,"🟡 Vulnerable","🟢 Preparado")),"◐  Parcial · "&amp;AQ167&amp;"/7"))</f>
        <v>◐  Parcial · 1/7</v>
      </c>
      <c r="U167" s="53">
        <v>1</v>
      </c>
      <c r="V167" t="s">
        <v>67</v>
      </c>
      <c r="W167" t="str">
        <f>IF(NORMALIZADO!BV167="","",NORMALIZADO!BV167)</f>
        <v/>
      </c>
      <c r="X167" t="str">
        <f>IF(NORMALIZADO!BW167="","",NORMALIZADO!BW167)</f>
        <v/>
      </c>
      <c r="Y167" t="str">
        <f>IF(NORMALIZADO!BX167="","",NORMALIZADO!BX167)</f>
        <v/>
      </c>
      <c r="Z167" t="str">
        <f>IF(NORMALIZADO!BY167="","",NORMALIZADO!BY167)</f>
        <v/>
      </c>
      <c r="AO167" t="str">
        <f t="shared" si="17"/>
        <v>N/A</v>
      </c>
      <c r="AP167">
        <f>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f>
        <v>0</v>
      </c>
      <c r="AQ167">
        <f>IF(ISNUMBER(M167),1,0)+IF(ISNUMBER(SCORECARDS!H167),1,0)+IF(ISNUMBER(SCORECARDS!I167),1,0)+IF(ISNUMBER(SCORECARDS!J167),1,0)+IF(ISNUMBER(ISCAM_Score!K168),1,0)+IF(ISNUMBER(O167),1,0)+IF(COUNT(W167:Z167)&gt;0,1,0)</f>
        <v>1</v>
      </c>
      <c r="AT167" t="str">
        <f>IF(NOT(ISNUMBER(AP167)),"sin dato",IF(AND(COUNT(NORMALIZADO!BV167:BY167)&gt;=3,AQ167=7),"completo","parcial · "&amp;AQ167&amp;"/7 · D12-D15 "&amp;COUNT(NORMALIZADO!BV167:BY167)&amp;"/4"))</f>
        <v>parcial · 1/7 · D12-D15 0/4</v>
      </c>
    </row>
    <row r="168" spans="1:46" ht="16.05" customHeight="1" x14ac:dyDescent="0.3">
      <c r="A168" t="s">
        <v>425</v>
      </c>
      <c r="B168" t="s">
        <v>426</v>
      </c>
      <c r="C168" t="s">
        <v>110</v>
      </c>
      <c r="D168" t="s">
        <v>71</v>
      </c>
      <c r="E168">
        <v>19111.5</v>
      </c>
      <c r="F168">
        <v>1</v>
      </c>
      <c r="G168" t="s">
        <v>64</v>
      </c>
      <c r="J168" t="s">
        <v>65</v>
      </c>
      <c r="L168">
        <v>0</v>
      </c>
      <c r="M168">
        <f t="shared" si="14"/>
        <v>0</v>
      </c>
      <c r="N168" t="s">
        <v>66</v>
      </c>
      <c r="O168" t="str">
        <f t="shared" si="15"/>
        <v/>
      </c>
      <c r="P168" t="s">
        <v>66</v>
      </c>
      <c r="S168">
        <f t="shared" si="16"/>
        <v>0</v>
      </c>
      <c r="T168" t="str">
        <f>IF(NOT(ISNUMBER(S168)),"⬜  Sin dato PVE",IF(AND(COUNT(NORMALIZADO!BV168:BY168)&gt;=3,AQ168=7),IF(S168&lt;34,"🔴 Crítico",IF(S168&lt;67,"🟡 Vulnerable","🟢 Preparado")),"◐  Parcial · "&amp;AQ168&amp;"/7"))</f>
        <v>◐  Parcial · 1/7</v>
      </c>
      <c r="U168" s="53">
        <v>1</v>
      </c>
      <c r="V168" t="s">
        <v>67</v>
      </c>
      <c r="W168" t="str">
        <f>IF(NORMALIZADO!BV168="","",NORMALIZADO!BV168)</f>
        <v/>
      </c>
      <c r="X168" t="str">
        <f>IF(NORMALIZADO!BW168="","",NORMALIZADO!BW168)</f>
        <v/>
      </c>
      <c r="Y168" t="str">
        <f>IF(NORMALIZADO!BX168="","",NORMALIZADO!BX168)</f>
        <v/>
      </c>
      <c r="Z168" t="str">
        <f>IF(NORMALIZADO!BY168="","",NORMALIZADO!BY168)</f>
        <v/>
      </c>
      <c r="AO168" t="str">
        <f t="shared" si="17"/>
        <v>N/A</v>
      </c>
      <c r="AP168">
        <f>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f>
        <v>0</v>
      </c>
      <c r="AQ168">
        <f>IF(ISNUMBER(M168),1,0)+IF(ISNUMBER(SCORECARDS!H168),1,0)+IF(ISNUMBER(SCORECARDS!I168),1,0)+IF(ISNUMBER(SCORECARDS!J168),1,0)+IF(ISNUMBER(ISCAM_Score!K169),1,0)+IF(ISNUMBER(O168),1,0)+IF(COUNT(W168:Z168)&gt;0,1,0)</f>
        <v>1</v>
      </c>
      <c r="AT168" t="str">
        <f>IF(NOT(ISNUMBER(AP168)),"sin dato",IF(AND(COUNT(NORMALIZADO!BV168:BY168)&gt;=3,AQ168=7),"completo","parcial · "&amp;AQ168&amp;"/7 · D12-D15 "&amp;COUNT(NORMALIZADO!BV168:BY168)&amp;"/4"))</f>
        <v>parcial · 1/7 · D12-D15 0/4</v>
      </c>
    </row>
    <row r="169" spans="1:46" ht="16.05" customHeight="1" x14ac:dyDescent="0.3">
      <c r="A169" t="s">
        <v>427</v>
      </c>
      <c r="B169" t="s">
        <v>428</v>
      </c>
      <c r="C169" t="s">
        <v>148</v>
      </c>
      <c r="D169" t="s">
        <v>63</v>
      </c>
      <c r="G169" t="s">
        <v>72</v>
      </c>
      <c r="J169" t="s">
        <v>65</v>
      </c>
      <c r="M169" t="str">
        <f t="shared" si="14"/>
        <v/>
      </c>
      <c r="N169" t="s">
        <v>66</v>
      </c>
      <c r="O169" t="str">
        <f t="shared" si="15"/>
        <v/>
      </c>
      <c r="P169" t="s">
        <v>66</v>
      </c>
      <c r="S169" t="str">
        <f t="shared" si="16"/>
        <v>—</v>
      </c>
      <c r="T169" t="str">
        <f>IF(NOT(ISNUMBER(S169)),"⬜  Sin dato PVE",IF(AND(COUNT(NORMALIZADO!BV169:BY169)&gt;=3,AQ169=7),IF(S169&lt;34,"🔴 Crítico",IF(S169&lt;67,"🟡 Vulnerable","🟢 Preparado")),"◐  Parcial · "&amp;AQ169&amp;"/7"))</f>
        <v>⬜  Sin dato PVE</v>
      </c>
      <c r="U169" s="53">
        <v>1</v>
      </c>
      <c r="V169" t="s">
        <v>67</v>
      </c>
      <c r="W169" t="str">
        <f>IF(NORMALIZADO!BV169="","",NORMALIZADO!BV169)</f>
        <v/>
      </c>
      <c r="X169" t="str">
        <f>IF(NORMALIZADO!BW169="","",NORMALIZADO!BW169)</f>
        <v/>
      </c>
      <c r="Y169" t="str">
        <f>IF(NORMALIZADO!BX169="","",NORMALIZADO!BX169)</f>
        <v/>
      </c>
      <c r="Z169" t="str">
        <f>IF(NORMALIZADO!BY169="","",NORMALIZADO!BY169)</f>
        <v/>
      </c>
      <c r="AO169" t="str">
        <f t="shared" si="17"/>
        <v>N/A</v>
      </c>
      <c r="AP169" t="str">
        <f>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f>
        <v>—</v>
      </c>
      <c r="AQ169">
        <f>IF(ISNUMBER(M169),1,0)+IF(ISNUMBER(SCORECARDS!H169),1,0)+IF(ISNUMBER(SCORECARDS!I169),1,0)+IF(ISNUMBER(SCORECARDS!J169),1,0)+IF(ISNUMBER(ISCAM_Score!K170),1,0)+IF(ISNUMBER(O169),1,0)+IF(COUNT(W169:Z169)&gt;0,1,0)</f>
        <v>0</v>
      </c>
      <c r="AT169" t="str">
        <f>IF(NOT(ISNUMBER(AP169)),"sin dato",IF(AND(COUNT(NORMALIZADO!BV169:BY169)&gt;=3,AQ169=7),"completo","parcial · "&amp;AQ169&amp;"/7 · D12-D15 "&amp;COUNT(NORMALIZADO!BV169:BY169)&amp;"/4"))</f>
        <v>sin dato</v>
      </c>
    </row>
    <row r="170" spans="1:46" ht="16.05" customHeight="1" x14ac:dyDescent="0.3">
      <c r="A170" t="s">
        <v>429</v>
      </c>
      <c r="B170" t="s">
        <v>430</v>
      </c>
      <c r="C170" t="s">
        <v>107</v>
      </c>
      <c r="D170" t="s">
        <v>71</v>
      </c>
      <c r="E170">
        <v>1265261.8999999999</v>
      </c>
      <c r="F170">
        <v>6</v>
      </c>
      <c r="G170" t="s">
        <v>64</v>
      </c>
      <c r="J170" t="s">
        <v>65</v>
      </c>
      <c r="L170">
        <v>0</v>
      </c>
      <c r="M170">
        <f t="shared" si="14"/>
        <v>0</v>
      </c>
      <c r="N170" t="s">
        <v>66</v>
      </c>
      <c r="O170" t="str">
        <f t="shared" si="15"/>
        <v/>
      </c>
      <c r="P170" t="s">
        <v>66</v>
      </c>
      <c r="S170">
        <f t="shared" si="16"/>
        <v>0</v>
      </c>
      <c r="T170" t="str">
        <f>IF(NOT(ISNUMBER(S170)),"⬜  Sin dato PVE",IF(AND(COUNT(NORMALIZADO!BV170:BY170)&gt;=3,AQ170=7),IF(S170&lt;34,"🔴 Crítico",IF(S170&lt;67,"🟡 Vulnerable","🟢 Preparado")),"◐  Parcial · "&amp;AQ170&amp;"/7"))</f>
        <v>◐  Parcial · 1/7</v>
      </c>
      <c r="U170" s="53">
        <v>1</v>
      </c>
      <c r="V170" t="s">
        <v>67</v>
      </c>
      <c r="W170" t="str">
        <f>IF(NORMALIZADO!BV170="","",NORMALIZADO!BV170)</f>
        <v/>
      </c>
      <c r="X170" t="str">
        <f>IF(NORMALIZADO!BW170="","",NORMALIZADO!BW170)</f>
        <v/>
      </c>
      <c r="Y170" t="str">
        <f>IF(NORMALIZADO!BX170="","",NORMALIZADO!BX170)</f>
        <v/>
      </c>
      <c r="Z170" t="str">
        <f>IF(NORMALIZADO!BY170="","",NORMALIZADO!BY170)</f>
        <v/>
      </c>
      <c r="AO170" t="str">
        <f t="shared" si="17"/>
        <v>N/A</v>
      </c>
      <c r="AP170">
        <f>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f>
        <v>0</v>
      </c>
      <c r="AQ170">
        <f>IF(ISNUMBER(M170),1,0)+IF(ISNUMBER(SCORECARDS!H170),1,0)+IF(ISNUMBER(SCORECARDS!I170),1,0)+IF(ISNUMBER(SCORECARDS!J170),1,0)+IF(ISNUMBER(ISCAM_Score!K171),1,0)+IF(ISNUMBER(O170),1,0)+IF(COUNT(W170:Z170)&gt;0,1,0)</f>
        <v>1</v>
      </c>
      <c r="AT170" t="str">
        <f>IF(NOT(ISNUMBER(AP170)),"sin dato",IF(AND(COUNT(NORMALIZADO!BV170:BY170)&gt;=3,AQ170=7),"completo","parcial · "&amp;AQ170&amp;"/7 · D12-D15 "&amp;COUNT(NORMALIZADO!BV170:BY170)&amp;"/4"))</f>
        <v>parcial · 1/7 · D12-D15 0/4</v>
      </c>
    </row>
    <row r="171" spans="1:46" ht="16.05" customHeight="1" x14ac:dyDescent="0.3">
      <c r="A171" t="s">
        <v>431</v>
      </c>
      <c r="B171" t="s">
        <v>432</v>
      </c>
      <c r="C171" t="s">
        <v>137</v>
      </c>
      <c r="D171" t="s">
        <v>63</v>
      </c>
      <c r="G171" t="s">
        <v>72</v>
      </c>
      <c r="H171" t="s">
        <v>64</v>
      </c>
      <c r="I171" t="s">
        <v>72</v>
      </c>
      <c r="J171" t="s">
        <v>65</v>
      </c>
      <c r="K171" t="s">
        <v>403</v>
      </c>
      <c r="M171" t="str">
        <f t="shared" si="14"/>
        <v/>
      </c>
      <c r="N171" t="s">
        <v>66</v>
      </c>
      <c r="O171">
        <f t="shared" si="15"/>
        <v>0.6</v>
      </c>
      <c r="P171" t="s">
        <v>66</v>
      </c>
      <c r="Q171">
        <v>698</v>
      </c>
      <c r="R171">
        <v>921.1</v>
      </c>
      <c r="S171">
        <f t="shared" si="16"/>
        <v>52.9</v>
      </c>
      <c r="T171" t="str">
        <f>IF(NOT(ISNUMBER(S171)),"⬜  Sin dato PVE",IF(AND(COUNT(NORMALIZADO!BV171:BY171)&gt;=3,AQ171=7),IF(S171&lt;34,"🔴 Crítico",IF(S171&lt;67,"🟡 Vulnerable","🟢 Preparado")),"◐  Parcial · "&amp;AQ171&amp;"/7"))</f>
        <v>◐  Parcial · 2/7</v>
      </c>
      <c r="U171" s="53">
        <v>1</v>
      </c>
      <c r="V171" t="s">
        <v>67</v>
      </c>
      <c r="W171">
        <f>IF(NORMALIZADO!BV171="",1,NORMALIZADO!BV171)</f>
        <v>1</v>
      </c>
      <c r="X171" t="str">
        <f>IF(NORMALIZADO!BW171="","",NORMALIZADO!BW171)</f>
        <v/>
      </c>
      <c r="Y171" t="str">
        <f>IF(NORMALIZADO!BX171="","",NORMALIZADO!BX171)</f>
        <v/>
      </c>
      <c r="Z171" t="str">
        <f>IF(NORMALIZADO!BY171="","",NORMALIZADO!BY171)</f>
        <v/>
      </c>
      <c r="AO171" t="str">
        <f t="shared" si="17"/>
        <v>N/A</v>
      </c>
      <c r="AP171">
        <f>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f>
        <v>0.52857142857142858</v>
      </c>
      <c r="AQ171">
        <f>IF(ISNUMBER(M171),1,0)+IF(ISNUMBER(SCORECARDS!H171),1,0)+IF(ISNUMBER(SCORECARDS!I171),1,0)+IF(ISNUMBER(SCORECARDS!J171),1,0)+IF(ISNUMBER(ISCAM_Score!K172),1,0)+IF(ISNUMBER(O171),1,0)+IF(COUNT(W171:Z171)&gt;0,1,0)</f>
        <v>2</v>
      </c>
      <c r="AR171" t="s">
        <v>1559</v>
      </c>
      <c r="AS171" t="s">
        <v>1289</v>
      </c>
      <c r="AT171" t="str">
        <f>IF(NOT(ISNUMBER(AP171)),"sin dato",IF(AND(COUNT(NORMALIZADO!BV171:BY171)&gt;=3,AQ171=7),"completo","parcial · "&amp;AQ171&amp;"/7 · D12-D15 "&amp;COUNT(NORMALIZADO!BV171:BY171)&amp;"/4"))</f>
        <v>parcial · 2/7 · D12-D15 0/4</v>
      </c>
    </row>
    <row r="172" spans="1:46" ht="16.05" customHeight="1" x14ac:dyDescent="0.3">
      <c r="A172" t="s">
        <v>433</v>
      </c>
      <c r="B172" t="s">
        <v>434</v>
      </c>
      <c r="C172" t="s">
        <v>110</v>
      </c>
      <c r="D172" t="s">
        <v>63</v>
      </c>
      <c r="G172" t="s">
        <v>72</v>
      </c>
      <c r="J172" t="s">
        <v>65</v>
      </c>
      <c r="M172" t="str">
        <f t="shared" si="14"/>
        <v/>
      </c>
      <c r="N172" t="s">
        <v>66</v>
      </c>
      <c r="O172" t="str">
        <f t="shared" si="15"/>
        <v/>
      </c>
      <c r="P172" t="s">
        <v>66</v>
      </c>
      <c r="S172" t="str">
        <f t="shared" si="16"/>
        <v>—</v>
      </c>
      <c r="T172" t="str">
        <f>IF(NOT(ISNUMBER(S172)),"⬜  Sin dato PVE",IF(AND(COUNT(NORMALIZADO!BV172:BY172)&gt;=3,AQ172=7),IF(S172&lt;34,"🔴 Crítico",IF(S172&lt;67,"🟡 Vulnerable","🟢 Preparado")),"◐  Parcial · "&amp;AQ172&amp;"/7"))</f>
        <v>⬜  Sin dato PVE</v>
      </c>
      <c r="U172" s="53">
        <v>1</v>
      </c>
      <c r="V172" t="s">
        <v>67</v>
      </c>
      <c r="W172" t="str">
        <f>IF(NORMALIZADO!BV172="","",NORMALIZADO!BV172)</f>
        <v/>
      </c>
      <c r="X172" t="str">
        <f>IF(NORMALIZADO!BW172="","",NORMALIZADO!BW172)</f>
        <v/>
      </c>
      <c r="Y172" t="str">
        <f>IF(NORMALIZADO!BX172="","",NORMALIZADO!BX172)</f>
        <v/>
      </c>
      <c r="Z172" t="str">
        <f>IF(NORMALIZADO!BY172="","",NORMALIZADO!BY172)</f>
        <v/>
      </c>
      <c r="AO172" t="str">
        <f t="shared" si="17"/>
        <v>N/A</v>
      </c>
      <c r="AP172" t="str">
        <f>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f>
        <v>—</v>
      </c>
      <c r="AQ172">
        <f>IF(ISNUMBER(M172),1,0)+IF(ISNUMBER(SCORECARDS!H172),1,0)+IF(ISNUMBER(SCORECARDS!I172),1,0)+IF(ISNUMBER(SCORECARDS!J172),1,0)+IF(ISNUMBER(ISCAM_Score!K173),1,0)+IF(ISNUMBER(O172),1,0)+IF(COUNT(W172:Z172)&gt;0,1,0)</f>
        <v>0</v>
      </c>
      <c r="AT172" t="str">
        <f>IF(NOT(ISNUMBER(AP172)),"sin dato",IF(AND(COUNT(NORMALIZADO!BV172:BY172)&gt;=3,AQ172=7),"completo","parcial · "&amp;AQ172&amp;"/7 · D12-D15 "&amp;COUNT(NORMALIZADO!BV172:BY172)&amp;"/4"))</f>
        <v>sin dato</v>
      </c>
    </row>
    <row r="173" spans="1:46" ht="16.05" customHeight="1" x14ac:dyDescent="0.3">
      <c r="A173" t="s">
        <v>435</v>
      </c>
      <c r="B173" t="s">
        <v>436</v>
      </c>
      <c r="C173" t="s">
        <v>177</v>
      </c>
      <c r="D173" t="s">
        <v>63</v>
      </c>
      <c r="G173" t="s">
        <v>72</v>
      </c>
      <c r="J173" t="s">
        <v>122</v>
      </c>
      <c r="M173" t="str">
        <f t="shared" si="14"/>
        <v/>
      </c>
      <c r="N173" t="s">
        <v>66</v>
      </c>
      <c r="O173" t="str">
        <f t="shared" si="15"/>
        <v/>
      </c>
      <c r="P173" t="s">
        <v>66</v>
      </c>
      <c r="S173" t="str">
        <f t="shared" si="16"/>
        <v>—</v>
      </c>
      <c r="T173" t="str">
        <f>IF(NOT(ISNUMBER(S173)),"⬜  Sin dato PVE",IF(AND(COUNT(NORMALIZADO!BV173:BY173)&gt;=3,AQ173=7),IF(S173&lt;34,"🔴 Crítico",IF(S173&lt;67,"🟡 Vulnerable","🟢 Preparado")),"◐  Parcial · "&amp;AQ173&amp;"/7"))</f>
        <v>⬜  Sin dato PVE</v>
      </c>
      <c r="U173" s="53">
        <v>1</v>
      </c>
      <c r="V173" t="s">
        <v>67</v>
      </c>
      <c r="W173" t="str">
        <f>IF(NORMALIZADO!BV173="","",NORMALIZADO!BV173)</f>
        <v/>
      </c>
      <c r="X173" t="str">
        <f>IF(NORMALIZADO!BW173="","",NORMALIZADO!BW173)</f>
        <v/>
      </c>
      <c r="Y173" t="str">
        <f>IF(NORMALIZADO!BX173="","",NORMALIZADO!BX173)</f>
        <v/>
      </c>
      <c r="Z173" t="str">
        <f>IF(NORMALIZADO!BY173="","",NORMALIZADO!BY173)</f>
        <v/>
      </c>
      <c r="AO173" t="str">
        <f t="shared" si="17"/>
        <v>N/A</v>
      </c>
      <c r="AP173" t="str">
        <f>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f>
        <v>—</v>
      </c>
      <c r="AQ173">
        <f>IF(ISNUMBER(M173),1,0)+IF(ISNUMBER(SCORECARDS!H173),1,0)+IF(ISNUMBER(SCORECARDS!I173),1,0)+IF(ISNUMBER(SCORECARDS!J173),1,0)+IF(ISNUMBER(ISCAM_Score!K174),1,0)+IF(ISNUMBER(O173),1,0)+IF(COUNT(W173:Z173)&gt;0,1,0)</f>
        <v>0</v>
      </c>
      <c r="AT173" t="str">
        <f>IF(NOT(ISNUMBER(AP173)),"sin dato",IF(AND(COUNT(NORMALIZADO!BV173:BY173)&gt;=3,AQ173=7),"completo","parcial · "&amp;AQ173&amp;"/7 · D12-D15 "&amp;COUNT(NORMALIZADO!BV173:BY173)&amp;"/4"))</f>
        <v>sin dato</v>
      </c>
    </row>
    <row r="174" spans="1:46" ht="16.05" customHeight="1" x14ac:dyDescent="0.3">
      <c r="A174" t="s">
        <v>437</v>
      </c>
      <c r="C174" t="s">
        <v>438</v>
      </c>
      <c r="M174" t="str">
        <f t="shared" si="14"/>
        <v/>
      </c>
      <c r="N174" t="s">
        <v>66</v>
      </c>
      <c r="O174" t="str">
        <f t="shared" si="15"/>
        <v/>
      </c>
      <c r="P174" t="s">
        <v>66</v>
      </c>
      <c r="S174" t="str">
        <f t="shared" si="16"/>
        <v>—</v>
      </c>
      <c r="T174" t="str">
        <f>IF(NOT(ISNUMBER(S174)),"⬜  Sin dato PVE",IF(AND(COUNT(NORMALIZADO!BV174:BY174)&gt;=3,AQ174=7),IF(S174&lt;34,"🔴 Crítico",IF(S174&lt;67,"🟡 Vulnerable","🟢 Preparado")),"◐  Parcial · "&amp;AQ174&amp;"/7"))</f>
        <v>⬜  Sin dato PVE</v>
      </c>
      <c r="U174" s="53">
        <v>1</v>
      </c>
      <c r="V174" t="s">
        <v>67</v>
      </c>
      <c r="W174" t="str">
        <f>IF(NORMALIZADO!BV174="","",NORMALIZADO!BV174)</f>
        <v/>
      </c>
      <c r="X174" t="str">
        <f>IF(NORMALIZADO!BW174="","",NORMALIZADO!BW174)</f>
        <v/>
      </c>
      <c r="Y174" t="str">
        <f>IF(NORMALIZADO!BX174="","",NORMALIZADO!BX174)</f>
        <v/>
      </c>
      <c r="Z174" t="str">
        <f>IF(NORMALIZADO!BY174="","",NORMALIZADO!BY174)</f>
        <v/>
      </c>
      <c r="AO174" t="str">
        <f t="shared" si="17"/>
        <v>N/A</v>
      </c>
      <c r="AP174" t="str">
        <f>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f>
        <v>—</v>
      </c>
      <c r="AQ174">
        <f>IF(ISNUMBER(M174),1,0)+IF(ISNUMBER(SCORECARDS!H174),1,0)+IF(ISNUMBER(SCORECARDS!I174),1,0)+IF(ISNUMBER(SCORECARDS!J174),1,0)+IF(ISNUMBER(ISCAM_Score!K175),1,0)+IF(ISNUMBER(O174),1,0)+IF(COUNT(W174:Z174)&gt;0,1,0)</f>
        <v>0</v>
      </c>
      <c r="AT174" t="str">
        <f>IF(NOT(ISNUMBER(AP174)),"sin dato",IF(AND(COUNT(NORMALIZADO!BV174:BY174)&gt;=3,AQ174=7),"completo","parcial · "&amp;AQ174&amp;"/7 · D12-D15 "&amp;COUNT(NORMALIZADO!BV174:BY174)&amp;"/4"))</f>
        <v>sin dato</v>
      </c>
    </row>
    <row r="175" spans="1:46" ht="16.05" customHeight="1" x14ac:dyDescent="0.3">
      <c r="A175" t="s">
        <v>439</v>
      </c>
      <c r="B175" t="s">
        <v>440</v>
      </c>
      <c r="C175" t="s">
        <v>107</v>
      </c>
      <c r="D175" t="s">
        <v>71</v>
      </c>
      <c r="E175">
        <v>7723335.0299999993</v>
      </c>
      <c r="F175">
        <v>17</v>
      </c>
      <c r="G175" t="s">
        <v>64</v>
      </c>
      <c r="J175" t="s">
        <v>65</v>
      </c>
      <c r="L175">
        <v>3861667.52</v>
      </c>
      <c r="M175">
        <f t="shared" si="14"/>
        <v>50</v>
      </c>
      <c r="N175" t="s">
        <v>66</v>
      </c>
      <c r="O175" t="str">
        <f t="shared" si="15"/>
        <v/>
      </c>
      <c r="P175" t="s">
        <v>66</v>
      </c>
      <c r="S175">
        <f t="shared" si="16"/>
        <v>50</v>
      </c>
      <c r="T175" t="str">
        <f>IF(NOT(ISNUMBER(S175)),"⬜  Sin dato PVE",IF(AND(COUNT(NORMALIZADO!BV175:BY175)&gt;=3,AQ175=7),IF(S175&lt;34,"🔴 Crítico",IF(S175&lt;67,"🟡 Vulnerable","🟢 Preparado")),"◐  Parcial · "&amp;AQ175&amp;"/7"))</f>
        <v>◐  Parcial · 2/7</v>
      </c>
      <c r="U175" s="53">
        <v>1</v>
      </c>
      <c r="V175" t="s">
        <v>67</v>
      </c>
      <c r="W175">
        <f>IF(NORMALIZADO!BV175="",1,NORMALIZADO!BV175)</f>
        <v>1</v>
      </c>
      <c r="X175" t="str">
        <f>IF(NORMALIZADO!BW175="","",NORMALIZADO!BW175)</f>
        <v/>
      </c>
      <c r="Y175" t="str">
        <f>IF(NORMALIZADO!BX175="","",NORMALIZADO!BX175)</f>
        <v/>
      </c>
      <c r="Z175" t="str">
        <f>IF(NORMALIZADO!BY175="","",NORMALIZADO!BY175)</f>
        <v/>
      </c>
      <c r="AO175" t="str">
        <f t="shared" si="17"/>
        <v>N/A</v>
      </c>
      <c r="AP175">
        <f>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f>
        <v>0.5</v>
      </c>
      <c r="AQ175">
        <f>IF(ISNUMBER(M175),1,0)+IF(ISNUMBER(SCORECARDS!H175),1,0)+IF(ISNUMBER(SCORECARDS!I175),1,0)+IF(ISNUMBER(SCORECARDS!J175),1,0)+IF(ISNUMBER(ISCAM_Score!K176),1,0)+IF(ISNUMBER(O175),1,0)+IF(COUNT(W175:Z175)&gt;0,1,0)</f>
        <v>2</v>
      </c>
      <c r="AT175" t="str">
        <f>IF(NOT(ISNUMBER(AP175)),"sin dato",IF(AND(COUNT(NORMALIZADO!BV175:BY175)&gt;=3,AQ175=7),"completo","parcial · "&amp;AQ175&amp;"/7 · D12-D15 "&amp;COUNT(NORMALIZADO!BV175:BY175)&amp;"/4"))</f>
        <v>parcial · 2/7 · D12-D15 0/4</v>
      </c>
    </row>
    <row r="176" spans="1:46" ht="16.05" customHeight="1" x14ac:dyDescent="0.3">
      <c r="A176" t="s">
        <v>441</v>
      </c>
      <c r="B176" t="s">
        <v>442</v>
      </c>
      <c r="C176" t="s">
        <v>110</v>
      </c>
      <c r="D176" t="s">
        <v>63</v>
      </c>
      <c r="E176">
        <v>300233.07</v>
      </c>
      <c r="F176">
        <v>2</v>
      </c>
      <c r="G176" t="s">
        <v>64</v>
      </c>
      <c r="J176" t="s">
        <v>65</v>
      </c>
      <c r="L176">
        <v>0</v>
      </c>
      <c r="M176">
        <f t="shared" si="14"/>
        <v>0</v>
      </c>
      <c r="N176" t="s">
        <v>66</v>
      </c>
      <c r="O176" t="str">
        <f t="shared" si="15"/>
        <v/>
      </c>
      <c r="P176" t="s">
        <v>66</v>
      </c>
      <c r="S176">
        <f t="shared" si="16"/>
        <v>0</v>
      </c>
      <c r="T176" t="str">
        <f>IF(NOT(ISNUMBER(S176)),"⬜  Sin dato PVE",IF(AND(COUNT(NORMALIZADO!BV176:BY176)&gt;=3,AQ176=7),IF(S176&lt;34,"🔴 Crítico",IF(S176&lt;67,"🟡 Vulnerable","🟢 Preparado")),"◐  Parcial · "&amp;AQ176&amp;"/7"))</f>
        <v>◐  Parcial · 1/7</v>
      </c>
      <c r="U176" s="53">
        <v>1</v>
      </c>
      <c r="V176" t="s">
        <v>67</v>
      </c>
      <c r="W176" t="str">
        <f>IF(NORMALIZADO!BV176="","",NORMALIZADO!BV176)</f>
        <v/>
      </c>
      <c r="X176" t="str">
        <f>IF(NORMALIZADO!BW176="","",NORMALIZADO!BW176)</f>
        <v/>
      </c>
      <c r="Y176" t="str">
        <f>IF(NORMALIZADO!BX176="","",NORMALIZADO!BX176)</f>
        <v/>
      </c>
      <c r="Z176" t="str">
        <f>IF(NORMALIZADO!BY176="","",NORMALIZADO!BY176)</f>
        <v/>
      </c>
      <c r="AO176" t="str">
        <f t="shared" si="17"/>
        <v>N/A</v>
      </c>
      <c r="AP176">
        <f>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f>
        <v>0</v>
      </c>
      <c r="AQ176">
        <f>IF(ISNUMBER(M176),1,0)+IF(ISNUMBER(SCORECARDS!H176),1,0)+IF(ISNUMBER(SCORECARDS!I176),1,0)+IF(ISNUMBER(SCORECARDS!J176),1,0)+IF(ISNUMBER(ISCAM_Score!K177),1,0)+IF(ISNUMBER(O176),1,0)+IF(COUNT(W176:Z176)&gt;0,1,0)</f>
        <v>1</v>
      </c>
      <c r="AT176" t="str">
        <f>IF(NOT(ISNUMBER(AP176)),"sin dato",IF(AND(COUNT(NORMALIZADO!BV176:BY176)&gt;=3,AQ176=7),"completo","parcial · "&amp;AQ176&amp;"/7 · D12-D15 "&amp;COUNT(NORMALIZADO!BV176:BY176)&amp;"/4"))</f>
        <v>parcial · 1/7 · D12-D15 0/4</v>
      </c>
    </row>
    <row r="179" spans="1:6" ht="16.05" customHeight="1" x14ac:dyDescent="0.3">
      <c r="A179" s="70" t="s">
        <v>1560</v>
      </c>
      <c r="B179" s="70"/>
      <c r="C179" s="70"/>
      <c r="D179" s="70"/>
      <c r="E179" s="70"/>
      <c r="F179" s="70"/>
    </row>
    <row r="180" spans="1:6" ht="46.05" customHeight="1" x14ac:dyDescent="0.3">
      <c r="A180" s="67" t="s">
        <v>1608</v>
      </c>
      <c r="B180" s="67"/>
      <c r="C180" s="67"/>
      <c r="D180" s="67"/>
      <c r="E180" s="67"/>
      <c r="F180" s="67"/>
    </row>
    <row r="182" spans="1:6" ht="16.05" customHeight="1" x14ac:dyDescent="0.3">
      <c r="A182" s="70" t="s">
        <v>1601</v>
      </c>
      <c r="B182" s="70"/>
      <c r="C182" s="70"/>
      <c r="D182" s="70"/>
      <c r="E182" s="70"/>
      <c r="F182" s="70"/>
    </row>
    <row r="183" spans="1:6" ht="46.05" customHeight="1" x14ac:dyDescent="0.3">
      <c r="A183" s="67" t="s">
        <v>1602</v>
      </c>
      <c r="B183" s="67"/>
      <c r="C183" s="67"/>
      <c r="D183" s="67"/>
      <c r="E183" s="67"/>
      <c r="F183" s="67"/>
    </row>
    <row r="185" spans="1:6" ht="16.05" customHeight="1" x14ac:dyDescent="0.3">
      <c r="A185" s="78" t="s">
        <v>1596</v>
      </c>
      <c r="B185" s="66"/>
      <c r="C185" s="66"/>
      <c r="D185" s="66"/>
    </row>
    <row r="186" spans="1:6" ht="78" customHeight="1" x14ac:dyDescent="0.3">
      <c r="A186" s="66" t="s">
        <v>1597</v>
      </c>
      <c r="B186" s="66"/>
      <c r="C186" s="66"/>
      <c r="D186" s="66"/>
    </row>
  </sheetData>
  <mergeCells count="7">
    <mergeCell ref="A185:D185"/>
    <mergeCell ref="A186:D186"/>
    <mergeCell ref="A1:S1"/>
    <mergeCell ref="A179:F179"/>
    <mergeCell ref="A180:F180"/>
    <mergeCell ref="A182:F182"/>
    <mergeCell ref="A183:F183"/>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1020</v>
      </c>
      <c r="B1" s="65"/>
      <c r="C1" s="65"/>
      <c r="D1" s="65"/>
      <c r="E1" s="65"/>
      <c r="F1" s="65"/>
      <c r="G1" s="65"/>
      <c r="H1" s="65"/>
      <c r="I1" s="65"/>
      <c r="J1" s="65"/>
      <c r="K1" s="65"/>
      <c r="L1" s="65"/>
      <c r="M1" s="65"/>
      <c r="N1" s="65"/>
      <c r="O1" s="65"/>
    </row>
    <row r="2" spans="1:16" ht="22.05" customHeight="1" x14ac:dyDescent="0.3">
      <c r="A2" t="s">
        <v>21</v>
      </c>
      <c r="B2" t="s">
        <v>897</v>
      </c>
      <c r="C2" t="s">
        <v>1021</v>
      </c>
      <c r="D2" t="s">
        <v>1022</v>
      </c>
      <c r="E2" t="s">
        <v>1023</v>
      </c>
      <c r="F2" t="s">
        <v>32</v>
      </c>
      <c r="G2" t="s">
        <v>33</v>
      </c>
      <c r="H2" t="s">
        <v>1024</v>
      </c>
      <c r="I2" t="s">
        <v>1025</v>
      </c>
      <c r="J2" t="s">
        <v>1026</v>
      </c>
      <c r="K2" t="s">
        <v>1027</v>
      </c>
      <c r="L2" t="s">
        <v>1028</v>
      </c>
      <c r="M2" t="s">
        <v>969</v>
      </c>
      <c r="N2" t="s">
        <v>1029</v>
      </c>
      <c r="O2" t="s">
        <v>1030</v>
      </c>
      <c r="P2" t="s">
        <v>1031</v>
      </c>
    </row>
    <row r="3" spans="1:16" ht="16.05" customHeight="1" x14ac:dyDescent="0.3">
      <c r="A3" t="s">
        <v>60</v>
      </c>
      <c r="B3" t="s">
        <v>61</v>
      </c>
      <c r="C3" s="36" t="str">
        <f>IFERROR(ISCAM_Score!AL4,"—")</f>
        <v>—</v>
      </c>
      <c r="D3" t="str">
        <f t="shared" ref="D3:D34" si="0">IF(C3="—","— Sin Inst.2",IF(C3&lt;34,"🔴  Crítico",IF(C3&lt;67,"🟡  Vulnerable","🟢  Preparado")))</f>
        <v>— Sin Inst.2</v>
      </c>
      <c r="E3" t="str">
        <f t="shared" ref="E3:E34" si="1">IFERROR(RANK(C3,C:C,-1),"")</f>
        <v/>
      </c>
      <c r="F3">
        <f>IF(MATRIZ_174!L3="","",MATRIZ_174!L3)</f>
        <v>2553623.31</v>
      </c>
      <c r="G3">
        <f>IFERROR(MATRIZ_174!M3,0)</f>
        <v>50</v>
      </c>
      <c r="H3" t="str">
        <f>IF(NORMALIZADO!CC3="","",NORMALIZADO!CC3)</f>
        <v/>
      </c>
      <c r="I3" t="str">
        <f>IF(NORMALIZADO!CF3="","",NORMALIZADO!CF3)</f>
        <v/>
      </c>
      <c r="J3" t="str">
        <f>IF(NORMALIZADO!CG3="","",NORMALIZADO!CG3)</f>
        <v/>
      </c>
      <c r="K3">
        <f>IFERROR(INDEX(MATRIZ_174!$U:$U,MATCH(A3,MATRIZ_174!$A:$A,0))*100,"")</f>
        <v>100</v>
      </c>
      <c r="L3" t="str">
        <f>IFERROR(MATRIZ_174!O3,0)</f>
        <v/>
      </c>
      <c r="N3" t="str">
        <f>IFERROR(ISCAM_Score!AC4,"")</f>
        <v>⬜  Pendiente de instrumento</v>
      </c>
      <c r="O3" t="s">
        <v>62</v>
      </c>
      <c r="P3" t="str">
        <f>IFERROR(INDEX(MATRIZ_174!$C:$C,MATCH(A3,MATRIZ_174!$A:$A,0)),"")</f>
        <v>PUNO</v>
      </c>
    </row>
    <row r="4" spans="1:16" ht="16.05" customHeight="1" x14ac:dyDescent="0.3">
      <c r="A4" t="s">
        <v>68</v>
      </c>
      <c r="B4" t="s">
        <v>69</v>
      </c>
      <c r="C4" s="36" t="str">
        <f>IFERROR(ISCAM_Score!AL5,"—")</f>
        <v>—</v>
      </c>
      <c r="D4" t="str">
        <f t="shared" si="0"/>
        <v>— Sin Inst.2</v>
      </c>
      <c r="E4" t="str">
        <f t="shared" si="1"/>
        <v/>
      </c>
      <c r="F4" t="str">
        <f>IF(MATRIZ_174!L4="","",MATRIZ_174!L4)</f>
        <v/>
      </c>
      <c r="G4" t="str">
        <f>IFERROR(MATRIZ_174!M4,0)</f>
        <v/>
      </c>
      <c r="H4" t="str">
        <f>IF(NORMALIZADO!CC4="","",NORMALIZADO!CC4)</f>
        <v/>
      </c>
      <c r="I4" t="str">
        <f>IF(NORMALIZADO!CF4="","",NORMALIZADO!CF4)</f>
        <v/>
      </c>
      <c r="J4" t="str">
        <f>IF(NORMALIZADO!CG4="","",NORMALIZADO!CG4)</f>
        <v/>
      </c>
      <c r="K4">
        <f>IFERROR(INDEX(MATRIZ_174!$U:$U,MATCH(A4,MATRIZ_174!$A:$A,0))*100,"")</f>
        <v>100</v>
      </c>
      <c r="L4" t="str">
        <f>IFERROR(MATRIZ_174!O4,0)</f>
        <v/>
      </c>
      <c r="N4" t="str">
        <f>IFERROR(ISCAM_Score!AC5,"")</f>
        <v>⬜  Pendiente de instrumento</v>
      </c>
      <c r="O4" t="s">
        <v>70</v>
      </c>
      <c r="P4" t="str">
        <f>IFERROR(INDEX(MATRIZ_174!$C:$C,MATCH(A4,MATRIZ_174!$A:$A,0)),"")</f>
        <v>AYACUCHO</v>
      </c>
    </row>
    <row r="5" spans="1:16" ht="16.05" customHeight="1" x14ac:dyDescent="0.3">
      <c r="A5" t="s">
        <v>73</v>
      </c>
      <c r="B5" t="s">
        <v>74</v>
      </c>
      <c r="C5" s="36" t="str">
        <f>IFERROR(ISCAM_Score!AL6,"—")</f>
        <v>—</v>
      </c>
      <c r="D5" t="str">
        <f t="shared" si="0"/>
        <v>— Sin Inst.2</v>
      </c>
      <c r="E5" t="str">
        <f t="shared" si="1"/>
        <v/>
      </c>
      <c r="F5">
        <f>IF(MATRIZ_174!L5="","",MATRIZ_174!L5)</f>
        <v>4801984.0599999996</v>
      </c>
      <c r="G5">
        <f>IFERROR(MATRIZ_174!M5,0)</f>
        <v>50</v>
      </c>
      <c r="H5" t="str">
        <f>IF(NORMALIZADO!CC5="","",NORMALIZADO!CC5)</f>
        <v/>
      </c>
      <c r="I5" t="str">
        <f>IF(NORMALIZADO!CF5="","",NORMALIZADO!CF5)</f>
        <v/>
      </c>
      <c r="J5" t="str">
        <f>IF(NORMALIZADO!CG5="","",NORMALIZADO!CG5)</f>
        <v/>
      </c>
      <c r="K5">
        <f>IFERROR(INDEX(MATRIZ_174!$U:$U,MATCH(A5,MATRIZ_174!$A:$A,0))*100,"")</f>
        <v>100</v>
      </c>
      <c r="L5" t="str">
        <f>IFERROR(MATRIZ_174!O5,0)</f>
        <v/>
      </c>
      <c r="N5" t="str">
        <f>IFERROR(ISCAM_Score!AC6,"")</f>
        <v>⬜  Pendiente de instrumento</v>
      </c>
      <c r="O5" t="s">
        <v>75</v>
      </c>
      <c r="P5" t="str">
        <f>IFERROR(INDEX(MATRIZ_174!$C:$C,MATCH(A5,MATRIZ_174!$A:$A,0)),"")</f>
        <v>JUNIN</v>
      </c>
    </row>
    <row r="6" spans="1:16" ht="16.05" customHeight="1" x14ac:dyDescent="0.3">
      <c r="A6" t="s">
        <v>76</v>
      </c>
      <c r="B6" t="s">
        <v>77</v>
      </c>
      <c r="C6" s="36" t="str">
        <f>IFERROR(ISCAM_Score!AL7,"—")</f>
        <v>—</v>
      </c>
      <c r="D6" t="str">
        <f t="shared" si="0"/>
        <v>— Sin Inst.2</v>
      </c>
      <c r="E6" t="str">
        <f t="shared" si="1"/>
        <v/>
      </c>
      <c r="F6" t="str">
        <f>IF(MATRIZ_174!L6="","",MATRIZ_174!L6)</f>
        <v/>
      </c>
      <c r="G6" t="str">
        <f>IFERROR(MATRIZ_174!M6,0)</f>
        <v/>
      </c>
      <c r="H6" t="str">
        <f>IF(NORMALIZADO!CC6="","",NORMALIZADO!CC6)</f>
        <v/>
      </c>
      <c r="I6" t="str">
        <f>IF(NORMALIZADO!CF6="","",NORMALIZADO!CF6)</f>
        <v/>
      </c>
      <c r="J6" t="str">
        <f>IF(NORMALIZADO!CG6="","",NORMALIZADO!CG6)</f>
        <v/>
      </c>
      <c r="K6">
        <f>IFERROR(INDEX(MATRIZ_174!$U:$U,MATCH(A6,MATRIZ_174!$A:$A,0))*100,"")</f>
        <v>100</v>
      </c>
      <c r="L6">
        <f>IFERROR(MATRIZ_174!O6,0)</f>
        <v>0.6</v>
      </c>
      <c r="N6" t="str">
        <f>IFERROR(ISCAM_Score!AC7,"")</f>
        <v>⬜  Pendiente de instrumento</v>
      </c>
      <c r="O6" t="s">
        <v>78</v>
      </c>
      <c r="P6" t="str">
        <f>IFERROR(INDEX(MATRIZ_174!$C:$C,MATCH(A6,MATRIZ_174!$A:$A,0)),"")</f>
        <v>CUSCO</v>
      </c>
    </row>
    <row r="7" spans="1:16" ht="16.05" customHeight="1" x14ac:dyDescent="0.3">
      <c r="A7" t="s">
        <v>79</v>
      </c>
      <c r="B7" t="s">
        <v>80</v>
      </c>
      <c r="C7" s="36" t="str">
        <f>IFERROR(ISCAM_Score!AL8,"—")</f>
        <v>—</v>
      </c>
      <c r="D7" t="str">
        <f t="shared" si="0"/>
        <v>— Sin Inst.2</v>
      </c>
      <c r="E7" t="str">
        <f t="shared" si="1"/>
        <v/>
      </c>
      <c r="F7" t="str">
        <f>IF(MATRIZ_174!L7="","",MATRIZ_174!L7)</f>
        <v/>
      </c>
      <c r="G7" t="str">
        <f>IFERROR(MATRIZ_174!M7,0)</f>
        <v/>
      </c>
      <c r="H7" t="str">
        <f>IF(NORMALIZADO!CC7="","",NORMALIZADO!CC7)</f>
        <v/>
      </c>
      <c r="I7" t="str">
        <f>IF(NORMALIZADO!CF7="","",NORMALIZADO!CF7)</f>
        <v/>
      </c>
      <c r="J7" t="str">
        <f>IF(NORMALIZADO!CG7="","",NORMALIZADO!CG7)</f>
        <v/>
      </c>
      <c r="K7">
        <f>IFERROR(INDEX(MATRIZ_174!$U:$U,MATCH(A7,MATRIZ_174!$A:$A,0))*100,"")</f>
        <v>100</v>
      </c>
      <c r="L7">
        <f>IFERROR(MATRIZ_174!O7,0)</f>
        <v>1</v>
      </c>
      <c r="N7" t="str">
        <f>IFERROR(ISCAM_Score!AC8,"")</f>
        <v>⬜  Pendiente de instrumento</v>
      </c>
      <c r="O7" t="s">
        <v>78</v>
      </c>
      <c r="P7" t="str">
        <f>IFERROR(INDEX(MATRIZ_174!$C:$C,MATCH(A7,MATRIZ_174!$A:$A,0)),"")</f>
        <v>CUSCO</v>
      </c>
    </row>
    <row r="8" spans="1:16" ht="16.05" customHeight="1" x14ac:dyDescent="0.3">
      <c r="A8" t="s">
        <v>82</v>
      </c>
      <c r="B8" t="s">
        <v>83</v>
      </c>
      <c r="C8" s="36" t="str">
        <f>IFERROR(ISCAM_Score!AL9,"—")</f>
        <v>—</v>
      </c>
      <c r="D8" t="str">
        <f t="shared" si="0"/>
        <v>— Sin Inst.2</v>
      </c>
      <c r="E8" t="str">
        <f t="shared" si="1"/>
        <v/>
      </c>
      <c r="F8">
        <f>IF(MATRIZ_174!L8="","",MATRIZ_174!L8)</f>
        <v>1238541.75</v>
      </c>
      <c r="G8">
        <f>IFERROR(MATRIZ_174!M8,0)</f>
        <v>50</v>
      </c>
      <c r="H8" t="str">
        <f>IF(NORMALIZADO!CC8="","",NORMALIZADO!CC8)</f>
        <v/>
      </c>
      <c r="I8" t="str">
        <f>IF(NORMALIZADO!CF8="","",NORMALIZADO!CF8)</f>
        <v/>
      </c>
      <c r="J8" t="str">
        <f>IF(NORMALIZADO!CG8="","",NORMALIZADO!CG8)</f>
        <v/>
      </c>
      <c r="K8">
        <f>IFERROR(INDEX(MATRIZ_174!$U:$U,MATCH(A8,MATRIZ_174!$A:$A,0))*100,"")</f>
        <v>100</v>
      </c>
      <c r="L8" t="str">
        <f>IFERROR(MATRIZ_174!O8,0)</f>
        <v/>
      </c>
      <c r="N8" t="str">
        <f>IFERROR(ISCAM_Score!AC9,"")</f>
        <v>⬜  Pendiente de instrumento</v>
      </c>
      <c r="O8" t="s">
        <v>78</v>
      </c>
      <c r="P8" t="str">
        <f>IFERROR(INDEX(MATRIZ_174!$C:$C,MATCH(A8,MATRIZ_174!$A:$A,0)),"")</f>
        <v>CUSCO</v>
      </c>
    </row>
    <row r="9" spans="1:16" ht="16.05" customHeight="1" x14ac:dyDescent="0.3">
      <c r="A9" t="s">
        <v>84</v>
      </c>
      <c r="B9" t="s">
        <v>85</v>
      </c>
      <c r="C9" s="36" t="str">
        <f>IFERROR(ISCAM_Score!AL10,"—")</f>
        <v>—</v>
      </c>
      <c r="D9" t="str">
        <f t="shared" si="0"/>
        <v>— Sin Inst.2</v>
      </c>
      <c r="E9" t="str">
        <f t="shared" si="1"/>
        <v/>
      </c>
      <c r="F9">
        <f>IF(MATRIZ_174!L9="","",MATRIZ_174!L9)</f>
        <v>0</v>
      </c>
      <c r="G9">
        <f>IFERROR(MATRIZ_174!M9,0)</f>
        <v>0</v>
      </c>
      <c r="H9" t="str">
        <f>IF(NORMALIZADO!CC9="","",NORMALIZADO!CC9)</f>
        <v/>
      </c>
      <c r="I9" t="str">
        <f>IF(NORMALIZADO!CF9="","",NORMALIZADO!CF9)</f>
        <v/>
      </c>
      <c r="J9" t="str">
        <f>IF(NORMALIZADO!CG9="","",NORMALIZADO!CG9)</f>
        <v/>
      </c>
      <c r="K9">
        <f>IFERROR(INDEX(MATRIZ_174!$U:$U,MATCH(A9,MATRIZ_174!$A:$A,0))*100,"")</f>
        <v>100</v>
      </c>
      <c r="L9" t="str">
        <f>IFERROR(MATRIZ_174!O9,0)</f>
        <v/>
      </c>
      <c r="N9" t="str">
        <f>IFERROR(ISCAM_Score!AC10,"")</f>
        <v>⬜  Pendiente de instrumento</v>
      </c>
      <c r="O9" t="s">
        <v>78</v>
      </c>
      <c r="P9" t="str">
        <f>IFERROR(INDEX(MATRIZ_174!$C:$C,MATCH(A9,MATRIZ_174!$A:$A,0)),"")</f>
        <v>CUSCO</v>
      </c>
    </row>
    <row r="10" spans="1:16" ht="16.05" customHeight="1" x14ac:dyDescent="0.3">
      <c r="A10" t="s">
        <v>86</v>
      </c>
      <c r="B10" t="s">
        <v>87</v>
      </c>
      <c r="C10" s="36" t="str">
        <f>IFERROR(ISCAM_Score!AL11,"—")</f>
        <v>—</v>
      </c>
      <c r="D10" t="str">
        <f t="shared" si="0"/>
        <v>— Sin Inst.2</v>
      </c>
      <c r="E10" t="str">
        <f t="shared" si="1"/>
        <v/>
      </c>
      <c r="F10" t="str">
        <f>IF(MATRIZ_174!L10="","",MATRIZ_174!L10)</f>
        <v/>
      </c>
      <c r="G10" t="str">
        <f>IFERROR(MATRIZ_174!M10,0)</f>
        <v/>
      </c>
      <c r="H10" t="str">
        <f>IF(NORMALIZADO!CC10="","",NORMALIZADO!CC10)</f>
        <v/>
      </c>
      <c r="I10" t="str">
        <f>IF(NORMALIZADO!CF10="","",NORMALIZADO!CF10)</f>
        <v/>
      </c>
      <c r="J10" t="str">
        <f>IF(NORMALIZADO!CG10="","",NORMALIZADO!CG10)</f>
        <v/>
      </c>
      <c r="K10">
        <f>IFERROR(INDEX(MATRIZ_174!$U:$U,MATCH(A10,MATRIZ_174!$A:$A,0))*100,"")</f>
        <v>100</v>
      </c>
      <c r="L10">
        <f>IFERROR(MATRIZ_174!O10,0)</f>
        <v>1</v>
      </c>
      <c r="N10" t="str">
        <f>IFERROR(ISCAM_Score!AC11,"")</f>
        <v>⬜  Pendiente de instrumento</v>
      </c>
      <c r="O10" t="s">
        <v>78</v>
      </c>
      <c r="P10" t="str">
        <f>IFERROR(INDEX(MATRIZ_174!$C:$C,MATCH(A10,MATRIZ_174!$A:$A,0)),"")</f>
        <v>CUSCO</v>
      </c>
    </row>
    <row r="11" spans="1:16" ht="16.05" customHeight="1" x14ac:dyDescent="0.3">
      <c r="A11" t="s">
        <v>88</v>
      </c>
      <c r="B11" t="s">
        <v>89</v>
      </c>
      <c r="C11" s="36" t="str">
        <f>IFERROR(ISCAM_Score!AL12,"—")</f>
        <v>—</v>
      </c>
      <c r="D11" t="str">
        <f t="shared" si="0"/>
        <v>— Sin Inst.2</v>
      </c>
      <c r="E11" t="str">
        <f t="shared" si="1"/>
        <v/>
      </c>
      <c r="F11">
        <f>IF(MATRIZ_174!L11="","",MATRIZ_174!L11)</f>
        <v>0</v>
      </c>
      <c r="G11">
        <f>IFERROR(MATRIZ_174!M11,0)</f>
        <v>0</v>
      </c>
      <c r="H11" t="str">
        <f>IF(NORMALIZADO!CC11="","",NORMALIZADO!CC11)</f>
        <v/>
      </c>
      <c r="I11" t="str">
        <f>IF(NORMALIZADO!CF11="","",NORMALIZADO!CF11)</f>
        <v/>
      </c>
      <c r="J11" t="str">
        <f>IF(NORMALIZADO!CG11="","",NORMALIZADO!CG11)</f>
        <v/>
      </c>
      <c r="K11">
        <f>IFERROR(INDEX(MATRIZ_174!$U:$U,MATCH(A11,MATRIZ_174!$A:$A,0))*100,"")</f>
        <v>100</v>
      </c>
      <c r="L11" t="str">
        <f>IFERROR(MATRIZ_174!O11,0)</f>
        <v/>
      </c>
      <c r="N11" t="str">
        <f>IFERROR(ISCAM_Score!AC12,"")</f>
        <v>⬜  Pendiente de instrumento</v>
      </c>
      <c r="O11" t="s">
        <v>78</v>
      </c>
      <c r="P11" t="str">
        <f>IFERROR(INDEX(MATRIZ_174!$C:$C,MATCH(A11,MATRIZ_174!$A:$A,0)),"")</f>
        <v>CUSCO</v>
      </c>
    </row>
    <row r="12" spans="1:16" ht="16.05" customHeight="1" x14ac:dyDescent="0.3">
      <c r="A12" t="s">
        <v>90</v>
      </c>
      <c r="B12" t="s">
        <v>91</v>
      </c>
      <c r="C12" s="36" t="str">
        <f>IFERROR(ISCAM_Score!AL13,"—")</f>
        <v>—</v>
      </c>
      <c r="D12" t="str">
        <f t="shared" si="0"/>
        <v>— Sin Inst.2</v>
      </c>
      <c r="E12" t="str">
        <f t="shared" si="1"/>
        <v/>
      </c>
      <c r="F12">
        <f>IF(MATRIZ_174!L12="","",MATRIZ_174!L12)</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IFERROR(MATRIZ_174!O12,0)</f>
        <v>1</v>
      </c>
      <c r="N12" t="str">
        <f>IFERROR(ISCAM_Score!AC13,"")</f>
        <v>⬜  Pendiente de instrumento</v>
      </c>
      <c r="O12" t="s">
        <v>78</v>
      </c>
      <c r="P12" t="str">
        <f>IFERROR(INDEX(MATRIZ_174!$C:$C,MATCH(A12,MATRIZ_174!$A:$A,0)),"")</f>
        <v>CUSCO</v>
      </c>
    </row>
    <row r="13" spans="1:16" ht="16.05" customHeight="1" x14ac:dyDescent="0.3">
      <c r="A13" t="s">
        <v>93</v>
      </c>
      <c r="B13" t="s">
        <v>94</v>
      </c>
      <c r="C13" s="36" t="str">
        <f>IFERROR(ISCAM_Score!AL14,"—")</f>
        <v>—</v>
      </c>
      <c r="D13" t="str">
        <f t="shared" si="0"/>
        <v>— Sin Inst.2</v>
      </c>
      <c r="E13" t="str">
        <f t="shared" si="1"/>
        <v/>
      </c>
      <c r="F13" t="str">
        <f>IF(MATRIZ_174!L13="","",MATRIZ_174!L13)</f>
        <v/>
      </c>
      <c r="G13" t="str">
        <f>IFERROR(MATRIZ_174!M13,0)</f>
        <v/>
      </c>
      <c r="H13" t="str">
        <f>IF(NORMALIZADO!CC13="","",NORMALIZADO!CC13)</f>
        <v/>
      </c>
      <c r="I13" t="str">
        <f>IF(NORMALIZADO!CF13="","",NORMALIZADO!CF13)</f>
        <v/>
      </c>
      <c r="J13" t="str">
        <f>IF(NORMALIZADO!CG13="","",NORMALIZADO!CG13)</f>
        <v/>
      </c>
      <c r="K13">
        <f>IFERROR(INDEX(MATRIZ_174!$U:$U,MATCH(A13,MATRIZ_174!$A:$A,0))*100,"")</f>
        <v>100</v>
      </c>
      <c r="L13">
        <f>IFERROR(MATRIZ_174!O13,0)</f>
        <v>0.6</v>
      </c>
      <c r="N13" t="str">
        <f>IFERROR(ISCAM_Score!AC14,"")</f>
        <v>⬜  Pendiente de instrumento</v>
      </c>
      <c r="O13" t="s">
        <v>78</v>
      </c>
      <c r="P13" t="str">
        <f>IFERROR(INDEX(MATRIZ_174!$C:$C,MATCH(A13,MATRIZ_174!$A:$A,0)),"")</f>
        <v>CUSCO</v>
      </c>
    </row>
    <row r="14" spans="1:16" ht="16.05" customHeight="1" x14ac:dyDescent="0.3">
      <c r="A14" t="s">
        <v>95</v>
      </c>
      <c r="B14" t="s">
        <v>96</v>
      </c>
      <c r="C14" s="36" t="str">
        <f>IFERROR(ISCAM_Score!AL15,"—")</f>
        <v>—</v>
      </c>
      <c r="D14" t="str">
        <f t="shared" si="0"/>
        <v>— Sin Inst.2</v>
      </c>
      <c r="E14" t="str">
        <f t="shared" si="1"/>
        <v/>
      </c>
      <c r="F14">
        <f>IF(MATRIZ_174!L14="","",MATRIZ_174!L14)</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t="str">
        <f>IFERROR(MATRIZ_174!O14,0)</f>
        <v/>
      </c>
      <c r="N14" t="str">
        <f>IFERROR(ISCAM_Score!AC15,"")</f>
        <v>⬜  Pendiente de instrumento</v>
      </c>
      <c r="O14" t="s">
        <v>70</v>
      </c>
      <c r="P14" t="str">
        <f>IFERROR(INDEX(MATRIZ_174!$C:$C,MATCH(A14,MATRIZ_174!$A:$A,0)),"")</f>
        <v>AYACUCHO</v>
      </c>
    </row>
    <row r="15" spans="1:16" ht="16.05" customHeight="1" x14ac:dyDescent="0.3">
      <c r="A15" t="s">
        <v>97</v>
      </c>
      <c r="B15" t="s">
        <v>98</v>
      </c>
      <c r="C15" s="36" t="str">
        <f>IFERROR(ISCAM_Score!AL16,"—")</f>
        <v>—</v>
      </c>
      <c r="D15" t="str">
        <f t="shared" si="0"/>
        <v>— Sin Inst.2</v>
      </c>
      <c r="E15" t="str">
        <f t="shared" si="1"/>
        <v/>
      </c>
      <c r="F15" t="str">
        <f>IF(MATRIZ_174!L15="","",MATRIZ_174!L15)</f>
        <v/>
      </c>
      <c r="G15" t="str">
        <f>IFERROR(MATRIZ_174!M15,0)</f>
        <v/>
      </c>
      <c r="H15" t="str">
        <f>IF(NORMALIZADO!CC15="","",NORMALIZADO!CC15)</f>
        <v/>
      </c>
      <c r="I15" t="str">
        <f>IF(NORMALIZADO!CF15="","",NORMALIZADO!CF15)</f>
        <v/>
      </c>
      <c r="J15" t="str">
        <f>IF(NORMALIZADO!CG15="","",NORMALIZADO!CG15)</f>
        <v/>
      </c>
      <c r="K15">
        <f>IFERROR(INDEX(MATRIZ_174!$U:$U,MATCH(A15,MATRIZ_174!$A:$A,0))*100,"")</f>
        <v>100</v>
      </c>
      <c r="L15" t="str">
        <f>IFERROR(MATRIZ_174!O15,0)</f>
        <v/>
      </c>
      <c r="N15" t="str">
        <f>IFERROR(ISCAM_Score!AC16,"")</f>
        <v>⬜  Pendiente de instrumento</v>
      </c>
      <c r="O15" t="s">
        <v>62</v>
      </c>
      <c r="P15" t="str">
        <f>IFERROR(INDEX(MATRIZ_174!$C:$C,MATCH(A15,MATRIZ_174!$A:$A,0)),"")</f>
        <v>PUNO</v>
      </c>
    </row>
    <row r="16" spans="1:16" ht="16.05" customHeight="1" x14ac:dyDescent="0.3">
      <c r="A16" t="s">
        <v>99</v>
      </c>
      <c r="B16" t="s">
        <v>100</v>
      </c>
      <c r="C16" s="36" t="str">
        <f>IFERROR(ISCAM_Score!AL17,"—")</f>
        <v>—</v>
      </c>
      <c r="D16" t="str">
        <f t="shared" si="0"/>
        <v>— Sin Inst.2</v>
      </c>
      <c r="E16" t="str">
        <f t="shared" si="1"/>
        <v/>
      </c>
      <c r="F16" t="str">
        <f>IF(MATRIZ_174!L16="","",MATRIZ_174!L16)</f>
        <v/>
      </c>
      <c r="G16" t="str">
        <f>IFERROR(MATRIZ_174!M16,0)</f>
        <v/>
      </c>
      <c r="H16" t="str">
        <f>IF(NORMALIZADO!CC16="","",NORMALIZADO!CC16)</f>
        <v/>
      </c>
      <c r="I16" t="str">
        <f>IF(NORMALIZADO!CF16="","",NORMALIZADO!CF16)</f>
        <v/>
      </c>
      <c r="J16" t="str">
        <f>IF(NORMALIZADO!CG16="","",NORMALIZADO!CG16)</f>
        <v/>
      </c>
      <c r="K16">
        <f>IFERROR(INDEX(MATRIZ_174!$U:$U,MATCH(A16,MATRIZ_174!$A:$A,0))*100,"")</f>
        <v>100</v>
      </c>
      <c r="L16" t="str">
        <f>IFERROR(MATRIZ_174!O16,0)</f>
        <v/>
      </c>
      <c r="N16" t="str">
        <f>IFERROR(ISCAM_Score!AC17,"")</f>
        <v>⬜  Pendiente de instrumento</v>
      </c>
      <c r="O16" t="s">
        <v>101</v>
      </c>
      <c r="P16" t="str">
        <f>IFERROR(INDEX(MATRIZ_174!$C:$C,MATCH(A16,MATRIZ_174!$A:$A,0)),"")</f>
        <v>PIURA</v>
      </c>
    </row>
    <row r="17" spans="1:16" ht="16.05" customHeight="1" x14ac:dyDescent="0.3">
      <c r="A17" t="s">
        <v>102</v>
      </c>
      <c r="B17" t="s">
        <v>103</v>
      </c>
      <c r="C17" s="36" t="str">
        <f>IFERROR(ISCAM_Score!AL18,"—")</f>
        <v>—</v>
      </c>
      <c r="D17" t="str">
        <f t="shared" si="0"/>
        <v>— Sin Inst.2</v>
      </c>
      <c r="E17" t="str">
        <f t="shared" si="1"/>
        <v/>
      </c>
      <c r="F17" t="str">
        <f>IF(MATRIZ_174!L17="","",MATRIZ_174!L17)</f>
        <v/>
      </c>
      <c r="G17" t="str">
        <f>IFERROR(MATRIZ_174!M17,0)</f>
        <v/>
      </c>
      <c r="H17" t="str">
        <f>IF(NORMALIZADO!CC17="","",NORMALIZADO!CC17)</f>
        <v/>
      </c>
      <c r="I17" t="str">
        <f>IF(NORMALIZADO!CF17="","",NORMALIZADO!CF17)</f>
        <v/>
      </c>
      <c r="J17" t="str">
        <f>IF(NORMALIZADO!CG17="","",NORMALIZADO!CG17)</f>
        <v/>
      </c>
      <c r="K17">
        <f>IFERROR(INDEX(MATRIZ_174!$U:$U,MATCH(A17,MATRIZ_174!$A:$A,0))*100,"")</f>
        <v>100</v>
      </c>
      <c r="L17">
        <f>IFERROR(MATRIZ_174!O17,0)</f>
        <v>0.6</v>
      </c>
      <c r="N17" t="str">
        <f>IFERROR(ISCAM_Score!AC18,"")</f>
        <v>⬜  Pendiente de instrumento</v>
      </c>
      <c r="O17" t="s">
        <v>78</v>
      </c>
      <c r="P17" t="str">
        <f>IFERROR(INDEX(MATRIZ_174!$C:$C,MATCH(A17,MATRIZ_174!$A:$A,0)),"")</f>
        <v>CUSCO</v>
      </c>
    </row>
    <row r="18" spans="1:16" ht="16.05" customHeight="1" x14ac:dyDescent="0.3">
      <c r="A18" t="s">
        <v>105</v>
      </c>
      <c r="B18" t="s">
        <v>106</v>
      </c>
      <c r="C18" s="36" t="str">
        <f>IFERROR(ISCAM_Score!AL19,"—")</f>
        <v>—</v>
      </c>
      <c r="D18" t="str">
        <f t="shared" si="0"/>
        <v>— Sin Inst.2</v>
      </c>
      <c r="E18" t="str">
        <f t="shared" si="1"/>
        <v/>
      </c>
      <c r="F18" t="str">
        <f>IF(MATRIZ_174!L18="","",MATRIZ_174!L18)</f>
        <v/>
      </c>
      <c r="G18" t="str">
        <f>IFERROR(MATRIZ_174!M18,0)</f>
        <v/>
      </c>
      <c r="H18" t="str">
        <f>IF(NORMALIZADO!CC18="","",NORMALIZADO!CC18)</f>
        <v/>
      </c>
      <c r="I18" t="str">
        <f>IF(NORMALIZADO!CF18="","",NORMALIZADO!CF18)</f>
        <v/>
      </c>
      <c r="J18" t="str">
        <f>IF(NORMALIZADO!CG18="","",NORMALIZADO!CG18)</f>
        <v/>
      </c>
      <c r="K18">
        <f>IFERROR(INDEX(MATRIZ_174!$U:$U,MATCH(A18,MATRIZ_174!$A:$A,0))*100,"")</f>
        <v>100</v>
      </c>
      <c r="L18" t="str">
        <f>IFERROR(MATRIZ_174!O18,0)</f>
        <v/>
      </c>
      <c r="N18" t="str">
        <f>IFERROR(ISCAM_Score!AC19,"")</f>
        <v>⬜  Pendiente de instrumento</v>
      </c>
      <c r="O18" t="s">
        <v>107</v>
      </c>
      <c r="P18" t="str">
        <f>IFERROR(INDEX(MATRIZ_174!$C:$C,MATCH(A18,MATRIZ_174!$A:$A,0)),"")</f>
        <v>UCAYALI</v>
      </c>
    </row>
    <row r="19" spans="1:16" ht="16.05" customHeight="1" x14ac:dyDescent="0.3">
      <c r="A19" t="s">
        <v>108</v>
      </c>
      <c r="B19" t="s">
        <v>109</v>
      </c>
      <c r="C19" s="36" t="str">
        <f>IFERROR(ISCAM_Score!AL20,"—")</f>
        <v>—</v>
      </c>
      <c r="D19" t="str">
        <f t="shared" si="0"/>
        <v>— Sin Inst.2</v>
      </c>
      <c r="E19" t="str">
        <f t="shared" si="1"/>
        <v/>
      </c>
      <c r="F19">
        <f>IF(MATRIZ_174!L19="","",MATRIZ_174!L19)</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t="str">
        <f>IFERROR(MATRIZ_174!O19,0)</f>
        <v/>
      </c>
      <c r="N19" t="str">
        <f>IFERROR(ISCAM_Score!AC20,"")</f>
        <v>⬜  Pendiente de instrumento</v>
      </c>
      <c r="O19" t="s">
        <v>110</v>
      </c>
      <c r="P19" t="str">
        <f>IFERROR(INDEX(MATRIZ_174!$C:$C,MATCH(A19,MATRIZ_174!$A:$A,0)),"")</f>
        <v>AMAZONAS</v>
      </c>
    </row>
    <row r="20" spans="1:16" ht="16.05" customHeight="1" x14ac:dyDescent="0.3">
      <c r="A20" t="s">
        <v>111</v>
      </c>
      <c r="B20" t="s">
        <v>112</v>
      </c>
      <c r="C20" s="36" t="str">
        <f>IFERROR(ISCAM_Score!AL21,"—")</f>
        <v>—</v>
      </c>
      <c r="D20" t="str">
        <f t="shared" si="0"/>
        <v>— Sin Inst.2</v>
      </c>
      <c r="E20" t="str">
        <f t="shared" si="1"/>
        <v/>
      </c>
      <c r="F20" t="str">
        <f>IF(MATRIZ_174!L20="","",MATRIZ_174!L20)</f>
        <v/>
      </c>
      <c r="G20" t="str">
        <f>IFERROR(MATRIZ_174!M20,0)</f>
        <v/>
      </c>
      <c r="H20" t="str">
        <f>IF(NORMALIZADO!CC20="","",NORMALIZADO!CC20)</f>
        <v/>
      </c>
      <c r="I20" t="str">
        <f>IF(NORMALIZADO!CF20="","",NORMALIZADO!CF20)</f>
        <v/>
      </c>
      <c r="J20" t="str">
        <f>IF(NORMALIZADO!CG20="","",NORMALIZADO!CG20)</f>
        <v/>
      </c>
      <c r="K20">
        <f>IFERROR(INDEX(MATRIZ_174!$U:$U,MATCH(A20,MATRIZ_174!$A:$A,0))*100,"")</f>
        <v>100</v>
      </c>
      <c r="L20">
        <f>IFERROR(MATRIZ_174!O20,0)</f>
        <v>0.6</v>
      </c>
      <c r="N20" t="str">
        <f>IFERROR(ISCAM_Score!AC21,"")</f>
        <v>⬜  Pendiente de instrumento</v>
      </c>
      <c r="O20" t="s">
        <v>78</v>
      </c>
      <c r="P20" t="str">
        <f>IFERROR(INDEX(MATRIZ_174!$C:$C,MATCH(A20,MATRIZ_174!$A:$A,0)),"")</f>
        <v>CUSCO</v>
      </c>
    </row>
    <row r="21" spans="1:16" ht="16.05" customHeight="1" x14ac:dyDescent="0.3">
      <c r="A21" t="s">
        <v>113</v>
      </c>
      <c r="B21" t="s">
        <v>114</v>
      </c>
      <c r="C21" s="36" t="str">
        <f>IFERROR(ISCAM_Score!AL22,"—")</f>
        <v>—</v>
      </c>
      <c r="D21" t="str">
        <f t="shared" si="0"/>
        <v>— Sin Inst.2</v>
      </c>
      <c r="E21" t="str">
        <f t="shared" si="1"/>
        <v/>
      </c>
      <c r="F21" t="str">
        <f>IF(MATRIZ_174!L21="","",MATRIZ_174!L21)</f>
        <v/>
      </c>
      <c r="G21" t="str">
        <f>IFERROR(MATRIZ_174!M21,0)</f>
        <v/>
      </c>
      <c r="H21" t="str">
        <f>IF(NORMALIZADO!CC21="","",NORMALIZADO!CC21)</f>
        <v/>
      </c>
      <c r="I21" t="str">
        <f>IF(NORMALIZADO!CF21="","",NORMALIZADO!CF21)</f>
        <v/>
      </c>
      <c r="J21" t="str">
        <f>IF(NORMALIZADO!CG21="","",NORMALIZADO!CG21)</f>
        <v/>
      </c>
      <c r="K21">
        <f>IFERROR(INDEX(MATRIZ_174!$U:$U,MATCH(A21,MATRIZ_174!$A:$A,0))*100,"")</f>
        <v>100</v>
      </c>
      <c r="L21" t="str">
        <f>IFERROR(MATRIZ_174!O21,0)</f>
        <v/>
      </c>
      <c r="N21" t="str">
        <f>IFERROR(ISCAM_Score!AC22,"")</f>
        <v>⬜  Pendiente de instrumento</v>
      </c>
      <c r="O21" t="s">
        <v>107</v>
      </c>
      <c r="P21" t="str">
        <f>IFERROR(INDEX(MATRIZ_174!$C:$C,MATCH(A21,MATRIZ_174!$A:$A,0)),"")</f>
        <v>UCAYALI</v>
      </c>
    </row>
    <row r="22" spans="1:16" ht="16.05" customHeight="1" x14ac:dyDescent="0.3">
      <c r="A22" t="s">
        <v>115</v>
      </c>
      <c r="B22" t="s">
        <v>116</v>
      </c>
      <c r="C22" s="36" t="str">
        <f>IFERROR(ISCAM_Score!AL23,"—")</f>
        <v>—</v>
      </c>
      <c r="D22" t="str">
        <f t="shared" si="0"/>
        <v>— Sin Inst.2</v>
      </c>
      <c r="E22" t="str">
        <f t="shared" si="1"/>
        <v/>
      </c>
      <c r="F22" t="str">
        <f>IF(MATRIZ_174!L22="","",MATRIZ_174!L22)</f>
        <v/>
      </c>
      <c r="G22" t="str">
        <f>IFERROR(MATRIZ_174!M22,0)</f>
        <v/>
      </c>
      <c r="H22" t="str">
        <f>IF(NORMALIZADO!CC22="","",NORMALIZADO!CC22)</f>
        <v/>
      </c>
      <c r="I22" t="str">
        <f>IF(NORMALIZADO!CF22="","",NORMALIZADO!CF22)</f>
        <v/>
      </c>
      <c r="J22" t="str">
        <f>IF(NORMALIZADO!CG22="","",NORMALIZADO!CG22)</f>
        <v/>
      </c>
      <c r="K22">
        <f>IFERROR(INDEX(MATRIZ_174!$U:$U,MATCH(A22,MATRIZ_174!$A:$A,0))*100,"")</f>
        <v>100</v>
      </c>
      <c r="L22" t="str">
        <f>IFERROR(MATRIZ_174!O22,0)</f>
        <v/>
      </c>
      <c r="N22" t="str">
        <f>IFERROR(ISCAM_Score!AC23,"")</f>
        <v>⬜  Pendiente de instrumento</v>
      </c>
      <c r="O22" t="s">
        <v>117</v>
      </c>
      <c r="P22" t="str">
        <f>IFERROR(INDEX(MATRIZ_174!$C:$C,MATCH(A22,MATRIZ_174!$A:$A,0)),"")</f>
        <v>HUANUCO</v>
      </c>
    </row>
    <row r="23" spans="1:16" ht="16.05" customHeight="1" x14ac:dyDescent="0.3">
      <c r="A23" t="s">
        <v>118</v>
      </c>
      <c r="B23" t="s">
        <v>119</v>
      </c>
      <c r="C23" s="36" t="str">
        <f>IFERROR(ISCAM_Score!AL24,"—")</f>
        <v>—</v>
      </c>
      <c r="D23" t="str">
        <f t="shared" si="0"/>
        <v>— Sin Inst.2</v>
      </c>
      <c r="E23" t="str">
        <f t="shared" si="1"/>
        <v/>
      </c>
      <c r="F23" t="str">
        <f>IF(MATRIZ_174!L23="","",MATRIZ_174!L23)</f>
        <v/>
      </c>
      <c r="G23" t="str">
        <f>IFERROR(MATRIZ_174!M23,0)</f>
        <v/>
      </c>
      <c r="H23" t="str">
        <f>IF(NORMALIZADO!CC23="","",NORMALIZADO!CC23)</f>
        <v/>
      </c>
      <c r="I23" t="str">
        <f>IF(NORMALIZADO!CF23="","",NORMALIZADO!CF23)</f>
        <v/>
      </c>
      <c r="J23" t="str">
        <f>IF(NORMALIZADO!CG23="","",NORMALIZADO!CG23)</f>
        <v/>
      </c>
      <c r="K23">
        <f>IFERROR(INDEX(MATRIZ_174!$U:$U,MATCH(A23,MATRIZ_174!$A:$A,0))*100,"")</f>
        <v>100</v>
      </c>
      <c r="L23" t="str">
        <f>IFERROR(MATRIZ_174!O23,0)</f>
        <v/>
      </c>
      <c r="N23" t="str">
        <f>IFERROR(ISCAM_Score!AC24,"")</f>
        <v>⬜  Pendiente de instrumento</v>
      </c>
      <c r="O23" t="s">
        <v>107</v>
      </c>
      <c r="P23" t="str">
        <f>IFERROR(INDEX(MATRIZ_174!$C:$C,MATCH(A23,MATRIZ_174!$A:$A,0)),"")</f>
        <v>UCAYALI</v>
      </c>
    </row>
    <row r="24" spans="1:16" ht="16.05" customHeight="1" x14ac:dyDescent="0.3">
      <c r="A24" t="s">
        <v>120</v>
      </c>
      <c r="B24" t="s">
        <v>121</v>
      </c>
      <c r="C24" s="36" t="str">
        <f>IFERROR(ISCAM_Score!AL25,"—")</f>
        <v>—</v>
      </c>
      <c r="D24" t="str">
        <f t="shared" si="0"/>
        <v>— Sin Inst.2</v>
      </c>
      <c r="E24" t="str">
        <f t="shared" si="1"/>
        <v/>
      </c>
      <c r="F24" t="str">
        <f>IF(MATRIZ_174!L24="","",MATRIZ_174!L24)</f>
        <v/>
      </c>
      <c r="G24" t="str">
        <f>IFERROR(MATRIZ_174!M24,0)</f>
        <v/>
      </c>
      <c r="H24" t="str">
        <f>IF(NORMALIZADO!CC24="","",NORMALIZADO!CC24)</f>
        <v/>
      </c>
      <c r="I24" t="str">
        <f>IF(NORMALIZADO!CF24="","",NORMALIZADO!CF24)</f>
        <v/>
      </c>
      <c r="J24" t="str">
        <f>IF(NORMALIZADO!CG24="","",NORMALIZADO!CG24)</f>
        <v/>
      </c>
      <c r="K24">
        <f>IFERROR(INDEX(MATRIZ_174!$U:$U,MATCH(A24,MATRIZ_174!$A:$A,0))*100,"")</f>
        <v>100</v>
      </c>
      <c r="L24" t="str">
        <f>IFERROR(MATRIZ_174!O24,0)</f>
        <v/>
      </c>
      <c r="N24" t="str">
        <f>IFERROR(ISCAM_Score!AC25,"")</f>
        <v>⬜  Pendiente de instrumento</v>
      </c>
      <c r="O24" t="s">
        <v>107</v>
      </c>
      <c r="P24" t="str">
        <f>IFERROR(INDEX(MATRIZ_174!$C:$C,MATCH(A24,MATRIZ_174!$A:$A,0)),"")</f>
        <v>UCAYALI</v>
      </c>
    </row>
    <row r="25" spans="1:16" ht="16.05" customHeight="1" x14ac:dyDescent="0.3">
      <c r="A25" t="s">
        <v>123</v>
      </c>
      <c r="B25" t="s">
        <v>124</v>
      </c>
      <c r="C25" s="36" t="str">
        <f>IFERROR(ISCAM_Score!AL26,"—")</f>
        <v>—</v>
      </c>
      <c r="D25" t="str">
        <f t="shared" si="0"/>
        <v>— Sin Inst.2</v>
      </c>
      <c r="E25" t="str">
        <f t="shared" si="1"/>
        <v/>
      </c>
      <c r="F25" t="str">
        <f>IF(MATRIZ_174!L25="","",MATRIZ_174!L25)</f>
        <v/>
      </c>
      <c r="G25" t="str">
        <f>IFERROR(MATRIZ_174!M25,0)</f>
        <v/>
      </c>
      <c r="H25" t="str">
        <f>IF(NORMALIZADO!CC25="","",NORMALIZADO!CC25)</f>
        <v/>
      </c>
      <c r="I25" t="str">
        <f>IF(NORMALIZADO!CF25="","",NORMALIZADO!CF25)</f>
        <v/>
      </c>
      <c r="J25" t="str">
        <f>IF(NORMALIZADO!CG25="","",NORMALIZADO!CG25)</f>
        <v/>
      </c>
      <c r="K25">
        <f>IFERROR(INDEX(MATRIZ_174!$U:$U,MATCH(A25,MATRIZ_174!$A:$A,0))*100,"")</f>
        <v>100</v>
      </c>
      <c r="L25" t="str">
        <f>IFERROR(MATRIZ_174!O25,0)</f>
        <v/>
      </c>
      <c r="N25" t="str">
        <f>IFERROR(ISCAM_Score!AC26,"")</f>
        <v>⬜  Pendiente de instrumento</v>
      </c>
      <c r="O25" t="s">
        <v>107</v>
      </c>
      <c r="P25" t="str">
        <f>IFERROR(INDEX(MATRIZ_174!$C:$C,MATCH(A25,MATRIZ_174!$A:$A,0)),"")</f>
        <v>UCAYALI</v>
      </c>
    </row>
    <row r="26" spans="1:16" ht="16.05" customHeight="1" x14ac:dyDescent="0.3">
      <c r="A26" t="s">
        <v>125</v>
      </c>
      <c r="B26" t="s">
        <v>126</v>
      </c>
      <c r="C26" s="36" t="str">
        <f>IFERROR(ISCAM_Score!AL27,"—")</f>
        <v>—</v>
      </c>
      <c r="D26" t="str">
        <f t="shared" si="0"/>
        <v>— Sin Inst.2</v>
      </c>
      <c r="E26" t="str">
        <f t="shared" si="1"/>
        <v/>
      </c>
      <c r="F26" t="str">
        <f>IF(MATRIZ_174!L26="","",MATRIZ_174!L26)</f>
        <v/>
      </c>
      <c r="G26" t="str">
        <f>IFERROR(MATRIZ_174!M26,0)</f>
        <v/>
      </c>
      <c r="H26" t="str">
        <f>IF(NORMALIZADO!CC26="","",NORMALIZADO!CC26)</f>
        <v/>
      </c>
      <c r="I26" t="str">
        <f>IF(NORMALIZADO!CF26="","",NORMALIZADO!CF26)</f>
        <v/>
      </c>
      <c r="J26" t="str">
        <f>IF(NORMALIZADO!CG26="","",NORMALIZADO!CG26)</f>
        <v/>
      </c>
      <c r="K26">
        <f>IFERROR(INDEX(MATRIZ_174!$U:$U,MATCH(A26,MATRIZ_174!$A:$A,0))*100,"")</f>
        <v>100</v>
      </c>
      <c r="L26" t="str">
        <f>IFERROR(MATRIZ_174!O26,0)</f>
        <v/>
      </c>
      <c r="N26" t="str">
        <f>IFERROR(ISCAM_Score!AC27,"")</f>
        <v>⬜  Pendiente de instrumento</v>
      </c>
      <c r="O26" t="s">
        <v>107</v>
      </c>
      <c r="P26" t="str">
        <f>IFERROR(INDEX(MATRIZ_174!$C:$C,MATCH(A26,MATRIZ_174!$A:$A,0)),"")</f>
        <v>UCAYALI</v>
      </c>
    </row>
    <row r="27" spans="1:16" ht="16.05" customHeight="1" x14ac:dyDescent="0.3">
      <c r="A27" t="s">
        <v>127</v>
      </c>
      <c r="B27" t="s">
        <v>128</v>
      </c>
      <c r="C27" s="36" t="str">
        <f>IFERROR(ISCAM_Score!AL28,"—")</f>
        <v>—</v>
      </c>
      <c r="D27" t="str">
        <f t="shared" si="0"/>
        <v>— Sin Inst.2</v>
      </c>
      <c r="E27" t="str">
        <f t="shared" si="1"/>
        <v/>
      </c>
      <c r="F27" t="str">
        <f>IF(MATRIZ_174!L27="","",MATRIZ_174!L27)</f>
        <v/>
      </c>
      <c r="G27" t="str">
        <f>IFERROR(MATRIZ_174!M27,0)</f>
        <v/>
      </c>
      <c r="H27" t="str">
        <f>IF(NORMALIZADO!CC27="","",NORMALIZADO!CC27)</f>
        <v/>
      </c>
      <c r="I27" t="str">
        <f>IF(NORMALIZADO!CF27="","",NORMALIZADO!CF27)</f>
        <v/>
      </c>
      <c r="J27" t="str">
        <f>IF(NORMALIZADO!CG27="","",NORMALIZADO!CG27)</f>
        <v/>
      </c>
      <c r="K27">
        <f>IFERROR(INDEX(MATRIZ_174!$U:$U,MATCH(A27,MATRIZ_174!$A:$A,0))*100,"")</f>
        <v>100</v>
      </c>
      <c r="L27" t="str">
        <f>IFERROR(MATRIZ_174!O27,0)</f>
        <v/>
      </c>
      <c r="N27" t="str">
        <f>IFERROR(ISCAM_Score!AC28,"")</f>
        <v>⬜  Pendiente de instrumento</v>
      </c>
      <c r="O27" t="s">
        <v>107</v>
      </c>
      <c r="P27" t="str">
        <f>IFERROR(INDEX(MATRIZ_174!$C:$C,MATCH(A27,MATRIZ_174!$A:$A,0)),"")</f>
        <v>UCAYALI</v>
      </c>
    </row>
    <row r="28" spans="1:16" ht="16.05" customHeight="1" x14ac:dyDescent="0.3">
      <c r="A28" t="s">
        <v>129</v>
      </c>
      <c r="B28" t="s">
        <v>130</v>
      </c>
      <c r="C28" s="36" t="str">
        <f>IFERROR(ISCAM_Score!AL29,"—")</f>
        <v>—</v>
      </c>
      <c r="D28" t="str">
        <f t="shared" si="0"/>
        <v>— Sin Inst.2</v>
      </c>
      <c r="E28" t="str">
        <f t="shared" si="1"/>
        <v/>
      </c>
      <c r="F28" t="str">
        <f>IF(MATRIZ_174!L28="","",MATRIZ_174!L28)</f>
        <v/>
      </c>
      <c r="G28" t="str">
        <f>IFERROR(MATRIZ_174!M28,0)</f>
        <v/>
      </c>
      <c r="H28" t="str">
        <f>IF(NORMALIZADO!CC28="","",NORMALIZADO!CC28)</f>
        <v/>
      </c>
      <c r="I28" t="str">
        <f>IF(NORMALIZADO!CF28="","",NORMALIZADO!CF28)</f>
        <v/>
      </c>
      <c r="J28" t="str">
        <f>IF(NORMALIZADO!CG28="","",NORMALIZADO!CG28)</f>
        <v/>
      </c>
      <c r="K28">
        <f>IFERROR(INDEX(MATRIZ_174!$U:$U,MATCH(A28,MATRIZ_174!$A:$A,0))*100,"")</f>
        <v>100</v>
      </c>
      <c r="L28" t="str">
        <f>IFERROR(MATRIZ_174!O28,0)</f>
        <v/>
      </c>
      <c r="N28" t="str">
        <f>IFERROR(ISCAM_Score!AC29,"")</f>
        <v>⬜  Pendiente de instrumento</v>
      </c>
      <c r="O28" t="s">
        <v>107</v>
      </c>
      <c r="P28" t="str">
        <f>IFERROR(INDEX(MATRIZ_174!$C:$C,MATCH(A28,MATRIZ_174!$A:$A,0)),"")</f>
        <v>UCAYALI</v>
      </c>
    </row>
    <row r="29" spans="1:16" ht="16.05" customHeight="1" x14ac:dyDescent="0.3">
      <c r="A29" t="s">
        <v>131</v>
      </c>
      <c r="B29" t="s">
        <v>132</v>
      </c>
      <c r="C29" s="36" t="str">
        <f>IFERROR(ISCAM_Score!AL30,"—")</f>
        <v>—</v>
      </c>
      <c r="D29" t="str">
        <f t="shared" si="0"/>
        <v>— Sin Inst.2</v>
      </c>
      <c r="E29" t="str">
        <f t="shared" si="1"/>
        <v/>
      </c>
      <c r="F29" t="str">
        <f>IF(MATRIZ_174!L29="","",MATRIZ_174!L29)</f>
        <v/>
      </c>
      <c r="G29" t="str">
        <f>IFERROR(MATRIZ_174!M29,0)</f>
        <v/>
      </c>
      <c r="H29" t="str">
        <f>IF(NORMALIZADO!CC29="","",NORMALIZADO!CC29)</f>
        <v/>
      </c>
      <c r="I29" t="str">
        <f>IF(NORMALIZADO!CF29="","",NORMALIZADO!CF29)</f>
        <v/>
      </c>
      <c r="J29" t="str">
        <f>IF(NORMALIZADO!CG29="","",NORMALIZADO!CG29)</f>
        <v/>
      </c>
      <c r="K29">
        <f>IFERROR(INDEX(MATRIZ_174!$U:$U,MATCH(A29,MATRIZ_174!$A:$A,0))*100,"")</f>
        <v>100</v>
      </c>
      <c r="L29" t="str">
        <f>IFERROR(MATRIZ_174!O29,0)</f>
        <v/>
      </c>
      <c r="N29" t="str">
        <f>IFERROR(ISCAM_Score!AC30,"")</f>
        <v>⬜  Pendiente de instrumento</v>
      </c>
      <c r="O29" t="s">
        <v>107</v>
      </c>
      <c r="P29" t="str">
        <f>IFERROR(INDEX(MATRIZ_174!$C:$C,MATCH(A29,MATRIZ_174!$A:$A,0)),"")</f>
        <v>UCAYALI</v>
      </c>
    </row>
    <row r="30" spans="1:16" ht="16.05" customHeight="1" x14ac:dyDescent="0.3">
      <c r="A30" t="s">
        <v>133</v>
      </c>
      <c r="B30" t="s">
        <v>134</v>
      </c>
      <c r="C30" s="36" t="str">
        <f>IFERROR(ISCAM_Score!AL31,"—")</f>
        <v>—</v>
      </c>
      <c r="D30" t="str">
        <f t="shared" si="0"/>
        <v>— Sin Inst.2</v>
      </c>
      <c r="E30" t="str">
        <f t="shared" si="1"/>
        <v/>
      </c>
      <c r="F30" t="str">
        <f>IF(MATRIZ_174!L30="","",MATRIZ_174!L30)</f>
        <v/>
      </c>
      <c r="G30" t="str">
        <f>IFERROR(MATRIZ_174!M30,0)</f>
        <v/>
      </c>
      <c r="H30" t="str">
        <f>IF(NORMALIZADO!CC30="","",NORMALIZADO!CC30)</f>
        <v/>
      </c>
      <c r="I30" t="str">
        <f>IF(NORMALIZADO!CF30="","",NORMALIZADO!CF30)</f>
        <v/>
      </c>
      <c r="J30" t="str">
        <f>IF(NORMALIZADO!CG30="","",NORMALIZADO!CG30)</f>
        <v/>
      </c>
      <c r="K30">
        <f>IFERROR(INDEX(MATRIZ_174!$U:$U,MATCH(A30,MATRIZ_174!$A:$A,0))*100,"")</f>
        <v>100</v>
      </c>
      <c r="L30" t="str">
        <f>IFERROR(MATRIZ_174!O30,0)</f>
        <v/>
      </c>
      <c r="N30" t="str">
        <f>IFERROR(ISCAM_Score!AC31,"")</f>
        <v>⬜  Pendiente de instrumento</v>
      </c>
      <c r="O30" t="s">
        <v>62</v>
      </c>
      <c r="P30" t="str">
        <f>IFERROR(INDEX(MATRIZ_174!$C:$C,MATCH(A30,MATRIZ_174!$A:$A,0)),"")</f>
        <v>PUNO</v>
      </c>
    </row>
    <row r="31" spans="1:16" ht="16.05" customHeight="1" x14ac:dyDescent="0.3">
      <c r="A31" t="s">
        <v>135</v>
      </c>
      <c r="B31" t="s">
        <v>136</v>
      </c>
      <c r="C31" s="36" t="str">
        <f>IFERROR(ISCAM_Score!AL32,"—")</f>
        <v>—</v>
      </c>
      <c r="D31" t="str">
        <f t="shared" si="0"/>
        <v>— Sin Inst.2</v>
      </c>
      <c r="E31" t="str">
        <f t="shared" si="1"/>
        <v/>
      </c>
      <c r="F31" t="str">
        <f>IF(MATRIZ_174!L31="","",MATRIZ_174!L31)</f>
        <v/>
      </c>
      <c r="G31" t="str">
        <f>IFERROR(MATRIZ_174!M31,0)</f>
        <v/>
      </c>
      <c r="H31" t="str">
        <f>IF(NORMALIZADO!CC31="","",NORMALIZADO!CC31)</f>
        <v/>
      </c>
      <c r="I31" t="str">
        <f>IF(NORMALIZADO!CF31="","",NORMALIZADO!CF31)</f>
        <v/>
      </c>
      <c r="J31" t="str">
        <f>IF(NORMALIZADO!CG31="","",NORMALIZADO!CG31)</f>
        <v/>
      </c>
      <c r="K31">
        <f>IFERROR(INDEX(MATRIZ_174!$U:$U,MATCH(A31,MATRIZ_174!$A:$A,0))*100,"")</f>
        <v>100</v>
      </c>
      <c r="L31" t="str">
        <f>IFERROR(MATRIZ_174!O31,0)</f>
        <v/>
      </c>
      <c r="N31" t="str">
        <f>IFERROR(ISCAM_Score!AC32,"")</f>
        <v>⬜  Pendiente de instrumento</v>
      </c>
      <c r="O31" t="s">
        <v>137</v>
      </c>
      <c r="P31" t="str">
        <f>IFERROR(INDEX(MATRIZ_174!$C:$C,MATCH(A31,MATRIZ_174!$A:$A,0)),"")</f>
        <v>SAN MARTIN</v>
      </c>
    </row>
    <row r="32" spans="1:16" ht="16.05" customHeight="1" x14ac:dyDescent="0.3">
      <c r="A32" t="s">
        <v>138</v>
      </c>
      <c r="B32" t="s">
        <v>139</v>
      </c>
      <c r="C32" s="36" t="str">
        <f>IFERROR(ISCAM_Score!AL33,"—")</f>
        <v>—</v>
      </c>
      <c r="D32" t="str">
        <f t="shared" si="0"/>
        <v>— Sin Inst.2</v>
      </c>
      <c r="E32" t="str">
        <f t="shared" si="1"/>
        <v/>
      </c>
      <c r="F32" t="str">
        <f>IF(MATRIZ_174!L32="","",MATRIZ_174!L32)</f>
        <v/>
      </c>
      <c r="G32" t="str">
        <f>IFERROR(MATRIZ_174!M32,0)</f>
        <v/>
      </c>
      <c r="H32" t="str">
        <f>IF(NORMALIZADO!CC32="","",NORMALIZADO!CC32)</f>
        <v/>
      </c>
      <c r="I32" t="str">
        <f>IF(NORMALIZADO!CF32="","",NORMALIZADO!CF32)</f>
        <v/>
      </c>
      <c r="J32" t="str">
        <f>IF(NORMALIZADO!CG32="","",NORMALIZADO!CG32)</f>
        <v/>
      </c>
      <c r="K32">
        <f>IFERROR(INDEX(MATRIZ_174!$U:$U,MATCH(A32,MATRIZ_174!$A:$A,0))*100,"")</f>
        <v>100</v>
      </c>
      <c r="L32" t="str">
        <f>IFERROR(MATRIZ_174!O32,0)</f>
        <v/>
      </c>
      <c r="N32" t="str">
        <f>IFERROR(ISCAM_Score!AC33,"")</f>
        <v>⬜  Pendiente de instrumento</v>
      </c>
      <c r="O32" t="s">
        <v>137</v>
      </c>
      <c r="P32" t="str">
        <f>IFERROR(INDEX(MATRIZ_174!$C:$C,MATCH(A32,MATRIZ_174!$A:$A,0)),"")</f>
        <v>SAN MARTIN</v>
      </c>
    </row>
    <row r="33" spans="1:16" ht="16.05" customHeight="1" x14ac:dyDescent="0.3">
      <c r="A33" t="s">
        <v>140</v>
      </c>
      <c r="B33" t="s">
        <v>141</v>
      </c>
      <c r="C33" s="36" t="str">
        <f>IFERROR(ISCAM_Score!AL34,"—")</f>
        <v>—</v>
      </c>
      <c r="D33" t="str">
        <f t="shared" si="0"/>
        <v>— Sin Inst.2</v>
      </c>
      <c r="E33" t="str">
        <f t="shared" si="1"/>
        <v/>
      </c>
      <c r="F33" t="str">
        <f>IF(MATRIZ_174!L33="","",MATRIZ_174!L33)</f>
        <v/>
      </c>
      <c r="G33" t="str">
        <f>IFERROR(MATRIZ_174!M33,0)</f>
        <v/>
      </c>
      <c r="H33" t="str">
        <f>IF(NORMALIZADO!CC33="","",NORMALIZADO!CC33)</f>
        <v/>
      </c>
      <c r="I33" t="str">
        <f>IF(NORMALIZADO!CF33="","",NORMALIZADO!CF33)</f>
        <v/>
      </c>
      <c r="J33" t="str">
        <f>IF(NORMALIZADO!CG33="","",NORMALIZADO!CG33)</f>
        <v/>
      </c>
      <c r="K33">
        <f>IFERROR(INDEX(MATRIZ_174!$U:$U,MATCH(A33,MATRIZ_174!$A:$A,0))*100,"")</f>
        <v>100</v>
      </c>
      <c r="L33" t="str">
        <f>IFERROR(MATRIZ_174!O33,0)</f>
        <v/>
      </c>
      <c r="N33" t="str">
        <f>IFERROR(ISCAM_Score!AC34,"")</f>
        <v>⬜  Pendiente de instrumento</v>
      </c>
      <c r="O33" t="s">
        <v>137</v>
      </c>
      <c r="P33" t="str">
        <f>IFERROR(INDEX(MATRIZ_174!$C:$C,MATCH(A33,MATRIZ_174!$A:$A,0)),"")</f>
        <v>SAN MARTIN</v>
      </c>
    </row>
    <row r="34" spans="1:16" ht="16.05" customHeight="1" x14ac:dyDescent="0.3">
      <c r="A34" t="s">
        <v>142</v>
      </c>
      <c r="B34" t="s">
        <v>143</v>
      </c>
      <c r="C34" s="36" t="str">
        <f>IFERROR(ISCAM_Score!AL35,"—")</f>
        <v>—</v>
      </c>
      <c r="D34" t="str">
        <f t="shared" si="0"/>
        <v>— Sin Inst.2</v>
      </c>
      <c r="E34" t="str">
        <f t="shared" si="1"/>
        <v/>
      </c>
      <c r="F34" t="str">
        <f>IF(MATRIZ_174!L34="","",MATRIZ_174!L34)</f>
        <v/>
      </c>
      <c r="G34" t="str">
        <f>IFERROR(MATRIZ_174!M34,0)</f>
        <v/>
      </c>
      <c r="H34" t="str">
        <f>IF(NORMALIZADO!CC34="","",NORMALIZADO!CC34)</f>
        <v/>
      </c>
      <c r="I34" t="str">
        <f>IF(NORMALIZADO!CF34="","",NORMALIZADO!CF34)</f>
        <v/>
      </c>
      <c r="J34" t="str">
        <f>IF(NORMALIZADO!CG34="","",NORMALIZADO!CG34)</f>
        <v/>
      </c>
      <c r="K34">
        <f>IFERROR(INDEX(MATRIZ_174!$U:$U,MATCH(A34,MATRIZ_174!$A:$A,0))*100,"")</f>
        <v>100</v>
      </c>
      <c r="L34" t="str">
        <f>IFERROR(MATRIZ_174!O34,0)</f>
        <v/>
      </c>
      <c r="N34" t="str">
        <f>IFERROR(ISCAM_Score!AC35,"")</f>
        <v>⬜  Pendiente de instrumento</v>
      </c>
      <c r="O34" t="s">
        <v>137</v>
      </c>
      <c r="P34" t="str">
        <f>IFERROR(INDEX(MATRIZ_174!$C:$C,MATCH(A34,MATRIZ_174!$A:$A,0)),"")</f>
        <v>SAN MARTIN</v>
      </c>
    </row>
    <row r="35" spans="1:16" ht="16.05" customHeight="1" x14ac:dyDescent="0.3">
      <c r="A35" t="s">
        <v>144</v>
      </c>
      <c r="B35" t="s">
        <v>145</v>
      </c>
      <c r="C35" s="36" t="str">
        <f>IFERROR(ISCAM_Score!AL36,"—")</f>
        <v>—</v>
      </c>
      <c r="D35" t="str">
        <f t="shared" ref="D35:D66" si="2">IF(C35="—","— Sin Inst.2",IF(C35&lt;34,"🔴  Crítico",IF(C35&lt;67,"🟡  Vulnerable","🟢  Preparado")))</f>
        <v>— Sin Inst.2</v>
      </c>
      <c r="E35" t="str">
        <f t="shared" ref="E35:E66" si="3">IFERROR(RANK(C35,C:C,-1),"")</f>
        <v/>
      </c>
      <c r="F35">
        <f>IF(MATRIZ_174!L35="","",MATRIZ_174!L35)</f>
        <v>965726.35</v>
      </c>
      <c r="G35">
        <f>IFERROR(MATRIZ_174!M35,0)</f>
        <v>50</v>
      </c>
      <c r="H35" t="str">
        <f>IF(NORMALIZADO!CC35="","",NORMALIZADO!CC35)</f>
        <v/>
      </c>
      <c r="I35" t="str">
        <f>IF(NORMALIZADO!CF35="","",NORMALIZADO!CF35)</f>
        <v/>
      </c>
      <c r="J35" t="str">
        <f>IF(NORMALIZADO!CG35="","",NORMALIZADO!CG35)</f>
        <v/>
      </c>
      <c r="K35">
        <f>IFERROR(INDEX(MATRIZ_174!$U:$U,MATCH(A35,MATRIZ_174!$A:$A,0))*100,"")</f>
        <v>100</v>
      </c>
      <c r="L35" t="str">
        <f>IFERROR(MATRIZ_174!O35,0)</f>
        <v/>
      </c>
      <c r="N35" t="str">
        <f>IFERROR(ISCAM_Score!AC36,"")</f>
        <v>⬜  Pendiente de instrumento</v>
      </c>
      <c r="O35" t="s">
        <v>78</v>
      </c>
      <c r="P35" t="str">
        <f>IFERROR(INDEX(MATRIZ_174!$C:$C,MATCH(A35,MATRIZ_174!$A:$A,0)),"")</f>
        <v>CUSCO</v>
      </c>
    </row>
    <row r="36" spans="1:16" ht="16.05" customHeight="1" x14ac:dyDescent="0.3">
      <c r="A36" t="s">
        <v>146</v>
      </c>
      <c r="B36" t="s">
        <v>147</v>
      </c>
      <c r="C36" s="36" t="str">
        <f>IFERROR(ISCAM_Score!AL37,"—")</f>
        <v>—</v>
      </c>
      <c r="D36" t="str">
        <f t="shared" si="2"/>
        <v>— Sin Inst.2</v>
      </c>
      <c r="E36" t="str">
        <f t="shared" si="3"/>
        <v/>
      </c>
      <c r="F36">
        <f>IF(MATRIZ_174!L36="","",MATRIZ_174!L36)</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IFERROR(MATRIZ_174!O36,0)</f>
        <v>1</v>
      </c>
      <c r="N36" t="str">
        <f>IFERROR(ISCAM_Score!AC37,"")</f>
        <v>⬜  Pendiente de instrumento</v>
      </c>
      <c r="O36" t="s">
        <v>148</v>
      </c>
      <c r="P36" t="str">
        <f>IFERROR(INDEX(MATRIZ_174!$C:$C,MATCH(A36,MATRIZ_174!$A:$A,0)),"")</f>
        <v>CAJAMARCA</v>
      </c>
    </row>
    <row r="37" spans="1:16" ht="16.05" customHeight="1" x14ac:dyDescent="0.3">
      <c r="A37" t="s">
        <v>149</v>
      </c>
      <c r="B37" t="s">
        <v>150</v>
      </c>
      <c r="C37" s="36" t="str">
        <f>IFERROR(ISCAM_Score!AL38,"—")</f>
        <v>—</v>
      </c>
      <c r="D37" t="str">
        <f t="shared" si="2"/>
        <v>— Sin Inst.2</v>
      </c>
      <c r="E37" t="str">
        <f t="shared" si="3"/>
        <v/>
      </c>
      <c r="F37" t="str">
        <f>IF(MATRIZ_174!L37="","",MATRIZ_174!L37)</f>
        <v/>
      </c>
      <c r="G37" t="str">
        <f>IFERROR(MATRIZ_174!M37,0)</f>
        <v/>
      </c>
      <c r="H37" t="str">
        <f>IF(NORMALIZADO!CC37="","",NORMALIZADO!CC37)</f>
        <v/>
      </c>
      <c r="I37" t="str">
        <f>IF(NORMALIZADO!CF37="","",NORMALIZADO!CF37)</f>
        <v/>
      </c>
      <c r="J37" t="str">
        <f>IF(NORMALIZADO!CG37="","",NORMALIZADO!CG37)</f>
        <v/>
      </c>
      <c r="K37">
        <f>IFERROR(INDEX(MATRIZ_174!$U:$U,MATCH(A37,MATRIZ_174!$A:$A,0))*100,"")</f>
        <v>100</v>
      </c>
      <c r="L37" t="str">
        <f>IFERROR(MATRIZ_174!O37,0)</f>
        <v/>
      </c>
      <c r="N37" t="str">
        <f>IFERROR(ISCAM_Score!AC38,"")</f>
        <v>⬜  Pendiente de instrumento</v>
      </c>
      <c r="O37" t="s">
        <v>110</v>
      </c>
      <c r="P37" t="str">
        <f>IFERROR(INDEX(MATRIZ_174!$C:$C,MATCH(A37,MATRIZ_174!$A:$A,0)),"")</f>
        <v>AMAZONAS</v>
      </c>
    </row>
    <row r="38" spans="1:16" ht="16.05" customHeight="1" x14ac:dyDescent="0.3">
      <c r="A38" t="s">
        <v>151</v>
      </c>
      <c r="B38" t="s">
        <v>152</v>
      </c>
      <c r="C38" s="36" t="str">
        <f>IFERROR(ISCAM_Score!AL39,"—")</f>
        <v>—</v>
      </c>
      <c r="D38" t="str">
        <f t="shared" si="2"/>
        <v>— Sin Inst.2</v>
      </c>
      <c r="E38" t="str">
        <f t="shared" si="3"/>
        <v/>
      </c>
      <c r="F38" t="str">
        <f>IF(MATRIZ_174!L38="","",MATRIZ_174!L38)</f>
        <v/>
      </c>
      <c r="G38" t="str">
        <f>IFERROR(MATRIZ_174!M38,0)</f>
        <v/>
      </c>
      <c r="H38" t="str">
        <f>IF(NORMALIZADO!CC38="","",NORMALIZADO!CC38)</f>
        <v/>
      </c>
      <c r="I38" t="str">
        <f>IF(NORMALIZADO!CF38="","",NORMALIZADO!CF38)</f>
        <v/>
      </c>
      <c r="J38" t="str">
        <f>IF(NORMALIZADO!CG38="","",NORMALIZADO!CG38)</f>
        <v/>
      </c>
      <c r="K38">
        <f>IFERROR(INDEX(MATRIZ_174!$U:$U,MATCH(A38,MATRIZ_174!$A:$A,0))*100,"")</f>
        <v>100</v>
      </c>
      <c r="L38" t="str">
        <f>IFERROR(MATRIZ_174!O38,0)</f>
        <v/>
      </c>
      <c r="N38" t="str">
        <f>IFERROR(ISCAM_Score!AC39,"")</f>
        <v>⬜  Pendiente de instrumento</v>
      </c>
      <c r="O38" t="s">
        <v>110</v>
      </c>
      <c r="P38" t="str">
        <f>IFERROR(INDEX(MATRIZ_174!$C:$C,MATCH(A38,MATRIZ_174!$A:$A,0)),"")</f>
        <v>AMAZONAS</v>
      </c>
    </row>
    <row r="39" spans="1:16" ht="16.05" customHeight="1" x14ac:dyDescent="0.3">
      <c r="A39" t="s">
        <v>153</v>
      </c>
      <c r="B39" t="s">
        <v>154</v>
      </c>
      <c r="C39" s="36" t="str">
        <f>IFERROR(ISCAM_Score!AL40,"—")</f>
        <v>—</v>
      </c>
      <c r="D39" t="str">
        <f t="shared" si="2"/>
        <v>— Sin Inst.2</v>
      </c>
      <c r="E39" t="str">
        <f t="shared" si="3"/>
        <v/>
      </c>
      <c r="F39">
        <f>IF(MATRIZ_174!L39="","",MATRIZ_174!L39)</f>
        <v>587607.64</v>
      </c>
      <c r="G39">
        <f>IFERROR(MATRIZ_174!M39,0)</f>
        <v>50</v>
      </c>
      <c r="H39" t="str">
        <f>IF(NORMALIZADO!CC39="","",NORMALIZADO!CC39)</f>
        <v/>
      </c>
      <c r="I39" t="str">
        <f>IF(NORMALIZADO!CF39="","",NORMALIZADO!CF39)</f>
        <v/>
      </c>
      <c r="J39" t="str">
        <f>IF(NORMALIZADO!CG39="","",NORMALIZADO!CG39)</f>
        <v/>
      </c>
      <c r="K39">
        <f>IFERROR(INDEX(MATRIZ_174!$U:$U,MATCH(A39,MATRIZ_174!$A:$A,0))*100,"")</f>
        <v>100</v>
      </c>
      <c r="L39" t="str">
        <f>IFERROR(MATRIZ_174!O39,0)</f>
        <v/>
      </c>
      <c r="N39" t="str">
        <f>IFERROR(ISCAM_Score!AC40,"")</f>
        <v>⬜  Pendiente de instrumento</v>
      </c>
      <c r="O39" t="s">
        <v>110</v>
      </c>
      <c r="P39" t="str">
        <f>IFERROR(INDEX(MATRIZ_174!$C:$C,MATCH(A39,MATRIZ_174!$A:$A,0)),"")</f>
        <v>AMAZONAS</v>
      </c>
    </row>
    <row r="40" spans="1:16" ht="16.05" customHeight="1" x14ac:dyDescent="0.3">
      <c r="A40" t="s">
        <v>155</v>
      </c>
      <c r="B40" t="s">
        <v>156</v>
      </c>
      <c r="C40" s="36" t="str">
        <f>IFERROR(ISCAM_Score!AL41,"—")</f>
        <v>—</v>
      </c>
      <c r="D40" t="str">
        <f t="shared" si="2"/>
        <v>— Sin Inst.2</v>
      </c>
      <c r="E40" t="str">
        <f t="shared" si="3"/>
        <v/>
      </c>
      <c r="F40">
        <f>IF(MATRIZ_174!L40="","",MATRIZ_174!L40)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t="str">
        <f>IFERROR(MATRIZ_174!O40,0)</f>
        <v/>
      </c>
      <c r="N40" t="str">
        <f>IFERROR(ISCAM_Score!AC41,"")</f>
        <v>⬜  Pendiente de instrumento</v>
      </c>
      <c r="O40" t="s">
        <v>110</v>
      </c>
      <c r="P40" t="str">
        <f>IFERROR(INDEX(MATRIZ_174!$C:$C,MATCH(A40,MATRIZ_174!$A:$A,0)),"")</f>
        <v>AMAZONAS</v>
      </c>
    </row>
    <row r="41" spans="1:16" ht="16.05" customHeight="1" x14ac:dyDescent="0.3">
      <c r="A41" t="s">
        <v>157</v>
      </c>
      <c r="B41" t="s">
        <v>158</v>
      </c>
      <c r="C41" s="36" t="str">
        <f>IFERROR(ISCAM_Score!AL42,"—")</f>
        <v>—</v>
      </c>
      <c r="D41" t="str">
        <f t="shared" si="2"/>
        <v>— Sin Inst.2</v>
      </c>
      <c r="E41" t="str">
        <f t="shared" si="3"/>
        <v/>
      </c>
      <c r="F41" t="str">
        <f>IF(MATRIZ_174!L41="","",MATRIZ_174!L41)</f>
        <v/>
      </c>
      <c r="G41" t="str">
        <f>IFERROR(MATRIZ_174!M41,0)</f>
        <v/>
      </c>
      <c r="H41" t="str">
        <f>IF(NORMALIZADO!CC41="","",NORMALIZADO!CC41)</f>
        <v/>
      </c>
      <c r="I41" t="str">
        <f>IF(NORMALIZADO!CF41="","",NORMALIZADO!CF41)</f>
        <v/>
      </c>
      <c r="J41" t="str">
        <f>IF(NORMALIZADO!CG41="","",NORMALIZADO!CG41)</f>
        <v/>
      </c>
      <c r="K41">
        <f>IFERROR(INDEX(MATRIZ_174!$U:$U,MATCH(A41,MATRIZ_174!$A:$A,0))*100,"")</f>
        <v>100</v>
      </c>
      <c r="L41" t="str">
        <f>IFERROR(MATRIZ_174!O41,0)</f>
        <v/>
      </c>
      <c r="N41" t="str">
        <f>IFERROR(ISCAM_Score!AC42,"")</f>
        <v>⬜  Pendiente de instrumento</v>
      </c>
      <c r="O41" t="s">
        <v>110</v>
      </c>
      <c r="P41" t="str">
        <f>IFERROR(INDEX(MATRIZ_174!$C:$C,MATCH(A41,MATRIZ_174!$A:$A,0)),"")</f>
        <v>AMAZONAS</v>
      </c>
    </row>
    <row r="42" spans="1:16" ht="16.05" customHeight="1" x14ac:dyDescent="0.3">
      <c r="A42" t="s">
        <v>159</v>
      </c>
      <c r="B42" t="s">
        <v>160</v>
      </c>
      <c r="C42" s="36" t="str">
        <f>IFERROR(ISCAM_Score!AL43,"—")</f>
        <v>—</v>
      </c>
      <c r="D42" t="str">
        <f t="shared" si="2"/>
        <v>— Sin Inst.2</v>
      </c>
      <c r="E42" t="str">
        <f t="shared" si="3"/>
        <v/>
      </c>
      <c r="F42">
        <f>IF(MATRIZ_174!L42="","",MATRIZ_174!L42)</f>
        <v>408500</v>
      </c>
      <c r="G42">
        <f>IFERROR(MATRIZ_174!M42,0)</f>
        <v>50</v>
      </c>
      <c r="H42" t="str">
        <f>IF(NORMALIZADO!CC42="","",NORMALIZADO!CC42)</f>
        <v/>
      </c>
      <c r="I42" t="str">
        <f>IF(NORMALIZADO!CF42="","",NORMALIZADO!CF42)</f>
        <v/>
      </c>
      <c r="J42" t="str">
        <f>IF(NORMALIZADO!CG42="","",NORMALIZADO!CG42)</f>
        <v/>
      </c>
      <c r="K42">
        <f>IFERROR(INDEX(MATRIZ_174!$U:$U,MATCH(A42,MATRIZ_174!$A:$A,0))*100,"")</f>
        <v>100</v>
      </c>
      <c r="L42" t="str">
        <f>IFERROR(MATRIZ_174!O42,0)</f>
        <v/>
      </c>
      <c r="N42" t="str">
        <f>IFERROR(ISCAM_Score!AC43,"")</f>
        <v>⬜  Pendiente de instrumento</v>
      </c>
      <c r="O42" t="s">
        <v>101</v>
      </c>
      <c r="P42" t="str">
        <f>IFERROR(INDEX(MATRIZ_174!$C:$C,MATCH(A42,MATRIZ_174!$A:$A,0)),"")</f>
        <v>PIURA</v>
      </c>
    </row>
    <row r="43" spans="1:16" ht="16.05" customHeight="1" x14ac:dyDescent="0.3">
      <c r="A43" t="s">
        <v>161</v>
      </c>
      <c r="B43" t="s">
        <v>162</v>
      </c>
      <c r="C43" s="36" t="str">
        <f>IFERROR(ISCAM_Score!AL44,"—")</f>
        <v>—</v>
      </c>
      <c r="D43" t="str">
        <f t="shared" si="2"/>
        <v>— Sin Inst.2</v>
      </c>
      <c r="E43" t="str">
        <f t="shared" si="3"/>
        <v/>
      </c>
      <c r="F43" t="str">
        <f>IF(MATRIZ_174!L43="","",MATRIZ_174!L43)</f>
        <v/>
      </c>
      <c r="G43" t="str">
        <f>IFERROR(MATRIZ_174!M43,0)</f>
        <v/>
      </c>
      <c r="H43" t="str">
        <f>IF(NORMALIZADO!CC43="","",NORMALIZADO!CC43)</f>
        <v/>
      </c>
      <c r="I43" t="str">
        <f>IF(NORMALIZADO!CF43="","",NORMALIZADO!CF43)</f>
        <v/>
      </c>
      <c r="J43" t="str">
        <f>IF(NORMALIZADO!CG43="","",NORMALIZADO!CG43)</f>
        <v/>
      </c>
      <c r="K43">
        <f>IFERROR(INDEX(MATRIZ_174!$U:$U,MATCH(A43,MATRIZ_174!$A:$A,0))*100,"")</f>
        <v>100</v>
      </c>
      <c r="L43" t="str">
        <f>IFERROR(MATRIZ_174!O43,0)</f>
        <v/>
      </c>
      <c r="N43" t="str">
        <f>IFERROR(ISCAM_Score!AC44,"")</f>
        <v>⬜  Pendiente de instrumento</v>
      </c>
      <c r="O43" t="s">
        <v>75</v>
      </c>
      <c r="P43" t="str">
        <f>IFERROR(INDEX(MATRIZ_174!$C:$C,MATCH(A43,MATRIZ_174!$A:$A,0)),"")</f>
        <v>JUNIN</v>
      </c>
    </row>
    <row r="44" spans="1:16" ht="16.05" customHeight="1" x14ac:dyDescent="0.3">
      <c r="A44" t="s">
        <v>163</v>
      </c>
      <c r="B44" t="s">
        <v>164</v>
      </c>
      <c r="C44" s="36" t="str">
        <f>IFERROR(ISCAM_Score!AL45,"—")</f>
        <v>—</v>
      </c>
      <c r="D44" t="str">
        <f t="shared" si="2"/>
        <v>— Sin Inst.2</v>
      </c>
      <c r="E44" t="str">
        <f t="shared" si="3"/>
        <v/>
      </c>
      <c r="F44" t="str">
        <f>IF(MATRIZ_174!L44="","",MATRIZ_174!L44)</f>
        <v/>
      </c>
      <c r="G44" t="str">
        <f>IFERROR(MATRIZ_174!M44,0)</f>
        <v/>
      </c>
      <c r="H44" t="str">
        <f>IF(NORMALIZADO!CC44="","",NORMALIZADO!CC44)</f>
        <v/>
      </c>
      <c r="I44" t="str">
        <f>IF(NORMALIZADO!CF44="","",NORMALIZADO!CF44)</f>
        <v/>
      </c>
      <c r="J44" t="str">
        <f>IF(NORMALIZADO!CG44="","",NORMALIZADO!CG44)</f>
        <v/>
      </c>
      <c r="K44">
        <f>IFERROR(INDEX(MATRIZ_174!$U:$U,MATCH(A44,MATRIZ_174!$A:$A,0))*100,"")</f>
        <v>100</v>
      </c>
      <c r="L44" t="str">
        <f>IFERROR(MATRIZ_174!O44,0)</f>
        <v/>
      </c>
      <c r="N44" t="str">
        <f>IFERROR(ISCAM_Score!AC45,"")</f>
        <v>⬜  Pendiente de instrumento</v>
      </c>
      <c r="O44" t="s">
        <v>75</v>
      </c>
      <c r="P44" t="str">
        <f>IFERROR(INDEX(MATRIZ_174!$C:$C,MATCH(A44,MATRIZ_174!$A:$A,0)),"")</f>
        <v>JUNIN</v>
      </c>
    </row>
    <row r="45" spans="1:16" ht="16.05" customHeight="1" x14ac:dyDescent="0.3">
      <c r="A45" t="s">
        <v>165</v>
      </c>
      <c r="B45" t="s">
        <v>166</v>
      </c>
      <c r="C45" s="36" t="str">
        <f>IFERROR(ISCAM_Score!AL46,"—")</f>
        <v>—</v>
      </c>
      <c r="D45" t="str">
        <f t="shared" si="2"/>
        <v>— Sin Inst.2</v>
      </c>
      <c r="E45" t="str">
        <f t="shared" si="3"/>
        <v/>
      </c>
      <c r="F45">
        <f>IF(MATRIZ_174!L45="","",MATRIZ_174!L45)</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t="str">
        <f>IFERROR(MATRIZ_174!O45,0)</f>
        <v/>
      </c>
      <c r="N45" t="str">
        <f>IFERROR(ISCAM_Score!AC46,"")</f>
        <v>⬜  Pendiente de instrumento</v>
      </c>
      <c r="O45" t="s">
        <v>75</v>
      </c>
      <c r="P45" t="str">
        <f>IFERROR(INDEX(MATRIZ_174!$C:$C,MATCH(A45,MATRIZ_174!$A:$A,0)),"")</f>
        <v>JUNIN</v>
      </c>
    </row>
    <row r="46" spans="1:16" ht="16.05" customHeight="1" x14ac:dyDescent="0.3">
      <c r="A46" t="s">
        <v>167</v>
      </c>
      <c r="B46" t="s">
        <v>168</v>
      </c>
      <c r="C46" s="36" t="str">
        <f>IFERROR(ISCAM_Score!AL47,"—")</f>
        <v>—</v>
      </c>
      <c r="D46" t="str">
        <f t="shared" si="2"/>
        <v>— Sin Inst.2</v>
      </c>
      <c r="E46" t="str">
        <f t="shared" si="3"/>
        <v/>
      </c>
      <c r="F46" t="str">
        <f>IF(MATRIZ_174!L46="","",MATRIZ_174!L46)</f>
        <v/>
      </c>
      <c r="G46" t="str">
        <f>IFERROR(MATRIZ_174!M46,0)</f>
        <v/>
      </c>
      <c r="H46" t="str">
        <f>IF(NORMALIZADO!CC46="","",NORMALIZADO!CC46)</f>
        <v/>
      </c>
      <c r="I46" t="str">
        <f>IF(NORMALIZADO!CF46="","",NORMALIZADO!CF46)</f>
        <v/>
      </c>
      <c r="J46" t="str">
        <f>IF(NORMALIZADO!CG46="","",NORMALIZADO!CG46)</f>
        <v/>
      </c>
      <c r="K46">
        <f>IFERROR(INDEX(MATRIZ_174!$U:$U,MATCH(A46,MATRIZ_174!$A:$A,0))*100,"")</f>
        <v>100</v>
      </c>
      <c r="L46" t="str">
        <f>IFERROR(MATRIZ_174!O46,0)</f>
        <v/>
      </c>
      <c r="N46" t="str">
        <f>IFERROR(ISCAM_Score!AC47,"")</f>
        <v>⬜  Pendiente de instrumento</v>
      </c>
      <c r="O46" t="s">
        <v>75</v>
      </c>
      <c r="P46" t="str">
        <f>IFERROR(INDEX(MATRIZ_174!$C:$C,MATCH(A46,MATRIZ_174!$A:$A,0)),"")</f>
        <v>JUNIN</v>
      </c>
    </row>
    <row r="47" spans="1:16" ht="16.05" customHeight="1" x14ac:dyDescent="0.3">
      <c r="A47" t="s">
        <v>169</v>
      </c>
      <c r="B47" t="s">
        <v>170</v>
      </c>
      <c r="C47" s="36" t="str">
        <f>IFERROR(ISCAM_Score!AL48,"—")</f>
        <v>—</v>
      </c>
      <c r="D47" t="str">
        <f t="shared" si="2"/>
        <v>— Sin Inst.2</v>
      </c>
      <c r="E47" t="str">
        <f t="shared" si="3"/>
        <v/>
      </c>
      <c r="F47" t="str">
        <f>IF(MATRIZ_174!L47="","",MATRIZ_174!L47)</f>
        <v/>
      </c>
      <c r="G47" t="str">
        <f>IFERROR(MATRIZ_174!M47,0)</f>
        <v/>
      </c>
      <c r="H47" t="str">
        <f>IF(NORMALIZADO!CC47="","",NORMALIZADO!CC47)</f>
        <v/>
      </c>
      <c r="I47" t="str">
        <f>IF(NORMALIZADO!CF47="","",NORMALIZADO!CF47)</f>
        <v/>
      </c>
      <c r="J47" t="str">
        <f>IF(NORMALIZADO!CG47="","",NORMALIZADO!CG47)</f>
        <v/>
      </c>
      <c r="K47">
        <f>IFERROR(INDEX(MATRIZ_174!$U:$U,MATCH(A47,MATRIZ_174!$A:$A,0))*100,"")</f>
        <v>100</v>
      </c>
      <c r="L47" t="str">
        <f>IFERROR(MATRIZ_174!O47,0)</f>
        <v/>
      </c>
      <c r="N47" t="str">
        <f>IFERROR(ISCAM_Score!AC48,"")</f>
        <v>⬜  Pendiente de instrumento</v>
      </c>
      <c r="O47" t="s">
        <v>75</v>
      </c>
      <c r="P47" t="str">
        <f>IFERROR(INDEX(MATRIZ_174!$C:$C,MATCH(A47,MATRIZ_174!$A:$A,0)),"")</f>
        <v>JUNIN</v>
      </c>
    </row>
    <row r="48" spans="1:16" ht="16.05" customHeight="1" x14ac:dyDescent="0.3">
      <c r="A48" t="s">
        <v>171</v>
      </c>
      <c r="B48" t="s">
        <v>172</v>
      </c>
      <c r="C48" s="36" t="str">
        <f>IFERROR(ISCAM_Score!AL49,"—")</f>
        <v>—</v>
      </c>
      <c r="D48" t="str">
        <f t="shared" si="2"/>
        <v>— Sin Inst.2</v>
      </c>
      <c r="E48" t="str">
        <f t="shared" si="3"/>
        <v/>
      </c>
      <c r="F48">
        <f>IF(MATRIZ_174!L48="","",MATRIZ_174!L48)</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t="str">
        <f>IFERROR(MATRIZ_174!O48,0)</f>
        <v/>
      </c>
      <c r="N48" t="str">
        <f>IFERROR(ISCAM_Score!AC49,"")</f>
        <v>⬜  Pendiente de instrumento</v>
      </c>
      <c r="O48" t="s">
        <v>75</v>
      </c>
      <c r="P48" t="str">
        <f>IFERROR(INDEX(MATRIZ_174!$C:$C,MATCH(A48,MATRIZ_174!$A:$A,0)),"")</f>
        <v>JUNIN</v>
      </c>
    </row>
    <row r="49" spans="1:16" ht="16.05" customHeight="1" x14ac:dyDescent="0.3">
      <c r="A49" t="s">
        <v>173</v>
      </c>
      <c r="B49" t="s">
        <v>174</v>
      </c>
      <c r="C49" s="36" t="str">
        <f>IFERROR(ISCAM_Score!AL50,"—")</f>
        <v>—</v>
      </c>
      <c r="D49" t="str">
        <f t="shared" si="2"/>
        <v>— Sin Inst.2</v>
      </c>
      <c r="E49" t="str">
        <f t="shared" si="3"/>
        <v/>
      </c>
      <c r="F49">
        <f>IF(MATRIZ_174!L49="","",MATRIZ_174!L49)</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t="str">
        <f>IFERROR(MATRIZ_174!O49,0)</f>
        <v/>
      </c>
      <c r="N49" t="str">
        <f>IFERROR(ISCAM_Score!AC50,"")</f>
        <v>⬜  Pendiente de instrumento</v>
      </c>
      <c r="O49" t="s">
        <v>75</v>
      </c>
      <c r="P49" t="str">
        <f>IFERROR(INDEX(MATRIZ_174!$C:$C,MATCH(A49,MATRIZ_174!$A:$A,0)),"")</f>
        <v>JUNIN</v>
      </c>
    </row>
    <row r="50" spans="1:16" ht="16.05" customHeight="1" x14ac:dyDescent="0.3">
      <c r="A50" t="s">
        <v>175</v>
      </c>
      <c r="B50" t="s">
        <v>176</v>
      </c>
      <c r="C50" s="36" t="str">
        <f>IFERROR(ISCAM_Score!AL51,"—")</f>
        <v>—</v>
      </c>
      <c r="D50" t="str">
        <f t="shared" si="2"/>
        <v>— Sin Inst.2</v>
      </c>
      <c r="E50" t="str">
        <f t="shared" si="3"/>
        <v/>
      </c>
      <c r="F50" t="str">
        <f>IF(MATRIZ_174!L50="","",MATRIZ_174!L50)</f>
        <v/>
      </c>
      <c r="G50" t="str">
        <f>IFERROR(MATRIZ_174!M50,0)</f>
        <v/>
      </c>
      <c r="H50" t="str">
        <f>IF(NORMALIZADO!CC50="","",NORMALIZADO!CC50)</f>
        <v/>
      </c>
      <c r="I50" t="str">
        <f>IF(NORMALIZADO!CF50="","",NORMALIZADO!CF50)</f>
        <v/>
      </c>
      <c r="J50" t="str">
        <f>IF(NORMALIZADO!CG50="","",NORMALIZADO!CG50)</f>
        <v/>
      </c>
      <c r="K50">
        <f>IFERROR(INDEX(MATRIZ_174!$U:$U,MATCH(A50,MATRIZ_174!$A:$A,0))*100,"")</f>
        <v>100</v>
      </c>
      <c r="L50" t="str">
        <f>IFERROR(MATRIZ_174!O50,0)</f>
        <v/>
      </c>
      <c r="N50" t="str">
        <f>IFERROR(ISCAM_Score!AC51,"")</f>
        <v>⬜  Pendiente de instrumento</v>
      </c>
      <c r="O50" t="s">
        <v>177</v>
      </c>
      <c r="P50" t="str">
        <f>IFERROR(INDEX(MATRIZ_174!$C:$C,MATCH(A50,MATRIZ_174!$A:$A,0)),"")</f>
        <v>LAMBAYEQUE</v>
      </c>
    </row>
    <row r="51" spans="1:16" ht="16.05" customHeight="1" x14ac:dyDescent="0.3">
      <c r="A51" t="s">
        <v>178</v>
      </c>
      <c r="B51" t="s">
        <v>179</v>
      </c>
      <c r="C51" s="36" t="str">
        <f>IFERROR(ISCAM_Score!AL52,"—")</f>
        <v>—</v>
      </c>
      <c r="D51" t="str">
        <f t="shared" si="2"/>
        <v>— Sin Inst.2</v>
      </c>
      <c r="E51" t="str">
        <f t="shared" si="3"/>
        <v/>
      </c>
      <c r="F51" t="str">
        <f>IF(MATRIZ_174!L51="","",MATRIZ_174!L51)</f>
        <v/>
      </c>
      <c r="G51" t="str">
        <f>IFERROR(MATRIZ_174!M51,0)</f>
        <v/>
      </c>
      <c r="H51" t="str">
        <f>IF(NORMALIZADO!CC51="","",NORMALIZADO!CC51)</f>
        <v/>
      </c>
      <c r="I51" t="str">
        <f>IF(NORMALIZADO!CF51="","",NORMALIZADO!CF51)</f>
        <v/>
      </c>
      <c r="J51" t="str">
        <f>IF(NORMALIZADO!CG51="","",NORMALIZADO!CG51)</f>
        <v/>
      </c>
      <c r="K51">
        <f>IFERROR(INDEX(MATRIZ_174!$U:$U,MATCH(A51,MATRIZ_174!$A:$A,0))*100,"")</f>
        <v>100</v>
      </c>
      <c r="L51" t="str">
        <f>IFERROR(MATRIZ_174!O51,0)</f>
        <v/>
      </c>
      <c r="N51" t="str">
        <f>IFERROR(ISCAM_Score!AC52,"")</f>
        <v>⬜  Pendiente de instrumento</v>
      </c>
      <c r="O51" t="s">
        <v>148</v>
      </c>
      <c r="P51" t="str">
        <f>IFERROR(INDEX(MATRIZ_174!$C:$C,MATCH(A51,MATRIZ_174!$A:$A,0)),"")</f>
        <v>CAJAMARCA</v>
      </c>
    </row>
    <row r="52" spans="1:16" ht="16.05" customHeight="1" x14ac:dyDescent="0.3">
      <c r="A52" t="s">
        <v>180</v>
      </c>
      <c r="B52" t="s">
        <v>181</v>
      </c>
      <c r="C52" s="36" t="str">
        <f>IFERROR(ISCAM_Score!AL53,"—")</f>
        <v>—</v>
      </c>
      <c r="D52" t="str">
        <f t="shared" si="2"/>
        <v>— Sin Inst.2</v>
      </c>
      <c r="E52" t="str">
        <f t="shared" si="3"/>
        <v/>
      </c>
      <c r="F52" t="str">
        <f>IF(MATRIZ_174!L52="","",MATRIZ_174!L52)</f>
        <v/>
      </c>
      <c r="G52" t="str">
        <f>IFERROR(MATRIZ_174!M52,0)</f>
        <v/>
      </c>
      <c r="H52" t="str">
        <f>IF(NORMALIZADO!CC52="","",NORMALIZADO!CC52)</f>
        <v/>
      </c>
      <c r="I52" t="str">
        <f>IF(NORMALIZADO!CF52="","",NORMALIZADO!CF52)</f>
        <v/>
      </c>
      <c r="J52" t="str">
        <f>IF(NORMALIZADO!CG52="","",NORMALIZADO!CG52)</f>
        <v/>
      </c>
      <c r="K52">
        <f>IFERROR(INDEX(MATRIZ_174!$U:$U,MATCH(A52,MATRIZ_174!$A:$A,0))*100,"")</f>
        <v>100</v>
      </c>
      <c r="L52" t="str">
        <f>IFERROR(MATRIZ_174!O52,0)</f>
        <v/>
      </c>
      <c r="N52" t="str">
        <f>IFERROR(ISCAM_Score!AC53,"")</f>
        <v>⬜  Pendiente de instrumento</v>
      </c>
      <c r="O52" t="s">
        <v>78</v>
      </c>
      <c r="P52" t="str">
        <f>IFERROR(INDEX(MATRIZ_174!$C:$C,MATCH(A52,MATRIZ_174!$A:$A,0)),"")</f>
        <v>CUSCO</v>
      </c>
    </row>
    <row r="53" spans="1:16" ht="16.05" customHeight="1" x14ac:dyDescent="0.3">
      <c r="A53" t="s">
        <v>182</v>
      </c>
      <c r="B53" t="s">
        <v>183</v>
      </c>
      <c r="C53" s="36" t="str">
        <f>IFERROR(ISCAM_Score!AL54,"—")</f>
        <v>—</v>
      </c>
      <c r="D53" t="str">
        <f t="shared" si="2"/>
        <v>— Sin Inst.2</v>
      </c>
      <c r="E53" t="str">
        <f t="shared" si="3"/>
        <v/>
      </c>
      <c r="F53" t="str">
        <f>IF(MATRIZ_174!L53="","",MATRIZ_174!L53)</f>
        <v/>
      </c>
      <c r="G53" t="str">
        <f>IFERROR(MATRIZ_174!M53,0)</f>
        <v/>
      </c>
      <c r="H53" t="str">
        <f>IF(NORMALIZADO!CC53="","",NORMALIZADO!CC53)</f>
        <v/>
      </c>
      <c r="I53" t="str">
        <f>IF(NORMALIZADO!CF53="","",NORMALIZADO!CF53)</f>
        <v/>
      </c>
      <c r="J53" t="str">
        <f>IF(NORMALIZADO!CG53="","",NORMALIZADO!CG53)</f>
        <v/>
      </c>
      <c r="K53">
        <f>IFERROR(INDEX(MATRIZ_174!$U:$U,MATCH(A53,MATRIZ_174!$A:$A,0))*100,"")</f>
        <v>100</v>
      </c>
      <c r="L53" t="str">
        <f>IFERROR(MATRIZ_174!O53,0)</f>
        <v/>
      </c>
      <c r="N53" t="str">
        <f>IFERROR(ISCAM_Score!AC54,"")</f>
        <v>⬜  Pendiente de instrumento</v>
      </c>
      <c r="O53" t="s">
        <v>137</v>
      </c>
      <c r="P53" t="str">
        <f>IFERROR(INDEX(MATRIZ_174!$C:$C,MATCH(A53,MATRIZ_174!$A:$A,0)),"")</f>
        <v>SAN MARTIN</v>
      </c>
    </row>
    <row r="54" spans="1:16" ht="16.05" customHeight="1" x14ac:dyDescent="0.3">
      <c r="A54" t="s">
        <v>184</v>
      </c>
      <c r="B54" t="s">
        <v>185</v>
      </c>
      <c r="C54" s="36" t="str">
        <f>IFERROR(ISCAM_Score!AL55,"—")</f>
        <v>—</v>
      </c>
      <c r="D54" t="str">
        <f t="shared" si="2"/>
        <v>— Sin Inst.2</v>
      </c>
      <c r="E54" t="str">
        <f t="shared" si="3"/>
        <v/>
      </c>
      <c r="F54" t="str">
        <f>IF(MATRIZ_174!L54="","",MATRIZ_174!L54)</f>
        <v/>
      </c>
      <c r="G54" t="str">
        <f>IFERROR(MATRIZ_174!M54,0)</f>
        <v/>
      </c>
      <c r="H54" t="str">
        <f>IF(NORMALIZADO!CC54="","",NORMALIZADO!CC54)</f>
        <v/>
      </c>
      <c r="I54" t="str">
        <f>IF(NORMALIZADO!CF54="","",NORMALIZADO!CF54)</f>
        <v/>
      </c>
      <c r="J54" t="str">
        <f>IF(NORMALIZADO!CG54="","",NORMALIZADO!CG54)</f>
        <v/>
      </c>
      <c r="K54">
        <f>IFERROR(INDEX(MATRIZ_174!$U:$U,MATCH(A54,MATRIZ_174!$A:$A,0))*100,"")</f>
        <v>100</v>
      </c>
      <c r="L54" t="str">
        <f>IFERROR(MATRIZ_174!O54,0)</f>
        <v/>
      </c>
      <c r="N54" t="str">
        <f>IFERROR(ISCAM_Score!AC55,"")</f>
        <v>⬜  Pendiente de instrumento</v>
      </c>
      <c r="O54" t="s">
        <v>137</v>
      </c>
      <c r="P54" t="str">
        <f>IFERROR(INDEX(MATRIZ_174!$C:$C,MATCH(A54,MATRIZ_174!$A:$A,0)),"")</f>
        <v>SAN MARTIN</v>
      </c>
    </row>
    <row r="55" spans="1:16" ht="16.05" customHeight="1" x14ac:dyDescent="0.3">
      <c r="A55" t="s">
        <v>186</v>
      </c>
      <c r="B55" t="s">
        <v>187</v>
      </c>
      <c r="C55" s="36" t="str">
        <f>IFERROR(ISCAM_Score!AL56,"—")</f>
        <v>—</v>
      </c>
      <c r="D55" t="str">
        <f t="shared" si="2"/>
        <v>— Sin Inst.2</v>
      </c>
      <c r="E55" t="str">
        <f t="shared" si="3"/>
        <v/>
      </c>
      <c r="F55" t="str">
        <f>IF(MATRIZ_174!L55="","",MATRIZ_174!L55)</f>
        <v/>
      </c>
      <c r="G55" t="str">
        <f>IFERROR(MATRIZ_174!M55,0)</f>
        <v/>
      </c>
      <c r="H55" t="str">
        <f>IF(NORMALIZADO!CC55="","",NORMALIZADO!CC55)</f>
        <v/>
      </c>
      <c r="I55" t="str">
        <f>IF(NORMALIZADO!CF55="","",NORMALIZADO!CF55)</f>
        <v/>
      </c>
      <c r="J55" t="str">
        <f>IF(NORMALIZADO!CG55="","",NORMALIZADO!CG55)</f>
        <v/>
      </c>
      <c r="K55">
        <f>IFERROR(INDEX(MATRIZ_174!$U:$U,MATCH(A55,MATRIZ_174!$A:$A,0))*100,"")</f>
        <v>100</v>
      </c>
      <c r="L55" t="str">
        <f>IFERROR(MATRIZ_174!O55,0)</f>
        <v/>
      </c>
      <c r="N55" t="str">
        <f>IFERROR(ISCAM_Score!AC56,"")</f>
        <v>⬜  Pendiente de instrumento</v>
      </c>
      <c r="O55" t="s">
        <v>137</v>
      </c>
      <c r="P55" t="str">
        <f>IFERROR(INDEX(MATRIZ_174!$C:$C,MATCH(A55,MATRIZ_174!$A:$A,0)),"")</f>
        <v>SAN MARTIN</v>
      </c>
    </row>
    <row r="56" spans="1:16" ht="16.05" customHeight="1" x14ac:dyDescent="0.3">
      <c r="A56" t="s">
        <v>188</v>
      </c>
      <c r="B56" t="s">
        <v>189</v>
      </c>
      <c r="C56" s="36" t="str">
        <f>IFERROR(ISCAM_Score!AL57,"—")</f>
        <v>—</v>
      </c>
      <c r="D56" t="str">
        <f t="shared" si="2"/>
        <v>— Sin Inst.2</v>
      </c>
      <c r="E56" t="str">
        <f t="shared" si="3"/>
        <v/>
      </c>
      <c r="F56" t="str">
        <f>IF(MATRIZ_174!L56="","",MATRIZ_174!L56)</f>
        <v/>
      </c>
      <c r="G56" t="str">
        <f>IFERROR(MATRIZ_174!M56,0)</f>
        <v/>
      </c>
      <c r="H56" t="str">
        <f>IF(NORMALIZADO!CC56="","",NORMALIZADO!CC56)</f>
        <v/>
      </c>
      <c r="I56" t="str">
        <f>IF(NORMALIZADO!CF56="","",NORMALIZADO!CF56)</f>
        <v/>
      </c>
      <c r="J56" t="str">
        <f>IF(NORMALIZADO!CG56="","",NORMALIZADO!CG56)</f>
        <v/>
      </c>
      <c r="K56">
        <f>IFERROR(INDEX(MATRIZ_174!$U:$U,MATCH(A56,MATRIZ_174!$A:$A,0))*100,"")</f>
        <v>100</v>
      </c>
      <c r="L56" t="str">
        <f>IFERROR(MATRIZ_174!O56,0)</f>
        <v/>
      </c>
      <c r="N56" t="str">
        <f>IFERROR(ISCAM_Score!AC57,"")</f>
        <v>⬜  Pendiente de instrumento</v>
      </c>
      <c r="O56" t="s">
        <v>190</v>
      </c>
      <c r="P56" t="str">
        <f>IFERROR(INDEX(MATRIZ_174!$C:$C,MATCH(A56,MATRIZ_174!$A:$A,0)),"")</f>
        <v>LORETO</v>
      </c>
    </row>
    <row r="57" spans="1:16" ht="16.05" customHeight="1" x14ac:dyDescent="0.3">
      <c r="A57" t="s">
        <v>191</v>
      </c>
      <c r="B57" t="s">
        <v>192</v>
      </c>
      <c r="C57" s="36" t="str">
        <f>IFERROR(ISCAM_Score!AL58,"—")</f>
        <v>—</v>
      </c>
      <c r="D57" t="str">
        <f t="shared" si="2"/>
        <v>— Sin Inst.2</v>
      </c>
      <c r="E57" t="str">
        <f t="shared" si="3"/>
        <v/>
      </c>
      <c r="F57" t="str">
        <f>IF(MATRIZ_174!L57="","",MATRIZ_174!L57)</f>
        <v/>
      </c>
      <c r="G57" t="str">
        <f>IFERROR(MATRIZ_174!M57,0)</f>
        <v/>
      </c>
      <c r="H57" t="str">
        <f>IF(NORMALIZADO!CC57="","",NORMALIZADO!CC57)</f>
        <v/>
      </c>
      <c r="I57" t="str">
        <f>IF(NORMALIZADO!CF57="","",NORMALIZADO!CF57)</f>
        <v/>
      </c>
      <c r="J57" t="str">
        <f>IF(NORMALIZADO!CG57="","",NORMALIZADO!CG57)</f>
        <v/>
      </c>
      <c r="K57">
        <f>IFERROR(INDEX(MATRIZ_174!$U:$U,MATCH(A57,MATRIZ_174!$A:$A,0))*100,"")</f>
        <v>100</v>
      </c>
      <c r="L57" t="str">
        <f>IFERROR(MATRIZ_174!O57,0)</f>
        <v/>
      </c>
      <c r="N57" t="str">
        <f>IFERROR(ISCAM_Score!AC58,"")</f>
        <v>⬜  Pendiente de instrumento</v>
      </c>
      <c r="O57" t="s">
        <v>78</v>
      </c>
      <c r="P57" t="str">
        <f>IFERROR(INDEX(MATRIZ_174!$C:$C,MATCH(A57,MATRIZ_174!$A:$A,0)),"")</f>
        <v>CUSCO</v>
      </c>
    </row>
    <row r="58" spans="1:16" ht="16.05" customHeight="1" x14ac:dyDescent="0.3">
      <c r="A58" t="s">
        <v>193</v>
      </c>
      <c r="B58" t="s">
        <v>194</v>
      </c>
      <c r="C58" s="36" t="str">
        <f>IFERROR(ISCAM_Score!AL59,"—")</f>
        <v>—</v>
      </c>
      <c r="D58" t="str">
        <f t="shared" si="2"/>
        <v>— Sin Inst.2</v>
      </c>
      <c r="E58" t="str">
        <f t="shared" si="3"/>
        <v/>
      </c>
      <c r="F58">
        <f>IF(MATRIZ_174!L58="","",MATRIZ_174!L58)</f>
        <v>52920</v>
      </c>
      <c r="G58">
        <f>IFERROR(MATRIZ_174!M58,0)</f>
        <v>50</v>
      </c>
      <c r="H58" t="str">
        <f>IF(NORMALIZADO!CC58="","",NORMALIZADO!CC58)</f>
        <v/>
      </c>
      <c r="I58" t="str">
        <f>IF(NORMALIZADO!CF58="","",NORMALIZADO!CF58)</f>
        <v/>
      </c>
      <c r="J58" t="str">
        <f>IF(NORMALIZADO!CG58="","",NORMALIZADO!CG58)</f>
        <v/>
      </c>
      <c r="K58">
        <f>IFERROR(INDEX(MATRIZ_174!$U:$U,MATCH(A58,MATRIZ_174!$A:$A,0))*100,"")</f>
        <v>100</v>
      </c>
      <c r="L58" t="str">
        <f>IFERROR(MATRIZ_174!O58,0)</f>
        <v/>
      </c>
      <c r="N58" t="str">
        <f>IFERROR(ISCAM_Score!AC59,"")</f>
        <v>⬜  Pendiente de instrumento</v>
      </c>
      <c r="O58" t="s">
        <v>101</v>
      </c>
      <c r="P58" t="str">
        <f>IFERROR(INDEX(MATRIZ_174!$C:$C,MATCH(A58,MATRIZ_174!$A:$A,0)),"")</f>
        <v>PIURA</v>
      </c>
    </row>
    <row r="59" spans="1:16" ht="16.05" customHeight="1" x14ac:dyDescent="0.3">
      <c r="A59" t="s">
        <v>195</v>
      </c>
      <c r="B59" t="s">
        <v>196</v>
      </c>
      <c r="C59" s="36" t="str">
        <f>IFERROR(ISCAM_Score!AL60,"—")</f>
        <v>—</v>
      </c>
      <c r="D59" t="str">
        <f t="shared" si="2"/>
        <v>— Sin Inst.2</v>
      </c>
      <c r="E59" t="str">
        <f t="shared" si="3"/>
        <v/>
      </c>
      <c r="F59" t="str">
        <f>IF(MATRIZ_174!L59="","",MATRIZ_174!L59)</f>
        <v/>
      </c>
      <c r="G59" t="str">
        <f>IFERROR(MATRIZ_174!M59,0)</f>
        <v/>
      </c>
      <c r="H59" t="str">
        <f>IF(NORMALIZADO!CC59="","",NORMALIZADO!CC59)</f>
        <v/>
      </c>
      <c r="I59" t="str">
        <f>IF(NORMALIZADO!CF59="","",NORMALIZADO!CF59)</f>
        <v/>
      </c>
      <c r="J59" t="str">
        <f>IF(NORMALIZADO!CG59="","",NORMALIZADO!CG59)</f>
        <v/>
      </c>
      <c r="K59">
        <f>IFERROR(INDEX(MATRIZ_174!$U:$U,MATCH(A59,MATRIZ_174!$A:$A,0))*100,"")</f>
        <v>100</v>
      </c>
      <c r="L59" t="str">
        <f>IFERROR(MATRIZ_174!O59,0)</f>
        <v/>
      </c>
      <c r="N59" t="str">
        <f>IFERROR(ISCAM_Score!AC60,"")</f>
        <v>⬜  Pendiente de instrumento</v>
      </c>
      <c r="O59" t="s">
        <v>101</v>
      </c>
      <c r="P59" t="str">
        <f>IFERROR(INDEX(MATRIZ_174!$C:$C,MATCH(A59,MATRIZ_174!$A:$A,0)),"")</f>
        <v>PIURA</v>
      </c>
    </row>
    <row r="60" spans="1:16" ht="16.05" customHeight="1" x14ac:dyDescent="0.3">
      <c r="A60" t="s">
        <v>197</v>
      </c>
      <c r="B60" t="s">
        <v>198</v>
      </c>
      <c r="C60" s="36" t="str">
        <f>IFERROR(ISCAM_Score!AL61,"—")</f>
        <v>—</v>
      </c>
      <c r="D60" t="str">
        <f t="shared" si="2"/>
        <v>— Sin Inst.2</v>
      </c>
      <c r="E60" t="str">
        <f t="shared" si="3"/>
        <v/>
      </c>
      <c r="F60">
        <f>IF(MATRIZ_174!L60="","",MATRIZ_174!L60)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t="str">
        <f>IFERROR(MATRIZ_174!O60,0)</f>
        <v/>
      </c>
      <c r="N60" t="str">
        <f>IFERROR(ISCAM_Score!AC61,"")</f>
        <v>⬜  Pendiente de instrumento</v>
      </c>
      <c r="O60" t="s">
        <v>199</v>
      </c>
      <c r="P60" t="str">
        <f>IFERROR(INDEX(MATRIZ_174!$C:$C,MATCH(A60,MATRIZ_174!$A:$A,0)),"")</f>
        <v>APURIMAC</v>
      </c>
    </row>
    <row r="61" spans="1:16" ht="16.05" customHeight="1" x14ac:dyDescent="0.3">
      <c r="A61" t="s">
        <v>200</v>
      </c>
      <c r="B61" t="s">
        <v>201</v>
      </c>
      <c r="C61" s="36" t="str">
        <f>IFERROR(ISCAM_Score!AL62,"—")</f>
        <v>—</v>
      </c>
      <c r="D61" t="str">
        <f t="shared" si="2"/>
        <v>— Sin Inst.2</v>
      </c>
      <c r="E61" t="str">
        <f t="shared" si="3"/>
        <v/>
      </c>
      <c r="F61" t="str">
        <f>IF(MATRIZ_174!L61="","",MATRIZ_174!L61)</f>
        <v/>
      </c>
      <c r="G61" t="str">
        <f>IFERROR(MATRIZ_174!M61,0)</f>
        <v/>
      </c>
      <c r="H61" t="str">
        <f>IF(NORMALIZADO!CC61="","",NORMALIZADO!CC61)</f>
        <v/>
      </c>
      <c r="I61" t="str">
        <f>IF(NORMALIZADO!CF61="","",NORMALIZADO!CF61)</f>
        <v/>
      </c>
      <c r="J61" t="str">
        <f>IF(NORMALIZADO!CG61="","",NORMALIZADO!CG61)</f>
        <v/>
      </c>
      <c r="K61">
        <f>IFERROR(INDEX(MATRIZ_174!$U:$U,MATCH(A61,MATRIZ_174!$A:$A,0))*100,"")</f>
        <v>100</v>
      </c>
      <c r="L61" t="str">
        <f>IFERROR(MATRIZ_174!O61,0)</f>
        <v/>
      </c>
      <c r="N61" t="str">
        <f>IFERROR(ISCAM_Score!AC62,"")</f>
        <v>⬜  Pendiente de instrumento</v>
      </c>
      <c r="O61" t="s">
        <v>117</v>
      </c>
      <c r="P61" t="str">
        <f>IFERROR(INDEX(MATRIZ_174!$C:$C,MATCH(A61,MATRIZ_174!$A:$A,0)),"")</f>
        <v>HUANUCO</v>
      </c>
    </row>
    <row r="62" spans="1:16" ht="16.05" customHeight="1" x14ac:dyDescent="0.3">
      <c r="A62" t="s">
        <v>202</v>
      </c>
      <c r="B62" t="s">
        <v>203</v>
      </c>
      <c r="C62" s="36" t="str">
        <f>IFERROR(ISCAM_Score!AL63,"—")</f>
        <v>—</v>
      </c>
      <c r="D62" t="str">
        <f t="shared" si="2"/>
        <v>— Sin Inst.2</v>
      </c>
      <c r="E62" t="str">
        <f t="shared" si="3"/>
        <v/>
      </c>
      <c r="F62" t="str">
        <f>IF(MATRIZ_174!L62="","",MATRIZ_174!L62)</f>
        <v/>
      </c>
      <c r="G62" t="str">
        <f>IFERROR(MATRIZ_174!M62,0)</f>
        <v/>
      </c>
      <c r="H62" t="str">
        <f>IF(NORMALIZADO!CC62="","",NORMALIZADO!CC62)</f>
        <v/>
      </c>
      <c r="I62" t="str">
        <f>IF(NORMALIZADO!CF62="","",NORMALIZADO!CF62)</f>
        <v/>
      </c>
      <c r="J62" t="str">
        <f>IF(NORMALIZADO!CG62="","",NORMALIZADO!CG62)</f>
        <v/>
      </c>
      <c r="K62">
        <f>IFERROR(INDEX(MATRIZ_174!$U:$U,MATCH(A62,MATRIZ_174!$A:$A,0))*100,"")</f>
        <v>100</v>
      </c>
      <c r="L62" t="str">
        <f>IFERROR(MATRIZ_174!O62,0)</f>
        <v/>
      </c>
      <c r="N62" t="str">
        <f>IFERROR(ISCAM_Score!AC63,"")</f>
        <v>⬜  Pendiente de instrumento</v>
      </c>
      <c r="O62" t="s">
        <v>101</v>
      </c>
      <c r="P62" t="str">
        <f>IFERROR(INDEX(MATRIZ_174!$C:$C,MATCH(A62,MATRIZ_174!$A:$A,0)),"")</f>
        <v>PIURA</v>
      </c>
    </row>
    <row r="63" spans="1:16" ht="16.05" customHeight="1" x14ac:dyDescent="0.3">
      <c r="A63" t="s">
        <v>204</v>
      </c>
      <c r="B63" t="s">
        <v>205</v>
      </c>
      <c r="C63" s="36" t="str">
        <f>IFERROR(ISCAM_Score!AL64,"—")</f>
        <v>—</v>
      </c>
      <c r="D63" t="str">
        <f t="shared" si="2"/>
        <v>— Sin Inst.2</v>
      </c>
      <c r="E63" t="str">
        <f t="shared" si="3"/>
        <v/>
      </c>
      <c r="F63" t="str">
        <f>IF(MATRIZ_174!L63="","",MATRIZ_174!L63)</f>
        <v/>
      </c>
      <c r="G63" t="str">
        <f>IFERROR(MATRIZ_174!M63,0)</f>
        <v/>
      </c>
      <c r="H63" t="str">
        <f>IF(NORMALIZADO!CC63="","",NORMALIZADO!CC63)</f>
        <v/>
      </c>
      <c r="I63" t="str">
        <f>IF(NORMALIZADO!CF63="","",NORMALIZADO!CF63)</f>
        <v/>
      </c>
      <c r="J63" t="str">
        <f>IF(NORMALIZADO!CG63="","",NORMALIZADO!CG63)</f>
        <v/>
      </c>
      <c r="K63">
        <f>IFERROR(INDEX(MATRIZ_174!$U:$U,MATCH(A63,MATRIZ_174!$A:$A,0))*100,"")</f>
        <v>100</v>
      </c>
      <c r="L63" t="str">
        <f>IFERROR(MATRIZ_174!O63,0)</f>
        <v/>
      </c>
      <c r="N63" t="str">
        <f>IFERROR(ISCAM_Score!AC64,"")</f>
        <v>⬜  Pendiente de instrumento</v>
      </c>
      <c r="O63" t="s">
        <v>101</v>
      </c>
      <c r="P63" t="str">
        <f>IFERROR(INDEX(MATRIZ_174!$C:$C,MATCH(A63,MATRIZ_174!$A:$A,0)),"")</f>
        <v>PIURA</v>
      </c>
    </row>
    <row r="64" spans="1:16" ht="16.05" customHeight="1" x14ac:dyDescent="0.3">
      <c r="A64" t="s">
        <v>206</v>
      </c>
      <c r="B64" t="s">
        <v>207</v>
      </c>
      <c r="C64" s="36" t="str">
        <f>IFERROR(ISCAM_Score!AL65,"—")</f>
        <v>—</v>
      </c>
      <c r="D64" t="str">
        <f t="shared" si="2"/>
        <v>— Sin Inst.2</v>
      </c>
      <c r="E64" t="str">
        <f t="shared" si="3"/>
        <v/>
      </c>
      <c r="F64" t="str">
        <f>IF(MATRIZ_174!L64="","",MATRIZ_174!L64)</f>
        <v/>
      </c>
      <c r="G64" t="str">
        <f>IFERROR(MATRIZ_174!M64,0)</f>
        <v/>
      </c>
      <c r="H64" t="str">
        <f>IF(NORMALIZADO!CC64="","",NORMALIZADO!CC64)</f>
        <v/>
      </c>
      <c r="I64" t="str">
        <f>IF(NORMALIZADO!CF64="","",NORMALIZADO!CF64)</f>
        <v/>
      </c>
      <c r="J64" t="str">
        <f>IF(NORMALIZADO!CG64="","",NORMALIZADO!CG64)</f>
        <v/>
      </c>
      <c r="K64">
        <f>IFERROR(INDEX(MATRIZ_174!$U:$U,MATCH(A64,MATRIZ_174!$A:$A,0))*100,"")</f>
        <v>100</v>
      </c>
      <c r="L64" t="str">
        <f>IFERROR(MATRIZ_174!O64,0)</f>
        <v/>
      </c>
      <c r="N64" t="str">
        <f>IFERROR(ISCAM_Score!AC65,"")</f>
        <v>⬜  Pendiente de instrumento</v>
      </c>
      <c r="O64" t="s">
        <v>137</v>
      </c>
      <c r="P64" t="str">
        <f>IFERROR(INDEX(MATRIZ_174!$C:$C,MATCH(A64,MATRIZ_174!$A:$A,0)),"")</f>
        <v>SAN MARTIN</v>
      </c>
    </row>
    <row r="65" spans="1:16" ht="16.05" customHeight="1" x14ac:dyDescent="0.3">
      <c r="A65" t="s">
        <v>208</v>
      </c>
      <c r="B65" t="s">
        <v>209</v>
      </c>
      <c r="C65" s="36" t="str">
        <f>IFERROR(ISCAM_Score!AL66,"—")</f>
        <v>—</v>
      </c>
      <c r="D65" t="str">
        <f t="shared" si="2"/>
        <v>— Sin Inst.2</v>
      </c>
      <c r="E65" t="str">
        <f t="shared" si="3"/>
        <v/>
      </c>
      <c r="F65">
        <f>IF(MATRIZ_174!L65="","",MATRIZ_174!L65)</f>
        <v>0</v>
      </c>
      <c r="G65">
        <f>IFERROR(MATRIZ_174!M65,0)</f>
        <v>0</v>
      </c>
      <c r="H65" t="str">
        <f>IF(NORMALIZADO!CC65="","",NORMALIZADO!CC65)</f>
        <v/>
      </c>
      <c r="I65" t="str">
        <f>IF(NORMALIZADO!CF65="","",NORMALIZADO!CF65)</f>
        <v/>
      </c>
      <c r="J65" t="str">
        <f>IF(NORMALIZADO!CG65="","",NORMALIZADO!CG65)</f>
        <v/>
      </c>
      <c r="K65">
        <f>IFERROR(INDEX(MATRIZ_174!$U:$U,MATCH(A65,MATRIZ_174!$A:$A,0))*100,"")</f>
        <v>100</v>
      </c>
      <c r="L65" t="str">
        <f>IFERROR(MATRIZ_174!O65,0)</f>
        <v/>
      </c>
      <c r="N65" t="str">
        <f>IFERROR(ISCAM_Score!AC66,"")</f>
        <v>⬜  Pendiente de instrumento</v>
      </c>
      <c r="O65" t="s">
        <v>137</v>
      </c>
      <c r="P65" t="str">
        <f>IFERROR(INDEX(MATRIZ_174!$C:$C,MATCH(A65,MATRIZ_174!$A:$A,0)),"")</f>
        <v>SAN MARTIN</v>
      </c>
    </row>
    <row r="66" spans="1:16" ht="16.05" customHeight="1" x14ac:dyDescent="0.3">
      <c r="A66" t="s">
        <v>210</v>
      </c>
      <c r="B66" t="s">
        <v>211</v>
      </c>
      <c r="C66" s="36" t="str">
        <f>IFERROR(ISCAM_Score!AL67,"—")</f>
        <v>—</v>
      </c>
      <c r="D66" t="str">
        <f t="shared" si="2"/>
        <v>— Sin Inst.2</v>
      </c>
      <c r="E66" t="str">
        <f t="shared" si="3"/>
        <v/>
      </c>
      <c r="F66" t="str">
        <f>IF(MATRIZ_174!L66="","",MATRIZ_174!L66)</f>
        <v/>
      </c>
      <c r="G66" t="str">
        <f>IFERROR(MATRIZ_174!M66,0)</f>
        <v/>
      </c>
      <c r="H66" t="str">
        <f>IF(NORMALIZADO!CC66="","",NORMALIZADO!CC66)</f>
        <v/>
      </c>
      <c r="I66" t="str">
        <f>IF(NORMALIZADO!CF66="","",NORMALIZADO!CF66)</f>
        <v/>
      </c>
      <c r="J66" t="str">
        <f>IF(NORMALIZADO!CG66="","",NORMALIZADO!CG66)</f>
        <v/>
      </c>
      <c r="K66">
        <f>IFERROR(INDEX(MATRIZ_174!$U:$U,MATCH(A66,MATRIZ_174!$A:$A,0))*100,"")</f>
        <v>100</v>
      </c>
      <c r="L66" t="str">
        <f>IFERROR(MATRIZ_174!O66,0)</f>
        <v/>
      </c>
      <c r="N66" t="str">
        <f>IFERROR(ISCAM_Score!AC67,"")</f>
        <v>⬜  Pendiente de instrumento</v>
      </c>
      <c r="O66" t="s">
        <v>78</v>
      </c>
      <c r="P66" t="str">
        <f>IFERROR(INDEX(MATRIZ_174!$C:$C,MATCH(A66,MATRIZ_174!$A:$A,0)),"")</f>
        <v>CUSCO</v>
      </c>
    </row>
    <row r="67" spans="1:16" ht="16.05" customHeight="1" x14ac:dyDescent="0.3">
      <c r="A67" t="s">
        <v>212</v>
      </c>
      <c r="B67" t="s">
        <v>213</v>
      </c>
      <c r="C67" s="36" t="str">
        <f>IFERROR(ISCAM_Score!AL68,"—")</f>
        <v>—</v>
      </c>
      <c r="D67" t="str">
        <f t="shared" ref="D67:D98" si="4">IF(C67="—","— Sin Inst.2",IF(C67&lt;34,"🔴  Crítico",IF(C67&lt;67,"🟡  Vulnerable","🟢  Preparado")))</f>
        <v>— Sin Inst.2</v>
      </c>
      <c r="E67" t="str">
        <f t="shared" ref="E67:E98" si="5">IFERROR(RANK(C67,C:C,-1),"")</f>
        <v/>
      </c>
      <c r="F67" t="str">
        <f>IF(MATRIZ_174!L67="","",MATRIZ_174!L67)</f>
        <v/>
      </c>
      <c r="G67" t="str">
        <f>IFERROR(MATRIZ_174!M67,0)</f>
        <v/>
      </c>
      <c r="H67" t="str">
        <f>IF(NORMALIZADO!CC67="","",NORMALIZADO!CC67)</f>
        <v/>
      </c>
      <c r="I67" t="str">
        <f>IF(NORMALIZADO!CF67="","",NORMALIZADO!CF67)</f>
        <v/>
      </c>
      <c r="J67" t="str">
        <f>IF(NORMALIZADO!CG67="","",NORMALIZADO!CG67)</f>
        <v/>
      </c>
      <c r="K67">
        <f>IFERROR(INDEX(MATRIZ_174!$U:$U,MATCH(A67,MATRIZ_174!$A:$A,0))*100,"")</f>
        <v>100</v>
      </c>
      <c r="L67" t="str">
        <f>IFERROR(MATRIZ_174!O67,0)</f>
        <v/>
      </c>
      <c r="N67" t="str">
        <f>IFERROR(ISCAM_Score!AC68,"")</f>
        <v>⬜  Pendiente de instrumento</v>
      </c>
      <c r="O67" t="s">
        <v>110</v>
      </c>
      <c r="P67" t="str">
        <f>IFERROR(INDEX(MATRIZ_174!$C:$C,MATCH(A67,MATRIZ_174!$A:$A,0)),"")</f>
        <v>AMAZONAS</v>
      </c>
    </row>
    <row r="68" spans="1:16" ht="16.05" customHeight="1" x14ac:dyDescent="0.3">
      <c r="A68" t="s">
        <v>214</v>
      </c>
      <c r="B68" t="s">
        <v>215</v>
      </c>
      <c r="C68" s="36" t="str">
        <f>IFERROR(ISCAM_Score!AL69,"—")</f>
        <v>—</v>
      </c>
      <c r="D68" t="str">
        <f t="shared" si="4"/>
        <v>— Sin Inst.2</v>
      </c>
      <c r="E68" t="str">
        <f t="shared" si="5"/>
        <v/>
      </c>
      <c r="F68" t="str">
        <f>IF(MATRIZ_174!L68="","",MATRIZ_174!L68)</f>
        <v/>
      </c>
      <c r="G68" t="str">
        <f>IFERROR(MATRIZ_174!M68,0)</f>
        <v/>
      </c>
      <c r="H68" t="str">
        <f>IF(NORMALIZADO!CC68="","",NORMALIZADO!CC68)</f>
        <v/>
      </c>
      <c r="I68" t="str">
        <f>IF(NORMALIZADO!CF68="","",NORMALIZADO!CF68)</f>
        <v/>
      </c>
      <c r="J68" t="str">
        <f>IF(NORMALIZADO!CG68="","",NORMALIZADO!CG68)</f>
        <v/>
      </c>
      <c r="K68">
        <f>IFERROR(INDEX(MATRIZ_174!$U:$U,MATCH(A68,MATRIZ_174!$A:$A,0))*100,"")</f>
        <v>100</v>
      </c>
      <c r="L68" t="str">
        <f>IFERROR(MATRIZ_174!O68,0)</f>
        <v/>
      </c>
      <c r="N68" t="str">
        <f>IFERROR(ISCAM_Score!AC69,"")</f>
        <v>⬜  Pendiente de instrumento</v>
      </c>
      <c r="O68" t="s">
        <v>110</v>
      </c>
      <c r="P68" t="str">
        <f>IFERROR(INDEX(MATRIZ_174!$C:$C,MATCH(A68,MATRIZ_174!$A:$A,0)),"")</f>
        <v>AMAZONAS</v>
      </c>
    </row>
    <row r="69" spans="1:16" ht="16.05" customHeight="1" x14ac:dyDescent="0.3">
      <c r="A69" t="s">
        <v>216</v>
      </c>
      <c r="B69" t="s">
        <v>217</v>
      </c>
      <c r="C69" s="36" t="str">
        <f>IFERROR(ISCAM_Score!AL70,"—")</f>
        <v>—</v>
      </c>
      <c r="D69" t="str">
        <f t="shared" si="4"/>
        <v>— Sin Inst.2</v>
      </c>
      <c r="E69" t="str">
        <f t="shared" si="5"/>
        <v/>
      </c>
      <c r="F69" t="str">
        <f>IF(MATRIZ_174!L69="","",MATRIZ_174!L69)</f>
        <v/>
      </c>
      <c r="G69" t="str">
        <f>IFERROR(MATRIZ_174!M69,0)</f>
        <v/>
      </c>
      <c r="H69" t="str">
        <f>IF(NORMALIZADO!CC69="","",NORMALIZADO!CC69)</f>
        <v/>
      </c>
      <c r="I69" t="str">
        <f>IF(NORMALIZADO!CF69="","",NORMALIZADO!CF69)</f>
        <v/>
      </c>
      <c r="J69" t="str">
        <f>IF(NORMALIZADO!CG69="","",NORMALIZADO!CG69)</f>
        <v/>
      </c>
      <c r="K69">
        <f>IFERROR(INDEX(MATRIZ_174!$U:$U,MATCH(A69,MATRIZ_174!$A:$A,0))*100,"")</f>
        <v>100</v>
      </c>
      <c r="L69" t="str">
        <f>IFERROR(MATRIZ_174!O69,0)</f>
        <v/>
      </c>
      <c r="N69" t="str">
        <f>IFERROR(ISCAM_Score!AC70,"")</f>
        <v>⬜  Pendiente de instrumento</v>
      </c>
      <c r="O69" t="s">
        <v>177</v>
      </c>
      <c r="P69" t="str">
        <f>IFERROR(INDEX(MATRIZ_174!$C:$C,MATCH(A69,MATRIZ_174!$A:$A,0)),"")</f>
        <v>LAMBAYEQUE</v>
      </c>
    </row>
    <row r="70" spans="1:16" ht="16.05" customHeight="1" x14ac:dyDescent="0.3">
      <c r="A70" t="s">
        <v>218</v>
      </c>
      <c r="B70" t="s">
        <v>219</v>
      </c>
      <c r="C70" s="36" t="str">
        <f>IFERROR(ISCAM_Score!AL71,"—")</f>
        <v>—</v>
      </c>
      <c r="D70" t="str">
        <f t="shared" si="4"/>
        <v>— Sin Inst.2</v>
      </c>
      <c r="E70" t="str">
        <f t="shared" si="5"/>
        <v/>
      </c>
      <c r="F70">
        <f>IF(MATRIZ_174!L70="","",MATRIZ_174!L70)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IFERROR(MATRIZ_174!O70,0)</f>
        <v>1</v>
      </c>
      <c r="N70" t="str">
        <f>IFERROR(ISCAM_Score!AC71,"")</f>
        <v>⬜  Pendiente de instrumento</v>
      </c>
      <c r="O70" t="s">
        <v>137</v>
      </c>
      <c r="P70" t="str">
        <f>IFERROR(INDEX(MATRIZ_174!$C:$C,MATCH(A70,MATRIZ_174!$A:$A,0)),"")</f>
        <v>SAN MARTIN</v>
      </c>
    </row>
    <row r="71" spans="1:16" ht="16.05" customHeight="1" x14ac:dyDescent="0.3">
      <c r="A71" t="s">
        <v>221</v>
      </c>
      <c r="B71" t="s">
        <v>222</v>
      </c>
      <c r="C71" s="36" t="str">
        <f>IFERROR(ISCAM_Score!AL72,"—")</f>
        <v>—</v>
      </c>
      <c r="D71" t="str">
        <f t="shared" si="4"/>
        <v>— Sin Inst.2</v>
      </c>
      <c r="E71" t="str">
        <f t="shared" si="5"/>
        <v/>
      </c>
      <c r="F71" t="str">
        <f>IF(MATRIZ_174!L71="","",MATRIZ_174!L71)</f>
        <v/>
      </c>
      <c r="G71" t="str">
        <f>IFERROR(MATRIZ_174!M71,0)</f>
        <v/>
      </c>
      <c r="H71" t="str">
        <f>IF(NORMALIZADO!CC71="","",NORMALIZADO!CC71)</f>
        <v/>
      </c>
      <c r="I71" t="str">
        <f>IF(NORMALIZADO!CF71="","",NORMALIZADO!CF71)</f>
        <v/>
      </c>
      <c r="J71" t="str">
        <f>IF(NORMALIZADO!CG71="","",NORMALIZADO!CG71)</f>
        <v/>
      </c>
      <c r="K71">
        <f>IFERROR(INDEX(MATRIZ_174!$U:$U,MATCH(A71,MATRIZ_174!$A:$A,0))*100,"")</f>
        <v>100</v>
      </c>
      <c r="L71" t="str">
        <f>IFERROR(MATRIZ_174!O71,0)</f>
        <v/>
      </c>
      <c r="N71" t="str">
        <f>IFERROR(ISCAM_Score!AC72,"")</f>
        <v>⬜  Pendiente de instrumento</v>
      </c>
      <c r="O71" t="s">
        <v>137</v>
      </c>
      <c r="P71" t="str">
        <f>IFERROR(INDEX(MATRIZ_174!$C:$C,MATCH(A71,MATRIZ_174!$A:$A,0)),"")</f>
        <v>SAN MARTIN</v>
      </c>
    </row>
    <row r="72" spans="1:16" ht="16.05" customHeight="1" x14ac:dyDescent="0.3">
      <c r="A72" t="s">
        <v>223</v>
      </c>
      <c r="B72" t="s">
        <v>224</v>
      </c>
      <c r="C72" s="36" t="str">
        <f>IFERROR(ISCAM_Score!AL73,"—")</f>
        <v>—</v>
      </c>
      <c r="D72" t="str">
        <f t="shared" si="4"/>
        <v>— Sin Inst.2</v>
      </c>
      <c r="E72" t="str">
        <f t="shared" si="5"/>
        <v/>
      </c>
      <c r="F72">
        <f>IF(MATRIZ_174!L72="","",MATRIZ_174!L72)</f>
        <v>1413037.5</v>
      </c>
      <c r="G72">
        <f>IFERROR(MATRIZ_174!M72,0)</f>
        <v>50</v>
      </c>
      <c r="H72" t="str">
        <f>IF(NORMALIZADO!CC72="","",NORMALIZADO!CC72)</f>
        <v/>
      </c>
      <c r="I72" t="str">
        <f>IF(NORMALIZADO!CF72="","",NORMALIZADO!CF72)</f>
        <v/>
      </c>
      <c r="J72" t="str">
        <f>IF(NORMALIZADO!CG72="","",NORMALIZADO!CG72)</f>
        <v/>
      </c>
      <c r="K72">
        <f>IFERROR(INDEX(MATRIZ_174!$U:$U,MATCH(A72,MATRIZ_174!$A:$A,0))*100,"")</f>
        <v>100</v>
      </c>
      <c r="L72" t="str">
        <f>IFERROR(MATRIZ_174!O72,0)</f>
        <v/>
      </c>
      <c r="N72" t="str">
        <f>IFERROR(ISCAM_Score!AC73,"")</f>
        <v>⬜  Pendiente de instrumento</v>
      </c>
      <c r="O72" t="s">
        <v>137</v>
      </c>
      <c r="P72" t="str">
        <f>IFERROR(INDEX(MATRIZ_174!$C:$C,MATCH(A72,MATRIZ_174!$A:$A,0)),"")</f>
        <v>SAN MARTIN</v>
      </c>
    </row>
    <row r="73" spans="1:16" ht="16.05" customHeight="1" x14ac:dyDescent="0.3">
      <c r="A73" t="s">
        <v>225</v>
      </c>
      <c r="B73" t="s">
        <v>226</v>
      </c>
      <c r="C73" s="36" t="str">
        <f>IFERROR(ISCAM_Score!AL74,"—")</f>
        <v>—</v>
      </c>
      <c r="D73" t="str">
        <f t="shared" si="4"/>
        <v>— Sin Inst.2</v>
      </c>
      <c r="E73" t="str">
        <f t="shared" si="5"/>
        <v/>
      </c>
      <c r="F73">
        <f>IF(MATRIZ_174!L73="","",MATRIZ_174!L73)</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IFERROR(MATRIZ_174!O73,0)</f>
        <v>1</v>
      </c>
      <c r="N73" t="str">
        <f>IFERROR(ISCAM_Score!AC74,"")</f>
        <v>⬜  Pendiente de instrumento</v>
      </c>
      <c r="O73" t="s">
        <v>137</v>
      </c>
      <c r="P73" t="str">
        <f>IFERROR(INDEX(MATRIZ_174!$C:$C,MATCH(A73,MATRIZ_174!$A:$A,0)),"")</f>
        <v>SAN MARTIN</v>
      </c>
    </row>
    <row r="74" spans="1:16" ht="16.05" customHeight="1" x14ac:dyDescent="0.3">
      <c r="A74" t="s">
        <v>227</v>
      </c>
      <c r="B74" t="s">
        <v>228</v>
      </c>
      <c r="C74" s="36" t="str">
        <f>IFERROR(ISCAM_Score!AL75,"—")</f>
        <v>—</v>
      </c>
      <c r="D74" t="str">
        <f t="shared" si="4"/>
        <v>— Sin Inst.2</v>
      </c>
      <c r="E74" t="str">
        <f t="shared" si="5"/>
        <v/>
      </c>
      <c r="F74">
        <f>IF(MATRIZ_174!L74="","",MATRIZ_174!L74)</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t="str">
        <f>IFERROR(MATRIZ_174!O74,0)</f>
        <v/>
      </c>
      <c r="N74" t="str">
        <f>IFERROR(ISCAM_Score!AC75,"")</f>
        <v>⬜  Pendiente de instrumento</v>
      </c>
      <c r="O74" t="s">
        <v>137</v>
      </c>
      <c r="P74" t="str">
        <f>IFERROR(INDEX(MATRIZ_174!$C:$C,MATCH(A74,MATRIZ_174!$A:$A,0)),"")</f>
        <v>SAN MARTIN</v>
      </c>
    </row>
    <row r="75" spans="1:16" ht="16.05" customHeight="1" x14ac:dyDescent="0.3">
      <c r="A75" t="s">
        <v>229</v>
      </c>
      <c r="B75" t="s">
        <v>230</v>
      </c>
      <c r="C75" s="36" t="str">
        <f>IFERROR(ISCAM_Score!AL76,"—")</f>
        <v>—</v>
      </c>
      <c r="D75" t="str">
        <f t="shared" si="4"/>
        <v>— Sin Inst.2</v>
      </c>
      <c r="E75" t="str">
        <f t="shared" si="5"/>
        <v/>
      </c>
      <c r="F75" t="str">
        <f>IF(MATRIZ_174!L75="","",MATRIZ_174!L75)</f>
        <v/>
      </c>
      <c r="G75" t="str">
        <f>IFERROR(MATRIZ_174!M75,0)</f>
        <v/>
      </c>
      <c r="H75" t="str">
        <f>IF(NORMALIZADO!CC75="","",NORMALIZADO!CC75)</f>
        <v/>
      </c>
      <c r="I75" t="str">
        <f>IF(NORMALIZADO!CF75="","",NORMALIZADO!CF75)</f>
        <v/>
      </c>
      <c r="J75" t="str">
        <f>IF(NORMALIZADO!CG75="","",NORMALIZADO!CG75)</f>
        <v/>
      </c>
      <c r="K75">
        <f>IFERROR(INDEX(MATRIZ_174!$U:$U,MATCH(A75,MATRIZ_174!$A:$A,0))*100,"")</f>
        <v>100</v>
      </c>
      <c r="L75" t="str">
        <f>IFERROR(MATRIZ_174!O75,0)</f>
        <v/>
      </c>
      <c r="N75" t="str">
        <f>IFERROR(ISCAM_Score!AC76,"")</f>
        <v>⬜  Pendiente de instrumento</v>
      </c>
      <c r="O75" t="s">
        <v>190</v>
      </c>
      <c r="P75" t="str">
        <f>IFERROR(INDEX(MATRIZ_174!$C:$C,MATCH(A75,MATRIZ_174!$A:$A,0)),"")</f>
        <v>LORETO</v>
      </c>
    </row>
    <row r="76" spans="1:16" ht="16.05" customHeight="1" x14ac:dyDescent="0.3">
      <c r="A76" t="s">
        <v>231</v>
      </c>
      <c r="B76" t="s">
        <v>232</v>
      </c>
      <c r="C76" s="36" t="str">
        <f>IFERROR(ISCAM_Score!AL77,"—")</f>
        <v>—</v>
      </c>
      <c r="D76" t="str">
        <f t="shared" si="4"/>
        <v>— Sin Inst.2</v>
      </c>
      <c r="E76" t="str">
        <f t="shared" si="5"/>
        <v/>
      </c>
      <c r="F76" t="str">
        <f>IF(MATRIZ_174!L76="","",MATRIZ_174!L76)</f>
        <v/>
      </c>
      <c r="G76" t="str">
        <f>IFERROR(MATRIZ_174!M76,0)</f>
        <v/>
      </c>
      <c r="H76" t="str">
        <f>IF(NORMALIZADO!CC76="","",NORMALIZADO!CC76)</f>
        <v/>
      </c>
      <c r="I76" t="str">
        <f>IF(NORMALIZADO!CF76="","",NORMALIZADO!CF76)</f>
        <v/>
      </c>
      <c r="J76" t="str">
        <f>IF(NORMALIZADO!CG76="","",NORMALIZADO!CG76)</f>
        <v/>
      </c>
      <c r="K76">
        <f>IFERROR(INDEX(MATRIZ_174!$U:$U,MATCH(A76,MATRIZ_174!$A:$A,0))*100,"")</f>
        <v>100</v>
      </c>
      <c r="L76" t="str">
        <f>IFERROR(MATRIZ_174!O76,0)</f>
        <v/>
      </c>
      <c r="N76" t="str">
        <f>IFERROR(ISCAM_Score!AC77,"")</f>
        <v>⬜  Pendiente de instrumento</v>
      </c>
      <c r="O76" t="s">
        <v>190</v>
      </c>
      <c r="P76" t="str">
        <f>IFERROR(INDEX(MATRIZ_174!$C:$C,MATCH(A76,MATRIZ_174!$A:$A,0)),"")</f>
        <v>LORETO</v>
      </c>
    </row>
    <row r="77" spans="1:16" ht="16.05" customHeight="1" x14ac:dyDescent="0.3">
      <c r="A77" t="s">
        <v>233</v>
      </c>
      <c r="B77" t="s">
        <v>234</v>
      </c>
      <c r="C77" s="36" t="str">
        <f>IFERROR(ISCAM_Score!AL78,"—")</f>
        <v>—</v>
      </c>
      <c r="D77" t="str">
        <f t="shared" si="4"/>
        <v>— Sin Inst.2</v>
      </c>
      <c r="E77" t="str">
        <f t="shared" si="5"/>
        <v/>
      </c>
      <c r="F77">
        <f>IF(MATRIZ_174!L77="","",MATRIZ_174!L77)</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t="str">
        <f>IFERROR(MATRIZ_174!O77,0)</f>
        <v/>
      </c>
      <c r="N77" t="str">
        <f>IFERROR(ISCAM_Score!AC78,"")</f>
        <v>⬜  Pendiente de instrumento</v>
      </c>
      <c r="O77" t="s">
        <v>148</v>
      </c>
      <c r="P77" t="str">
        <f>IFERROR(INDEX(MATRIZ_174!$C:$C,MATCH(A77,MATRIZ_174!$A:$A,0)),"")</f>
        <v>CAJAMARCA</v>
      </c>
    </row>
    <row r="78" spans="1:16" ht="16.05" customHeight="1" x14ac:dyDescent="0.3">
      <c r="A78" t="s">
        <v>235</v>
      </c>
      <c r="B78" t="s">
        <v>236</v>
      </c>
      <c r="C78" s="36" t="str">
        <f>IFERROR(ISCAM_Score!AL79,"—")</f>
        <v>—</v>
      </c>
      <c r="D78" t="str">
        <f t="shared" si="4"/>
        <v>— Sin Inst.2</v>
      </c>
      <c r="E78" t="str">
        <f t="shared" si="5"/>
        <v/>
      </c>
      <c r="F78" t="str">
        <f>IF(MATRIZ_174!L78="","",MATRIZ_174!L78)</f>
        <v/>
      </c>
      <c r="G78" t="str">
        <f>IFERROR(MATRIZ_174!M78,0)</f>
        <v/>
      </c>
      <c r="H78" t="str">
        <f>IF(NORMALIZADO!CC78="","",NORMALIZADO!CC78)</f>
        <v/>
      </c>
      <c r="I78" t="str">
        <f>IF(NORMALIZADO!CF78="","",NORMALIZADO!CF78)</f>
        <v/>
      </c>
      <c r="J78" t="str">
        <f>IF(NORMALIZADO!CG78="","",NORMALIZADO!CG78)</f>
        <v/>
      </c>
      <c r="K78">
        <f>IFERROR(INDEX(MATRIZ_174!$U:$U,MATCH(A78,MATRIZ_174!$A:$A,0))*100,"")</f>
        <v>100</v>
      </c>
      <c r="L78" t="str">
        <f>IFERROR(MATRIZ_174!O78,0)</f>
        <v/>
      </c>
      <c r="N78" t="str">
        <f>IFERROR(ISCAM_Score!AC79,"")</f>
        <v>⬜  Pendiente de instrumento</v>
      </c>
      <c r="O78" t="s">
        <v>117</v>
      </c>
      <c r="P78" t="str">
        <f>IFERROR(INDEX(MATRIZ_174!$C:$C,MATCH(A78,MATRIZ_174!$A:$A,0)),"")</f>
        <v>HUANUCO</v>
      </c>
    </row>
    <row r="79" spans="1:16" ht="16.05" customHeight="1" x14ac:dyDescent="0.3">
      <c r="A79" t="s">
        <v>237</v>
      </c>
      <c r="B79" t="s">
        <v>238</v>
      </c>
      <c r="C79" s="36" t="str">
        <f>IFERROR(ISCAM_Score!AL80,"—")</f>
        <v>—</v>
      </c>
      <c r="D79" t="str">
        <f t="shared" si="4"/>
        <v>— Sin Inst.2</v>
      </c>
      <c r="E79" t="str">
        <f t="shared" si="5"/>
        <v/>
      </c>
      <c r="F79" t="str">
        <f>IF(MATRIZ_174!L79="","",MATRIZ_174!L79)</f>
        <v/>
      </c>
      <c r="G79" t="str">
        <f>IFERROR(MATRIZ_174!M79,0)</f>
        <v/>
      </c>
      <c r="H79" t="str">
        <f>IF(NORMALIZADO!CC79="","",NORMALIZADO!CC79)</f>
        <v/>
      </c>
      <c r="I79" t="str">
        <f>IF(NORMALIZADO!CF79="","",NORMALIZADO!CF79)</f>
        <v/>
      </c>
      <c r="J79" t="str">
        <f>IF(NORMALIZADO!CG79="","",NORMALIZADO!CG79)</f>
        <v/>
      </c>
      <c r="K79">
        <f>IFERROR(INDEX(MATRIZ_174!$U:$U,MATCH(A79,MATRIZ_174!$A:$A,0))*100,"")</f>
        <v>100</v>
      </c>
      <c r="L79" t="str">
        <f>IFERROR(MATRIZ_174!O79,0)</f>
        <v/>
      </c>
      <c r="N79" t="str">
        <f>IFERROR(ISCAM_Score!AC80,"")</f>
        <v>⬜  Pendiente de instrumento</v>
      </c>
      <c r="O79" t="s">
        <v>239</v>
      </c>
      <c r="P79" t="str">
        <f>IFERROR(INDEX(MATRIZ_174!$C:$C,MATCH(A79,MATRIZ_174!$A:$A,0)),"")</f>
        <v>MADRE DE DIOS</v>
      </c>
    </row>
    <row r="80" spans="1:16" ht="16.05" customHeight="1" x14ac:dyDescent="0.3">
      <c r="A80" t="s">
        <v>240</v>
      </c>
      <c r="B80" t="s">
        <v>241</v>
      </c>
      <c r="C80" s="36" t="str">
        <f>IFERROR(ISCAM_Score!AL81,"—")</f>
        <v>—</v>
      </c>
      <c r="D80" t="str">
        <f t="shared" si="4"/>
        <v>— Sin Inst.2</v>
      </c>
      <c r="E80" t="str">
        <f t="shared" si="5"/>
        <v/>
      </c>
      <c r="F80" t="str">
        <f>IF(MATRIZ_174!L80="","",MATRIZ_174!L80)</f>
        <v/>
      </c>
      <c r="G80" t="str">
        <f>IFERROR(MATRIZ_174!M80,0)</f>
        <v/>
      </c>
      <c r="H80" t="str">
        <f>IF(NORMALIZADO!CC80="","",NORMALIZADO!CC80)</f>
        <v/>
      </c>
      <c r="I80" t="str">
        <f>IF(NORMALIZADO!CF80="","",NORMALIZADO!CF80)</f>
        <v/>
      </c>
      <c r="J80" t="str">
        <f>IF(NORMALIZADO!CG80="","",NORMALIZADO!CG80)</f>
        <v/>
      </c>
      <c r="K80">
        <f>IFERROR(INDEX(MATRIZ_174!$U:$U,MATCH(A80,MATRIZ_174!$A:$A,0))*100,"")</f>
        <v>100</v>
      </c>
      <c r="L80">
        <f>IFERROR(MATRIZ_174!O80,0)</f>
        <v>0.6</v>
      </c>
      <c r="N80" t="str">
        <f>IFERROR(ISCAM_Score!AC81,"")</f>
        <v>⬜  Pendiente de instrumento</v>
      </c>
      <c r="O80" t="s">
        <v>110</v>
      </c>
      <c r="P80" t="str">
        <f>IFERROR(INDEX(MATRIZ_174!$C:$C,MATCH(A80,MATRIZ_174!$A:$A,0)),"")</f>
        <v>AMAZONAS</v>
      </c>
    </row>
    <row r="81" spans="1:16" ht="16.05" customHeight="1" x14ac:dyDescent="0.3">
      <c r="A81" t="s">
        <v>243</v>
      </c>
      <c r="B81" t="s">
        <v>244</v>
      </c>
      <c r="C81" s="36" t="str">
        <f>IFERROR(ISCAM_Score!AL82,"—")</f>
        <v>—</v>
      </c>
      <c r="D81" t="str">
        <f t="shared" si="4"/>
        <v>— Sin Inst.2</v>
      </c>
      <c r="E81" t="str">
        <f t="shared" si="5"/>
        <v/>
      </c>
      <c r="F81" t="str">
        <f>IF(MATRIZ_174!L81="","",MATRIZ_174!L81)</f>
        <v/>
      </c>
      <c r="G81" t="str">
        <f>IFERROR(MATRIZ_174!M81,0)</f>
        <v/>
      </c>
      <c r="H81" t="str">
        <f>IF(NORMALIZADO!CC81="","",NORMALIZADO!CC81)</f>
        <v/>
      </c>
      <c r="I81" t="str">
        <f>IF(NORMALIZADO!CF81="","",NORMALIZADO!CF81)</f>
        <v/>
      </c>
      <c r="J81" t="str">
        <f>IF(NORMALIZADO!CG81="","",NORMALIZADO!CG81)</f>
        <v/>
      </c>
      <c r="K81">
        <f>IFERROR(INDEX(MATRIZ_174!$U:$U,MATCH(A81,MATRIZ_174!$A:$A,0))*100,"")</f>
        <v>100</v>
      </c>
      <c r="L81" t="str">
        <f>IFERROR(MATRIZ_174!O81,0)</f>
        <v/>
      </c>
      <c r="N81" t="str">
        <f>IFERROR(ISCAM_Score!AC82,"")</f>
        <v>⬜  Pendiente de instrumento</v>
      </c>
      <c r="O81" t="s">
        <v>78</v>
      </c>
      <c r="P81" t="str">
        <f>IFERROR(INDEX(MATRIZ_174!$C:$C,MATCH(A81,MATRIZ_174!$A:$A,0)),"")</f>
        <v>CUSCO</v>
      </c>
    </row>
    <row r="82" spans="1:16" ht="16.05" customHeight="1" x14ac:dyDescent="0.3">
      <c r="A82" t="s">
        <v>245</v>
      </c>
      <c r="B82" t="s">
        <v>246</v>
      </c>
      <c r="C82" s="36" t="str">
        <f>IFERROR(ISCAM_Score!AL83,"—")</f>
        <v>—</v>
      </c>
      <c r="D82" t="str">
        <f t="shared" si="4"/>
        <v>— Sin Inst.2</v>
      </c>
      <c r="E82" t="str">
        <f t="shared" si="5"/>
        <v/>
      </c>
      <c r="F82">
        <f>IF(MATRIZ_174!L82="","",MATRIZ_174!L82)</f>
        <v>717861.85</v>
      </c>
      <c r="G82">
        <f>IFERROR(MATRIZ_174!M82,0)</f>
        <v>50</v>
      </c>
      <c r="H82" t="str">
        <f>IF(NORMALIZADO!CC82="","",NORMALIZADO!CC82)</f>
        <v/>
      </c>
      <c r="I82" t="str">
        <f>IF(NORMALIZADO!CF82="","",NORMALIZADO!CF82)</f>
        <v/>
      </c>
      <c r="J82" t="str">
        <f>IF(NORMALIZADO!CG82="","",NORMALIZADO!CG82)</f>
        <v/>
      </c>
      <c r="K82">
        <f>IFERROR(INDEX(MATRIZ_174!$U:$U,MATCH(A82,MATRIZ_174!$A:$A,0))*100,"")</f>
        <v>100</v>
      </c>
      <c r="L82" t="str">
        <f>IFERROR(MATRIZ_174!O82,0)</f>
        <v/>
      </c>
      <c r="N82" t="str">
        <f>IFERROR(ISCAM_Score!AC83,"")</f>
        <v>⬜  Pendiente de instrumento</v>
      </c>
      <c r="O82" t="s">
        <v>247</v>
      </c>
      <c r="P82" t="str">
        <f>IFERROR(INDEX(MATRIZ_174!$C:$C,MATCH(A82,MATRIZ_174!$A:$A,0)),"")</f>
        <v>PASCO</v>
      </c>
    </row>
    <row r="83" spans="1:16" ht="16.05" customHeight="1" x14ac:dyDescent="0.3">
      <c r="A83" t="s">
        <v>248</v>
      </c>
      <c r="B83" t="s">
        <v>249</v>
      </c>
      <c r="C83" s="36" t="str">
        <f>IFERROR(ISCAM_Score!AL84,"—")</f>
        <v>—</v>
      </c>
      <c r="D83" t="str">
        <f t="shared" si="4"/>
        <v>— Sin Inst.2</v>
      </c>
      <c r="E83" t="str">
        <f t="shared" si="5"/>
        <v/>
      </c>
      <c r="F83" t="str">
        <f>IF(MATRIZ_174!L83="","",MATRIZ_174!L83)</f>
        <v/>
      </c>
      <c r="G83" t="str">
        <f>IFERROR(MATRIZ_174!M83,0)</f>
        <v/>
      </c>
      <c r="H83" t="str">
        <f>IF(NORMALIZADO!CC83="","",NORMALIZADO!CC83)</f>
        <v/>
      </c>
      <c r="I83" t="str">
        <f>IF(NORMALIZADO!CF83="","",NORMALIZADO!CF83)</f>
        <v/>
      </c>
      <c r="J83" t="str">
        <f>IF(NORMALIZADO!CG83="","",NORMALIZADO!CG83)</f>
        <v/>
      </c>
      <c r="K83">
        <f>IFERROR(INDEX(MATRIZ_174!$U:$U,MATCH(A83,MATRIZ_174!$A:$A,0))*100,"")</f>
        <v>100</v>
      </c>
      <c r="L83" t="str">
        <f>IFERROR(MATRIZ_174!O83,0)</f>
        <v/>
      </c>
      <c r="N83" t="str">
        <f>IFERROR(ISCAM_Score!AC84,"")</f>
        <v>⬜  Pendiente de instrumento</v>
      </c>
      <c r="O83" t="s">
        <v>247</v>
      </c>
      <c r="P83" t="str">
        <f>IFERROR(INDEX(MATRIZ_174!$C:$C,MATCH(A83,MATRIZ_174!$A:$A,0)),"")</f>
        <v>PASCO</v>
      </c>
    </row>
    <row r="84" spans="1:16" ht="16.05" customHeight="1" x14ac:dyDescent="0.3">
      <c r="A84" t="s">
        <v>250</v>
      </c>
      <c r="B84" t="s">
        <v>251</v>
      </c>
      <c r="C84" s="36" t="str">
        <f>IFERROR(ISCAM_Score!AL85,"—")</f>
        <v>—</v>
      </c>
      <c r="D84" t="str">
        <f t="shared" si="4"/>
        <v>— Sin Inst.2</v>
      </c>
      <c r="E84" t="str">
        <f t="shared" si="5"/>
        <v/>
      </c>
      <c r="F84">
        <f>IF(MATRIZ_174!L84="","",MATRIZ_174!L84)</f>
        <v>0</v>
      </c>
      <c r="G84">
        <f>IFERROR(MATRIZ_174!M84,0)</f>
        <v>0</v>
      </c>
      <c r="H84" t="str">
        <f>IF(NORMALIZADO!CC84="","",NORMALIZADO!CC84)</f>
        <v/>
      </c>
      <c r="I84" t="str">
        <f>IF(NORMALIZADO!CF84="","",NORMALIZADO!CF84)</f>
        <v/>
      </c>
      <c r="J84" t="str">
        <f>IF(NORMALIZADO!CG84="","",NORMALIZADO!CG84)</f>
        <v/>
      </c>
      <c r="K84">
        <f>IFERROR(INDEX(MATRIZ_174!$U:$U,MATCH(A84,MATRIZ_174!$A:$A,0))*100,"")</f>
        <v>100</v>
      </c>
      <c r="L84" t="str">
        <f>IFERROR(MATRIZ_174!O84,0)</f>
        <v/>
      </c>
      <c r="N84" t="str">
        <f>IFERROR(ISCAM_Score!AC85,"")</f>
        <v>⬜  Pendiente de instrumento</v>
      </c>
      <c r="O84" t="s">
        <v>75</v>
      </c>
      <c r="P84" t="str">
        <f>IFERROR(INDEX(MATRIZ_174!$C:$C,MATCH(A84,MATRIZ_174!$A:$A,0)),"")</f>
        <v>JUNIN</v>
      </c>
    </row>
    <row r="85" spans="1:16" ht="16.05" customHeight="1" x14ac:dyDescent="0.3">
      <c r="A85" t="s">
        <v>252</v>
      </c>
      <c r="B85" t="s">
        <v>253</v>
      </c>
      <c r="C85" s="36" t="str">
        <f>IFERROR(ISCAM_Score!AL86,"—")</f>
        <v>—</v>
      </c>
      <c r="D85" t="str">
        <f t="shared" si="4"/>
        <v>— Sin Inst.2</v>
      </c>
      <c r="E85" t="str">
        <f t="shared" si="5"/>
        <v/>
      </c>
      <c r="F85">
        <f>IF(MATRIZ_174!L85="","",MATRIZ_174!L85)</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t="str">
        <f>IFERROR(MATRIZ_174!O85,0)</f>
        <v/>
      </c>
      <c r="N85" t="str">
        <f>IFERROR(ISCAM_Score!AC86,"")</f>
        <v>⬜  Pendiente de instrumento</v>
      </c>
      <c r="O85" t="s">
        <v>75</v>
      </c>
      <c r="P85" t="str">
        <f>IFERROR(INDEX(MATRIZ_174!$C:$C,MATCH(A85,MATRIZ_174!$A:$A,0)),"")</f>
        <v>JUNIN</v>
      </c>
    </row>
    <row r="86" spans="1:16" ht="16.05" customHeight="1" x14ac:dyDescent="0.3">
      <c r="A86" t="s">
        <v>254</v>
      </c>
      <c r="B86" t="s">
        <v>255</v>
      </c>
      <c r="C86" s="36" t="str">
        <f>IFERROR(ISCAM_Score!AL87,"—")</f>
        <v>—</v>
      </c>
      <c r="D86" t="str">
        <f t="shared" si="4"/>
        <v>— Sin Inst.2</v>
      </c>
      <c r="E86" t="str">
        <f t="shared" si="5"/>
        <v/>
      </c>
      <c r="F86" t="str">
        <f>IF(MATRIZ_174!L86="","",MATRIZ_174!L86)</f>
        <v/>
      </c>
      <c r="G86" t="str">
        <f>IFERROR(MATRIZ_174!M86,0)</f>
        <v/>
      </c>
      <c r="H86" t="str">
        <f>IF(NORMALIZADO!CC86="","",NORMALIZADO!CC86)</f>
        <v/>
      </c>
      <c r="I86" t="str">
        <f>IF(NORMALIZADO!CF86="","",NORMALIZADO!CF86)</f>
        <v/>
      </c>
      <c r="J86" t="str">
        <f>IF(NORMALIZADO!CG86="","",NORMALIZADO!CG86)</f>
        <v/>
      </c>
      <c r="K86">
        <f>IFERROR(INDEX(MATRIZ_174!$U:$U,MATCH(A86,MATRIZ_174!$A:$A,0))*100,"")</f>
        <v>100</v>
      </c>
      <c r="L86" t="str">
        <f>IFERROR(MATRIZ_174!O86,0)</f>
        <v/>
      </c>
      <c r="N86" t="str">
        <f>IFERROR(ISCAM_Score!AC87,"")</f>
        <v>⬜  Pendiente de instrumento</v>
      </c>
      <c r="O86" t="s">
        <v>247</v>
      </c>
      <c r="P86" t="str">
        <f>IFERROR(INDEX(MATRIZ_174!$C:$C,MATCH(A86,MATRIZ_174!$A:$A,0)),"")</f>
        <v>PASCO</v>
      </c>
    </row>
    <row r="87" spans="1:16" ht="16.05" customHeight="1" x14ac:dyDescent="0.3">
      <c r="A87" t="s">
        <v>256</v>
      </c>
      <c r="B87" t="s">
        <v>257</v>
      </c>
      <c r="C87" s="36" t="str">
        <f>IFERROR(ISCAM_Score!AL88,"—")</f>
        <v>—</v>
      </c>
      <c r="D87" t="str">
        <f t="shared" si="4"/>
        <v>— Sin Inst.2</v>
      </c>
      <c r="E87" t="str">
        <f t="shared" si="5"/>
        <v/>
      </c>
      <c r="F87" t="str">
        <f>IF(MATRIZ_174!L87="","",MATRIZ_174!L87)</f>
        <v/>
      </c>
      <c r="G87" t="str">
        <f>IFERROR(MATRIZ_174!M87,0)</f>
        <v/>
      </c>
      <c r="H87" t="str">
        <f>IF(NORMALIZADO!CC87="","",NORMALIZADO!CC87)</f>
        <v/>
      </c>
      <c r="I87" t="str">
        <f>IF(NORMALIZADO!CF87="","",NORMALIZADO!CF87)</f>
        <v/>
      </c>
      <c r="J87" t="str">
        <f>IF(NORMALIZADO!CG87="","",NORMALIZADO!CG87)</f>
        <v/>
      </c>
      <c r="K87">
        <f>IFERROR(INDEX(MATRIZ_174!$U:$U,MATCH(A87,MATRIZ_174!$A:$A,0))*100,"")</f>
        <v>100</v>
      </c>
      <c r="L87" t="str">
        <f>IFERROR(MATRIZ_174!O87,0)</f>
        <v/>
      </c>
      <c r="N87" t="str">
        <f>IFERROR(ISCAM_Score!AC88,"")</f>
        <v>⬜  Pendiente de instrumento</v>
      </c>
      <c r="O87" t="s">
        <v>247</v>
      </c>
      <c r="P87" t="str">
        <f>IFERROR(INDEX(MATRIZ_174!$C:$C,MATCH(A87,MATRIZ_174!$A:$A,0)),"")</f>
        <v>PASCO</v>
      </c>
    </row>
    <row r="88" spans="1:16" ht="16.05" customHeight="1" x14ac:dyDescent="0.3">
      <c r="A88" t="s">
        <v>258</v>
      </c>
      <c r="B88" t="s">
        <v>259</v>
      </c>
      <c r="C88" s="36" t="str">
        <f>IFERROR(ISCAM_Score!AL89,"—")</f>
        <v>—</v>
      </c>
      <c r="D88" t="str">
        <f t="shared" si="4"/>
        <v>— Sin Inst.2</v>
      </c>
      <c r="E88" t="str">
        <f t="shared" si="5"/>
        <v/>
      </c>
      <c r="F88" t="str">
        <f>IF(MATRIZ_174!L88="","",MATRIZ_174!L88)</f>
        <v/>
      </c>
      <c r="G88" t="str">
        <f>IFERROR(MATRIZ_174!M88,0)</f>
        <v/>
      </c>
      <c r="H88" t="str">
        <f>IF(NORMALIZADO!CC88="","",NORMALIZADO!CC88)</f>
        <v/>
      </c>
      <c r="I88" t="str">
        <f>IF(NORMALIZADO!CF88="","",NORMALIZADO!CF88)</f>
        <v/>
      </c>
      <c r="J88" t="str">
        <f>IF(NORMALIZADO!CG88="","",NORMALIZADO!CG88)</f>
        <v/>
      </c>
      <c r="K88">
        <f>IFERROR(INDEX(MATRIZ_174!$U:$U,MATCH(A88,MATRIZ_174!$A:$A,0))*100,"")</f>
        <v>100</v>
      </c>
      <c r="L88" t="str">
        <f>IFERROR(MATRIZ_174!O88,0)</f>
        <v/>
      </c>
      <c r="N88" t="str">
        <f>IFERROR(ISCAM_Score!AC89,"")</f>
        <v>⬜  Pendiente de instrumento</v>
      </c>
      <c r="O88" t="s">
        <v>247</v>
      </c>
      <c r="P88" t="str">
        <f>IFERROR(INDEX(MATRIZ_174!$C:$C,MATCH(A88,MATRIZ_174!$A:$A,0)),"")</f>
        <v>PASCO</v>
      </c>
    </row>
    <row r="89" spans="1:16" ht="16.05" customHeight="1" x14ac:dyDescent="0.3">
      <c r="A89" t="s">
        <v>260</v>
      </c>
      <c r="B89" t="s">
        <v>261</v>
      </c>
      <c r="C89" s="36" t="str">
        <f>IFERROR(ISCAM_Score!AL90,"—")</f>
        <v>—</v>
      </c>
      <c r="D89" t="str">
        <f t="shared" si="4"/>
        <v>— Sin Inst.2</v>
      </c>
      <c r="E89" t="str">
        <f t="shared" si="5"/>
        <v/>
      </c>
      <c r="F89" t="str">
        <f>IF(MATRIZ_174!L89="","",MATRIZ_174!L89)</f>
        <v/>
      </c>
      <c r="G89" t="str">
        <f>IFERROR(MATRIZ_174!M89,0)</f>
        <v/>
      </c>
      <c r="H89" t="str">
        <f>IF(NORMALIZADO!CC89="","",NORMALIZADO!CC89)</f>
        <v/>
      </c>
      <c r="I89" t="str">
        <f>IF(NORMALIZADO!CF89="","",NORMALIZADO!CF89)</f>
        <v/>
      </c>
      <c r="J89" t="str">
        <f>IF(NORMALIZADO!CG89="","",NORMALIZADO!CG89)</f>
        <v/>
      </c>
      <c r="K89">
        <f>IFERROR(INDEX(MATRIZ_174!$U:$U,MATCH(A89,MATRIZ_174!$A:$A,0))*100,"")</f>
        <v>100</v>
      </c>
      <c r="L89" t="str">
        <f>IFERROR(MATRIZ_174!O89,0)</f>
        <v/>
      </c>
      <c r="N89" t="str">
        <f>IFERROR(ISCAM_Score!AC90,"")</f>
        <v>⬜  Pendiente de instrumento</v>
      </c>
      <c r="O89" t="s">
        <v>247</v>
      </c>
      <c r="P89" t="str">
        <f>IFERROR(INDEX(MATRIZ_174!$C:$C,MATCH(A89,MATRIZ_174!$A:$A,0)),"")</f>
        <v>PASCO</v>
      </c>
    </row>
    <row r="90" spans="1:16" ht="16.05" customHeight="1" x14ac:dyDescent="0.3">
      <c r="A90" t="s">
        <v>262</v>
      </c>
      <c r="B90" t="s">
        <v>263</v>
      </c>
      <c r="C90" s="36" t="str">
        <f>IFERROR(ISCAM_Score!AL91,"—")</f>
        <v>—</v>
      </c>
      <c r="D90" t="str">
        <f t="shared" si="4"/>
        <v>— Sin Inst.2</v>
      </c>
      <c r="E90" t="str">
        <f t="shared" si="5"/>
        <v/>
      </c>
      <c r="F90" t="str">
        <f>IF(MATRIZ_174!L90="","",MATRIZ_174!L90)</f>
        <v/>
      </c>
      <c r="G90" t="str">
        <f>IFERROR(MATRIZ_174!M90,0)</f>
        <v/>
      </c>
      <c r="H90" t="str">
        <f>IF(NORMALIZADO!CC90="","",NORMALIZADO!CC90)</f>
        <v/>
      </c>
      <c r="I90" t="str">
        <f>IF(NORMALIZADO!CF90="","",NORMALIZADO!CF90)</f>
        <v/>
      </c>
      <c r="J90" t="str">
        <f>IF(NORMALIZADO!CG90="","",NORMALIZADO!CG90)</f>
        <v/>
      </c>
      <c r="K90">
        <f>IFERROR(INDEX(MATRIZ_174!$U:$U,MATCH(A90,MATRIZ_174!$A:$A,0))*100,"")</f>
        <v>100</v>
      </c>
      <c r="L90" t="str">
        <f>IFERROR(MATRIZ_174!O90,0)</f>
        <v/>
      </c>
      <c r="N90" t="str">
        <f>IFERROR(ISCAM_Score!AC91,"")</f>
        <v>⬜  Pendiente de instrumento</v>
      </c>
      <c r="O90" t="s">
        <v>75</v>
      </c>
      <c r="P90" t="str">
        <f>IFERROR(INDEX(MATRIZ_174!$C:$C,MATCH(A90,MATRIZ_174!$A:$A,0)),"")</f>
        <v>JUNIN</v>
      </c>
    </row>
    <row r="91" spans="1:16" ht="16.05" customHeight="1" x14ac:dyDescent="0.3">
      <c r="A91" t="s">
        <v>264</v>
      </c>
      <c r="B91" t="s">
        <v>265</v>
      </c>
      <c r="C91" s="36" t="str">
        <f>IFERROR(ISCAM_Score!AL92,"—")</f>
        <v>—</v>
      </c>
      <c r="D91" t="str">
        <f t="shared" si="4"/>
        <v>— Sin Inst.2</v>
      </c>
      <c r="E91" t="str">
        <f t="shared" si="5"/>
        <v/>
      </c>
      <c r="F91" t="str">
        <f>IF(MATRIZ_174!L91="","",MATRIZ_174!L91)</f>
        <v/>
      </c>
      <c r="G91" t="str">
        <f>IFERROR(MATRIZ_174!M91,0)</f>
        <v/>
      </c>
      <c r="H91" t="str">
        <f>IF(NORMALIZADO!CC91="","",NORMALIZADO!CC91)</f>
        <v/>
      </c>
      <c r="I91" t="str">
        <f>IF(NORMALIZADO!CF91="","",NORMALIZADO!CF91)</f>
        <v/>
      </c>
      <c r="J91" t="str">
        <f>IF(NORMALIZADO!CG91="","",NORMALIZADO!CG91)</f>
        <v/>
      </c>
      <c r="K91">
        <f>IFERROR(INDEX(MATRIZ_174!$U:$U,MATCH(A91,MATRIZ_174!$A:$A,0))*100,"")</f>
        <v>100</v>
      </c>
      <c r="L91" t="str">
        <f>IFERROR(MATRIZ_174!O91,0)</f>
        <v/>
      </c>
      <c r="N91" t="str">
        <f>IFERROR(ISCAM_Score!AC92,"")</f>
        <v>⬜  Pendiente de instrumento</v>
      </c>
      <c r="O91" t="s">
        <v>75</v>
      </c>
      <c r="P91" t="str">
        <f>IFERROR(INDEX(MATRIZ_174!$C:$C,MATCH(A91,MATRIZ_174!$A:$A,0)),"")</f>
        <v>JUNIN</v>
      </c>
    </row>
    <row r="92" spans="1:16" ht="16.05" customHeight="1" x14ac:dyDescent="0.3">
      <c r="A92" t="s">
        <v>266</v>
      </c>
      <c r="B92" t="s">
        <v>267</v>
      </c>
      <c r="C92" s="36" t="str">
        <f>IFERROR(ISCAM_Score!AL93,"—")</f>
        <v>—</v>
      </c>
      <c r="D92" t="str">
        <f t="shared" si="4"/>
        <v>— Sin Inst.2</v>
      </c>
      <c r="E92" t="str">
        <f t="shared" si="5"/>
        <v/>
      </c>
      <c r="F92">
        <f>IF(MATRIZ_174!L92="","",MATRIZ_174!L92)</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t="str">
        <f>IFERROR(MATRIZ_174!O92,0)</f>
        <v/>
      </c>
      <c r="N92" t="str">
        <f>IFERROR(ISCAM_Score!AC93,"")</f>
        <v>⬜  Pendiente de instrumento</v>
      </c>
      <c r="O92" t="s">
        <v>148</v>
      </c>
      <c r="P92" t="str">
        <f>IFERROR(INDEX(MATRIZ_174!$C:$C,MATCH(A92,MATRIZ_174!$A:$A,0)),"")</f>
        <v>CAJAMARCA</v>
      </c>
    </row>
    <row r="93" spans="1:16" ht="16.05" customHeight="1" x14ac:dyDescent="0.3">
      <c r="A93" t="s">
        <v>268</v>
      </c>
      <c r="B93" t="s">
        <v>269</v>
      </c>
      <c r="C93" s="36" t="str">
        <f>IFERROR(ISCAM_Score!AL94,"—")</f>
        <v>—</v>
      </c>
      <c r="D93" t="str">
        <f t="shared" si="4"/>
        <v>— Sin Inst.2</v>
      </c>
      <c r="E93" t="str">
        <f t="shared" si="5"/>
        <v/>
      </c>
      <c r="F93" t="str">
        <f>IF(MATRIZ_174!L93="","",MATRIZ_174!L93)</f>
        <v/>
      </c>
      <c r="G93" t="str">
        <f>IFERROR(MATRIZ_174!M93,0)</f>
        <v/>
      </c>
      <c r="H93" t="str">
        <f>IF(NORMALIZADO!CC93="","",NORMALIZADO!CC93)</f>
        <v/>
      </c>
      <c r="I93" t="str">
        <f>IF(NORMALIZADO!CF93="","",NORMALIZADO!CF93)</f>
        <v/>
      </c>
      <c r="J93" t="str">
        <f>IF(NORMALIZADO!CG93="","",NORMALIZADO!CG93)</f>
        <v/>
      </c>
      <c r="K93">
        <f>IFERROR(INDEX(MATRIZ_174!$U:$U,MATCH(A93,MATRIZ_174!$A:$A,0))*100,"")</f>
        <v>100</v>
      </c>
      <c r="L93" t="str">
        <f>IFERROR(MATRIZ_174!O93,0)</f>
        <v/>
      </c>
      <c r="N93" t="str">
        <f>IFERROR(ISCAM_Score!AC94,"")</f>
        <v>⬜  Pendiente de instrumento</v>
      </c>
      <c r="O93" t="s">
        <v>137</v>
      </c>
      <c r="P93" t="str">
        <f>IFERROR(INDEX(MATRIZ_174!$C:$C,MATCH(A93,MATRIZ_174!$A:$A,0)),"")</f>
        <v>SAN MARTIN</v>
      </c>
    </row>
    <row r="94" spans="1:16" ht="16.05" customHeight="1" x14ac:dyDescent="0.3">
      <c r="A94" t="s">
        <v>270</v>
      </c>
      <c r="B94" t="s">
        <v>271</v>
      </c>
      <c r="C94" s="36" t="str">
        <f>IFERROR(ISCAM_Score!AL95,"—")</f>
        <v>—</v>
      </c>
      <c r="D94" t="str">
        <f t="shared" si="4"/>
        <v>— Sin Inst.2</v>
      </c>
      <c r="E94" t="str">
        <f t="shared" si="5"/>
        <v/>
      </c>
      <c r="F94">
        <f>IF(MATRIZ_174!L94="","",MATRIZ_174!L94)</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t="str">
        <f>IFERROR(MATRIZ_174!O94,0)</f>
        <v/>
      </c>
      <c r="N94" t="str">
        <f>IFERROR(ISCAM_Score!AC95,"")</f>
        <v>⬜  Pendiente de instrumento</v>
      </c>
      <c r="O94" t="s">
        <v>137</v>
      </c>
      <c r="P94" t="str">
        <f>IFERROR(INDEX(MATRIZ_174!$C:$C,MATCH(A94,MATRIZ_174!$A:$A,0)),"")</f>
        <v>SAN MARTIN</v>
      </c>
    </row>
    <row r="95" spans="1:16" ht="16.05" customHeight="1" x14ac:dyDescent="0.3">
      <c r="A95" t="s">
        <v>272</v>
      </c>
      <c r="B95" t="s">
        <v>273</v>
      </c>
      <c r="C95" s="36" t="str">
        <f>IFERROR(ISCAM_Score!AL96,"—")</f>
        <v>—</v>
      </c>
      <c r="D95" t="str">
        <f t="shared" si="4"/>
        <v>— Sin Inst.2</v>
      </c>
      <c r="E95" t="str">
        <f t="shared" si="5"/>
        <v/>
      </c>
      <c r="F95" t="str">
        <f>IF(MATRIZ_174!L95="","",MATRIZ_174!L95)</f>
        <v/>
      </c>
      <c r="G95" t="str">
        <f>IFERROR(MATRIZ_174!M95,0)</f>
        <v/>
      </c>
      <c r="H95" t="str">
        <f>IF(NORMALIZADO!CC95="","",NORMALIZADO!CC95)</f>
        <v/>
      </c>
      <c r="I95" t="str">
        <f>IF(NORMALIZADO!CF95="","",NORMALIZADO!CF95)</f>
        <v/>
      </c>
      <c r="J95" t="str">
        <f>IF(NORMALIZADO!CG95="","",NORMALIZADO!CG95)</f>
        <v/>
      </c>
      <c r="K95">
        <f>IFERROR(INDEX(MATRIZ_174!$U:$U,MATCH(A95,MATRIZ_174!$A:$A,0))*100,"")</f>
        <v>100</v>
      </c>
      <c r="L95" t="str">
        <f>IFERROR(MATRIZ_174!O95,0)</f>
        <v/>
      </c>
      <c r="N95" t="str">
        <f>IFERROR(ISCAM_Score!AC96,"")</f>
        <v>⬜  Pendiente de instrumento</v>
      </c>
      <c r="O95" t="s">
        <v>117</v>
      </c>
      <c r="P95" t="str">
        <f>IFERROR(INDEX(MATRIZ_174!$C:$C,MATCH(A95,MATRIZ_174!$A:$A,0)),"")</f>
        <v>HUANUCO</v>
      </c>
    </row>
    <row r="96" spans="1:16" ht="16.05" customHeight="1" x14ac:dyDescent="0.3">
      <c r="A96" t="s">
        <v>274</v>
      </c>
      <c r="B96" t="s">
        <v>275</v>
      </c>
      <c r="C96" s="36" t="str">
        <f>IFERROR(ISCAM_Score!AL97,"—")</f>
        <v>—</v>
      </c>
      <c r="D96" t="str">
        <f t="shared" si="4"/>
        <v>— Sin Inst.2</v>
      </c>
      <c r="E96" t="str">
        <f t="shared" si="5"/>
        <v/>
      </c>
      <c r="F96" t="str">
        <f>IF(MATRIZ_174!L96="","",MATRIZ_174!L96)</f>
        <v/>
      </c>
      <c r="G96" t="str">
        <f>IFERROR(MATRIZ_174!M96,0)</f>
        <v/>
      </c>
      <c r="H96" t="str">
        <f>IF(NORMALIZADO!CC96="","",NORMALIZADO!CC96)</f>
        <v/>
      </c>
      <c r="I96" t="str">
        <f>IF(NORMALIZADO!CF96="","",NORMALIZADO!CF96)</f>
        <v/>
      </c>
      <c r="J96" t="str">
        <f>IF(NORMALIZADO!CG96="","",NORMALIZADO!CG96)</f>
        <v/>
      </c>
      <c r="K96">
        <f>IFERROR(INDEX(MATRIZ_174!$U:$U,MATCH(A96,MATRIZ_174!$A:$A,0))*100,"")</f>
        <v>100</v>
      </c>
      <c r="L96" t="str">
        <f>IFERROR(MATRIZ_174!O96,0)</f>
        <v/>
      </c>
      <c r="N96" t="str">
        <f>IFERROR(ISCAM_Score!AC97,"")</f>
        <v>⬜  Pendiente de instrumento</v>
      </c>
      <c r="O96" t="s">
        <v>117</v>
      </c>
      <c r="P96" t="str">
        <f>IFERROR(INDEX(MATRIZ_174!$C:$C,MATCH(A96,MATRIZ_174!$A:$A,0)),"")</f>
        <v>HUANUCO</v>
      </c>
    </row>
    <row r="97" spans="1:16" ht="16.05" customHeight="1" x14ac:dyDescent="0.3">
      <c r="A97" t="s">
        <v>276</v>
      </c>
      <c r="B97" t="s">
        <v>277</v>
      </c>
      <c r="C97" s="36" t="str">
        <f>IFERROR(ISCAM_Score!AL98,"—")</f>
        <v>—</v>
      </c>
      <c r="D97" t="str">
        <f t="shared" si="4"/>
        <v>— Sin Inst.2</v>
      </c>
      <c r="E97" t="str">
        <f t="shared" si="5"/>
        <v/>
      </c>
      <c r="F97" t="str">
        <f>IF(MATRIZ_174!L97="","",MATRIZ_174!L97)</f>
        <v/>
      </c>
      <c r="G97" t="str">
        <f>IFERROR(MATRIZ_174!M97,0)</f>
        <v/>
      </c>
      <c r="H97" t="str">
        <f>IF(NORMALIZADO!CC97="","",NORMALIZADO!CC97)</f>
        <v/>
      </c>
      <c r="I97" t="str">
        <f>IF(NORMALIZADO!CF97="","",NORMALIZADO!CF97)</f>
        <v/>
      </c>
      <c r="J97" t="str">
        <f>IF(NORMALIZADO!CG97="","",NORMALIZADO!CG97)</f>
        <v/>
      </c>
      <c r="K97">
        <f>IFERROR(INDEX(MATRIZ_174!$U:$U,MATCH(A97,MATRIZ_174!$A:$A,0))*100,"")</f>
        <v>100</v>
      </c>
      <c r="L97" t="str">
        <f>IFERROR(MATRIZ_174!O97,0)</f>
        <v/>
      </c>
      <c r="N97" t="str">
        <f>IFERROR(ISCAM_Score!AC98,"")</f>
        <v>⬜  Pendiente de instrumento</v>
      </c>
      <c r="O97" t="s">
        <v>117</v>
      </c>
      <c r="P97" t="str">
        <f>IFERROR(INDEX(MATRIZ_174!$C:$C,MATCH(A97,MATRIZ_174!$A:$A,0)),"")</f>
        <v>HUANUCO</v>
      </c>
    </row>
    <row r="98" spans="1:16" ht="16.05" customHeight="1" x14ac:dyDescent="0.3">
      <c r="A98" t="s">
        <v>278</v>
      </c>
      <c r="B98" t="s">
        <v>279</v>
      </c>
      <c r="C98" s="36" t="str">
        <f>IFERROR(ISCAM_Score!AL99,"—")</f>
        <v>—</v>
      </c>
      <c r="D98" t="str">
        <f t="shared" si="4"/>
        <v>— Sin Inst.2</v>
      </c>
      <c r="E98" t="str">
        <f t="shared" si="5"/>
        <v/>
      </c>
      <c r="F98" t="str">
        <f>IF(MATRIZ_174!L98="","",MATRIZ_174!L98)</f>
        <v/>
      </c>
      <c r="G98" t="str">
        <f>IFERROR(MATRIZ_174!M98,0)</f>
        <v/>
      </c>
      <c r="H98" t="str">
        <f>IF(NORMALIZADO!CC98="","",NORMALIZADO!CC98)</f>
        <v/>
      </c>
      <c r="I98" t="str">
        <f>IF(NORMALIZADO!CF98="","",NORMALIZADO!CF98)</f>
        <v/>
      </c>
      <c r="J98" t="str">
        <f>IF(NORMALIZADO!CG98="","",NORMALIZADO!CG98)</f>
        <v/>
      </c>
      <c r="K98">
        <f>IFERROR(INDEX(MATRIZ_174!$U:$U,MATCH(A98,MATRIZ_174!$A:$A,0))*100,"")</f>
        <v>100</v>
      </c>
      <c r="L98" t="str">
        <f>IFERROR(MATRIZ_174!O98,0)</f>
        <v/>
      </c>
      <c r="N98" t="str">
        <f>IFERROR(ISCAM_Score!AC99,"")</f>
        <v>⬜  Pendiente de instrumento</v>
      </c>
      <c r="O98" t="s">
        <v>117</v>
      </c>
      <c r="P98" t="str">
        <f>IFERROR(INDEX(MATRIZ_174!$C:$C,MATCH(A98,MATRIZ_174!$A:$A,0)),"")</f>
        <v>HUANUCO</v>
      </c>
    </row>
    <row r="99" spans="1:16" ht="16.05" customHeight="1" x14ac:dyDescent="0.3">
      <c r="A99" t="s">
        <v>280</v>
      </c>
      <c r="B99" t="s">
        <v>281</v>
      </c>
      <c r="C99" s="36" t="str">
        <f>IFERROR(ISCAM_Score!AL100,"—")</f>
        <v>—</v>
      </c>
      <c r="D99" t="str">
        <f t="shared" ref="D99:D130" si="6">IF(C99="—","— Sin Inst.2",IF(C99&lt;34,"🔴  Crítico",IF(C99&lt;67,"🟡  Vulnerable","🟢  Preparado")))</f>
        <v>— Sin Inst.2</v>
      </c>
      <c r="E99" t="str">
        <f t="shared" ref="E99:E130" si="7">IFERROR(RANK(C99,C:C,-1),"")</f>
        <v/>
      </c>
      <c r="F99" t="str">
        <f>IF(MATRIZ_174!L99="","",MATRIZ_174!L99)</f>
        <v/>
      </c>
      <c r="G99" t="str">
        <f>IFERROR(MATRIZ_174!M99,0)</f>
        <v/>
      </c>
      <c r="H99" t="str">
        <f>IF(NORMALIZADO!CC99="","",NORMALIZADO!CC99)</f>
        <v/>
      </c>
      <c r="I99" t="str">
        <f>IF(NORMALIZADO!CF99="","",NORMALIZADO!CF99)</f>
        <v/>
      </c>
      <c r="J99" t="str">
        <f>IF(NORMALIZADO!CG99="","",NORMALIZADO!CG99)</f>
        <v/>
      </c>
      <c r="K99">
        <f>IFERROR(INDEX(MATRIZ_174!$U:$U,MATCH(A99,MATRIZ_174!$A:$A,0))*100,"")</f>
        <v>100</v>
      </c>
      <c r="L99" t="str">
        <f>IFERROR(MATRIZ_174!O99,0)</f>
        <v/>
      </c>
      <c r="N99" t="str">
        <f>IFERROR(ISCAM_Score!AC100,"")</f>
        <v>⬜  Pendiente de instrumento</v>
      </c>
      <c r="O99" t="s">
        <v>117</v>
      </c>
      <c r="P99" t="str">
        <f>IFERROR(INDEX(MATRIZ_174!$C:$C,MATCH(A99,MATRIZ_174!$A:$A,0)),"")</f>
        <v>HUANUCO</v>
      </c>
    </row>
    <row r="100" spans="1:16" ht="16.05" customHeight="1" x14ac:dyDescent="0.3">
      <c r="A100" t="s">
        <v>283</v>
      </c>
      <c r="B100" t="s">
        <v>284</v>
      </c>
      <c r="C100" s="36" t="str">
        <f>IFERROR(ISCAM_Score!AL101,"—")</f>
        <v>—</v>
      </c>
      <c r="D100" t="str">
        <f t="shared" si="6"/>
        <v>— Sin Inst.2</v>
      </c>
      <c r="E100" t="str">
        <f t="shared" si="7"/>
        <v/>
      </c>
      <c r="F100" t="str">
        <f>IF(MATRIZ_174!L100="","",MATRIZ_174!L100)</f>
        <v/>
      </c>
      <c r="G100" t="str">
        <f>IFERROR(MATRIZ_174!M100,0)</f>
        <v/>
      </c>
      <c r="H100" t="str">
        <f>IF(NORMALIZADO!CC100="","",NORMALIZADO!CC100)</f>
        <v/>
      </c>
      <c r="I100" t="str">
        <f>IF(NORMALIZADO!CF100="","",NORMALIZADO!CF100)</f>
        <v/>
      </c>
      <c r="J100" t="str">
        <f>IF(NORMALIZADO!CG100="","",NORMALIZADO!CG100)</f>
        <v/>
      </c>
      <c r="K100">
        <f>IFERROR(INDEX(MATRIZ_174!$U:$U,MATCH(A100,MATRIZ_174!$A:$A,0))*100,"")</f>
        <v>100</v>
      </c>
      <c r="L100" t="str">
        <f>IFERROR(MATRIZ_174!O100,0)</f>
        <v/>
      </c>
      <c r="N100" t="str">
        <f>IFERROR(ISCAM_Score!AC101,"")</f>
        <v>⬜  Pendiente de instrumento</v>
      </c>
      <c r="O100" t="s">
        <v>78</v>
      </c>
      <c r="P100" t="str">
        <f>IFERROR(INDEX(MATRIZ_174!$C:$C,MATCH(A100,MATRIZ_174!$A:$A,0)),"")</f>
        <v>CUSCO</v>
      </c>
    </row>
    <row r="101" spans="1:16" ht="16.05" customHeight="1" x14ac:dyDescent="0.3">
      <c r="A101" t="s">
        <v>285</v>
      </c>
      <c r="B101" t="s">
        <v>286</v>
      </c>
      <c r="C101" s="36" t="str">
        <f>IFERROR(ISCAM_Score!AL102,"—")</f>
        <v>—</v>
      </c>
      <c r="D101" t="str">
        <f t="shared" si="6"/>
        <v>— Sin Inst.2</v>
      </c>
      <c r="E101" t="str">
        <f t="shared" si="7"/>
        <v/>
      </c>
      <c r="F101" t="str">
        <f>IF(MATRIZ_174!L101="","",MATRIZ_174!L101)</f>
        <v/>
      </c>
      <c r="G101" t="str">
        <f>IFERROR(MATRIZ_174!M101,0)</f>
        <v/>
      </c>
      <c r="H101" t="str">
        <f>IF(NORMALIZADO!CC101="","",NORMALIZADO!CC101)</f>
        <v/>
      </c>
      <c r="I101" t="str">
        <f>IF(NORMALIZADO!CF101="","",NORMALIZADO!CF101)</f>
        <v/>
      </c>
      <c r="J101" t="str">
        <f>IF(NORMALIZADO!CG101="","",NORMALIZADO!CG101)</f>
        <v/>
      </c>
      <c r="K101">
        <f>IFERROR(INDEX(MATRIZ_174!$U:$U,MATCH(A101,MATRIZ_174!$A:$A,0))*100,"")</f>
        <v>100</v>
      </c>
      <c r="L101" t="str">
        <f>IFERROR(MATRIZ_174!O101,0)</f>
        <v/>
      </c>
      <c r="N101" t="str">
        <f>IFERROR(ISCAM_Score!AC102,"")</f>
        <v>⬜  Pendiente de instrumento</v>
      </c>
      <c r="O101" t="s">
        <v>110</v>
      </c>
      <c r="P101" t="str">
        <f>IFERROR(INDEX(MATRIZ_174!$C:$C,MATCH(A101,MATRIZ_174!$A:$A,0)),"")</f>
        <v>AMAZONAS</v>
      </c>
    </row>
    <row r="102" spans="1:16" ht="16.05" customHeight="1" x14ac:dyDescent="0.3">
      <c r="A102" t="s">
        <v>287</v>
      </c>
      <c r="B102" t="s">
        <v>288</v>
      </c>
      <c r="C102" s="36" t="str">
        <f>IFERROR(ISCAM_Score!AL103,"—")</f>
        <v>—</v>
      </c>
      <c r="D102" t="str">
        <f t="shared" si="6"/>
        <v>— Sin Inst.2</v>
      </c>
      <c r="E102" t="str">
        <f t="shared" si="7"/>
        <v/>
      </c>
      <c r="F102" t="str">
        <f>IF(MATRIZ_174!L102="","",MATRIZ_174!L102)</f>
        <v/>
      </c>
      <c r="G102" t="str">
        <f>IFERROR(MATRIZ_174!M102,0)</f>
        <v/>
      </c>
      <c r="H102" t="str">
        <f>IF(NORMALIZADO!CC102="","",NORMALIZADO!CC102)</f>
        <v/>
      </c>
      <c r="I102" t="str">
        <f>IF(NORMALIZADO!CF102="","",NORMALIZADO!CF102)</f>
        <v/>
      </c>
      <c r="J102" t="str">
        <f>IF(NORMALIZADO!CG102="","",NORMALIZADO!CG102)</f>
        <v/>
      </c>
      <c r="K102">
        <f>IFERROR(INDEX(MATRIZ_174!$U:$U,MATCH(A102,MATRIZ_174!$A:$A,0))*100,"")</f>
        <v>100</v>
      </c>
      <c r="L102" t="str">
        <f>IFERROR(MATRIZ_174!O102,0)</f>
        <v/>
      </c>
      <c r="N102" t="str">
        <f>IFERROR(ISCAM_Score!AC103,"")</f>
        <v>⬜  Pendiente de instrumento</v>
      </c>
      <c r="O102" t="s">
        <v>117</v>
      </c>
      <c r="P102" t="str">
        <f>IFERROR(INDEX(MATRIZ_174!$C:$C,MATCH(A102,MATRIZ_174!$A:$A,0)),"")</f>
        <v>HUANUCO</v>
      </c>
    </row>
    <row r="103" spans="1:16" ht="16.05" customHeight="1" x14ac:dyDescent="0.3">
      <c r="A103" t="s">
        <v>289</v>
      </c>
      <c r="B103" t="s">
        <v>290</v>
      </c>
      <c r="C103" s="36" t="str">
        <f>IFERROR(ISCAM_Score!AL104,"—")</f>
        <v>—</v>
      </c>
      <c r="D103" t="str">
        <f t="shared" si="6"/>
        <v>— Sin Inst.2</v>
      </c>
      <c r="E103" t="str">
        <f t="shared" si="7"/>
        <v/>
      </c>
      <c r="F103" t="str">
        <f>IF(MATRIZ_174!L103="","",MATRIZ_174!L103)</f>
        <v/>
      </c>
      <c r="G103" t="str">
        <f>IFERROR(MATRIZ_174!M103,0)</f>
        <v/>
      </c>
      <c r="H103" t="str">
        <f>IF(NORMALIZADO!CC103="","",NORMALIZADO!CC103)</f>
        <v/>
      </c>
      <c r="I103" t="str">
        <f>IF(NORMALIZADO!CF103="","",NORMALIZADO!CF103)</f>
        <v/>
      </c>
      <c r="J103" t="str">
        <f>IF(NORMALIZADO!CG103="","",NORMALIZADO!CG103)</f>
        <v/>
      </c>
      <c r="K103">
        <f>IFERROR(INDEX(MATRIZ_174!$U:$U,MATCH(A103,MATRIZ_174!$A:$A,0))*100,"")</f>
        <v>100</v>
      </c>
      <c r="L103" t="str">
        <f>IFERROR(MATRIZ_174!O103,0)</f>
        <v/>
      </c>
      <c r="N103" t="str">
        <f>IFERROR(ISCAM_Score!AC104,"")</f>
        <v>⬜  Pendiente de instrumento</v>
      </c>
      <c r="O103" t="s">
        <v>190</v>
      </c>
      <c r="P103" t="str">
        <f>IFERROR(INDEX(MATRIZ_174!$C:$C,MATCH(A103,MATRIZ_174!$A:$A,0)),"")</f>
        <v>LORETO</v>
      </c>
    </row>
    <row r="104" spans="1:16" ht="16.05" customHeight="1" x14ac:dyDescent="0.3">
      <c r="A104" t="s">
        <v>291</v>
      </c>
      <c r="B104" t="s">
        <v>292</v>
      </c>
      <c r="C104" s="36" t="str">
        <f>IFERROR(ISCAM_Score!AL105,"—")</f>
        <v>—</v>
      </c>
      <c r="D104" t="str">
        <f t="shared" si="6"/>
        <v>— Sin Inst.2</v>
      </c>
      <c r="E104" t="str">
        <f t="shared" si="7"/>
        <v/>
      </c>
      <c r="F104" t="str">
        <f>IF(MATRIZ_174!L104="","",MATRIZ_174!L104)</f>
        <v/>
      </c>
      <c r="G104" t="str">
        <f>IFERROR(MATRIZ_174!M104,0)</f>
        <v/>
      </c>
      <c r="H104" t="str">
        <f>IF(NORMALIZADO!CC104="","",NORMALIZADO!CC104)</f>
        <v/>
      </c>
      <c r="I104" t="str">
        <f>IF(NORMALIZADO!CF104="","",NORMALIZADO!CF104)</f>
        <v/>
      </c>
      <c r="J104" t="str">
        <f>IF(NORMALIZADO!CG104="","",NORMALIZADO!CG104)</f>
        <v/>
      </c>
      <c r="K104">
        <f>IFERROR(INDEX(MATRIZ_174!$U:$U,MATCH(A104,MATRIZ_174!$A:$A,0))*100,"")</f>
        <v>100</v>
      </c>
      <c r="L104" t="str">
        <f>IFERROR(MATRIZ_174!O104,0)</f>
        <v/>
      </c>
      <c r="N104" t="str">
        <f>IFERROR(ISCAM_Score!AC105,"")</f>
        <v>⬜  Pendiente de instrumento</v>
      </c>
      <c r="O104" t="s">
        <v>239</v>
      </c>
      <c r="P104" t="str">
        <f>IFERROR(INDEX(MATRIZ_174!$C:$C,MATCH(A104,MATRIZ_174!$A:$A,0)),"")</f>
        <v>MADRE DE DIOS</v>
      </c>
    </row>
    <row r="105" spans="1:16" ht="16.05" customHeight="1" x14ac:dyDescent="0.3">
      <c r="A105" t="s">
        <v>293</v>
      </c>
      <c r="B105" t="s">
        <v>294</v>
      </c>
      <c r="C105" s="36" t="str">
        <f>IFERROR(ISCAM_Score!AL106,"—")</f>
        <v>—</v>
      </c>
      <c r="D105" t="str">
        <f t="shared" si="6"/>
        <v>— Sin Inst.2</v>
      </c>
      <c r="E105" t="str">
        <f t="shared" si="7"/>
        <v/>
      </c>
      <c r="F105" t="str">
        <f>IF(MATRIZ_174!L105="","",MATRIZ_174!L105)</f>
        <v/>
      </c>
      <c r="G105" t="str">
        <f>IFERROR(MATRIZ_174!M105,0)</f>
        <v/>
      </c>
      <c r="H105" t="str">
        <f>IF(NORMALIZADO!CC105="","",NORMALIZADO!CC105)</f>
        <v/>
      </c>
      <c r="I105" t="str">
        <f>IF(NORMALIZADO!CF105="","",NORMALIZADO!CF105)</f>
        <v/>
      </c>
      <c r="J105" t="str">
        <f>IF(NORMALIZADO!CG105="","",NORMALIZADO!CG105)</f>
        <v/>
      </c>
      <c r="K105">
        <f>IFERROR(INDEX(MATRIZ_174!$U:$U,MATCH(A105,MATRIZ_174!$A:$A,0))*100,"")</f>
        <v>100</v>
      </c>
      <c r="L105" t="str">
        <f>IFERROR(MATRIZ_174!O105,0)</f>
        <v/>
      </c>
      <c r="N105" t="str">
        <f>IFERROR(ISCAM_Score!AC106,"")</f>
        <v>⬜  Pendiente de instrumento</v>
      </c>
      <c r="O105" t="s">
        <v>110</v>
      </c>
      <c r="P105" t="str">
        <f>IFERROR(INDEX(MATRIZ_174!$C:$C,MATCH(A105,MATRIZ_174!$A:$A,0)),"")</f>
        <v>AMAZONAS</v>
      </c>
    </row>
    <row r="106" spans="1:16" ht="16.05" customHeight="1" x14ac:dyDescent="0.3">
      <c r="A106" t="s">
        <v>295</v>
      </c>
      <c r="B106" t="s">
        <v>296</v>
      </c>
      <c r="C106" s="36" t="str">
        <f>IFERROR(ISCAM_Score!AL107,"—")</f>
        <v>—</v>
      </c>
      <c r="D106" t="str">
        <f t="shared" si="6"/>
        <v>— Sin Inst.2</v>
      </c>
      <c r="E106" t="str">
        <f t="shared" si="7"/>
        <v/>
      </c>
      <c r="F106">
        <f>IF(MATRIZ_174!L106="","",MATRIZ_174!L106)</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IFERROR(MATRIZ_174!O106,0)</f>
        <v>1</v>
      </c>
      <c r="N106" t="str">
        <f>IFERROR(ISCAM_Score!AC107,"")</f>
        <v>⬜  Pendiente de instrumento</v>
      </c>
      <c r="O106" t="s">
        <v>137</v>
      </c>
      <c r="P106" t="str">
        <f>IFERROR(INDEX(MATRIZ_174!$C:$C,MATCH(A106,MATRIZ_174!$A:$A,0)),"")</f>
        <v>SAN MARTIN</v>
      </c>
    </row>
    <row r="107" spans="1:16" ht="16.05" customHeight="1" x14ac:dyDescent="0.3">
      <c r="A107" t="s">
        <v>297</v>
      </c>
      <c r="B107" t="s">
        <v>298</v>
      </c>
      <c r="C107" s="36" t="str">
        <f>IFERROR(ISCAM_Score!AL108,"—")</f>
        <v>—</v>
      </c>
      <c r="D107" t="str">
        <f t="shared" si="6"/>
        <v>— Sin Inst.2</v>
      </c>
      <c r="E107" t="str">
        <f t="shared" si="7"/>
        <v/>
      </c>
      <c r="F107" t="str">
        <f>IF(MATRIZ_174!L107="","",MATRIZ_174!L107)</f>
        <v/>
      </c>
      <c r="G107" t="str">
        <f>IFERROR(MATRIZ_174!M107,0)</f>
        <v/>
      </c>
      <c r="H107" t="str">
        <f>IF(NORMALIZADO!CC107="","",NORMALIZADO!CC107)</f>
        <v/>
      </c>
      <c r="I107" t="str">
        <f>IF(NORMALIZADO!CF107="","",NORMALIZADO!CF107)</f>
        <v/>
      </c>
      <c r="J107" t="str">
        <f>IF(NORMALIZADO!CG107="","",NORMALIZADO!CG107)</f>
        <v/>
      </c>
      <c r="K107">
        <f>IFERROR(INDEX(MATRIZ_174!$U:$U,MATCH(A107,MATRIZ_174!$A:$A,0))*100,"")</f>
        <v>100</v>
      </c>
      <c r="L107" t="str">
        <f>IFERROR(MATRIZ_174!O107,0)</f>
        <v/>
      </c>
      <c r="N107" t="str">
        <f>IFERROR(ISCAM_Score!AC108,"")</f>
        <v>⬜  Pendiente de instrumento</v>
      </c>
      <c r="O107" t="s">
        <v>107</v>
      </c>
      <c r="P107" t="str">
        <f>IFERROR(INDEX(MATRIZ_174!$C:$C,MATCH(A107,MATRIZ_174!$A:$A,0)),"")</f>
        <v>UCAYALI</v>
      </c>
    </row>
    <row r="108" spans="1:16" ht="16.05" customHeight="1" x14ac:dyDescent="0.3">
      <c r="A108" t="s">
        <v>299</v>
      </c>
      <c r="B108" t="s">
        <v>300</v>
      </c>
      <c r="C108" s="36" t="str">
        <f>IFERROR(ISCAM_Score!AL109,"—")</f>
        <v>—</v>
      </c>
      <c r="D108" t="str">
        <f t="shared" si="6"/>
        <v>— Sin Inst.2</v>
      </c>
      <c r="E108" t="str">
        <f t="shared" si="7"/>
        <v/>
      </c>
      <c r="F108">
        <f>IF(MATRIZ_174!L108="","",MATRIZ_174!L108)</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t="str">
        <f>IFERROR(MATRIZ_174!O108,0)</f>
        <v/>
      </c>
      <c r="N108" t="str">
        <f>IFERROR(ISCAM_Score!AC109,"")</f>
        <v>⬜  Pendiente de instrumento</v>
      </c>
      <c r="O108" t="s">
        <v>107</v>
      </c>
      <c r="P108" t="str">
        <f>IFERROR(INDEX(MATRIZ_174!$C:$C,MATCH(A108,MATRIZ_174!$A:$A,0)),"")</f>
        <v>UCAYALI</v>
      </c>
    </row>
    <row r="109" spans="1:16" ht="16.05" customHeight="1" x14ac:dyDescent="0.3">
      <c r="A109" t="s">
        <v>301</v>
      </c>
      <c r="B109" t="s">
        <v>302</v>
      </c>
      <c r="C109" s="36" t="str">
        <f>IFERROR(ISCAM_Score!AL110,"—")</f>
        <v>—</v>
      </c>
      <c r="D109" t="str">
        <f t="shared" si="6"/>
        <v>— Sin Inst.2</v>
      </c>
      <c r="E109" t="str">
        <f t="shared" si="7"/>
        <v/>
      </c>
      <c r="F109" t="str">
        <f>IF(MATRIZ_174!L109="","",MATRIZ_174!L109)</f>
        <v/>
      </c>
      <c r="G109" t="str">
        <f>IFERROR(MATRIZ_174!M109,0)</f>
        <v/>
      </c>
      <c r="H109" t="str">
        <f>IF(NORMALIZADO!CC109="","",NORMALIZADO!CC109)</f>
        <v/>
      </c>
      <c r="I109" t="str">
        <f>IF(NORMALIZADO!CF109="","",NORMALIZADO!CF109)</f>
        <v/>
      </c>
      <c r="J109" t="str">
        <f>IF(NORMALIZADO!CG109="","",NORMALIZADO!CG109)</f>
        <v/>
      </c>
      <c r="K109">
        <f>IFERROR(INDEX(MATRIZ_174!$U:$U,MATCH(A109,MATRIZ_174!$A:$A,0))*100,"")</f>
        <v>100</v>
      </c>
      <c r="L109" t="str">
        <f>IFERROR(MATRIZ_174!O109,0)</f>
        <v/>
      </c>
      <c r="N109" t="str">
        <f>IFERROR(ISCAM_Score!AC110,"")</f>
        <v>⬜  Pendiente de instrumento</v>
      </c>
      <c r="O109" t="s">
        <v>70</v>
      </c>
      <c r="P109" t="str">
        <f>IFERROR(INDEX(MATRIZ_174!$C:$C,MATCH(A109,MATRIZ_174!$A:$A,0)),"")</f>
        <v>AYACUCHO</v>
      </c>
    </row>
    <row r="110" spans="1:16" ht="16.05" customHeight="1" x14ac:dyDescent="0.3">
      <c r="A110" t="s">
        <v>303</v>
      </c>
      <c r="B110" t="s">
        <v>304</v>
      </c>
      <c r="C110" s="36" t="str">
        <f>IFERROR(ISCAM_Score!AL111,"—")</f>
        <v>—</v>
      </c>
      <c r="D110" t="str">
        <f t="shared" si="6"/>
        <v>— Sin Inst.2</v>
      </c>
      <c r="E110" t="str">
        <f t="shared" si="7"/>
        <v/>
      </c>
      <c r="F110" t="str">
        <f>IF(MATRIZ_174!L110="","",MATRIZ_174!L110)</f>
        <v/>
      </c>
      <c r="G110" t="str">
        <f>IFERROR(MATRIZ_174!M110,0)</f>
        <v/>
      </c>
      <c r="H110" t="str">
        <f>IF(NORMALIZADO!CC110="","",NORMALIZADO!CC110)</f>
        <v/>
      </c>
      <c r="I110" t="str">
        <f>IF(NORMALIZADO!CF110="","",NORMALIZADO!CF110)</f>
        <v/>
      </c>
      <c r="J110" t="str">
        <f>IF(NORMALIZADO!CG110="","",NORMALIZADO!CG110)</f>
        <v/>
      </c>
      <c r="K110">
        <f>IFERROR(INDEX(MATRIZ_174!$U:$U,MATCH(A110,MATRIZ_174!$A:$A,0))*100,"")</f>
        <v>100</v>
      </c>
      <c r="L110" t="str">
        <f>IFERROR(MATRIZ_174!O110,0)</f>
        <v/>
      </c>
      <c r="N110" t="str">
        <f>IFERROR(ISCAM_Score!AC111,"")</f>
        <v>⬜  Pendiente de instrumento</v>
      </c>
      <c r="O110" t="s">
        <v>117</v>
      </c>
      <c r="P110" t="str">
        <f>IFERROR(INDEX(MATRIZ_174!$C:$C,MATCH(A110,MATRIZ_174!$A:$A,0)),"")</f>
        <v>HUANUCO</v>
      </c>
    </row>
    <row r="111" spans="1:16" ht="16.05" customHeight="1" x14ac:dyDescent="0.3">
      <c r="A111" t="s">
        <v>305</v>
      </c>
      <c r="B111" t="s">
        <v>306</v>
      </c>
      <c r="C111" s="36" t="str">
        <f>IFERROR(ISCAM_Score!AL112,"—")</f>
        <v>—</v>
      </c>
      <c r="D111" t="str">
        <f t="shared" si="6"/>
        <v>— Sin Inst.2</v>
      </c>
      <c r="E111" t="str">
        <f t="shared" si="7"/>
        <v/>
      </c>
      <c r="F111">
        <f>IF(MATRIZ_174!L111="","",MATRIZ_174!L111)</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t="str">
        <f>IFERROR(MATRIZ_174!O111,0)</f>
        <v/>
      </c>
      <c r="N111" t="str">
        <f>IFERROR(ISCAM_Score!AC112,"")</f>
        <v>⬜  Pendiente de instrumento</v>
      </c>
      <c r="O111" t="s">
        <v>110</v>
      </c>
      <c r="P111" t="str">
        <f>IFERROR(INDEX(MATRIZ_174!$C:$C,MATCH(A111,MATRIZ_174!$A:$A,0)),"")</f>
        <v>AMAZONAS</v>
      </c>
    </row>
    <row r="112" spans="1:16" ht="16.05" customHeight="1" x14ac:dyDescent="0.3">
      <c r="A112" t="s">
        <v>307</v>
      </c>
      <c r="B112" t="s">
        <v>308</v>
      </c>
      <c r="C112" s="36" t="str">
        <f>IFERROR(ISCAM_Score!AL113,"—")</f>
        <v>—</v>
      </c>
      <c r="D112" t="str">
        <f t="shared" si="6"/>
        <v>— Sin Inst.2</v>
      </c>
      <c r="E112" t="str">
        <f t="shared" si="7"/>
        <v/>
      </c>
      <c r="F112" t="str">
        <f>IF(MATRIZ_174!L112="","",MATRIZ_174!L112)</f>
        <v/>
      </c>
      <c r="G112" t="str">
        <f>IFERROR(MATRIZ_174!M112,0)</f>
        <v/>
      </c>
      <c r="H112" t="str">
        <f>IF(NORMALIZADO!CC112="","",NORMALIZADO!CC112)</f>
        <v/>
      </c>
      <c r="I112" t="str">
        <f>IF(NORMALIZADO!CF112="","",NORMALIZADO!CF112)</f>
        <v/>
      </c>
      <c r="J112" t="str">
        <f>IF(NORMALIZADO!CG112="","",NORMALIZADO!CG112)</f>
        <v/>
      </c>
      <c r="K112">
        <f>IFERROR(INDEX(MATRIZ_174!$U:$U,MATCH(A112,MATRIZ_174!$A:$A,0))*100,"")</f>
        <v>100</v>
      </c>
      <c r="L112" t="str">
        <f>IFERROR(MATRIZ_174!O112,0)</f>
        <v/>
      </c>
      <c r="N112" t="str">
        <f>IFERROR(ISCAM_Score!AC113,"")</f>
        <v>⬜  Pendiente de instrumento</v>
      </c>
      <c r="O112" t="s">
        <v>117</v>
      </c>
      <c r="P112" t="str">
        <f>IFERROR(INDEX(MATRIZ_174!$C:$C,MATCH(A112,MATRIZ_174!$A:$A,0)),"")</f>
        <v>HUANUCO</v>
      </c>
    </row>
    <row r="113" spans="1:16" ht="16.05" customHeight="1" x14ac:dyDescent="0.3">
      <c r="A113" t="s">
        <v>309</v>
      </c>
      <c r="B113" t="s">
        <v>310</v>
      </c>
      <c r="C113" s="36" t="str">
        <f>IFERROR(ISCAM_Score!AL114,"—")</f>
        <v>—</v>
      </c>
      <c r="D113" t="str">
        <f t="shared" si="6"/>
        <v>— Sin Inst.2</v>
      </c>
      <c r="E113" t="str">
        <f t="shared" si="7"/>
        <v/>
      </c>
      <c r="F113">
        <f>IF(MATRIZ_174!L113="","",MATRIZ_174!L113)</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t="str">
        <f>IFERROR(MATRIZ_174!O113,0)</f>
        <v/>
      </c>
      <c r="N113" t="str">
        <f>IFERROR(ISCAM_Score!AC114,"")</f>
        <v>⬜  Pendiente de instrumento</v>
      </c>
      <c r="O113" t="s">
        <v>148</v>
      </c>
      <c r="P113" t="str">
        <f>IFERROR(INDEX(MATRIZ_174!$C:$C,MATCH(A113,MATRIZ_174!$A:$A,0)),"")</f>
        <v>CAJAMARCA</v>
      </c>
    </row>
    <row r="114" spans="1:16" ht="16.05" customHeight="1" x14ac:dyDescent="0.3">
      <c r="A114" t="s">
        <v>311</v>
      </c>
      <c r="B114" t="s">
        <v>312</v>
      </c>
      <c r="C114" s="36" t="str">
        <f>IFERROR(ISCAM_Score!AL115,"—")</f>
        <v>—</v>
      </c>
      <c r="D114" t="str">
        <f t="shared" si="6"/>
        <v>— Sin Inst.2</v>
      </c>
      <c r="E114" t="str">
        <f t="shared" si="7"/>
        <v/>
      </c>
      <c r="F114" t="str">
        <f>IF(MATRIZ_174!L114="","",MATRIZ_174!L114)</f>
        <v/>
      </c>
      <c r="G114" t="str">
        <f>IFERROR(MATRIZ_174!M114,0)</f>
        <v/>
      </c>
      <c r="H114" t="str">
        <f>IF(NORMALIZADO!CC114="","",NORMALIZADO!CC114)</f>
        <v/>
      </c>
      <c r="I114" t="str">
        <f>IF(NORMALIZADO!CF114="","",NORMALIZADO!CF114)</f>
        <v/>
      </c>
      <c r="J114" t="str">
        <f>IF(NORMALIZADO!CG114="","",NORMALIZADO!CG114)</f>
        <v/>
      </c>
      <c r="K114">
        <f>IFERROR(INDEX(MATRIZ_174!$U:$U,MATCH(A114,MATRIZ_174!$A:$A,0))*100,"")</f>
        <v>100</v>
      </c>
      <c r="L114" t="str">
        <f>IFERROR(MATRIZ_174!O114,0)</f>
        <v/>
      </c>
      <c r="N114" t="str">
        <f>IFERROR(ISCAM_Score!AC115,"")</f>
        <v>⬜  Pendiente de instrumento</v>
      </c>
      <c r="O114" t="s">
        <v>239</v>
      </c>
      <c r="P114" t="str">
        <f>IFERROR(INDEX(MATRIZ_174!$C:$C,MATCH(A114,MATRIZ_174!$A:$A,0)),"")</f>
        <v>MADRE DE DIOS</v>
      </c>
    </row>
    <row r="115" spans="1:16" ht="16.05" customHeight="1" x14ac:dyDescent="0.3">
      <c r="A115" t="s">
        <v>313</v>
      </c>
      <c r="B115" t="s">
        <v>314</v>
      </c>
      <c r="C115" s="36" t="str">
        <f>IFERROR(ISCAM_Score!AL116,"—")</f>
        <v>—</v>
      </c>
      <c r="D115" t="str">
        <f t="shared" si="6"/>
        <v>— Sin Inst.2</v>
      </c>
      <c r="E115" t="str">
        <f t="shared" si="7"/>
        <v/>
      </c>
      <c r="F115">
        <f>IF(MATRIZ_174!L115="","",MATRIZ_174!L115)</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t="str">
        <f>IFERROR(MATRIZ_174!O115,0)</f>
        <v/>
      </c>
      <c r="N115" t="str">
        <f>IFERROR(ISCAM_Score!AC116,"")</f>
        <v>⬜  Pendiente de instrumento</v>
      </c>
      <c r="O115" t="s">
        <v>137</v>
      </c>
      <c r="P115" t="str">
        <f>IFERROR(INDEX(MATRIZ_174!$C:$C,MATCH(A115,MATRIZ_174!$A:$A,0)),"")</f>
        <v>SAN MARTIN</v>
      </c>
    </row>
    <row r="116" spans="1:16" ht="16.05" customHeight="1" x14ac:dyDescent="0.3">
      <c r="A116" t="s">
        <v>315</v>
      </c>
      <c r="B116" t="s">
        <v>316</v>
      </c>
      <c r="C116" s="36" t="str">
        <f>IFERROR(ISCAM_Score!AL117,"—")</f>
        <v>—</v>
      </c>
      <c r="D116" t="str">
        <f t="shared" si="6"/>
        <v>— Sin Inst.2</v>
      </c>
      <c r="E116" t="str">
        <f t="shared" si="7"/>
        <v/>
      </c>
      <c r="F116" t="str">
        <f>IF(MATRIZ_174!L116="","",MATRIZ_174!L116)</f>
        <v/>
      </c>
      <c r="G116" t="str">
        <f>IFERROR(MATRIZ_174!M116,0)</f>
        <v/>
      </c>
      <c r="H116" t="str">
        <f>IF(NORMALIZADO!CC116="","",NORMALIZADO!CC116)</f>
        <v/>
      </c>
      <c r="I116" t="str">
        <f>IF(NORMALIZADO!CF116="","",NORMALIZADO!CF116)</f>
        <v/>
      </c>
      <c r="J116" t="str">
        <f>IF(NORMALIZADO!CG116="","",NORMALIZADO!CG116)</f>
        <v/>
      </c>
      <c r="K116">
        <f>IFERROR(INDEX(MATRIZ_174!$U:$U,MATCH(A116,MATRIZ_174!$A:$A,0))*100,"")</f>
        <v>100</v>
      </c>
      <c r="L116" t="str">
        <f>IFERROR(MATRIZ_174!O116,0)</f>
        <v/>
      </c>
      <c r="N116" t="str">
        <f>IFERROR(ISCAM_Score!AC117,"")</f>
        <v>⬜  Pendiente de instrumento</v>
      </c>
      <c r="O116" t="s">
        <v>239</v>
      </c>
      <c r="P116" t="str">
        <f>IFERROR(INDEX(MATRIZ_174!$C:$C,MATCH(A116,MATRIZ_174!$A:$A,0)),"")</f>
        <v>MADRE DE DIOS</v>
      </c>
    </row>
    <row r="117" spans="1:16" ht="16.05" customHeight="1" x14ac:dyDescent="0.3">
      <c r="A117" t="s">
        <v>317</v>
      </c>
      <c r="B117" t="s">
        <v>318</v>
      </c>
      <c r="C117" s="36" t="str">
        <f>IFERROR(ISCAM_Score!AL118,"—")</f>
        <v>—</v>
      </c>
      <c r="D117" t="str">
        <f t="shared" si="6"/>
        <v>— Sin Inst.2</v>
      </c>
      <c r="E117" t="str">
        <f t="shared" si="7"/>
        <v/>
      </c>
      <c r="F117" t="str">
        <f>IF(MATRIZ_174!L117="","",MATRIZ_174!L117)</f>
        <v/>
      </c>
      <c r="G117" t="str">
        <f>IFERROR(MATRIZ_174!M117,0)</f>
        <v/>
      </c>
      <c r="H117" t="str">
        <f>IF(NORMALIZADO!CC117="","",NORMALIZADO!CC117)</f>
        <v/>
      </c>
      <c r="I117" t="str">
        <f>IF(NORMALIZADO!CF117="","",NORMALIZADO!CF117)</f>
        <v/>
      </c>
      <c r="J117" t="str">
        <f>IF(NORMALIZADO!CG117="","",NORMALIZADO!CG117)</f>
        <v/>
      </c>
      <c r="K117">
        <f>IFERROR(INDEX(MATRIZ_174!$U:$U,MATCH(A117,MATRIZ_174!$A:$A,0))*100,"")</f>
        <v>100</v>
      </c>
      <c r="L117" t="str">
        <f>IFERROR(MATRIZ_174!O117,0)</f>
        <v/>
      </c>
      <c r="N117" t="str">
        <f>IFERROR(ISCAM_Score!AC118,"")</f>
        <v>⬜  Pendiente de instrumento</v>
      </c>
      <c r="O117" t="s">
        <v>177</v>
      </c>
      <c r="P117" t="str">
        <f>IFERROR(INDEX(MATRIZ_174!$C:$C,MATCH(A117,MATRIZ_174!$A:$A,0)),"")</f>
        <v>LAMBAYEQUE</v>
      </c>
    </row>
    <row r="118" spans="1:16" ht="16.05" customHeight="1" x14ac:dyDescent="0.3">
      <c r="A118" t="s">
        <v>319</v>
      </c>
      <c r="B118" t="s">
        <v>320</v>
      </c>
      <c r="C118" s="36" t="str">
        <f>IFERROR(ISCAM_Score!AL119,"—")</f>
        <v>—</v>
      </c>
      <c r="D118" t="str">
        <f t="shared" si="6"/>
        <v>— Sin Inst.2</v>
      </c>
      <c r="E118" t="str">
        <f t="shared" si="7"/>
        <v/>
      </c>
      <c r="F118" t="str">
        <f>IF(MATRIZ_174!L118="","",MATRIZ_174!L118)</f>
        <v/>
      </c>
      <c r="G118" t="str">
        <f>IFERROR(MATRIZ_174!M118,0)</f>
        <v/>
      </c>
      <c r="H118" t="str">
        <f>IF(NORMALIZADO!CC118="","",NORMALIZADO!CC118)</f>
        <v/>
      </c>
      <c r="I118" t="str">
        <f>IF(NORMALIZADO!CF118="","",NORMALIZADO!CF118)</f>
        <v/>
      </c>
      <c r="J118" t="str">
        <f>IF(NORMALIZADO!CG118="","",NORMALIZADO!CG118)</f>
        <v/>
      </c>
      <c r="K118">
        <f>IFERROR(INDEX(MATRIZ_174!$U:$U,MATCH(A118,MATRIZ_174!$A:$A,0))*100,"")</f>
        <v>100</v>
      </c>
      <c r="L118" t="str">
        <f>IFERROR(MATRIZ_174!O118,0)</f>
        <v/>
      </c>
      <c r="N118" t="str">
        <f>IFERROR(ISCAM_Score!AC119,"")</f>
        <v>⬜  Pendiente de instrumento</v>
      </c>
      <c r="O118" t="s">
        <v>107</v>
      </c>
      <c r="P118" t="str">
        <f>IFERROR(INDEX(MATRIZ_174!$C:$C,MATCH(A118,MATRIZ_174!$A:$A,0)),"")</f>
        <v>UCAYALI</v>
      </c>
    </row>
    <row r="119" spans="1:16" ht="16.05" customHeight="1" x14ac:dyDescent="0.3">
      <c r="A119" t="s">
        <v>321</v>
      </c>
      <c r="B119" t="s">
        <v>322</v>
      </c>
      <c r="C119" s="36" t="str">
        <f>IFERROR(ISCAM_Score!AL120,"—")</f>
        <v>—</v>
      </c>
      <c r="D119" t="str">
        <f t="shared" si="6"/>
        <v>— Sin Inst.2</v>
      </c>
      <c r="E119" t="str">
        <f t="shared" si="7"/>
        <v/>
      </c>
      <c r="F119" t="str">
        <f>IF(MATRIZ_174!L119="","",MATRIZ_174!L119)</f>
        <v/>
      </c>
      <c r="G119" t="str">
        <f>IFERROR(MATRIZ_174!M119,0)</f>
        <v/>
      </c>
      <c r="H119" t="str">
        <f>IF(NORMALIZADO!CC119="","",NORMALIZADO!CC119)</f>
        <v/>
      </c>
      <c r="I119" t="str">
        <f>IF(NORMALIZADO!CF119="","",NORMALIZADO!CF119)</f>
        <v/>
      </c>
      <c r="J119" t="str">
        <f>IF(NORMALIZADO!CG119="","",NORMALIZADO!CG119)</f>
        <v/>
      </c>
      <c r="K119">
        <f>IFERROR(INDEX(MATRIZ_174!$U:$U,MATCH(A119,MATRIZ_174!$A:$A,0))*100,"")</f>
        <v>100</v>
      </c>
      <c r="L119" t="str">
        <f>IFERROR(MATRIZ_174!O119,0)</f>
        <v/>
      </c>
      <c r="N119" t="str">
        <f>IFERROR(ISCAM_Score!AC120,"")</f>
        <v>⬜  Pendiente de instrumento</v>
      </c>
      <c r="O119" t="s">
        <v>107</v>
      </c>
      <c r="P119" t="str">
        <f>IFERROR(INDEX(MATRIZ_174!$C:$C,MATCH(A119,MATRIZ_174!$A:$A,0)),"")</f>
        <v>UCAYALI</v>
      </c>
    </row>
    <row r="120" spans="1:16" ht="16.05" customHeight="1" x14ac:dyDescent="0.3">
      <c r="A120" t="s">
        <v>323</v>
      </c>
      <c r="B120" t="s">
        <v>324</v>
      </c>
      <c r="C120" s="36" t="str">
        <f>IFERROR(ISCAM_Score!AL121,"—")</f>
        <v>—</v>
      </c>
      <c r="D120" t="str">
        <f t="shared" si="6"/>
        <v>— Sin Inst.2</v>
      </c>
      <c r="E120" t="str">
        <f t="shared" si="7"/>
        <v/>
      </c>
      <c r="F120" t="str">
        <f>IF(MATRIZ_174!L120="","",MATRIZ_174!L120)</f>
        <v/>
      </c>
      <c r="G120" t="str">
        <f>IFERROR(MATRIZ_174!M120,0)</f>
        <v/>
      </c>
      <c r="H120" t="str">
        <f>IF(NORMALIZADO!CC120="","",NORMALIZADO!CC120)</f>
        <v/>
      </c>
      <c r="I120" t="str">
        <f>IF(NORMALIZADO!CF120="","",NORMALIZADO!CF120)</f>
        <v/>
      </c>
      <c r="J120" t="str">
        <f>IF(NORMALIZADO!CG120="","",NORMALIZADO!CG120)</f>
        <v/>
      </c>
      <c r="K120">
        <f>IFERROR(INDEX(MATRIZ_174!$U:$U,MATCH(A120,MATRIZ_174!$A:$A,0))*100,"")</f>
        <v>100</v>
      </c>
      <c r="L120" t="str">
        <f>IFERROR(MATRIZ_174!O120,0)</f>
        <v/>
      </c>
      <c r="N120" t="str">
        <f>IFERROR(ISCAM_Score!AC121,"")</f>
        <v>⬜  Pendiente de instrumento</v>
      </c>
      <c r="O120" t="s">
        <v>148</v>
      </c>
      <c r="P120" t="str">
        <f>IFERROR(INDEX(MATRIZ_174!$C:$C,MATCH(A120,MATRIZ_174!$A:$A,0)),"")</f>
        <v>CAJAMARCA</v>
      </c>
    </row>
    <row r="121" spans="1:16" ht="16.05" customHeight="1" x14ac:dyDescent="0.3">
      <c r="A121" t="s">
        <v>325</v>
      </c>
      <c r="B121" t="s">
        <v>326</v>
      </c>
      <c r="C121" s="36" t="str">
        <f>IFERROR(ISCAM_Score!AL122,"—")</f>
        <v>—</v>
      </c>
      <c r="D121" t="str">
        <f t="shared" si="6"/>
        <v>— Sin Inst.2</v>
      </c>
      <c r="E121" t="str">
        <f t="shared" si="7"/>
        <v/>
      </c>
      <c r="F121" t="str">
        <f>IF(MATRIZ_174!L121="","",MATRIZ_174!L121)</f>
        <v/>
      </c>
      <c r="G121" t="str">
        <f>IFERROR(MATRIZ_174!M121,0)</f>
        <v/>
      </c>
      <c r="H121" t="str">
        <f>IF(NORMALIZADO!CC121="","",NORMALIZADO!CC121)</f>
        <v/>
      </c>
      <c r="I121" t="str">
        <f>IF(NORMALIZADO!CF121="","",NORMALIZADO!CF121)</f>
        <v/>
      </c>
      <c r="J121" t="str">
        <f>IF(NORMALIZADO!CG121="","",NORMALIZADO!CG121)</f>
        <v/>
      </c>
      <c r="K121">
        <f>IFERROR(INDEX(MATRIZ_174!$U:$U,MATCH(A121,MATRIZ_174!$A:$A,0))*100,"")</f>
        <v>100</v>
      </c>
      <c r="L121" t="str">
        <f>IFERROR(MATRIZ_174!O121,0)</f>
        <v/>
      </c>
      <c r="N121" t="str">
        <f>IFERROR(ISCAM_Score!AC122,"")</f>
        <v>⬜  Pendiente de instrumento</v>
      </c>
      <c r="O121" t="s">
        <v>247</v>
      </c>
      <c r="P121" t="str">
        <f>IFERROR(INDEX(MATRIZ_174!$C:$C,MATCH(A121,MATRIZ_174!$A:$A,0)),"")</f>
        <v>PASCO</v>
      </c>
    </row>
    <row r="122" spans="1:16" ht="16.05" customHeight="1" x14ac:dyDescent="0.3">
      <c r="A122" t="s">
        <v>327</v>
      </c>
      <c r="B122" t="s">
        <v>328</v>
      </c>
      <c r="C122" s="36" t="str">
        <f>IFERROR(ISCAM_Score!AL123,"—")</f>
        <v>—</v>
      </c>
      <c r="D122" t="str">
        <f t="shared" si="6"/>
        <v>— Sin Inst.2</v>
      </c>
      <c r="E122" t="str">
        <f t="shared" si="7"/>
        <v/>
      </c>
      <c r="F122" t="str">
        <f>IF(MATRIZ_174!L122="","",MATRIZ_174!L122)</f>
        <v/>
      </c>
      <c r="G122" t="str">
        <f>IFERROR(MATRIZ_174!M122,0)</f>
        <v/>
      </c>
      <c r="H122" t="str">
        <f>IF(NORMALIZADO!CC122="","",NORMALIZADO!CC122)</f>
        <v/>
      </c>
      <c r="I122" t="str">
        <f>IF(NORMALIZADO!CF122="","",NORMALIZADO!CF122)</f>
        <v/>
      </c>
      <c r="J122" t="str">
        <f>IF(NORMALIZADO!CG122="","",NORMALIZADO!CG122)</f>
        <v/>
      </c>
      <c r="K122">
        <f>IFERROR(INDEX(MATRIZ_174!$U:$U,MATCH(A122,MATRIZ_174!$A:$A,0))*100,"")</f>
        <v>100</v>
      </c>
      <c r="L122" t="str">
        <f>IFERROR(MATRIZ_174!O122,0)</f>
        <v/>
      </c>
      <c r="N122" t="str">
        <f>IFERROR(ISCAM_Score!AC123,"")</f>
        <v>⬜  Pendiente de instrumento</v>
      </c>
      <c r="O122" t="s">
        <v>117</v>
      </c>
      <c r="P122" t="str">
        <f>IFERROR(INDEX(MATRIZ_174!$C:$C,MATCH(A122,MATRIZ_174!$A:$A,0)),"")</f>
        <v>HUANUCO</v>
      </c>
    </row>
    <row r="123" spans="1:16" ht="16.05" customHeight="1" x14ac:dyDescent="0.3">
      <c r="A123" t="s">
        <v>329</v>
      </c>
      <c r="B123" t="s">
        <v>330</v>
      </c>
      <c r="C123" s="36" t="str">
        <f>IFERROR(ISCAM_Score!AL124,"—")</f>
        <v>—</v>
      </c>
      <c r="D123" t="str">
        <f t="shared" si="6"/>
        <v>— Sin Inst.2</v>
      </c>
      <c r="E123" t="str">
        <f t="shared" si="7"/>
        <v/>
      </c>
      <c r="F123" t="str">
        <f>IF(MATRIZ_174!L123="","",MATRIZ_174!L123)</f>
        <v/>
      </c>
      <c r="G123" t="str">
        <f>IFERROR(MATRIZ_174!M123,0)</f>
        <v/>
      </c>
      <c r="H123" t="str">
        <f>IF(NORMALIZADO!CC123="","",NORMALIZADO!CC123)</f>
        <v/>
      </c>
      <c r="I123" t="str">
        <f>IF(NORMALIZADO!CF123="","",NORMALIZADO!CF123)</f>
        <v/>
      </c>
      <c r="J123" t="str">
        <f>IF(NORMALIZADO!CG123="","",NORMALIZADO!CG123)</f>
        <v/>
      </c>
      <c r="K123">
        <f>IFERROR(INDEX(MATRIZ_174!$U:$U,MATCH(A123,MATRIZ_174!$A:$A,0))*100,"")</f>
        <v>100</v>
      </c>
      <c r="L123" t="str">
        <f>IFERROR(MATRIZ_174!O123,0)</f>
        <v/>
      </c>
      <c r="N123" t="str">
        <f>IFERROR(ISCAM_Score!AC124,"")</f>
        <v>⬜  Pendiente de instrumento</v>
      </c>
      <c r="O123" t="s">
        <v>75</v>
      </c>
      <c r="P123" t="str">
        <f>IFERROR(INDEX(MATRIZ_174!$C:$C,MATCH(A123,MATRIZ_174!$A:$A,0)),"")</f>
        <v>JUNIN</v>
      </c>
    </row>
    <row r="124" spans="1:16" ht="16.05" customHeight="1" x14ac:dyDescent="0.3">
      <c r="A124" t="s">
        <v>331</v>
      </c>
      <c r="B124" t="s">
        <v>332</v>
      </c>
      <c r="C124" s="36" t="str">
        <f>IFERROR(ISCAM_Score!AL125,"—")</f>
        <v>—</v>
      </c>
      <c r="D124" t="str">
        <f t="shared" si="6"/>
        <v>— Sin Inst.2</v>
      </c>
      <c r="E124" t="str">
        <f t="shared" si="7"/>
        <v/>
      </c>
      <c r="F124">
        <f>IF(MATRIZ_174!L124="","",MATRIZ_174!L124)</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IFERROR(MATRIZ_174!O124,0)</f>
        <v>1</v>
      </c>
      <c r="N124" t="str">
        <f>IFERROR(ISCAM_Score!AC125,"")</f>
        <v>⬜  Pendiente de instrumento</v>
      </c>
      <c r="O124" t="s">
        <v>110</v>
      </c>
      <c r="P124" t="str">
        <f>IFERROR(INDEX(MATRIZ_174!$C:$C,MATCH(A124,MATRIZ_174!$A:$A,0)),"")</f>
        <v>AMAZONAS</v>
      </c>
    </row>
    <row r="125" spans="1:16" ht="16.05" customHeight="1" x14ac:dyDescent="0.3">
      <c r="A125" t="s">
        <v>334</v>
      </c>
      <c r="B125" t="s">
        <v>335</v>
      </c>
      <c r="C125" s="36" t="str">
        <f>IFERROR(ISCAM_Score!AL126,"—")</f>
        <v>—</v>
      </c>
      <c r="D125" t="str">
        <f t="shared" si="6"/>
        <v>— Sin Inst.2</v>
      </c>
      <c r="E125" t="str">
        <f t="shared" si="7"/>
        <v/>
      </c>
      <c r="F125" t="str">
        <f>IF(MATRIZ_174!L125="","",MATRIZ_174!L125)</f>
        <v/>
      </c>
      <c r="G125" t="str">
        <f>IFERROR(MATRIZ_174!M125,0)</f>
        <v/>
      </c>
      <c r="H125" t="str">
        <f>IF(NORMALIZADO!CC125="","",NORMALIZADO!CC125)</f>
        <v/>
      </c>
      <c r="I125" t="str">
        <f>IF(NORMALIZADO!CF125="","",NORMALIZADO!CF125)</f>
        <v/>
      </c>
      <c r="J125" t="str">
        <f>IF(NORMALIZADO!CG125="","",NORMALIZADO!CG125)</f>
        <v/>
      </c>
      <c r="K125">
        <f>IFERROR(INDEX(MATRIZ_174!$U:$U,MATCH(A125,MATRIZ_174!$A:$A,0))*100,"")</f>
        <v>100</v>
      </c>
      <c r="L125" t="str">
        <f>IFERROR(MATRIZ_174!O125,0)</f>
        <v/>
      </c>
      <c r="N125" t="str">
        <f>IFERROR(ISCAM_Score!AC126,"")</f>
        <v>⬜  Pendiente de instrumento</v>
      </c>
      <c r="O125" t="s">
        <v>75</v>
      </c>
      <c r="P125" t="str">
        <f>IFERROR(INDEX(MATRIZ_174!$C:$C,MATCH(A125,MATRIZ_174!$A:$A,0)),"")</f>
        <v>JUNIN</v>
      </c>
    </row>
    <row r="126" spans="1:16" ht="16.05" customHeight="1" x14ac:dyDescent="0.3">
      <c r="A126" t="s">
        <v>336</v>
      </c>
      <c r="B126" t="s">
        <v>337</v>
      </c>
      <c r="C126" s="36" t="str">
        <f>IFERROR(ISCAM_Score!AL127,"—")</f>
        <v>—</v>
      </c>
      <c r="D126" t="str">
        <f t="shared" si="6"/>
        <v>— Sin Inst.2</v>
      </c>
      <c r="E126" t="str">
        <f t="shared" si="7"/>
        <v/>
      </c>
      <c r="F126" t="str">
        <f>IF(MATRIZ_174!L126="","",MATRIZ_174!L126)</f>
        <v/>
      </c>
      <c r="G126" t="str">
        <f>IFERROR(MATRIZ_174!M126,0)</f>
        <v/>
      </c>
      <c r="H126" t="str">
        <f>IF(NORMALIZADO!CC126="","",NORMALIZADO!CC126)</f>
        <v/>
      </c>
      <c r="I126" t="str">
        <f>IF(NORMALIZADO!CF126="","",NORMALIZADO!CF126)</f>
        <v/>
      </c>
      <c r="J126" t="str">
        <f>IF(NORMALIZADO!CG126="","",NORMALIZADO!CG126)</f>
        <v/>
      </c>
      <c r="K126">
        <f>IFERROR(INDEX(MATRIZ_174!$U:$U,MATCH(A126,MATRIZ_174!$A:$A,0))*100,"")</f>
        <v>100</v>
      </c>
      <c r="L126" t="str">
        <f>IFERROR(MATRIZ_174!O126,0)</f>
        <v/>
      </c>
      <c r="N126" t="str">
        <f>IFERROR(ISCAM_Score!AC127,"")</f>
        <v>⬜  Pendiente de instrumento</v>
      </c>
      <c r="O126" t="s">
        <v>75</v>
      </c>
      <c r="P126" t="str">
        <f>IFERROR(INDEX(MATRIZ_174!$C:$C,MATCH(A126,MATRIZ_174!$A:$A,0)),"")</f>
        <v>JUNIN</v>
      </c>
    </row>
    <row r="127" spans="1:16" ht="16.05" customHeight="1" x14ac:dyDescent="0.3">
      <c r="A127" t="s">
        <v>338</v>
      </c>
      <c r="B127" t="s">
        <v>339</v>
      </c>
      <c r="C127" s="36" t="str">
        <f>IFERROR(ISCAM_Score!AL128,"—")</f>
        <v>—</v>
      </c>
      <c r="D127" t="str">
        <f t="shared" si="6"/>
        <v>— Sin Inst.2</v>
      </c>
      <c r="E127" t="str">
        <f t="shared" si="7"/>
        <v/>
      </c>
      <c r="F127" t="str">
        <f>IF(MATRIZ_174!L127="","",MATRIZ_174!L127)</f>
        <v/>
      </c>
      <c r="G127" t="str">
        <f>IFERROR(MATRIZ_174!M127,0)</f>
        <v/>
      </c>
      <c r="H127" t="str">
        <f>IF(NORMALIZADO!CC127="","",NORMALIZADO!CC127)</f>
        <v/>
      </c>
      <c r="I127" t="str">
        <f>IF(NORMALIZADO!CF127="","",NORMALIZADO!CF127)</f>
        <v/>
      </c>
      <c r="J127" t="str">
        <f>IF(NORMALIZADO!CG127="","",NORMALIZADO!CG127)</f>
        <v/>
      </c>
      <c r="K127">
        <f>IFERROR(INDEX(MATRIZ_174!$U:$U,MATCH(A127,MATRIZ_174!$A:$A,0))*100,"")</f>
        <v>100</v>
      </c>
      <c r="L127" t="str">
        <f>IFERROR(MATRIZ_174!O127,0)</f>
        <v/>
      </c>
      <c r="N127" t="str">
        <f>IFERROR(ISCAM_Score!AC128,"")</f>
        <v>⬜  Pendiente de instrumento</v>
      </c>
      <c r="O127" t="s">
        <v>75</v>
      </c>
      <c r="P127" t="str">
        <f>IFERROR(INDEX(MATRIZ_174!$C:$C,MATCH(A127,MATRIZ_174!$A:$A,0)),"")</f>
        <v>JUNIN</v>
      </c>
    </row>
    <row r="128" spans="1:16" ht="16.05" customHeight="1" x14ac:dyDescent="0.3">
      <c r="A128" t="s">
        <v>340</v>
      </c>
      <c r="B128" t="s">
        <v>341</v>
      </c>
      <c r="C128" s="36" t="str">
        <f>IFERROR(ISCAM_Score!AL129,"—")</f>
        <v>—</v>
      </c>
      <c r="D128" t="str">
        <f t="shared" si="6"/>
        <v>— Sin Inst.2</v>
      </c>
      <c r="E128" t="str">
        <f t="shared" si="7"/>
        <v/>
      </c>
      <c r="F128">
        <f>IF(MATRIZ_174!L128="","",MATRIZ_174!L128)</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t="str">
        <f>IFERROR(MATRIZ_174!O128,0)</f>
        <v/>
      </c>
      <c r="N128" t="str">
        <f>IFERROR(ISCAM_Score!AC129,"")</f>
        <v>⬜  Pendiente de instrumento</v>
      </c>
      <c r="O128" t="s">
        <v>110</v>
      </c>
      <c r="P128" t="str">
        <f>IFERROR(INDEX(MATRIZ_174!$C:$C,MATCH(A128,MATRIZ_174!$A:$A,0)),"")</f>
        <v>AMAZONAS</v>
      </c>
    </row>
    <row r="129" spans="1:16" ht="16.05" customHeight="1" x14ac:dyDescent="0.3">
      <c r="A129" t="s">
        <v>342</v>
      </c>
      <c r="B129" t="s">
        <v>343</v>
      </c>
      <c r="C129" s="36" t="str">
        <f>IFERROR(ISCAM_Score!AL130,"—")</f>
        <v>—</v>
      </c>
      <c r="D129" t="str">
        <f t="shared" si="6"/>
        <v>— Sin Inst.2</v>
      </c>
      <c r="E129" t="str">
        <f t="shared" si="7"/>
        <v/>
      </c>
      <c r="F129" t="str">
        <f>IF(MATRIZ_174!L129="","",MATRIZ_174!L129)</f>
        <v/>
      </c>
      <c r="G129" t="str">
        <f>IFERROR(MATRIZ_174!M129,0)</f>
        <v/>
      </c>
      <c r="H129" t="str">
        <f>IF(NORMALIZADO!CC129="","",NORMALIZADO!CC129)</f>
        <v/>
      </c>
      <c r="I129" t="str">
        <f>IF(NORMALIZADO!CF129="","",NORMALIZADO!CF129)</f>
        <v/>
      </c>
      <c r="J129" t="str">
        <f>IF(NORMALIZADO!CG129="","",NORMALIZADO!CG129)</f>
        <v/>
      </c>
      <c r="K129">
        <f>IFERROR(INDEX(MATRIZ_174!$U:$U,MATCH(A129,MATRIZ_174!$A:$A,0))*100,"")</f>
        <v>100</v>
      </c>
      <c r="L129" t="str">
        <f>IFERROR(MATRIZ_174!O129,0)</f>
        <v/>
      </c>
      <c r="N129" t="str">
        <f>IFERROR(ISCAM_Score!AC130,"")</f>
        <v>⬜  Pendiente de instrumento</v>
      </c>
      <c r="O129" t="s">
        <v>107</v>
      </c>
      <c r="P129" t="str">
        <f>IFERROR(INDEX(MATRIZ_174!$C:$C,MATCH(A129,MATRIZ_174!$A:$A,0)),"")</f>
        <v>UCAYALI</v>
      </c>
    </row>
    <row r="130" spans="1:16" ht="16.05" customHeight="1" x14ac:dyDescent="0.3">
      <c r="A130" t="s">
        <v>344</v>
      </c>
      <c r="B130" t="s">
        <v>345</v>
      </c>
      <c r="C130" s="36" t="str">
        <f>IFERROR(ISCAM_Score!AL131,"—")</f>
        <v>—</v>
      </c>
      <c r="D130" t="str">
        <f t="shared" si="6"/>
        <v>— Sin Inst.2</v>
      </c>
      <c r="E130" t="str">
        <f t="shared" si="7"/>
        <v/>
      </c>
      <c r="F130">
        <f>IF(MATRIZ_174!L130="","",MATRIZ_174!L130)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IFERROR(MATRIZ_174!O130,0)</f>
        <v>1</v>
      </c>
      <c r="N130" t="str">
        <f>IFERROR(ISCAM_Score!AC131,"")</f>
        <v>⬜  Pendiente de instrumento</v>
      </c>
      <c r="O130" t="s">
        <v>247</v>
      </c>
      <c r="P130" t="str">
        <f>IFERROR(INDEX(MATRIZ_174!$C:$C,MATCH(A130,MATRIZ_174!$A:$A,0)),"")</f>
        <v>PASCO</v>
      </c>
    </row>
    <row r="131" spans="1:16" ht="16.05" customHeight="1" x14ac:dyDescent="0.3">
      <c r="A131" t="s">
        <v>347</v>
      </c>
      <c r="B131" t="s">
        <v>348</v>
      </c>
      <c r="C131" s="36" t="str">
        <f>IFERROR(ISCAM_Score!AL132,"—")</f>
        <v>—</v>
      </c>
      <c r="D131" t="str">
        <f t="shared" ref="D131:D162" si="8">IF(C131="—","— Sin Inst.2",IF(C131&lt;34,"🔴  Crítico",IF(C131&lt;67,"🟡  Vulnerable","🟢  Preparado")))</f>
        <v>— Sin Inst.2</v>
      </c>
      <c r="E131" t="str">
        <f t="shared" ref="E131:E162" si="9">IFERROR(RANK(C131,C:C,-1),"")</f>
        <v/>
      </c>
      <c r="F131" t="str">
        <f>IF(MATRIZ_174!L131="","",MATRIZ_174!L131)</f>
        <v/>
      </c>
      <c r="G131" t="str">
        <f>IFERROR(MATRIZ_174!M131,0)</f>
        <v/>
      </c>
      <c r="H131" t="str">
        <f>IF(NORMALIZADO!CC131="","",NORMALIZADO!CC131)</f>
        <v/>
      </c>
      <c r="I131" t="str">
        <f>IF(NORMALIZADO!CF131="","",NORMALIZADO!CF131)</f>
        <v/>
      </c>
      <c r="J131" t="str">
        <f>IF(NORMALIZADO!CG131="","",NORMALIZADO!CG131)</f>
        <v/>
      </c>
      <c r="K131">
        <f>IFERROR(INDEX(MATRIZ_174!$U:$U,MATCH(A131,MATRIZ_174!$A:$A,0))*100,"")</f>
        <v>100</v>
      </c>
      <c r="L131" t="str">
        <f>IFERROR(MATRIZ_174!O131,0)</f>
        <v/>
      </c>
      <c r="N131" t="str">
        <f>IFERROR(ISCAM_Score!AC132,"")</f>
        <v>⬜  Pendiente de instrumento</v>
      </c>
      <c r="O131" t="s">
        <v>75</v>
      </c>
      <c r="P131" t="str">
        <f>IFERROR(INDEX(MATRIZ_174!$C:$C,MATCH(A131,MATRIZ_174!$A:$A,0)),"")</f>
        <v>JUNIN</v>
      </c>
    </row>
    <row r="132" spans="1:16" ht="16.05" customHeight="1" x14ac:dyDescent="0.3">
      <c r="A132" t="s">
        <v>349</v>
      </c>
      <c r="B132" t="s">
        <v>350</v>
      </c>
      <c r="C132" s="36" t="str">
        <f>IFERROR(ISCAM_Score!AL133,"—")</f>
        <v>—</v>
      </c>
      <c r="D132" t="str">
        <f t="shared" si="8"/>
        <v>— Sin Inst.2</v>
      </c>
      <c r="E132" t="str">
        <f t="shared" si="9"/>
        <v/>
      </c>
      <c r="F132" t="str">
        <f>IF(MATRIZ_174!L132="","",MATRIZ_174!L132)</f>
        <v/>
      </c>
      <c r="G132" t="str">
        <f>IFERROR(MATRIZ_174!M132,0)</f>
        <v/>
      </c>
      <c r="H132" t="str">
        <f>IF(NORMALIZADO!CC132="","",NORMALIZADO!CC132)</f>
        <v/>
      </c>
      <c r="I132" t="str">
        <f>IF(NORMALIZADO!CF132="","",NORMALIZADO!CF132)</f>
        <v/>
      </c>
      <c r="J132" t="str">
        <f>IF(NORMALIZADO!CG132="","",NORMALIZADO!CG132)</f>
        <v/>
      </c>
      <c r="K132">
        <f>IFERROR(INDEX(MATRIZ_174!$U:$U,MATCH(A132,MATRIZ_174!$A:$A,0))*100,"")</f>
        <v>100</v>
      </c>
      <c r="L132" t="str">
        <f>IFERROR(MATRIZ_174!O132,0)</f>
        <v/>
      </c>
      <c r="N132" t="str">
        <f>IFERROR(ISCAM_Score!AC133,"")</f>
        <v>⬜  Pendiente de instrumento</v>
      </c>
      <c r="O132" t="s">
        <v>107</v>
      </c>
      <c r="P132" t="str">
        <f>IFERROR(INDEX(MATRIZ_174!$C:$C,MATCH(A132,MATRIZ_174!$A:$A,0)),"")</f>
        <v>UCAYALI</v>
      </c>
    </row>
    <row r="133" spans="1:16" ht="16.05" customHeight="1" x14ac:dyDescent="0.3">
      <c r="A133" t="s">
        <v>351</v>
      </c>
      <c r="B133" t="s">
        <v>352</v>
      </c>
      <c r="C133" s="36" t="str">
        <f>IFERROR(ISCAM_Score!AL134,"—")</f>
        <v>—</v>
      </c>
      <c r="D133" t="str">
        <f t="shared" si="8"/>
        <v>— Sin Inst.2</v>
      </c>
      <c r="E133" t="str">
        <f t="shared" si="9"/>
        <v/>
      </c>
      <c r="F133" t="str">
        <f>IF(MATRIZ_174!L133="","",MATRIZ_174!L133)</f>
        <v/>
      </c>
      <c r="G133" t="str">
        <f>IFERROR(MATRIZ_174!M133,0)</f>
        <v/>
      </c>
      <c r="H133" t="str">
        <f>IF(NORMALIZADO!CC133="","",NORMALIZADO!CC133)</f>
        <v/>
      </c>
      <c r="I133" t="str">
        <f>IF(NORMALIZADO!CF133="","",NORMALIZADO!CF133)</f>
        <v/>
      </c>
      <c r="J133" t="str">
        <f>IF(NORMALIZADO!CG133="","",NORMALIZADO!CG133)</f>
        <v/>
      </c>
      <c r="K133">
        <f>IFERROR(INDEX(MATRIZ_174!$U:$U,MATCH(A133,MATRIZ_174!$A:$A,0))*100,"")</f>
        <v>100</v>
      </c>
      <c r="L133" t="str">
        <f>IFERROR(MATRIZ_174!O133,0)</f>
        <v/>
      </c>
      <c r="N133" t="str">
        <f>IFERROR(ISCAM_Score!AC134,"")</f>
        <v>⬜  Pendiente de instrumento</v>
      </c>
      <c r="O133" t="s">
        <v>101</v>
      </c>
      <c r="P133" t="str">
        <f>IFERROR(INDEX(MATRIZ_174!$C:$C,MATCH(A133,MATRIZ_174!$A:$A,0)),"")</f>
        <v>PIURA</v>
      </c>
    </row>
    <row r="134" spans="1:16" ht="16.05" customHeight="1" x14ac:dyDescent="0.3">
      <c r="A134" t="s">
        <v>353</v>
      </c>
      <c r="B134" t="s">
        <v>354</v>
      </c>
      <c r="C134" s="36" t="str">
        <f>IFERROR(ISCAM_Score!AL135,"—")</f>
        <v>—</v>
      </c>
      <c r="D134" t="str">
        <f t="shared" si="8"/>
        <v>— Sin Inst.2</v>
      </c>
      <c r="E134" t="str">
        <f t="shared" si="9"/>
        <v/>
      </c>
      <c r="F134" t="str">
        <f>IF(MATRIZ_174!L134="","",MATRIZ_174!L134)</f>
        <v/>
      </c>
      <c r="G134" t="str">
        <f>IFERROR(MATRIZ_174!M134,0)</f>
        <v/>
      </c>
      <c r="H134" t="str">
        <f>IF(NORMALIZADO!CC134="","",NORMALIZADO!CC134)</f>
        <v/>
      </c>
      <c r="I134" t="str">
        <f>IF(NORMALIZADO!CF134="","",NORMALIZADO!CF134)</f>
        <v/>
      </c>
      <c r="J134" t="str">
        <f>IF(NORMALIZADO!CG134="","",NORMALIZADO!CG134)</f>
        <v/>
      </c>
      <c r="K134">
        <f>IFERROR(INDEX(MATRIZ_174!$U:$U,MATCH(A134,MATRIZ_174!$A:$A,0))*100,"")</f>
        <v>100</v>
      </c>
      <c r="L134">
        <f>IFERROR(MATRIZ_174!O134,0)</f>
        <v>1</v>
      </c>
      <c r="N134" t="str">
        <f>IFERROR(ISCAM_Score!AC135,"")</f>
        <v>⬜  Pendiente de instrumento</v>
      </c>
      <c r="O134" t="s">
        <v>75</v>
      </c>
      <c r="P134" t="str">
        <f>IFERROR(INDEX(MATRIZ_174!$C:$C,MATCH(A134,MATRIZ_174!$A:$A,0)),"")</f>
        <v>JUNIN</v>
      </c>
    </row>
    <row r="135" spans="1:16" ht="16.05" customHeight="1" x14ac:dyDescent="0.3">
      <c r="A135" t="s">
        <v>356</v>
      </c>
      <c r="B135" t="s">
        <v>357</v>
      </c>
      <c r="C135" s="36" t="str">
        <f>IFERROR(ISCAM_Score!AL136,"—")</f>
        <v>—</v>
      </c>
      <c r="D135" t="str">
        <f t="shared" si="8"/>
        <v>— Sin Inst.2</v>
      </c>
      <c r="E135" t="str">
        <f t="shared" si="9"/>
        <v/>
      </c>
      <c r="F135">
        <f>IF(MATRIZ_174!L135="","",MATRIZ_174!L135)</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IFERROR(MATRIZ_174!O135,0)</f>
        <v>1</v>
      </c>
      <c r="N135" t="str">
        <f>IFERROR(ISCAM_Score!AC136,"")</f>
        <v>⬜  Pendiente de instrumento</v>
      </c>
      <c r="O135" t="s">
        <v>137</v>
      </c>
      <c r="P135" t="str">
        <f>IFERROR(INDEX(MATRIZ_174!$C:$C,MATCH(A135,MATRIZ_174!$A:$A,0)),"")</f>
        <v>SAN MARTIN</v>
      </c>
    </row>
    <row r="136" spans="1:16" ht="16.05" customHeight="1" x14ac:dyDescent="0.3">
      <c r="A136" t="s">
        <v>359</v>
      </c>
      <c r="B136" t="s">
        <v>360</v>
      </c>
      <c r="C136" s="36" t="str">
        <f>IFERROR(ISCAM_Score!AL137,"—")</f>
        <v>—</v>
      </c>
      <c r="D136" t="str">
        <f t="shared" si="8"/>
        <v>— Sin Inst.2</v>
      </c>
      <c r="E136" t="str">
        <f t="shared" si="9"/>
        <v/>
      </c>
      <c r="F136" t="str">
        <f>IF(MATRIZ_174!L136="","",MATRIZ_174!L136)</f>
        <v/>
      </c>
      <c r="G136" t="str">
        <f>IFERROR(MATRIZ_174!M136,0)</f>
        <v/>
      </c>
      <c r="H136" t="str">
        <f>IF(NORMALIZADO!CC136="","",NORMALIZADO!CC136)</f>
        <v/>
      </c>
      <c r="I136" t="str">
        <f>IF(NORMALIZADO!CF136="","",NORMALIZADO!CF136)</f>
        <v/>
      </c>
      <c r="J136" t="str">
        <f>IF(NORMALIZADO!CG136="","",NORMALIZADO!CG136)</f>
        <v/>
      </c>
      <c r="K136">
        <f>IFERROR(INDEX(MATRIZ_174!$U:$U,MATCH(A136,MATRIZ_174!$A:$A,0))*100,"")</f>
        <v>100</v>
      </c>
      <c r="L136" t="str">
        <f>IFERROR(MATRIZ_174!O136,0)</f>
        <v/>
      </c>
      <c r="N136" t="str">
        <f>IFERROR(ISCAM_Score!AC137,"")</f>
        <v>⬜  Pendiente de instrumento</v>
      </c>
      <c r="O136" t="s">
        <v>75</v>
      </c>
      <c r="P136" t="str">
        <f>IFERROR(INDEX(MATRIZ_174!$C:$C,MATCH(A136,MATRIZ_174!$A:$A,0)),"")</f>
        <v>JUNIN</v>
      </c>
    </row>
    <row r="137" spans="1:16" ht="16.05" customHeight="1" x14ac:dyDescent="0.3">
      <c r="A137" t="s">
        <v>361</v>
      </c>
      <c r="B137" t="s">
        <v>362</v>
      </c>
      <c r="C137" s="36" t="str">
        <f>IFERROR(ISCAM_Score!AL138,"—")</f>
        <v>—</v>
      </c>
      <c r="D137" t="str">
        <f t="shared" si="8"/>
        <v>— Sin Inst.2</v>
      </c>
      <c r="E137" t="str">
        <f t="shared" si="9"/>
        <v/>
      </c>
      <c r="F137" t="str">
        <f>IF(MATRIZ_174!L137="","",MATRIZ_174!L137)</f>
        <v/>
      </c>
      <c r="G137" t="str">
        <f>IFERROR(MATRIZ_174!M137,0)</f>
        <v/>
      </c>
      <c r="H137" t="str">
        <f>IF(NORMALIZADO!CC137="","",NORMALIZADO!CC137)</f>
        <v/>
      </c>
      <c r="I137" t="str">
        <f>IF(NORMALIZADO!CF137="","",NORMALIZADO!CF137)</f>
        <v/>
      </c>
      <c r="J137" t="str">
        <f>IF(NORMALIZADO!CG137="","",NORMALIZADO!CG137)</f>
        <v/>
      </c>
      <c r="K137">
        <f>IFERROR(INDEX(MATRIZ_174!$U:$U,MATCH(A137,MATRIZ_174!$A:$A,0))*100,"")</f>
        <v>100</v>
      </c>
      <c r="L137" t="str">
        <f>IFERROR(MATRIZ_174!O137,0)</f>
        <v/>
      </c>
      <c r="N137" t="str">
        <f>IFERROR(ISCAM_Score!AC138,"")</f>
        <v>⬜  Pendiente de instrumento</v>
      </c>
      <c r="O137" t="s">
        <v>78</v>
      </c>
      <c r="P137" t="str">
        <f>IFERROR(INDEX(MATRIZ_174!$C:$C,MATCH(A137,MATRIZ_174!$A:$A,0)),"")</f>
        <v>CUSCO</v>
      </c>
    </row>
    <row r="138" spans="1:16" ht="16.05" customHeight="1" x14ac:dyDescent="0.3">
      <c r="A138" t="s">
        <v>363</v>
      </c>
      <c r="B138" t="s">
        <v>364</v>
      </c>
      <c r="C138" s="36" t="str">
        <f>IFERROR(ISCAM_Score!AL139,"—")</f>
        <v>—</v>
      </c>
      <c r="D138" t="str">
        <f t="shared" si="8"/>
        <v>— Sin Inst.2</v>
      </c>
      <c r="E138" t="str">
        <f t="shared" si="9"/>
        <v/>
      </c>
      <c r="F138">
        <f>IF(MATRIZ_174!L138="","",MATRIZ_174!L138)</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t="str">
        <f>IFERROR(MATRIZ_174!O138,0)</f>
        <v/>
      </c>
      <c r="N138" t="str">
        <f>IFERROR(ISCAM_Score!AC139,"")</f>
        <v>⬜  Pendiente de instrumento</v>
      </c>
      <c r="O138" t="s">
        <v>110</v>
      </c>
      <c r="P138" t="str">
        <f>IFERROR(INDEX(MATRIZ_174!$C:$C,MATCH(A138,MATRIZ_174!$A:$A,0)),"")</f>
        <v>AMAZONAS</v>
      </c>
    </row>
    <row r="139" spans="1:16" ht="16.05" customHeight="1" x14ac:dyDescent="0.3">
      <c r="A139" t="s">
        <v>365</v>
      </c>
      <c r="B139" t="s">
        <v>366</v>
      </c>
      <c r="C139" s="36" t="str">
        <f>IFERROR(ISCAM_Score!AL140,"—")</f>
        <v>—</v>
      </c>
      <c r="D139" t="str">
        <f t="shared" si="8"/>
        <v>— Sin Inst.2</v>
      </c>
      <c r="E139" t="str">
        <f t="shared" si="9"/>
        <v/>
      </c>
      <c r="F139" t="str">
        <f>IF(MATRIZ_174!L139="","",MATRIZ_174!L139)</f>
        <v/>
      </c>
      <c r="G139" t="str">
        <f>IFERROR(MATRIZ_174!M139,0)</f>
        <v/>
      </c>
      <c r="H139" t="str">
        <f>IF(NORMALIZADO!CC139="","",NORMALIZADO!CC139)</f>
        <v/>
      </c>
      <c r="I139" t="str">
        <f>IF(NORMALIZADO!CF139="","",NORMALIZADO!CF139)</f>
        <v/>
      </c>
      <c r="J139" t="str">
        <f>IF(NORMALIZADO!CG139="","",NORMALIZADO!CG139)</f>
        <v/>
      </c>
      <c r="K139">
        <f>IFERROR(INDEX(MATRIZ_174!$U:$U,MATCH(A139,MATRIZ_174!$A:$A,0))*100,"")</f>
        <v>100</v>
      </c>
      <c r="L139" t="str">
        <f>IFERROR(MATRIZ_174!O139,0)</f>
        <v/>
      </c>
      <c r="N139" t="str">
        <f>IFERROR(ISCAM_Score!AC140,"")</f>
        <v>⬜  Pendiente de instrumento</v>
      </c>
      <c r="O139" t="s">
        <v>190</v>
      </c>
      <c r="P139" t="str">
        <f>IFERROR(INDEX(MATRIZ_174!$C:$C,MATCH(A139,MATRIZ_174!$A:$A,0)),"")</f>
        <v>LORETO</v>
      </c>
    </row>
    <row r="140" spans="1:16" ht="16.05" customHeight="1" x14ac:dyDescent="0.3">
      <c r="A140" t="s">
        <v>367</v>
      </c>
      <c r="B140" t="s">
        <v>368</v>
      </c>
      <c r="C140" s="36" t="str">
        <f>IFERROR(ISCAM_Score!AL141,"—")</f>
        <v>—</v>
      </c>
      <c r="D140" t="str">
        <f t="shared" si="8"/>
        <v>— Sin Inst.2</v>
      </c>
      <c r="E140" t="str">
        <f t="shared" si="9"/>
        <v/>
      </c>
      <c r="F140">
        <f>IF(MATRIZ_174!L140="","",MATRIZ_174!L140)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t="str">
        <f>IFERROR(MATRIZ_174!O140,0)</f>
        <v/>
      </c>
      <c r="N140" t="str">
        <f>IFERROR(ISCAM_Score!AC141,"")</f>
        <v>⬜  Pendiente de instrumento</v>
      </c>
      <c r="O140" t="s">
        <v>75</v>
      </c>
      <c r="P140" t="str">
        <f>IFERROR(INDEX(MATRIZ_174!$C:$C,MATCH(A140,MATRIZ_174!$A:$A,0)),"")</f>
        <v>JUNIN</v>
      </c>
    </row>
    <row r="141" spans="1:16" ht="16.05" customHeight="1" x14ac:dyDescent="0.3">
      <c r="A141" t="s">
        <v>369</v>
      </c>
      <c r="B141" t="s">
        <v>370</v>
      </c>
      <c r="C141" s="36" t="str">
        <f>IFERROR(ISCAM_Score!AL142,"—")</f>
        <v>—</v>
      </c>
      <c r="D141" t="str">
        <f t="shared" si="8"/>
        <v>— Sin Inst.2</v>
      </c>
      <c r="E141" t="str">
        <f t="shared" si="9"/>
        <v/>
      </c>
      <c r="F141" t="str">
        <f>IF(MATRIZ_174!L141="","",MATRIZ_174!L141)</f>
        <v/>
      </c>
      <c r="G141" t="str">
        <f>IFERROR(MATRIZ_174!M141,0)</f>
        <v/>
      </c>
      <c r="H141" t="str">
        <f>IF(NORMALIZADO!CC141="","",NORMALIZADO!CC141)</f>
        <v/>
      </c>
      <c r="I141" t="str">
        <f>IF(NORMALIZADO!CF141="","",NORMALIZADO!CF141)</f>
        <v/>
      </c>
      <c r="J141" t="str">
        <f>IF(NORMALIZADO!CG141="","",NORMALIZADO!CG141)</f>
        <v/>
      </c>
      <c r="K141">
        <f>IFERROR(INDEX(MATRIZ_174!$U:$U,MATCH(A141,MATRIZ_174!$A:$A,0))*100,"")</f>
        <v>100</v>
      </c>
      <c r="L141" t="str">
        <f>IFERROR(MATRIZ_174!O141,0)</f>
        <v/>
      </c>
      <c r="N141" t="str">
        <f>IFERROR(ISCAM_Score!AC142,"")</f>
        <v>⬜  Pendiente de instrumento</v>
      </c>
      <c r="O141" t="s">
        <v>78</v>
      </c>
      <c r="P141" t="str">
        <f>IFERROR(INDEX(MATRIZ_174!$C:$C,MATCH(A141,MATRIZ_174!$A:$A,0)),"")</f>
        <v>CUSCO</v>
      </c>
    </row>
    <row r="142" spans="1:16" ht="16.05" customHeight="1" x14ac:dyDescent="0.3">
      <c r="A142" t="s">
        <v>371</v>
      </c>
      <c r="B142" t="s">
        <v>372</v>
      </c>
      <c r="C142" s="36" t="str">
        <f>IFERROR(ISCAM_Score!AL143,"—")</f>
        <v>—</v>
      </c>
      <c r="D142" t="str">
        <f t="shared" si="8"/>
        <v>— Sin Inst.2</v>
      </c>
      <c r="E142" t="str">
        <f t="shared" si="9"/>
        <v/>
      </c>
      <c r="F142" t="str">
        <f>IF(MATRIZ_174!L142="","",MATRIZ_174!L142)</f>
        <v/>
      </c>
      <c r="G142" t="str">
        <f>IFERROR(MATRIZ_174!M142,0)</f>
        <v/>
      </c>
      <c r="H142" t="str">
        <f>IF(NORMALIZADO!CC142="","",NORMALIZADO!CC142)</f>
        <v/>
      </c>
      <c r="I142" t="str">
        <f>IF(NORMALIZADO!CF142="","",NORMALIZADO!CF142)</f>
        <v/>
      </c>
      <c r="J142" t="str">
        <f>IF(NORMALIZADO!CG142="","",NORMALIZADO!CG142)</f>
        <v/>
      </c>
      <c r="K142">
        <f>IFERROR(INDEX(MATRIZ_174!$U:$U,MATCH(A142,MATRIZ_174!$A:$A,0))*100,"")</f>
        <v>100</v>
      </c>
      <c r="L142" t="str">
        <f>IFERROR(MATRIZ_174!O142,0)</f>
        <v/>
      </c>
      <c r="N142" t="str">
        <f>IFERROR(ISCAM_Score!AC143,"")</f>
        <v>⬜  Pendiente de instrumento</v>
      </c>
      <c r="O142" t="s">
        <v>78</v>
      </c>
      <c r="P142" t="str">
        <f>IFERROR(INDEX(MATRIZ_174!$C:$C,MATCH(A142,MATRIZ_174!$A:$A,0)),"")</f>
        <v>CUSCO</v>
      </c>
    </row>
    <row r="143" spans="1:16" ht="16.05" customHeight="1" x14ac:dyDescent="0.3">
      <c r="A143" t="s">
        <v>373</v>
      </c>
      <c r="B143" t="s">
        <v>374</v>
      </c>
      <c r="C143" s="36" t="str">
        <f>IFERROR(ISCAM_Score!AL144,"—")</f>
        <v>—</v>
      </c>
      <c r="D143" t="str">
        <f t="shared" si="8"/>
        <v>— Sin Inst.2</v>
      </c>
      <c r="E143" t="str">
        <f t="shared" si="9"/>
        <v/>
      </c>
      <c r="F143">
        <f>IF(MATRIZ_174!L143="","",MATRIZ_174!L143)</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IFERROR(MATRIZ_174!O143,0)</f>
        <v>1</v>
      </c>
      <c r="N143" t="str">
        <f>IFERROR(ISCAM_Score!AC144,"")</f>
        <v>⬜  Pendiente de instrumento</v>
      </c>
      <c r="O143" t="s">
        <v>137</v>
      </c>
      <c r="P143" t="str">
        <f>IFERROR(INDEX(MATRIZ_174!$C:$C,MATCH(A143,MATRIZ_174!$A:$A,0)),"")</f>
        <v>SAN MARTIN</v>
      </c>
    </row>
    <row r="144" spans="1:16" ht="16.05" customHeight="1" x14ac:dyDescent="0.3">
      <c r="A144" t="s">
        <v>375</v>
      </c>
      <c r="B144" t="s">
        <v>376</v>
      </c>
      <c r="C144" s="36" t="str">
        <f>IFERROR(ISCAM_Score!AL145,"—")</f>
        <v>—</v>
      </c>
      <c r="D144" t="str">
        <f t="shared" si="8"/>
        <v>— Sin Inst.2</v>
      </c>
      <c r="E144" t="str">
        <f t="shared" si="9"/>
        <v/>
      </c>
      <c r="F144" t="str">
        <f>IF(MATRIZ_174!L144="","",MATRIZ_174!L144)</f>
        <v/>
      </c>
      <c r="G144" t="str">
        <f>IFERROR(MATRIZ_174!M144,0)</f>
        <v/>
      </c>
      <c r="H144" t="str">
        <f>IF(NORMALIZADO!CC144="","",NORMALIZADO!CC144)</f>
        <v/>
      </c>
      <c r="I144" t="str">
        <f>IF(NORMALIZADO!CF144="","",NORMALIZADO!CF144)</f>
        <v/>
      </c>
      <c r="J144" t="str">
        <f>IF(NORMALIZADO!CG144="","",NORMALIZADO!CG144)</f>
        <v/>
      </c>
      <c r="K144">
        <f>IFERROR(INDEX(MATRIZ_174!$U:$U,MATCH(A144,MATRIZ_174!$A:$A,0))*100,"")</f>
        <v>100</v>
      </c>
      <c r="L144" t="str">
        <f>IFERROR(MATRIZ_174!O144,0)</f>
        <v/>
      </c>
      <c r="N144" t="str">
        <f>IFERROR(ISCAM_Score!AC145,"")</f>
        <v>⬜  Pendiente de instrumento</v>
      </c>
      <c r="O144" t="s">
        <v>78</v>
      </c>
      <c r="P144" t="str">
        <f>IFERROR(INDEX(MATRIZ_174!$C:$C,MATCH(A144,MATRIZ_174!$A:$A,0)),"")</f>
        <v>CUSCO</v>
      </c>
    </row>
    <row r="145" spans="1:16" ht="16.05" customHeight="1" x14ac:dyDescent="0.3">
      <c r="A145" t="s">
        <v>377</v>
      </c>
      <c r="B145" t="s">
        <v>378</v>
      </c>
      <c r="C145" s="36" t="str">
        <f>IFERROR(ISCAM_Score!AL146,"—")</f>
        <v>—</v>
      </c>
      <c r="D145" t="str">
        <f t="shared" si="8"/>
        <v>— Sin Inst.2</v>
      </c>
      <c r="E145" t="str">
        <f t="shared" si="9"/>
        <v/>
      </c>
      <c r="F145" t="str">
        <f>IF(MATRIZ_174!L145="","",MATRIZ_174!L145)</f>
        <v/>
      </c>
      <c r="G145" t="str">
        <f>IFERROR(MATRIZ_174!M145,0)</f>
        <v/>
      </c>
      <c r="H145" t="str">
        <f>IF(NORMALIZADO!CC145="","",NORMALIZADO!CC145)</f>
        <v/>
      </c>
      <c r="I145" t="str">
        <f>IF(NORMALIZADO!CF145="","",NORMALIZADO!CF145)</f>
        <v/>
      </c>
      <c r="J145" t="str">
        <f>IF(NORMALIZADO!CG145="","",NORMALIZADO!CG145)</f>
        <v/>
      </c>
      <c r="K145">
        <f>IFERROR(INDEX(MATRIZ_174!$U:$U,MATCH(A145,MATRIZ_174!$A:$A,0))*100,"")</f>
        <v>100</v>
      </c>
      <c r="L145" t="str">
        <f>IFERROR(MATRIZ_174!O145,0)</f>
        <v/>
      </c>
      <c r="N145" t="str">
        <f>IFERROR(ISCAM_Score!AC146,"")</f>
        <v>⬜  Pendiente de instrumento</v>
      </c>
      <c r="O145" t="s">
        <v>78</v>
      </c>
      <c r="P145" t="str">
        <f>IFERROR(INDEX(MATRIZ_174!$C:$C,MATCH(A145,MATRIZ_174!$A:$A,0)),"")</f>
        <v>CUSCO</v>
      </c>
    </row>
    <row r="146" spans="1:16" ht="16.05" customHeight="1" x14ac:dyDescent="0.3">
      <c r="A146" t="s">
        <v>379</v>
      </c>
      <c r="B146" t="s">
        <v>380</v>
      </c>
      <c r="C146" s="36" t="str">
        <f>IFERROR(ISCAM_Score!AL147,"—")</f>
        <v>—</v>
      </c>
      <c r="D146" t="str">
        <f t="shared" si="8"/>
        <v>— Sin Inst.2</v>
      </c>
      <c r="E146" t="str">
        <f t="shared" si="9"/>
        <v/>
      </c>
      <c r="F146">
        <f>IF(MATRIZ_174!L146="","",MATRIZ_174!L146)</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IFERROR(MATRIZ_174!O146,0)</f>
        <v>1</v>
      </c>
      <c r="N146" t="str">
        <f>IFERROR(ISCAM_Score!AC147,"")</f>
        <v>⬜  Pendiente de instrumento</v>
      </c>
      <c r="O146" t="s">
        <v>75</v>
      </c>
      <c r="P146" t="str">
        <f>IFERROR(INDEX(MATRIZ_174!$C:$C,MATCH(A146,MATRIZ_174!$A:$A,0)),"")</f>
        <v>JUNIN</v>
      </c>
    </row>
    <row r="147" spans="1:16" ht="16.05" customHeight="1" x14ac:dyDescent="0.3">
      <c r="A147" t="s">
        <v>381</v>
      </c>
      <c r="B147" t="s">
        <v>382</v>
      </c>
      <c r="C147" s="36" t="str">
        <f>IFERROR(ISCAM_Score!AL148,"—")</f>
        <v>—</v>
      </c>
      <c r="D147" t="str">
        <f t="shared" si="8"/>
        <v>— Sin Inst.2</v>
      </c>
      <c r="E147" t="str">
        <f t="shared" si="9"/>
        <v/>
      </c>
      <c r="F147">
        <f>IF(MATRIZ_174!L147="","",MATRIZ_174!L147)</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t="str">
        <f>IFERROR(MATRIZ_174!O147,0)</f>
        <v/>
      </c>
      <c r="N147" t="str">
        <f>IFERROR(ISCAM_Score!AC148,"")</f>
        <v>⬜  Pendiente de instrumento</v>
      </c>
      <c r="O147" t="s">
        <v>239</v>
      </c>
      <c r="P147" t="str">
        <f>IFERROR(INDEX(MATRIZ_174!$C:$C,MATCH(A147,MATRIZ_174!$A:$A,0)),"")</f>
        <v>MADRE DE DIOS</v>
      </c>
    </row>
    <row r="148" spans="1:16" ht="16.05" customHeight="1" x14ac:dyDescent="0.3">
      <c r="A148" t="s">
        <v>383</v>
      </c>
      <c r="B148" t="s">
        <v>384</v>
      </c>
      <c r="C148" s="36" t="str">
        <f>IFERROR(ISCAM_Score!AL149,"—")</f>
        <v>—</v>
      </c>
      <c r="D148" t="str">
        <f t="shared" si="8"/>
        <v>— Sin Inst.2</v>
      </c>
      <c r="E148" t="str">
        <f t="shared" si="9"/>
        <v/>
      </c>
      <c r="F148" t="str">
        <f>IF(MATRIZ_174!L148="","",MATRIZ_174!L148)</f>
        <v/>
      </c>
      <c r="G148" t="str">
        <f>IFERROR(MATRIZ_174!M148,0)</f>
        <v/>
      </c>
      <c r="H148" t="str">
        <f>IF(NORMALIZADO!CC148="","",NORMALIZADO!CC148)</f>
        <v/>
      </c>
      <c r="I148" t="str">
        <f>IF(NORMALIZADO!CF148="","",NORMALIZADO!CF148)</f>
        <v/>
      </c>
      <c r="J148" t="str">
        <f>IF(NORMALIZADO!CG148="","",NORMALIZADO!CG148)</f>
        <v/>
      </c>
      <c r="K148">
        <f>IFERROR(INDEX(MATRIZ_174!$U:$U,MATCH(A148,MATRIZ_174!$A:$A,0))*100,"")</f>
        <v>100</v>
      </c>
      <c r="L148" t="str">
        <f>IFERROR(MATRIZ_174!O148,0)</f>
        <v/>
      </c>
      <c r="N148" t="str">
        <f>IFERROR(ISCAM_Score!AC149,"")</f>
        <v>⬜  Pendiente de instrumento</v>
      </c>
      <c r="O148" t="s">
        <v>78</v>
      </c>
      <c r="P148" t="str">
        <f>IFERROR(INDEX(MATRIZ_174!$C:$C,MATCH(A148,MATRIZ_174!$A:$A,0)),"")</f>
        <v>CUSCO</v>
      </c>
    </row>
    <row r="149" spans="1:16" ht="16.05" customHeight="1" x14ac:dyDescent="0.3">
      <c r="A149" t="s">
        <v>385</v>
      </c>
      <c r="B149" t="s">
        <v>386</v>
      </c>
      <c r="C149" s="36" t="str">
        <f>IFERROR(ISCAM_Score!AL150,"—")</f>
        <v>—</v>
      </c>
      <c r="D149" t="str">
        <f t="shared" si="8"/>
        <v>— Sin Inst.2</v>
      </c>
      <c r="E149" t="str">
        <f t="shared" si="9"/>
        <v/>
      </c>
      <c r="F149">
        <f>IF(MATRIZ_174!L149="","",MATRIZ_174!L149)</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IFERROR(MATRIZ_174!O149,0)</f>
        <v>1</v>
      </c>
      <c r="N149" t="str">
        <f>IFERROR(ISCAM_Score!AC150,"")</f>
        <v>⬜  Pendiente de instrumento</v>
      </c>
      <c r="O149" t="s">
        <v>148</v>
      </c>
      <c r="P149" t="str">
        <f>IFERROR(INDEX(MATRIZ_174!$C:$C,MATCH(A149,MATRIZ_174!$A:$A,0)),"")</f>
        <v>CAJAMARCA</v>
      </c>
    </row>
    <row r="150" spans="1:16" ht="16.05" customHeight="1" x14ac:dyDescent="0.3">
      <c r="A150" t="s">
        <v>387</v>
      </c>
      <c r="B150" t="s">
        <v>388</v>
      </c>
      <c r="C150" s="36" t="str">
        <f>IFERROR(ISCAM_Score!AL151,"—")</f>
        <v>—</v>
      </c>
      <c r="D150" t="str">
        <f t="shared" si="8"/>
        <v>— Sin Inst.2</v>
      </c>
      <c r="E150" t="str">
        <f t="shared" si="9"/>
        <v/>
      </c>
      <c r="F150" t="str">
        <f>IF(MATRIZ_174!L150="","",MATRIZ_174!L150)</f>
        <v/>
      </c>
      <c r="G150" t="str">
        <f>IFERROR(MATRIZ_174!M150,0)</f>
        <v/>
      </c>
      <c r="H150" t="str">
        <f>IF(NORMALIZADO!CC150="","",NORMALIZADO!CC150)</f>
        <v/>
      </c>
      <c r="I150" t="str">
        <f>IF(NORMALIZADO!CF150="","",NORMALIZADO!CF150)</f>
        <v/>
      </c>
      <c r="J150" t="str">
        <f>IF(NORMALIZADO!CG150="","",NORMALIZADO!CG150)</f>
        <v/>
      </c>
      <c r="K150">
        <f>IFERROR(INDEX(MATRIZ_174!$U:$U,MATCH(A150,MATRIZ_174!$A:$A,0))*100,"")</f>
        <v>100</v>
      </c>
      <c r="L150" t="str">
        <f>IFERROR(MATRIZ_174!O150,0)</f>
        <v/>
      </c>
      <c r="N150" t="str">
        <f>IFERROR(ISCAM_Score!AC151,"")</f>
        <v>⬜  Pendiente de instrumento</v>
      </c>
      <c r="O150" t="s">
        <v>101</v>
      </c>
      <c r="P150" t="str">
        <f>IFERROR(INDEX(MATRIZ_174!$C:$C,MATCH(A150,MATRIZ_174!$A:$A,0)),"")</f>
        <v>PIURA</v>
      </c>
    </row>
    <row r="151" spans="1:16" ht="16.05" customHeight="1" x14ac:dyDescent="0.3">
      <c r="A151" t="s">
        <v>389</v>
      </c>
      <c r="B151" t="s">
        <v>390</v>
      </c>
      <c r="C151" s="36" t="str">
        <f>IFERROR(ISCAM_Score!AL152,"—")</f>
        <v>—</v>
      </c>
      <c r="D151" t="str">
        <f t="shared" si="8"/>
        <v>— Sin Inst.2</v>
      </c>
      <c r="E151" t="str">
        <f t="shared" si="9"/>
        <v/>
      </c>
      <c r="F151" t="str">
        <f>IF(MATRIZ_174!L151="","",MATRIZ_174!L151)</f>
        <v/>
      </c>
      <c r="G151" t="str">
        <f>IFERROR(MATRIZ_174!M151,0)</f>
        <v/>
      </c>
      <c r="H151" t="str">
        <f>IF(NORMALIZADO!CC151="","",NORMALIZADO!CC151)</f>
        <v/>
      </c>
      <c r="I151" t="str">
        <f>IF(NORMALIZADO!CF151="","",NORMALIZADO!CF151)</f>
        <v/>
      </c>
      <c r="J151" t="str">
        <f>IF(NORMALIZADO!CG151="","",NORMALIZADO!CG151)</f>
        <v/>
      </c>
      <c r="K151">
        <f>IFERROR(INDEX(MATRIZ_174!$U:$U,MATCH(A151,MATRIZ_174!$A:$A,0))*100,"")</f>
        <v>100</v>
      </c>
      <c r="L151" t="str">
        <f>IFERROR(MATRIZ_174!O151,0)</f>
        <v/>
      </c>
      <c r="N151" t="str">
        <f>IFERROR(ISCAM_Score!AC152,"")</f>
        <v>⬜  Pendiente de instrumento</v>
      </c>
      <c r="O151" t="s">
        <v>177</v>
      </c>
      <c r="P151" t="str">
        <f>IFERROR(INDEX(MATRIZ_174!$C:$C,MATCH(A151,MATRIZ_174!$A:$A,0)),"")</f>
        <v>LAMBAYEQUE</v>
      </c>
    </row>
    <row r="152" spans="1:16" ht="16.05" customHeight="1" x14ac:dyDescent="0.3">
      <c r="A152" t="s">
        <v>391</v>
      </c>
      <c r="B152" t="s">
        <v>392</v>
      </c>
      <c r="C152" s="36" t="str">
        <f>IFERROR(ISCAM_Score!AL153,"—")</f>
        <v>—</v>
      </c>
      <c r="D152" t="str">
        <f t="shared" si="8"/>
        <v>— Sin Inst.2</v>
      </c>
      <c r="E152" t="str">
        <f t="shared" si="9"/>
        <v/>
      </c>
      <c r="F152" t="str">
        <f>IF(MATRIZ_174!L152="","",MATRIZ_174!L152)</f>
        <v/>
      </c>
      <c r="G152" t="str">
        <f>IFERROR(MATRIZ_174!M152,0)</f>
        <v/>
      </c>
      <c r="H152" t="str">
        <f>IF(NORMALIZADO!CC152="","",NORMALIZADO!CC152)</f>
        <v/>
      </c>
      <c r="I152" t="str">
        <f>IF(NORMALIZADO!CF152="","",NORMALIZADO!CF152)</f>
        <v/>
      </c>
      <c r="J152" t="str">
        <f>IF(NORMALIZADO!CG152="","",NORMALIZADO!CG152)</f>
        <v/>
      </c>
      <c r="K152">
        <f>IFERROR(INDEX(MATRIZ_174!$U:$U,MATCH(A152,MATRIZ_174!$A:$A,0))*100,"")</f>
        <v>100</v>
      </c>
      <c r="L152" t="str">
        <f>IFERROR(MATRIZ_174!O152,0)</f>
        <v/>
      </c>
      <c r="N152" t="str">
        <f>IFERROR(ISCAM_Score!AC153,"")</f>
        <v>⬜  Pendiente de instrumento</v>
      </c>
      <c r="O152" t="s">
        <v>78</v>
      </c>
      <c r="P152" t="str">
        <f>IFERROR(INDEX(MATRIZ_174!$C:$C,MATCH(A152,MATRIZ_174!$A:$A,0)),"")</f>
        <v>CUSCO</v>
      </c>
    </row>
    <row r="153" spans="1:16" ht="16.05" customHeight="1" x14ac:dyDescent="0.3">
      <c r="A153" t="s">
        <v>393</v>
      </c>
      <c r="B153" t="s">
        <v>394</v>
      </c>
      <c r="C153" s="36" t="str">
        <f>IFERROR(ISCAM_Score!AL154,"—")</f>
        <v>—</v>
      </c>
      <c r="D153" t="str">
        <f t="shared" si="8"/>
        <v>— Sin Inst.2</v>
      </c>
      <c r="E153" t="str">
        <f t="shared" si="9"/>
        <v/>
      </c>
      <c r="F153" t="str">
        <f>IF(MATRIZ_174!L153="","",MATRIZ_174!L153)</f>
        <v/>
      </c>
      <c r="G153" t="str">
        <f>IFERROR(MATRIZ_174!M153,0)</f>
        <v/>
      </c>
      <c r="H153" t="str">
        <f>IF(NORMALIZADO!CC153="","",NORMALIZADO!CC153)</f>
        <v/>
      </c>
      <c r="I153" t="str">
        <f>IF(NORMALIZADO!CF153="","",NORMALIZADO!CF153)</f>
        <v/>
      </c>
      <c r="J153" t="str">
        <f>IF(NORMALIZADO!CG153="","",NORMALIZADO!CG153)</f>
        <v/>
      </c>
      <c r="K153">
        <f>IFERROR(INDEX(MATRIZ_174!$U:$U,MATCH(A153,MATRIZ_174!$A:$A,0))*100,"")</f>
        <v>100</v>
      </c>
      <c r="L153" t="str">
        <f>IFERROR(MATRIZ_174!O153,0)</f>
        <v/>
      </c>
      <c r="N153" t="str">
        <f>IFERROR(ISCAM_Score!AC154,"")</f>
        <v>⬜  Pendiente de instrumento</v>
      </c>
      <c r="O153" t="s">
        <v>78</v>
      </c>
      <c r="P153" t="str">
        <f>IFERROR(INDEX(MATRIZ_174!$C:$C,MATCH(A153,MATRIZ_174!$A:$A,0)),"")</f>
        <v>CUSCO</v>
      </c>
    </row>
    <row r="154" spans="1:16" ht="16.05" customHeight="1" x14ac:dyDescent="0.3">
      <c r="A154" t="s">
        <v>395</v>
      </c>
      <c r="B154" t="s">
        <v>396</v>
      </c>
      <c r="C154" s="36" t="str">
        <f>IFERROR(ISCAM_Score!AL155,"—")</f>
        <v>—</v>
      </c>
      <c r="D154" t="str">
        <f t="shared" si="8"/>
        <v>— Sin Inst.2</v>
      </c>
      <c r="E154" t="str">
        <f t="shared" si="9"/>
        <v/>
      </c>
      <c r="F154">
        <f>IF(MATRIZ_174!L154="","",MATRIZ_174!L154)</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IFERROR(MATRIZ_174!O154,0)</f>
        <v>0.4</v>
      </c>
      <c r="N154" t="str">
        <f>IFERROR(ISCAM_Score!AC155,"")</f>
        <v>⬜  Pendiente de instrumento</v>
      </c>
      <c r="O154" t="s">
        <v>75</v>
      </c>
      <c r="P154" t="str">
        <f>IFERROR(INDEX(MATRIZ_174!$C:$C,MATCH(A154,MATRIZ_174!$A:$A,0)),"")</f>
        <v>JUNIN</v>
      </c>
    </row>
    <row r="155" spans="1:16" ht="16.05" customHeight="1" x14ac:dyDescent="0.3">
      <c r="A155" t="s">
        <v>397</v>
      </c>
      <c r="B155" t="s">
        <v>398</v>
      </c>
      <c r="C155" s="36" t="str">
        <f>IFERROR(ISCAM_Score!AL156,"—")</f>
        <v>—</v>
      </c>
      <c r="D155" t="str">
        <f t="shared" si="8"/>
        <v>— Sin Inst.2</v>
      </c>
      <c r="E155" t="str">
        <f t="shared" si="9"/>
        <v/>
      </c>
      <c r="F155" t="str">
        <f>IF(MATRIZ_174!L155="","",MATRIZ_174!L155)</f>
        <v/>
      </c>
      <c r="G155" t="str">
        <f>IFERROR(MATRIZ_174!M155,0)</f>
        <v/>
      </c>
      <c r="H155" t="str">
        <f>IF(NORMALIZADO!CC155="","",NORMALIZADO!CC155)</f>
        <v/>
      </c>
      <c r="I155" t="str">
        <f>IF(NORMALIZADO!CF155="","",NORMALIZADO!CF155)</f>
        <v/>
      </c>
      <c r="J155" t="str">
        <f>IF(NORMALIZADO!CG155="","",NORMALIZADO!CG155)</f>
        <v/>
      </c>
      <c r="K155">
        <f>IFERROR(INDEX(MATRIZ_174!$U:$U,MATCH(A155,MATRIZ_174!$A:$A,0))*100,"")</f>
        <v>100</v>
      </c>
      <c r="L155" t="str">
        <f>IFERROR(MATRIZ_174!O155,0)</f>
        <v/>
      </c>
      <c r="N155" t="str">
        <f>IFERROR(ISCAM_Score!AC156,"")</f>
        <v>⬜  Pendiente de instrumento</v>
      </c>
      <c r="O155" t="s">
        <v>107</v>
      </c>
      <c r="P155" t="str">
        <f>IFERROR(INDEX(MATRIZ_174!$C:$C,MATCH(A155,MATRIZ_174!$A:$A,0)),"")</f>
        <v>UCAYALI</v>
      </c>
    </row>
    <row r="156" spans="1:16" ht="16.05" customHeight="1" x14ac:dyDescent="0.3">
      <c r="A156" t="s">
        <v>399</v>
      </c>
      <c r="B156" t="s">
        <v>400</v>
      </c>
      <c r="C156" s="36" t="str">
        <f>IFERROR(ISCAM_Score!AL157,"—")</f>
        <v>—</v>
      </c>
      <c r="D156" t="str">
        <f t="shared" si="8"/>
        <v>— Sin Inst.2</v>
      </c>
      <c r="E156" t="str">
        <f t="shared" si="9"/>
        <v/>
      </c>
      <c r="F156" t="str">
        <f>IF(MATRIZ_174!L156="","",MATRIZ_174!L156)</f>
        <v/>
      </c>
      <c r="G156" t="str">
        <f>IFERROR(MATRIZ_174!M156,0)</f>
        <v/>
      </c>
      <c r="H156" t="str">
        <f>IF(NORMALIZADO!CC156="","",NORMALIZADO!CC156)</f>
        <v/>
      </c>
      <c r="I156" t="str">
        <f>IF(NORMALIZADO!CF156="","",NORMALIZADO!CF156)</f>
        <v/>
      </c>
      <c r="J156" t="str">
        <f>IF(NORMALIZADO!CG156="","",NORMALIZADO!CG156)</f>
        <v/>
      </c>
      <c r="K156">
        <f>IFERROR(INDEX(MATRIZ_174!$U:$U,MATCH(A156,MATRIZ_174!$A:$A,0))*100,"")</f>
        <v>100</v>
      </c>
      <c r="L156" t="str">
        <f>IFERROR(MATRIZ_174!O156,0)</f>
        <v/>
      </c>
      <c r="N156" t="str">
        <f>IFERROR(ISCAM_Score!AC157,"")</f>
        <v>⬜  Pendiente de instrumento</v>
      </c>
      <c r="O156" t="s">
        <v>177</v>
      </c>
      <c r="P156" t="str">
        <f>IFERROR(INDEX(MATRIZ_174!$C:$C,MATCH(A156,MATRIZ_174!$A:$A,0)),"")</f>
        <v>LAMBAYEQUE</v>
      </c>
    </row>
    <row r="157" spans="1:16" ht="16.05" customHeight="1" x14ac:dyDescent="0.3">
      <c r="A157" t="s">
        <v>401</v>
      </c>
      <c r="B157" t="s">
        <v>402</v>
      </c>
      <c r="C157" s="36" t="str">
        <f>IFERROR(ISCAM_Score!AL158,"—")</f>
        <v>—</v>
      </c>
      <c r="D157" t="str">
        <f t="shared" si="8"/>
        <v>— Sin Inst.2</v>
      </c>
      <c r="E157" t="str">
        <f t="shared" si="9"/>
        <v/>
      </c>
      <c r="F157">
        <f>IF(MATRIZ_174!L157="","",MATRIZ_174!L157)</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IFERROR(MATRIZ_174!O157,0)</f>
        <v>1</v>
      </c>
      <c r="N157" t="str">
        <f>IFERROR(ISCAM_Score!AC158,"")</f>
        <v>⬜  Pendiente de instrumento</v>
      </c>
      <c r="O157" t="s">
        <v>137</v>
      </c>
      <c r="P157" t="str">
        <f>IFERROR(INDEX(MATRIZ_174!$C:$C,MATCH(A157,MATRIZ_174!$A:$A,0)),"")</f>
        <v>SAN MARTIN</v>
      </c>
    </row>
    <row r="158" spans="1:16" ht="16.05" customHeight="1" x14ac:dyDescent="0.3">
      <c r="A158" t="s">
        <v>404</v>
      </c>
      <c r="B158" t="s">
        <v>405</v>
      </c>
      <c r="C158" s="36" t="str">
        <f>IFERROR(ISCAM_Score!AL159,"—")</f>
        <v>—</v>
      </c>
      <c r="D158" t="str">
        <f t="shared" si="8"/>
        <v>— Sin Inst.2</v>
      </c>
      <c r="E158" t="str">
        <f t="shared" si="9"/>
        <v/>
      </c>
      <c r="F158" t="str">
        <f>IF(MATRIZ_174!L158="","",MATRIZ_174!L158)</f>
        <v/>
      </c>
      <c r="G158" t="str">
        <f>IFERROR(MATRIZ_174!M158,0)</f>
        <v/>
      </c>
      <c r="H158" t="str">
        <f>IF(NORMALIZADO!CC158="","",NORMALIZADO!CC158)</f>
        <v/>
      </c>
      <c r="I158" t="str">
        <f>IF(NORMALIZADO!CF158="","",NORMALIZADO!CF158)</f>
        <v/>
      </c>
      <c r="J158" t="str">
        <f>IF(NORMALIZADO!CG158="","",NORMALIZADO!CG158)</f>
        <v/>
      </c>
      <c r="K158">
        <f>IFERROR(INDEX(MATRIZ_174!$U:$U,MATCH(A158,MATRIZ_174!$A:$A,0))*100,"")</f>
        <v>100</v>
      </c>
      <c r="L158" t="str">
        <f>IFERROR(MATRIZ_174!O158,0)</f>
        <v/>
      </c>
      <c r="N158" t="str">
        <f>IFERROR(ISCAM_Score!AC159,"")</f>
        <v>⬜  Pendiente de instrumento</v>
      </c>
      <c r="O158" t="s">
        <v>75</v>
      </c>
      <c r="P158" t="str">
        <f>IFERROR(INDEX(MATRIZ_174!$C:$C,MATCH(A158,MATRIZ_174!$A:$A,0)),"")</f>
        <v>JUNIN</v>
      </c>
    </row>
    <row r="159" spans="1:16" ht="16.05" customHeight="1" x14ac:dyDescent="0.3">
      <c r="A159" t="s">
        <v>406</v>
      </c>
      <c r="B159" t="s">
        <v>407</v>
      </c>
      <c r="C159" s="36" t="str">
        <f>IFERROR(ISCAM_Score!AL160,"—")</f>
        <v>—</v>
      </c>
      <c r="D159" t="str">
        <f t="shared" si="8"/>
        <v>— Sin Inst.2</v>
      </c>
      <c r="E159" t="str">
        <f t="shared" si="9"/>
        <v/>
      </c>
      <c r="F159" t="str">
        <f>IF(MATRIZ_174!L159="","",MATRIZ_174!L159)</f>
        <v/>
      </c>
      <c r="G159" t="str">
        <f>IFERROR(MATRIZ_174!M159,0)</f>
        <v/>
      </c>
      <c r="H159" t="str">
        <f>IF(NORMALIZADO!CC159="","",NORMALIZADO!CC159)</f>
        <v/>
      </c>
      <c r="I159" t="str">
        <f>IF(NORMALIZADO!CF159="","",NORMALIZADO!CF159)</f>
        <v/>
      </c>
      <c r="J159" t="str">
        <f>IF(NORMALIZADO!CG159="","",NORMALIZADO!CG159)</f>
        <v/>
      </c>
      <c r="K159">
        <f>IFERROR(INDEX(MATRIZ_174!$U:$U,MATCH(A159,MATRIZ_174!$A:$A,0))*100,"")</f>
        <v>100</v>
      </c>
      <c r="L159" t="str">
        <f>IFERROR(MATRIZ_174!O159,0)</f>
        <v/>
      </c>
      <c r="N159" t="str">
        <f>IFERROR(ISCAM_Score!AC160,"")</f>
        <v>⬜  Pendiente de instrumento</v>
      </c>
      <c r="O159" t="s">
        <v>137</v>
      </c>
      <c r="P159" t="str">
        <f>IFERROR(INDEX(MATRIZ_174!$C:$C,MATCH(A159,MATRIZ_174!$A:$A,0)),"")</f>
        <v>SAN MARTIN</v>
      </c>
    </row>
    <row r="160" spans="1:16" ht="16.05" customHeight="1" x14ac:dyDescent="0.3">
      <c r="A160" t="s">
        <v>408</v>
      </c>
      <c r="B160" t="s">
        <v>409</v>
      </c>
      <c r="C160" s="36" t="str">
        <f>IFERROR(ISCAM_Score!AL161,"—")</f>
        <v>—</v>
      </c>
      <c r="D160" t="str">
        <f t="shared" si="8"/>
        <v>— Sin Inst.2</v>
      </c>
      <c r="E160" t="str">
        <f t="shared" si="9"/>
        <v/>
      </c>
      <c r="F160" t="str">
        <f>IF(MATRIZ_174!L160="","",MATRIZ_174!L160)</f>
        <v/>
      </c>
      <c r="G160" t="str">
        <f>IFERROR(MATRIZ_174!M160,0)</f>
        <v/>
      </c>
      <c r="H160" t="str">
        <f>IF(NORMALIZADO!CC160="","",NORMALIZADO!CC160)</f>
        <v/>
      </c>
      <c r="I160" t="str">
        <f>IF(NORMALIZADO!CF160="","",NORMALIZADO!CF160)</f>
        <v/>
      </c>
      <c r="J160" t="str">
        <f>IF(NORMALIZADO!CG160="","",NORMALIZADO!CG160)</f>
        <v/>
      </c>
      <c r="K160">
        <f>IFERROR(INDEX(MATRIZ_174!$U:$U,MATCH(A160,MATRIZ_174!$A:$A,0))*100,"")</f>
        <v>100</v>
      </c>
      <c r="L160" t="str">
        <f>IFERROR(MATRIZ_174!O160,0)</f>
        <v/>
      </c>
      <c r="N160" t="str">
        <f>IFERROR(ISCAM_Score!AC161,"")</f>
        <v>⬜  Pendiente de instrumento</v>
      </c>
      <c r="O160" t="s">
        <v>101</v>
      </c>
      <c r="P160" t="str">
        <f>IFERROR(INDEX(MATRIZ_174!$C:$C,MATCH(A160,MATRIZ_174!$A:$A,0)),"")</f>
        <v>PIURA</v>
      </c>
    </row>
    <row r="161" spans="1:16" ht="16.05" customHeight="1" x14ac:dyDescent="0.3">
      <c r="A161" t="s">
        <v>411</v>
      </c>
      <c r="B161" t="s">
        <v>412</v>
      </c>
      <c r="C161" s="36" t="str">
        <f>IFERROR(ISCAM_Score!AL162,"—")</f>
        <v>—</v>
      </c>
      <c r="D161" t="str">
        <f t="shared" si="8"/>
        <v>— Sin Inst.2</v>
      </c>
      <c r="E161" t="str">
        <f t="shared" si="9"/>
        <v/>
      </c>
      <c r="F161" t="str">
        <f>IF(MATRIZ_174!L161="","",MATRIZ_174!L161)</f>
        <v/>
      </c>
      <c r="G161" t="str">
        <f>IFERROR(MATRIZ_174!M161,0)</f>
        <v/>
      </c>
      <c r="H161" t="str">
        <f>IF(NORMALIZADO!CC161="","",NORMALIZADO!CC161)</f>
        <v/>
      </c>
      <c r="I161" t="str">
        <f>IF(NORMALIZADO!CF161="","",NORMALIZADO!CF161)</f>
        <v/>
      </c>
      <c r="J161" t="str">
        <f>IF(NORMALIZADO!CG161="","",NORMALIZADO!CG161)</f>
        <v/>
      </c>
      <c r="K161">
        <f>IFERROR(INDEX(MATRIZ_174!$U:$U,MATCH(A161,MATRIZ_174!$A:$A,0))*100,"")</f>
        <v>100</v>
      </c>
      <c r="L161" t="str">
        <f>IFERROR(MATRIZ_174!O161,0)</f>
        <v/>
      </c>
      <c r="N161" t="str">
        <f>IFERROR(ISCAM_Score!AC162,"")</f>
        <v>⬜  Pendiente de instrumento</v>
      </c>
      <c r="O161" t="s">
        <v>177</v>
      </c>
      <c r="P161" t="str">
        <f>IFERROR(INDEX(MATRIZ_174!$C:$C,MATCH(A161,MATRIZ_174!$A:$A,0)),"")</f>
        <v>LAMBAYEQUE</v>
      </c>
    </row>
    <row r="162" spans="1:16" ht="16.05" customHeight="1" x14ac:dyDescent="0.3">
      <c r="A162" t="s">
        <v>413</v>
      </c>
      <c r="B162" t="s">
        <v>414</v>
      </c>
      <c r="C162" s="36" t="str">
        <f>IFERROR(ISCAM_Score!AL163,"—")</f>
        <v>—</v>
      </c>
      <c r="D162" t="str">
        <f t="shared" si="8"/>
        <v>— Sin Inst.2</v>
      </c>
      <c r="E162" t="str">
        <f t="shared" si="9"/>
        <v/>
      </c>
      <c r="F162" t="str">
        <f>IF(MATRIZ_174!L162="","",MATRIZ_174!L162)</f>
        <v/>
      </c>
      <c r="G162" t="str">
        <f>IFERROR(MATRIZ_174!M162,0)</f>
        <v/>
      </c>
      <c r="H162" t="str">
        <f>IF(NORMALIZADO!CC162="","",NORMALIZADO!CC162)</f>
        <v/>
      </c>
      <c r="I162" t="str">
        <f>IF(NORMALIZADO!CF162="","",NORMALIZADO!CF162)</f>
        <v/>
      </c>
      <c r="J162" t="str">
        <f>IF(NORMALIZADO!CG162="","",NORMALIZADO!CG162)</f>
        <v/>
      </c>
      <c r="K162">
        <f>IFERROR(INDEX(MATRIZ_174!$U:$U,MATCH(A162,MATRIZ_174!$A:$A,0))*100,"")</f>
        <v>100</v>
      </c>
      <c r="L162" t="str">
        <f>IFERROR(MATRIZ_174!O162,0)</f>
        <v/>
      </c>
      <c r="N162" t="str">
        <f>IFERROR(ISCAM_Score!AC163,"")</f>
        <v>⬜  Pendiente de instrumento</v>
      </c>
      <c r="O162" t="s">
        <v>101</v>
      </c>
      <c r="P162" t="str">
        <f>IFERROR(INDEX(MATRIZ_174!$C:$C,MATCH(A162,MATRIZ_174!$A:$A,0)),"")</f>
        <v>PIURA</v>
      </c>
    </row>
    <row r="163" spans="1:16" ht="16.05" customHeight="1" x14ac:dyDescent="0.3">
      <c r="A163" t="s">
        <v>415</v>
      </c>
      <c r="B163" t="s">
        <v>416</v>
      </c>
      <c r="C163" s="36" t="str">
        <f>IFERROR(ISCAM_Score!AL164,"—")</f>
        <v>—</v>
      </c>
      <c r="D163" t="str">
        <f t="shared" ref="D163:D176" si="10">IF(C163="—","— Sin Inst.2",IF(C163&lt;34,"🔴  Crítico",IF(C163&lt;67,"🟡  Vulnerable","🟢  Preparado")))</f>
        <v>— Sin Inst.2</v>
      </c>
      <c r="E163" t="str">
        <f t="shared" ref="E163:E176" si="11">IFERROR(RANK(C163,C:C,-1),"")</f>
        <v/>
      </c>
      <c r="F163">
        <f>IF(MATRIZ_174!L163="","",MATRIZ_174!L163)</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t="str">
        <f>IFERROR(MATRIZ_174!O163,0)</f>
        <v/>
      </c>
      <c r="N163" t="str">
        <f>IFERROR(ISCAM_Score!AC164,"")</f>
        <v>⬜  Pendiente de instrumento</v>
      </c>
      <c r="O163" t="s">
        <v>148</v>
      </c>
      <c r="P163" t="str">
        <f>IFERROR(INDEX(MATRIZ_174!$C:$C,MATCH(A163,MATRIZ_174!$A:$A,0)),"")</f>
        <v>CAJAMARCA</v>
      </c>
    </row>
    <row r="164" spans="1:16" ht="16.05" customHeight="1" x14ac:dyDescent="0.3">
      <c r="A164" t="s">
        <v>417</v>
      </c>
      <c r="B164" t="s">
        <v>418</v>
      </c>
      <c r="C164" s="36" t="str">
        <f>IFERROR(ISCAM_Score!AL165,"—")</f>
        <v>—</v>
      </c>
      <c r="D164" t="str">
        <f t="shared" si="10"/>
        <v>— Sin Inst.2</v>
      </c>
      <c r="E164" t="str">
        <f t="shared" si="11"/>
        <v/>
      </c>
      <c r="F164" t="str">
        <f>IF(MATRIZ_174!L164="","",MATRIZ_174!L164)</f>
        <v/>
      </c>
      <c r="G164" t="str">
        <f>IFERROR(MATRIZ_174!M164,0)</f>
        <v/>
      </c>
      <c r="H164" t="str">
        <f>IF(NORMALIZADO!CC164="","",NORMALIZADO!CC164)</f>
        <v/>
      </c>
      <c r="I164" t="str">
        <f>IF(NORMALIZADO!CF164="","",NORMALIZADO!CF164)</f>
        <v/>
      </c>
      <c r="J164" t="str">
        <f>IF(NORMALIZADO!CG164="","",NORMALIZADO!CG164)</f>
        <v/>
      </c>
      <c r="K164">
        <f>IFERROR(INDEX(MATRIZ_174!$U:$U,MATCH(A164,MATRIZ_174!$A:$A,0))*100,"")</f>
        <v>100</v>
      </c>
      <c r="L164" t="str">
        <f>IFERROR(MATRIZ_174!O164,0)</f>
        <v/>
      </c>
      <c r="N164" t="str">
        <f>IFERROR(ISCAM_Score!AC165,"")</f>
        <v>⬜  Pendiente de instrumento</v>
      </c>
      <c r="O164" t="s">
        <v>110</v>
      </c>
      <c r="P164" t="str">
        <f>IFERROR(INDEX(MATRIZ_174!$C:$C,MATCH(A164,MATRIZ_174!$A:$A,0)),"")</f>
        <v>AMAZONAS</v>
      </c>
    </row>
    <row r="165" spans="1:16" ht="16.05" customHeight="1" x14ac:dyDescent="0.3">
      <c r="A165" t="s">
        <v>419</v>
      </c>
      <c r="B165" t="s">
        <v>420</v>
      </c>
      <c r="C165" s="36" t="str">
        <f>IFERROR(ISCAM_Score!AL166,"—")</f>
        <v>—</v>
      </c>
      <c r="D165" t="str">
        <f t="shared" si="10"/>
        <v>— Sin Inst.2</v>
      </c>
      <c r="E165" t="str">
        <f t="shared" si="11"/>
        <v/>
      </c>
      <c r="F165" t="str">
        <f>IF(MATRIZ_174!L165="","",MATRIZ_174!L165)</f>
        <v/>
      </c>
      <c r="G165" t="str">
        <f>IFERROR(MATRIZ_174!M165,0)</f>
        <v/>
      </c>
      <c r="H165" t="str">
        <f>IF(NORMALIZADO!CC165="","",NORMALIZADO!CC165)</f>
        <v/>
      </c>
      <c r="I165" t="str">
        <f>IF(NORMALIZADO!CF165="","",NORMALIZADO!CF165)</f>
        <v/>
      </c>
      <c r="J165" t="str">
        <f>IF(NORMALIZADO!CG165="","",NORMALIZADO!CG165)</f>
        <v/>
      </c>
      <c r="K165">
        <f>IFERROR(INDEX(MATRIZ_174!$U:$U,MATCH(A165,MATRIZ_174!$A:$A,0))*100,"")</f>
        <v>100</v>
      </c>
      <c r="L165" t="str">
        <f>IFERROR(MATRIZ_174!O165,0)</f>
        <v/>
      </c>
      <c r="N165" t="str">
        <f>IFERROR(ISCAM_Score!AC166,"")</f>
        <v>⬜  Pendiente de instrumento</v>
      </c>
      <c r="O165" t="s">
        <v>177</v>
      </c>
      <c r="P165" t="str">
        <f>IFERROR(INDEX(MATRIZ_174!$C:$C,MATCH(A165,MATRIZ_174!$A:$A,0)),"")</f>
        <v>LAMBAYEQUE</v>
      </c>
    </row>
    <row r="166" spans="1:16" ht="16.05" customHeight="1" x14ac:dyDescent="0.3">
      <c r="A166" t="s">
        <v>421</v>
      </c>
      <c r="B166" t="s">
        <v>422</v>
      </c>
      <c r="C166" s="36" t="str">
        <f>IFERROR(ISCAM_Score!AL167,"—")</f>
        <v>—</v>
      </c>
      <c r="D166" t="str">
        <f t="shared" si="10"/>
        <v>— Sin Inst.2</v>
      </c>
      <c r="E166" t="str">
        <f t="shared" si="11"/>
        <v/>
      </c>
      <c r="F166" t="str">
        <f>IF(MATRIZ_174!L166="","",MATRIZ_174!L166)</f>
        <v/>
      </c>
      <c r="G166" t="str">
        <f>IFERROR(MATRIZ_174!M166,0)</f>
        <v/>
      </c>
      <c r="H166" t="str">
        <f>IF(NORMALIZADO!CC166="","",NORMALIZADO!CC166)</f>
        <v/>
      </c>
      <c r="I166" t="str">
        <f>IF(NORMALIZADO!CF166="","",NORMALIZADO!CF166)</f>
        <v/>
      </c>
      <c r="J166" t="str">
        <f>IF(NORMALIZADO!CG166="","",NORMALIZADO!CG166)</f>
        <v/>
      </c>
      <c r="K166">
        <f>IFERROR(INDEX(MATRIZ_174!$U:$U,MATCH(A166,MATRIZ_174!$A:$A,0))*100,"")</f>
        <v>100</v>
      </c>
      <c r="L166" t="str">
        <f>IFERROR(MATRIZ_174!O166,0)</f>
        <v/>
      </c>
      <c r="N166" t="str">
        <f>IFERROR(ISCAM_Score!AC167,"")</f>
        <v>⬜  Pendiente de instrumento</v>
      </c>
      <c r="O166" t="s">
        <v>239</v>
      </c>
      <c r="P166" t="str">
        <f>IFERROR(INDEX(MATRIZ_174!$C:$C,MATCH(A166,MATRIZ_174!$A:$A,0)),"")</f>
        <v>MADRE DE DIOS</v>
      </c>
    </row>
    <row r="167" spans="1:16" ht="16.05" customHeight="1" x14ac:dyDescent="0.3">
      <c r="A167" t="s">
        <v>423</v>
      </c>
      <c r="B167" t="s">
        <v>424</v>
      </c>
      <c r="C167" s="36" t="str">
        <f>IFERROR(ISCAM_Score!AL168,"—")</f>
        <v>—</v>
      </c>
      <c r="D167" t="str">
        <f t="shared" si="10"/>
        <v>— Sin Inst.2</v>
      </c>
      <c r="E167" t="str">
        <f t="shared" si="11"/>
        <v/>
      </c>
      <c r="F167">
        <f>IF(MATRIZ_174!L167="","",MATRIZ_174!L167)</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t="str">
        <f>IFERROR(MATRIZ_174!O167,0)</f>
        <v/>
      </c>
      <c r="N167" t="str">
        <f>IFERROR(ISCAM_Score!AC168,"")</f>
        <v>⬜  Pendiente de instrumento</v>
      </c>
      <c r="O167" t="s">
        <v>137</v>
      </c>
      <c r="P167" t="str">
        <f>IFERROR(INDEX(MATRIZ_174!$C:$C,MATCH(A167,MATRIZ_174!$A:$A,0)),"")</f>
        <v>SAN MARTIN</v>
      </c>
    </row>
    <row r="168" spans="1:16" ht="16.05" customHeight="1" x14ac:dyDescent="0.3">
      <c r="A168" t="s">
        <v>425</v>
      </c>
      <c r="B168" t="s">
        <v>426</v>
      </c>
      <c r="C168" s="36" t="str">
        <f>IFERROR(ISCAM_Score!AL169,"—")</f>
        <v>—</v>
      </c>
      <c r="D168" t="str">
        <f t="shared" si="10"/>
        <v>— Sin Inst.2</v>
      </c>
      <c r="E168" t="str">
        <f t="shared" si="11"/>
        <v/>
      </c>
      <c r="F168">
        <f>IF(MATRIZ_174!L168="","",MATRIZ_174!L168)</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t="str">
        <f>IFERROR(MATRIZ_174!O168,0)</f>
        <v/>
      </c>
      <c r="N168" t="str">
        <f>IFERROR(ISCAM_Score!AC169,"")</f>
        <v>⬜  Pendiente de instrumento</v>
      </c>
      <c r="O168" t="s">
        <v>110</v>
      </c>
      <c r="P168" t="str">
        <f>IFERROR(INDEX(MATRIZ_174!$C:$C,MATCH(A168,MATRIZ_174!$A:$A,0)),"")</f>
        <v>AMAZONAS</v>
      </c>
    </row>
    <row r="169" spans="1:16" ht="16.05" customHeight="1" x14ac:dyDescent="0.3">
      <c r="A169" t="s">
        <v>427</v>
      </c>
      <c r="B169" t="s">
        <v>428</v>
      </c>
      <c r="C169" s="36" t="str">
        <f>IFERROR(ISCAM_Score!AL170,"—")</f>
        <v>—</v>
      </c>
      <c r="D169" t="str">
        <f t="shared" si="10"/>
        <v>— Sin Inst.2</v>
      </c>
      <c r="E169" t="str">
        <f t="shared" si="11"/>
        <v/>
      </c>
      <c r="F169" t="str">
        <f>IF(MATRIZ_174!L169="","",MATRIZ_174!L169)</f>
        <v/>
      </c>
      <c r="G169" t="str">
        <f>IFERROR(MATRIZ_174!M169,0)</f>
        <v/>
      </c>
      <c r="H169" t="str">
        <f>IF(NORMALIZADO!CC169="","",NORMALIZADO!CC169)</f>
        <v/>
      </c>
      <c r="I169" t="str">
        <f>IF(NORMALIZADO!CF169="","",NORMALIZADO!CF169)</f>
        <v/>
      </c>
      <c r="J169" t="str">
        <f>IF(NORMALIZADO!CG169="","",NORMALIZADO!CG169)</f>
        <v/>
      </c>
      <c r="K169">
        <f>IFERROR(INDEX(MATRIZ_174!$U:$U,MATCH(A169,MATRIZ_174!$A:$A,0))*100,"")</f>
        <v>100</v>
      </c>
      <c r="L169" t="str">
        <f>IFERROR(MATRIZ_174!O169,0)</f>
        <v/>
      </c>
      <c r="N169" t="str">
        <f>IFERROR(ISCAM_Score!AC170,"")</f>
        <v>⬜  Pendiente de instrumento</v>
      </c>
      <c r="O169" t="s">
        <v>148</v>
      </c>
      <c r="P169" t="str">
        <f>IFERROR(INDEX(MATRIZ_174!$C:$C,MATCH(A169,MATRIZ_174!$A:$A,0)),"")</f>
        <v>CAJAMARCA</v>
      </c>
    </row>
    <row r="170" spans="1:16" ht="16.05" customHeight="1" x14ac:dyDescent="0.3">
      <c r="A170" t="s">
        <v>429</v>
      </c>
      <c r="B170" t="s">
        <v>430</v>
      </c>
      <c r="C170" s="36" t="str">
        <f>IFERROR(ISCAM_Score!AL171,"—")</f>
        <v>—</v>
      </c>
      <c r="D170" t="str">
        <f t="shared" si="10"/>
        <v>— Sin Inst.2</v>
      </c>
      <c r="E170" t="str">
        <f t="shared" si="11"/>
        <v/>
      </c>
      <c r="F170">
        <f>IF(MATRIZ_174!L170="","",MATRIZ_174!L170)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t="str">
        <f>IFERROR(MATRIZ_174!O170,0)</f>
        <v/>
      </c>
      <c r="N170" t="str">
        <f>IFERROR(ISCAM_Score!AC171,"")</f>
        <v>⬜  Pendiente de instrumento</v>
      </c>
      <c r="O170" t="s">
        <v>107</v>
      </c>
      <c r="P170" t="str">
        <f>IFERROR(INDEX(MATRIZ_174!$C:$C,MATCH(A170,MATRIZ_174!$A:$A,0)),"")</f>
        <v>UCAYALI</v>
      </c>
    </row>
    <row r="171" spans="1:16" ht="16.05" customHeight="1" x14ac:dyDescent="0.3">
      <c r="A171" t="s">
        <v>431</v>
      </c>
      <c r="B171" t="s">
        <v>432</v>
      </c>
      <c r="C171" s="36" t="str">
        <f>IFERROR(ISCAM_Score!AL172,"—")</f>
        <v>—</v>
      </c>
      <c r="D171" t="str">
        <f t="shared" si="10"/>
        <v>— Sin Inst.2</v>
      </c>
      <c r="E171" t="str">
        <f t="shared" si="11"/>
        <v/>
      </c>
      <c r="F171" t="str">
        <f>IF(MATRIZ_174!L171="","",MATRIZ_174!L171)</f>
        <v/>
      </c>
      <c r="G171" t="str">
        <f>IFERROR(MATRIZ_174!M171,0)</f>
        <v/>
      </c>
      <c r="H171" t="str">
        <f>IF(NORMALIZADO!CC171="","",NORMALIZADO!CC171)</f>
        <v/>
      </c>
      <c r="I171" t="str">
        <f>IF(NORMALIZADO!CF171="","",NORMALIZADO!CF171)</f>
        <v/>
      </c>
      <c r="J171" t="str">
        <f>IF(NORMALIZADO!CG171="","",NORMALIZADO!CG171)</f>
        <v/>
      </c>
      <c r="K171">
        <f>IFERROR(INDEX(MATRIZ_174!$U:$U,MATCH(A171,MATRIZ_174!$A:$A,0))*100,"")</f>
        <v>100</v>
      </c>
      <c r="L171">
        <f>IFERROR(MATRIZ_174!O171,0)</f>
        <v>0.6</v>
      </c>
      <c r="N171" t="str">
        <f>IFERROR(ISCAM_Score!AC172,"")</f>
        <v>⬜  Pendiente de instrumento</v>
      </c>
      <c r="O171" t="s">
        <v>137</v>
      </c>
      <c r="P171" t="str">
        <f>IFERROR(INDEX(MATRIZ_174!$C:$C,MATCH(A171,MATRIZ_174!$A:$A,0)),"")</f>
        <v>SAN MARTIN</v>
      </c>
    </row>
    <row r="172" spans="1:16" ht="16.05" customHeight="1" x14ac:dyDescent="0.3">
      <c r="A172" t="s">
        <v>433</v>
      </c>
      <c r="B172" t="s">
        <v>434</v>
      </c>
      <c r="C172" s="36" t="str">
        <f>IFERROR(ISCAM_Score!AL173,"—")</f>
        <v>—</v>
      </c>
      <c r="D172" t="str">
        <f t="shared" si="10"/>
        <v>— Sin Inst.2</v>
      </c>
      <c r="E172" t="str">
        <f t="shared" si="11"/>
        <v/>
      </c>
      <c r="F172" t="str">
        <f>IF(MATRIZ_174!L172="","",MATRIZ_174!L172)</f>
        <v/>
      </c>
      <c r="G172" t="str">
        <f>IFERROR(MATRIZ_174!M172,0)</f>
        <v/>
      </c>
      <c r="H172" t="str">
        <f>IF(NORMALIZADO!CC172="","",NORMALIZADO!CC172)</f>
        <v/>
      </c>
      <c r="I172" t="str">
        <f>IF(NORMALIZADO!CF172="","",NORMALIZADO!CF172)</f>
        <v/>
      </c>
      <c r="J172" t="str">
        <f>IF(NORMALIZADO!CG172="","",NORMALIZADO!CG172)</f>
        <v/>
      </c>
      <c r="K172">
        <f>IFERROR(INDEX(MATRIZ_174!$U:$U,MATCH(A172,MATRIZ_174!$A:$A,0))*100,"")</f>
        <v>100</v>
      </c>
      <c r="L172" t="str">
        <f>IFERROR(MATRIZ_174!O172,0)</f>
        <v/>
      </c>
      <c r="N172" t="str">
        <f>IFERROR(ISCAM_Score!AC173,"")</f>
        <v>⬜  Pendiente de instrumento</v>
      </c>
      <c r="O172" t="s">
        <v>110</v>
      </c>
      <c r="P172" t="str">
        <f>IFERROR(INDEX(MATRIZ_174!$C:$C,MATCH(A172,MATRIZ_174!$A:$A,0)),"")</f>
        <v>AMAZONAS</v>
      </c>
    </row>
    <row r="173" spans="1:16" ht="16.05" customHeight="1" x14ac:dyDescent="0.3">
      <c r="A173" t="s">
        <v>435</v>
      </c>
      <c r="B173" t="s">
        <v>436</v>
      </c>
      <c r="C173" s="36" t="str">
        <f>IFERROR(ISCAM_Score!AL174,"—")</f>
        <v>—</v>
      </c>
      <c r="D173" t="str">
        <f t="shared" si="10"/>
        <v>— Sin Inst.2</v>
      </c>
      <c r="E173" t="str">
        <f t="shared" si="11"/>
        <v/>
      </c>
      <c r="F173" t="str">
        <f>IF(MATRIZ_174!L173="","",MATRIZ_174!L173)</f>
        <v/>
      </c>
      <c r="G173" t="str">
        <f>IFERROR(MATRIZ_174!M173,0)</f>
        <v/>
      </c>
      <c r="H173" t="str">
        <f>IF(NORMALIZADO!CC173="","",NORMALIZADO!CC173)</f>
        <v/>
      </c>
      <c r="I173" t="str">
        <f>IF(NORMALIZADO!CF173="","",NORMALIZADO!CF173)</f>
        <v/>
      </c>
      <c r="J173" t="str">
        <f>IF(NORMALIZADO!CG173="","",NORMALIZADO!CG173)</f>
        <v/>
      </c>
      <c r="K173">
        <f>IFERROR(INDEX(MATRIZ_174!$U:$U,MATCH(A173,MATRIZ_174!$A:$A,0))*100,"")</f>
        <v>100</v>
      </c>
      <c r="L173" t="str">
        <f>IFERROR(MATRIZ_174!O173,0)</f>
        <v/>
      </c>
      <c r="N173" t="str">
        <f>IFERROR(ISCAM_Score!AC174,"")</f>
        <v>⬜  Pendiente de instrumento</v>
      </c>
      <c r="O173" t="s">
        <v>177</v>
      </c>
      <c r="P173" t="str">
        <f>IFERROR(INDEX(MATRIZ_174!$C:$C,MATCH(A173,MATRIZ_174!$A:$A,0)),"")</f>
        <v>LAMBAYEQUE</v>
      </c>
    </row>
    <row r="174" spans="1:16" ht="16.05" customHeight="1" x14ac:dyDescent="0.3">
      <c r="A174" t="s">
        <v>437</v>
      </c>
      <c r="C174" s="36" t="str">
        <f>IFERROR(ISCAM_Score!AL175,"—")</f>
        <v>—</v>
      </c>
      <c r="D174" t="str">
        <f t="shared" si="10"/>
        <v>— Sin Inst.2</v>
      </c>
      <c r="E174" t="str">
        <f t="shared" si="11"/>
        <v/>
      </c>
      <c r="F174" t="str">
        <f>IF(MATRIZ_174!L174="","",MATRIZ_174!L174)</f>
        <v/>
      </c>
      <c r="G174" t="str">
        <f>IFERROR(MATRIZ_174!M174,0)</f>
        <v/>
      </c>
      <c r="H174" t="str">
        <f>IF(NORMALIZADO!CC174="","",NORMALIZADO!CC174)</f>
        <v/>
      </c>
      <c r="I174" t="str">
        <f>IF(NORMALIZADO!CF174="","",NORMALIZADO!CF174)</f>
        <v/>
      </c>
      <c r="J174" t="str">
        <f>IF(NORMALIZADO!CG174="","",NORMALIZADO!CG174)</f>
        <v/>
      </c>
      <c r="K174">
        <f>IFERROR(INDEX(MATRIZ_174!$U:$U,MATCH(A174,MATRIZ_174!$A:$A,0))*100,"")</f>
        <v>100</v>
      </c>
      <c r="L174" t="str">
        <f>IFERROR(MATRIZ_174!O174,0)</f>
        <v/>
      </c>
      <c r="N174" t="str">
        <f>IFERROR(ISCAM_Score!AC175,"")</f>
        <v>⬜  Pendiente de instrumento</v>
      </c>
      <c r="P174" t="str">
        <f>IFERROR(INDEX(MATRIZ_174!$C:$C,MATCH(A174,MATRIZ_174!$A:$A,0)),"")</f>
        <v>OTROS</v>
      </c>
    </row>
    <row r="175" spans="1:16" ht="16.05" customHeight="1" x14ac:dyDescent="0.3">
      <c r="A175" t="s">
        <v>439</v>
      </c>
      <c r="B175" t="s">
        <v>440</v>
      </c>
      <c r="C175" s="36" t="str">
        <f>IFERROR(ISCAM_Score!AL176,"—")</f>
        <v>—</v>
      </c>
      <c r="D175" t="str">
        <f t="shared" si="10"/>
        <v>— Sin Inst.2</v>
      </c>
      <c r="E175" t="str">
        <f t="shared" si="11"/>
        <v/>
      </c>
      <c r="F175">
        <f>IF(MATRIZ_174!L175="","",MATRIZ_174!L175)</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t="str">
        <f>IFERROR(MATRIZ_174!O175,0)</f>
        <v/>
      </c>
      <c r="N175" t="str">
        <f>IFERROR(ISCAM_Score!AC176,"")</f>
        <v>⬜  Pendiente de instrumento</v>
      </c>
      <c r="O175" t="s">
        <v>107</v>
      </c>
      <c r="P175" t="str">
        <f>IFERROR(INDEX(MATRIZ_174!$C:$C,MATCH(A175,MATRIZ_174!$A:$A,0)),"")</f>
        <v>UCAYALI</v>
      </c>
    </row>
    <row r="176" spans="1:16" ht="16.05" customHeight="1" x14ac:dyDescent="0.3">
      <c r="A176" t="s">
        <v>441</v>
      </c>
      <c r="B176" t="s">
        <v>442</v>
      </c>
      <c r="C176" s="36" t="str">
        <f>IFERROR(ISCAM_Score!AL177,"—")</f>
        <v>—</v>
      </c>
      <c r="D176" t="str">
        <f t="shared" si="10"/>
        <v>— Sin Inst.2</v>
      </c>
      <c r="E176" t="str">
        <f t="shared" si="11"/>
        <v/>
      </c>
      <c r="F176">
        <f>IF(MATRIZ_174!L176="","",MATRIZ_174!L176)</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t="str">
        <f>IFERROR(MATRIZ_174!O176,0)</f>
        <v/>
      </c>
      <c r="N176" t="str">
        <f>IFERROR(ISCAM_Score!AC177,"")</f>
        <v>⬜  Pendiente de instrumento</v>
      </c>
      <c r="O176" t="s">
        <v>110</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1032</v>
      </c>
      <c r="B179" s="65"/>
      <c r="C179" s="65"/>
      <c r="D179" s="65"/>
      <c r="E179" s="65"/>
      <c r="F179" s="65"/>
      <c r="G179" s="65"/>
      <c r="K179" t="str">
        <f>IFERROR(INDEX(MATRIZ_174!$U:$U,MATCH(A179,MATRIZ_174!$A:$A,0)),"")</f>
        <v/>
      </c>
    </row>
    <row r="180" spans="1:11" ht="18" customHeight="1" x14ac:dyDescent="0.3">
      <c r="A180" t="s">
        <v>1033</v>
      </c>
      <c r="B180" s="65">
        <f>COUNTA(A3:A176)</f>
        <v>174</v>
      </c>
      <c r="C180" s="65"/>
      <c r="D180" s="65"/>
      <c r="K180" t="str">
        <f>IFERROR(INDEX(MATRIZ_174!$U:$U,MATCH(A180,MATRIZ_174!$A:$A,0)),"")</f>
        <v/>
      </c>
    </row>
    <row r="181" spans="1:11" ht="18" customHeight="1" x14ac:dyDescent="0.3">
      <c r="A181" t="s">
        <v>1034</v>
      </c>
      <c r="B181" s="65">
        <f>COUNTIF(F3:F176,"&gt;0")</f>
        <v>36</v>
      </c>
      <c r="C181" s="65"/>
      <c r="D181" s="65"/>
      <c r="K181" t="str">
        <f>IFERROR(INDEX(MATRIZ_174!$U:$U,MATCH(A181,MATRIZ_174!$A:$A,0)),"")</f>
        <v/>
      </c>
    </row>
    <row r="182" spans="1:11" ht="18" customHeight="1" x14ac:dyDescent="0.3">
      <c r="A182" t="s">
        <v>1035</v>
      </c>
      <c r="B182" s="65">
        <f>COUNTIF(C3:C176,"&lt;34")-COUNTIF(C3:C176,0)</f>
        <v>0</v>
      </c>
      <c r="C182" s="65"/>
      <c r="D182" s="65"/>
      <c r="K182" t="str">
        <f>IFERROR(INDEX(MATRIZ_174!$U:$U,MATCH(A182,MATRIZ_174!$A:$A,0)),"")</f>
        <v/>
      </c>
    </row>
    <row r="183" spans="1:11" ht="18" customHeight="1" x14ac:dyDescent="0.3">
      <c r="A183" t="s">
        <v>1036</v>
      </c>
      <c r="B183" s="65">
        <f>COUNTIFS(C3:C176,"&gt;=34",C3:C176,"&lt;67")</f>
        <v>0</v>
      </c>
      <c r="C183" s="65"/>
      <c r="D183" s="65"/>
      <c r="K183" t="str">
        <f>IFERROR(INDEX(MATRIZ_174!$U:$U,MATCH(A183,MATRIZ_174!$A:$A,0)),"")</f>
        <v/>
      </c>
    </row>
    <row r="184" spans="1:11" ht="18" customHeight="1" x14ac:dyDescent="0.3">
      <c r="A184" t="s">
        <v>1037</v>
      </c>
      <c r="B184" s="65">
        <f>COUNTIF(C3:C176,"&gt;=67")</f>
        <v>0</v>
      </c>
      <c r="C184" s="65"/>
      <c r="D184" s="65"/>
      <c r="K184" t="str">
        <f>IFERROR(INDEX(MATRIZ_174!$U:$U,MATCH(A184,MATRIZ_174!$A:$A,0)),"")</f>
        <v/>
      </c>
    </row>
    <row r="185" spans="1:11" ht="18" customHeight="1" x14ac:dyDescent="0.3">
      <c r="A185" t="s">
        <v>1070</v>
      </c>
      <c r="B185" s="65">
        <f>COUNTIF(C3:C176,"—")</f>
        <v>174</v>
      </c>
      <c r="C185" s="65"/>
      <c r="D185" s="65"/>
      <c r="K185" t="str">
        <f>IFERROR(INDEX(MATRIZ_174!$U:$U,MATCH(A185,MATRIZ_174!$A:$A,0)),"")</f>
        <v/>
      </c>
    </row>
    <row r="186" spans="1:11" ht="18" customHeight="1" x14ac:dyDescent="0.3">
      <c r="A186" t="s">
        <v>1605</v>
      </c>
      <c r="B186" s="65">
        <f>IFERROR(ROUND(AVERAGE(MATRIZ_174!S3:S176),1),"—")</f>
        <v>41.7</v>
      </c>
      <c r="C186" s="65"/>
      <c r="D186" s="65"/>
      <c r="K186" t="str">
        <f>IFERROR(INDEX(MATRIZ_174!$U:$U,MATCH(A186,MATRIZ_174!$A:$A,0)),"")</f>
        <v/>
      </c>
    </row>
    <row r="187" spans="1:11" ht="18" customHeight="1" x14ac:dyDescent="0.3">
      <c r="A187" t="s">
        <v>1038</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1039</v>
      </c>
      <c r="B1" s="65"/>
      <c r="C1" s="65"/>
      <c r="D1" s="65"/>
      <c r="E1" s="65"/>
      <c r="F1" s="65"/>
      <c r="G1" s="65"/>
      <c r="H1" s="65"/>
      <c r="I1" s="65"/>
      <c r="J1" s="65"/>
    </row>
    <row r="2" spans="1:13" x14ac:dyDescent="0.3">
      <c r="A2" t="s">
        <v>1040</v>
      </c>
      <c r="B2" t="s">
        <v>1041</v>
      </c>
      <c r="C2" t="s">
        <v>1042</v>
      </c>
      <c r="D2" t="s">
        <v>1043</v>
      </c>
      <c r="E2" t="s">
        <v>1044</v>
      </c>
      <c r="F2" t="s">
        <v>1045</v>
      </c>
      <c r="G2" t="s">
        <v>1046</v>
      </c>
      <c r="H2" t="s">
        <v>1047</v>
      </c>
      <c r="I2" t="s">
        <v>1048</v>
      </c>
      <c r="J2" t="s">
        <v>1049</v>
      </c>
      <c r="K2" t="s">
        <v>1050</v>
      </c>
      <c r="L2" t="s">
        <v>1051</v>
      </c>
      <c r="M2" t="s">
        <v>1066</v>
      </c>
    </row>
    <row r="3" spans="1:13" ht="18" customHeight="1" x14ac:dyDescent="0.3">
      <c r="A3" t="s">
        <v>137</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75</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110</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148</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78</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107</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247</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101</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70</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62</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199</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239</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190</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177</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438</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1052</v>
      </c>
      <c r="B20" s="65"/>
      <c r="C20" s="65"/>
      <c r="D20" s="65"/>
      <c r="E20" s="65"/>
      <c r="F20" s="65"/>
      <c r="G20" s="65"/>
    </row>
    <row r="21" spans="1:13" ht="18" customHeight="1" x14ac:dyDescent="0.3">
      <c r="A21" s="65" t="s">
        <v>1053</v>
      </c>
      <c r="B21" s="65"/>
      <c r="C21" s="65"/>
      <c r="D21" s="65"/>
      <c r="E21" s="65"/>
      <c r="F21" s="65"/>
      <c r="G21" s="65"/>
    </row>
    <row r="22" spans="1:13" ht="18" customHeight="1" x14ac:dyDescent="0.3">
      <c r="A22" s="65" t="s">
        <v>1054</v>
      </c>
      <c r="B22" s="65"/>
      <c r="C22" s="65"/>
      <c r="D22" s="65"/>
      <c r="E22" s="65"/>
      <c r="F22" s="65"/>
      <c r="G22" s="65"/>
    </row>
    <row r="23" spans="1:13" ht="18" customHeight="1" x14ac:dyDescent="0.3">
      <c r="A23" s="65" t="s">
        <v>1055</v>
      </c>
      <c r="B23" s="65"/>
      <c r="C23" s="65"/>
      <c r="D23" s="65"/>
      <c r="E23" s="65"/>
      <c r="F23" s="65"/>
      <c r="G23" s="65"/>
    </row>
    <row r="24" spans="1:13" ht="18" customHeight="1" x14ac:dyDescent="0.3">
      <c r="A24" s="65" t="s">
        <v>1086</v>
      </c>
      <c r="B24" s="65"/>
      <c r="C24" s="65"/>
      <c r="D24" s="65"/>
      <c r="E24" s="65"/>
      <c r="F24" s="65"/>
      <c r="G24" s="65"/>
    </row>
    <row r="26" spans="1:13" x14ac:dyDescent="0.3">
      <c r="A26" s="65" t="s">
        <v>1085</v>
      </c>
      <c r="B26" s="65"/>
      <c r="C26" s="65"/>
      <c r="D26" s="65"/>
      <c r="E26" s="65"/>
      <c r="F26" s="65"/>
      <c r="G26" s="65"/>
    </row>
    <row r="28" spans="1:13" x14ac:dyDescent="0.3">
      <c r="A28" s="44" t="s">
        <v>1056</v>
      </c>
    </row>
    <row r="29" spans="1:13" x14ac:dyDescent="0.3">
      <c r="A29" s="45" t="s">
        <v>24</v>
      </c>
      <c r="B29" s="45" t="s">
        <v>1057</v>
      </c>
      <c r="C29" s="45" t="s">
        <v>981</v>
      </c>
      <c r="D29" s="45" t="s">
        <v>1058</v>
      </c>
      <c r="E29" s="45" t="s">
        <v>985</v>
      </c>
      <c r="F29" s="45" t="s">
        <v>1059</v>
      </c>
      <c r="G29" s="45" t="s">
        <v>1060</v>
      </c>
      <c r="H29" s="45" t="s">
        <v>1011</v>
      </c>
    </row>
    <row r="30" spans="1:13" x14ac:dyDescent="0.3">
      <c r="A30" s="46" t="s">
        <v>63</v>
      </c>
      <c r="B30" s="47">
        <f>COUNTIF(MATRIZ_174!$D$3:$D$176,A30)</f>
        <v>80</v>
      </c>
      <c r="C30" s="48" t="str">
        <f>IFERROR(AVERAGEIF(MATRIZ_174!$D$3:$D$176,$A30,ISCAM_Score!$AK$4:$AK$177),"—")</f>
        <v>—</v>
      </c>
      <c r="D30" s="48">
        <f>IFERROR(AVERAGEIF(MATRIZ_174!$D$3:$D$176,$A30,ISCAM_Score!$AI$4:$AI$177),"—")</f>
        <v>0.43047462406015041</v>
      </c>
      <c r="E30" s="48" t="str">
        <f>IFERROR(AVERAGEIF(MATRIZ_174!$D$3:$D$176,$A30,ISCAM_Score!$AL$4:$AL$177),"—")</f>
        <v>—</v>
      </c>
      <c r="F30" s="48" t="str">
        <f>IFERROR(AVERAGEIF(MATRIZ_174!$D$3:$D$176,$A30,ISCAM_Score!$Z$4:$Z$177),"—")</f>
        <v>—</v>
      </c>
      <c r="G30" s="48">
        <f>IFERROR(AVERAGEIF(MATRIZ_174!$D$3:$D$176,$A30,ISCAM_Score!$AA$4:$AA$177),"—")</f>
        <v>54.669999999999995</v>
      </c>
      <c r="H30" s="48" t="str">
        <f>IFERROR(AVERAGEIF(MATRIZ_174!$D$3:$D$176,$A30,ISCAM_Score!$AB$4:$AB$177),"—")</f>
        <v>—</v>
      </c>
    </row>
    <row r="31" spans="1:13" x14ac:dyDescent="0.3">
      <c r="A31" s="46" t="s">
        <v>71</v>
      </c>
      <c r="B31" s="47">
        <f>COUNTIF(MATRIZ_174!$D$3:$D$176,A31)</f>
        <v>83</v>
      </c>
      <c r="C31" s="48" t="str">
        <f>IFERROR(AVERAGEIF(MATRIZ_174!$D$3:$D$176,$A31,ISCAM_Score!$AK$4:$AK$177),"—")</f>
        <v>—</v>
      </c>
      <c r="D31" s="48">
        <f>IFERROR(AVERAGEIF(MATRIZ_174!$D$3:$D$176,$A31,ISCAM_Score!$AI$4:$AI$177),"—")</f>
        <v>0.3611111111111111</v>
      </c>
      <c r="E31" s="48" t="str">
        <f>IFERROR(AVERAGEIF(MATRIZ_174!$D$3:$D$176,$A31,ISCAM_Score!$AL$4:$AL$177),"—")</f>
        <v>—</v>
      </c>
      <c r="F31" s="48" t="str">
        <f>IFERROR(AVERAGEIF(MATRIZ_174!$D$3:$D$176,$A31,ISCAM_Score!$Z$4:$Z$177),"—")</f>
        <v>—</v>
      </c>
      <c r="G31" s="48">
        <f>IFERROR(AVERAGEIF(MATRIZ_174!$D$3:$D$176,$A31,ISCAM_Score!$AA$4:$AA$177),"—")</f>
        <v>58.704819277108435</v>
      </c>
      <c r="H31" s="48" t="str">
        <f>IFERROR(AVERAGEIF(MATRIZ_174!$D$3:$D$176,$A31,ISCAM_Score!$AB$4:$AB$177),"—")</f>
        <v>—</v>
      </c>
    </row>
    <row r="32" spans="1:13" x14ac:dyDescent="0.3">
      <c r="A32" s="47" t="s">
        <v>1061</v>
      </c>
      <c r="B32" s="47">
        <f>COUNTBLANK(MATRIZ_174!$D$3:$D$176)</f>
        <v>10</v>
      </c>
      <c r="C32" s="48" t="str">
        <f>IFERROR(AVERAGEIF(MATRIZ_174!$D$3:$D$176,"",ISCAM_Score!$AK$4:$AK$177),"—")</f>
        <v>—</v>
      </c>
      <c r="D32" s="48">
        <f>IFERROR(AVERAGEIF(MATRIZ_174!$D$3:$D$176,"",ISCAM_Score!$AI$4:$AI$177),"—")</f>
        <v>0.51714285714285713</v>
      </c>
      <c r="E32" s="48" t="str">
        <f>IFERROR(AVERAGEIF(MATRIZ_174!$D$3:$D$176,"",ISCAM_Score!$AL$4:$AL$177),"—")</f>
        <v>—</v>
      </c>
      <c r="F32" s="48" t="str">
        <f>IFERROR(AVERAGEIF(MATRIZ_174!$D$3:$D$176,"",ISCAM_Score!$Z$4:$Z$177),"—")</f>
        <v>—</v>
      </c>
      <c r="G32" s="48">
        <f>IFERROR(AVERAGEIF(MATRIZ_174!$D$3:$D$176,"",ISCAM_Score!$AA$4:$AA$177),"—")</f>
        <v>55.760000000000005</v>
      </c>
      <c r="H32" s="48" t="str">
        <f>IFERROR(AVERAGEIF(MATRIZ_174!$D$3:$D$176,"",ISCAM_Score!$AB$4:$AB$177),"—")</f>
        <v>—</v>
      </c>
    </row>
    <row r="34" spans="1:2" x14ac:dyDescent="0.3">
      <c r="A34" t="s">
        <v>1062</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1063</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2026-10-15T20:01:35Z</dcterms:modified>
</cp:coreProperties>
</file>