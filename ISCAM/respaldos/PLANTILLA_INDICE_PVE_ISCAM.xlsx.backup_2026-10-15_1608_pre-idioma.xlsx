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14023919-DFDF-4B45-B3C6-40DE95848BE3}"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76" i="5" l="1"/>
  <c r="AV176" i="5" s="1"/>
  <c r="AU175" i="5"/>
  <c r="AV175" i="5" s="1"/>
  <c r="AU174" i="5"/>
  <c r="AV174" i="5" s="1"/>
  <c r="AU173" i="5"/>
  <c r="AV173" i="5" s="1"/>
  <c r="AU172" i="5"/>
  <c r="AV172" i="5" s="1"/>
  <c r="AU171" i="5"/>
  <c r="AV171" i="5" s="1"/>
  <c r="AU170" i="5"/>
  <c r="AV170" i="5" s="1"/>
  <c r="AU169" i="5"/>
  <c r="AV169" i="5" s="1"/>
  <c r="AU168" i="5"/>
  <c r="AV168" i="5" s="1"/>
  <c r="AU167" i="5"/>
  <c r="AV167" i="5" s="1"/>
  <c r="AU166" i="5"/>
  <c r="AV166" i="5" s="1"/>
  <c r="AU165" i="5"/>
  <c r="AV165" i="5" s="1"/>
  <c r="AU164" i="5"/>
  <c r="AV164" i="5" s="1"/>
  <c r="AU163" i="5"/>
  <c r="AV163" i="5" s="1"/>
  <c r="AU162" i="5"/>
  <c r="AV162" i="5" s="1"/>
  <c r="AU161" i="5"/>
  <c r="AV161" i="5" s="1"/>
  <c r="AU160" i="5"/>
  <c r="AV160" i="5" s="1"/>
  <c r="AU159" i="5"/>
  <c r="AV159" i="5" s="1"/>
  <c r="AU158" i="5"/>
  <c r="AV158" i="5" s="1"/>
  <c r="AU157" i="5"/>
  <c r="AV157" i="5" s="1"/>
  <c r="AU156" i="5"/>
  <c r="AV156" i="5" s="1"/>
  <c r="AU155" i="5"/>
  <c r="AV155" i="5" s="1"/>
  <c r="AU154" i="5"/>
  <c r="AV154" i="5" s="1"/>
  <c r="AU153" i="5"/>
  <c r="AV153" i="5" s="1"/>
  <c r="AU152" i="5"/>
  <c r="AV152" i="5" s="1"/>
  <c r="AU151" i="5"/>
  <c r="AV151" i="5" s="1"/>
  <c r="AU150" i="5"/>
  <c r="AV150" i="5" s="1"/>
  <c r="AU149" i="5"/>
  <c r="AV149" i="5" s="1"/>
  <c r="AU148" i="5"/>
  <c r="AV148" i="5" s="1"/>
  <c r="AU147" i="5"/>
  <c r="AV147" i="5" s="1"/>
  <c r="AU146" i="5"/>
  <c r="AV146" i="5" s="1"/>
  <c r="AU145" i="5"/>
  <c r="AV145" i="5" s="1"/>
  <c r="AU144" i="5"/>
  <c r="AV144" i="5" s="1"/>
  <c r="AU143" i="5"/>
  <c r="AV143" i="5" s="1"/>
  <c r="AU142" i="5"/>
  <c r="AV142" i="5" s="1"/>
  <c r="AU141" i="5"/>
  <c r="AV141" i="5" s="1"/>
  <c r="AU140" i="5"/>
  <c r="AV140" i="5" s="1"/>
  <c r="AU139" i="5"/>
  <c r="AV139" i="5" s="1"/>
  <c r="AU138" i="5"/>
  <c r="AV138" i="5" s="1"/>
  <c r="AU137" i="5"/>
  <c r="AV137" i="5" s="1"/>
  <c r="AU136" i="5"/>
  <c r="AV136" i="5" s="1"/>
  <c r="AU135" i="5"/>
  <c r="AV135" i="5" s="1"/>
  <c r="AU134" i="5"/>
  <c r="AV134" i="5" s="1"/>
  <c r="AU133" i="5"/>
  <c r="AV133" i="5" s="1"/>
  <c r="AU132" i="5"/>
  <c r="AV132" i="5" s="1"/>
  <c r="AU131" i="5"/>
  <c r="AV131" i="5" s="1"/>
  <c r="AU130" i="5"/>
  <c r="AV130" i="5" s="1"/>
  <c r="AU129" i="5"/>
  <c r="AV129" i="5" s="1"/>
  <c r="AU128" i="5"/>
  <c r="AV128" i="5" s="1"/>
  <c r="AU127" i="5"/>
  <c r="AV127" i="5" s="1"/>
  <c r="AU126" i="5"/>
  <c r="AV126" i="5" s="1"/>
  <c r="AU125" i="5"/>
  <c r="AV125" i="5" s="1"/>
  <c r="AU124" i="5"/>
  <c r="AV124" i="5" s="1"/>
  <c r="AU123" i="5"/>
  <c r="AV123" i="5" s="1"/>
  <c r="AU122" i="5"/>
  <c r="AV122" i="5" s="1"/>
  <c r="AU121" i="5"/>
  <c r="AV121" i="5" s="1"/>
  <c r="AU120" i="5"/>
  <c r="AV120" i="5" s="1"/>
  <c r="AU119" i="5"/>
  <c r="AV119" i="5" s="1"/>
  <c r="AU118" i="5"/>
  <c r="AV118" i="5" s="1"/>
  <c r="AU117" i="5"/>
  <c r="AV117" i="5" s="1"/>
  <c r="AU116" i="5"/>
  <c r="AV116" i="5" s="1"/>
  <c r="AU115" i="5"/>
  <c r="AV115" i="5" s="1"/>
  <c r="AU114" i="5"/>
  <c r="AV114" i="5" s="1"/>
  <c r="AU113" i="5"/>
  <c r="AV113" i="5" s="1"/>
  <c r="AU112" i="5"/>
  <c r="AV112" i="5" s="1"/>
  <c r="AU111" i="5"/>
  <c r="AV111" i="5" s="1"/>
  <c r="AU110" i="5"/>
  <c r="AV110" i="5" s="1"/>
  <c r="AU109" i="5"/>
  <c r="AV109" i="5" s="1"/>
  <c r="AU108" i="5"/>
  <c r="AV108" i="5" s="1"/>
  <c r="AU107" i="5"/>
  <c r="AV107" i="5" s="1"/>
  <c r="AU106" i="5"/>
  <c r="AV106" i="5" s="1"/>
  <c r="AU105" i="5"/>
  <c r="AV105" i="5" s="1"/>
  <c r="AU104" i="5"/>
  <c r="AV104" i="5" s="1"/>
  <c r="AU103" i="5"/>
  <c r="AV103" i="5" s="1"/>
  <c r="AU102" i="5"/>
  <c r="AV102" i="5" s="1"/>
  <c r="AU101" i="5"/>
  <c r="AV101" i="5" s="1"/>
  <c r="AU100" i="5"/>
  <c r="AV100" i="5" s="1"/>
  <c r="AU99" i="5"/>
  <c r="AV99" i="5" s="1"/>
  <c r="AU98" i="5"/>
  <c r="AV98" i="5" s="1"/>
  <c r="AU97" i="5"/>
  <c r="AV97" i="5" s="1"/>
  <c r="AU96" i="5"/>
  <c r="AV96" i="5" s="1"/>
  <c r="AU95" i="5"/>
  <c r="AV95" i="5" s="1"/>
  <c r="AU94" i="5"/>
  <c r="AV94" i="5" s="1"/>
  <c r="AU93" i="5"/>
  <c r="AV93" i="5" s="1"/>
  <c r="AU92" i="5"/>
  <c r="AV92" i="5" s="1"/>
  <c r="AU91" i="5"/>
  <c r="AV91" i="5" s="1"/>
  <c r="AU90" i="5"/>
  <c r="AV90" i="5" s="1"/>
  <c r="AU89" i="5"/>
  <c r="AV89" i="5" s="1"/>
  <c r="AU88" i="5"/>
  <c r="AV88" i="5" s="1"/>
  <c r="AU87" i="5"/>
  <c r="AV87" i="5" s="1"/>
  <c r="AU86" i="5"/>
  <c r="AV86" i="5" s="1"/>
  <c r="AU85" i="5"/>
  <c r="AV85" i="5" s="1"/>
  <c r="AU84" i="5"/>
  <c r="AV84" i="5" s="1"/>
  <c r="AU83" i="5"/>
  <c r="AV83" i="5" s="1"/>
  <c r="AU82" i="5"/>
  <c r="AV82" i="5" s="1"/>
  <c r="AU81" i="5"/>
  <c r="AV81" i="5" s="1"/>
  <c r="AU80" i="5"/>
  <c r="AV80" i="5" s="1"/>
  <c r="AU79" i="5"/>
  <c r="AV79" i="5" s="1"/>
  <c r="AU78" i="5"/>
  <c r="AV78" i="5" s="1"/>
  <c r="AU77" i="5"/>
  <c r="AV77" i="5" s="1"/>
  <c r="AU76" i="5"/>
  <c r="AV76" i="5" s="1"/>
  <c r="AU75" i="5"/>
  <c r="AV75" i="5" s="1"/>
  <c r="AU74" i="5"/>
  <c r="AV74" i="5" s="1"/>
  <c r="AU73" i="5"/>
  <c r="AV73" i="5" s="1"/>
  <c r="AU72" i="5"/>
  <c r="AV72" i="5" s="1"/>
  <c r="AU71" i="5"/>
  <c r="AV71" i="5" s="1"/>
  <c r="AU70" i="5"/>
  <c r="AV70" i="5" s="1"/>
  <c r="AU69" i="5"/>
  <c r="AV69" i="5" s="1"/>
  <c r="AU68" i="5"/>
  <c r="AV68" i="5" s="1"/>
  <c r="AU67" i="5"/>
  <c r="AV67" i="5" s="1"/>
  <c r="AU66" i="5"/>
  <c r="AV66" i="5" s="1"/>
  <c r="AU65" i="5"/>
  <c r="AV65" i="5" s="1"/>
  <c r="AU64" i="5"/>
  <c r="AV64" i="5" s="1"/>
  <c r="AU63" i="5"/>
  <c r="AV63" i="5" s="1"/>
  <c r="AU62" i="5"/>
  <c r="AV62" i="5" s="1"/>
  <c r="AU61" i="5"/>
  <c r="AV61" i="5" s="1"/>
  <c r="AU60" i="5"/>
  <c r="AV60" i="5" s="1"/>
  <c r="AU59" i="5"/>
  <c r="AV59" i="5" s="1"/>
  <c r="AU58" i="5"/>
  <c r="AV58" i="5" s="1"/>
  <c r="AU57" i="5"/>
  <c r="AV57" i="5" s="1"/>
  <c r="AU56" i="5"/>
  <c r="AV56" i="5" s="1"/>
  <c r="AU55" i="5"/>
  <c r="AV55" i="5" s="1"/>
  <c r="AU54" i="5"/>
  <c r="AV54" i="5" s="1"/>
  <c r="AU53" i="5"/>
  <c r="AV53" i="5" s="1"/>
  <c r="AU52" i="5"/>
  <c r="AV52" i="5" s="1"/>
  <c r="AU51" i="5"/>
  <c r="AV51" i="5" s="1"/>
  <c r="AU50" i="5"/>
  <c r="AV50" i="5" s="1"/>
  <c r="AU49" i="5"/>
  <c r="AV49" i="5" s="1"/>
  <c r="AU48" i="5"/>
  <c r="AV48" i="5" s="1"/>
  <c r="AU47" i="5"/>
  <c r="AV47" i="5" s="1"/>
  <c r="AU46" i="5"/>
  <c r="AV46" i="5" s="1"/>
  <c r="AU45" i="5"/>
  <c r="AV45" i="5" s="1"/>
  <c r="AU44" i="5"/>
  <c r="AV44" i="5" s="1"/>
  <c r="AU43" i="5"/>
  <c r="AV43" i="5" s="1"/>
  <c r="AU42" i="5"/>
  <c r="AV42" i="5" s="1"/>
  <c r="AU41" i="5"/>
  <c r="AV41" i="5" s="1"/>
  <c r="AU40" i="5"/>
  <c r="AV40" i="5" s="1"/>
  <c r="AU39" i="5"/>
  <c r="AV39" i="5" s="1"/>
  <c r="AU38" i="5"/>
  <c r="AV38" i="5" s="1"/>
  <c r="AU37" i="5"/>
  <c r="AV37" i="5" s="1"/>
  <c r="AU36" i="5"/>
  <c r="AV36" i="5" s="1"/>
  <c r="AU35" i="5"/>
  <c r="AV35" i="5" s="1"/>
  <c r="AU34" i="5"/>
  <c r="AV34" i="5" s="1"/>
  <c r="AU33" i="5"/>
  <c r="AV33" i="5" s="1"/>
  <c r="AU32" i="5"/>
  <c r="AV32" i="5" s="1"/>
  <c r="AU31" i="5"/>
  <c r="AV31" i="5" s="1"/>
  <c r="AU30" i="5"/>
  <c r="AV30" i="5" s="1"/>
  <c r="AU29" i="5"/>
  <c r="AV29" i="5" s="1"/>
  <c r="AU28" i="5"/>
  <c r="AV28" i="5" s="1"/>
  <c r="AU27" i="5"/>
  <c r="AV27" i="5" s="1"/>
  <c r="AU26" i="5"/>
  <c r="AV26" i="5" s="1"/>
  <c r="AU25" i="5"/>
  <c r="AV25" i="5" s="1"/>
  <c r="AU24" i="5"/>
  <c r="AV24" i="5" s="1"/>
  <c r="AU23" i="5"/>
  <c r="AV23" i="5" s="1"/>
  <c r="AU22" i="5"/>
  <c r="AV22" i="5" s="1"/>
  <c r="AU21" i="5"/>
  <c r="AV21" i="5" s="1"/>
  <c r="AU20" i="5"/>
  <c r="AV20" i="5" s="1"/>
  <c r="AU19" i="5"/>
  <c r="AV19" i="5" s="1"/>
  <c r="AU18" i="5"/>
  <c r="AV18" i="5" s="1"/>
  <c r="AU17" i="5"/>
  <c r="AV17" i="5" s="1"/>
  <c r="AU16" i="5"/>
  <c r="AV16" i="5" s="1"/>
  <c r="AU15" i="5"/>
  <c r="AV15" i="5" s="1"/>
  <c r="AU14" i="5"/>
  <c r="AV14" i="5" s="1"/>
  <c r="AU13" i="5"/>
  <c r="AV13" i="5" s="1"/>
  <c r="AU12" i="5"/>
  <c r="AV12" i="5" s="1"/>
  <c r="AU11" i="5"/>
  <c r="AV11" i="5" s="1"/>
  <c r="AU10" i="5"/>
  <c r="AV10" i="5" s="1"/>
  <c r="AU9" i="5"/>
  <c r="AV9" i="5" s="1"/>
  <c r="AU8" i="5"/>
  <c r="AV8" i="5" s="1"/>
  <c r="AU7" i="5"/>
  <c r="AV7" i="5" s="1"/>
  <c r="AU6" i="5"/>
  <c r="AV6" i="5" s="1"/>
  <c r="AU5" i="5"/>
  <c r="AV5" i="5" s="1"/>
  <c r="AU4" i="5"/>
  <c r="AV4" i="5" s="1"/>
  <c r="AU3" i="5"/>
  <c r="AV3" i="5" s="1"/>
  <c r="CK3" i="16"/>
  <c r="CK4" i="16"/>
  <c r="CK5" i="16"/>
  <c r="CK6" i="16"/>
  <c r="CK7" i="16"/>
  <c r="CK8" i="16"/>
  <c r="CK9" i="16"/>
  <c r="CK10" i="16"/>
  <c r="CK11" i="16"/>
  <c r="CK12" i="16"/>
  <c r="CK13" i="16"/>
  <c r="CK14" i="16"/>
  <c r="CK15" i="16"/>
  <c r="CK16" i="16"/>
  <c r="CK17" i="16"/>
  <c r="CK18" i="16"/>
  <c r="CK19" i="16"/>
  <c r="CK20" i="16"/>
  <c r="CK21" i="16"/>
  <c r="CK22" i="16"/>
  <c r="CK23" i="16"/>
  <c r="CK24" i="16"/>
  <c r="CK25" i="16"/>
  <c r="CK26" i="16"/>
  <c r="CK27" i="16"/>
  <c r="CK28" i="16"/>
  <c r="CK29" i="16"/>
  <c r="CK30" i="16"/>
  <c r="CK31" i="16"/>
  <c r="CK32" i="16"/>
  <c r="CK33" i="16"/>
  <c r="CK34" i="16"/>
  <c r="CK35" i="16"/>
  <c r="CK36" i="16"/>
  <c r="CK37" i="16"/>
  <c r="CK38" i="16"/>
  <c r="CK39" i="16"/>
  <c r="CK40" i="16"/>
  <c r="CK41" i="16"/>
  <c r="CK42" i="16"/>
  <c r="CK43" i="16"/>
  <c r="CK44" i="16"/>
  <c r="CK45" i="16"/>
  <c r="CK46" i="16"/>
  <c r="CK47" i="16"/>
  <c r="CK48" i="16"/>
  <c r="CK49" i="16"/>
  <c r="CK50" i="16"/>
  <c r="CK51" i="16"/>
  <c r="CK52" i="16"/>
  <c r="CK53" i="16"/>
  <c r="CK54" i="16"/>
  <c r="CK55" i="16"/>
  <c r="CK56" i="16"/>
  <c r="CK57" i="16"/>
  <c r="CK58" i="16"/>
  <c r="CK59" i="16"/>
  <c r="CK60" i="16"/>
  <c r="CK61" i="16"/>
  <c r="CK62" i="16"/>
  <c r="CK63" i="16"/>
  <c r="CK64" i="16"/>
  <c r="CK65" i="16"/>
  <c r="CK66" i="16"/>
  <c r="CK67" i="16"/>
  <c r="CK68" i="16"/>
  <c r="CK69" i="16"/>
  <c r="CK70" i="16"/>
  <c r="CK71" i="16"/>
  <c r="CK72" i="16"/>
  <c r="CK73" i="16"/>
  <c r="CK74" i="16"/>
  <c r="CK75" i="16"/>
  <c r="CK76" i="16"/>
  <c r="CK77" i="16"/>
  <c r="CK78" i="16"/>
  <c r="CK79" i="16"/>
  <c r="CK80" i="16"/>
  <c r="CK81" i="16"/>
  <c r="CK82" i="16"/>
  <c r="CK83" i="16"/>
  <c r="CK84" i="16"/>
  <c r="CK85" i="16"/>
  <c r="CK86" i="16"/>
  <c r="CK87" i="16"/>
  <c r="CK88" i="16"/>
  <c r="CK89" i="16"/>
  <c r="CK90" i="16"/>
  <c r="CK91" i="16"/>
  <c r="CK92" i="16"/>
  <c r="CK93" i="16"/>
  <c r="CK94" i="16"/>
  <c r="CK95" i="16"/>
  <c r="CK96" i="16"/>
  <c r="CK97" i="16"/>
  <c r="CK98" i="16"/>
  <c r="CK99" i="16"/>
  <c r="CK100" i="16"/>
  <c r="CK101" i="16"/>
  <c r="CK102" i="16"/>
  <c r="CK103" i="16"/>
  <c r="CK104" i="16"/>
  <c r="CK105" i="16"/>
  <c r="CK106" i="16"/>
  <c r="CK107" i="16"/>
  <c r="CK108" i="16"/>
  <c r="CK109" i="16"/>
  <c r="CK110" i="16"/>
  <c r="CK111" i="16"/>
  <c r="CK112" i="16"/>
  <c r="CK113" i="16"/>
  <c r="CK114" i="16"/>
  <c r="CK115" i="16"/>
  <c r="CK116" i="16"/>
  <c r="CK117" i="16"/>
  <c r="CK118" i="16"/>
  <c r="CK119" i="16"/>
  <c r="CK120" i="16"/>
  <c r="CK121" i="16"/>
  <c r="CK122" i="16"/>
  <c r="CK123" i="16"/>
  <c r="CK124" i="16"/>
  <c r="CK125" i="16"/>
  <c r="CK126" i="16"/>
  <c r="CK127" i="16"/>
  <c r="CK128" i="16"/>
  <c r="CK129" i="16"/>
  <c r="CK130" i="16"/>
  <c r="CK131" i="16"/>
  <c r="CK132" i="16"/>
  <c r="CK133" i="16"/>
  <c r="CK134" i="16"/>
  <c r="CK135" i="16"/>
  <c r="CK136" i="16"/>
  <c r="CK137" i="16"/>
  <c r="CK138" i="16"/>
  <c r="CK139" i="16"/>
  <c r="CK140" i="16"/>
  <c r="CK141" i="16"/>
  <c r="CK142" i="16"/>
  <c r="CK143" i="16"/>
  <c r="CK144" i="16"/>
  <c r="CK145" i="16"/>
  <c r="CK146" i="16"/>
  <c r="CK147" i="16"/>
  <c r="CK148" i="16"/>
  <c r="CK149" i="16"/>
  <c r="CK150" i="16"/>
  <c r="CK151" i="16"/>
  <c r="CK152" i="16"/>
  <c r="CK153" i="16"/>
  <c r="CK154" i="16"/>
  <c r="CK155" i="16"/>
  <c r="CK156" i="16"/>
  <c r="CK157" i="16"/>
  <c r="CK158" i="16"/>
  <c r="CK159" i="16"/>
  <c r="CK160" i="16"/>
  <c r="CK161" i="16"/>
  <c r="CK162" i="16"/>
  <c r="CK163" i="16"/>
  <c r="CK164" i="16"/>
  <c r="CK165" i="16"/>
  <c r="CK166" i="16"/>
  <c r="CK167" i="16"/>
  <c r="CK168" i="16"/>
  <c r="CK169" i="16"/>
  <c r="CK170" i="16"/>
  <c r="CK171" i="16"/>
  <c r="CK172" i="16"/>
  <c r="CK173" i="16"/>
  <c r="CK174" i="16"/>
  <c r="CK175" i="16"/>
  <c r="CK176" i="16"/>
  <c r="CL3" i="16"/>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L4" i="6" s="1"/>
  <c r="O5" i="5"/>
  <c r="L5" i="6" s="1"/>
  <c r="O6" i="5"/>
  <c r="L6" i="6" s="1"/>
  <c r="O7" i="5"/>
  <c r="L7" i="6" s="1"/>
  <c r="O8" i="5"/>
  <c r="L8" i="6" s="1"/>
  <c r="O9" i="5"/>
  <c r="L9" i="6" s="1"/>
  <c r="O10" i="5"/>
  <c r="L10" i="6" s="1"/>
  <c r="O11" i="5"/>
  <c r="L11" i="6" s="1"/>
  <c r="O12" i="5"/>
  <c r="L12" i="6" s="1"/>
  <c r="O13" i="5"/>
  <c r="L13" i="6" s="1"/>
  <c r="O14" i="5"/>
  <c r="L14" i="6" s="1"/>
  <c r="O15" i="5"/>
  <c r="L15" i="6" s="1"/>
  <c r="O16" i="5"/>
  <c r="L16" i="6" s="1"/>
  <c r="O17" i="5"/>
  <c r="L17" i="6" s="1"/>
  <c r="O18" i="5"/>
  <c r="L18" i="6" s="1"/>
  <c r="O19" i="5"/>
  <c r="L19" i="6" s="1"/>
  <c r="O20" i="5"/>
  <c r="L20" i="6" s="1"/>
  <c r="O21" i="5"/>
  <c r="L21" i="6" s="1"/>
  <c r="O22" i="5"/>
  <c r="L22" i="6" s="1"/>
  <c r="O23" i="5"/>
  <c r="L23" i="6" s="1"/>
  <c r="O24" i="5"/>
  <c r="L24" i="6" s="1"/>
  <c r="O25" i="5"/>
  <c r="L25" i="6" s="1"/>
  <c r="O26" i="5"/>
  <c r="L26" i="6" s="1"/>
  <c r="O27" i="5"/>
  <c r="L27" i="6" s="1"/>
  <c r="O28" i="5"/>
  <c r="L28" i="6" s="1"/>
  <c r="O29" i="5"/>
  <c r="L29" i="6" s="1"/>
  <c r="O30" i="5"/>
  <c r="L30" i="6" s="1"/>
  <c r="O31" i="5"/>
  <c r="L31" i="6" s="1"/>
  <c r="O32" i="5"/>
  <c r="L32" i="6" s="1"/>
  <c r="O33" i="5"/>
  <c r="L33" i="6" s="1"/>
  <c r="O34" i="5"/>
  <c r="L34" i="6" s="1"/>
  <c r="O35" i="5"/>
  <c r="L35" i="6" s="1"/>
  <c r="O36" i="5"/>
  <c r="L36" i="6" s="1"/>
  <c r="O37" i="5"/>
  <c r="L37" i="6" s="1"/>
  <c r="O38" i="5"/>
  <c r="L38" i="6" s="1"/>
  <c r="O39" i="5"/>
  <c r="L39" i="6" s="1"/>
  <c r="O40" i="5"/>
  <c r="L40" i="6" s="1"/>
  <c r="O41" i="5"/>
  <c r="L41" i="6" s="1"/>
  <c r="O42" i="5"/>
  <c r="L42" i="6" s="1"/>
  <c r="O43" i="5"/>
  <c r="L43" i="6" s="1"/>
  <c r="O44" i="5"/>
  <c r="L44" i="6" s="1"/>
  <c r="O45" i="5"/>
  <c r="L45" i="6" s="1"/>
  <c r="O46" i="5"/>
  <c r="L46" i="6" s="1"/>
  <c r="O47" i="5"/>
  <c r="L47" i="6" s="1"/>
  <c r="O48" i="5"/>
  <c r="L48" i="6" s="1"/>
  <c r="O49" i="5"/>
  <c r="L49" i="6" s="1"/>
  <c r="O50" i="5"/>
  <c r="L50" i="6" s="1"/>
  <c r="O51" i="5"/>
  <c r="L51" i="6" s="1"/>
  <c r="O52" i="5"/>
  <c r="L52" i="6" s="1"/>
  <c r="O53" i="5"/>
  <c r="L53" i="6" s="1"/>
  <c r="O54" i="5"/>
  <c r="L54" i="6" s="1"/>
  <c r="O55" i="5"/>
  <c r="L55" i="6" s="1"/>
  <c r="O56" i="5"/>
  <c r="L56" i="6" s="1"/>
  <c r="O57" i="5"/>
  <c r="L57" i="6" s="1"/>
  <c r="O58" i="5"/>
  <c r="L58" i="6" s="1"/>
  <c r="O59" i="5"/>
  <c r="L59" i="6" s="1"/>
  <c r="O60" i="5"/>
  <c r="L60" i="6" s="1"/>
  <c r="O61" i="5"/>
  <c r="L61" i="6" s="1"/>
  <c r="O62" i="5"/>
  <c r="L62" i="6" s="1"/>
  <c r="O63" i="5"/>
  <c r="L63" i="6" s="1"/>
  <c r="O64" i="5"/>
  <c r="L64" i="6" s="1"/>
  <c r="O65" i="5"/>
  <c r="L65" i="6" s="1"/>
  <c r="O66" i="5"/>
  <c r="L66" i="6" s="1"/>
  <c r="O67" i="5"/>
  <c r="L67" i="6" s="1"/>
  <c r="O68" i="5"/>
  <c r="L68" i="6" s="1"/>
  <c r="O69" i="5"/>
  <c r="L69" i="6" s="1"/>
  <c r="O70" i="5"/>
  <c r="L70" i="6" s="1"/>
  <c r="O71" i="5"/>
  <c r="L71" i="6" s="1"/>
  <c r="O72" i="5"/>
  <c r="L72" i="6" s="1"/>
  <c r="O73" i="5"/>
  <c r="L73" i="6" s="1"/>
  <c r="O74" i="5"/>
  <c r="L74" i="6" s="1"/>
  <c r="O75" i="5"/>
  <c r="L75" i="6" s="1"/>
  <c r="O76" i="5"/>
  <c r="L76" i="6" s="1"/>
  <c r="O77" i="5"/>
  <c r="L77" i="6" s="1"/>
  <c r="O78" i="5"/>
  <c r="L78" i="6" s="1"/>
  <c r="O79" i="5"/>
  <c r="L79" i="6" s="1"/>
  <c r="O80" i="5"/>
  <c r="L80" i="6" s="1"/>
  <c r="O81" i="5"/>
  <c r="L81" i="6" s="1"/>
  <c r="O82" i="5"/>
  <c r="L82" i="6" s="1"/>
  <c r="O83" i="5"/>
  <c r="L83" i="6" s="1"/>
  <c r="O84" i="5"/>
  <c r="L84" i="6" s="1"/>
  <c r="O85" i="5"/>
  <c r="L85" i="6" s="1"/>
  <c r="O86" i="5"/>
  <c r="L86" i="6" s="1"/>
  <c r="O87" i="5"/>
  <c r="L87" i="6" s="1"/>
  <c r="O88" i="5"/>
  <c r="L88" i="6" s="1"/>
  <c r="O89" i="5"/>
  <c r="L89" i="6" s="1"/>
  <c r="O90" i="5"/>
  <c r="L90" i="6" s="1"/>
  <c r="O91" i="5"/>
  <c r="L91" i="6" s="1"/>
  <c r="O92" i="5"/>
  <c r="L92" i="6" s="1"/>
  <c r="O93" i="5"/>
  <c r="L93" i="6" s="1"/>
  <c r="O94" i="5"/>
  <c r="L94" i="6" s="1"/>
  <c r="O95" i="5"/>
  <c r="L95" i="6" s="1"/>
  <c r="O96" i="5"/>
  <c r="L96" i="6" s="1"/>
  <c r="O97" i="5"/>
  <c r="L97" i="6" s="1"/>
  <c r="O98" i="5"/>
  <c r="L98" i="6" s="1"/>
  <c r="O99" i="5"/>
  <c r="L99" i="6" s="1"/>
  <c r="O100" i="5"/>
  <c r="L100" i="6" s="1"/>
  <c r="O101" i="5"/>
  <c r="L101" i="6" s="1"/>
  <c r="O102" i="5"/>
  <c r="L102" i="6" s="1"/>
  <c r="O103" i="5"/>
  <c r="L103" i="6" s="1"/>
  <c r="O104" i="5"/>
  <c r="L104" i="6" s="1"/>
  <c r="O105" i="5"/>
  <c r="L105" i="6" s="1"/>
  <c r="O106" i="5"/>
  <c r="L106" i="6" s="1"/>
  <c r="O107" i="5"/>
  <c r="L107" i="6" s="1"/>
  <c r="O108" i="5"/>
  <c r="L108" i="6" s="1"/>
  <c r="O109" i="5"/>
  <c r="L109" i="6" s="1"/>
  <c r="O110" i="5"/>
  <c r="L110" i="6" s="1"/>
  <c r="O111" i="5"/>
  <c r="L111" i="6" s="1"/>
  <c r="O112" i="5"/>
  <c r="L112" i="6" s="1"/>
  <c r="O113" i="5"/>
  <c r="L113" i="6" s="1"/>
  <c r="O114" i="5"/>
  <c r="L114" i="6" s="1"/>
  <c r="O115" i="5"/>
  <c r="L115" i="6" s="1"/>
  <c r="O116" i="5"/>
  <c r="L116" i="6" s="1"/>
  <c r="O117" i="5"/>
  <c r="L117" i="6" s="1"/>
  <c r="O118" i="5"/>
  <c r="L118" i="6" s="1"/>
  <c r="O119" i="5"/>
  <c r="L119" i="6" s="1"/>
  <c r="O120" i="5"/>
  <c r="L120" i="6" s="1"/>
  <c r="O121" i="5"/>
  <c r="L121" i="6" s="1"/>
  <c r="O122" i="5"/>
  <c r="L122" i="6" s="1"/>
  <c r="O123" i="5"/>
  <c r="L123" i="6" s="1"/>
  <c r="O124" i="5"/>
  <c r="L124" i="6" s="1"/>
  <c r="O125" i="5"/>
  <c r="L125" i="6" s="1"/>
  <c r="O126" i="5"/>
  <c r="L126" i="6" s="1"/>
  <c r="O127" i="5"/>
  <c r="L127" i="6" s="1"/>
  <c r="O128" i="5"/>
  <c r="L128" i="6" s="1"/>
  <c r="O129" i="5"/>
  <c r="L129" i="6" s="1"/>
  <c r="O130" i="5"/>
  <c r="L130" i="6" s="1"/>
  <c r="O131" i="5"/>
  <c r="L131" i="6" s="1"/>
  <c r="O132" i="5"/>
  <c r="L132" i="6" s="1"/>
  <c r="O133" i="5"/>
  <c r="L133" i="6" s="1"/>
  <c r="O134" i="5"/>
  <c r="L134" i="6" s="1"/>
  <c r="O135" i="5"/>
  <c r="L135" i="6" s="1"/>
  <c r="O136" i="5"/>
  <c r="L136" i="6" s="1"/>
  <c r="O137" i="5"/>
  <c r="L137" i="6" s="1"/>
  <c r="O138" i="5"/>
  <c r="L138" i="6" s="1"/>
  <c r="O139" i="5"/>
  <c r="L139" i="6" s="1"/>
  <c r="O140" i="5"/>
  <c r="L140" i="6" s="1"/>
  <c r="O141" i="5"/>
  <c r="L141" i="6" s="1"/>
  <c r="O142" i="5"/>
  <c r="L142" i="6" s="1"/>
  <c r="O143" i="5"/>
  <c r="L143" i="6" s="1"/>
  <c r="O144" i="5"/>
  <c r="L144" i="6" s="1"/>
  <c r="O145" i="5"/>
  <c r="L145" i="6" s="1"/>
  <c r="O146" i="5"/>
  <c r="L146" i="6" s="1"/>
  <c r="O147" i="5"/>
  <c r="L147" i="6" s="1"/>
  <c r="O148" i="5"/>
  <c r="L148" i="6" s="1"/>
  <c r="O149" i="5"/>
  <c r="L149" i="6" s="1"/>
  <c r="O150" i="5"/>
  <c r="L150" i="6" s="1"/>
  <c r="O151" i="5"/>
  <c r="L151" i="6" s="1"/>
  <c r="O152" i="5"/>
  <c r="L152" i="6" s="1"/>
  <c r="O153" i="5"/>
  <c r="L153" i="6" s="1"/>
  <c r="O154" i="5"/>
  <c r="L154" i="6" s="1"/>
  <c r="O155" i="5"/>
  <c r="L155" i="6" s="1"/>
  <c r="O156" i="5"/>
  <c r="L156" i="6" s="1"/>
  <c r="O157" i="5"/>
  <c r="L157" i="6" s="1"/>
  <c r="O158" i="5"/>
  <c r="L158" i="6" s="1"/>
  <c r="O159" i="5"/>
  <c r="L159" i="6" s="1"/>
  <c r="O160" i="5"/>
  <c r="L160" i="6" s="1"/>
  <c r="O161" i="5"/>
  <c r="L161" i="6" s="1"/>
  <c r="O162" i="5"/>
  <c r="L162" i="6" s="1"/>
  <c r="O163" i="5"/>
  <c r="L163" i="6" s="1"/>
  <c r="O164" i="5"/>
  <c r="L164" i="6" s="1"/>
  <c r="O165" i="5"/>
  <c r="L165" i="6" s="1"/>
  <c r="O166" i="5"/>
  <c r="L166" i="6" s="1"/>
  <c r="O167" i="5"/>
  <c r="L167" i="6" s="1"/>
  <c r="O168" i="5"/>
  <c r="L168" i="6" s="1"/>
  <c r="O169" i="5"/>
  <c r="L169" i="6" s="1"/>
  <c r="O170" i="5"/>
  <c r="L170" i="6" s="1"/>
  <c r="O171" i="5"/>
  <c r="L171" i="6" s="1"/>
  <c r="O172" i="5"/>
  <c r="L172" i="6" s="1"/>
  <c r="O173" i="5"/>
  <c r="L173" i="6" s="1"/>
  <c r="O174" i="5"/>
  <c r="L174" i="6" s="1"/>
  <c r="O175" i="5"/>
  <c r="L175" i="6" s="1"/>
  <c r="O176" i="5"/>
  <c r="L176" i="6" s="1"/>
  <c r="O3" i="5"/>
  <c r="L3" i="6"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G161" i="6" s="1"/>
  <c r="M162" i="5"/>
  <c r="G162" i="6" s="1"/>
  <c r="M163" i="5"/>
  <c r="G163" i="6" s="1"/>
  <c r="M164" i="5"/>
  <c r="G164" i="6" s="1"/>
  <c r="M165" i="5"/>
  <c r="G165" i="6" s="1"/>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Y103" i="5" s="1"/>
  <c r="BX104" i="16"/>
  <c r="Y104" i="5" s="1"/>
  <c r="BX105" i="16"/>
  <c r="Y105" i="5" s="1"/>
  <c r="BX106" i="16"/>
  <c r="Y106" i="5" s="1"/>
  <c r="BX107" i="16"/>
  <c r="Y107" i="5" s="1"/>
  <c r="BX108" i="16"/>
  <c r="Y108" i="5" s="1"/>
  <c r="BX109" i="16"/>
  <c r="Y109" i="5" s="1"/>
  <c r="BX110" i="16"/>
  <c r="Y110" i="5" s="1"/>
  <c r="BX111" i="16"/>
  <c r="Y111" i="5" s="1"/>
  <c r="BX112" i="16"/>
  <c r="Y112" i="5" s="1"/>
  <c r="BX113" i="16"/>
  <c r="Y113" i="5" s="1"/>
  <c r="BX114" i="16"/>
  <c r="Y114" i="5" s="1"/>
  <c r="BX115" i="16"/>
  <c r="Y115" i="5" s="1"/>
  <c r="BX116" i="16"/>
  <c r="Y116" i="5" s="1"/>
  <c r="BX117" i="16"/>
  <c r="Y117" i="5" s="1"/>
  <c r="BX118" i="16"/>
  <c r="Y118" i="5" s="1"/>
  <c r="BX119" i="16"/>
  <c r="Y119" i="5" s="1"/>
  <c r="BX120" i="16"/>
  <c r="Y120" i="5" s="1"/>
  <c r="BX121" i="16"/>
  <c r="Y121" i="5" s="1"/>
  <c r="BX122" i="16"/>
  <c r="Y122" i="5" s="1"/>
  <c r="BX123" i="16"/>
  <c r="Y123" i="5" s="1"/>
  <c r="BX124" i="16"/>
  <c r="Y124" i="5" s="1"/>
  <c r="BX125" i="16"/>
  <c r="Y125" i="5" s="1"/>
  <c r="BX126" i="16"/>
  <c r="Y126" i="5" s="1"/>
  <c r="BX127" i="16"/>
  <c r="Y127" i="5" s="1"/>
  <c r="BX128" i="16"/>
  <c r="Y128" i="5" s="1"/>
  <c r="BX129" i="16"/>
  <c r="Y129" i="5" s="1"/>
  <c r="BX130" i="16"/>
  <c r="Y130" i="5" s="1"/>
  <c r="BX131" i="16"/>
  <c r="Y131" i="5" s="1"/>
  <c r="BX132" i="16"/>
  <c r="Y132" i="5" s="1"/>
  <c r="BX133" i="16"/>
  <c r="Y133" i="5" s="1"/>
  <c r="BX134" i="16"/>
  <c r="Y134" i="5" s="1"/>
  <c r="BX135" i="16"/>
  <c r="Y135" i="5" s="1"/>
  <c r="BX136" i="16"/>
  <c r="Y136" i="5" s="1"/>
  <c r="BX137" i="16"/>
  <c r="Y137" i="5" s="1"/>
  <c r="BX138" i="16"/>
  <c r="Y138" i="5" s="1"/>
  <c r="BX139" i="16"/>
  <c r="Y139" i="5" s="1"/>
  <c r="BX140" i="16"/>
  <c r="Y140" i="5" s="1"/>
  <c r="BX141" i="16"/>
  <c r="Y141" i="5" s="1"/>
  <c r="BX142" i="16"/>
  <c r="Y142" i="5" s="1"/>
  <c r="BX143" i="16"/>
  <c r="Y143" i="5" s="1"/>
  <c r="BX144" i="16"/>
  <c r="Y144" i="5" s="1"/>
  <c r="BX145" i="16"/>
  <c r="Y145" i="5" s="1"/>
  <c r="BX146" i="16"/>
  <c r="Y146" i="5" s="1"/>
  <c r="BX147" i="16"/>
  <c r="Y147" i="5" s="1"/>
  <c r="BX148" i="16"/>
  <c r="Y148" i="5" s="1"/>
  <c r="BX149" i="16"/>
  <c r="Y149" i="5" s="1"/>
  <c r="BX150" i="16"/>
  <c r="Y150" i="5" s="1"/>
  <c r="BX151" i="16"/>
  <c r="Y151" i="5" s="1"/>
  <c r="BX152" i="16"/>
  <c r="Y152" i="5" s="1"/>
  <c r="BX153" i="16"/>
  <c r="Y153" i="5" s="1"/>
  <c r="BX154" i="16"/>
  <c r="Y154" i="5" s="1"/>
  <c r="BX155" i="16"/>
  <c r="Y155" i="5" s="1"/>
  <c r="BX156" i="16"/>
  <c r="Y156" i="5" s="1"/>
  <c r="BX157" i="16"/>
  <c r="Y157" i="5" s="1"/>
  <c r="BX158" i="16"/>
  <c r="Y158" i="5" s="1"/>
  <c r="BX159" i="16"/>
  <c r="Y159" i="5" s="1"/>
  <c r="BX160" i="16"/>
  <c r="Y160" i="5" s="1"/>
  <c r="BX161" i="16"/>
  <c r="Y161" i="5" s="1"/>
  <c r="BX162" i="16"/>
  <c r="Y162" i="5" s="1"/>
  <c r="BX163" i="16"/>
  <c r="Y163" i="5" s="1"/>
  <c r="BX164" i="16"/>
  <c r="Y164" i="5" s="1"/>
  <c r="BX165" i="16"/>
  <c r="Y165" i="5" s="1"/>
  <c r="BX166" i="16"/>
  <c r="Y166" i="5" s="1"/>
  <c r="BX167" i="16"/>
  <c r="Y167" i="5" s="1"/>
  <c r="BX168" i="16"/>
  <c r="Y168" i="5" s="1"/>
  <c r="BX169" i="16"/>
  <c r="Y169" i="5" s="1"/>
  <c r="BX170" i="16"/>
  <c r="Y170" i="5" s="1"/>
  <c r="BX171" i="16"/>
  <c r="Y171" i="5" s="1"/>
  <c r="BX172" i="16"/>
  <c r="Y172" i="5" s="1"/>
  <c r="BX173" i="16"/>
  <c r="Y173" i="5" s="1"/>
  <c r="BX174" i="16"/>
  <c r="Y174" i="5" s="1"/>
  <c r="BX175" i="16"/>
  <c r="Y175" i="5" s="1"/>
  <c r="BX176" i="16"/>
  <c r="Y176" i="5" s="1"/>
  <c r="BW3" i="16"/>
  <c r="X3" i="5" s="1"/>
  <c r="BW4" i="16"/>
  <c r="X4" i="5" s="1"/>
  <c r="BW5" i="16"/>
  <c r="X5" i="5" s="1"/>
  <c r="BW6" i="16"/>
  <c r="X6" i="5" s="1"/>
  <c r="BW7" i="16"/>
  <c r="X7" i="5" s="1"/>
  <c r="BW8" i="16"/>
  <c r="X8" i="5" s="1"/>
  <c r="BW9" i="16"/>
  <c r="X9" i="5" s="1"/>
  <c r="BW10" i="16"/>
  <c r="X10" i="5" s="1"/>
  <c r="BW11" i="16"/>
  <c r="X11" i="5" s="1"/>
  <c r="BW12" i="16"/>
  <c r="X12" i="5" s="1"/>
  <c r="BW13" i="16"/>
  <c r="X13" i="5" s="1"/>
  <c r="BW14" i="16"/>
  <c r="X14" i="5" s="1"/>
  <c r="BW15" i="16"/>
  <c r="X15" i="5" s="1"/>
  <c r="BW16" i="16"/>
  <c r="X16" i="5" s="1"/>
  <c r="BW17" i="16"/>
  <c r="X17" i="5" s="1"/>
  <c r="BW18" i="16"/>
  <c r="X18" i="5" s="1"/>
  <c r="BW19" i="16"/>
  <c r="X19" i="5" s="1"/>
  <c r="BW20" i="16"/>
  <c r="X20" i="5" s="1"/>
  <c r="BW21" i="16"/>
  <c r="X21" i="5" s="1"/>
  <c r="BW22" i="16"/>
  <c r="X22" i="5" s="1"/>
  <c r="BW23" i="16"/>
  <c r="X23" i="5" s="1"/>
  <c r="BW24" i="16"/>
  <c r="X24" i="5" s="1"/>
  <c r="BW25" i="16"/>
  <c r="X25" i="5" s="1"/>
  <c r="BW26" i="16"/>
  <c r="X26" i="5" s="1"/>
  <c r="BW27" i="16"/>
  <c r="X27" i="5" s="1"/>
  <c r="BW28" i="16"/>
  <c r="X28" i="5" s="1"/>
  <c r="BW29" i="16"/>
  <c r="X29" i="5" s="1"/>
  <c r="BW30" i="16"/>
  <c r="X30" i="5" s="1"/>
  <c r="BW31" i="16"/>
  <c r="X31" i="5" s="1"/>
  <c r="BW32" i="16"/>
  <c r="X32" i="5" s="1"/>
  <c r="BW33" i="16"/>
  <c r="X33" i="5" s="1"/>
  <c r="BW34" i="16"/>
  <c r="X34" i="5" s="1"/>
  <c r="BW35" i="16"/>
  <c r="X35" i="5" s="1"/>
  <c r="BW36" i="16"/>
  <c r="X36" i="5" s="1"/>
  <c r="BW37" i="16"/>
  <c r="X37" i="5" s="1"/>
  <c r="BW38" i="16"/>
  <c r="X38" i="5" s="1"/>
  <c r="BW39" i="16"/>
  <c r="X39" i="5" s="1"/>
  <c r="BW40" i="16"/>
  <c r="X40" i="5" s="1"/>
  <c r="BW41" i="16"/>
  <c r="X41" i="5" s="1"/>
  <c r="BW42" i="16"/>
  <c r="X42" i="5" s="1"/>
  <c r="BW43" i="16"/>
  <c r="X43" i="5" s="1"/>
  <c r="BW44" i="16"/>
  <c r="X44" i="5" s="1"/>
  <c r="BW45" i="16"/>
  <c r="X45" i="5" s="1"/>
  <c r="BW46" i="16"/>
  <c r="X46" i="5" s="1"/>
  <c r="BW47" i="16"/>
  <c r="X47" i="5" s="1"/>
  <c r="BW48" i="16"/>
  <c r="X48" i="5" s="1"/>
  <c r="BW49" i="16"/>
  <c r="X49" i="5" s="1"/>
  <c r="BW50" i="16"/>
  <c r="X50" i="5" s="1"/>
  <c r="BW51" i="16"/>
  <c r="X51" i="5" s="1"/>
  <c r="BW52" i="16"/>
  <c r="X52" i="5" s="1"/>
  <c r="BW53" i="16"/>
  <c r="X53" i="5" s="1"/>
  <c r="BW54" i="16"/>
  <c r="X54" i="5" s="1"/>
  <c r="BW55" i="16"/>
  <c r="X55" i="5" s="1"/>
  <c r="BW56" i="16"/>
  <c r="X56" i="5" s="1"/>
  <c r="BW57" i="16"/>
  <c r="X57" i="5" s="1"/>
  <c r="BW58" i="16"/>
  <c r="X58" i="5" s="1"/>
  <c r="BW59" i="16"/>
  <c r="X59" i="5" s="1"/>
  <c r="BW60" i="16"/>
  <c r="X60" i="5" s="1"/>
  <c r="BW61" i="16"/>
  <c r="X61" i="5" s="1"/>
  <c r="BW62" i="16"/>
  <c r="X62" i="5" s="1"/>
  <c r="BW63" i="16"/>
  <c r="X63" i="5" s="1"/>
  <c r="BW64" i="16"/>
  <c r="X64" i="5" s="1"/>
  <c r="BW65" i="16"/>
  <c r="X65" i="5" s="1"/>
  <c r="BW66" i="16"/>
  <c r="X66" i="5" s="1"/>
  <c r="BW67" i="16"/>
  <c r="X67" i="5" s="1"/>
  <c r="BW68" i="16"/>
  <c r="X68" i="5" s="1"/>
  <c r="BW69" i="16"/>
  <c r="X69" i="5" s="1"/>
  <c r="BW70" i="16"/>
  <c r="X70" i="5" s="1"/>
  <c r="BW71" i="16"/>
  <c r="X71" i="5" s="1"/>
  <c r="BW72" i="16"/>
  <c r="X72" i="5" s="1"/>
  <c r="BW73" i="16"/>
  <c r="X73" i="5" s="1"/>
  <c r="BW74" i="16"/>
  <c r="X74" i="5" s="1"/>
  <c r="BW75" i="16"/>
  <c r="X75" i="5" s="1"/>
  <c r="BW76" i="16"/>
  <c r="X76" i="5" s="1"/>
  <c r="BW77" i="16"/>
  <c r="X77" i="5" s="1"/>
  <c r="BW78" i="16"/>
  <c r="X78" i="5" s="1"/>
  <c r="BW79" i="16"/>
  <c r="X79" i="5" s="1"/>
  <c r="BW80" i="16"/>
  <c r="X80" i="5" s="1"/>
  <c r="BW81" i="16"/>
  <c r="X81" i="5" s="1"/>
  <c r="BW82" i="16"/>
  <c r="X82" i="5" s="1"/>
  <c r="BW83" i="16"/>
  <c r="X83" i="5" s="1"/>
  <c r="BW84" i="16"/>
  <c r="X84" i="5" s="1"/>
  <c r="BW85" i="16"/>
  <c r="X85" i="5" s="1"/>
  <c r="BW86" i="16"/>
  <c r="X86" i="5" s="1"/>
  <c r="BW87" i="16"/>
  <c r="X87" i="5" s="1"/>
  <c r="BW88" i="16"/>
  <c r="X88" i="5" s="1"/>
  <c r="BW89" i="16"/>
  <c r="X89" i="5" s="1"/>
  <c r="BW90" i="16"/>
  <c r="X90" i="5" s="1"/>
  <c r="BW91" i="16"/>
  <c r="X91" i="5" s="1"/>
  <c r="BW92" i="16"/>
  <c r="X92" i="5" s="1"/>
  <c r="BW93" i="16"/>
  <c r="X93" i="5" s="1"/>
  <c r="BW94" i="16"/>
  <c r="X94" i="5" s="1"/>
  <c r="BW95" i="16"/>
  <c r="X95" i="5" s="1"/>
  <c r="BW96" i="16"/>
  <c r="X96" i="5" s="1"/>
  <c r="BW97" i="16"/>
  <c r="X97" i="5" s="1"/>
  <c r="BW98" i="16"/>
  <c r="X98" i="5" s="1"/>
  <c r="BW99" i="16"/>
  <c r="X99" i="5" s="1"/>
  <c r="BW100" i="16"/>
  <c r="X100" i="5" s="1"/>
  <c r="BW101" i="16"/>
  <c r="X101" i="5" s="1"/>
  <c r="BW102" i="16"/>
  <c r="X102" i="5" s="1"/>
  <c r="BW103" i="16"/>
  <c r="X103" i="5" s="1"/>
  <c r="BW104" i="16"/>
  <c r="X104" i="5" s="1"/>
  <c r="BW105" i="16"/>
  <c r="X105" i="5" s="1"/>
  <c r="BW106" i="16"/>
  <c r="X106" i="5" s="1"/>
  <c r="BW107" i="16"/>
  <c r="X107" i="5" s="1"/>
  <c r="BW108" i="16"/>
  <c r="X108" i="5" s="1"/>
  <c r="BW109" i="16"/>
  <c r="X109" i="5" s="1"/>
  <c r="BW110" i="16"/>
  <c r="X110" i="5" s="1"/>
  <c r="BW111" i="16"/>
  <c r="X111" i="5" s="1"/>
  <c r="BW112" i="16"/>
  <c r="X112" i="5" s="1"/>
  <c r="BW113" i="16"/>
  <c r="X113" i="5" s="1"/>
  <c r="BW114" i="16"/>
  <c r="X114" i="5" s="1"/>
  <c r="BW115" i="16"/>
  <c r="X115" i="5" s="1"/>
  <c r="BW116" i="16"/>
  <c r="X116" i="5" s="1"/>
  <c r="BW117" i="16"/>
  <c r="X117" i="5" s="1"/>
  <c r="BW118" i="16"/>
  <c r="X118" i="5" s="1"/>
  <c r="BW119" i="16"/>
  <c r="X119" i="5" s="1"/>
  <c r="BW120" i="16"/>
  <c r="X120" i="5" s="1"/>
  <c r="BW121" i="16"/>
  <c r="X121" i="5" s="1"/>
  <c r="BW122" i="16"/>
  <c r="X122" i="5" s="1"/>
  <c r="BW123" i="16"/>
  <c r="X123" i="5" s="1"/>
  <c r="BW124" i="16"/>
  <c r="X124" i="5" s="1"/>
  <c r="BW125" i="16"/>
  <c r="X125" i="5" s="1"/>
  <c r="BW126" i="16"/>
  <c r="X126" i="5" s="1"/>
  <c r="BW127" i="16"/>
  <c r="X127" i="5" s="1"/>
  <c r="BW128" i="16"/>
  <c r="X128" i="5" s="1"/>
  <c r="BW129" i="16"/>
  <c r="X129" i="5" s="1"/>
  <c r="BW130" i="16"/>
  <c r="X130" i="5" s="1"/>
  <c r="BW131" i="16"/>
  <c r="X131" i="5" s="1"/>
  <c r="BW132" i="16"/>
  <c r="X132" i="5" s="1"/>
  <c r="BW133" i="16"/>
  <c r="X133" i="5" s="1"/>
  <c r="BW134" i="16"/>
  <c r="X134" i="5" s="1"/>
  <c r="BW135" i="16"/>
  <c r="X135" i="5" s="1"/>
  <c r="BW136" i="16"/>
  <c r="X136" i="5" s="1"/>
  <c r="BW137" i="16"/>
  <c r="X137" i="5" s="1"/>
  <c r="BW138" i="16"/>
  <c r="X138" i="5" s="1"/>
  <c r="BW139" i="16"/>
  <c r="X139" i="5" s="1"/>
  <c r="BW140" i="16"/>
  <c r="X140" i="5" s="1"/>
  <c r="BW141" i="16"/>
  <c r="X141" i="5" s="1"/>
  <c r="BW142" i="16"/>
  <c r="X142" i="5" s="1"/>
  <c r="BW143" i="16"/>
  <c r="X143" i="5" s="1"/>
  <c r="BW144" i="16"/>
  <c r="X144" i="5" s="1"/>
  <c r="BW145" i="16"/>
  <c r="X145" i="5" s="1"/>
  <c r="BW146" i="16"/>
  <c r="X146" i="5" s="1"/>
  <c r="BW147" i="16"/>
  <c r="X147" i="5" s="1"/>
  <c r="BW148" i="16"/>
  <c r="X148" i="5" s="1"/>
  <c r="BW149" i="16"/>
  <c r="X149" i="5" s="1"/>
  <c r="BW150" i="16"/>
  <c r="X150" i="5" s="1"/>
  <c r="BW151" i="16"/>
  <c r="X151" i="5" s="1"/>
  <c r="BW152" i="16"/>
  <c r="X152" i="5" s="1"/>
  <c r="BW153" i="16"/>
  <c r="X153" i="5" s="1"/>
  <c r="BW154" i="16"/>
  <c r="X154" i="5" s="1"/>
  <c r="BW155" i="16"/>
  <c r="X155" i="5" s="1"/>
  <c r="BW156" i="16"/>
  <c r="X156" i="5" s="1"/>
  <c r="BW157" i="16"/>
  <c r="X157" i="5" s="1"/>
  <c r="BW158" i="16"/>
  <c r="X158" i="5" s="1"/>
  <c r="BW159" i="16"/>
  <c r="X159" i="5" s="1"/>
  <c r="BW160" i="16"/>
  <c r="X160" i="5" s="1"/>
  <c r="BW161" i="16"/>
  <c r="X161" i="5" s="1"/>
  <c r="BW162" i="16"/>
  <c r="X162" i="5" s="1"/>
  <c r="BW163" i="16"/>
  <c r="X163" i="5" s="1"/>
  <c r="BW164" i="16"/>
  <c r="X164" i="5" s="1"/>
  <c r="BW165" i="16"/>
  <c r="X165" i="5" s="1"/>
  <c r="BW166" i="16"/>
  <c r="X166" i="5" s="1"/>
  <c r="BW167" i="16"/>
  <c r="X167" i="5" s="1"/>
  <c r="BW168" i="16"/>
  <c r="X168" i="5" s="1"/>
  <c r="BW169" i="16"/>
  <c r="X169" i="5" s="1"/>
  <c r="BW170" i="16"/>
  <c r="X170" i="5" s="1"/>
  <c r="BW171" i="16"/>
  <c r="X171" i="5" s="1"/>
  <c r="BW172" i="16"/>
  <c r="X172" i="5" s="1"/>
  <c r="BW173" i="16"/>
  <c r="X173" i="5" s="1"/>
  <c r="BW174" i="16"/>
  <c r="X174" i="5" s="1"/>
  <c r="BW175" i="16"/>
  <c r="X175" i="5" s="1"/>
  <c r="BW176" i="16"/>
  <c r="X176" i="5" s="1"/>
  <c r="BV3" i="16"/>
  <c r="W3" i="5" s="1"/>
  <c r="BV4" i="16"/>
  <c r="W4" i="5" s="1"/>
  <c r="BV5" i="16"/>
  <c r="W5" i="5" s="1"/>
  <c r="BV6" i="16"/>
  <c r="W6" i="5" s="1"/>
  <c r="BV7" i="16"/>
  <c r="W7" i="5" s="1"/>
  <c r="BV8" i="16"/>
  <c r="W8" i="5" s="1"/>
  <c r="BV9" i="16"/>
  <c r="W9" i="5" s="1"/>
  <c r="BV10" i="16"/>
  <c r="W10" i="5" s="1"/>
  <c r="BV11" i="16"/>
  <c r="W11" i="5" s="1"/>
  <c r="BV12" i="16"/>
  <c r="W12" i="5" s="1"/>
  <c r="BV13" i="16"/>
  <c r="W13" i="5" s="1"/>
  <c r="BV14" i="16"/>
  <c r="W14" i="5" s="1"/>
  <c r="BV15" i="16"/>
  <c r="W15" i="5" s="1"/>
  <c r="BV16" i="16"/>
  <c r="W16" i="5" s="1"/>
  <c r="BV17" i="16"/>
  <c r="W17" i="5" s="1"/>
  <c r="BV18" i="16"/>
  <c r="W18" i="5" s="1"/>
  <c r="BV19" i="16"/>
  <c r="W19" i="5" s="1"/>
  <c r="BV20" i="16"/>
  <c r="W20" i="5" s="1"/>
  <c r="BV21" i="16"/>
  <c r="W21" i="5" s="1"/>
  <c r="BV22" i="16"/>
  <c r="W22" i="5" s="1"/>
  <c r="BV23" i="16"/>
  <c r="W23" i="5" s="1"/>
  <c r="BV24" i="16"/>
  <c r="W24" i="5" s="1"/>
  <c r="BV25" i="16"/>
  <c r="W25" i="5" s="1"/>
  <c r="BV26" i="16"/>
  <c r="W26" i="5" s="1"/>
  <c r="BV27" i="16"/>
  <c r="W27" i="5" s="1"/>
  <c r="BV28" i="16"/>
  <c r="W28" i="5" s="1"/>
  <c r="BV29" i="16"/>
  <c r="W29" i="5" s="1"/>
  <c r="BV30" i="16"/>
  <c r="W30" i="5" s="1"/>
  <c r="BV31" i="16"/>
  <c r="W31" i="5" s="1"/>
  <c r="BV32" i="16"/>
  <c r="W32" i="5" s="1"/>
  <c r="BV33" i="16"/>
  <c r="W33" i="5" s="1"/>
  <c r="BV34" i="16"/>
  <c r="W34" i="5" s="1"/>
  <c r="BV35" i="16"/>
  <c r="W35" i="5" s="1"/>
  <c r="BV36" i="16"/>
  <c r="W36" i="5" s="1"/>
  <c r="BV37" i="16"/>
  <c r="W37" i="5" s="1"/>
  <c r="BV38" i="16"/>
  <c r="W38" i="5" s="1"/>
  <c r="BV39" i="16"/>
  <c r="W39" i="5" s="1"/>
  <c r="BV40" i="16"/>
  <c r="W40" i="5" s="1"/>
  <c r="BV41" i="16"/>
  <c r="W41" i="5" s="1"/>
  <c r="BV42" i="16"/>
  <c r="W42" i="5" s="1"/>
  <c r="BV43" i="16"/>
  <c r="W43" i="5" s="1"/>
  <c r="BV44" i="16"/>
  <c r="W44" i="5" s="1"/>
  <c r="BV45" i="16"/>
  <c r="W45" i="5" s="1"/>
  <c r="BV46" i="16"/>
  <c r="W46" i="5" s="1"/>
  <c r="BV47" i="16"/>
  <c r="W47" i="5" s="1"/>
  <c r="BV48" i="16"/>
  <c r="W48" i="5" s="1"/>
  <c r="BV49" i="16"/>
  <c r="W49" i="5" s="1"/>
  <c r="BV50" i="16"/>
  <c r="W50" i="5" s="1"/>
  <c r="BV51" i="16"/>
  <c r="W51" i="5" s="1"/>
  <c r="BV52" i="16"/>
  <c r="W52" i="5" s="1"/>
  <c r="BV53" i="16"/>
  <c r="W53" i="5" s="1"/>
  <c r="BV54" i="16"/>
  <c r="W54" i="5" s="1"/>
  <c r="BV55" i="16"/>
  <c r="W55" i="5" s="1"/>
  <c r="BV56" i="16"/>
  <c r="W56" i="5" s="1"/>
  <c r="BV57" i="16"/>
  <c r="W57" i="5" s="1"/>
  <c r="BV58" i="16"/>
  <c r="W58" i="5" s="1"/>
  <c r="BV59" i="16"/>
  <c r="W59" i="5" s="1"/>
  <c r="BV60" i="16"/>
  <c r="W60" i="5" s="1"/>
  <c r="BV61" i="16"/>
  <c r="W61" i="5" s="1"/>
  <c r="BV62" i="16"/>
  <c r="W62" i="5" s="1"/>
  <c r="BV63" i="16"/>
  <c r="W63" i="5" s="1"/>
  <c r="BV64" i="16"/>
  <c r="W64" i="5" s="1"/>
  <c r="BV65" i="16"/>
  <c r="W65" i="5" s="1"/>
  <c r="BV66" i="16"/>
  <c r="W66" i="5" s="1"/>
  <c r="BV67" i="16"/>
  <c r="W67" i="5" s="1"/>
  <c r="BV68" i="16"/>
  <c r="W68" i="5" s="1"/>
  <c r="BV69" i="16"/>
  <c r="W69" i="5" s="1"/>
  <c r="BV70" i="16"/>
  <c r="W70" i="5" s="1"/>
  <c r="BV71" i="16"/>
  <c r="W71" i="5" s="1"/>
  <c r="BV72" i="16"/>
  <c r="W72" i="5" s="1"/>
  <c r="BV73" i="16"/>
  <c r="W73" i="5" s="1"/>
  <c r="BV74" i="16"/>
  <c r="W74" i="5" s="1"/>
  <c r="BV75" i="16"/>
  <c r="W75" i="5" s="1"/>
  <c r="BV76" i="16"/>
  <c r="W76" i="5" s="1"/>
  <c r="BV77" i="16"/>
  <c r="W77" i="5" s="1"/>
  <c r="BV78" i="16"/>
  <c r="W78" i="5" s="1"/>
  <c r="BV79" i="16"/>
  <c r="W79" i="5" s="1"/>
  <c r="BV80" i="16"/>
  <c r="W80" i="5" s="1"/>
  <c r="BV81" i="16"/>
  <c r="W81" i="5" s="1"/>
  <c r="BV82" i="16"/>
  <c r="W82" i="5" s="1"/>
  <c r="BV83" i="16"/>
  <c r="W83" i="5" s="1"/>
  <c r="BV84" i="16"/>
  <c r="W84" i="5" s="1"/>
  <c r="BV85" i="16"/>
  <c r="W85" i="5" s="1"/>
  <c r="BV86" i="16"/>
  <c r="W86" i="5" s="1"/>
  <c r="BV87" i="16"/>
  <c r="W87" i="5" s="1"/>
  <c r="BV88" i="16"/>
  <c r="W88" i="5" s="1"/>
  <c r="BV89" i="16"/>
  <c r="W89" i="5" s="1"/>
  <c r="BV90" i="16"/>
  <c r="W90" i="5" s="1"/>
  <c r="BV91" i="16"/>
  <c r="W91" i="5" s="1"/>
  <c r="BV92" i="16"/>
  <c r="W92" i="5" s="1"/>
  <c r="BV93" i="16"/>
  <c r="W93" i="5" s="1"/>
  <c r="BV94" i="16"/>
  <c r="W94" i="5" s="1"/>
  <c r="BV95" i="16"/>
  <c r="W95" i="5" s="1"/>
  <c r="BV96" i="16"/>
  <c r="W96" i="5" s="1"/>
  <c r="BV97" i="16"/>
  <c r="W97" i="5" s="1"/>
  <c r="BV98" i="16"/>
  <c r="W98" i="5" s="1"/>
  <c r="BV99" i="16"/>
  <c r="W99" i="5" s="1"/>
  <c r="BV100" i="16"/>
  <c r="W100" i="5" s="1"/>
  <c r="BV101" i="16"/>
  <c r="W101" i="5" s="1"/>
  <c r="BV102" i="16"/>
  <c r="W102" i="5" s="1"/>
  <c r="BV103" i="16"/>
  <c r="W103" i="5" s="1"/>
  <c r="BV104" i="16"/>
  <c r="W104" i="5" s="1"/>
  <c r="BV105" i="16"/>
  <c r="W105" i="5" s="1"/>
  <c r="BV106" i="16"/>
  <c r="W106" i="5" s="1"/>
  <c r="BV107" i="16"/>
  <c r="W107" i="5" s="1"/>
  <c r="BV108" i="16"/>
  <c r="W108" i="5" s="1"/>
  <c r="BV109" i="16"/>
  <c r="W109" i="5" s="1"/>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BS4" i="16"/>
  <c r="BS5" i="16"/>
  <c r="BS6" i="16"/>
  <c r="BS7" i="16"/>
  <c r="BS8" i="16"/>
  <c r="BS9" i="16"/>
  <c r="BS10" i="16"/>
  <c r="BS11" i="16"/>
  <c r="BS12" i="16"/>
  <c r="BS13" i="16"/>
  <c r="BS14" i="16"/>
  <c r="BS15" i="16"/>
  <c r="BS16" i="16"/>
  <c r="BS17" i="16"/>
  <c r="BS18" i="16"/>
  <c r="BS19" i="16"/>
  <c r="BS20" i="16"/>
  <c r="BS21" i="16"/>
  <c r="BS22" i="16"/>
  <c r="BS23" i="16"/>
  <c r="BS24" i="16"/>
  <c r="BS25" i="16"/>
  <c r="BS26" i="16"/>
  <c r="BS27" i="16"/>
  <c r="BS28" i="16"/>
  <c r="BS29" i="16"/>
  <c r="BS30" i="16"/>
  <c r="BS31" i="16"/>
  <c r="BS32" i="16"/>
  <c r="BS33" i="16"/>
  <c r="BS34" i="16"/>
  <c r="BS35" i="16"/>
  <c r="BS36" i="16"/>
  <c r="BS37" i="16"/>
  <c r="BS38" i="16"/>
  <c r="BS39" i="16"/>
  <c r="BS40" i="16"/>
  <c r="BS41" i="16"/>
  <c r="BS42" i="16"/>
  <c r="BS43" i="16"/>
  <c r="BS44" i="16"/>
  <c r="BS45" i="16"/>
  <c r="BS46" i="16"/>
  <c r="BS47" i="16"/>
  <c r="BS48" i="16"/>
  <c r="BS49" i="16"/>
  <c r="BS50" i="16"/>
  <c r="BS51" i="16"/>
  <c r="BS52" i="16"/>
  <c r="BS53" i="16"/>
  <c r="BS54" i="16"/>
  <c r="BS55" i="16"/>
  <c r="BS56" i="16"/>
  <c r="BS57" i="16"/>
  <c r="BS58" i="16"/>
  <c r="BS59" i="16"/>
  <c r="BS60" i="16"/>
  <c r="BS61" i="16"/>
  <c r="BS62" i="16"/>
  <c r="BS63" i="16"/>
  <c r="BS64" i="16"/>
  <c r="BS65" i="16"/>
  <c r="BS66" i="16"/>
  <c r="BS67" i="16"/>
  <c r="BS68" i="16"/>
  <c r="BS69" i="16"/>
  <c r="BS70" i="16"/>
  <c r="BS71" i="16"/>
  <c r="BS72" i="16"/>
  <c r="BS73" i="16"/>
  <c r="BS74" i="16"/>
  <c r="BS75" i="16"/>
  <c r="BS76" i="16"/>
  <c r="BS77" i="16"/>
  <c r="BS78" i="16"/>
  <c r="BS79" i="16"/>
  <c r="BS80" i="16"/>
  <c r="BS81" i="16"/>
  <c r="BS82" i="16"/>
  <c r="BS83" i="16"/>
  <c r="BS84" i="16"/>
  <c r="BS85" i="16"/>
  <c r="BS86" i="16"/>
  <c r="BS87" i="16"/>
  <c r="BS88" i="16"/>
  <c r="BS89" i="16"/>
  <c r="BS90" i="16"/>
  <c r="BS91" i="16"/>
  <c r="BS92" i="16"/>
  <c r="BS93" i="16"/>
  <c r="BS94" i="16"/>
  <c r="BS95" i="16"/>
  <c r="BS96" i="16"/>
  <c r="BS97" i="16"/>
  <c r="BS98" i="16"/>
  <c r="BS99" i="16"/>
  <c r="BS100" i="16"/>
  <c r="BS101" i="16"/>
  <c r="BS102" i="16"/>
  <c r="BS103" i="16"/>
  <c r="BS104" i="16"/>
  <c r="BS105" i="16"/>
  <c r="BS106" i="16"/>
  <c r="BS107" i="16"/>
  <c r="BS108" i="16"/>
  <c r="BS109" i="16"/>
  <c r="BS110" i="16"/>
  <c r="BS111" i="16"/>
  <c r="BS112" i="16"/>
  <c r="BS113" i="16"/>
  <c r="BS114" i="16"/>
  <c r="BS115" i="16"/>
  <c r="BS116" i="16"/>
  <c r="BS117" i="16"/>
  <c r="BS118" i="16"/>
  <c r="BS119" i="16"/>
  <c r="BS120" i="16"/>
  <c r="BS121" i="16"/>
  <c r="BS122" i="16"/>
  <c r="BS123" i="16"/>
  <c r="BS124" i="16"/>
  <c r="BS125" i="16"/>
  <c r="BS126" i="16"/>
  <c r="BS127" i="16"/>
  <c r="BS128" i="16"/>
  <c r="BS129" i="16"/>
  <c r="BS130" i="16"/>
  <c r="BS131" i="16"/>
  <c r="BS132" i="16"/>
  <c r="BS133" i="16"/>
  <c r="BS134" i="16"/>
  <c r="BS135" i="16"/>
  <c r="BS136" i="16"/>
  <c r="BS137" i="16"/>
  <c r="BS138" i="16"/>
  <c r="BS139" i="16"/>
  <c r="BS140" i="16"/>
  <c r="BS141" i="16"/>
  <c r="BS142" i="16"/>
  <c r="BS143" i="16"/>
  <c r="BS144" i="16"/>
  <c r="BS145" i="16"/>
  <c r="BS146" i="16"/>
  <c r="BS147" i="16"/>
  <c r="BS148" i="16"/>
  <c r="BS149" i="16"/>
  <c r="BS150" i="16"/>
  <c r="BS151" i="16"/>
  <c r="BS152" i="16"/>
  <c r="BS153" i="16"/>
  <c r="BS154" i="16"/>
  <c r="BS155" i="16"/>
  <c r="BS156" i="16"/>
  <c r="BS157" i="16"/>
  <c r="BS158" i="16"/>
  <c r="BS159" i="16"/>
  <c r="BS160" i="16"/>
  <c r="BS161" i="16"/>
  <c r="BS162" i="16"/>
  <c r="BS163" i="16"/>
  <c r="BS164" i="16"/>
  <c r="BS165" i="16"/>
  <c r="BS166" i="16"/>
  <c r="BS167" i="16"/>
  <c r="BS168" i="16"/>
  <c r="BS169" i="16"/>
  <c r="BS170" i="16"/>
  <c r="BS171" i="16"/>
  <c r="BS172" i="16"/>
  <c r="BS173" i="16"/>
  <c r="BS174" i="16"/>
  <c r="BS175" i="16"/>
  <c r="BS176" i="16"/>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BN4" i="16"/>
  <c r="BN5" i="16"/>
  <c r="BN6" i="16"/>
  <c r="BN7" i="16"/>
  <c r="BN8" i="16"/>
  <c r="BN9" i="16"/>
  <c r="BN10" i="16"/>
  <c r="BN11" i="16"/>
  <c r="BN12" i="16"/>
  <c r="BN13" i="16"/>
  <c r="BN14" i="16"/>
  <c r="BN15" i="16"/>
  <c r="BN16" i="16"/>
  <c r="BN17" i="16"/>
  <c r="BN18" i="16"/>
  <c r="BN19" i="16"/>
  <c r="BN20" i="16"/>
  <c r="BN21" i="16"/>
  <c r="BN22" i="16"/>
  <c r="BN23" i="16"/>
  <c r="BN24" i="16"/>
  <c r="BN25" i="16"/>
  <c r="BN26" i="16"/>
  <c r="BN27" i="16"/>
  <c r="BN28" i="16"/>
  <c r="BN29" i="16"/>
  <c r="BN30" i="16"/>
  <c r="BN31" i="16"/>
  <c r="BN32" i="16"/>
  <c r="BN33" i="16"/>
  <c r="BN34" i="16"/>
  <c r="BN35" i="16"/>
  <c r="BN36" i="16"/>
  <c r="BN37" i="16"/>
  <c r="BN38" i="16"/>
  <c r="BN39" i="16"/>
  <c r="BN40" i="16"/>
  <c r="BN41" i="16"/>
  <c r="BN42" i="16"/>
  <c r="BN43" i="16"/>
  <c r="BN44" i="16"/>
  <c r="BN45" i="16"/>
  <c r="BN46" i="16"/>
  <c r="BN47" i="16"/>
  <c r="BN48" i="16"/>
  <c r="BN49" i="16"/>
  <c r="BN50" i="16"/>
  <c r="BN51" i="16"/>
  <c r="BN52" i="16"/>
  <c r="BN53" i="16"/>
  <c r="BN54" i="16"/>
  <c r="BN55" i="16"/>
  <c r="BN56" i="16"/>
  <c r="BN57" i="16"/>
  <c r="BN58" i="16"/>
  <c r="BN59" i="16"/>
  <c r="BN60" i="16"/>
  <c r="BN61" i="16"/>
  <c r="BN62" i="16"/>
  <c r="BN63" i="16"/>
  <c r="BN64" i="16"/>
  <c r="BN65" i="16"/>
  <c r="BN66" i="16"/>
  <c r="BN67" i="16"/>
  <c r="BN68" i="16"/>
  <c r="BN69" i="16"/>
  <c r="BN70" i="16"/>
  <c r="BN71" i="16"/>
  <c r="BN72" i="16"/>
  <c r="BN73" i="16"/>
  <c r="BN74" i="16"/>
  <c r="BN75" i="16"/>
  <c r="BN76" i="16"/>
  <c r="BN77" i="16"/>
  <c r="BN78" i="16"/>
  <c r="BN79" i="16"/>
  <c r="BN80" i="16"/>
  <c r="BN81" i="16"/>
  <c r="BN82" i="16"/>
  <c r="BN83" i="16"/>
  <c r="BN84" i="16"/>
  <c r="BN85" i="16"/>
  <c r="BN86" i="16"/>
  <c r="BN87" i="16"/>
  <c r="BN88" i="16"/>
  <c r="BN89" i="16"/>
  <c r="BN90" i="16"/>
  <c r="BN91" i="16"/>
  <c r="BN92" i="16"/>
  <c r="BN93" i="16"/>
  <c r="BN94" i="16"/>
  <c r="BN95" i="16"/>
  <c r="BN96" i="16"/>
  <c r="BN97" i="16"/>
  <c r="BN98" i="16"/>
  <c r="BN99" i="16"/>
  <c r="BN100" i="16"/>
  <c r="BN101" i="16"/>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BJ120" i="16"/>
  <c r="BJ121" i="16"/>
  <c r="BJ122" i="16"/>
  <c r="BJ123" i="16"/>
  <c r="BJ124" i="16"/>
  <c r="BJ125" i="16"/>
  <c r="BJ126" i="16"/>
  <c r="BJ127" i="16"/>
  <c r="BJ128" i="16"/>
  <c r="BJ129" i="16"/>
  <c r="BJ130" i="16"/>
  <c r="BJ131" i="16"/>
  <c r="BJ132" i="16"/>
  <c r="BJ133" i="16"/>
  <c r="BJ134" i="16"/>
  <c r="BJ135" i="16"/>
  <c r="BJ136" i="16"/>
  <c r="BJ137" i="16"/>
  <c r="BJ138" i="16"/>
  <c r="BJ139" i="16"/>
  <c r="BJ140" i="16"/>
  <c r="BJ141" i="16"/>
  <c r="BJ142" i="16"/>
  <c r="BJ143" i="16"/>
  <c r="BJ144" i="16"/>
  <c r="BJ145" i="16"/>
  <c r="BJ146" i="16"/>
  <c r="BJ147" i="16"/>
  <c r="BJ148" i="16"/>
  <c r="BJ149" i="16"/>
  <c r="BJ150" i="16"/>
  <c r="BJ151" i="16"/>
  <c r="BJ152" i="16"/>
  <c r="BJ153" i="16"/>
  <c r="BJ154" i="16"/>
  <c r="BJ155" i="16"/>
  <c r="BJ156" i="16"/>
  <c r="BJ157" i="16"/>
  <c r="BJ158" i="16"/>
  <c r="BJ159" i="16"/>
  <c r="BJ160" i="16"/>
  <c r="BJ161" i="16"/>
  <c r="BJ162" i="16"/>
  <c r="BJ163" i="16"/>
  <c r="BJ164" i="16"/>
  <c r="BJ165" i="16"/>
  <c r="BJ166" i="16"/>
  <c r="BJ167" i="16"/>
  <c r="BJ168" i="16"/>
  <c r="BJ169" i="16"/>
  <c r="BJ170" i="16"/>
  <c r="BJ171" i="16"/>
  <c r="BJ172" i="16"/>
  <c r="BJ173" i="16"/>
  <c r="BJ174" i="16"/>
  <c r="BJ175" i="16"/>
  <c r="BJ176" i="16"/>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AK161" i="16"/>
  <c r="AK162" i="16"/>
  <c r="AK163" i="16"/>
  <c r="AK164" i="16"/>
  <c r="AK165" i="16"/>
  <c r="AK166" i="16"/>
  <c r="AK167" i="16"/>
  <c r="AK168" i="16"/>
  <c r="AK169" i="16"/>
  <c r="AK170" i="16"/>
  <c r="AK171" i="16"/>
  <c r="AK172" i="16"/>
  <c r="AK173" i="16"/>
  <c r="AK174" i="16"/>
  <c r="AK175" i="16"/>
  <c r="AK176" i="16"/>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P164" i="6"/>
  <c r="P163" i="6"/>
  <c r="P162" i="6"/>
  <c r="P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3" i="16" l="1"/>
  <c r="CJ4" i="16"/>
  <c r="CJ5" i="16"/>
  <c r="CJ6" i="16"/>
  <c r="CJ7" i="16"/>
  <c r="CJ8" i="16"/>
  <c r="CJ9" i="16"/>
  <c r="CJ10" i="16"/>
  <c r="CJ11" i="16"/>
  <c r="CJ12" i="16"/>
  <c r="CJ13" i="16"/>
  <c r="CJ14" i="16"/>
  <c r="CJ15" i="16"/>
  <c r="CJ16" i="16"/>
  <c r="CJ17" i="16"/>
  <c r="CJ18" i="16"/>
  <c r="CJ19" i="16"/>
  <c r="CJ20" i="16"/>
  <c r="CJ21" i="16"/>
  <c r="CJ22" i="16"/>
  <c r="CJ23" i="16"/>
  <c r="CJ24" i="16"/>
  <c r="CJ25" i="16"/>
  <c r="CJ26" i="16"/>
  <c r="CJ27" i="16"/>
  <c r="CJ28" i="16"/>
  <c r="CJ29" i="16"/>
  <c r="CJ30" i="16"/>
  <c r="CJ31" i="16"/>
  <c r="CJ32" i="16"/>
  <c r="CJ33" i="16"/>
  <c r="CJ34" i="16"/>
  <c r="CJ35" i="16"/>
  <c r="CJ36" i="16"/>
  <c r="CJ37" i="16"/>
  <c r="CJ38" i="16"/>
  <c r="CJ39" i="16"/>
  <c r="CJ40" i="16"/>
  <c r="CJ41" i="16"/>
  <c r="CJ42" i="16"/>
  <c r="CJ43" i="16"/>
  <c r="CJ44" i="16"/>
  <c r="CJ45" i="16"/>
  <c r="CJ46" i="16"/>
  <c r="CJ47" i="16"/>
  <c r="CJ48" i="16"/>
  <c r="CJ49" i="16"/>
  <c r="CJ50" i="16"/>
  <c r="CJ51" i="16"/>
  <c r="CJ52" i="16"/>
  <c r="CJ53" i="16"/>
  <c r="CJ54" i="16"/>
  <c r="CJ55" i="16"/>
  <c r="CJ56" i="16"/>
  <c r="CJ57" i="16"/>
  <c r="CJ58" i="16"/>
  <c r="CJ59" i="16"/>
  <c r="CJ60" i="16"/>
  <c r="CJ61" i="16"/>
  <c r="CJ62" i="16"/>
  <c r="CJ63" i="16"/>
  <c r="CJ64" i="16"/>
  <c r="CJ65" i="16"/>
  <c r="CJ66" i="16"/>
  <c r="CJ68" i="16"/>
  <c r="CJ69" i="16"/>
  <c r="CJ70" i="16"/>
  <c r="CJ71" i="16"/>
  <c r="CJ72" i="16"/>
  <c r="CJ73" i="16"/>
  <c r="CJ74" i="16"/>
  <c r="CJ75" i="16"/>
  <c r="CJ76" i="16"/>
  <c r="CJ77" i="16"/>
  <c r="CJ78" i="16"/>
  <c r="CJ79" i="16"/>
  <c r="CJ80" i="16"/>
  <c r="CJ81" i="16"/>
  <c r="CJ82" i="16"/>
  <c r="CJ83" i="16"/>
  <c r="CJ84" i="16"/>
  <c r="CJ85" i="16"/>
  <c r="CJ86" i="16"/>
  <c r="CJ87" i="16"/>
  <c r="CJ88" i="16"/>
  <c r="CJ89" i="16"/>
  <c r="CJ90" i="16"/>
  <c r="CJ91" i="16"/>
  <c r="CJ92" i="16"/>
  <c r="CJ93" i="16"/>
  <c r="CJ94" i="16"/>
  <c r="CJ95" i="16"/>
  <c r="CJ96" i="16"/>
  <c r="CJ97" i="16"/>
  <c r="CJ98" i="16"/>
  <c r="CJ99" i="16"/>
  <c r="CJ100" i="16"/>
  <c r="CJ101" i="16"/>
  <c r="CI119" i="16"/>
  <c r="CI120" i="16"/>
  <c r="CI122" i="16"/>
  <c r="CI123" i="16"/>
  <c r="CI124" i="16"/>
  <c r="CI125" i="16"/>
  <c r="CI126" i="16"/>
  <c r="CI127" i="16"/>
  <c r="CI128" i="16"/>
  <c r="CI129" i="16"/>
  <c r="CI130" i="16"/>
  <c r="CI131" i="16"/>
  <c r="CI132" i="16"/>
  <c r="CI133" i="16"/>
  <c r="CI134" i="16"/>
  <c r="CI135" i="16"/>
  <c r="CI136" i="16"/>
  <c r="CI137" i="16"/>
  <c r="CI138" i="16"/>
  <c r="CI139" i="16"/>
  <c r="CI140" i="16"/>
  <c r="CI141" i="16"/>
  <c r="CI142" i="16"/>
  <c r="CI143" i="16"/>
  <c r="CI144" i="16"/>
  <c r="CI145" i="16"/>
  <c r="CI146" i="16"/>
  <c r="CI147" i="16"/>
  <c r="CI148" i="16"/>
  <c r="CI149" i="16"/>
  <c r="CI150" i="16"/>
  <c r="CI151" i="16"/>
  <c r="CI152" i="16"/>
  <c r="CI153" i="16"/>
  <c r="CI154" i="16"/>
  <c r="CI155" i="16"/>
  <c r="CI156" i="16"/>
  <c r="CI157" i="16"/>
  <c r="CI158" i="16"/>
  <c r="CI159" i="16"/>
  <c r="CI160" i="16"/>
  <c r="CI161" i="16"/>
  <c r="CI162" i="16"/>
  <c r="CI163" i="16"/>
  <c r="CI164" i="16"/>
  <c r="CI165" i="16"/>
  <c r="CI166" i="16"/>
  <c r="CI167" i="16"/>
  <c r="CI168" i="16"/>
  <c r="CI169" i="16"/>
  <c r="CI170" i="16"/>
  <c r="CI171" i="16"/>
  <c r="CI172" i="16"/>
  <c r="CI173" i="16"/>
  <c r="CI174" i="16"/>
  <c r="CI175" i="16"/>
  <c r="CI176" i="16"/>
  <c r="CF162" i="16"/>
  <c r="CF163" i="16"/>
  <c r="CF164" i="16"/>
  <c r="CF165" i="16"/>
  <c r="CF166" i="16"/>
  <c r="CF167" i="16"/>
  <c r="CF168" i="16"/>
  <c r="CF169" i="16"/>
  <c r="CF170" i="16"/>
  <c r="CF171" i="16"/>
  <c r="CF172" i="16"/>
  <c r="CF173" i="16"/>
  <c r="CF174" i="16"/>
  <c r="CF175" i="16"/>
  <c r="CF176" i="16"/>
  <c r="CF160" i="16"/>
  <c r="CF161" i="16"/>
  <c r="CJ102" i="16"/>
  <c r="CJ103" i="16"/>
  <c r="CJ104" i="16"/>
  <c r="CJ105" i="16"/>
  <c r="CJ106" i="16"/>
  <c r="CJ107" i="16"/>
  <c r="CJ108" i="16"/>
  <c r="M109" i="3" s="1"/>
  <c r="CJ109" i="16"/>
  <c r="M110" i="3" s="1"/>
  <c r="CJ110" i="16"/>
  <c r="M111" i="3" s="1"/>
  <c r="CJ111" i="16"/>
  <c r="M112" i="3" s="1"/>
  <c r="CJ112" i="16"/>
  <c r="M113" i="3" s="1"/>
  <c r="CJ113" i="16"/>
  <c r="M114" i="3" s="1"/>
  <c r="CJ114" i="16"/>
  <c r="M115" i="3" s="1"/>
  <c r="CJ115" i="16"/>
  <c r="M116" i="3" s="1"/>
  <c r="CJ116" i="16"/>
  <c r="M117" i="3" s="1"/>
  <c r="CJ117" i="16"/>
  <c r="M118" i="3" s="1"/>
  <c r="CJ118" i="16"/>
  <c r="M119" i="3" s="1"/>
  <c r="CJ119" i="16"/>
  <c r="M120" i="3" s="1"/>
  <c r="CJ120" i="16"/>
  <c r="M121" i="3" s="1"/>
  <c r="CJ121" i="16"/>
  <c r="M122" i="3" s="1"/>
  <c r="CJ122" i="16"/>
  <c r="M123" i="3" s="1"/>
  <c r="CJ123" i="16"/>
  <c r="M124" i="3" s="1"/>
  <c r="CJ124" i="16"/>
  <c r="M125" i="3" s="1"/>
  <c r="CH76" i="16"/>
  <c r="CH77" i="16"/>
  <c r="CH78" i="16"/>
  <c r="CH79" i="16"/>
  <c r="CH80" i="16"/>
  <c r="CH81" i="16"/>
  <c r="CH82" i="16"/>
  <c r="CH83" i="16"/>
  <c r="CH84" i="16"/>
  <c r="CH85" i="16"/>
  <c r="CH86" i="16"/>
  <c r="CH87" i="16"/>
  <c r="CH88" i="16"/>
  <c r="CH89" i="16"/>
  <c r="CH90" i="16"/>
  <c r="CH91" i="16"/>
  <c r="CH92" i="16"/>
  <c r="CH93" i="16"/>
  <c r="CH94" i="16"/>
  <c r="CH95" i="16"/>
  <c r="CH96" i="16"/>
  <c r="CH97" i="16"/>
  <c r="CH98" i="16"/>
  <c r="CH99" i="16"/>
  <c r="CH100" i="16"/>
  <c r="CH101" i="16"/>
  <c r="CH102" i="16"/>
  <c r="CH103" i="16"/>
  <c r="CH104" i="16"/>
  <c r="CH105" i="16"/>
  <c r="CH107" i="16"/>
  <c r="CH108" i="16"/>
  <c r="CH109" i="16"/>
  <c r="CH110" i="16"/>
  <c r="CH111" i="16"/>
  <c r="CH112" i="16"/>
  <c r="CH113" i="16"/>
  <c r="CH114" i="16"/>
  <c r="CH115" i="16"/>
  <c r="CH116" i="16"/>
  <c r="CH117" i="16"/>
  <c r="CH118" i="16"/>
  <c r="CH119" i="16"/>
  <c r="CH120" i="16"/>
  <c r="CH121" i="16"/>
  <c r="CH122" i="16"/>
  <c r="CH123" i="16"/>
  <c r="CH124" i="16"/>
  <c r="CH125" i="16"/>
  <c r="CH126" i="16"/>
  <c r="CH127" i="16"/>
  <c r="CH128" i="16"/>
  <c r="CH129" i="16"/>
  <c r="CH130" i="16"/>
  <c r="CH131" i="16"/>
  <c r="CH132" i="16"/>
  <c r="CH133" i="16"/>
  <c r="CH134" i="16"/>
  <c r="CH135" i="16"/>
  <c r="CH136" i="16"/>
  <c r="CH137" i="16"/>
  <c r="CH138" i="16"/>
  <c r="CH139" i="16"/>
  <c r="CH140" i="16"/>
  <c r="CH141" i="16"/>
  <c r="CH142" i="16"/>
  <c r="CH143" i="16"/>
  <c r="CH144" i="16"/>
  <c r="CH145" i="16"/>
  <c r="CH146" i="16"/>
  <c r="CH147" i="16"/>
  <c r="CH148" i="16"/>
  <c r="CH149" i="16"/>
  <c r="CH150" i="16"/>
  <c r="CH151" i="16"/>
  <c r="CH152" i="16"/>
  <c r="CH153" i="16"/>
  <c r="CH154" i="16"/>
  <c r="CH155" i="16"/>
  <c r="CH156" i="16"/>
  <c r="CH157" i="16"/>
  <c r="CH158" i="16"/>
  <c r="CH159" i="16"/>
  <c r="CH160" i="16"/>
  <c r="CH161" i="16"/>
  <c r="CH162" i="16"/>
  <c r="CH163" i="16"/>
  <c r="CH164" i="16"/>
  <c r="CH165" i="16"/>
  <c r="CH166" i="16"/>
  <c r="CH167" i="16"/>
  <c r="CH168" i="16"/>
  <c r="CH169" i="16"/>
  <c r="CH170" i="16"/>
  <c r="CH171" i="16"/>
  <c r="CH172" i="16"/>
  <c r="CH173" i="16"/>
  <c r="CB3" i="16"/>
  <c r="E4" i="3" s="1"/>
  <c r="CB4" i="16"/>
  <c r="E5" i="3" s="1"/>
  <c r="CB5" i="16"/>
  <c r="E6" i="3" s="1"/>
  <c r="CB6" i="16"/>
  <c r="E7" i="3" s="1"/>
  <c r="CB7" i="16"/>
  <c r="E8" i="3" s="1"/>
  <c r="CB8" i="16"/>
  <c r="E9" i="3" s="1"/>
  <c r="CB9" i="16"/>
  <c r="E10" i="3" s="1"/>
  <c r="CB10" i="16"/>
  <c r="E11" i="3" s="1"/>
  <c r="CB11" i="16"/>
  <c r="E12" i="3" s="1"/>
  <c r="CB12" i="16"/>
  <c r="E13" i="3" s="1"/>
  <c r="CB13" i="16"/>
  <c r="E14" i="3" s="1"/>
  <c r="CB14" i="16"/>
  <c r="E15" i="3" s="1"/>
  <c r="CB15" i="16"/>
  <c r="E16" i="3" s="1"/>
  <c r="CB16" i="16"/>
  <c r="E17" i="3" s="1"/>
  <c r="CB17" i="16"/>
  <c r="E18" i="3" s="1"/>
  <c r="CB18" i="16"/>
  <c r="E19" i="3" s="1"/>
  <c r="CB19" i="16"/>
  <c r="E20" i="3" s="1"/>
  <c r="CB20" i="16"/>
  <c r="E21" i="3" s="1"/>
  <c r="CB21" i="16"/>
  <c r="E22" i="3" s="1"/>
  <c r="CB22" i="16"/>
  <c r="E23" i="3" s="1"/>
  <c r="CB23" i="16"/>
  <c r="E24" i="3" s="1"/>
  <c r="CB24" i="16"/>
  <c r="E25" i="3" s="1"/>
  <c r="CB25" i="16"/>
  <c r="E26" i="3" s="1"/>
  <c r="CB26" i="16"/>
  <c r="E27" i="3" s="1"/>
  <c r="CB27" i="16"/>
  <c r="E28" i="3" s="1"/>
  <c r="CB28" i="16"/>
  <c r="E29" i="3" s="1"/>
  <c r="CB29" i="16"/>
  <c r="E30" i="3" s="1"/>
  <c r="CB30" i="16"/>
  <c r="E31" i="3" s="1"/>
  <c r="CB31" i="16"/>
  <c r="E32" i="3" s="1"/>
  <c r="CB32" i="16"/>
  <c r="E33" i="3" s="1"/>
  <c r="CB33" i="16"/>
  <c r="E34" i="3" s="1"/>
  <c r="CB34" i="16"/>
  <c r="E35" i="3" s="1"/>
  <c r="CB35" i="16"/>
  <c r="E36" i="3" s="1"/>
  <c r="CB36" i="16"/>
  <c r="E37" i="3" s="1"/>
  <c r="CB37" i="16"/>
  <c r="E38" i="3" s="1"/>
  <c r="CB38" i="16"/>
  <c r="E39" i="3" s="1"/>
  <c r="CB39" i="16"/>
  <c r="E40" i="3" s="1"/>
  <c r="CB40" i="16"/>
  <c r="E41" i="3" s="1"/>
  <c r="CB41" i="16"/>
  <c r="E42" i="3" s="1"/>
  <c r="CB42" i="16"/>
  <c r="E43" i="3" s="1"/>
  <c r="CB43" i="16"/>
  <c r="E44" i="3" s="1"/>
  <c r="CB44" i="16"/>
  <c r="E45" i="3" s="1"/>
  <c r="CB45" i="16"/>
  <c r="E46" i="3" s="1"/>
  <c r="CB46" i="16"/>
  <c r="E47" i="3" s="1"/>
  <c r="CB47" i="16"/>
  <c r="E48" i="3" s="1"/>
  <c r="CB48" i="16"/>
  <c r="E49" i="3" s="1"/>
  <c r="CB49" i="16"/>
  <c r="E50" i="3" s="1"/>
  <c r="CB50" i="16"/>
  <c r="E51" i="3" s="1"/>
  <c r="CB51" i="16"/>
  <c r="E52" i="3" s="1"/>
  <c r="CB52" i="16"/>
  <c r="E53" i="3" s="1"/>
  <c r="CB53" i="16"/>
  <c r="E54" i="3" s="1"/>
  <c r="CB54" i="16"/>
  <c r="E55" i="3" s="1"/>
  <c r="CB55" i="16"/>
  <c r="E56" i="3" s="1"/>
  <c r="CB56" i="16"/>
  <c r="E57" i="3" s="1"/>
  <c r="CB57" i="16"/>
  <c r="E58" i="3" s="1"/>
  <c r="CB58" i="16"/>
  <c r="E59" i="3" s="1"/>
  <c r="CB59" i="16"/>
  <c r="E60" i="3" s="1"/>
  <c r="CB60" i="16"/>
  <c r="E61" i="3" s="1"/>
  <c r="CB61" i="16"/>
  <c r="E62" i="3" s="1"/>
  <c r="CB62" i="16"/>
  <c r="E63" i="3" s="1"/>
  <c r="CB63" i="16"/>
  <c r="E64" i="3" s="1"/>
  <c r="CB64" i="16"/>
  <c r="E65" i="3" s="1"/>
  <c r="O136" i="3"/>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T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T51" i="3" s="1"/>
  <c r="CH51" i="16"/>
  <c r="K52" i="3" s="1"/>
  <c r="T52" i="3" s="1"/>
  <c r="CH52" i="16"/>
  <c r="K53" i="3" s="1"/>
  <c r="T53" i="3" s="1"/>
  <c r="CH53" i="16"/>
  <c r="K54" i="3" s="1"/>
  <c r="T54" i="3" s="1"/>
  <c r="CH54" i="16"/>
  <c r="K55" i="3" s="1"/>
  <c r="T55" i="3" s="1"/>
  <c r="CH55" i="16"/>
  <c r="K56" i="3" s="1"/>
  <c r="T56" i="3" s="1"/>
  <c r="CH56" i="16"/>
  <c r="K57" i="3" s="1"/>
  <c r="T57" i="3" s="1"/>
  <c r="CH57" i="16"/>
  <c r="K58" i="3" s="1"/>
  <c r="T58" i="3" s="1"/>
  <c r="CH58" i="16"/>
  <c r="K59" i="3" s="1"/>
  <c r="T59" i="3" s="1"/>
  <c r="CH59" i="16"/>
  <c r="K60" i="3" s="1"/>
  <c r="T60" i="3" s="1"/>
  <c r="CH60" i="16"/>
  <c r="K61" i="3" s="1"/>
  <c r="T61" i="3" s="1"/>
  <c r="CH61" i="16"/>
  <c r="K62" i="3" s="1"/>
  <c r="T62" i="3" s="1"/>
  <c r="CH62" i="16"/>
  <c r="K63" i="3" s="1"/>
  <c r="T63" i="3" s="1"/>
  <c r="CH63" i="16"/>
  <c r="K64" i="3" s="1"/>
  <c r="T64" i="3" s="1"/>
  <c r="CH64" i="16"/>
  <c r="K65" i="3" s="1"/>
  <c r="T65" i="3" s="1"/>
  <c r="CH65" i="16"/>
  <c r="K66" i="3" s="1"/>
  <c r="T66" i="3" s="1"/>
  <c r="CH66" i="16"/>
  <c r="K67" i="3" s="1"/>
  <c r="T67" i="3" s="1"/>
  <c r="CH67" i="16"/>
  <c r="K68" i="3" s="1"/>
  <c r="T68" i="3" s="1"/>
  <c r="CH68" i="16"/>
  <c r="K69" i="3" s="1"/>
  <c r="T69" i="3" s="1"/>
  <c r="CH69" i="16"/>
  <c r="K70" i="3" s="1"/>
  <c r="T70" i="3" s="1"/>
  <c r="CH70" i="16"/>
  <c r="K71" i="3" s="1"/>
  <c r="T71" i="3" s="1"/>
  <c r="CH71" i="16"/>
  <c r="K72" i="3" s="1"/>
  <c r="T72" i="3" s="1"/>
  <c r="CH72" i="16"/>
  <c r="K73" i="3" s="1"/>
  <c r="T73" i="3" s="1"/>
  <c r="CH73" i="16"/>
  <c r="K74" i="3" s="1"/>
  <c r="T74" i="3" s="1"/>
  <c r="CH74" i="16"/>
  <c r="K75" i="3" s="1"/>
  <c r="T75" i="3" s="1"/>
  <c r="CH75" i="16"/>
  <c r="K76" i="3" s="1"/>
  <c r="T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L122" i="3" s="1"/>
  <c r="CJ140" i="16"/>
  <c r="M141" i="3" s="1"/>
  <c r="CJ141" i="16"/>
  <c r="M142" i="3" s="1"/>
  <c r="CJ142" i="16"/>
  <c r="M143" i="3" s="1"/>
  <c r="CJ143" i="16"/>
  <c r="M144" i="3" s="1"/>
  <c r="CJ144" i="16"/>
  <c r="M145" i="3" s="1"/>
  <c r="CJ145" i="16"/>
  <c r="M146" i="3" s="1"/>
  <c r="CJ146" i="16"/>
  <c r="M147" i="3" s="1"/>
  <c r="CJ147" i="16"/>
  <c r="M148" i="3" s="1"/>
  <c r="CJ148" i="16"/>
  <c r="M149" i="3" s="1"/>
  <c r="CJ149" i="16"/>
  <c r="M150" i="3" s="1"/>
  <c r="CJ150" i="16"/>
  <c r="M151" i="3" s="1"/>
  <c r="CJ151" i="16"/>
  <c r="M152" i="3" s="1"/>
  <c r="CJ152" i="16"/>
  <c r="M153" i="3" s="1"/>
  <c r="CJ153" i="16"/>
  <c r="M154" i="3" s="1"/>
  <c r="CJ154" i="16"/>
  <c r="M155" i="3" s="1"/>
  <c r="CJ155" i="16"/>
  <c r="M156" i="3" s="1"/>
  <c r="CJ156" i="16"/>
  <c r="M157" i="3" s="1"/>
  <c r="CJ157" i="16"/>
  <c r="M158" i="3" s="1"/>
  <c r="CJ158" i="16"/>
  <c r="M159" i="3" s="1"/>
  <c r="CJ159" i="16"/>
  <c r="M160"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K4" i="3" s="1"/>
  <c r="T4" i="3" s="1"/>
  <c r="CH4" i="16"/>
  <c r="K5" i="3" s="1"/>
  <c r="T5" i="3" s="1"/>
  <c r="CH5" i="16"/>
  <c r="K6" i="3" s="1"/>
  <c r="T6" i="3" s="1"/>
  <c r="CH6" i="16"/>
  <c r="K7" i="3" s="1"/>
  <c r="T7" i="3" s="1"/>
  <c r="CH7" i="16"/>
  <c r="K8" i="3" s="1"/>
  <c r="T8" i="3" s="1"/>
  <c r="CH8" i="16"/>
  <c r="K9" i="3" s="1"/>
  <c r="T9" i="3" s="1"/>
  <c r="CH9" i="16"/>
  <c r="K10" i="3" s="1"/>
  <c r="T10" i="3" s="1"/>
  <c r="CH10" i="16"/>
  <c r="K11" i="3" s="1"/>
  <c r="T11" i="3" s="1"/>
  <c r="CH11" i="16"/>
  <c r="K12" i="3" s="1"/>
  <c r="T12" i="3" s="1"/>
  <c r="CH12" i="16"/>
  <c r="K13" i="3" s="1"/>
  <c r="T13" i="3" s="1"/>
  <c r="CH13" i="16"/>
  <c r="K14" i="3" s="1"/>
  <c r="T14" i="3" s="1"/>
  <c r="CH14" i="16"/>
  <c r="K15" i="3" s="1"/>
  <c r="T15" i="3" s="1"/>
  <c r="CH15" i="16"/>
  <c r="K16" i="3" s="1"/>
  <c r="T16" i="3" s="1"/>
  <c r="CH16" i="16"/>
  <c r="K17" i="3" s="1"/>
  <c r="T17" i="3" s="1"/>
  <c r="CH17" i="16"/>
  <c r="K18" i="3" s="1"/>
  <c r="T18" i="3" s="1"/>
  <c r="CH18" i="16"/>
  <c r="K19" i="3" s="1"/>
  <c r="T19" i="3" s="1"/>
  <c r="CH19" i="16"/>
  <c r="K20" i="3" s="1"/>
  <c r="T20" i="3" s="1"/>
  <c r="CH20" i="16"/>
  <c r="K21" i="3" s="1"/>
  <c r="T21" i="3" s="1"/>
  <c r="CH21" i="16"/>
  <c r="K22" i="3" s="1"/>
  <c r="T22" i="3" s="1"/>
  <c r="CH22" i="16"/>
  <c r="K23" i="3" s="1"/>
  <c r="T23" i="3" s="1"/>
  <c r="CH23" i="16"/>
  <c r="K24" i="3" s="1"/>
  <c r="T24" i="3" s="1"/>
  <c r="CH24" i="16"/>
  <c r="K25" i="3" s="1"/>
  <c r="T25" i="3" s="1"/>
  <c r="CH25" i="16"/>
  <c r="K26" i="3" s="1"/>
  <c r="T26" i="3" s="1"/>
  <c r="CH26" i="16"/>
  <c r="K27" i="3" s="1"/>
  <c r="T27" i="3" s="1"/>
  <c r="CH27" i="16"/>
  <c r="K28" i="3" s="1"/>
  <c r="T28" i="3" s="1"/>
  <c r="CH28" i="16"/>
  <c r="K29" i="3" s="1"/>
  <c r="T29" i="3" s="1"/>
  <c r="CH29" i="16"/>
  <c r="K30" i="3" s="1"/>
  <c r="T30" i="3" s="1"/>
  <c r="CH30" i="16"/>
  <c r="K31" i="3" s="1"/>
  <c r="T31" i="3" s="1"/>
  <c r="CH31" i="16"/>
  <c r="K32" i="3" s="1"/>
  <c r="T32" i="3" s="1"/>
  <c r="CH32" i="16"/>
  <c r="K33" i="3" s="1"/>
  <c r="T33" i="3" s="1"/>
  <c r="CH33" i="16"/>
  <c r="K34" i="3" s="1"/>
  <c r="T34" i="3" s="1"/>
  <c r="CH34" i="16"/>
  <c r="K35" i="3" s="1"/>
  <c r="T35" i="3" s="1"/>
  <c r="CH35" i="16"/>
  <c r="K36" i="3" s="1"/>
  <c r="T36" i="3" s="1"/>
  <c r="CH36" i="16"/>
  <c r="K37" i="3" s="1"/>
  <c r="T37" i="3" s="1"/>
  <c r="CH37" i="16"/>
  <c r="K38" i="3" s="1"/>
  <c r="T38" i="3" s="1"/>
  <c r="CH38" i="16"/>
  <c r="K39" i="3" s="1"/>
  <c r="T39" i="3" s="1"/>
  <c r="CH39" i="16"/>
  <c r="K40" i="3" s="1"/>
  <c r="T40" i="3" s="1"/>
  <c r="CH40" i="16"/>
  <c r="K41" i="3" s="1"/>
  <c r="T41" i="3" s="1"/>
  <c r="CH41" i="16"/>
  <c r="K42" i="3" s="1"/>
  <c r="T42" i="3" s="1"/>
  <c r="CH42" i="16"/>
  <c r="K43" i="3" s="1"/>
  <c r="T43" i="3" s="1"/>
  <c r="CH43" i="16"/>
  <c r="K44" i="3" s="1"/>
  <c r="T44" i="3" s="1"/>
  <c r="CH44" i="16"/>
  <c r="K45" i="3" s="1"/>
  <c r="T45" i="3" s="1"/>
  <c r="CH45" i="16"/>
  <c r="K46" i="3" s="1"/>
  <c r="T46" i="3" s="1"/>
  <c r="CH46" i="16"/>
  <c r="K47" i="3" s="1"/>
  <c r="T47" i="3" s="1"/>
  <c r="CH47" i="16"/>
  <c r="K48" i="3" s="1"/>
  <c r="T48" i="3" s="1"/>
  <c r="CH48" i="16"/>
  <c r="K49" i="3" s="1"/>
  <c r="T49" i="3" s="1"/>
  <c r="CH49" i="16"/>
  <c r="K50" i="3" s="1"/>
  <c r="T50" i="3" s="1"/>
  <c r="CH174" i="16"/>
  <c r="K175" i="3" s="1"/>
  <c r="T175" i="3" s="1"/>
  <c r="CH175" i="16"/>
  <c r="K176" i="3" s="1"/>
  <c r="T176" i="3" s="1"/>
  <c r="CH176" i="16"/>
  <c r="K177" i="3" s="1"/>
  <c r="T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G6" i="3" s="1"/>
  <c r="Q6" i="3" s="1"/>
  <c r="CD8" i="16"/>
  <c r="G9" i="3" s="1"/>
  <c r="Q9" i="3" s="1"/>
  <c r="CD10" i="16"/>
  <c r="G11" i="3" s="1"/>
  <c r="Q11" i="3" s="1"/>
  <c r="CD12" i="16"/>
  <c r="G13" i="3" s="1"/>
  <c r="Q13" i="3" s="1"/>
  <c r="CD14" i="16"/>
  <c r="G15" i="3" s="1"/>
  <c r="Q15" i="3" s="1"/>
  <c r="CD16" i="16"/>
  <c r="G17" i="3" s="1"/>
  <c r="Q17" i="3" s="1"/>
  <c r="CD18" i="16"/>
  <c r="G19" i="3" s="1"/>
  <c r="Q19" i="3" s="1"/>
  <c r="CD20" i="16"/>
  <c r="G21" i="3" s="1"/>
  <c r="Q21" i="3" s="1"/>
  <c r="CD22" i="16"/>
  <c r="G23" i="3" s="1"/>
  <c r="Q23" i="3" s="1"/>
  <c r="CD24" i="16"/>
  <c r="G25" i="3" s="1"/>
  <c r="Q25" i="3" s="1"/>
  <c r="CD26" i="16"/>
  <c r="G27" i="3" s="1"/>
  <c r="Q27" i="3" s="1"/>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H4" i="3"/>
  <c r="H5" i="3"/>
  <c r="H6" i="3"/>
  <c r="H7" i="3"/>
  <c r="H8" i="3"/>
  <c r="H9" i="3"/>
  <c r="H10" i="3"/>
  <c r="H11" i="3"/>
  <c r="H12" i="3"/>
  <c r="H13" i="3"/>
  <c r="H14" i="3"/>
  <c r="H15" i="3"/>
  <c r="H16" i="3"/>
  <c r="H17" i="3"/>
  <c r="H18" i="3"/>
  <c r="H19" i="3"/>
  <c r="H20" i="3"/>
  <c r="H21" i="3"/>
  <c r="H22" i="3"/>
  <c r="H23" i="3"/>
  <c r="H24" i="3"/>
  <c r="H25" i="3"/>
  <c r="H26" i="3"/>
  <c r="H27" i="3"/>
  <c r="H28" i="3"/>
  <c r="M7"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E130" i="3"/>
  <c r="M30" i="3"/>
  <c r="M31" i="3"/>
  <c r="M32" i="3"/>
  <c r="M33" i="3"/>
  <c r="M34" i="3"/>
  <c r="M35" i="3"/>
  <c r="M36" i="3"/>
  <c r="M37" i="3"/>
  <c r="M38" i="3"/>
  <c r="K77" i="3"/>
  <c r="T77" i="3" s="1"/>
  <c r="K78" i="3"/>
  <c r="T78" i="3" s="1"/>
  <c r="K79" i="3"/>
  <c r="T79" i="3" s="1"/>
  <c r="K80" i="3"/>
  <c r="T80" i="3" s="1"/>
  <c r="K81" i="3"/>
  <c r="T81" i="3" s="1"/>
  <c r="K82" i="3"/>
  <c r="T82" i="3" s="1"/>
  <c r="K83" i="3"/>
  <c r="T83" i="3" s="1"/>
  <c r="K84" i="3"/>
  <c r="T84" i="3" s="1"/>
  <c r="K85" i="3"/>
  <c r="T85" i="3" s="1"/>
  <c r="K86" i="3"/>
  <c r="T86" i="3" s="1"/>
  <c r="K87" i="3"/>
  <c r="T87" i="3" s="1"/>
  <c r="K88" i="3"/>
  <c r="T88" i="3" s="1"/>
  <c r="K89" i="3"/>
  <c r="T89" i="3" s="1"/>
  <c r="K90" i="3"/>
  <c r="T90" i="3" s="1"/>
  <c r="K91" i="3"/>
  <c r="T91" i="3" s="1"/>
  <c r="K92" i="3"/>
  <c r="T92" i="3" s="1"/>
  <c r="K93" i="3"/>
  <c r="T93" i="3" s="1"/>
  <c r="K94" i="3"/>
  <c r="T94" i="3" s="1"/>
  <c r="K95" i="3"/>
  <c r="T95" i="3" s="1"/>
  <c r="K96" i="3"/>
  <c r="T96" i="3" s="1"/>
  <c r="K97" i="3"/>
  <c r="T97" i="3" s="1"/>
  <c r="K98" i="3"/>
  <c r="T98" i="3" s="1"/>
  <c r="K99" i="3"/>
  <c r="T99" i="3" s="1"/>
  <c r="K100" i="3"/>
  <c r="T100" i="3" s="1"/>
  <c r="K101" i="3"/>
  <c r="T101" i="3" s="1"/>
  <c r="K102" i="3"/>
  <c r="T102" i="3" s="1"/>
  <c r="K103" i="3"/>
  <c r="T103" i="3" s="1"/>
  <c r="K104" i="3"/>
  <c r="T104" i="3" s="1"/>
  <c r="K105" i="3"/>
  <c r="T105" i="3" s="1"/>
  <c r="K106" i="3"/>
  <c r="T106" i="3" s="1"/>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T108" i="3" s="1"/>
  <c r="K109" i="3"/>
  <c r="K110" i="3"/>
  <c r="K111" i="3"/>
  <c r="K112" i="3"/>
  <c r="K113" i="3"/>
  <c r="K114" i="3"/>
  <c r="K115" i="3"/>
  <c r="K116" i="3"/>
  <c r="K117" i="3"/>
  <c r="K118" i="3"/>
  <c r="K119" i="3"/>
  <c r="K120" i="3"/>
  <c r="K121" i="3"/>
  <c r="K122" i="3"/>
  <c r="K123" i="3"/>
  <c r="K124" i="3"/>
  <c r="K125" i="3"/>
  <c r="K126" i="3"/>
  <c r="T126" i="3" s="1"/>
  <c r="K127" i="3"/>
  <c r="T127" i="3" s="1"/>
  <c r="K128" i="3"/>
  <c r="T128" i="3" s="1"/>
  <c r="K129" i="3"/>
  <c r="T129" i="3" s="1"/>
  <c r="K130" i="3"/>
  <c r="T130" i="3" s="1"/>
  <c r="K131" i="3"/>
  <c r="T131" i="3" s="1"/>
  <c r="K132" i="3"/>
  <c r="T132" i="3" s="1"/>
  <c r="K133" i="3"/>
  <c r="T133" i="3" s="1"/>
  <c r="K134" i="3"/>
  <c r="T134" i="3" s="1"/>
  <c r="K135" i="3"/>
  <c r="T135" i="3" s="1"/>
  <c r="K136" i="3"/>
  <c r="T136" i="3" s="1"/>
  <c r="K137" i="3"/>
  <c r="T137" i="3" s="1"/>
  <c r="K138" i="3"/>
  <c r="T138" i="3" s="1"/>
  <c r="K139" i="3"/>
  <c r="T139" i="3" s="1"/>
  <c r="K140" i="3"/>
  <c r="T140" i="3" s="1"/>
  <c r="K141" i="3"/>
  <c r="T141" i="3" s="1"/>
  <c r="K142" i="3"/>
  <c r="T142" i="3" s="1"/>
  <c r="K143" i="3"/>
  <c r="T143" i="3" s="1"/>
  <c r="K144" i="3"/>
  <c r="T144" i="3" s="1"/>
  <c r="K145" i="3"/>
  <c r="T145" i="3" s="1"/>
  <c r="K146" i="3"/>
  <c r="T146" i="3" s="1"/>
  <c r="K147" i="3"/>
  <c r="T147" i="3" s="1"/>
  <c r="K148" i="3"/>
  <c r="T148" i="3" s="1"/>
  <c r="K149" i="3"/>
  <c r="T149" i="3" s="1"/>
  <c r="K150" i="3"/>
  <c r="T150" i="3" s="1"/>
  <c r="K151" i="3"/>
  <c r="T151" i="3" s="1"/>
  <c r="K152" i="3"/>
  <c r="T152" i="3" s="1"/>
  <c r="K153" i="3"/>
  <c r="T153" i="3" s="1"/>
  <c r="K154" i="3"/>
  <c r="T154" i="3" s="1"/>
  <c r="K155" i="3"/>
  <c r="T155" i="3" s="1"/>
  <c r="K156" i="3"/>
  <c r="T156" i="3" s="1"/>
  <c r="K157" i="3"/>
  <c r="T157" i="3" s="1"/>
  <c r="K158" i="3"/>
  <c r="T158" i="3" s="1"/>
  <c r="K159" i="3"/>
  <c r="T159" i="3" s="1"/>
  <c r="K160" i="3"/>
  <c r="T160" i="3" s="1"/>
  <c r="K161" i="3"/>
  <c r="T161" i="3" s="1"/>
  <c r="K162" i="3"/>
  <c r="T162" i="3" s="1"/>
  <c r="K163" i="3"/>
  <c r="T163" i="3" s="1"/>
  <c r="K164" i="3"/>
  <c r="T164" i="3" s="1"/>
  <c r="K165" i="3"/>
  <c r="T165" i="3" s="1"/>
  <c r="K166" i="3"/>
  <c r="T166" i="3" s="1"/>
  <c r="K167" i="3"/>
  <c r="T167" i="3" s="1"/>
  <c r="K168" i="3"/>
  <c r="T168" i="3" s="1"/>
  <c r="K169" i="3"/>
  <c r="T169" i="3" s="1"/>
  <c r="K170" i="3"/>
  <c r="T170" i="3" s="1"/>
  <c r="K171" i="3"/>
  <c r="T171" i="3" s="1"/>
  <c r="K172" i="3"/>
  <c r="T172" i="3" s="1"/>
  <c r="K173" i="3"/>
  <c r="T173" i="3" s="1"/>
  <c r="K174" i="3"/>
  <c r="T174" i="3" s="1"/>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B197" i="3"/>
  <c r="C197" i="3" s="1"/>
  <c r="AH4" i="3"/>
  <c r="B196" i="3"/>
  <c r="C196" i="3" s="1"/>
  <c r="AG4" i="3"/>
  <c r="B195" i="3"/>
  <c r="C195" i="3" s="1"/>
  <c r="AF4" i="3"/>
  <c r="B194" i="3"/>
  <c r="C194" i="3" s="1"/>
  <c r="AE4" i="3"/>
  <c r="G129"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58" i="6"/>
  <c r="G57" i="6"/>
  <c r="G56" i="6"/>
  <c r="G55" i="6"/>
  <c r="G54" i="6"/>
  <c r="G53" i="6"/>
  <c r="G52" i="6"/>
  <c r="G51" i="6"/>
  <c r="G50" i="6"/>
  <c r="G49" i="6"/>
  <c r="G48" i="6"/>
  <c r="G47" i="6"/>
  <c r="G46" i="6"/>
  <c r="G45" i="6"/>
  <c r="B181" i="6"/>
  <c r="B187" i="6"/>
  <c r="G148" i="6"/>
  <c r="G147" i="6"/>
  <c r="G146" i="6"/>
  <c r="G145" i="6"/>
  <c r="G144" i="6"/>
  <c r="G143" i="6"/>
  <c r="G142" i="6"/>
  <c r="G141" i="6"/>
  <c r="G140" i="6"/>
  <c r="G139" i="6"/>
  <c r="G138"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T109" i="3" l="1"/>
  <c r="T110" i="3"/>
  <c r="T111" i="3"/>
  <c r="T112" i="3"/>
  <c r="T113" i="3"/>
  <c r="T114" i="3"/>
  <c r="T115" i="3"/>
  <c r="T116" i="3"/>
  <c r="T117" i="3"/>
  <c r="T118" i="3"/>
  <c r="T119" i="3"/>
  <c r="T120" i="3"/>
  <c r="T121" i="3"/>
  <c r="T122" i="3"/>
  <c r="T123" i="3"/>
  <c r="T124" i="3"/>
  <c r="T125" i="3"/>
  <c r="Q137" i="3"/>
  <c r="Q139" i="3"/>
  <c r="Q141" i="3"/>
  <c r="Q144" i="3"/>
  <c r="Q146" i="3"/>
  <c r="Q148" i="3"/>
  <c r="Q150" i="3"/>
  <c r="Q152" i="3"/>
  <c r="Q154" i="3"/>
  <c r="Q156" i="3"/>
  <c r="Q158" i="3"/>
  <c r="Q160" i="3"/>
  <c r="Q162" i="3"/>
  <c r="Q165" i="3"/>
  <c r="Q167" i="3"/>
  <c r="Q169" i="3"/>
  <c r="Q170" i="3"/>
  <c r="Q172" i="3"/>
  <c r="Q174" i="3"/>
  <c r="Q176" i="3"/>
  <c r="Q138" i="3"/>
  <c r="Q140" i="3"/>
  <c r="Q142" i="3"/>
  <c r="Q143" i="3"/>
  <c r="Q145" i="3"/>
  <c r="Q147" i="3"/>
  <c r="Q149" i="3"/>
  <c r="Q151" i="3"/>
  <c r="Q153" i="3"/>
  <c r="Q155" i="3"/>
  <c r="Q157" i="3"/>
  <c r="Q159" i="3"/>
  <c r="Q161" i="3"/>
  <c r="Q163" i="3"/>
  <c r="Q164" i="3"/>
  <c r="Q166" i="3"/>
  <c r="Q168" i="3"/>
  <c r="Q171" i="3"/>
  <c r="Q173" i="3"/>
  <c r="Q175" i="3"/>
  <c r="Q177" i="3"/>
  <c r="Q31" i="3"/>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Q10" i="3"/>
  <c r="Q16" i="3"/>
  <c r="Q22" i="3"/>
  <c r="Q30" i="3"/>
  <c r="Q38" i="3"/>
  <c r="Q44" i="3"/>
  <c r="Q50" i="3"/>
  <c r="Q58" i="3"/>
  <c r="Q64" i="3"/>
  <c r="Q70" i="3"/>
  <c r="Q78" i="3"/>
  <c r="Q84" i="3"/>
  <c r="Q90" i="3"/>
  <c r="Q96" i="3"/>
  <c r="Q103" i="3"/>
  <c r="Q109" i="3"/>
  <c r="Q115" i="3"/>
  <c r="Q121" i="3"/>
  <c r="Q126" i="3"/>
  <c r="Q132" i="3"/>
  <c r="B186" i="3"/>
  <c r="C186" i="3" s="1"/>
  <c r="B183" i="3"/>
  <c r="C183" i="3" s="1"/>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AA66" i="3" s="1"/>
  <c r="F67" i="3"/>
  <c r="V67" i="3" s="1"/>
  <c r="AA67" i="3" s="1"/>
  <c r="H66" i="6"/>
  <c r="F68" i="3"/>
  <c r="V68" i="3" s="1"/>
  <c r="AA68" i="3" s="1"/>
  <c r="H67" i="6"/>
  <c r="H68" i="6"/>
  <c r="F69" i="3"/>
  <c r="V69" i="3" s="1"/>
  <c r="AA69" i="3" s="1"/>
  <c r="H69" i="6"/>
  <c r="F70" i="3"/>
  <c r="V70" i="3" s="1"/>
  <c r="AA70" i="3" s="1"/>
  <c r="F71" i="3"/>
  <c r="V71" i="3" s="1"/>
  <c r="AA71" i="3" s="1"/>
  <c r="H70" i="6"/>
  <c r="F72" i="3"/>
  <c r="V72" i="3" s="1"/>
  <c r="AA72" i="3" s="1"/>
  <c r="H71" i="6"/>
  <c r="F73" i="3"/>
  <c r="V73" i="3" s="1"/>
  <c r="AA73" i="3" s="1"/>
  <c r="H72" i="6"/>
  <c r="H73" i="6"/>
  <c r="F74" i="3"/>
  <c r="V74" i="3" s="1"/>
  <c r="AA74" i="3" s="1"/>
  <c r="F75" i="3"/>
  <c r="V75" i="3" s="1"/>
  <c r="AA75" i="3" s="1"/>
  <c r="H74" i="6"/>
  <c r="F76" i="3"/>
  <c r="V76" i="3" s="1"/>
  <c r="AA76" i="3" s="1"/>
  <c r="H75" i="6"/>
  <c r="F77" i="3"/>
  <c r="V77" i="3" s="1"/>
  <c r="AA77" i="3" s="1"/>
  <c r="H76" i="6"/>
  <c r="H77" i="6"/>
  <c r="F78" i="3"/>
  <c r="V78" i="3" s="1"/>
  <c r="AA78" i="3" s="1"/>
  <c r="F79" i="3"/>
  <c r="V79" i="3" s="1"/>
  <c r="AA79" i="3" s="1"/>
  <c r="H78" i="6"/>
  <c r="F80" i="3"/>
  <c r="V80" i="3" s="1"/>
  <c r="AA80" i="3" s="1"/>
  <c r="H79" i="6"/>
  <c r="F81" i="3"/>
  <c r="V81" i="3" s="1"/>
  <c r="AA81" i="3" s="1"/>
  <c r="H80" i="6"/>
  <c r="H81" i="6"/>
  <c r="F82" i="3"/>
  <c r="V82" i="3" s="1"/>
  <c r="AA82" i="3" s="1"/>
  <c r="F83" i="3"/>
  <c r="V83" i="3" s="1"/>
  <c r="AA83" i="3" s="1"/>
  <c r="H82" i="6"/>
  <c r="F84" i="3"/>
  <c r="V84" i="3" s="1"/>
  <c r="AA84" i="3" s="1"/>
  <c r="H83" i="6"/>
  <c r="F85" i="3"/>
  <c r="V85" i="3" s="1"/>
  <c r="AA85" i="3" s="1"/>
  <c r="H84" i="6"/>
  <c r="H85" i="6"/>
  <c r="F86" i="3"/>
  <c r="V86" i="3" s="1"/>
  <c r="AA86" i="3" s="1"/>
  <c r="F87" i="3"/>
  <c r="V87" i="3" s="1"/>
  <c r="AA87" i="3" s="1"/>
  <c r="H86" i="6"/>
  <c r="F88" i="3"/>
  <c r="V88" i="3" s="1"/>
  <c r="AA88" i="3" s="1"/>
  <c r="H87" i="6"/>
  <c r="H88" i="6"/>
  <c r="F89" i="3"/>
  <c r="V89" i="3" s="1"/>
  <c r="AA89" i="3" s="1"/>
  <c r="F90" i="3"/>
  <c r="V90" i="3" s="1"/>
  <c r="AA90" i="3" s="1"/>
  <c r="H89" i="6"/>
  <c r="F91" i="3"/>
  <c r="V91" i="3" s="1"/>
  <c r="AA91" i="3" s="1"/>
  <c r="H90" i="6"/>
  <c r="H91" i="6"/>
  <c r="F92" i="3"/>
  <c r="V92" i="3" s="1"/>
  <c r="AA92" i="3" s="1"/>
  <c r="H92" i="6"/>
  <c r="F93" i="3"/>
  <c r="V93" i="3" s="1"/>
  <c r="AA93" i="3" s="1"/>
  <c r="F94" i="3"/>
  <c r="V94" i="3" s="1"/>
  <c r="AA94" i="3" s="1"/>
  <c r="H93" i="6"/>
  <c r="F95" i="3"/>
  <c r="V95" i="3" s="1"/>
  <c r="AA95" i="3" s="1"/>
  <c r="H94" i="6"/>
  <c r="F96" i="3"/>
  <c r="V96" i="3" s="1"/>
  <c r="AA96" i="3" s="1"/>
  <c r="H95" i="6"/>
  <c r="H96" i="6"/>
  <c r="F97" i="3"/>
  <c r="V97" i="3" s="1"/>
  <c r="AA97" i="3" s="1"/>
  <c r="F98" i="3"/>
  <c r="V98" i="3" s="1"/>
  <c r="AA98" i="3" s="1"/>
  <c r="H97" i="6"/>
  <c r="F99" i="3"/>
  <c r="V99" i="3" s="1"/>
  <c r="AA99" i="3" s="1"/>
  <c r="H98" i="6"/>
  <c r="F100" i="3"/>
  <c r="V100" i="3" s="1"/>
  <c r="AA100" i="3" s="1"/>
  <c r="H99" i="6"/>
  <c r="H100" i="6"/>
  <c r="F101" i="3"/>
  <c r="V101" i="3" s="1"/>
  <c r="AA101" i="3" s="1"/>
  <c r="F102" i="3"/>
  <c r="V102" i="3" s="1"/>
  <c r="AA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S171" i="3" l="1"/>
  <c r="S172" i="3"/>
  <c r="S173" i="3"/>
  <c r="R20" i="3"/>
  <c r="R23" i="3"/>
  <c r="R25" i="3"/>
  <c r="R26" i="3"/>
  <c r="R176" i="3"/>
  <c r="S71" i="3"/>
  <c r="R34" i="3"/>
  <c r="R37" i="3"/>
  <c r="AP76" i="5"/>
  <c r="AP80" i="5"/>
  <c r="AP83" i="5"/>
  <c r="AP85" i="5"/>
  <c r="AP78" i="5"/>
  <c r="AP82" i="5"/>
  <c r="S174" i="3"/>
  <c r="S175" i="3"/>
  <c r="S176" i="3"/>
  <c r="S177" i="3"/>
  <c r="AP72" i="5"/>
  <c r="AP74" i="5"/>
  <c r="AP88" i="5"/>
  <c r="AP89" i="5"/>
  <c r="AP91" i="5"/>
  <c r="AP93" i="5"/>
  <c r="AP95" i="5"/>
  <c r="AP98" i="5"/>
  <c r="R14" i="3"/>
  <c r="R15" i="3"/>
  <c r="R18" i="3"/>
  <c r="R169" i="3"/>
  <c r="R173" i="3"/>
  <c r="R50" i="3"/>
  <c r="R54" i="3"/>
  <c r="R57" i="3"/>
  <c r="R59" i="3"/>
  <c r="S4" i="3"/>
  <c r="S5" i="3"/>
  <c r="S6" i="3"/>
  <c r="S7" i="3"/>
  <c r="S8" i="3"/>
  <c r="S9" i="3"/>
  <c r="S10" i="3"/>
  <c r="S11" i="3"/>
  <c r="S12" i="3"/>
  <c r="S13" i="3"/>
  <c r="S14" i="3"/>
  <c r="S15" i="3"/>
  <c r="S16" i="3"/>
  <c r="S17" i="3"/>
  <c r="S18" i="3"/>
  <c r="S19" i="3"/>
  <c r="S20" i="3"/>
  <c r="S21" i="3"/>
  <c r="S22" i="3"/>
  <c r="S23" i="3"/>
  <c r="S24"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AP81" i="5"/>
  <c r="AT81" i="5" s="1"/>
  <c r="AP87" i="5"/>
  <c r="AT87" i="5" s="1"/>
  <c r="AP90" i="5"/>
  <c r="AP92" i="5"/>
  <c r="AP97" i="5"/>
  <c r="AP100" i="5"/>
  <c r="R5" i="3"/>
  <c r="R9" i="3"/>
  <c r="R12" i="3"/>
  <c r="R17" i="3"/>
  <c r="R19" i="3"/>
  <c r="S60" i="3"/>
  <c r="S61" i="3"/>
  <c r="S62" i="3"/>
  <c r="S63" i="3"/>
  <c r="S65" i="3"/>
  <c r="S103"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AP65" i="5"/>
  <c r="AT65" i="5" s="1"/>
  <c r="AP67" i="5"/>
  <c r="AT67" i="5" s="1"/>
  <c r="AM68" i="3" s="1"/>
  <c r="AP69" i="5"/>
  <c r="AT69" i="5" s="1"/>
  <c r="AM70" i="3" s="1"/>
  <c r="AP77" i="5"/>
  <c r="AT77" i="5" s="1"/>
  <c r="AP79" i="5"/>
  <c r="AT79" i="5" s="1"/>
  <c r="AM80" i="3" s="1"/>
  <c r="AP84" i="5"/>
  <c r="AT84" i="5" s="1"/>
  <c r="AP86" i="5"/>
  <c r="AT86" i="5" s="1"/>
  <c r="AM87" i="3" s="1"/>
  <c r="AP94" i="5"/>
  <c r="AT94" i="5" s="1"/>
  <c r="AP96" i="5"/>
  <c r="AT96" i="5" s="1"/>
  <c r="AM97" i="3" s="1"/>
  <c r="AP99" i="5"/>
  <c r="AT99" i="5" s="1"/>
  <c r="AM100" i="3" s="1"/>
  <c r="AP101" i="5"/>
  <c r="AT101" i="5" s="1"/>
  <c r="AM102" i="3" s="1"/>
  <c r="S64" i="3"/>
  <c r="S104" i="3"/>
  <c r="S132" i="3"/>
  <c r="S25" i="3"/>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P70" i="5"/>
  <c r="AP71" i="5"/>
  <c r="AP73" i="5"/>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S3" i="5" s="1"/>
  <c r="AP4" i="5"/>
  <c r="AT4" i="5" s="1"/>
  <c r="AP5" i="5"/>
  <c r="AT5" i="5" s="1"/>
  <c r="AP6" i="5"/>
  <c r="AT6" i="5" s="1"/>
  <c r="AP7" i="5"/>
  <c r="AT7" i="5" s="1"/>
  <c r="AP8" i="5"/>
  <c r="AT8" i="5" s="1"/>
  <c r="AP24" i="5"/>
  <c r="AT24" i="5" s="1"/>
  <c r="AP25" i="5"/>
  <c r="AT25" i="5" s="1"/>
  <c r="AP26" i="5"/>
  <c r="AT26" i="5" s="1"/>
  <c r="AP27" i="5"/>
  <c r="AT27" i="5" s="1"/>
  <c r="AP28" i="5"/>
  <c r="AT28" i="5" s="1"/>
  <c r="AP29" i="5"/>
  <c r="AT29" i="5" s="1"/>
  <c r="AP30" i="5"/>
  <c r="AT30" i="5" s="1"/>
  <c r="AP31" i="5"/>
  <c r="AT31" i="5" s="1"/>
  <c r="AP32" i="5"/>
  <c r="AT32" i="5" s="1"/>
  <c r="AM33" i="3" s="1"/>
  <c r="AP33" i="5"/>
  <c r="AT33" i="5" s="1"/>
  <c r="AM34" i="3" s="1"/>
  <c r="AP34" i="5"/>
  <c r="AT34" i="5" s="1"/>
  <c r="AM35" i="3" s="1"/>
  <c r="AP35" i="5"/>
  <c r="AT35" i="5" s="1"/>
  <c r="AM36" i="3" s="1"/>
  <c r="AP36" i="5"/>
  <c r="AT36" i="5" s="1"/>
  <c r="AM37" i="3" s="1"/>
  <c r="AP37" i="5"/>
  <c r="AT37" i="5" s="1"/>
  <c r="AM38" i="3" s="1"/>
  <c r="AP38" i="5"/>
  <c r="AT38" i="5" s="1"/>
  <c r="AM39" i="3" s="1"/>
  <c r="AP39" i="5"/>
  <c r="AT39" i="5" s="1"/>
  <c r="AM40" i="3" s="1"/>
  <c r="AP40" i="5"/>
  <c r="AT40" i="5" s="1"/>
  <c r="AM41" i="3" s="1"/>
  <c r="AP41" i="5"/>
  <c r="AT41" i="5" s="1"/>
  <c r="AM42" i="3" s="1"/>
  <c r="AP42" i="5"/>
  <c r="AT42" i="5" s="1"/>
  <c r="AM43" i="3" s="1"/>
  <c r="AP43" i="5"/>
  <c r="AT43" i="5" s="1"/>
  <c r="AM44" i="3" s="1"/>
  <c r="AP44" i="5"/>
  <c r="AT44" i="5" s="1"/>
  <c r="AM45" i="3" s="1"/>
  <c r="AP45" i="5"/>
  <c r="AT45" i="5" s="1"/>
  <c r="AM46" i="3" s="1"/>
  <c r="AP46" i="5"/>
  <c r="AT46" i="5" s="1"/>
  <c r="AM47" i="3" s="1"/>
  <c r="AP47" i="5"/>
  <c r="AT47" i="5" s="1"/>
  <c r="AM48" i="3" s="1"/>
  <c r="AP48" i="5"/>
  <c r="AT48" i="5" s="1"/>
  <c r="AM49" i="3" s="1"/>
  <c r="AP49" i="5"/>
  <c r="AT49" i="5" s="1"/>
  <c r="AM50" i="3" s="1"/>
  <c r="AP50" i="5"/>
  <c r="AT50" i="5" s="1"/>
  <c r="AM51" i="3" s="1"/>
  <c r="AP51" i="5"/>
  <c r="AT51" i="5" s="1"/>
  <c r="AM52" i="3" s="1"/>
  <c r="AP52" i="5"/>
  <c r="AT52" i="5" s="1"/>
  <c r="AM53" i="3" s="1"/>
  <c r="AP53" i="5"/>
  <c r="AT53" i="5" s="1"/>
  <c r="AM54" i="3" s="1"/>
  <c r="AP54" i="5"/>
  <c r="AT54" i="5" s="1"/>
  <c r="AM55" i="3" s="1"/>
  <c r="AP55" i="5"/>
  <c r="AT55" i="5" s="1"/>
  <c r="AM56" i="3" s="1"/>
  <c r="AP56" i="5"/>
  <c r="AT56" i="5" s="1"/>
  <c r="AM57" i="3" s="1"/>
  <c r="AP57" i="5"/>
  <c r="AT57" i="5" s="1"/>
  <c r="AM58" i="3" s="1"/>
  <c r="AP58" i="5"/>
  <c r="AT58" i="5" s="1"/>
  <c r="AM59" i="3" s="1"/>
  <c r="AP59" i="5"/>
  <c r="AT59" i="5" s="1"/>
  <c r="AM60" i="3" s="1"/>
  <c r="AP60" i="5"/>
  <c r="AT60" i="5" s="1"/>
  <c r="AM61" i="3" s="1"/>
  <c r="AP61" i="5"/>
  <c r="AT61" i="5" s="1"/>
  <c r="AM62" i="3" s="1"/>
  <c r="AP62" i="5"/>
  <c r="AT62" i="5" s="1"/>
  <c r="AM63" i="3" s="1"/>
  <c r="AP176" i="5"/>
  <c r="AT176" i="5" s="1"/>
  <c r="R130" i="3"/>
  <c r="R10" i="3"/>
  <c r="R16" i="3"/>
  <c r="R22" i="3"/>
  <c r="R24" i="3"/>
  <c r="R79" i="3"/>
  <c r="R81" i="3"/>
  <c r="R84" i="3"/>
  <c r="R96" i="3"/>
  <c r="R107" i="3"/>
  <c r="R110" i="3"/>
  <c r="R113" i="3"/>
  <c r="R119" i="3"/>
  <c r="R131" i="3"/>
  <c r="R143" i="3"/>
  <c r="R147" i="3"/>
  <c r="R156" i="3"/>
  <c r="R164" i="3"/>
  <c r="AP9" i="5"/>
  <c r="AT9" i="5" s="1"/>
  <c r="AP10" i="5"/>
  <c r="AT10" i="5" s="1"/>
  <c r="AP11" i="5"/>
  <c r="AT11" i="5" s="1"/>
  <c r="AP12" i="5"/>
  <c r="AT12" i="5" s="1"/>
  <c r="AP13" i="5"/>
  <c r="AT13" i="5" s="1"/>
  <c r="AP14" i="5"/>
  <c r="AT14" i="5" s="1"/>
  <c r="AP15" i="5"/>
  <c r="AT15" i="5" s="1"/>
  <c r="AP16" i="5"/>
  <c r="AT16" i="5" s="1"/>
  <c r="AP17" i="5"/>
  <c r="AP18" i="5"/>
  <c r="AT18" i="5" s="1"/>
  <c r="AP19" i="5"/>
  <c r="AP20" i="5"/>
  <c r="AP21" i="5"/>
  <c r="AT21" i="5" s="1"/>
  <c r="AP22" i="5"/>
  <c r="AT22" i="5" s="1"/>
  <c r="AP23" i="5"/>
  <c r="AT23" i="5" s="1"/>
  <c r="AP63" i="5"/>
  <c r="AT63" i="5" s="1"/>
  <c r="AM64" i="3" s="1"/>
  <c r="AP64" i="5"/>
  <c r="AT64" i="5" s="1"/>
  <c r="AM65" i="3" s="1"/>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T116" i="5" s="1"/>
  <c r="AM117" i="3" s="1"/>
  <c r="AP119" i="5"/>
  <c r="AT119" i="5" s="1"/>
  <c r="AM120" i="3" s="1"/>
  <c r="AP121" i="5"/>
  <c r="AT121" i="5" s="1"/>
  <c r="AM122" i="3" s="1"/>
  <c r="AP122" i="5"/>
  <c r="AT122" i="5" s="1"/>
  <c r="AM123" i="3" s="1"/>
  <c r="AP125" i="5"/>
  <c r="AT125" i="5" s="1"/>
  <c r="AM126" i="3" s="1"/>
  <c r="AP126" i="5"/>
  <c r="AT126" i="5" s="1"/>
  <c r="AM127" i="3" s="1"/>
  <c r="AP128" i="5"/>
  <c r="AP130" i="5"/>
  <c r="AP131" i="5"/>
  <c r="AT131" i="5" s="1"/>
  <c r="AM132" i="3" s="1"/>
  <c r="AP132" i="5"/>
  <c r="AT132" i="5" s="1"/>
  <c r="AM133" i="3" s="1"/>
  <c r="AP142" i="5"/>
  <c r="AT142" i="5" s="1"/>
  <c r="AP146" i="5"/>
  <c r="AP148" i="5"/>
  <c r="AT148" i="5" s="1"/>
  <c r="AP152" i="5"/>
  <c r="AT152" i="5" s="1"/>
  <c r="AP154" i="5"/>
  <c r="AP157" i="5"/>
  <c r="AP158" i="5"/>
  <c r="AT158" i="5" s="1"/>
  <c r="AP164" i="5"/>
  <c r="AT164" i="5" s="1"/>
  <c r="AP168" i="5"/>
  <c r="AT168" i="5" s="1"/>
  <c r="AP173" i="5"/>
  <c r="AT173" i="5" s="1"/>
  <c r="AP174" i="5"/>
  <c r="AT174" i="5" s="1"/>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AT150" i="5" s="1"/>
  <c r="R117" i="3"/>
  <c r="R120" i="3"/>
  <c r="R123" i="3"/>
  <c r="R126" i="3"/>
  <c r="R129" i="3"/>
  <c r="R133" i="3"/>
  <c r="R136" i="3"/>
  <c r="R140" i="3"/>
  <c r="R144" i="3"/>
  <c r="R148" i="3"/>
  <c r="R152" i="3"/>
  <c r="R155" i="3"/>
  <c r="R159" i="3"/>
  <c r="R162" i="3"/>
  <c r="R166" i="3"/>
  <c r="R170" i="3"/>
  <c r="R174" i="3"/>
  <c r="AP102" i="5"/>
  <c r="AT102" i="5" s="1"/>
  <c r="AM103" i="3" s="1"/>
  <c r="AP103" i="5"/>
  <c r="AT103" i="5" s="1"/>
  <c r="AM104" i="3" s="1"/>
  <c r="AP104" i="5"/>
  <c r="AT104" i="5" s="1"/>
  <c r="AM105" i="3" s="1"/>
  <c r="AP105" i="5"/>
  <c r="AT105" i="5" s="1"/>
  <c r="AM106" i="3" s="1"/>
  <c r="AP106" i="5"/>
  <c r="AT106" i="5" s="1"/>
  <c r="AM107" i="3" s="1"/>
  <c r="AP107" i="5"/>
  <c r="AT107" i="5" s="1"/>
  <c r="AM108" i="3" s="1"/>
  <c r="AP108" i="5"/>
  <c r="AT108" i="5" s="1"/>
  <c r="AM109" i="3" s="1"/>
  <c r="AP109" i="5"/>
  <c r="AT109" i="5" s="1"/>
  <c r="AM110" i="3" s="1"/>
  <c r="AP110" i="5"/>
  <c r="AT110" i="5" s="1"/>
  <c r="AM111" i="3" s="1"/>
  <c r="AP111" i="5"/>
  <c r="AT111" i="5" s="1"/>
  <c r="AM112" i="3" s="1"/>
  <c r="AP112" i="5"/>
  <c r="AT112" i="5" s="1"/>
  <c r="AM113" i="3" s="1"/>
  <c r="AP113" i="5"/>
  <c r="AT113" i="5" s="1"/>
  <c r="AM114" i="3" s="1"/>
  <c r="AP114" i="5"/>
  <c r="AT114" i="5" s="1"/>
  <c r="AM115" i="3" s="1"/>
  <c r="AP115" i="5"/>
  <c r="AT115" i="5" s="1"/>
  <c r="AM116" i="3" s="1"/>
  <c r="AP117" i="5"/>
  <c r="AT117" i="5" s="1"/>
  <c r="AM118" i="3" s="1"/>
  <c r="AP118" i="5"/>
  <c r="AT118" i="5" s="1"/>
  <c r="AM119" i="3" s="1"/>
  <c r="AP120" i="5"/>
  <c r="AT120" i="5" s="1"/>
  <c r="AM121" i="3" s="1"/>
  <c r="AP123" i="5"/>
  <c r="AT123" i="5" s="1"/>
  <c r="AM124" i="3" s="1"/>
  <c r="AP124" i="5"/>
  <c r="AT124" i="5" s="1"/>
  <c r="AM125" i="3" s="1"/>
  <c r="AP127" i="5"/>
  <c r="AT127" i="5" s="1"/>
  <c r="AM128" i="3" s="1"/>
  <c r="AP129" i="5"/>
  <c r="AT129" i="5" s="1"/>
  <c r="AM130" i="3" s="1"/>
  <c r="AP133" i="5"/>
  <c r="AT133" i="5" s="1"/>
  <c r="AM134" i="3" s="1"/>
  <c r="AP134" i="5"/>
  <c r="AT134" i="5" s="1"/>
  <c r="AP135" i="5"/>
  <c r="AT135" i="5" s="1"/>
  <c r="AP136" i="5"/>
  <c r="AT136" i="5" s="1"/>
  <c r="AP137" i="5"/>
  <c r="AT137" i="5" s="1"/>
  <c r="AP138" i="5"/>
  <c r="AT138" i="5" s="1"/>
  <c r="AP139" i="5"/>
  <c r="AT139" i="5" s="1"/>
  <c r="AP140" i="5"/>
  <c r="AT140" i="5" s="1"/>
  <c r="AP141" i="5"/>
  <c r="AT141" i="5" s="1"/>
  <c r="AP143" i="5"/>
  <c r="AT143" i="5" s="1"/>
  <c r="AP144" i="5"/>
  <c r="AT144" i="5" s="1"/>
  <c r="AP145" i="5"/>
  <c r="AT145" i="5" s="1"/>
  <c r="AP147" i="5"/>
  <c r="AT147" i="5" s="1"/>
  <c r="AP153" i="5"/>
  <c r="AT153" i="5" s="1"/>
  <c r="AP155" i="5"/>
  <c r="AT155" i="5" s="1"/>
  <c r="AP156" i="5"/>
  <c r="AT156" i="5" s="1"/>
  <c r="AP159" i="5"/>
  <c r="AT159" i="5" s="1"/>
  <c r="AP160" i="5"/>
  <c r="AT160" i="5" s="1"/>
  <c r="AP161" i="5"/>
  <c r="AT161" i="5" s="1"/>
  <c r="AP162" i="5"/>
  <c r="AT162" i="5" s="1"/>
  <c r="AP163" i="5"/>
  <c r="AT163" i="5" s="1"/>
  <c r="AP165" i="5"/>
  <c r="AT165" i="5" s="1"/>
  <c r="AP166" i="5"/>
  <c r="AT166" i="5" s="1"/>
  <c r="AP167" i="5"/>
  <c r="AT167" i="5" s="1"/>
  <c r="AP169" i="5"/>
  <c r="AT169" i="5" s="1"/>
  <c r="AP170" i="5"/>
  <c r="AT170" i="5" s="1"/>
  <c r="AP171" i="5"/>
  <c r="AT171" i="5" s="1"/>
  <c r="AP172" i="5"/>
  <c r="AT172" i="5" s="1"/>
  <c r="AP175" i="5"/>
  <c r="AT175" i="5" s="1"/>
  <c r="R141" i="3"/>
  <c r="R150" i="3"/>
  <c r="R154" i="3"/>
  <c r="R158" i="3"/>
  <c r="R163" i="3"/>
  <c r="R167" i="3"/>
  <c r="AP149" i="5"/>
  <c r="AP151" i="5"/>
  <c r="AT151" i="5" s="1"/>
  <c r="S72" i="3"/>
  <c r="S74" i="3"/>
  <c r="S79" i="3"/>
  <c r="S80" i="3"/>
  <c r="S82" i="3"/>
  <c r="S86" i="3"/>
  <c r="S89" i="3"/>
  <c r="S92" i="3"/>
  <c r="S101" i="3"/>
  <c r="AP68" i="5"/>
  <c r="AT68" i="5" s="1"/>
  <c r="AP75" i="5"/>
  <c r="AT75" i="5" s="1"/>
  <c r="AI69" i="3"/>
  <c r="S68" i="5"/>
  <c r="T68" i="5" s="1"/>
  <c r="AI76" i="3"/>
  <c r="S75" i="5"/>
  <c r="T75" i="5" s="1"/>
  <c r="B188" i="3"/>
  <c r="C188" i="3" s="1"/>
  <c r="F3" i="7"/>
  <c r="B187" i="3"/>
  <c r="C187" i="3" s="1"/>
  <c r="F6" i="7"/>
  <c r="F15" i="7"/>
  <c r="F10" i="7"/>
  <c r="F4" i="7"/>
  <c r="F7" i="7"/>
  <c r="F8" i="7"/>
  <c r="F11" i="7"/>
  <c r="V38" i="3"/>
  <c r="AA38" i="3" s="1"/>
  <c r="B184" i="3"/>
  <c r="C184" i="3" s="1"/>
  <c r="AQ65" i="5"/>
  <c r="AQ67" i="5"/>
  <c r="AQ69" i="5"/>
  <c r="F16" i="7"/>
  <c r="AQ96" i="5"/>
  <c r="AQ99" i="5"/>
  <c r="AQ101"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F14" i="7"/>
  <c r="AQ79" i="5"/>
  <c r="AQ81" i="5"/>
  <c r="AQ84" i="5"/>
  <c r="F9" i="7"/>
  <c r="AQ86" i="5"/>
  <c r="AQ87" i="5"/>
  <c r="AQ90" i="5"/>
  <c r="AQ92" i="5"/>
  <c r="AQ94" i="5"/>
  <c r="AQ97" i="5"/>
  <c r="AQ100" i="5"/>
  <c r="AQ72" i="5"/>
  <c r="AQ74" i="5"/>
  <c r="AQ76" i="5"/>
  <c r="AQ78" i="5"/>
  <c r="AQ80" i="5"/>
  <c r="AQ82" i="5"/>
  <c r="AQ83" i="5"/>
  <c r="AQ85" i="5"/>
  <c r="AQ88" i="5"/>
  <c r="AQ89" i="5"/>
  <c r="AQ91" i="5"/>
  <c r="AQ93" i="5"/>
  <c r="AQ95" i="5"/>
  <c r="AQ98" i="5"/>
  <c r="AQ149" i="5"/>
  <c r="AQ151" i="5"/>
  <c r="AQ150" i="5"/>
  <c r="B3" i="7"/>
  <c r="AT17" i="5" l="1"/>
  <c r="AT19" i="5"/>
  <c r="AT20" i="5"/>
  <c r="AT128" i="5"/>
  <c r="AM129" i="3" s="1"/>
  <c r="AT130" i="5"/>
  <c r="AM131" i="3" s="1"/>
  <c r="AT146" i="5"/>
  <c r="AT154" i="5"/>
  <c r="AT157" i="5"/>
  <c r="AT149" i="5"/>
  <c r="AM150" i="3" s="1"/>
  <c r="AT76" i="5"/>
  <c r="AM77" i="3" s="1"/>
  <c r="S76" i="5"/>
  <c r="T76" i="5" s="1"/>
  <c r="AI77" i="3"/>
  <c r="S80" i="5"/>
  <c r="AI81" i="3"/>
  <c r="AT83" i="5"/>
  <c r="AM84" i="3" s="1"/>
  <c r="S83" i="5"/>
  <c r="T83" i="5" s="1"/>
  <c r="AI84" i="3"/>
  <c r="S85" i="5"/>
  <c r="AI86" i="3"/>
  <c r="AT78" i="5"/>
  <c r="AM79" i="3" s="1"/>
  <c r="S78" i="5"/>
  <c r="T78" i="5" s="1"/>
  <c r="AI79" i="3"/>
  <c r="S82" i="5"/>
  <c r="AI83" i="3"/>
  <c r="AI73" i="3"/>
  <c r="S72" i="5"/>
  <c r="AI75" i="3"/>
  <c r="S74" i="5"/>
  <c r="AT88" i="5"/>
  <c r="AM89" i="3" s="1"/>
  <c r="AI89" i="3"/>
  <c r="S88" i="5"/>
  <c r="T88" i="5" s="1"/>
  <c r="AT89" i="5"/>
  <c r="AM90" i="3" s="1"/>
  <c r="AI90" i="3"/>
  <c r="S89" i="5"/>
  <c r="T89" i="5" s="1"/>
  <c r="AT91" i="5"/>
  <c r="AM92" i="3" s="1"/>
  <c r="S91" i="5"/>
  <c r="T91" i="5" s="1"/>
  <c r="AI92" i="3"/>
  <c r="AT93" i="5"/>
  <c r="AM94" i="3" s="1"/>
  <c r="S93" i="5"/>
  <c r="T93" i="5" s="1"/>
  <c r="AI94" i="3"/>
  <c r="AT95" i="5"/>
  <c r="AM96" i="3" s="1"/>
  <c r="S95" i="5"/>
  <c r="T95" i="5" s="1"/>
  <c r="AI96" i="3"/>
  <c r="AT98" i="5"/>
  <c r="AM99" i="3" s="1"/>
  <c r="AI99" i="3"/>
  <c r="S98" i="5"/>
  <c r="T98" i="5" s="1"/>
  <c r="AT90" i="5"/>
  <c r="AM91" i="3" s="1"/>
  <c r="AI91" i="3"/>
  <c r="S90" i="5"/>
  <c r="T90" i="5" s="1"/>
  <c r="AT92" i="5"/>
  <c r="S92" i="5"/>
  <c r="AI93" i="3"/>
  <c r="AT97" i="5"/>
  <c r="AM98" i="3" s="1"/>
  <c r="S97" i="5"/>
  <c r="T97" i="5" s="1"/>
  <c r="AI98" i="3"/>
  <c r="AT100" i="5"/>
  <c r="AM101" i="3" s="1"/>
  <c r="AI101" i="3"/>
  <c r="S100" i="5"/>
  <c r="T100" i="5" s="1"/>
  <c r="AT66" i="5"/>
  <c r="AI67" i="3"/>
  <c r="S66" i="5"/>
  <c r="T66" i="5" s="1"/>
  <c r="AT70" i="5"/>
  <c r="S70" i="5"/>
  <c r="AI71" i="3"/>
  <c r="AT71" i="5"/>
  <c r="S71" i="5"/>
  <c r="T71" i="5" s="1"/>
  <c r="AI72" i="3"/>
  <c r="AT73" i="5"/>
  <c r="S73" i="5"/>
  <c r="AI74" i="3"/>
  <c r="AT80" i="5"/>
  <c r="AM81" i="3" s="1"/>
  <c r="AT85" i="5"/>
  <c r="AM86" i="3" s="1"/>
  <c r="AT82" i="5"/>
  <c r="AM83" i="3" s="1"/>
  <c r="AT72" i="5"/>
  <c r="AM73" i="3" s="1"/>
  <c r="AT74" i="5"/>
  <c r="AM75" i="3" s="1"/>
  <c r="T3" i="5"/>
  <c r="T92" i="5"/>
  <c r="T70" i="5"/>
  <c r="T72" i="5"/>
  <c r="T73" i="5"/>
  <c r="T74" i="5"/>
  <c r="T80" i="5"/>
  <c r="T82" i="5"/>
  <c r="T85" i="5"/>
  <c r="AT3" i="5"/>
  <c r="AM4" i="3" s="1"/>
  <c r="AI4" i="3"/>
  <c r="AM93" i="3"/>
  <c r="AM66" i="3"/>
  <c r="AM78" i="3"/>
  <c r="AM85" i="3"/>
  <c r="AM95" i="3"/>
  <c r="AM82" i="3"/>
  <c r="AI82" i="3"/>
  <c r="S81" i="5"/>
  <c r="T81" i="5" s="1"/>
  <c r="AM88" i="3"/>
  <c r="S87" i="5"/>
  <c r="T87" i="5" s="1"/>
  <c r="AI88" i="3"/>
  <c r="AI66" i="3"/>
  <c r="S65" i="5"/>
  <c r="T65" i="5" s="1"/>
  <c r="S67" i="5"/>
  <c r="T67" i="5" s="1"/>
  <c r="AI68" i="3"/>
  <c r="S69" i="5"/>
  <c r="T69" i="5" s="1"/>
  <c r="AI70" i="3"/>
  <c r="S77" i="5"/>
  <c r="T77" i="5" s="1"/>
  <c r="AI78" i="3"/>
  <c r="S79" i="5"/>
  <c r="T79" i="5" s="1"/>
  <c r="AI80" i="3"/>
  <c r="S84" i="5"/>
  <c r="T84" i="5" s="1"/>
  <c r="AI85" i="3"/>
  <c r="S86" i="5"/>
  <c r="T86" i="5" s="1"/>
  <c r="AI87" i="3"/>
  <c r="S94" i="5"/>
  <c r="T94" i="5" s="1"/>
  <c r="AI95" i="3"/>
  <c r="AI97" i="3"/>
  <c r="S96" i="5"/>
  <c r="T96" i="5" s="1"/>
  <c r="AI100" i="3"/>
  <c r="S99" i="5"/>
  <c r="T99" i="5" s="1"/>
  <c r="AI102" i="3"/>
  <c r="S101" i="5"/>
  <c r="T101" i="5" s="1"/>
  <c r="AI5" i="3"/>
  <c r="S4" i="5"/>
  <c r="T4" i="5" s="1"/>
  <c r="AM5" i="3"/>
  <c r="S5" i="5"/>
  <c r="T5" i="5" s="1"/>
  <c r="AI6" i="3"/>
  <c r="AM6" i="3"/>
  <c r="AI7" i="3"/>
  <c r="S6" i="5"/>
  <c r="T6" i="5" s="1"/>
  <c r="AM7" i="3"/>
  <c r="S7" i="5"/>
  <c r="T7" i="5" s="1"/>
  <c r="AM8" i="3"/>
  <c r="AI8" i="3"/>
  <c r="S8" i="5"/>
  <c r="T8" i="5" s="1"/>
  <c r="AI9" i="3"/>
  <c r="AM9" i="3"/>
  <c r="AM25" i="3"/>
  <c r="AI25" i="3"/>
  <c r="S24" i="5"/>
  <c r="T24" i="5" s="1"/>
  <c r="AM26" i="3"/>
  <c r="AI26" i="3"/>
  <c r="S25" i="5"/>
  <c r="T25" i="5" s="1"/>
  <c r="AI27" i="3"/>
  <c r="S26" i="5"/>
  <c r="T26" i="5" s="1"/>
  <c r="AM27" i="3"/>
  <c r="AI28" i="3"/>
  <c r="S27" i="5"/>
  <c r="T27" i="5" s="1"/>
  <c r="AM28" i="3"/>
  <c r="AI29" i="3"/>
  <c r="S28" i="5"/>
  <c r="T28" i="5" s="1"/>
  <c r="AM29" i="3"/>
  <c r="S29" i="5"/>
  <c r="T29" i="5" s="1"/>
  <c r="AM30" i="3"/>
  <c r="AI30" i="3"/>
  <c r="AI31" i="3"/>
  <c r="AM31" i="3"/>
  <c r="S30" i="5"/>
  <c r="T30" i="5" s="1"/>
  <c r="AI32" i="3"/>
  <c r="S31" i="5"/>
  <c r="T31" i="5" s="1"/>
  <c r="AM32" i="3"/>
  <c r="S9" i="5"/>
  <c r="T9" i="5" s="1"/>
  <c r="AI10" i="3"/>
  <c r="AM10" i="3"/>
  <c r="S10" i="5"/>
  <c r="T10" i="5" s="1"/>
  <c r="AI11" i="3"/>
  <c r="AM11" i="3"/>
  <c r="S11" i="5"/>
  <c r="T11" i="5" s="1"/>
  <c r="AI12" i="3"/>
  <c r="AM12" i="3"/>
  <c r="AI13" i="3"/>
  <c r="S12" i="5"/>
  <c r="T12" i="5" s="1"/>
  <c r="AM13" i="3"/>
  <c r="S13" i="5"/>
  <c r="T13" i="5" s="1"/>
  <c r="AI14" i="3"/>
  <c r="AM14" i="3"/>
  <c r="S14" i="5"/>
  <c r="T14" i="5" s="1"/>
  <c r="AI15" i="3"/>
  <c r="AM15" i="3"/>
  <c r="AI16" i="3"/>
  <c r="S15" i="5"/>
  <c r="T15" i="5" s="1"/>
  <c r="AM16" i="3"/>
  <c r="S16" i="5"/>
  <c r="T16" i="5" s="1"/>
  <c r="AM17" i="3"/>
  <c r="AI17" i="3"/>
  <c r="AI18" i="3"/>
  <c r="S17" i="5"/>
  <c r="T17" i="5" s="1"/>
  <c r="AM18" i="3"/>
  <c r="AI19" i="3"/>
  <c r="S18" i="5"/>
  <c r="T18" i="5" s="1"/>
  <c r="AM19" i="3"/>
  <c r="AM20" i="3"/>
  <c r="AI20" i="3"/>
  <c r="S19" i="5"/>
  <c r="T19" i="5" s="1"/>
  <c r="AM21" i="3"/>
  <c r="AI21" i="3"/>
  <c r="S20" i="5"/>
  <c r="T20" i="5" s="1"/>
  <c r="AI22" i="3"/>
  <c r="S21" i="5"/>
  <c r="T21" i="5" s="1"/>
  <c r="AM22" i="3"/>
  <c r="AI23" i="3"/>
  <c r="S22" i="5"/>
  <c r="T22" i="5" s="1"/>
  <c r="AM23" i="3"/>
  <c r="S23" i="5"/>
  <c r="T23" i="5" s="1"/>
  <c r="AI24" i="3"/>
  <c r="AM24" i="3"/>
  <c r="AM135" i="3"/>
  <c r="AM136" i="3"/>
  <c r="AM137" i="3"/>
  <c r="AM138" i="3"/>
  <c r="AM139" i="3"/>
  <c r="AM140" i="3"/>
  <c r="AM141" i="3"/>
  <c r="AM142" i="3"/>
  <c r="AM143" i="3"/>
  <c r="AM144" i="3"/>
  <c r="AM145" i="3"/>
  <c r="AM146" i="3"/>
  <c r="AM147" i="3"/>
  <c r="AM148" i="3"/>
  <c r="AM149"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67" i="3"/>
  <c r="AM69" i="3"/>
  <c r="AM71" i="3"/>
  <c r="AM72" i="3"/>
  <c r="AM74" i="3"/>
  <c r="AM76" i="3"/>
  <c r="AM152" i="3"/>
  <c r="AM151" i="3"/>
  <c r="S32" i="5"/>
  <c r="T32" i="5" s="1"/>
  <c r="AI33" i="3"/>
  <c r="S33" i="5"/>
  <c r="T33" i="5" s="1"/>
  <c r="AI34" i="3"/>
  <c r="S34" i="5"/>
  <c r="T34" i="5" s="1"/>
  <c r="AI35" i="3"/>
  <c r="AI36" i="3"/>
  <c r="S35" i="5"/>
  <c r="T35" i="5" s="1"/>
  <c r="S36" i="5"/>
  <c r="T36" i="5" s="1"/>
  <c r="AI37" i="3"/>
  <c r="AI38" i="3"/>
  <c r="S37" i="5"/>
  <c r="T37" i="5" s="1"/>
  <c r="AI39" i="3"/>
  <c r="S38" i="5"/>
  <c r="T38" i="5" s="1"/>
  <c r="AI40" i="3"/>
  <c r="S39" i="5"/>
  <c r="T39" i="5" s="1"/>
  <c r="AI41" i="3"/>
  <c r="S40" i="5"/>
  <c r="T40" i="5" s="1"/>
  <c r="S41" i="5"/>
  <c r="T41" i="5" s="1"/>
  <c r="AI42" i="3"/>
  <c r="AI43" i="3"/>
  <c r="S42" i="5"/>
  <c r="T42" i="5" s="1"/>
  <c r="S43" i="5"/>
  <c r="T43" i="5" s="1"/>
  <c r="AI44" i="3"/>
  <c r="AI45" i="3"/>
  <c r="S44" i="5"/>
  <c r="T44" i="5" s="1"/>
  <c r="S45" i="5"/>
  <c r="T45" i="5" s="1"/>
  <c r="AI46" i="3"/>
  <c r="S46" i="5"/>
  <c r="T46" i="5" s="1"/>
  <c r="AI47" i="3"/>
  <c r="S47" i="5"/>
  <c r="T47" i="5" s="1"/>
  <c r="AI48" i="3"/>
  <c r="S48" i="5"/>
  <c r="T48" i="5" s="1"/>
  <c r="AI49" i="3"/>
  <c r="S49" i="5"/>
  <c r="T49" i="5" s="1"/>
  <c r="AI50" i="3"/>
  <c r="S50" i="5"/>
  <c r="T50" i="5" s="1"/>
  <c r="AI51" i="3"/>
  <c r="S51" i="5"/>
  <c r="T51" i="5" s="1"/>
  <c r="AI52" i="3"/>
  <c r="S52" i="5"/>
  <c r="T52" i="5" s="1"/>
  <c r="AI53" i="3"/>
  <c r="S53" i="5"/>
  <c r="T53" i="5" s="1"/>
  <c r="AI54" i="3"/>
  <c r="S54" i="5"/>
  <c r="T54" i="5" s="1"/>
  <c r="AI55" i="3"/>
  <c r="S55" i="5"/>
  <c r="T55" i="5" s="1"/>
  <c r="AI56" i="3"/>
  <c r="S56" i="5"/>
  <c r="T56" i="5" s="1"/>
  <c r="AI57" i="3"/>
  <c r="S57" i="5"/>
  <c r="T57" i="5" s="1"/>
  <c r="AI58" i="3"/>
  <c r="S58" i="5"/>
  <c r="T58" i="5" s="1"/>
  <c r="AI59" i="3"/>
  <c r="S59" i="5"/>
  <c r="T59" i="5" s="1"/>
  <c r="AI60" i="3"/>
  <c r="S60" i="5"/>
  <c r="T60" i="5" s="1"/>
  <c r="AI61" i="3"/>
  <c r="S61" i="5"/>
  <c r="T61" i="5" s="1"/>
  <c r="AI62" i="3"/>
  <c r="S62" i="5"/>
  <c r="T62" i="5" s="1"/>
  <c r="AI63" i="3"/>
  <c r="S176" i="5"/>
  <c r="T176" i="5" s="1"/>
  <c r="AI177" i="3"/>
  <c r="S63" i="5"/>
  <c r="T63" i="5" s="1"/>
  <c r="AI64" i="3"/>
  <c r="S64" i="5"/>
  <c r="T64" i="5" s="1"/>
  <c r="AI65" i="3"/>
  <c r="S116" i="5"/>
  <c r="T116" i="5" s="1"/>
  <c r="AI117" i="3"/>
  <c r="AI120" i="3"/>
  <c r="S119" i="5"/>
  <c r="T119" i="5" s="1"/>
  <c r="S121" i="5"/>
  <c r="T121" i="5" s="1"/>
  <c r="AI122" i="3"/>
  <c r="AI123" i="3"/>
  <c r="S122" i="5"/>
  <c r="T122" i="5" s="1"/>
  <c r="S125" i="5"/>
  <c r="T125" i="5" s="1"/>
  <c r="AI126" i="3"/>
  <c r="S126" i="5"/>
  <c r="T126" i="5" s="1"/>
  <c r="AI127" i="3"/>
  <c r="AI129" i="3"/>
  <c r="S128" i="5"/>
  <c r="T128" i="5" s="1"/>
  <c r="AI131" i="3"/>
  <c r="S130" i="5"/>
  <c r="T130" i="5" s="1"/>
  <c r="AI132" i="3"/>
  <c r="S131" i="5"/>
  <c r="T131" i="5" s="1"/>
  <c r="AI133" i="3"/>
  <c r="S132" i="5"/>
  <c r="T132" i="5" s="1"/>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T102" i="5" s="1"/>
  <c r="AI104" i="3"/>
  <c r="S103" i="5"/>
  <c r="T103" i="5" s="1"/>
  <c r="AI105" i="3"/>
  <c r="S104" i="5"/>
  <c r="T104" i="5" s="1"/>
  <c r="AI106" i="3"/>
  <c r="S105" i="5"/>
  <c r="T105" i="5" s="1"/>
  <c r="AI107" i="3"/>
  <c r="S106" i="5"/>
  <c r="T106" i="5" s="1"/>
  <c r="AI108" i="3"/>
  <c r="S107" i="5"/>
  <c r="T107" i="5" s="1"/>
  <c r="S108" i="5"/>
  <c r="T108" i="5" s="1"/>
  <c r="AI109" i="3"/>
  <c r="S109" i="5"/>
  <c r="T109" i="5" s="1"/>
  <c r="AI110" i="3"/>
  <c r="AI111" i="3"/>
  <c r="S110" i="5"/>
  <c r="T110" i="5" s="1"/>
  <c r="AI112" i="3"/>
  <c r="S111" i="5"/>
  <c r="T111" i="5" s="1"/>
  <c r="S112" i="5"/>
  <c r="T112" i="5" s="1"/>
  <c r="AI113" i="3"/>
  <c r="AI114" i="3"/>
  <c r="S113" i="5"/>
  <c r="T113" i="5" s="1"/>
  <c r="AI115" i="3"/>
  <c r="S114" i="5"/>
  <c r="T114" i="5" s="1"/>
  <c r="AI116" i="3"/>
  <c r="S115" i="5"/>
  <c r="T115" i="5" s="1"/>
  <c r="S117" i="5"/>
  <c r="T117" i="5" s="1"/>
  <c r="AI118" i="3"/>
  <c r="S118" i="5"/>
  <c r="T118" i="5" s="1"/>
  <c r="AI119" i="3"/>
  <c r="AI121" i="3"/>
  <c r="S120" i="5"/>
  <c r="T120" i="5" s="1"/>
  <c r="S123" i="5"/>
  <c r="T123" i="5" s="1"/>
  <c r="AI124" i="3"/>
  <c r="AI125" i="3"/>
  <c r="S124" i="5"/>
  <c r="T124" i="5" s="1"/>
  <c r="S127" i="5"/>
  <c r="T127" i="5" s="1"/>
  <c r="AI128" i="3"/>
  <c r="AI130" i="3"/>
  <c r="S129" i="5"/>
  <c r="T129" i="5" s="1"/>
  <c r="AI134" i="3"/>
  <c r="S133" i="5"/>
  <c r="T133" i="5" s="1"/>
  <c r="AI135" i="3"/>
  <c r="S134" i="5"/>
  <c r="T134" i="5" s="1"/>
  <c r="S135" i="5"/>
  <c r="T135" i="5" s="1"/>
  <c r="AI136" i="3"/>
  <c r="AI137" i="3"/>
  <c r="S136" i="5"/>
  <c r="T136" i="5" s="1"/>
  <c r="S137" i="5"/>
  <c r="T137" i="5" s="1"/>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K66" i="3"/>
  <c r="AK69" i="3"/>
  <c r="AK92" i="3"/>
  <c r="AK117" i="3"/>
  <c r="AK121" i="3"/>
  <c r="AK127" i="3"/>
  <c r="AK145" i="3"/>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K102" i="3"/>
  <c r="AK101" i="3"/>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K138" i="3"/>
  <c r="AK107" i="3"/>
  <c r="AK111" i="3"/>
  <c r="AK112" i="3"/>
  <c r="AK13" i="3"/>
  <c r="C5" i="7"/>
  <c r="Z91" i="3"/>
  <c r="AB91" i="3" s="1"/>
  <c r="AK77" i="3"/>
  <c r="AK64" i="3"/>
  <c r="AK31" i="3"/>
  <c r="P175" i="3"/>
  <c r="P169" i="3"/>
  <c r="P155" i="3"/>
  <c r="P153" i="3"/>
  <c r="P20" i="3"/>
  <c r="P57" i="3"/>
  <c r="P15" i="3"/>
  <c r="G13" i="7"/>
  <c r="Z33" i="3"/>
  <c r="AB33" i="3" s="1"/>
  <c r="Z5" i="3"/>
  <c r="Z19" i="3"/>
  <c r="AB19" i="3" s="1"/>
  <c r="Z168" i="3"/>
  <c r="Z171" i="3"/>
  <c r="AB171" i="3" s="1"/>
  <c r="Z57" i="3"/>
  <c r="AB57" i="3" s="1"/>
  <c r="H11" i="7"/>
  <c r="P53" i="3"/>
  <c r="G9" i="7"/>
  <c r="AK41" i="3"/>
  <c r="Z43" i="3"/>
  <c r="AB43" i="3" s="1"/>
  <c r="P139" i="3"/>
  <c r="P111" i="3"/>
  <c r="P31" i="3"/>
  <c r="P6" i="3"/>
  <c r="G17" i="7"/>
  <c r="H8" i="7"/>
  <c r="AK161" i="3"/>
  <c r="P24" i="3"/>
  <c r="AK36" i="3"/>
  <c r="AK63" i="3"/>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L79" i="3" l="1"/>
  <c r="C78" i="6" s="1"/>
  <c r="AL56" i="3"/>
  <c r="C55" i="6" s="1"/>
  <c r="AL177" i="3"/>
  <c r="C176" i="6" s="1"/>
  <c r="AL101" i="3"/>
  <c r="C100" i="6" s="1"/>
  <c r="AL63" i="3"/>
  <c r="C62" i="6" s="1"/>
  <c r="AL145" i="3"/>
  <c r="C144" i="6" s="1"/>
  <c r="AL105" i="3"/>
  <c r="C104" i="6" s="1"/>
  <c r="AL141" i="3"/>
  <c r="C140" i="6" s="1"/>
  <c r="AL41" i="3"/>
  <c r="C40" i="6" s="1"/>
  <c r="B186" i="6"/>
  <c r="AC57" i="3"/>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AB162" i="3"/>
  <c r="AC162" i="3"/>
  <c r="N161" i="6" s="1"/>
  <c r="AB98" i="3"/>
  <c r="AC98" i="3"/>
  <c r="N97" i="6" s="1"/>
  <c r="AB31" i="3"/>
  <c r="AC31" i="3"/>
  <c r="N30" i="6" s="1"/>
  <c r="AB11" i="3"/>
  <c r="AC11" i="3"/>
  <c r="N10" i="6" s="1"/>
  <c r="AB168" i="3"/>
  <c r="AC168" i="3"/>
  <c r="N167" i="6" s="1"/>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AL33" i="3"/>
  <c r="C32" i="6" s="1"/>
  <c r="G31" i="7"/>
  <c r="AC19" i="3"/>
  <c r="N18" i="6" s="1"/>
  <c r="AL8" i="3"/>
  <c r="D78" i="6" l="1"/>
  <c r="E78" i="6"/>
  <c r="D55" i="6"/>
  <c r="E55" i="6"/>
  <c r="E176" i="6"/>
  <c r="D176" i="6"/>
  <c r="E100" i="6"/>
  <c r="D100" i="6"/>
  <c r="E62" i="6"/>
  <c r="D62" i="6"/>
  <c r="D144" i="6"/>
  <c r="E144" i="6"/>
  <c r="E140" i="6"/>
  <c r="D140" i="6"/>
  <c r="E104" i="6"/>
  <c r="D104" i="6"/>
  <c r="E40" i="6"/>
  <c r="D40" i="6"/>
  <c r="D66" i="6"/>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<sst xmlns="http://schemas.openxmlformats.org/spreadsheetml/2006/main" count="5892" uniqueCount="1617">
  <si>
    <t>MATRIZ 174 — Datos existentes de organizaciones</t>
  </si>
  <si>
    <t>D12</t>
  </si>
  <si>
    <t>D13</t>
  </si>
  <si>
    <t>D14</t>
  </si>
  <si>
    <t>D15</t>
  </si>
  <si>
    <t>P1</t>
  </si>
  <si>
    <t>P2</t>
  </si>
  <si>
    <t>P3</t>
  </si>
  <si>
    <t>P4</t>
  </si>
  <si>
    <t>P5</t>
  </si>
  <si>
    <t>P6</t>
  </si>
  <si>
    <t>P7</t>
  </si>
  <si>
    <t>P8</t>
  </si>
  <si>
    <t>P9</t>
  </si>
  <si>
    <t>P10</t>
  </si>
  <si>
    <t>P11</t>
  </si>
  <si>
    <t>P12</t>
  </si>
  <si>
    <t>P13</t>
  </si>
  <si>
    <t>P14</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</si>
  <si>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</si>
  <si>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</si>
  <si>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</si>
  <si>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</si>
  <si>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</si>
  <si>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</si>
  <si>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</si>
  <si>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</si>
  <si>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</si>
  <si>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</si>
  <si>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</si>
  <si>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</si>
  <si>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</si>
  <si>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</si>
  <si>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</si>
  <si>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Tipo org.</t>
  </si>
  <si>
    <t>N° aprox. socios</t>
  </si>
  <si>
    <t>Hectáreas aprox.</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</si>
  <si>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</si>
  <si>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</si>
  <si>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</si>
  <si>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</si>
  <si>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</si>
  <si>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</si>
  <si>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</si>
  <si>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</si>
  <si>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P5 — Formalización laboral (%)</t>
  </si>
  <si>
    <t>P6 — Capacitación/año/persona</t>
  </si>
  <si>
    <t>P7 — Tasa retención socios (%)</t>
  </si>
  <si>
    <t>P8 — Diversificación ingresos (%)</t>
  </si>
  <si>
    <t>P9 — Acceso mercados premium (%)</t>
  </si>
  <si>
    <t>P10 — Inversión EUDR (USD/año)</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</si>
  <si>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</si>
  <si>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</si>
  <si>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</si>
  <si>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</si>
  <si>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</si>
  <si>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</si>
  <si>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</si>
  <si>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</si>
  <si>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</si>
  <si>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</si>
  <si>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</si>
  <si>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</si>
  <si>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</si>
  <si>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</si>
  <si>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</si>
  <si>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</si>
  <si>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</si>
  <si>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</si>
  <si>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</si>
  <si>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</si>
  <si>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</si>
  <si>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</si>
  <si>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</si>
  <si>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</si>
  <si>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</si>
  <si>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</si>
  <si>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</si>
  <si>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</si>
  <si>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</si>
  <si>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</si>
  <si>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</si>
  <si>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</si>
  <si>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</si>
  <si>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</si>
  <si>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</si>
  <si>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</si>
  <si>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</si>
  <si>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</si>
  <si>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</si>
  <si>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</si>
  <si>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</si>
  <si>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</si>
  <si>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</si>
  <si>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</si>
  <si>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</si>
  <si>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</si>
  <si>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</si>
  <si>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</si>
  <si>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</si>
  <si>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</si>
  <si>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</si>
  <si>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</si>
  <si>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</si>
  <si>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</si>
  <si>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</si>
  <si>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</si>
  <si>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</si>
  <si>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</si>
  <si>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</si>
  <si>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</si>
  <si>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</si>
  <si>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</si>
  <si>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</si>
  <si>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</si>
  <si>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</si>
  <si>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</si>
  <si>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</si>
  <si>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</si>
  <si>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</si>
  <si>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</si>
  <si>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</si>
  <si>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</si>
  <si>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</si>
  <si>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</si>
  <si>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</si>
  <si>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</si>
  <si>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</si>
  <si>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</si>
  <si>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</si>
  <si>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</si>
  <si>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</si>
  <si>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</si>
  <si>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</si>
  <si>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</si>
  <si>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</si>
  <si>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</si>
  <si>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</si>
  <si>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</si>
  <si>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</si>
  <si>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</si>
  <si>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</si>
  <si>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</si>
  <si>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</si>
  <si>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</si>
  <si>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</si>
  <si>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</si>
  <si>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</si>
  <si>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</si>
  <si>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</si>
  <si>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</si>
  <si>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</si>
  <si>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</si>
  <si>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</si>
  <si>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</si>
  <si>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</si>
  <si>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</si>
  <si>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</si>
  <si>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</si>
  <si>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</si>
  <si>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</si>
  <si>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</si>
  <si>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</si>
  <si>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</si>
  <si>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</si>
  <si>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</si>
  <si>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</si>
  <si>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</si>
  <si>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</si>
  <si>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</si>
  <si>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</si>
  <si>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</si>
  <si>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</si>
  <si>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</si>
  <si>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</si>
  <si>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</si>
  <si>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</si>
  <si>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</si>
  <si>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</si>
  <si>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</si>
  <si>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</si>
  <si>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</si>
  <si>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</si>
  <si>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</si>
  <si>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</si>
  <si>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</si>
  <si>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</si>
  <si>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</si>
  <si>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</si>
  <si>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</si>
  <si>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</si>
  <si>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</si>
  <si>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</si>
  <si>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</si>
  <si>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</si>
  <si>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</si>
  <si>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</si>
  <si>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</si>
  <si>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</si>
  <si>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</si>
  <si>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</si>
  <si>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</si>
  <si>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</si>
  <si>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</si>
  <si>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</si>
  <si>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</si>
  <si>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</si>
  <si>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</si>
  <si>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</si>
  <si>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</si>
  <si>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</si>
  <si>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</si>
  <si>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</si>
  <si>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</si>
  <si>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</si>
  <si>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</si>
  <si>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</si>
  <si>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</si>
  <si>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</si>
  <si>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</si>
  <si>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</si>
  <si>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</si>
  <si>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</si>
  <si>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</si>
  <si>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</si>
  <si>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</si>
  <si>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</si>
  <si>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</si>
  <si>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</si>
  <si>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</si>
  <si>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</si>
  <si>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</si>
  <si>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</si>
  <si>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</si>
  <si>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</si>
  <si>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</si>
  <si>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</si>
  <si>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</si>
  <si>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</si>
  <si>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</si>
  <si>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</si>
  <si>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</si>
  <si>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</si>
  <si>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</si>
  <si>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</si>
  <si>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</si>
  <si>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</si>
  <si>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</si>
  <si>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</si>
  <si>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</si>
  <si>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</si>
  <si>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</si>
  <si>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</si>
  <si>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</si>
  <si>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</si>
  <si>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</si>
  <si>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</si>
  <si>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</si>
  <si>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</si>
  <si>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</si>
  <si>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</si>
  <si>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</si>
  <si>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</si>
  <si>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</si>
  <si>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</si>
  <si>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</si>
  <si>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</si>
  <si>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</si>
  <si>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</si>
  <si>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</si>
  <si>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</si>
  <si>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</si>
  <si>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</si>
  <si>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</si>
  <si>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</si>
  <si>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</si>
  <si>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</si>
  <si>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</si>
  <si>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</si>
  <si>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</si>
  <si>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</si>
  <si>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</si>
  <si>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</si>
  <si>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</si>
  <si>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</si>
  <si>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</si>
  <si>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</si>
  <si>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</si>
  <si>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</si>
  <si>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</si>
  <si>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</si>
  <si>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</si>
  <si>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</si>
  <si>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</si>
  <si>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</si>
  <si>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</si>
  <si>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</si>
  <si>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</si>
  <si>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</si>
  <si>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</si>
  <si>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</si>
  <si>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</si>
  <si>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</si>
  <si>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</si>
  <si>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</si>
  <si>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</si>
  <si>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</si>
  <si>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</si>
  <si>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</si>
  <si>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</si>
  <si>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</si>
  <si>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</si>
  <si>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</si>
  <si>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</si>
  <si>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</si>
  <si>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</si>
  <si>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</si>
  <si>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</si>
  <si>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</si>
  <si>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</si>
  <si>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</si>
  <si>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</si>
  <si>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</si>
  <si>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</si>
  <si>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</si>
  <si>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</si>
  <si>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</si>
  <si>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</si>
  <si>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</si>
  <si>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</si>
  <si>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</si>
  <si>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</si>
  <si>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</si>
  <si>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</si>
  <si>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</si>
  <si>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</si>
  <si>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</si>
  <si>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</si>
  <si>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</si>
  <si>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</si>
  <si>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</si>
  <si>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</si>
  <si>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</si>
  <si>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</si>
  <si>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</si>
  <si>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</si>
  <si>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</si>
  <si>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</si>
  <si>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</si>
  <si>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</si>
  <si>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</si>
  <si>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</si>
  <si>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</si>
  <si>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</si>
  <si>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</si>
  <si>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</si>
  <si>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</si>
  <si>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</si>
  <si>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</si>
  <si>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</si>
  <si>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</si>
  <si>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</si>
  <si>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</si>
  <si>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</si>
  <si>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</si>
  <si>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</si>
  <si>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</si>
  <si>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</si>
  <si>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</si>
  <si>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</si>
  <si>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</si>
  <si>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</si>
  <si>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</si>
  <si>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</si>
  <si>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</si>
  <si>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</si>
  <si>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</si>
  <si>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</si>
  <si>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</si>
  <si>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</si>
  <si>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</si>
  <si>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</si>
  <si>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</si>
  <si>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</si>
  <si>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</si>
  <si>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</si>
  <si>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</si>
  <si>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</si>
  <si>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</si>
  <si>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</si>
  <si>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</si>
  <si>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</si>
  <si>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</si>
  <si>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</si>
  <si>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</si>
  <si>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</si>
  <si>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</si>
  <si>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</si>
  <si>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</si>
  <si>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</si>
  <si>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</si>
  <si>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</si>
  <si>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</si>
  <si>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</si>
  <si>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</si>
  <si>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</si>
  <si>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</si>
  <si>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</si>
  <si>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</si>
  <si>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</si>
  <si>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</si>
  <si>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</si>
  <si>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</si>
  <si>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</si>
  <si>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</si>
  <si>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</si>
  <si>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</si>
  <si>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</si>
  <si>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</si>
  <si>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</si>
  <si>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</si>
  <si>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</si>
  <si>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</si>
  <si>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</si>
  <si>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</si>
  <si>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</si>
  <si>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</si>
  <si>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</si>
  <si>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</si>
  <si>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</si>
  <si>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</si>
  <si>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</si>
  <si>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</si>
  <si>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</si>
  <si>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</si>
  <si>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</si>
  <si>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</si>
  <si>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</si>
  <si>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</si>
  <si>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</si>
  <si>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</si>
  <si>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</si>
  <si>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</si>
  <si>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</si>
  <si>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</si>
  <si>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</si>
  <si>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</si>
  <si>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</si>
  <si>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</si>
  <si>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</si>
  <si>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</si>
  <si>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</si>
  <si>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</si>
  <si>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</si>
  <si>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</si>
  <si>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</si>
  <si>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</si>
  <si>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</si>
  <si>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</si>
  <si>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</si>
  <si>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</si>
  <si>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</si>
  <si>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</si>
  <si>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</si>
  <si>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</si>
  <si>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</si>
  <si>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</si>
  <si>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</si>
  <si>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</si>
  <si>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</si>
  <si>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</si>
  <si>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</si>
  <si>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</si>
  <si>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</si>
  <si>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</si>
  <si>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</si>
  <si>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</si>
  <si>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</si>
  <si>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</si>
  <si>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</si>
  <si>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</si>
  <si>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</si>
  <si>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</si>
  <si>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</si>
  <si>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</si>
  <si>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</si>
  <si>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</si>
  <si>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</si>
  <si>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</si>
  <si>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</si>
  <si>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</si>
  <si>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</si>
  <si>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</si>
  <si>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</si>
  <si>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</si>
  <si>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</si>
  <si>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</si>
  <si>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</si>
  <si>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</si>
  <si>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</si>
  <si>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</si>
  <si>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</si>
  <si>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</si>
  <si>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</si>
  <si>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</si>
  <si>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</si>
  <si>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</si>
  <si>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</si>
  <si>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</si>
  <si>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</si>
  <si>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</si>
  <si>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</si>
  <si>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</si>
  <si>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</si>
  <si>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</si>
  <si>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</si>
  <si>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</si>
  <si>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</si>
  <si>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</si>
  <si>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</si>
  <si>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</si>
  <si>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</si>
  <si>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</si>
  <si>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</si>
  <si>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</si>
  <si>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</si>
  <si>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</si>
  <si>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</si>
  <si>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</si>
  <si>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</si>
  <si>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</si>
  <si>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</si>
  <si>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</si>
  <si>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</si>
  <si>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</si>
  <si>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</si>
  <si>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</si>
  <si>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</si>
  <si>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</si>
  <si>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</si>
  <si>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</si>
  <si>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</si>
  <si>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</si>
  <si>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</si>
  <si>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</si>
  <si>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</si>
  <si>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</si>
  <si>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</si>
  <si>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</si>
  <si>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</si>
  <si>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</si>
  <si>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</si>
  <si>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</si>
  <si>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</si>
  <si>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</si>
  <si>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</si>
  <si>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</si>
  <si>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</si>
  <si>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</si>
  <si>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</si>
  <si>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</si>
  <si>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</si>
  <si>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</si>
  <si>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</si>
  <si>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</si>
  <si>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</si>
  <si>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</si>
  <si>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</si>
  <si>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</si>
  <si>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</si>
  <si>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</si>
  <si>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</si>
  <si>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</si>
  <si>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</si>
  <si>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</si>
  <si>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</si>
  <si>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</si>
  <si>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</si>
  <si>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</si>
  <si>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</si>
  <si>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</si>
  <si>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</si>
  <si>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</si>
  <si>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</si>
  <si>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</si>
  <si>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</si>
  <si>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</si>
  <si>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</si>
  <si>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</si>
  <si>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</si>
  <si>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</si>
  <si>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</si>
  <si>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</si>
  <si>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</si>
  <si>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</si>
  <si>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</si>
  <si>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</si>
  <si>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</si>
  <si>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</si>
  <si>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</si>
  <si>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</si>
  <si>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</si>
  <si>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</si>
  <si>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</si>
  <si>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</si>
  <si>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</si>
  <si>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</si>
  <si>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</si>
  <si>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</si>
  <si>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</si>
  <si>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</si>
  <si>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</si>
  <si>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</si>
  <si>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</si>
  <si>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</si>
  <si>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</si>
  <si>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</si>
  <si>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</si>
  <si>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</si>
  <si>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</si>
  <si>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</si>
  <si>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</si>
  <si>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</si>
  <si>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</si>
  <si>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</si>
  <si>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</si>
  <si>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</si>
  <si>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</si>
  <si>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</si>
  <si>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</si>
  <si>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</si>
  <si>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</si>
  <si>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</si>
  <si>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</si>
  <si>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</si>
  <si>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</si>
  <si>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</si>
  <si>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</si>
  <si>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</si>
  <si>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</si>
  <si>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</si>
  <si>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</si>
  <si>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</si>
  <si>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</si>
  <si>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</si>
  <si>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</si>
  <si>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</si>
  <si>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</si>
  <si>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</si>
  <si>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</si>
  <si>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</si>
  <si>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</si>
  <si>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</si>
  <si>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</si>
  <si>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</si>
  <si>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</si>
  <si>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</si>
  <si>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</si>
  <si>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</si>
  <si>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</si>
  <si>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</si>
  <si>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</si>
  <si>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</si>
  <si>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</si>
  <si>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</si>
  <si>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</si>
  <si>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</si>
  <si>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</si>
  <si>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</si>
  <si>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</si>
  <si>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</si>
  <si>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</si>
  <si>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</si>
  <si>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</si>
  <si>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</si>
  <si>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</si>
  <si>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</si>
  <si>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</si>
  <si>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</si>
  <si>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</si>
  <si>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</si>
  <si>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</si>
  <si>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</si>
  <si>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</si>
  <si>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</si>
  <si>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</si>
  <si>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</si>
  <si>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</si>
  <si>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</si>
  <si>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</si>
  <si>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</si>
  <si>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</si>
  <si>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</si>
  <si>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</si>
  <si>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</si>
  <si>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</si>
  <si>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</si>
  <si>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</si>
  <si>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</si>
  <si>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</si>
  <si>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</si>
  <si>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</si>
  <si>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</si>
  <si>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</si>
  <si>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</si>
  <si>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</si>
  <si>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</si>
  <si>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</si>
  <si>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</si>
  <si>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</si>
  <si>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</si>
  <si>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</si>
  <si>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</si>
  <si>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</si>
  <si>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</si>
  <si>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</si>
  <si>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</si>
  <si>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</si>
  <si>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</si>
  <si>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</si>
  <si>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</si>
  <si>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</si>
  <si>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</si>
  <si>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</si>
  <si>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</si>
  <si>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</si>
  <si>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</si>
  <si>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</si>
  <si>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</si>
  <si>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</si>
  <si>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</si>
  <si>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</si>
  <si>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</si>
  <si>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</si>
  <si>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</si>
  <si>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</si>
  <si>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</si>
  <si>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</si>
  <si>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</si>
  <si>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</si>
  <si>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</si>
  <si>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</si>
  <si>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</si>
  <si>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</si>
  <si>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</si>
  <si>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</si>
  <si>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</si>
  <si>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</si>
  <si>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</si>
  <si>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</si>
  <si>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</si>
  <si>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</si>
  <si>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</si>
  <si>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</si>
  <si>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</si>
  <si>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</si>
  <si>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</si>
  <si>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</si>
  <si>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</si>
  <si>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</si>
  <si>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</si>
  <si>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</si>
  <si>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</si>
  <si>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</si>
  <si>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</si>
  <si>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</si>
  <si>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</si>
  <si>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</si>
  <si>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</si>
  <si>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</si>
  <si>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</si>
  <si>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</si>
  <si>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</si>
  <si>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</si>
  <si>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</si>
  <si>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</si>
  <si>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</si>
  <si>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</si>
  <si>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</si>
  <si>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</si>
  <si>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</si>
  <si>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</si>
  <si>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</si>
  <si>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</si>
  <si>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</si>
  <si>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</si>
  <si>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</si>
  <si>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</si>
  <si>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</si>
  <si>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</si>
  <si>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</si>
  <si>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</si>
  <si>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</si>
  <si>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</si>
  <si>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</si>
  <si>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</si>
  <si>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</si>
  <si>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</si>
  <si>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</si>
  <si>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</si>
  <si>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</si>
  <si>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</si>
  <si>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</si>
  <si>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</si>
  <si>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</si>
  <si>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</si>
  <si>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</si>
  <si>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</si>
  <si>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</si>
  <si>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</si>
  <si>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</si>
  <si>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</si>
  <si>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</si>
  <si>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</si>
  <si>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</si>
  <si>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</si>
  <si>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</si>
  <si>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</si>
  <si>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</si>
  <si>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</si>
  <si>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</si>
  <si>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</si>
  <si>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</si>
  <si>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</si>
  <si>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</si>
  <si>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</si>
  <si>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</si>
  <si>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</si>
  <si>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</si>
  <si>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</si>
  <si>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</si>
  <si>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</si>
  <si>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</si>
  <si>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</si>
  <si>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</si>
  <si>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</si>
  <si>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</si>
  <si>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</si>
  <si>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</si>
  <si>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</si>
  <si>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</si>
  <si>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</si>
  <si>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</si>
  <si>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</si>
  <si>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</si>
  <si>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</si>
  <si>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</si>
  <si>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</si>
  <si>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</si>
  <si>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</si>
  <si>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</si>
  <si>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</si>
  <si>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</si>
  <si>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</si>
  <si>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</si>
  <si>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</si>
  <si>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</si>
  <si>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</si>
  <si>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</si>
  <si>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</si>
  <si>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</si>
  <si>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</si>
  <si>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</si>
  <si>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</si>
  <si>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</si>
  <si>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</si>
  <si>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</si>
  <si>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</si>
  <si>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</si>
  <si>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</si>
  <si>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</si>
  <si>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</si>
  <si>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</si>
  <si>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</si>
  <si>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</si>
  <si>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</si>
  <si>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</si>
  <si>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</si>
  <si>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</si>
  <si>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</si>
  <si>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</si>
  <si>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</si>
  <si>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</si>
  <si>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</si>
  <si>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</si>
  <si>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</si>
  <si>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</si>
  <si>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</si>
  <si>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</si>
  <si>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</si>
  <si>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</si>
  <si>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</si>
  <si>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</si>
  <si>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</si>
  <si>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</si>
  <si>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</si>
  <si>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</si>
  <si>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</si>
  <si>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</si>
  <si>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</si>
  <si>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</si>
  <si>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</si>
  <si>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</si>
  <si>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</si>
  <si>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</si>
  <si>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</si>
  <si>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</si>
  <si>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</si>
  <si>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</si>
  <si>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</si>
  <si>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</si>
  <si>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</si>
  <si>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</si>
  <si>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</si>
  <si>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</si>
  <si>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</si>
  <si>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</si>
  <si>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</si>
  <si>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</si>
  <si>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</si>
  <si>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</si>
  <si>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</si>
  <si>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</si>
  <si>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 Negro</t>
  </si>
  <si>
    <t>Fórmula calculada — no editar manualmente</t>
  </si>
  <si>
    <t>🟡 Amarillo</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</si>
  <si>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</si>
  <si>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</si>
  <si>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</si>
  <si>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</si>
  <si>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</si>
  <si>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</si>
  <si>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</si>
  <si>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</si>
  <si>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</si>
  <si>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</si>
  <si>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</si>
  <si>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</si>
  <si>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</si>
  <si>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</si>
  <si>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</si>
  <si>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</si>
  <si>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</si>
  <si>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</si>
  <si>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</si>
  <si>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</si>
  <si>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</si>
  <si>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</si>
  <si>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</si>
  <si>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</si>
  <si>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</si>
  <si>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</si>
  <si>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</si>
  <si>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</si>
  <si>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</si>
  <si>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</si>
  <si>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</si>
  <si>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</si>
  <si>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</si>
  <si>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</si>
  <si>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</si>
  <si>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</si>
  <si>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</si>
  <si>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</si>
  <si>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</si>
  <si>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</si>
  <si>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</si>
  <si>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</si>
  <si>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</si>
  <si>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</si>
  <si>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</si>
  <si>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</si>
  <si>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</si>
  <si>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</si>
  <si>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</si>
  <si>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</si>
  <si>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</si>
  <si>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</si>
  <si>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</si>
  <si>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</si>
  <si>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</si>
  <si>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</si>
  <si>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</si>
  <si>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</si>
  <si>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</si>
  <si>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</si>
  <si>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</si>
  <si>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</si>
  <si>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</si>
  <si>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</si>
  <si>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</si>
  <si>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</si>
  <si>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</si>
  <si>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</si>
  <si>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</si>
  <si>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</si>
  <si>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</si>
  <si>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</si>
  <si>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</si>
  <si>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</si>
  <si>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</si>
  <si>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</si>
  <si>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Escalas</t>
  </si>
  <si>
    <t>ISA-EUDR e ISA-Completo en 0–100; ISA-PV en 0–1 (MATRIZ_174!AP); el 0.30 de ISA-Completo multiplica ISA-PV ×100 (corregido 2026-10-14).</t>
  </si>
  <si>
    <t>SCORECARDS — ISA-Completo · IP · IV · RE · Café y Cacao Perú</t>
  </si>
  <si>
    <t>ISA-Completo
(0-100)</t>
  </si>
  <si>
    <t>Semáforo</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</si>
  <si>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</si>
  <si>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</si>
  <si>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</si>
  <si>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</si>
  <si>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</si>
  <si>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</si>
  <si>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</si>
  <si>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</si>
  <si>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</si>
  <si>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</si>
  <si>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</si>
  <si>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</si>
  <si>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</si>
  <si>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</si>
  <si>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</si>
  <si>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</si>
  <si>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</si>
  <si>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</si>
  <si>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</si>
  <si>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</si>
  <si>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</si>
  <si>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</si>
  <si>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</si>
  <si>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</si>
  <si>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</si>
  <si>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</si>
  <si>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</si>
  <si>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</si>
  <si>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</si>
  <si>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</si>
  <si>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</si>
  <si>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</si>
  <si>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</si>
  <si>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</si>
  <si>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</si>
  <si>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</si>
  <si>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</si>
  <si>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</si>
  <si>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</si>
  <si>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</si>
  <si>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</si>
  <si>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</si>
  <si>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</si>
  <si>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</si>
  <si>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</si>
  <si>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</si>
  <si>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</si>
  <si>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</si>
  <si>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</si>
  <si>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</si>
  <si>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</si>
  <si>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</si>
  <si>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</si>
  <si>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</si>
  <si>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</si>
  <si>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</si>
  <si>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</si>
  <si>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</si>
  <si>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</si>
  <si>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</si>
  <si>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</si>
  <si>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</si>
  <si>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</si>
  <si>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</si>
  <si>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</si>
  <si>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</si>
  <si>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</si>
  <si>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</si>
  <si>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</si>
  <si>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</si>
  <si>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</si>
  <si>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</si>
  <si>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</si>
  <si>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</si>
  <si>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</si>
  <si>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</si>
  <si>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</si>
  <si>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</si>
  <si>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</si>
  <si>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</si>
  <si>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</si>
  <si>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</si>
  <si>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</si>
  <si>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</si>
  <si>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</si>
  <si>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</si>
  <si>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</si>
  <si>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</si>
  <si>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</si>
  <si>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</si>
  <si>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</si>
  <si>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</si>
  <si>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</si>
  <si>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</si>
  <si>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</si>
  <si>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</si>
  <si>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</si>
  <si>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</si>
  <si>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</si>
  <si>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</si>
  <si>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</si>
  <si>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</si>
  <si>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</si>
  <si>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</si>
  <si>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</si>
  <si>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</si>
  <si>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</si>
  <si>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</si>
  <si>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</si>
  <si>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</si>
  <si>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</si>
  <si>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</si>
  <si>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</si>
  <si>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</si>
  <si>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</si>
  <si>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</si>
  <si>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</si>
  <si>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</si>
  <si>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</si>
  <si>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</si>
  <si>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</si>
  <si>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</si>
  <si>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</si>
  <si>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</si>
  <si>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</si>
  <si>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</si>
  <si>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</si>
  <si>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</si>
  <si>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</si>
  <si>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</si>
  <si>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</si>
  <si>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</si>
  <si>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</si>
  <si>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</si>
  <si>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</si>
  <si>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</si>
  <si>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</si>
  <si>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</si>
  <si>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</si>
  <si>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</si>
  <si>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</si>
  <si>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</si>
  <si>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</si>
  <si>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</si>
  <si>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</si>
  <si>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</si>
  <si>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</si>
  <si>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</si>
  <si>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</si>
  <si>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</si>
  <si>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</si>
  <si>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</si>
  <si>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</si>
  <si>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</si>
  <si>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</si>
  <si>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</si>
  <si>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</si>
  <si>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</si>
  <si>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</si>
  <si>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</si>
  <si>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</si>
  <si>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</si>
  <si>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</si>
  <si>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</si>
  <si>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</si>
  <si>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</si>
  <si>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</si>
  <si>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</si>
  <si>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</si>
  <si>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</si>
  <si>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</si>
  <si>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</si>
  <si>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</si>
  <si>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</si>
  <si>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</si>
  <si>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</si>
  <si>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</si>
  <si>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</si>
  <si>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</si>
  <si>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</si>
  <si>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</si>
  <si>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</si>
  <si>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</si>
  <si>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</si>
  <si>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</si>
  <si>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</si>
  <si>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</si>
  <si>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</si>
  <si>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</si>
  <si>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</si>
  <si>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</si>
  <si>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</si>
  <si>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</si>
  <si>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</si>
  <si>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</si>
  <si>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</si>
  <si>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</si>
  <si>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</si>
  <si>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</si>
  <si>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</si>
  <si>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</si>
  <si>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</si>
  <si>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</si>
  <si>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</si>
  <si>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</si>
  <si>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</si>
  <si>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</si>
  <si>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</si>
  <si>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</si>
  <si>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</si>
  <si>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</si>
  <si>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</si>
  <si>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</si>
  <si>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</si>
  <si>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</si>
  <si>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</si>
  <si>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</si>
  <si>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</si>
  <si>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</si>
  <si>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</si>
  <si>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</si>
  <si>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</si>
  <si>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</si>
  <si>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</si>
  <si>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</si>
  <si>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</si>
  <si>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</si>
  <si>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</si>
  <si>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</si>
  <si>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</si>
  <si>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</si>
  <si>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</si>
  <si>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</si>
  <si>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</si>
  <si>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</si>
  <si>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</si>
  <si>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</si>
  <si>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</si>
  <si>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</si>
  <si>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</si>
  <si>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</si>
  <si>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</si>
  <si>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</si>
  <si>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</si>
  <si>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</si>
  <si>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</si>
  <si>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</si>
  <si>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</si>
  <si>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</si>
  <si>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</si>
  <si>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</si>
  <si>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</si>
  <si>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</si>
  <si>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</si>
  <si>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</si>
  <si>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</si>
  <si>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</si>
  <si>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</si>
  <si>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</si>
  <si>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</si>
  <si>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</si>
  <si>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</si>
  <si>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</si>
  <si>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</si>
  <si>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</si>
  <si>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</si>
  <si>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</si>
  <si>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</si>
  <si>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</si>
  <si>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</si>
  <si>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</si>
  <si>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</si>
  <si>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</si>
  <si>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</si>
  <si>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</si>
  <si>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</si>
  <si>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</si>
  <si>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</si>
  <si>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</si>
  <si>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</si>
  <si>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</si>
  <si>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</si>
  <si>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</si>
  <si>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</si>
  <si>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</si>
  <si>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</si>
  <si>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</si>
  <si>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</si>
  <si>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</si>
  <si>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</si>
  <si>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</si>
  <si>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</si>
  <si>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</si>
  <si>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</si>
  <si>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</si>
  <si>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</si>
  <si>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</si>
  <si>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</si>
  <si>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</si>
  <si>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</si>
  <si>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</si>
  <si>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</si>
  <si>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</si>
  <si>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</si>
  <si>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</si>
  <si>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</si>
  <si>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</si>
  <si>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</si>
  <si>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</si>
  <si>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</si>
  <si>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</si>
  <si>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</si>
  <si>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</si>
  <si>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</si>
  <si>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</si>
  <si>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</si>
  <si>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</si>
  <si>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</si>
  <si>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</si>
  <si>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</si>
  <si>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</si>
  <si>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</si>
  <si>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</si>
  <si>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</si>
  <si>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</si>
  <si>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</si>
  <si>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</si>
  <si>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</si>
  <si>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</si>
  <si>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</si>
  <si>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</si>
  <si>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</si>
  <si>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</si>
  <si>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</si>
  <si>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</si>
  <si>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</si>
  <si>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</si>
  <si>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</si>
  <si>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</si>
  <si>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</si>
  <si>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</si>
  <si>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</si>
  <si>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</si>
  <si>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</si>
  <si>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</si>
  <si>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</si>
  <si>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</si>
  <si>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</si>
  <si>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</si>
  <si>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</si>
  <si>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</si>
  <si>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</si>
  <si>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</si>
  <si>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</si>
  <si>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</si>
  <si>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</si>
  <si>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</si>
  <si>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</si>
  <si>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</si>
  <si>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</si>
  <si>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</si>
  <si>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</si>
  <si>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</si>
  <si>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</si>
  <si>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</si>
  <si>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</si>
  <si>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</si>
  <si>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</si>
  <si>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</si>
  <si>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</si>
  <si>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</si>
  <si>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</si>
  <si>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</si>
  <si>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</si>
  <si>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</si>
  <si>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</si>
  <si>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</si>
  <si>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</si>
  <si>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</si>
  <si>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</si>
  <si>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</si>
  <si>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</si>
  <si>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</si>
  <si>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</si>
  <si>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</si>
  <si>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</si>
  <si>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</si>
  <si>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</si>
  <si>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</si>
  <si>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</si>
  <si>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</si>
  <si>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</si>
  <si>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</si>
  <si>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</si>
  <si>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</si>
  <si>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</si>
  <si>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</si>
  <si>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</si>
  <si>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</si>
  <si>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</si>
  <si>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</si>
  <si>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</si>
  <si>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</si>
  <si>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</si>
  <si>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</si>
  <si>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</si>
  <si>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</si>
  <si>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</si>
  <si>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</si>
  <si>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</si>
  <si>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</si>
  <si>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</si>
  <si>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</si>
  <si>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</si>
  <si>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</si>
  <si>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</si>
  <si>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</si>
  <si>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</si>
  <si>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</si>
  <si>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</si>
  <si>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</si>
  <si>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</si>
  <si>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</si>
  <si>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</si>
  <si>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</si>
  <si>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</si>
  <si>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</si>
  <si>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</si>
  <si>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</si>
  <si>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</si>
  <si>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</si>
  <si>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</si>
  <si>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</si>
  <si>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</si>
  <si>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</si>
  <si>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</si>
  <si>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</si>
  <si>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</si>
  <si>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</si>
  <si>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</si>
  <si>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</si>
  <si>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</si>
  <si>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</si>
  <si>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</si>
  <si>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</si>
  <si>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</si>
  <si>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</si>
  <si>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</si>
  <si>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</si>
  <si>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</si>
  <si>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</si>
  <si>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</si>
  <si>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</si>
  <si>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</si>
  <si>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</si>
  <si>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</si>
  <si>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</si>
  <si>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</si>
  <si>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</si>
  <si>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</si>
  <si>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</si>
  <si>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</si>
  <si>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</si>
  <si>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</si>
  <si>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</si>
  <si>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</si>
  <si>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</si>
  <si>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</si>
  <si>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</si>
  <si>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</si>
  <si>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</si>
  <si>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</si>
  <si>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</si>
  <si>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</si>
  <si>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</si>
  <si>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</si>
  <si>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</si>
  <si>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</si>
  <si>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</si>
  <si>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</si>
  <si>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</si>
  <si>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</si>
  <si>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</si>
  <si>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</si>
  <si>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</si>
  <si>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</si>
  <si>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</si>
  <si>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</si>
  <si>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</si>
  <si>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</si>
  <si>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</si>
  <si>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</si>
  <si>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</si>
  <si>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</si>
  <si>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</si>
  <si>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</si>
  <si>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</si>
  <si>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</si>
  <si>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</si>
  <si>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</si>
  <si>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</si>
  <si>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</si>
  <si>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</si>
  <si>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</si>
  <si>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</si>
  <si>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</si>
  <si>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</si>
  <si>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</si>
  <si>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</si>
  <si>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</si>
  <si>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</si>
  <si>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</si>
  <si>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</si>
  <si>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</si>
  <si>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</si>
  <si>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</si>
  <si>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</si>
  <si>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</si>
  <si>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</si>
  <si>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</si>
  <si>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</si>
  <si>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</si>
  <si>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</si>
  <si>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</si>
  <si>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</si>
  <si>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</si>
  <si>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</si>
  <si>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</si>
  <si>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</si>
  <si>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</si>
  <si>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</si>
  <si>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</si>
  <si>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</si>
  <si>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</si>
  <si>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</si>
  <si>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</si>
  <si>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</si>
  <si>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</si>
  <si>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</si>
  <si>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</si>
  <si>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</si>
  <si>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</si>
  <si>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</si>
  <si>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</si>
  <si>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</si>
  <si>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</si>
  <si>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</si>
  <si>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</si>
  <si>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</si>
  <si>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</si>
  <si>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</si>
  <si>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</si>
  <si>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</si>
  <si>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</si>
  <si>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</si>
  <si>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</si>
  <si>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</si>
  <si>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</si>
  <si>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</si>
  <si>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</si>
  <si>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</si>
  <si>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</si>
  <si>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</si>
  <si>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</si>
  <si>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</si>
  <si>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</si>
  <si>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</si>
  <si>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</si>
  <si>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</si>
  <si>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</si>
  <si>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</si>
  <si>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</si>
  <si>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</si>
  <si>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</si>
  <si>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</si>
  <si>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</si>
  <si>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</si>
  <si>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</si>
  <si>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Estado ISA-PV
completo = 7/7 componentes y ≥3 de 4 dimensiones D12-D15 capturadas
parcial = valor provisional
sin dato = sin ningún componente</t>
  </si>
  <si>
    <t>Estado ISA-PV
(completo / parcial · n/7 · D12-D15 k/4 / sin dato)</t>
  </si>
  <si>
    <t>D10 — Certificación
(bandera; no promedia)</t>
  </si>
  <si>
    <t>D10 — Certificación (bandera, no promedia)</t>
  </si>
  <si>
    <t>D11 — Ecosistema de apoyo (inventario, no promedia)</t>
  </si>
  <si>
    <t>D10
bandera</t>
  </si>
  <si>
    <t>D11
inventario</t>
  </si>
  <si>
    <t>Cert. vigentes (n)
B0.9; si vacío, registro H/I</t>
  </si>
  <si>
    <t>`ISCAM_Score!N` (D10) — bandera, no promedia (se reporta aparte)</t>
  </si>
  <si>
    <t>D10 ES BANDERA Y LA CERTIFICACIÓN DE IP5 ES UN CONTEO (2026-10-15)</t>
  </si>
  <si>
    <t>D10 (NORMALIZADO!CK) dejó de promediar: sus tres ítems —D10.36 (falsa seguridad), D10.37 (oferta de «certificación EUDR») y D10.36a (asesoría)— son banderas y se reportan aparte (§7.3 de la metodología ISA y Tabla 4 del documento de trabajo). La certificación sí entra al índice, pero en IP5 y como conteo: AU = n.º de certificaciones vigentes (B0.9; registro precensal H/I mientras no haya encuesta) y AV = 0/33/66/100 —fuente: Matriz de Cobertura Técnica, «IP5 recalculado (Certificaciones, conteo 0/33/66/100)»—. IP5 (ISCAM_Score!T) = (D7 + D9 + AV)/3 y devuelve «» si falta cualquier componente.</t>
  </si>
  <si>
    <t>La falta de dato no se convierte en 0 en ningún nivel: en la base precensal el % UE/FOB, el FOB, el puntaje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</si>
  <si>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`MATRIZ_174!A` · `ISCAM_Score!A` · `SCORECARDS!A` — clave de unión</t>
  </si>
  <si>
    <t>`MATRIZ_174!AU`/`AV` (conteo de certificaciones vigentes → IP5, 0/33/66/100); `O` = puntaje precensal ponderado (0,6 orgánica / 0,4 Comercio Justo)</t>
  </si>
  <si>
    <t>Sección 2 — Bloque P: Variables de Desempeño</t>
  </si>
  <si>
    <t>Bloque P — Desempeño comercial</t>
  </si>
  <si>
    <t>`MATRIZ_174!AK` (P11 — Puntaje de trazabilidad)</t>
  </si>
  <si>
    <t>Entrada fija — valor primario, editable</t>
  </si>
  <si>
    <t>Entrada editable — cambiar ponderación aquí</t>
  </si>
  <si>
    <t>Puntaje de certificaciones vigentes (Org + Ftrade)</t>
  </si>
  <si>
    <t>DECIDIDO 2026-10-14: P_Global NO entra en ISA-Completo. El índice es el regresor/predictor del objetivo (f); la desempeño es la variable dependiente. ISCAM (Fase 4, paso 12) usa los indicadores de desempeño como validación externa del índice (certificaciones, % volumen trazable, continuidad exportadora, acceso a mercado UE): P_Global es esa variable de validación, no un insumo del índice. Fuente: Metodologia - Indice de Alineamiento (ISA) §5, Comparativa §3.3, Propuesta ISCAM IP-IV-RE.</t>
  </si>
  <si>
    <t>D10 no promedia (bandera pura: D10.36, D10.37, D10.36a se reportan aparte). Certificación en IP5 = conteo de esquemas vigentes 0/33/66/100 (MATRIZ_174!AU/AV), no el puntaje ponderado 0,6/0,4. IP5 devuelve «» si falta D7, D9 o la certificación.</t>
  </si>
  <si>
    <t>Bloque P
Puntaje (0-1)</t>
  </si>
  <si>
    <t>Puntaje Cert (0-1)</t>
  </si>
  <si>
    <t>Puntaje PVE (0-100)</t>
  </si>
  <si>
    <t>Puntaje D3 (OSCE)</t>
  </si>
  <si>
    <t>P4 — puntaje de género (% muj. en org.)</t>
  </si>
  <si>
    <t>P11 — Puntaje de trazabilidad (%)</t>
  </si>
  <si>
    <t>Puntaje Cert IP5
0/33/66/100 (conteo, no ponderado)</t>
  </si>
  <si>
    <t>Un cero de relleno (falta de dato) se muestra como celda vacía, nunca como 0. Se vaciaron: L (FOB UE), E (FOB total) y P1..P14; M (% UE/FOB) y O (puntaje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</si>
  <si>
    <t>Ordenamiento</t>
  </si>
  <si>
    <t>RADAR DE BRECHAS — Puntaje promedio por departamento y dimensión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</si>
</sst>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17"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437</v>
      </c>
      <c r="B1" s="65"/>
      <c r="C1" s="65"/>
      <c r="D1" s="65"/>
      <c r="E1" s="65"/>
      <c r="F1" s="65"/>
      <c r="G1" s="65"/>
      <c r="H1" s="65"/>
    </row>
    <row r="2" spans="1:8" ht="22.05" customHeight="1" x14ac:dyDescent="0.3">
      <c r="A2" s="65" t="s">
        <v>438</v>
      </c>
      <c r="B2" s="65"/>
      <c r="C2" s="65"/>
      <c r="D2" s="65"/>
      <c r="E2" s="65"/>
      <c r="F2" s="65"/>
      <c r="G2" s="65"/>
      <c r="H2" s="65"/>
    </row>
    <row r="4" spans="1:8" ht="18" customHeight="1" x14ac:dyDescent="0.3">
      <c r="A4" s="64" t="s">
        <v>1541</v>
      </c>
      <c r="B4" s="65"/>
      <c r="C4" s="65"/>
      <c r="D4" s="65"/>
      <c r="E4" s="65"/>
      <c r="F4" s="65"/>
      <c r="G4" s="65"/>
      <c r="H4" s="65"/>
    </row>
    <row r="5" spans="1:8" ht="48" customHeight="1" x14ac:dyDescent="0.3">
      <c r="A5" s="66" t="s">
        <v>1596</v>
      </c>
      <c r="B5" s="66"/>
      <c r="C5" s="66"/>
      <c r="D5" s="66"/>
      <c r="E5" s="66"/>
      <c r="F5" s="66"/>
      <c r="G5" s="66"/>
      <c r="H5" s="66"/>
    </row>
    <row r="7" spans="1:8" ht="18" customHeight="1" x14ac:dyDescent="0.3">
      <c r="A7" s="65" t="s">
        <v>439</v>
      </c>
      <c r="B7" s="65"/>
      <c r="C7" s="65"/>
      <c r="D7" s="65"/>
      <c r="E7" s="65"/>
      <c r="F7" s="65"/>
      <c r="G7" s="65"/>
      <c r="H7" s="65"/>
    </row>
    <row r="8" spans="1:8" x14ac:dyDescent="0.3">
      <c r="A8" s="66" t="s">
        <v>440</v>
      </c>
      <c r="B8" s="65"/>
      <c r="C8" s="65"/>
      <c r="D8" s="65"/>
      <c r="E8" s="65"/>
      <c r="F8" s="65"/>
      <c r="G8" s="65"/>
      <c r="H8" s="65"/>
    </row>
    <row r="10" spans="1:8" ht="18" customHeight="1" x14ac:dyDescent="0.3">
      <c r="A10" s="65" t="s">
        <v>441</v>
      </c>
      <c r="B10" s="65"/>
      <c r="C10" s="65"/>
      <c r="D10" s="65"/>
      <c r="E10" s="65"/>
      <c r="F10" s="65"/>
      <c r="G10" s="65"/>
      <c r="H10" s="65"/>
    </row>
    <row r="11" spans="1:8" x14ac:dyDescent="0.3">
      <c r="A11" t="s">
        <v>442</v>
      </c>
      <c r="B11" s="65" t="s">
        <v>443</v>
      </c>
      <c r="C11" s="65"/>
      <c r="D11" s="65"/>
      <c r="E11" s="65"/>
      <c r="F11" s="65"/>
      <c r="G11" s="65"/>
      <c r="H11" s="65"/>
    </row>
    <row r="12" spans="1:8" x14ac:dyDescent="0.3">
      <c r="A12" t="s">
        <v>444</v>
      </c>
      <c r="B12" s="65" t="s">
        <v>445</v>
      </c>
      <c r="C12" s="65"/>
      <c r="D12" s="65"/>
      <c r="E12" s="65"/>
      <c r="F12" s="65"/>
      <c r="G12" s="65"/>
      <c r="H12" s="65"/>
    </row>
    <row r="13" spans="1:8" x14ac:dyDescent="0.3">
      <c r="A13" t="s">
        <v>446</v>
      </c>
      <c r="B13" s="65" t="s">
        <v>1499</v>
      </c>
      <c r="C13" s="65"/>
      <c r="D13" s="65"/>
      <c r="E13" s="65"/>
      <c r="F13" s="65"/>
      <c r="G13" s="65"/>
      <c r="H13" s="65"/>
    </row>
    <row r="14" spans="1:8" x14ac:dyDescent="0.3">
      <c r="A14" t="s">
        <v>447</v>
      </c>
      <c r="B14" s="65" t="s">
        <v>448</v>
      </c>
      <c r="C14" s="65"/>
      <c r="D14" s="65"/>
      <c r="E14" s="65"/>
      <c r="F14" s="65"/>
      <c r="G14" s="65"/>
      <c r="H14" s="65"/>
    </row>
    <row r="15" spans="1:8" x14ac:dyDescent="0.3">
      <c r="A15" t="s">
        <v>449</v>
      </c>
      <c r="B15" s="65" t="s">
        <v>450</v>
      </c>
      <c r="C15" s="65"/>
      <c r="D15" s="65"/>
      <c r="E15" s="65"/>
      <c r="F15" s="65"/>
      <c r="G15" s="65"/>
      <c r="H15" s="65"/>
    </row>
    <row r="17" spans="1:8" ht="18" customHeight="1" x14ac:dyDescent="0.3">
      <c r="A17" s="65" t="s">
        <v>451</v>
      </c>
      <c r="B17" s="65"/>
      <c r="C17" s="65"/>
      <c r="D17" s="65"/>
      <c r="E17" s="65"/>
      <c r="F17" s="65"/>
      <c r="G17" s="65"/>
      <c r="H17" s="65"/>
    </row>
    <row r="18" spans="1:8" x14ac:dyDescent="0.3">
      <c r="A18" t="s">
        <v>452</v>
      </c>
      <c r="B18" s="65" t="s">
        <v>453</v>
      </c>
      <c r="C18" s="65"/>
      <c r="D18" s="65"/>
      <c r="E18" s="65"/>
      <c r="F18" s="65"/>
      <c r="G18" s="65"/>
      <c r="H18" s="65"/>
    </row>
    <row r="19" spans="1:8" x14ac:dyDescent="0.3">
      <c r="A19" t="s">
        <v>454</v>
      </c>
      <c r="B19" s="65" t="s">
        <v>455</v>
      </c>
      <c r="C19" s="65"/>
      <c r="D19" s="65"/>
      <c r="E19" s="65"/>
      <c r="F19" s="65"/>
      <c r="G19" s="65"/>
      <c r="H19" s="65"/>
    </row>
    <row r="20" spans="1:8" x14ac:dyDescent="0.3">
      <c r="A20" t="s">
        <v>456</v>
      </c>
      <c r="B20" s="65" t="s">
        <v>457</v>
      </c>
      <c r="C20" s="65"/>
      <c r="D20" s="65"/>
      <c r="E20" s="65"/>
      <c r="F20" s="65"/>
      <c r="G20" s="65"/>
      <c r="H20" s="65"/>
    </row>
    <row r="22" spans="1:8" ht="18" customHeight="1" x14ac:dyDescent="0.3">
      <c r="A22" s="65" t="s">
        <v>458</v>
      </c>
      <c r="B22" s="65"/>
      <c r="C22" s="65"/>
      <c r="D22" s="65"/>
      <c r="E22" s="65"/>
      <c r="F22" s="65"/>
      <c r="G22" s="65"/>
      <c r="H22" s="65"/>
    </row>
    <row r="23" spans="1:8" x14ac:dyDescent="0.3">
      <c r="A23" s="66" t="s">
        <v>459</v>
      </c>
      <c r="B23" s="65"/>
      <c r="C23" s="65"/>
      <c r="D23" s="65"/>
      <c r="E23" s="65"/>
      <c r="F23" s="65"/>
      <c r="G23" s="65"/>
      <c r="H23" s="65"/>
    </row>
    <row r="24" spans="1:8" x14ac:dyDescent="0.3">
      <c r="A24" s="66" t="s">
        <v>460</v>
      </c>
      <c r="B24" s="65"/>
      <c r="C24" s="65"/>
      <c r="D24" s="65"/>
      <c r="E24" s="65"/>
      <c r="F24" s="65"/>
      <c r="G24" s="65"/>
      <c r="H24" s="65"/>
    </row>
    <row r="25" spans="1:8" x14ac:dyDescent="0.3">
      <c r="A25" s="66" t="s">
        <v>461</v>
      </c>
      <c r="B25" s="65"/>
      <c r="C25" s="65"/>
      <c r="D25" s="65"/>
      <c r="E25" s="65"/>
      <c r="F25" s="65"/>
      <c r="G25" s="65"/>
      <c r="H25" s="65"/>
    </row>
    <row r="26" spans="1:8" x14ac:dyDescent="0.3">
      <c r="A26" s="66" t="s">
        <v>462</v>
      </c>
      <c r="B26" s="65"/>
      <c r="C26" s="65"/>
      <c r="D26" s="65"/>
      <c r="E26" s="65"/>
      <c r="F26" s="65"/>
      <c r="G26" s="65"/>
      <c r="H26" s="65"/>
    </row>
    <row r="27" spans="1:8" ht="78" customHeight="1" x14ac:dyDescent="0.3">
      <c r="A27" s="67" t="s">
        <v>1500</v>
      </c>
      <c r="B27" s="67"/>
      <c r="C27" s="67"/>
      <c r="D27" s="67"/>
      <c r="E27" s="67"/>
      <c r="F27" s="67"/>
      <c r="G27" s="67"/>
      <c r="H27" s="67"/>
    </row>
    <row r="29" spans="1:8" x14ac:dyDescent="0.3">
      <c r="A29" t="s">
        <v>463</v>
      </c>
    </row>
    <row r="30" spans="1:8" x14ac:dyDescent="0.3">
      <c r="A30" s="51" t="s">
        <v>464</v>
      </c>
      <c r="B30" s="66" t="s">
        <v>465</v>
      </c>
      <c r="C30" s="65"/>
      <c r="D30" s="65"/>
      <c r="E30" s="65"/>
      <c r="F30" s="65"/>
      <c r="G30" s="65"/>
      <c r="H30" s="65"/>
    </row>
    <row r="31" spans="1:8" x14ac:dyDescent="0.3">
      <c r="A31" s="51" t="s">
        <v>466</v>
      </c>
      <c r="B31" s="66" t="s">
        <v>467</v>
      </c>
      <c r="C31" s="65"/>
      <c r="D31" s="65"/>
      <c r="E31" s="65"/>
      <c r="F31" s="65"/>
      <c r="G31" s="65"/>
      <c r="H31" s="65"/>
    </row>
    <row r="32" spans="1:8" x14ac:dyDescent="0.3">
      <c r="A32" s="51" t="s">
        <v>468</v>
      </c>
      <c r="B32" s="66" t="s">
        <v>469</v>
      </c>
      <c r="C32" s="65"/>
      <c r="D32" s="65"/>
      <c r="E32" s="65"/>
      <c r="F32" s="65"/>
      <c r="G32" s="65"/>
      <c r="H32" s="65"/>
    </row>
    <row r="33" spans="1:8" x14ac:dyDescent="0.3">
      <c r="A33" s="51" t="s">
        <v>470</v>
      </c>
      <c r="B33" s="66" t="s">
        <v>471</v>
      </c>
      <c r="C33" s="65"/>
      <c r="D33" s="65"/>
      <c r="E33" s="65"/>
      <c r="F33" s="65"/>
      <c r="G33" s="65"/>
      <c r="H33" s="65"/>
    </row>
    <row r="34" spans="1:8" x14ac:dyDescent="0.3">
      <c r="A34" s="51" t="s">
        <v>472</v>
      </c>
      <c r="B34" s="66" t="s">
        <v>473</v>
      </c>
      <c r="C34" s="65"/>
      <c r="D34" s="65"/>
      <c r="E34" s="65"/>
      <c r="F34" s="65"/>
      <c r="G34" s="65"/>
      <c r="H34" s="65"/>
    </row>
    <row r="35" spans="1:8" x14ac:dyDescent="0.3">
      <c r="A35" s="51" t="s">
        <v>474</v>
      </c>
      <c r="B35" s="66" t="s">
        <v>475</v>
      </c>
      <c r="C35" s="65"/>
      <c r="D35" s="65"/>
      <c r="E35" s="65"/>
      <c r="F35" s="65"/>
      <c r="G35" s="65"/>
      <c r="H35" s="65"/>
    </row>
    <row r="36" spans="1:8" x14ac:dyDescent="0.3">
      <c r="A36" s="51" t="s">
        <v>476</v>
      </c>
      <c r="B36" s="66" t="s">
        <v>477</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478</v>
      </c>
      <c r="B1" s="65"/>
      <c r="C1" s="65"/>
      <c r="D1" s="65"/>
      <c r="E1" s="65"/>
      <c r="F1" s="65"/>
      <c r="G1" s="65"/>
    </row>
    <row r="2" spans="1:7" ht="28.05" customHeight="1" x14ac:dyDescent="0.3">
      <c r="A2" s="37" t="s">
        <v>479</v>
      </c>
      <c r="B2" s="37" t="s">
        <v>480</v>
      </c>
      <c r="C2" s="37" t="s">
        <v>481</v>
      </c>
      <c r="D2" s="37" t="s">
        <v>482</v>
      </c>
      <c r="E2" s="37" t="s">
        <v>483</v>
      </c>
      <c r="F2" s="37" t="s">
        <v>484</v>
      </c>
      <c r="G2" s="37" t="s">
        <v>485</v>
      </c>
    </row>
    <row r="3" spans="1:7" x14ac:dyDescent="0.3">
      <c r="A3" s="38" t="s">
        <v>486</v>
      </c>
      <c r="B3" s="39" t="s">
        <v>487</v>
      </c>
      <c r="C3" s="38" t="s">
        <v>488</v>
      </c>
      <c r="D3" s="38" t="s">
        <v>489</v>
      </c>
      <c r="E3" s="38" t="s">
        <v>490</v>
      </c>
      <c r="F3" s="38" t="s">
        <v>490</v>
      </c>
      <c r="G3" s="38" t="s">
        <v>491</v>
      </c>
    </row>
    <row r="4" spans="1:7" x14ac:dyDescent="0.3">
      <c r="A4" s="38" t="s">
        <v>486</v>
      </c>
      <c r="B4" s="39" t="s">
        <v>492</v>
      </c>
      <c r="C4" s="38" t="s">
        <v>488</v>
      </c>
      <c r="D4" s="38" t="s">
        <v>493</v>
      </c>
      <c r="E4" s="38" t="s">
        <v>490</v>
      </c>
      <c r="F4" s="38" t="s">
        <v>490</v>
      </c>
      <c r="G4" s="38" t="s">
        <v>494</v>
      </c>
    </row>
    <row r="5" spans="1:7" ht="48" customHeight="1" x14ac:dyDescent="0.3">
      <c r="A5" s="38" t="s">
        <v>486</v>
      </c>
      <c r="B5" s="39" t="s">
        <v>495</v>
      </c>
      <c r="C5" s="38" t="s">
        <v>488</v>
      </c>
      <c r="D5" s="38" t="s">
        <v>496</v>
      </c>
      <c r="E5" s="38" t="s">
        <v>497</v>
      </c>
      <c r="F5" s="38" t="s">
        <v>490</v>
      </c>
      <c r="G5" s="38" t="s">
        <v>498</v>
      </c>
    </row>
    <row r="6" spans="1:7" ht="24" customHeight="1" x14ac:dyDescent="0.3">
      <c r="A6" s="38" t="s">
        <v>499</v>
      </c>
      <c r="B6" s="39" t="s">
        <v>500</v>
      </c>
      <c r="C6" s="38" t="s">
        <v>488</v>
      </c>
      <c r="D6" s="38" t="s">
        <v>501</v>
      </c>
      <c r="E6" s="38" t="s">
        <v>493</v>
      </c>
      <c r="F6" s="38" t="s">
        <v>490</v>
      </c>
      <c r="G6" s="38" t="s">
        <v>502</v>
      </c>
    </row>
    <row r="7" spans="1:7" ht="36" customHeight="1" x14ac:dyDescent="0.3">
      <c r="A7" s="38" t="s">
        <v>499</v>
      </c>
      <c r="B7" s="39" t="s">
        <v>503</v>
      </c>
      <c r="C7" s="38" t="s">
        <v>488</v>
      </c>
      <c r="D7" s="38" t="s">
        <v>20</v>
      </c>
      <c r="E7" s="38" t="s">
        <v>504</v>
      </c>
      <c r="F7" s="38" t="s">
        <v>490</v>
      </c>
      <c r="G7" s="38" t="s">
        <v>1597</v>
      </c>
    </row>
    <row r="8" spans="1:7" ht="24" customHeight="1" x14ac:dyDescent="0.3">
      <c r="A8" s="38" t="s">
        <v>499</v>
      </c>
      <c r="B8" s="39" t="s">
        <v>505</v>
      </c>
      <c r="C8" s="38" t="s">
        <v>488</v>
      </c>
      <c r="D8" s="38" t="s">
        <v>506</v>
      </c>
      <c r="E8" s="38" t="s">
        <v>507</v>
      </c>
      <c r="F8" s="38" t="s">
        <v>490</v>
      </c>
      <c r="G8" s="38" t="s">
        <v>508</v>
      </c>
    </row>
    <row r="9" spans="1:7" ht="24" customHeight="1" x14ac:dyDescent="0.3">
      <c r="A9" s="38" t="s">
        <v>499</v>
      </c>
      <c r="B9" s="39" t="s">
        <v>509</v>
      </c>
      <c r="C9" s="38" t="s">
        <v>488</v>
      </c>
      <c r="D9" s="38" t="s">
        <v>510</v>
      </c>
      <c r="E9" s="38" t="s">
        <v>507</v>
      </c>
      <c r="F9" s="38" t="s">
        <v>490</v>
      </c>
      <c r="G9" s="38" t="s">
        <v>511</v>
      </c>
    </row>
    <row r="10" spans="1:7" ht="24" customHeight="1" x14ac:dyDescent="0.3">
      <c r="A10" s="38" t="s">
        <v>499</v>
      </c>
      <c r="B10" s="39" t="s">
        <v>512</v>
      </c>
      <c r="C10" s="38" t="s">
        <v>488</v>
      </c>
      <c r="D10" s="38" t="s">
        <v>513</v>
      </c>
      <c r="E10" s="38" t="s">
        <v>514</v>
      </c>
      <c r="F10" s="38" t="s">
        <v>515</v>
      </c>
      <c r="G10" s="38" t="s">
        <v>516</v>
      </c>
    </row>
    <row r="11" spans="1:7" ht="24" customHeight="1" x14ac:dyDescent="0.3">
      <c r="A11" s="38" t="s">
        <v>499</v>
      </c>
      <c r="B11" s="39" t="s">
        <v>517</v>
      </c>
      <c r="C11" s="38" t="s">
        <v>488</v>
      </c>
      <c r="D11" s="38" t="s">
        <v>518</v>
      </c>
      <c r="E11" s="38" t="s">
        <v>519</v>
      </c>
      <c r="F11" s="38" t="s">
        <v>490</v>
      </c>
      <c r="G11" s="38" t="s">
        <v>520</v>
      </c>
    </row>
    <row r="12" spans="1:7" ht="24" customHeight="1" x14ac:dyDescent="0.3">
      <c r="A12" s="38" t="s">
        <v>499</v>
      </c>
      <c r="B12" s="39" t="s">
        <v>521</v>
      </c>
      <c r="C12" s="38" t="s">
        <v>488</v>
      </c>
      <c r="D12" s="38" t="s">
        <v>522</v>
      </c>
      <c r="E12" s="38" t="s">
        <v>523</v>
      </c>
      <c r="F12" s="38" t="s">
        <v>490</v>
      </c>
      <c r="G12" s="38" t="s">
        <v>524</v>
      </c>
    </row>
    <row r="13" spans="1:7" ht="24" customHeight="1" x14ac:dyDescent="0.3">
      <c r="A13" s="40" t="s">
        <v>499</v>
      </c>
      <c r="B13" s="41" t="s">
        <v>525</v>
      </c>
      <c r="C13" s="40" t="s">
        <v>488</v>
      </c>
      <c r="D13" s="40" t="s">
        <v>526</v>
      </c>
      <c r="E13" s="40" t="s">
        <v>527</v>
      </c>
      <c r="F13" s="40" t="s">
        <v>528</v>
      </c>
      <c r="G13" s="40" t="s">
        <v>529</v>
      </c>
    </row>
    <row r="14" spans="1:7" ht="24" customHeight="1" x14ac:dyDescent="0.3">
      <c r="A14" s="38" t="s">
        <v>499</v>
      </c>
      <c r="B14" s="39" t="s">
        <v>530</v>
      </c>
      <c r="C14" s="38" t="s">
        <v>488</v>
      </c>
      <c r="D14" s="38" t="s">
        <v>531</v>
      </c>
      <c r="E14" s="38" t="s">
        <v>527</v>
      </c>
      <c r="F14" s="38" t="s">
        <v>532</v>
      </c>
      <c r="G14" s="38" t="s">
        <v>1598</v>
      </c>
    </row>
    <row r="15" spans="1:7" ht="24" customHeight="1" x14ac:dyDescent="0.3">
      <c r="A15" s="38" t="s">
        <v>499</v>
      </c>
      <c r="B15" s="39" t="s">
        <v>533</v>
      </c>
      <c r="C15" s="38" t="s">
        <v>488</v>
      </c>
      <c r="D15" s="38" t="s">
        <v>534</v>
      </c>
      <c r="E15" s="38" t="s">
        <v>514</v>
      </c>
      <c r="F15" s="38" t="s">
        <v>535</v>
      </c>
      <c r="G15" s="38" t="s">
        <v>536</v>
      </c>
    </row>
    <row r="16" spans="1:7" ht="24" customHeight="1" x14ac:dyDescent="0.3">
      <c r="A16" s="38" t="s">
        <v>499</v>
      </c>
      <c r="B16" s="39" t="s">
        <v>537</v>
      </c>
      <c r="C16" s="38" t="s">
        <v>488</v>
      </c>
      <c r="D16" s="38" t="s">
        <v>538</v>
      </c>
      <c r="E16" s="38" t="s">
        <v>514</v>
      </c>
      <c r="F16" s="38" t="s">
        <v>539</v>
      </c>
      <c r="G16" s="38" t="s">
        <v>536</v>
      </c>
    </row>
    <row r="17" spans="1:7" ht="24" customHeight="1" x14ac:dyDescent="0.3">
      <c r="A17" s="38" t="s">
        <v>499</v>
      </c>
      <c r="B17" s="39" t="s">
        <v>540</v>
      </c>
      <c r="C17" s="38" t="s">
        <v>488</v>
      </c>
      <c r="D17" s="38" t="s">
        <v>541</v>
      </c>
      <c r="E17" s="38" t="s">
        <v>523</v>
      </c>
      <c r="F17" s="38" t="s">
        <v>490</v>
      </c>
      <c r="G17" s="38" t="s">
        <v>542</v>
      </c>
    </row>
    <row r="18" spans="1:7" ht="36" customHeight="1" x14ac:dyDescent="0.3">
      <c r="A18" s="38" t="s">
        <v>499</v>
      </c>
      <c r="B18" s="39" t="s">
        <v>543</v>
      </c>
      <c r="C18" s="38" t="s">
        <v>488</v>
      </c>
      <c r="D18" s="38" t="s">
        <v>544</v>
      </c>
      <c r="E18" s="38" t="s">
        <v>514</v>
      </c>
      <c r="F18" s="38" t="s">
        <v>545</v>
      </c>
      <c r="G18" s="38" t="s">
        <v>546</v>
      </c>
    </row>
    <row r="19" spans="1:7" ht="36" customHeight="1" x14ac:dyDescent="0.3">
      <c r="A19" s="38" t="s">
        <v>499</v>
      </c>
      <c r="B19" s="39" t="s">
        <v>547</v>
      </c>
      <c r="C19" s="38" t="s">
        <v>488</v>
      </c>
      <c r="D19" s="38" t="s">
        <v>548</v>
      </c>
      <c r="E19" s="38" t="s">
        <v>514</v>
      </c>
      <c r="F19" s="38" t="s">
        <v>549</v>
      </c>
      <c r="G19" s="38" t="s">
        <v>546</v>
      </c>
    </row>
    <row r="20" spans="1:7" ht="24" customHeight="1" x14ac:dyDescent="0.3">
      <c r="A20" s="42" t="s">
        <v>499</v>
      </c>
      <c r="B20" s="43" t="s">
        <v>550</v>
      </c>
      <c r="C20" s="42" t="s">
        <v>488</v>
      </c>
      <c r="D20" s="42" t="s">
        <v>551</v>
      </c>
      <c r="E20" s="42" t="s">
        <v>514</v>
      </c>
      <c r="F20" s="42" t="s">
        <v>552</v>
      </c>
      <c r="G20" s="42" t="s">
        <v>553</v>
      </c>
    </row>
    <row r="21" spans="1:7" ht="24" customHeight="1" x14ac:dyDescent="0.3">
      <c r="A21" s="42" t="s">
        <v>499</v>
      </c>
      <c r="B21" s="43" t="s">
        <v>554</v>
      </c>
      <c r="C21" s="42" t="s">
        <v>488</v>
      </c>
      <c r="D21" s="42" t="s">
        <v>555</v>
      </c>
      <c r="E21" s="42" t="s">
        <v>493</v>
      </c>
      <c r="F21" s="42" t="s">
        <v>490</v>
      </c>
      <c r="G21" s="42" t="s">
        <v>556</v>
      </c>
    </row>
    <row r="22" spans="1:7" ht="24" customHeight="1" x14ac:dyDescent="0.3">
      <c r="A22" s="42" t="s">
        <v>499</v>
      </c>
      <c r="B22" s="43" t="s">
        <v>557</v>
      </c>
      <c r="C22" s="42" t="s">
        <v>488</v>
      </c>
      <c r="D22" s="42" t="s">
        <v>558</v>
      </c>
      <c r="E22" s="42" t="s">
        <v>514</v>
      </c>
      <c r="F22" s="42" t="s">
        <v>559</v>
      </c>
      <c r="G22" s="42" t="s">
        <v>560</v>
      </c>
    </row>
    <row r="23" spans="1:7" ht="24" customHeight="1" x14ac:dyDescent="0.3">
      <c r="A23" s="38" t="s">
        <v>1599</v>
      </c>
      <c r="B23" s="39" t="s">
        <v>5</v>
      </c>
      <c r="C23" s="38" t="s">
        <v>1600</v>
      </c>
      <c r="D23" s="38" t="s">
        <v>561</v>
      </c>
      <c r="E23" s="38" t="s">
        <v>507</v>
      </c>
      <c r="F23" s="38" t="s">
        <v>490</v>
      </c>
      <c r="G23" s="38" t="s">
        <v>562</v>
      </c>
    </row>
    <row r="24" spans="1:7" ht="24" customHeight="1" x14ac:dyDescent="0.3">
      <c r="A24" s="38" t="s">
        <v>1599</v>
      </c>
      <c r="B24" s="39" t="s">
        <v>563</v>
      </c>
      <c r="C24" s="38" t="s">
        <v>1600</v>
      </c>
      <c r="D24" s="38" t="s">
        <v>564</v>
      </c>
      <c r="E24" s="38" t="s">
        <v>507</v>
      </c>
      <c r="F24" s="38" t="s">
        <v>490</v>
      </c>
      <c r="G24" s="38" t="s">
        <v>562</v>
      </c>
    </row>
    <row r="25" spans="1:7" ht="24" customHeight="1" x14ac:dyDescent="0.3">
      <c r="A25" s="38" t="s">
        <v>1599</v>
      </c>
      <c r="B25" s="39" t="s">
        <v>6</v>
      </c>
      <c r="C25" s="38" t="s">
        <v>1600</v>
      </c>
      <c r="D25" s="38" t="s">
        <v>565</v>
      </c>
      <c r="E25" s="38" t="s">
        <v>507</v>
      </c>
      <c r="F25" s="38" t="s">
        <v>490</v>
      </c>
      <c r="G25" s="38" t="s">
        <v>566</v>
      </c>
    </row>
    <row r="26" spans="1:7" ht="24" customHeight="1" x14ac:dyDescent="0.3">
      <c r="A26" s="38" t="s">
        <v>1599</v>
      </c>
      <c r="B26" s="39" t="s">
        <v>7</v>
      </c>
      <c r="C26" s="38" t="s">
        <v>1600</v>
      </c>
      <c r="D26" s="38" t="s">
        <v>567</v>
      </c>
      <c r="E26" s="38" t="s">
        <v>507</v>
      </c>
      <c r="F26" s="38" t="s">
        <v>490</v>
      </c>
      <c r="G26" s="38" t="s">
        <v>568</v>
      </c>
    </row>
    <row r="27" spans="1:7" ht="24" customHeight="1" x14ac:dyDescent="0.3">
      <c r="A27" s="38" t="s">
        <v>1599</v>
      </c>
      <c r="B27" s="39" t="s">
        <v>8</v>
      </c>
      <c r="C27" s="38" t="s">
        <v>1600</v>
      </c>
      <c r="D27" s="38" t="s">
        <v>569</v>
      </c>
      <c r="E27" s="38" t="s">
        <v>570</v>
      </c>
      <c r="F27" s="38" t="s">
        <v>490</v>
      </c>
      <c r="G27" s="38" t="s">
        <v>562</v>
      </c>
    </row>
    <row r="28" spans="1:7" ht="24" customHeight="1" x14ac:dyDescent="0.3">
      <c r="A28" s="38" t="s">
        <v>1599</v>
      </c>
      <c r="B28" s="39" t="s">
        <v>9</v>
      </c>
      <c r="C28" s="38" t="s">
        <v>1600</v>
      </c>
      <c r="D28" s="38" t="s">
        <v>571</v>
      </c>
      <c r="E28" s="38" t="s">
        <v>570</v>
      </c>
      <c r="F28" s="38" t="s">
        <v>490</v>
      </c>
      <c r="G28" s="38" t="s">
        <v>566</v>
      </c>
    </row>
    <row r="29" spans="1:7" ht="24" customHeight="1" x14ac:dyDescent="0.3">
      <c r="A29" s="38" t="s">
        <v>1599</v>
      </c>
      <c r="B29" s="39" t="s">
        <v>10</v>
      </c>
      <c r="C29" s="38" t="s">
        <v>1600</v>
      </c>
      <c r="D29" s="38" t="s">
        <v>572</v>
      </c>
      <c r="E29" s="38" t="s">
        <v>493</v>
      </c>
      <c r="F29" s="38" t="s">
        <v>490</v>
      </c>
      <c r="G29" s="38" t="s">
        <v>573</v>
      </c>
    </row>
    <row r="30" spans="1:7" ht="24" customHeight="1" x14ac:dyDescent="0.3">
      <c r="A30" s="38" t="s">
        <v>1599</v>
      </c>
      <c r="B30" s="39" t="s">
        <v>11</v>
      </c>
      <c r="C30" s="38" t="s">
        <v>1600</v>
      </c>
      <c r="D30" s="38" t="s">
        <v>574</v>
      </c>
      <c r="E30" s="38" t="s">
        <v>493</v>
      </c>
      <c r="F30" s="38" t="s">
        <v>490</v>
      </c>
      <c r="G30" s="38" t="s">
        <v>573</v>
      </c>
    </row>
    <row r="31" spans="1:7" ht="24" customHeight="1" x14ac:dyDescent="0.3">
      <c r="A31" s="38" t="s">
        <v>1599</v>
      </c>
      <c r="B31" s="39" t="s">
        <v>12</v>
      </c>
      <c r="C31" s="38" t="s">
        <v>1600</v>
      </c>
      <c r="D31" s="38" t="s">
        <v>575</v>
      </c>
      <c r="E31" s="38" t="s">
        <v>514</v>
      </c>
      <c r="F31" s="38" t="s">
        <v>576</v>
      </c>
      <c r="G31" s="38" t="s">
        <v>577</v>
      </c>
    </row>
    <row r="32" spans="1:7" ht="24" customHeight="1" x14ac:dyDescent="0.3">
      <c r="A32" s="38" t="s">
        <v>1599</v>
      </c>
      <c r="B32" s="39" t="s">
        <v>13</v>
      </c>
      <c r="C32" s="38" t="s">
        <v>1600</v>
      </c>
      <c r="D32" s="38" t="s">
        <v>578</v>
      </c>
      <c r="E32" s="38" t="s">
        <v>519</v>
      </c>
      <c r="F32" s="38" t="s">
        <v>490</v>
      </c>
      <c r="G32" s="38" t="s">
        <v>579</v>
      </c>
    </row>
    <row r="33" spans="1:7" ht="24" customHeight="1" x14ac:dyDescent="0.3">
      <c r="A33" s="38" t="s">
        <v>1599</v>
      </c>
      <c r="B33" s="39" t="s">
        <v>14</v>
      </c>
      <c r="C33" s="38" t="s">
        <v>1600</v>
      </c>
      <c r="D33" s="38" t="s">
        <v>580</v>
      </c>
      <c r="E33" s="38" t="s">
        <v>514</v>
      </c>
      <c r="F33" s="38" t="s">
        <v>576</v>
      </c>
      <c r="G33" s="38" t="s">
        <v>581</v>
      </c>
    </row>
    <row r="34" spans="1:7" ht="24" customHeight="1" x14ac:dyDescent="0.3">
      <c r="A34" s="38" t="s">
        <v>1599</v>
      </c>
      <c r="B34" s="39" t="s">
        <v>15</v>
      </c>
      <c r="C34" s="38" t="s">
        <v>1600</v>
      </c>
      <c r="D34" s="38" t="s">
        <v>582</v>
      </c>
      <c r="E34" s="38" t="s">
        <v>523</v>
      </c>
      <c r="F34" s="38" t="s">
        <v>490</v>
      </c>
      <c r="G34" s="38" t="s">
        <v>1601</v>
      </c>
    </row>
    <row r="35" spans="1:7" ht="24" customHeight="1" x14ac:dyDescent="0.3">
      <c r="A35" s="38" t="s">
        <v>1599</v>
      </c>
      <c r="B35" s="39" t="s">
        <v>16</v>
      </c>
      <c r="C35" s="38" t="s">
        <v>1600</v>
      </c>
      <c r="D35" s="38" t="s">
        <v>583</v>
      </c>
      <c r="E35" s="38" t="s">
        <v>570</v>
      </c>
      <c r="F35" s="38" t="s">
        <v>490</v>
      </c>
      <c r="G35" s="38" t="s">
        <v>584</v>
      </c>
    </row>
    <row r="36" spans="1:7" ht="36" customHeight="1" x14ac:dyDescent="0.3">
      <c r="A36" s="38" t="s">
        <v>1599</v>
      </c>
      <c r="B36" s="39" t="s">
        <v>17</v>
      </c>
      <c r="C36" s="38" t="s">
        <v>1600</v>
      </c>
      <c r="D36" s="38" t="s">
        <v>585</v>
      </c>
      <c r="E36" s="38" t="s">
        <v>514</v>
      </c>
      <c r="F36" s="38" t="s">
        <v>586</v>
      </c>
      <c r="G36" s="38" t="s">
        <v>581</v>
      </c>
    </row>
    <row r="37" spans="1:7" ht="36" customHeight="1" x14ac:dyDescent="0.3">
      <c r="A37" s="38" t="s">
        <v>1599</v>
      </c>
      <c r="B37" s="39" t="s">
        <v>18</v>
      </c>
      <c r="C37" s="38" t="s">
        <v>1600</v>
      </c>
      <c r="D37" s="38" t="s">
        <v>587</v>
      </c>
      <c r="E37" s="38" t="s">
        <v>514</v>
      </c>
      <c r="F37" s="38" t="s">
        <v>588</v>
      </c>
      <c r="G37" s="38" t="s">
        <v>589</v>
      </c>
    </row>
    <row r="38" spans="1:7" ht="24" customHeight="1" x14ac:dyDescent="0.3">
      <c r="A38" s="38" t="s">
        <v>590</v>
      </c>
      <c r="B38" s="39" t="s">
        <v>591</v>
      </c>
      <c r="C38" s="38" t="s">
        <v>592</v>
      </c>
      <c r="D38" s="38" t="s">
        <v>593</v>
      </c>
      <c r="E38" s="38" t="s">
        <v>514</v>
      </c>
      <c r="F38" s="38" t="s">
        <v>594</v>
      </c>
      <c r="G38" s="38" t="s">
        <v>595</v>
      </c>
    </row>
    <row r="39" spans="1:7" ht="24" customHeight="1" x14ac:dyDescent="0.3">
      <c r="A39" s="38" t="s">
        <v>590</v>
      </c>
      <c r="B39" s="39" t="s">
        <v>596</v>
      </c>
      <c r="C39" s="38" t="s">
        <v>592</v>
      </c>
      <c r="D39" s="38" t="s">
        <v>597</v>
      </c>
      <c r="E39" s="38" t="s">
        <v>514</v>
      </c>
      <c r="F39" s="38" t="s">
        <v>598</v>
      </c>
      <c r="G39" s="38" t="s">
        <v>599</v>
      </c>
    </row>
    <row r="40" spans="1:7" ht="24" customHeight="1" x14ac:dyDescent="0.3">
      <c r="A40" s="38" t="s">
        <v>590</v>
      </c>
      <c r="B40" s="39" t="s">
        <v>600</v>
      </c>
      <c r="C40" s="38" t="s">
        <v>592</v>
      </c>
      <c r="D40" s="38" t="s">
        <v>601</v>
      </c>
      <c r="E40" s="38" t="s">
        <v>514</v>
      </c>
      <c r="F40" s="38" t="s">
        <v>602</v>
      </c>
      <c r="G40" s="38" t="s">
        <v>603</v>
      </c>
    </row>
    <row r="41" spans="1:7" ht="24" customHeight="1" x14ac:dyDescent="0.3">
      <c r="A41" s="38" t="s">
        <v>590</v>
      </c>
      <c r="B41" s="39" t="s">
        <v>604</v>
      </c>
      <c r="C41" s="38" t="s">
        <v>592</v>
      </c>
      <c r="D41" s="38" t="s">
        <v>605</v>
      </c>
      <c r="E41" s="38" t="s">
        <v>514</v>
      </c>
      <c r="F41" s="38" t="s">
        <v>576</v>
      </c>
      <c r="G41" s="38" t="s">
        <v>603</v>
      </c>
    </row>
    <row r="42" spans="1:7" ht="24" customHeight="1" x14ac:dyDescent="0.3">
      <c r="A42" s="42" t="s">
        <v>590</v>
      </c>
      <c r="B42" s="43" t="s">
        <v>606</v>
      </c>
      <c r="C42" s="42" t="s">
        <v>592</v>
      </c>
      <c r="D42" s="42" t="s">
        <v>607</v>
      </c>
      <c r="E42" s="42" t="s">
        <v>514</v>
      </c>
      <c r="F42" s="42" t="s">
        <v>608</v>
      </c>
      <c r="G42" s="42" t="s">
        <v>603</v>
      </c>
    </row>
    <row r="43" spans="1:7" ht="24" customHeight="1" x14ac:dyDescent="0.3">
      <c r="A43" s="38" t="s">
        <v>609</v>
      </c>
      <c r="B43" s="39" t="s">
        <v>610</v>
      </c>
      <c r="C43" s="38" t="s">
        <v>611</v>
      </c>
      <c r="D43" s="38" t="s">
        <v>612</v>
      </c>
      <c r="E43" s="38" t="s">
        <v>613</v>
      </c>
      <c r="F43" s="38" t="s">
        <v>614</v>
      </c>
      <c r="G43" s="38" t="s">
        <v>615</v>
      </c>
    </row>
    <row r="44" spans="1:7" ht="24" customHeight="1" x14ac:dyDescent="0.3">
      <c r="A44" s="38" t="s">
        <v>609</v>
      </c>
      <c r="B44" s="39" t="s">
        <v>616</v>
      </c>
      <c r="C44" s="38" t="s">
        <v>611</v>
      </c>
      <c r="D44" s="38" t="s">
        <v>617</v>
      </c>
      <c r="E44" s="38" t="s">
        <v>523</v>
      </c>
      <c r="F44" s="38" t="s">
        <v>490</v>
      </c>
      <c r="G44" s="38" t="s">
        <v>615</v>
      </c>
    </row>
    <row r="45" spans="1:7" ht="24" customHeight="1" x14ac:dyDescent="0.3">
      <c r="A45" s="38" t="s">
        <v>609</v>
      </c>
      <c r="B45" s="39" t="s">
        <v>618</v>
      </c>
      <c r="C45" s="38" t="s">
        <v>611</v>
      </c>
      <c r="D45" s="38" t="s">
        <v>619</v>
      </c>
      <c r="E45" s="38" t="s">
        <v>613</v>
      </c>
      <c r="F45" s="38" t="s">
        <v>620</v>
      </c>
      <c r="G45" s="38" t="s">
        <v>615</v>
      </c>
    </row>
    <row r="46" spans="1:7" ht="24" customHeight="1" x14ac:dyDescent="0.3">
      <c r="A46" s="38" t="s">
        <v>609</v>
      </c>
      <c r="B46" s="39" t="s">
        <v>621</v>
      </c>
      <c r="C46" s="38" t="s">
        <v>611</v>
      </c>
      <c r="D46" s="38" t="s">
        <v>622</v>
      </c>
      <c r="E46" s="38" t="s">
        <v>514</v>
      </c>
      <c r="F46" s="38" t="s">
        <v>623</v>
      </c>
      <c r="G46" s="38" t="s">
        <v>615</v>
      </c>
    </row>
    <row r="47" spans="1:7" ht="24" customHeight="1" x14ac:dyDescent="0.3">
      <c r="A47" s="38" t="s">
        <v>609</v>
      </c>
      <c r="B47" s="39" t="s">
        <v>624</v>
      </c>
      <c r="C47" s="38" t="s">
        <v>611</v>
      </c>
      <c r="D47" s="38" t="s">
        <v>625</v>
      </c>
      <c r="E47" s="38" t="s">
        <v>514</v>
      </c>
      <c r="F47" s="38" t="s">
        <v>626</v>
      </c>
      <c r="G47" s="38" t="s">
        <v>615</v>
      </c>
    </row>
    <row r="48" spans="1:7" ht="24" customHeight="1" x14ac:dyDescent="0.3">
      <c r="A48" s="38" t="s">
        <v>609</v>
      </c>
      <c r="B48" s="39" t="s">
        <v>627</v>
      </c>
      <c r="C48" s="38" t="s">
        <v>611</v>
      </c>
      <c r="D48" s="38" t="s">
        <v>628</v>
      </c>
      <c r="E48" s="38" t="s">
        <v>514</v>
      </c>
      <c r="F48" s="38" t="s">
        <v>629</v>
      </c>
      <c r="G48" s="38" t="s">
        <v>630</v>
      </c>
    </row>
    <row r="49" spans="1:7" ht="24" customHeight="1" x14ac:dyDescent="0.3">
      <c r="A49" s="42" t="s">
        <v>609</v>
      </c>
      <c r="B49" s="43" t="s">
        <v>631</v>
      </c>
      <c r="C49" s="42" t="s">
        <v>611</v>
      </c>
      <c r="D49" s="42" t="s">
        <v>632</v>
      </c>
      <c r="E49" s="42" t="s">
        <v>514</v>
      </c>
      <c r="F49" s="42" t="s">
        <v>633</v>
      </c>
      <c r="G49" s="42" t="s">
        <v>615</v>
      </c>
    </row>
    <row r="50" spans="1:7" ht="36" customHeight="1" x14ac:dyDescent="0.3">
      <c r="A50" s="42" t="s">
        <v>609</v>
      </c>
      <c r="B50" s="43" t="s">
        <v>634</v>
      </c>
      <c r="C50" s="42" t="s">
        <v>611</v>
      </c>
      <c r="D50" s="42" t="s">
        <v>635</v>
      </c>
      <c r="E50" s="42" t="s">
        <v>514</v>
      </c>
      <c r="F50" s="42" t="s">
        <v>636</v>
      </c>
      <c r="G50" s="42" t="s">
        <v>637</v>
      </c>
    </row>
    <row r="51" spans="1:7" ht="24" customHeight="1" x14ac:dyDescent="0.3">
      <c r="A51" s="38" t="s">
        <v>638</v>
      </c>
      <c r="B51" s="39" t="s">
        <v>639</v>
      </c>
      <c r="C51" s="38" t="s">
        <v>640</v>
      </c>
      <c r="D51" s="38" t="s">
        <v>641</v>
      </c>
      <c r="E51" s="38" t="s">
        <v>523</v>
      </c>
      <c r="F51" s="38" t="s">
        <v>490</v>
      </c>
      <c r="G51" s="38" t="s">
        <v>642</v>
      </c>
    </row>
    <row r="52" spans="1:7" ht="24" customHeight="1" x14ac:dyDescent="0.3">
      <c r="A52" s="40" t="s">
        <v>638</v>
      </c>
      <c r="B52" s="41" t="s">
        <v>643</v>
      </c>
      <c r="C52" s="40" t="s">
        <v>640</v>
      </c>
      <c r="D52" s="40" t="s">
        <v>644</v>
      </c>
      <c r="E52" s="40" t="s">
        <v>514</v>
      </c>
      <c r="F52" s="40" t="s">
        <v>645</v>
      </c>
      <c r="G52" s="40" t="s">
        <v>642</v>
      </c>
    </row>
    <row r="53" spans="1:7" ht="24" customHeight="1" x14ac:dyDescent="0.3">
      <c r="A53" s="38" t="s">
        <v>638</v>
      </c>
      <c r="B53" s="39" t="s">
        <v>646</v>
      </c>
      <c r="C53" s="38" t="s">
        <v>640</v>
      </c>
      <c r="D53" s="38" t="s">
        <v>647</v>
      </c>
      <c r="E53" s="38" t="s">
        <v>613</v>
      </c>
      <c r="F53" s="38" t="s">
        <v>620</v>
      </c>
      <c r="G53" s="38" t="s">
        <v>642</v>
      </c>
    </row>
    <row r="54" spans="1:7" ht="24" customHeight="1" x14ac:dyDescent="0.3">
      <c r="A54" s="38" t="s">
        <v>638</v>
      </c>
      <c r="B54" s="39" t="s">
        <v>648</v>
      </c>
      <c r="C54" s="38" t="s">
        <v>640</v>
      </c>
      <c r="D54" s="38" t="s">
        <v>649</v>
      </c>
      <c r="E54" s="38" t="s">
        <v>514</v>
      </c>
      <c r="F54" s="38" t="s">
        <v>650</v>
      </c>
      <c r="G54" s="38" t="s">
        <v>642</v>
      </c>
    </row>
    <row r="55" spans="1:7" ht="24" customHeight="1" x14ac:dyDescent="0.3">
      <c r="A55" s="38" t="s">
        <v>638</v>
      </c>
      <c r="B55" s="39" t="s">
        <v>651</v>
      </c>
      <c r="C55" s="38" t="s">
        <v>640</v>
      </c>
      <c r="D55" s="38" t="s">
        <v>652</v>
      </c>
      <c r="E55" s="38" t="s">
        <v>514</v>
      </c>
      <c r="F55" s="38" t="s">
        <v>653</v>
      </c>
      <c r="G55" s="38" t="s">
        <v>642</v>
      </c>
    </row>
    <row r="56" spans="1:7" ht="24" customHeight="1" x14ac:dyDescent="0.3">
      <c r="A56" s="38" t="s">
        <v>638</v>
      </c>
      <c r="B56" s="39" t="s">
        <v>654</v>
      </c>
      <c r="C56" s="38" t="s">
        <v>640</v>
      </c>
      <c r="D56" s="38" t="s">
        <v>655</v>
      </c>
      <c r="E56" s="38" t="s">
        <v>514</v>
      </c>
      <c r="F56" s="38" t="s">
        <v>656</v>
      </c>
      <c r="G56" s="38" t="s">
        <v>642</v>
      </c>
    </row>
    <row r="57" spans="1:7" ht="24" customHeight="1" x14ac:dyDescent="0.3">
      <c r="A57" s="38" t="s">
        <v>638</v>
      </c>
      <c r="B57" s="39" t="s">
        <v>657</v>
      </c>
      <c r="C57" s="38" t="s">
        <v>640</v>
      </c>
      <c r="D57" s="38" t="s">
        <v>658</v>
      </c>
      <c r="E57" s="38" t="s">
        <v>514</v>
      </c>
      <c r="F57" s="38" t="s">
        <v>576</v>
      </c>
      <c r="G57" s="38" t="s">
        <v>642</v>
      </c>
    </row>
    <row r="58" spans="1:7" ht="72" customHeight="1" x14ac:dyDescent="0.3">
      <c r="A58" s="38" t="s">
        <v>638</v>
      </c>
      <c r="B58" s="39" t="s">
        <v>659</v>
      </c>
      <c r="C58" s="38" t="s">
        <v>640</v>
      </c>
      <c r="D58" s="38" t="s">
        <v>660</v>
      </c>
      <c r="E58" s="38" t="s">
        <v>514</v>
      </c>
      <c r="F58" s="38" t="s">
        <v>661</v>
      </c>
      <c r="G58" s="38" t="s">
        <v>642</v>
      </c>
    </row>
    <row r="59" spans="1:7" ht="24" customHeight="1" x14ac:dyDescent="0.3">
      <c r="A59" s="38" t="s">
        <v>638</v>
      </c>
      <c r="B59" s="39" t="s">
        <v>662</v>
      </c>
      <c r="C59" s="38" t="s">
        <v>640</v>
      </c>
      <c r="D59" s="38" t="s">
        <v>663</v>
      </c>
      <c r="E59" s="38" t="s">
        <v>514</v>
      </c>
      <c r="F59" s="38" t="s">
        <v>664</v>
      </c>
      <c r="G59" s="38" t="s">
        <v>642</v>
      </c>
    </row>
    <row r="60" spans="1:7" ht="24" customHeight="1" x14ac:dyDescent="0.3">
      <c r="A60" s="38" t="s">
        <v>638</v>
      </c>
      <c r="B60" s="39" t="s">
        <v>665</v>
      </c>
      <c r="C60" s="38" t="s">
        <v>640</v>
      </c>
      <c r="D60" s="38" t="s">
        <v>666</v>
      </c>
      <c r="E60" s="38" t="s">
        <v>514</v>
      </c>
      <c r="F60" s="38" t="s">
        <v>667</v>
      </c>
      <c r="G60" s="38" t="s">
        <v>642</v>
      </c>
    </row>
    <row r="61" spans="1:7" ht="36" customHeight="1" x14ac:dyDescent="0.3">
      <c r="A61" s="38" t="s">
        <v>638</v>
      </c>
      <c r="B61" s="39" t="s">
        <v>668</v>
      </c>
      <c r="C61" s="38" t="s">
        <v>640</v>
      </c>
      <c r="D61" s="38" t="s">
        <v>669</v>
      </c>
      <c r="E61" s="38" t="s">
        <v>514</v>
      </c>
      <c r="F61" s="38" t="s">
        <v>670</v>
      </c>
      <c r="G61" s="38" t="s">
        <v>642</v>
      </c>
    </row>
    <row r="62" spans="1:7" ht="36" customHeight="1" x14ac:dyDescent="0.3">
      <c r="A62" s="42" t="s">
        <v>638</v>
      </c>
      <c r="B62" s="43" t="s">
        <v>671</v>
      </c>
      <c r="C62" s="42" t="s">
        <v>640</v>
      </c>
      <c r="D62" s="42" t="s">
        <v>672</v>
      </c>
      <c r="E62" s="42" t="s">
        <v>514</v>
      </c>
      <c r="F62" s="42" t="s">
        <v>673</v>
      </c>
      <c r="G62" s="42" t="s">
        <v>642</v>
      </c>
    </row>
    <row r="63" spans="1:7" ht="24" customHeight="1" x14ac:dyDescent="0.3">
      <c r="A63" s="42" t="s">
        <v>638</v>
      </c>
      <c r="B63" s="43" t="s">
        <v>674</v>
      </c>
      <c r="C63" s="42" t="s">
        <v>640</v>
      </c>
      <c r="D63" s="42" t="s">
        <v>675</v>
      </c>
      <c r="E63" s="42" t="s">
        <v>514</v>
      </c>
      <c r="F63" s="42" t="s">
        <v>676</v>
      </c>
      <c r="G63" s="42" t="s">
        <v>677</v>
      </c>
    </row>
    <row r="64" spans="1:7" ht="36" customHeight="1" x14ac:dyDescent="0.3">
      <c r="A64" s="40" t="s">
        <v>678</v>
      </c>
      <c r="B64" s="41" t="s">
        <v>679</v>
      </c>
      <c r="C64" s="40" t="s">
        <v>680</v>
      </c>
      <c r="D64" s="40" t="s">
        <v>681</v>
      </c>
      <c r="E64" s="40" t="s">
        <v>514</v>
      </c>
      <c r="F64" s="40" t="s">
        <v>682</v>
      </c>
      <c r="G64" s="40" t="s">
        <v>683</v>
      </c>
    </row>
    <row r="65" spans="1:7" ht="24" customHeight="1" x14ac:dyDescent="0.3">
      <c r="A65" s="38" t="s">
        <v>678</v>
      </c>
      <c r="B65" s="39" t="s">
        <v>684</v>
      </c>
      <c r="C65" s="38" t="s">
        <v>680</v>
      </c>
      <c r="D65" s="38" t="s">
        <v>685</v>
      </c>
      <c r="E65" s="38" t="s">
        <v>613</v>
      </c>
      <c r="F65" s="38" t="s">
        <v>620</v>
      </c>
      <c r="G65" s="38" t="s">
        <v>683</v>
      </c>
    </row>
    <row r="66" spans="1:7" ht="24" customHeight="1" x14ac:dyDescent="0.3">
      <c r="A66" s="38" t="s">
        <v>678</v>
      </c>
      <c r="B66" s="39" t="s">
        <v>686</v>
      </c>
      <c r="C66" s="38" t="s">
        <v>680</v>
      </c>
      <c r="D66" s="38" t="s">
        <v>687</v>
      </c>
      <c r="E66" s="38" t="s">
        <v>514</v>
      </c>
      <c r="F66" s="38" t="s">
        <v>688</v>
      </c>
      <c r="G66" s="38" t="s">
        <v>683</v>
      </c>
    </row>
    <row r="67" spans="1:7" ht="24" customHeight="1" x14ac:dyDescent="0.3">
      <c r="A67" s="42" t="s">
        <v>678</v>
      </c>
      <c r="B67" s="43" t="s">
        <v>689</v>
      </c>
      <c r="C67" s="42" t="s">
        <v>680</v>
      </c>
      <c r="D67" s="42" t="s">
        <v>690</v>
      </c>
      <c r="E67" s="42" t="s">
        <v>514</v>
      </c>
      <c r="F67" s="42" t="s">
        <v>691</v>
      </c>
      <c r="G67" s="42" t="s">
        <v>692</v>
      </c>
    </row>
    <row r="68" spans="1:7" ht="24" customHeight="1" x14ac:dyDescent="0.3">
      <c r="A68" s="38" t="s">
        <v>693</v>
      </c>
      <c r="B68" s="39" t="s">
        <v>694</v>
      </c>
      <c r="C68" s="38" t="s">
        <v>695</v>
      </c>
      <c r="D68" s="38" t="s">
        <v>696</v>
      </c>
      <c r="E68" s="38" t="s">
        <v>613</v>
      </c>
      <c r="F68" s="38" t="s">
        <v>620</v>
      </c>
      <c r="G68" s="38" t="s">
        <v>697</v>
      </c>
    </row>
    <row r="69" spans="1:7" ht="36" customHeight="1" x14ac:dyDescent="0.3">
      <c r="A69" s="38" t="s">
        <v>693</v>
      </c>
      <c r="B69" s="39" t="s">
        <v>698</v>
      </c>
      <c r="C69" s="38" t="s">
        <v>695</v>
      </c>
      <c r="D69" s="38" t="s">
        <v>699</v>
      </c>
      <c r="E69" s="38" t="s">
        <v>613</v>
      </c>
      <c r="F69" s="38" t="s">
        <v>620</v>
      </c>
      <c r="G69" s="38" t="s">
        <v>697</v>
      </c>
    </row>
    <row r="70" spans="1:7" ht="24" customHeight="1" x14ac:dyDescent="0.3">
      <c r="A70" s="38" t="s">
        <v>693</v>
      </c>
      <c r="B70" s="39" t="s">
        <v>700</v>
      </c>
      <c r="C70" s="38" t="s">
        <v>695</v>
      </c>
      <c r="D70" s="38" t="s">
        <v>701</v>
      </c>
      <c r="E70" s="38" t="s">
        <v>514</v>
      </c>
      <c r="F70" s="38" t="s">
        <v>702</v>
      </c>
      <c r="G70" s="38" t="s">
        <v>697</v>
      </c>
    </row>
    <row r="71" spans="1:7" ht="24" customHeight="1" x14ac:dyDescent="0.3">
      <c r="A71" s="38" t="s">
        <v>693</v>
      </c>
      <c r="B71" s="39" t="s">
        <v>703</v>
      </c>
      <c r="C71" s="38" t="s">
        <v>695</v>
      </c>
      <c r="D71" s="38" t="s">
        <v>704</v>
      </c>
      <c r="E71" s="38" t="s">
        <v>514</v>
      </c>
      <c r="F71" s="38" t="s">
        <v>705</v>
      </c>
      <c r="G71" s="38" t="s">
        <v>697</v>
      </c>
    </row>
    <row r="72" spans="1:7" ht="48" customHeight="1" x14ac:dyDescent="0.3">
      <c r="A72" s="38" t="s">
        <v>693</v>
      </c>
      <c r="B72" s="39" t="s">
        <v>706</v>
      </c>
      <c r="C72" s="38" t="s">
        <v>695</v>
      </c>
      <c r="D72" s="38" t="s">
        <v>707</v>
      </c>
      <c r="E72" s="38" t="s">
        <v>527</v>
      </c>
      <c r="F72" s="38" t="s">
        <v>708</v>
      </c>
      <c r="G72" s="38" t="s">
        <v>697</v>
      </c>
    </row>
    <row r="73" spans="1:7" ht="24" customHeight="1" x14ac:dyDescent="0.3">
      <c r="A73" s="38" t="s">
        <v>693</v>
      </c>
      <c r="B73" s="39" t="s">
        <v>709</v>
      </c>
      <c r="C73" s="38" t="s">
        <v>695</v>
      </c>
      <c r="D73" s="38" t="s">
        <v>710</v>
      </c>
      <c r="E73" s="38" t="s">
        <v>514</v>
      </c>
      <c r="F73" s="38" t="s">
        <v>711</v>
      </c>
      <c r="G73" s="38" t="s">
        <v>697</v>
      </c>
    </row>
    <row r="74" spans="1:7" ht="24" customHeight="1" x14ac:dyDescent="0.3">
      <c r="A74" s="38" t="s">
        <v>693</v>
      </c>
      <c r="B74" s="39" t="s">
        <v>712</v>
      </c>
      <c r="C74" s="38" t="s">
        <v>695</v>
      </c>
      <c r="D74" s="38" t="s">
        <v>713</v>
      </c>
      <c r="E74" s="38" t="s">
        <v>514</v>
      </c>
      <c r="F74" s="38" t="s">
        <v>714</v>
      </c>
      <c r="G74" s="38" t="s">
        <v>697</v>
      </c>
    </row>
    <row r="75" spans="1:7" ht="24" customHeight="1" x14ac:dyDescent="0.3">
      <c r="A75" s="38" t="s">
        <v>693</v>
      </c>
      <c r="B75" s="39" t="s">
        <v>715</v>
      </c>
      <c r="C75" s="38" t="s">
        <v>695</v>
      </c>
      <c r="D75" s="38" t="s">
        <v>716</v>
      </c>
      <c r="E75" s="38" t="s">
        <v>514</v>
      </c>
      <c r="F75" s="38" t="s">
        <v>717</v>
      </c>
      <c r="G75" s="38" t="s">
        <v>697</v>
      </c>
    </row>
    <row r="76" spans="1:7" ht="36" customHeight="1" x14ac:dyDescent="0.3">
      <c r="A76" s="38" t="s">
        <v>693</v>
      </c>
      <c r="B76" s="39" t="s">
        <v>718</v>
      </c>
      <c r="C76" s="38" t="s">
        <v>695</v>
      </c>
      <c r="D76" s="38" t="s">
        <v>719</v>
      </c>
      <c r="E76" s="38" t="s">
        <v>514</v>
      </c>
      <c r="F76" s="38" t="s">
        <v>720</v>
      </c>
      <c r="G76" s="38" t="s">
        <v>697</v>
      </c>
    </row>
    <row r="77" spans="1:7" ht="24" customHeight="1" x14ac:dyDescent="0.3">
      <c r="A77" s="40" t="s">
        <v>721</v>
      </c>
      <c r="B77" s="41" t="s">
        <v>722</v>
      </c>
      <c r="C77" s="40" t="s">
        <v>723</v>
      </c>
      <c r="D77" s="40" t="s">
        <v>724</v>
      </c>
      <c r="E77" s="40" t="s">
        <v>514</v>
      </c>
      <c r="F77" s="40" t="s">
        <v>725</v>
      </c>
      <c r="G77" s="40" t="s">
        <v>726</v>
      </c>
    </row>
    <row r="78" spans="1:7" ht="36" customHeight="1" x14ac:dyDescent="0.3">
      <c r="A78" s="38" t="s">
        <v>721</v>
      </c>
      <c r="B78" s="39" t="s">
        <v>727</v>
      </c>
      <c r="C78" s="38" t="s">
        <v>723</v>
      </c>
      <c r="D78" s="38" t="s">
        <v>728</v>
      </c>
      <c r="E78" s="38" t="s">
        <v>514</v>
      </c>
      <c r="F78" s="38" t="s">
        <v>729</v>
      </c>
      <c r="G78" s="38" t="s">
        <v>726</v>
      </c>
    </row>
    <row r="79" spans="1:7" ht="36" customHeight="1" x14ac:dyDescent="0.3">
      <c r="A79" s="38" t="s">
        <v>721</v>
      </c>
      <c r="B79" s="39" t="s">
        <v>730</v>
      </c>
      <c r="C79" s="38" t="s">
        <v>723</v>
      </c>
      <c r="D79" s="38" t="s">
        <v>731</v>
      </c>
      <c r="E79" s="38" t="s">
        <v>514</v>
      </c>
      <c r="F79" s="38" t="s">
        <v>732</v>
      </c>
      <c r="G79" s="38" t="s">
        <v>726</v>
      </c>
    </row>
    <row r="80" spans="1:7" ht="24" customHeight="1" x14ac:dyDescent="0.3">
      <c r="A80" s="38" t="s">
        <v>721</v>
      </c>
      <c r="B80" s="39" t="s">
        <v>733</v>
      </c>
      <c r="C80" s="38" t="s">
        <v>723</v>
      </c>
      <c r="D80" s="38" t="s">
        <v>734</v>
      </c>
      <c r="E80" s="38" t="s">
        <v>514</v>
      </c>
      <c r="F80" s="38" t="s">
        <v>735</v>
      </c>
      <c r="G80" s="38" t="s">
        <v>726</v>
      </c>
    </row>
    <row r="81" spans="1:7" ht="24" customHeight="1" x14ac:dyDescent="0.3">
      <c r="A81" s="38" t="s">
        <v>721</v>
      </c>
      <c r="B81" s="39" t="s">
        <v>736</v>
      </c>
      <c r="C81" s="38" t="s">
        <v>723</v>
      </c>
      <c r="D81" s="38" t="s">
        <v>737</v>
      </c>
      <c r="E81" s="38" t="s">
        <v>514</v>
      </c>
      <c r="F81" s="38" t="s">
        <v>738</v>
      </c>
      <c r="G81" s="38" t="s">
        <v>726</v>
      </c>
    </row>
    <row r="82" spans="1:7" ht="24" customHeight="1" x14ac:dyDescent="0.3">
      <c r="A82" s="38" t="s">
        <v>721</v>
      </c>
      <c r="B82" s="39" t="s">
        <v>739</v>
      </c>
      <c r="C82" s="38" t="s">
        <v>723</v>
      </c>
      <c r="D82" s="38" t="s">
        <v>740</v>
      </c>
      <c r="E82" s="38" t="s">
        <v>514</v>
      </c>
      <c r="F82" s="38" t="s">
        <v>741</v>
      </c>
      <c r="G82" s="38" t="s">
        <v>726</v>
      </c>
    </row>
    <row r="83" spans="1:7" ht="48" customHeight="1" x14ac:dyDescent="0.3">
      <c r="A83" s="38" t="s">
        <v>721</v>
      </c>
      <c r="B83" s="39" t="s">
        <v>742</v>
      </c>
      <c r="C83" s="38" t="s">
        <v>723</v>
      </c>
      <c r="D83" s="38" t="s">
        <v>743</v>
      </c>
      <c r="E83" s="38" t="s">
        <v>514</v>
      </c>
      <c r="F83" s="38" t="s">
        <v>744</v>
      </c>
      <c r="G83" s="38" t="s">
        <v>726</v>
      </c>
    </row>
    <row r="84" spans="1:7" ht="36" customHeight="1" x14ac:dyDescent="0.3">
      <c r="A84" s="38" t="s">
        <v>721</v>
      </c>
      <c r="B84" s="39" t="s">
        <v>745</v>
      </c>
      <c r="C84" s="38" t="s">
        <v>723</v>
      </c>
      <c r="D84" s="38" t="s">
        <v>746</v>
      </c>
      <c r="E84" s="38" t="s">
        <v>514</v>
      </c>
      <c r="F84" s="38" t="s">
        <v>747</v>
      </c>
      <c r="G84" s="38" t="s">
        <v>726</v>
      </c>
    </row>
    <row r="85" spans="1:7" ht="24" customHeight="1" x14ac:dyDescent="0.3">
      <c r="A85" s="42" t="s">
        <v>721</v>
      </c>
      <c r="B85" s="43" t="s">
        <v>748</v>
      </c>
      <c r="C85" s="42" t="s">
        <v>723</v>
      </c>
      <c r="D85" s="42" t="s">
        <v>749</v>
      </c>
      <c r="E85" s="42" t="s">
        <v>514</v>
      </c>
      <c r="F85" s="42" t="s">
        <v>750</v>
      </c>
      <c r="G85" s="42" t="s">
        <v>726</v>
      </c>
    </row>
    <row r="86" spans="1:7" ht="24" customHeight="1" x14ac:dyDescent="0.3">
      <c r="A86" s="38" t="s">
        <v>751</v>
      </c>
      <c r="B86" s="39" t="s">
        <v>752</v>
      </c>
      <c r="C86" s="38" t="s">
        <v>753</v>
      </c>
      <c r="D86" s="38" t="s">
        <v>754</v>
      </c>
      <c r="E86" s="38" t="s">
        <v>514</v>
      </c>
      <c r="F86" s="38" t="s">
        <v>755</v>
      </c>
      <c r="G86" s="38" t="s">
        <v>756</v>
      </c>
    </row>
    <row r="87" spans="1:7" ht="24" customHeight="1" x14ac:dyDescent="0.3">
      <c r="A87" s="38" t="s">
        <v>751</v>
      </c>
      <c r="B87" s="39" t="s">
        <v>757</v>
      </c>
      <c r="C87" s="38" t="s">
        <v>753</v>
      </c>
      <c r="D87" s="38" t="s">
        <v>758</v>
      </c>
      <c r="E87" s="38" t="s">
        <v>514</v>
      </c>
      <c r="F87" s="38" t="s">
        <v>594</v>
      </c>
      <c r="G87" s="38" t="s">
        <v>756</v>
      </c>
    </row>
    <row r="88" spans="1:7" ht="24" customHeight="1" x14ac:dyDescent="0.3">
      <c r="A88" s="38" t="s">
        <v>751</v>
      </c>
      <c r="B88" s="39" t="s">
        <v>759</v>
      </c>
      <c r="C88" s="38" t="s">
        <v>753</v>
      </c>
      <c r="D88" s="38" t="s">
        <v>760</v>
      </c>
      <c r="E88" s="38" t="s">
        <v>514</v>
      </c>
      <c r="F88" s="38" t="s">
        <v>761</v>
      </c>
      <c r="G88" s="38" t="s">
        <v>756</v>
      </c>
    </row>
    <row r="89" spans="1:7" ht="36" customHeight="1" x14ac:dyDescent="0.3">
      <c r="A89" s="38" t="s">
        <v>751</v>
      </c>
      <c r="B89" s="39" t="s">
        <v>762</v>
      </c>
      <c r="C89" s="38" t="s">
        <v>753</v>
      </c>
      <c r="D89" s="38" t="s">
        <v>763</v>
      </c>
      <c r="E89" s="38" t="s">
        <v>514</v>
      </c>
      <c r="F89" s="38" t="s">
        <v>764</v>
      </c>
      <c r="G89" s="38" t="s">
        <v>756</v>
      </c>
    </row>
    <row r="90" spans="1:7" ht="60" customHeight="1" x14ac:dyDescent="0.3">
      <c r="A90" s="38" t="s">
        <v>751</v>
      </c>
      <c r="B90" s="39" t="s">
        <v>765</v>
      </c>
      <c r="C90" s="38" t="s">
        <v>753</v>
      </c>
      <c r="D90" s="38" t="s">
        <v>766</v>
      </c>
      <c r="E90" s="38" t="s">
        <v>514</v>
      </c>
      <c r="F90" s="38" t="s">
        <v>767</v>
      </c>
      <c r="G90" s="38" t="s">
        <v>756</v>
      </c>
    </row>
    <row r="91" spans="1:7" ht="24" customHeight="1" x14ac:dyDescent="0.3">
      <c r="A91" s="42" t="s">
        <v>751</v>
      </c>
      <c r="B91" s="43" t="s">
        <v>768</v>
      </c>
      <c r="C91" s="42" t="s">
        <v>753</v>
      </c>
      <c r="D91" s="42" t="s">
        <v>769</v>
      </c>
      <c r="E91" s="42" t="s">
        <v>514</v>
      </c>
      <c r="F91" s="42" t="s">
        <v>770</v>
      </c>
      <c r="G91" s="42" t="s">
        <v>771</v>
      </c>
    </row>
    <row r="92" spans="1:7" ht="24" customHeight="1" x14ac:dyDescent="0.3">
      <c r="A92" s="42" t="s">
        <v>751</v>
      </c>
      <c r="B92" s="43" t="s">
        <v>772</v>
      </c>
      <c r="C92" s="42" t="s">
        <v>753</v>
      </c>
      <c r="D92" s="42" t="s">
        <v>773</v>
      </c>
      <c r="E92" s="42" t="s">
        <v>514</v>
      </c>
      <c r="F92" s="42" t="s">
        <v>774</v>
      </c>
      <c r="G92" s="42" t="s">
        <v>775</v>
      </c>
    </row>
    <row r="93" spans="1:7" ht="24" customHeight="1" x14ac:dyDescent="0.3">
      <c r="A93" s="38" t="s">
        <v>776</v>
      </c>
      <c r="B93" s="39" t="s">
        <v>777</v>
      </c>
      <c r="C93" s="38" t="s">
        <v>778</v>
      </c>
      <c r="D93" s="38" t="s">
        <v>779</v>
      </c>
      <c r="E93" s="38" t="s">
        <v>613</v>
      </c>
      <c r="F93" s="38" t="s">
        <v>620</v>
      </c>
      <c r="G93" s="38" t="s">
        <v>780</v>
      </c>
    </row>
    <row r="94" spans="1:7" ht="24" customHeight="1" x14ac:dyDescent="0.3">
      <c r="A94" s="38" t="s">
        <v>776</v>
      </c>
      <c r="B94" s="39" t="s">
        <v>781</v>
      </c>
      <c r="C94" s="38" t="s">
        <v>778</v>
      </c>
      <c r="D94" s="38" t="s">
        <v>782</v>
      </c>
      <c r="E94" s="38" t="s">
        <v>523</v>
      </c>
      <c r="F94" s="38" t="s">
        <v>490</v>
      </c>
      <c r="G94" s="38" t="s">
        <v>780</v>
      </c>
    </row>
    <row r="95" spans="1:7" ht="24" customHeight="1" x14ac:dyDescent="0.3">
      <c r="A95" s="38" t="s">
        <v>776</v>
      </c>
      <c r="B95" s="39" t="s">
        <v>783</v>
      </c>
      <c r="C95" s="38" t="s">
        <v>778</v>
      </c>
      <c r="D95" s="38" t="s">
        <v>784</v>
      </c>
      <c r="E95" s="38" t="s">
        <v>514</v>
      </c>
      <c r="F95" s="38" t="s">
        <v>785</v>
      </c>
      <c r="G95" s="38" t="s">
        <v>780</v>
      </c>
    </row>
    <row r="96" spans="1:7" ht="24" customHeight="1" x14ac:dyDescent="0.3">
      <c r="A96" s="38" t="s">
        <v>776</v>
      </c>
      <c r="B96" s="39" t="s">
        <v>786</v>
      </c>
      <c r="C96" s="38" t="s">
        <v>778</v>
      </c>
      <c r="D96" s="38" t="s">
        <v>787</v>
      </c>
      <c r="E96" s="38" t="s">
        <v>514</v>
      </c>
      <c r="F96" s="38" t="s">
        <v>788</v>
      </c>
      <c r="G96" s="38" t="s">
        <v>780</v>
      </c>
    </row>
    <row r="97" spans="1:7" ht="24" customHeight="1" x14ac:dyDescent="0.3">
      <c r="A97" s="38" t="s">
        <v>789</v>
      </c>
      <c r="B97" s="39" t="s">
        <v>790</v>
      </c>
      <c r="C97" s="38" t="s">
        <v>791</v>
      </c>
      <c r="D97" s="38" t="s">
        <v>792</v>
      </c>
      <c r="E97" s="38" t="s">
        <v>514</v>
      </c>
      <c r="F97" s="38" t="s">
        <v>793</v>
      </c>
      <c r="G97" s="38" t="s">
        <v>794</v>
      </c>
    </row>
    <row r="98" spans="1:7" ht="36" customHeight="1" x14ac:dyDescent="0.3">
      <c r="A98" s="40" t="s">
        <v>789</v>
      </c>
      <c r="B98" s="41" t="s">
        <v>795</v>
      </c>
      <c r="C98" s="40" t="s">
        <v>791</v>
      </c>
      <c r="D98" s="40" t="s">
        <v>796</v>
      </c>
      <c r="E98" s="40" t="s">
        <v>514</v>
      </c>
      <c r="F98" s="40" t="s">
        <v>797</v>
      </c>
      <c r="G98" s="40" t="s">
        <v>794</v>
      </c>
    </row>
    <row r="99" spans="1:7" ht="24" customHeight="1" x14ac:dyDescent="0.3">
      <c r="A99" s="38" t="s">
        <v>789</v>
      </c>
      <c r="B99" s="39" t="s">
        <v>798</v>
      </c>
      <c r="C99" s="38" t="s">
        <v>791</v>
      </c>
      <c r="D99" s="38" t="s">
        <v>799</v>
      </c>
      <c r="E99" s="38" t="s">
        <v>514</v>
      </c>
      <c r="F99" s="38" t="s">
        <v>800</v>
      </c>
      <c r="G99" s="38" t="s">
        <v>794</v>
      </c>
    </row>
    <row r="100" spans="1:7" ht="36" customHeight="1" x14ac:dyDescent="0.3">
      <c r="A100" s="38" t="s">
        <v>801</v>
      </c>
      <c r="B100" s="39" t="s">
        <v>802</v>
      </c>
      <c r="C100" s="38" t="s">
        <v>803</v>
      </c>
      <c r="D100" s="38" t="s">
        <v>804</v>
      </c>
      <c r="E100" s="38" t="s">
        <v>514</v>
      </c>
      <c r="F100" s="38" t="s">
        <v>805</v>
      </c>
      <c r="G100" s="38" t="s">
        <v>1593</v>
      </c>
    </row>
    <row r="101" spans="1:7" ht="36" customHeight="1" x14ac:dyDescent="0.3">
      <c r="A101" s="38" t="s">
        <v>801</v>
      </c>
      <c r="B101" s="39" t="s">
        <v>806</v>
      </c>
      <c r="C101" s="38" t="s">
        <v>803</v>
      </c>
      <c r="D101" s="38" t="s">
        <v>807</v>
      </c>
      <c r="E101" s="38" t="s">
        <v>514</v>
      </c>
      <c r="F101" s="38" t="s">
        <v>594</v>
      </c>
      <c r="G101" s="38" t="s">
        <v>1593</v>
      </c>
    </row>
    <row r="102" spans="1:7" ht="36" customHeight="1" x14ac:dyDescent="0.3">
      <c r="A102" s="42" t="s">
        <v>801</v>
      </c>
      <c r="B102" s="43" t="s">
        <v>808</v>
      </c>
      <c r="C102" s="42" t="s">
        <v>803</v>
      </c>
      <c r="D102" s="42" t="s">
        <v>809</v>
      </c>
      <c r="E102" s="42" t="s">
        <v>514</v>
      </c>
      <c r="F102" s="42" t="s">
        <v>810</v>
      </c>
      <c r="G102" s="42" t="s">
        <v>1593</v>
      </c>
    </row>
    <row r="103" spans="1:7" ht="48" customHeight="1" x14ac:dyDescent="0.3">
      <c r="A103" s="38" t="s">
        <v>811</v>
      </c>
      <c r="B103" s="39" t="s">
        <v>812</v>
      </c>
      <c r="C103" s="38" t="s">
        <v>813</v>
      </c>
      <c r="D103" s="38" t="s">
        <v>814</v>
      </c>
      <c r="E103" s="38" t="s">
        <v>527</v>
      </c>
      <c r="F103" s="38" t="s">
        <v>815</v>
      </c>
      <c r="G103" s="38" t="s">
        <v>816</v>
      </c>
    </row>
    <row r="104" spans="1:7" ht="24" customHeight="1" x14ac:dyDescent="0.3">
      <c r="A104" s="38" t="s">
        <v>811</v>
      </c>
      <c r="B104" s="39" t="s">
        <v>817</v>
      </c>
      <c r="C104" s="38" t="s">
        <v>813</v>
      </c>
      <c r="D104" s="38" t="s">
        <v>818</v>
      </c>
      <c r="E104" s="38" t="s">
        <v>507</v>
      </c>
      <c r="F104" s="38" t="s">
        <v>490</v>
      </c>
      <c r="G104" s="38" t="s">
        <v>816</v>
      </c>
    </row>
    <row r="105" spans="1:7" ht="24" customHeight="1" x14ac:dyDescent="0.3">
      <c r="A105" s="42" t="s">
        <v>811</v>
      </c>
      <c r="B105" s="43" t="s">
        <v>819</v>
      </c>
      <c r="C105" s="42" t="s">
        <v>813</v>
      </c>
      <c r="D105" s="42" t="s">
        <v>820</v>
      </c>
      <c r="E105" s="42" t="s">
        <v>514</v>
      </c>
      <c r="F105" s="42" t="s">
        <v>821</v>
      </c>
      <c r="G105" s="42" t="s">
        <v>816</v>
      </c>
    </row>
    <row r="106" spans="1:7" ht="36" customHeight="1" x14ac:dyDescent="0.3">
      <c r="A106" s="42" t="s">
        <v>822</v>
      </c>
      <c r="B106" s="43" t="s">
        <v>823</v>
      </c>
      <c r="C106" s="42" t="s">
        <v>824</v>
      </c>
      <c r="D106" s="42" t="s">
        <v>825</v>
      </c>
      <c r="E106" s="42" t="s">
        <v>514</v>
      </c>
      <c r="F106" s="42" t="s">
        <v>826</v>
      </c>
      <c r="G106" s="42" t="s">
        <v>827</v>
      </c>
    </row>
    <row r="107" spans="1:7" ht="36" customHeight="1" x14ac:dyDescent="0.3">
      <c r="A107" s="42" t="s">
        <v>822</v>
      </c>
      <c r="B107" s="43" t="s">
        <v>828</v>
      </c>
      <c r="C107" s="42" t="s">
        <v>829</v>
      </c>
      <c r="D107" s="42" t="s">
        <v>830</v>
      </c>
      <c r="E107" s="42" t="s">
        <v>514</v>
      </c>
      <c r="F107" s="42" t="s">
        <v>831</v>
      </c>
      <c r="G107" s="42" t="s">
        <v>832</v>
      </c>
    </row>
    <row r="108" spans="1:7" ht="36" customHeight="1" x14ac:dyDescent="0.3">
      <c r="A108" s="42" t="s">
        <v>822</v>
      </c>
      <c r="B108" s="43" t="s">
        <v>833</v>
      </c>
      <c r="C108" s="42" t="s">
        <v>834</v>
      </c>
      <c r="D108" s="42" t="s">
        <v>835</v>
      </c>
      <c r="E108" s="42" t="s">
        <v>514</v>
      </c>
      <c r="F108" s="42" t="s">
        <v>836</v>
      </c>
      <c r="G108" s="42" t="s">
        <v>837</v>
      </c>
    </row>
    <row r="109" spans="1:7" ht="36" customHeight="1" x14ac:dyDescent="0.3">
      <c r="A109" s="42" t="s">
        <v>822</v>
      </c>
      <c r="B109" s="43" t="s">
        <v>838</v>
      </c>
      <c r="C109" s="42" t="s">
        <v>839</v>
      </c>
      <c r="D109" s="42" t="s">
        <v>840</v>
      </c>
      <c r="E109" s="42" t="s">
        <v>514</v>
      </c>
      <c r="F109" s="42" t="s">
        <v>841</v>
      </c>
      <c r="G109" s="42" t="s">
        <v>842</v>
      </c>
    </row>
    <row r="110" spans="1:7" ht="36" customHeight="1" x14ac:dyDescent="0.3">
      <c r="A110" s="42" t="s">
        <v>843</v>
      </c>
      <c r="B110" s="43" t="s">
        <v>844</v>
      </c>
      <c r="C110" s="42" t="s">
        <v>845</v>
      </c>
      <c r="D110" s="42" t="s">
        <v>846</v>
      </c>
      <c r="E110" s="42" t="s">
        <v>514</v>
      </c>
      <c r="F110" s="42" t="s">
        <v>847</v>
      </c>
      <c r="G110" s="42" t="s">
        <v>848</v>
      </c>
    </row>
    <row r="111" spans="1:7" ht="36" customHeight="1" x14ac:dyDescent="0.3">
      <c r="A111" s="42" t="s">
        <v>843</v>
      </c>
      <c r="B111" s="43" t="s">
        <v>849</v>
      </c>
      <c r="C111" s="42" t="s">
        <v>845</v>
      </c>
      <c r="D111" s="42" t="s">
        <v>850</v>
      </c>
      <c r="E111" s="42" t="s">
        <v>514</v>
      </c>
      <c r="F111" s="42" t="s">
        <v>576</v>
      </c>
      <c r="G111" s="42" t="s">
        <v>851</v>
      </c>
    </row>
    <row r="112" spans="1:7" ht="36" customHeight="1" x14ac:dyDescent="0.3">
      <c r="A112" s="42" t="s">
        <v>852</v>
      </c>
      <c r="B112" s="43" t="s">
        <v>853</v>
      </c>
      <c r="C112" s="42" t="s">
        <v>854</v>
      </c>
      <c r="D112" s="42" t="s">
        <v>855</v>
      </c>
      <c r="E112" s="42" t="s">
        <v>523</v>
      </c>
      <c r="F112" s="42" t="s">
        <v>490</v>
      </c>
      <c r="G112" s="42" t="s">
        <v>856</v>
      </c>
    </row>
    <row r="113" spans="1:7" ht="36" customHeight="1" x14ac:dyDescent="0.3">
      <c r="A113" s="42" t="s">
        <v>852</v>
      </c>
      <c r="B113" s="43" t="s">
        <v>857</v>
      </c>
      <c r="C113" s="42" t="s">
        <v>854</v>
      </c>
      <c r="D113" s="42" t="s">
        <v>858</v>
      </c>
      <c r="E113" s="42" t="s">
        <v>523</v>
      </c>
      <c r="F113" s="42" t="s">
        <v>490</v>
      </c>
      <c r="G113" s="42" t="s">
        <v>859</v>
      </c>
    </row>
    <row r="114" spans="1:7" ht="36" customHeight="1" x14ac:dyDescent="0.3">
      <c r="A114" s="42" t="s">
        <v>852</v>
      </c>
      <c r="B114" s="43" t="s">
        <v>860</v>
      </c>
      <c r="C114" s="42" t="s">
        <v>854</v>
      </c>
      <c r="D114" s="42" t="s">
        <v>861</v>
      </c>
      <c r="E114" s="42" t="s">
        <v>570</v>
      </c>
      <c r="F114" s="42" t="s">
        <v>490</v>
      </c>
      <c r="G114" s="42" t="s">
        <v>862</v>
      </c>
    </row>
    <row r="115" spans="1:7" ht="36" customHeight="1" x14ac:dyDescent="0.3">
      <c r="A115" s="42" t="s">
        <v>852</v>
      </c>
      <c r="B115" s="43" t="s">
        <v>863</v>
      </c>
      <c r="C115" s="42" t="s">
        <v>854</v>
      </c>
      <c r="D115" s="42" t="s">
        <v>864</v>
      </c>
      <c r="E115" s="42" t="s">
        <v>523</v>
      </c>
      <c r="F115" s="42" t="s">
        <v>490</v>
      </c>
      <c r="G115" s="42" t="s">
        <v>865</v>
      </c>
    </row>
    <row r="116" spans="1:7" ht="36" customHeight="1" x14ac:dyDescent="0.3">
      <c r="A116" s="42" t="s">
        <v>852</v>
      </c>
      <c r="B116" s="43" t="s">
        <v>866</v>
      </c>
      <c r="C116" s="42" t="s">
        <v>854</v>
      </c>
      <c r="D116" s="42" t="s">
        <v>867</v>
      </c>
      <c r="E116" s="42" t="s">
        <v>523</v>
      </c>
      <c r="F116" s="42" t="s">
        <v>490</v>
      </c>
      <c r="G116" s="42" t="s">
        <v>868</v>
      </c>
    </row>
    <row r="117" spans="1:7" ht="36" customHeight="1" x14ac:dyDescent="0.3">
      <c r="A117" s="42" t="s">
        <v>852</v>
      </c>
      <c r="B117" s="43" t="s">
        <v>869</v>
      </c>
      <c r="C117" s="42" t="s">
        <v>854</v>
      </c>
      <c r="D117" s="42" t="s">
        <v>870</v>
      </c>
      <c r="E117" s="42" t="s">
        <v>523</v>
      </c>
      <c r="F117" s="42" t="s">
        <v>490</v>
      </c>
      <c r="G117" s="42" t="s">
        <v>871</v>
      </c>
    </row>
    <row r="118" spans="1:7" ht="36" customHeight="1" x14ac:dyDescent="0.3">
      <c r="A118" s="42" t="s">
        <v>852</v>
      </c>
      <c r="B118" s="43" t="s">
        <v>872</v>
      </c>
      <c r="C118" s="42" t="s">
        <v>854</v>
      </c>
      <c r="D118" s="42" t="s">
        <v>873</v>
      </c>
      <c r="E118" s="42" t="s">
        <v>493</v>
      </c>
      <c r="F118" s="42" t="s">
        <v>490</v>
      </c>
      <c r="G118" s="42" t="s">
        <v>874</v>
      </c>
    </row>
    <row r="119" spans="1:7" ht="36" customHeight="1" x14ac:dyDescent="0.3">
      <c r="A119" s="42" t="s">
        <v>852</v>
      </c>
      <c r="B119" s="43" t="s">
        <v>875</v>
      </c>
      <c r="C119" s="42" t="s">
        <v>854</v>
      </c>
      <c r="D119" s="42" t="s">
        <v>876</v>
      </c>
      <c r="E119" s="42" t="s">
        <v>523</v>
      </c>
      <c r="F119" s="42" t="s">
        <v>490</v>
      </c>
      <c r="G119" s="42" t="s">
        <v>877</v>
      </c>
    </row>
    <row r="120" spans="1:7" ht="36" customHeight="1" x14ac:dyDescent="0.3">
      <c r="A120" s="42" t="s">
        <v>852</v>
      </c>
      <c r="B120" s="43" t="s">
        <v>878</v>
      </c>
      <c r="C120" s="42" t="s">
        <v>854</v>
      </c>
      <c r="D120" s="42" t="s">
        <v>879</v>
      </c>
      <c r="E120" s="42" t="s">
        <v>523</v>
      </c>
      <c r="F120" s="42" t="s">
        <v>490</v>
      </c>
      <c r="G120" s="42" t="s">
        <v>880</v>
      </c>
    </row>
    <row r="121" spans="1:7" ht="36" customHeight="1" x14ac:dyDescent="0.3">
      <c r="A121" s="42" t="s">
        <v>852</v>
      </c>
      <c r="B121" s="43" t="s">
        <v>881</v>
      </c>
      <c r="C121" s="42" t="s">
        <v>854</v>
      </c>
      <c r="D121" s="42" t="s">
        <v>882</v>
      </c>
      <c r="E121" s="42" t="s">
        <v>523</v>
      </c>
      <c r="F121" s="42" t="s">
        <v>490</v>
      </c>
      <c r="G121" s="42" t="s">
        <v>883</v>
      </c>
    </row>
    <row r="123" spans="1:7" ht="42" customHeight="1" x14ac:dyDescent="0.3">
      <c r="A123" s="68" t="s">
        <v>1049</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1542</v>
      </c>
      <c r="B1" s="70"/>
      <c r="C1" s="70"/>
      <c r="D1" s="70"/>
      <c r="E1" s="70"/>
      <c r="F1" s="70"/>
      <c r="G1" s="70"/>
    </row>
    <row r="2" spans="1:7" x14ac:dyDescent="0.3">
      <c r="A2" s="57" t="s">
        <v>480</v>
      </c>
      <c r="B2" s="57" t="s">
        <v>1068</v>
      </c>
      <c r="C2" s="57" t="s">
        <v>483</v>
      </c>
      <c r="D2" s="58" t="s">
        <v>1069</v>
      </c>
      <c r="E2" s="57" t="s">
        <v>1070</v>
      </c>
      <c r="F2" s="57" t="s">
        <v>1071</v>
      </c>
      <c r="G2" s="58" t="s">
        <v>1072</v>
      </c>
    </row>
    <row r="3" spans="1:7" ht="28.8" x14ac:dyDescent="0.3">
      <c r="A3" t="s">
        <v>487</v>
      </c>
      <c r="B3" t="s">
        <v>488</v>
      </c>
      <c r="C3" t="s">
        <v>490</v>
      </c>
      <c r="D3" s="56" t="s">
        <v>490</v>
      </c>
      <c r="E3" s="59"/>
      <c r="G3" s="56" t="s">
        <v>1073</v>
      </c>
    </row>
    <row r="4" spans="1:7" ht="28.8" x14ac:dyDescent="0.3">
      <c r="A4" t="s">
        <v>492</v>
      </c>
      <c r="B4" t="s">
        <v>488</v>
      </c>
      <c r="C4" t="s">
        <v>490</v>
      </c>
      <c r="D4" s="56" t="s">
        <v>490</v>
      </c>
      <c r="E4" s="59"/>
      <c r="G4" s="56" t="s">
        <v>1073</v>
      </c>
    </row>
    <row r="5" spans="1:7" ht="28.8" x14ac:dyDescent="0.3">
      <c r="A5" t="s">
        <v>495</v>
      </c>
      <c r="B5" t="s">
        <v>488</v>
      </c>
      <c r="C5" t="s">
        <v>497</v>
      </c>
      <c r="D5" s="56" t="s">
        <v>490</v>
      </c>
      <c r="E5" s="59"/>
      <c r="G5" s="56" t="s">
        <v>1073</v>
      </c>
    </row>
    <row r="6" spans="1:7" ht="28.8" x14ac:dyDescent="0.3">
      <c r="A6" t="s">
        <v>500</v>
      </c>
      <c r="B6" t="s">
        <v>488</v>
      </c>
      <c r="C6" t="s">
        <v>493</v>
      </c>
      <c r="D6" s="56" t="s">
        <v>490</v>
      </c>
      <c r="E6" s="59"/>
      <c r="G6" s="56" t="s">
        <v>1073</v>
      </c>
    </row>
    <row r="7" spans="1:7" ht="28.8" x14ac:dyDescent="0.3">
      <c r="A7" t="s">
        <v>503</v>
      </c>
      <c r="B7" t="s">
        <v>488</v>
      </c>
      <c r="C7" t="s">
        <v>504</v>
      </c>
      <c r="D7" s="56" t="s">
        <v>490</v>
      </c>
      <c r="E7" s="59"/>
      <c r="G7" s="56" t="s">
        <v>1073</v>
      </c>
    </row>
    <row r="8" spans="1:7" ht="28.8" x14ac:dyDescent="0.3">
      <c r="A8" t="s">
        <v>505</v>
      </c>
      <c r="B8" t="s">
        <v>488</v>
      </c>
      <c r="C8" t="s">
        <v>507</v>
      </c>
      <c r="D8" s="56" t="s">
        <v>490</v>
      </c>
      <c r="E8" s="59"/>
      <c r="G8" s="56" t="s">
        <v>1073</v>
      </c>
    </row>
    <row r="9" spans="1:7" ht="28.8" x14ac:dyDescent="0.3">
      <c r="A9" t="s">
        <v>509</v>
      </c>
      <c r="B9" t="s">
        <v>488</v>
      </c>
      <c r="C9" t="s">
        <v>507</v>
      </c>
      <c r="D9" s="56" t="s">
        <v>490</v>
      </c>
      <c r="E9" s="59"/>
      <c r="G9" s="56" t="s">
        <v>1073</v>
      </c>
    </row>
    <row r="10" spans="1:7" ht="28.8" x14ac:dyDescent="0.3">
      <c r="A10" t="s">
        <v>512</v>
      </c>
      <c r="B10" t="s">
        <v>488</v>
      </c>
      <c r="C10" t="s">
        <v>514</v>
      </c>
      <c r="D10" s="56" t="s">
        <v>515</v>
      </c>
      <c r="E10" s="59"/>
      <c r="G10" s="56" t="s">
        <v>1073</v>
      </c>
    </row>
    <row r="11" spans="1:7" ht="28.8" x14ac:dyDescent="0.3">
      <c r="A11" t="s">
        <v>517</v>
      </c>
      <c r="B11" t="s">
        <v>488</v>
      </c>
      <c r="C11" t="s">
        <v>519</v>
      </c>
      <c r="D11" s="56" t="s">
        <v>490</v>
      </c>
      <c r="E11" s="59"/>
      <c r="G11" s="56" t="s">
        <v>1073</v>
      </c>
    </row>
    <row r="12" spans="1:7" ht="28.8" x14ac:dyDescent="0.3">
      <c r="A12" t="s">
        <v>521</v>
      </c>
      <c r="B12" t="s">
        <v>488</v>
      </c>
      <c r="C12" t="s">
        <v>523</v>
      </c>
      <c r="D12" s="56" t="s">
        <v>490</v>
      </c>
      <c r="E12" s="59"/>
      <c r="G12" s="56" t="s">
        <v>1073</v>
      </c>
    </row>
    <row r="13" spans="1:7" ht="43.2" x14ac:dyDescent="0.3">
      <c r="A13" t="s">
        <v>525</v>
      </c>
      <c r="B13" t="s">
        <v>488</v>
      </c>
      <c r="C13" t="s">
        <v>527</v>
      </c>
      <c r="D13" s="56" t="s">
        <v>1074</v>
      </c>
      <c r="E13" s="59"/>
      <c r="G13" s="56" t="s">
        <v>1543</v>
      </c>
    </row>
    <row r="14" spans="1:7" ht="28.8" x14ac:dyDescent="0.3">
      <c r="A14" t="s">
        <v>530</v>
      </c>
      <c r="B14" t="s">
        <v>488</v>
      </c>
      <c r="C14" t="s">
        <v>527</v>
      </c>
      <c r="D14" s="56" t="s">
        <v>532</v>
      </c>
      <c r="E14" s="59"/>
      <c r="G14" s="56" t="s">
        <v>1073</v>
      </c>
    </row>
    <row r="15" spans="1:7" ht="28.8" x14ac:dyDescent="0.3">
      <c r="A15" t="s">
        <v>533</v>
      </c>
      <c r="B15" t="s">
        <v>488</v>
      </c>
      <c r="C15" t="s">
        <v>514</v>
      </c>
      <c r="D15" s="56" t="s">
        <v>535</v>
      </c>
      <c r="E15" s="59"/>
      <c r="G15" s="56" t="s">
        <v>1073</v>
      </c>
    </row>
    <row r="16" spans="1:7" ht="28.8" x14ac:dyDescent="0.3">
      <c r="A16" t="s">
        <v>537</v>
      </c>
      <c r="B16" t="s">
        <v>488</v>
      </c>
      <c r="C16" t="s">
        <v>514</v>
      </c>
      <c r="D16" s="56" t="s">
        <v>539</v>
      </c>
      <c r="E16" s="59"/>
      <c r="G16" s="56" t="s">
        <v>1073</v>
      </c>
    </row>
    <row r="17" spans="1:7" ht="28.8" x14ac:dyDescent="0.3">
      <c r="A17" t="s">
        <v>540</v>
      </c>
      <c r="B17" t="s">
        <v>488</v>
      </c>
      <c r="C17" t="s">
        <v>523</v>
      </c>
      <c r="D17" s="56" t="s">
        <v>490</v>
      </c>
      <c r="E17" s="59"/>
      <c r="G17" s="56" t="s">
        <v>1073</v>
      </c>
    </row>
    <row r="18" spans="1:7" ht="28.8" x14ac:dyDescent="0.3">
      <c r="A18" t="s">
        <v>543</v>
      </c>
      <c r="B18" t="s">
        <v>488</v>
      </c>
      <c r="C18" t="s">
        <v>514</v>
      </c>
      <c r="D18" s="56" t="s">
        <v>545</v>
      </c>
      <c r="E18" s="59"/>
      <c r="G18" s="56" t="s">
        <v>1073</v>
      </c>
    </row>
    <row r="19" spans="1:7" ht="43.2" x14ac:dyDescent="0.3">
      <c r="A19" t="s">
        <v>547</v>
      </c>
      <c r="B19" t="s">
        <v>488</v>
      </c>
      <c r="C19" t="s">
        <v>514</v>
      </c>
      <c r="D19" s="56" t="s">
        <v>549</v>
      </c>
      <c r="E19" s="59"/>
      <c r="G19" s="56" t="s">
        <v>1073</v>
      </c>
    </row>
    <row r="20" spans="1:7" ht="28.8" x14ac:dyDescent="0.3">
      <c r="A20" t="s">
        <v>550</v>
      </c>
      <c r="B20" t="s">
        <v>488</v>
      </c>
      <c r="C20" t="s">
        <v>514</v>
      </c>
      <c r="D20" s="56" t="s">
        <v>552</v>
      </c>
      <c r="E20" s="59"/>
      <c r="G20" s="56" t="s">
        <v>1073</v>
      </c>
    </row>
    <row r="21" spans="1:7" ht="28.8" x14ac:dyDescent="0.3">
      <c r="A21" t="s">
        <v>554</v>
      </c>
      <c r="B21" t="s">
        <v>488</v>
      </c>
      <c r="C21" t="s">
        <v>493</v>
      </c>
      <c r="D21" s="56" t="s">
        <v>490</v>
      </c>
      <c r="E21" s="59"/>
      <c r="G21" s="56" t="s">
        <v>1073</v>
      </c>
    </row>
    <row r="22" spans="1:7" ht="28.8" x14ac:dyDescent="0.3">
      <c r="A22" t="s">
        <v>557</v>
      </c>
      <c r="B22" t="s">
        <v>488</v>
      </c>
      <c r="C22" t="s">
        <v>514</v>
      </c>
      <c r="D22" s="56" t="s">
        <v>559</v>
      </c>
      <c r="E22" s="59"/>
      <c r="G22" s="56" t="s">
        <v>1073</v>
      </c>
    </row>
    <row r="23" spans="1:7" ht="28.8" x14ac:dyDescent="0.3">
      <c r="A23" t="s">
        <v>5</v>
      </c>
      <c r="B23" t="s">
        <v>1600</v>
      </c>
      <c r="C23" t="s">
        <v>507</v>
      </c>
      <c r="D23" s="56" t="s">
        <v>490</v>
      </c>
      <c r="E23" s="59"/>
      <c r="G23" s="56" t="s">
        <v>1073</v>
      </c>
    </row>
    <row r="24" spans="1:7" ht="28.8" x14ac:dyDescent="0.3">
      <c r="A24" t="s">
        <v>563</v>
      </c>
      <c r="B24" t="s">
        <v>1600</v>
      </c>
      <c r="C24" t="s">
        <v>507</v>
      </c>
      <c r="D24" s="56" t="s">
        <v>490</v>
      </c>
      <c r="E24" s="59"/>
      <c r="G24" s="56" t="s">
        <v>1073</v>
      </c>
    </row>
    <row r="25" spans="1:7" ht="28.8" x14ac:dyDescent="0.3">
      <c r="A25" t="s">
        <v>6</v>
      </c>
      <c r="B25" t="s">
        <v>1600</v>
      </c>
      <c r="C25" t="s">
        <v>507</v>
      </c>
      <c r="D25" s="56" t="s">
        <v>490</v>
      </c>
      <c r="E25" s="59"/>
      <c r="G25" s="56" t="s">
        <v>1073</v>
      </c>
    </row>
    <row r="26" spans="1:7" ht="28.8" x14ac:dyDescent="0.3">
      <c r="A26" t="s">
        <v>7</v>
      </c>
      <c r="B26" t="s">
        <v>1600</v>
      </c>
      <c r="C26" t="s">
        <v>507</v>
      </c>
      <c r="D26" s="56" t="s">
        <v>490</v>
      </c>
      <c r="E26" s="59"/>
      <c r="G26" s="56" t="s">
        <v>1073</v>
      </c>
    </row>
    <row r="27" spans="1:7" ht="28.8" x14ac:dyDescent="0.3">
      <c r="A27" t="s">
        <v>8</v>
      </c>
      <c r="B27" t="s">
        <v>1600</v>
      </c>
      <c r="C27" t="s">
        <v>570</v>
      </c>
      <c r="D27" s="56" t="s">
        <v>490</v>
      </c>
      <c r="E27" s="59"/>
      <c r="G27" s="56" t="s">
        <v>1073</v>
      </c>
    </row>
    <row r="28" spans="1:7" ht="28.8" x14ac:dyDescent="0.3">
      <c r="A28" t="s">
        <v>9</v>
      </c>
      <c r="B28" t="s">
        <v>1600</v>
      </c>
      <c r="C28" t="s">
        <v>570</v>
      </c>
      <c r="D28" s="56" t="s">
        <v>490</v>
      </c>
      <c r="E28" s="59"/>
      <c r="G28" s="56" t="s">
        <v>1073</v>
      </c>
    </row>
    <row r="29" spans="1:7" ht="28.8" x14ac:dyDescent="0.3">
      <c r="A29" t="s">
        <v>10</v>
      </c>
      <c r="B29" t="s">
        <v>1600</v>
      </c>
      <c r="C29" t="s">
        <v>493</v>
      </c>
      <c r="D29" s="56" t="s">
        <v>490</v>
      </c>
      <c r="E29" s="59"/>
      <c r="G29" s="56" t="s">
        <v>1073</v>
      </c>
    </row>
    <row r="30" spans="1:7" ht="28.8" x14ac:dyDescent="0.3">
      <c r="A30" t="s">
        <v>11</v>
      </c>
      <c r="B30" t="s">
        <v>1600</v>
      </c>
      <c r="C30" t="s">
        <v>493</v>
      </c>
      <c r="D30" s="56" t="s">
        <v>490</v>
      </c>
      <c r="E30" s="59"/>
      <c r="G30" s="56" t="s">
        <v>1073</v>
      </c>
    </row>
    <row r="31" spans="1:7" ht="28.8" x14ac:dyDescent="0.3">
      <c r="A31" t="s">
        <v>12</v>
      </c>
      <c r="B31" t="s">
        <v>1600</v>
      </c>
      <c r="C31" t="s">
        <v>514</v>
      </c>
      <c r="D31" s="56" t="s">
        <v>1075</v>
      </c>
      <c r="E31" s="59">
        <v>0</v>
      </c>
      <c r="F31" t="s">
        <v>1076</v>
      </c>
      <c r="G31" s="56" t="s">
        <v>1544</v>
      </c>
    </row>
    <row r="32" spans="1:7" ht="28.8" x14ac:dyDescent="0.3">
      <c r="A32" t="s">
        <v>12</v>
      </c>
      <c r="B32" t="s">
        <v>1600</v>
      </c>
      <c r="C32" t="s">
        <v>514</v>
      </c>
      <c r="D32" s="56" t="s">
        <v>1077</v>
      </c>
      <c r="E32" s="59">
        <v>100</v>
      </c>
      <c r="F32" t="s">
        <v>1078</v>
      </c>
      <c r="G32" s="56" t="s">
        <v>1544</v>
      </c>
    </row>
    <row r="33" spans="1:7" ht="43.2" x14ac:dyDescent="0.3">
      <c r="A33" t="s">
        <v>12</v>
      </c>
      <c r="B33" t="s">
        <v>1600</v>
      </c>
      <c r="C33" t="s">
        <v>514</v>
      </c>
      <c r="D33" s="56" t="s">
        <v>1079</v>
      </c>
      <c r="E33" s="59" t="s">
        <v>1080</v>
      </c>
      <c r="F33" t="s">
        <v>1081</v>
      </c>
      <c r="G33" s="56" t="s">
        <v>1545</v>
      </c>
    </row>
    <row r="34" spans="1:7" ht="28.8" x14ac:dyDescent="0.3">
      <c r="A34" t="s">
        <v>13</v>
      </c>
      <c r="B34" t="s">
        <v>1600</v>
      </c>
      <c r="C34" t="s">
        <v>519</v>
      </c>
      <c r="D34" s="56" t="s">
        <v>490</v>
      </c>
      <c r="E34" s="59"/>
      <c r="G34" s="56" t="s">
        <v>1073</v>
      </c>
    </row>
    <row r="35" spans="1:7" ht="28.8" x14ac:dyDescent="0.3">
      <c r="A35" t="s">
        <v>14</v>
      </c>
      <c r="B35" t="s">
        <v>1600</v>
      </c>
      <c r="C35" t="s">
        <v>514</v>
      </c>
      <c r="D35" s="56" t="s">
        <v>1075</v>
      </c>
      <c r="E35" s="59">
        <v>0</v>
      </c>
      <c r="F35" t="s">
        <v>1083</v>
      </c>
      <c r="G35" s="56" t="s">
        <v>1544</v>
      </c>
    </row>
    <row r="36" spans="1:7" ht="28.8" x14ac:dyDescent="0.3">
      <c r="A36" t="s">
        <v>14</v>
      </c>
      <c r="B36" t="s">
        <v>1600</v>
      </c>
      <c r="C36" t="s">
        <v>514</v>
      </c>
      <c r="D36" s="56" t="s">
        <v>1077</v>
      </c>
      <c r="E36" s="59">
        <v>100</v>
      </c>
      <c r="F36" t="s">
        <v>1084</v>
      </c>
      <c r="G36" s="56" t="s">
        <v>1544</v>
      </c>
    </row>
    <row r="37" spans="1:7" ht="43.2" x14ac:dyDescent="0.3">
      <c r="A37" t="s">
        <v>14</v>
      </c>
      <c r="B37" t="s">
        <v>1600</v>
      </c>
      <c r="C37" t="s">
        <v>514</v>
      </c>
      <c r="D37" s="56" t="s">
        <v>1079</v>
      </c>
      <c r="E37" s="59" t="s">
        <v>1080</v>
      </c>
      <c r="F37" t="s">
        <v>1085</v>
      </c>
      <c r="G37" s="56" t="s">
        <v>1545</v>
      </c>
    </row>
    <row r="38" spans="1:7" ht="28.8" x14ac:dyDescent="0.3">
      <c r="A38" t="s">
        <v>15</v>
      </c>
      <c r="B38" t="s">
        <v>1600</v>
      </c>
      <c r="C38" t="s">
        <v>523</v>
      </c>
      <c r="D38" s="56" t="s">
        <v>490</v>
      </c>
      <c r="E38" s="59"/>
      <c r="G38" s="56" t="s">
        <v>1073</v>
      </c>
    </row>
    <row r="39" spans="1:7" ht="28.8" x14ac:dyDescent="0.3">
      <c r="A39" t="s">
        <v>16</v>
      </c>
      <c r="B39" t="s">
        <v>1600</v>
      </c>
      <c r="C39" t="s">
        <v>570</v>
      </c>
      <c r="D39" s="56" t="s">
        <v>490</v>
      </c>
      <c r="E39" s="59"/>
      <c r="G39" s="56" t="s">
        <v>1073</v>
      </c>
    </row>
    <row r="40" spans="1:7" ht="28.8" x14ac:dyDescent="0.3">
      <c r="A40" t="s">
        <v>17</v>
      </c>
      <c r="B40" t="s">
        <v>1600</v>
      </c>
      <c r="C40" t="s">
        <v>514</v>
      </c>
      <c r="D40" s="56" t="s">
        <v>1077</v>
      </c>
      <c r="E40" s="59">
        <v>0</v>
      </c>
      <c r="F40" t="s">
        <v>1086</v>
      </c>
      <c r="G40" s="56" t="s">
        <v>1544</v>
      </c>
    </row>
    <row r="41" spans="1:7" ht="28.8" x14ac:dyDescent="0.3">
      <c r="A41" t="s">
        <v>17</v>
      </c>
      <c r="B41" t="s">
        <v>1600</v>
      </c>
      <c r="C41" t="s">
        <v>514</v>
      </c>
      <c r="D41" s="56" t="s">
        <v>1087</v>
      </c>
      <c r="E41" s="59">
        <v>33</v>
      </c>
      <c r="F41" t="s">
        <v>1088</v>
      </c>
      <c r="G41" s="56" t="s">
        <v>1544</v>
      </c>
    </row>
    <row r="42" spans="1:7" ht="28.8" x14ac:dyDescent="0.3">
      <c r="A42" t="s">
        <v>17</v>
      </c>
      <c r="B42" t="s">
        <v>1600</v>
      </c>
      <c r="C42" t="s">
        <v>514</v>
      </c>
      <c r="D42" s="56" t="s">
        <v>1089</v>
      </c>
      <c r="E42" s="59">
        <v>67</v>
      </c>
      <c r="F42" t="s">
        <v>1090</v>
      </c>
      <c r="G42" s="56" t="s">
        <v>1544</v>
      </c>
    </row>
    <row r="43" spans="1:7" ht="28.8" x14ac:dyDescent="0.3">
      <c r="A43" t="s">
        <v>17</v>
      </c>
      <c r="B43" t="s">
        <v>1600</v>
      </c>
      <c r="C43" t="s">
        <v>514</v>
      </c>
      <c r="D43" s="56" t="s">
        <v>1091</v>
      </c>
      <c r="E43" s="59">
        <v>100</v>
      </c>
      <c r="F43" t="s">
        <v>1092</v>
      </c>
      <c r="G43" s="56" t="s">
        <v>1544</v>
      </c>
    </row>
    <row r="44" spans="1:7" ht="28.8" x14ac:dyDescent="0.3">
      <c r="A44" t="s">
        <v>18</v>
      </c>
      <c r="B44" t="s">
        <v>1600</v>
      </c>
      <c r="C44" t="s">
        <v>514</v>
      </c>
      <c r="D44" s="56" t="s">
        <v>1093</v>
      </c>
      <c r="E44" s="59">
        <v>0</v>
      </c>
      <c r="F44" t="s">
        <v>1094</v>
      </c>
      <c r="G44" s="56" t="s">
        <v>1544</v>
      </c>
    </row>
    <row r="45" spans="1:7" ht="28.8" x14ac:dyDescent="0.3">
      <c r="A45" t="s">
        <v>18</v>
      </c>
      <c r="B45" t="s">
        <v>1600</v>
      </c>
      <c r="C45" t="s">
        <v>514</v>
      </c>
      <c r="D45" s="56" t="s">
        <v>1095</v>
      </c>
      <c r="E45" s="59">
        <v>25</v>
      </c>
      <c r="F45" t="s">
        <v>1096</v>
      </c>
      <c r="G45" s="56" t="s">
        <v>1544</v>
      </c>
    </row>
    <row r="46" spans="1:7" ht="28.8" x14ac:dyDescent="0.3">
      <c r="A46" t="s">
        <v>18</v>
      </c>
      <c r="B46" t="s">
        <v>1600</v>
      </c>
      <c r="C46" t="s">
        <v>514</v>
      </c>
      <c r="D46" s="56" t="s">
        <v>1097</v>
      </c>
      <c r="E46" s="59">
        <v>100</v>
      </c>
      <c r="F46" t="s">
        <v>1098</v>
      </c>
      <c r="G46" s="56" t="s">
        <v>1544</v>
      </c>
    </row>
    <row r="47" spans="1:7" ht="43.2" x14ac:dyDescent="0.3">
      <c r="A47" t="s">
        <v>18</v>
      </c>
      <c r="B47" t="s">
        <v>1600</v>
      </c>
      <c r="C47" t="s">
        <v>514</v>
      </c>
      <c r="D47" s="56" t="s">
        <v>1099</v>
      </c>
      <c r="E47" s="59" t="s">
        <v>1080</v>
      </c>
      <c r="F47" t="s">
        <v>1100</v>
      </c>
      <c r="G47" s="56" t="s">
        <v>1545</v>
      </c>
    </row>
    <row r="48" spans="1:7" ht="43.2" x14ac:dyDescent="0.3">
      <c r="A48" t="s">
        <v>591</v>
      </c>
      <c r="B48" t="s">
        <v>592</v>
      </c>
      <c r="C48" t="s">
        <v>514</v>
      </c>
      <c r="D48" s="56" t="s">
        <v>1075</v>
      </c>
      <c r="E48" s="59">
        <v>100</v>
      </c>
      <c r="F48" t="s">
        <v>1101</v>
      </c>
      <c r="G48" s="56" t="s">
        <v>1546</v>
      </c>
    </row>
    <row r="49" spans="1:7" ht="43.2" x14ac:dyDescent="0.3">
      <c r="A49" t="s">
        <v>591</v>
      </c>
      <c r="B49" t="s">
        <v>592</v>
      </c>
      <c r="C49" t="s">
        <v>514</v>
      </c>
      <c r="D49" s="56" t="s">
        <v>1077</v>
      </c>
      <c r="E49" s="59">
        <v>50</v>
      </c>
      <c r="F49" t="s">
        <v>1102</v>
      </c>
      <c r="G49" s="56" t="s">
        <v>1546</v>
      </c>
    </row>
    <row r="50" spans="1:7" ht="28.8" x14ac:dyDescent="0.3">
      <c r="A50" t="s">
        <v>596</v>
      </c>
      <c r="B50" t="s">
        <v>592</v>
      </c>
      <c r="C50" t="s">
        <v>514</v>
      </c>
      <c r="D50" s="56" t="s">
        <v>598</v>
      </c>
      <c r="E50" s="59"/>
      <c r="G50" s="56" t="s">
        <v>1073</v>
      </c>
    </row>
    <row r="51" spans="1:7" x14ac:dyDescent="0.3">
      <c r="A51" t="s">
        <v>600</v>
      </c>
      <c r="B51" t="s">
        <v>592</v>
      </c>
      <c r="C51" t="s">
        <v>514</v>
      </c>
      <c r="D51" s="56" t="s">
        <v>1103</v>
      </c>
      <c r="E51" s="59">
        <v>100</v>
      </c>
      <c r="F51" t="s">
        <v>1104</v>
      </c>
    </row>
    <row r="52" spans="1:7" x14ac:dyDescent="0.3">
      <c r="A52" t="s">
        <v>600</v>
      </c>
      <c r="B52" t="s">
        <v>592</v>
      </c>
      <c r="C52" t="s">
        <v>514</v>
      </c>
      <c r="D52" s="56" t="s">
        <v>1105</v>
      </c>
      <c r="E52" s="59">
        <v>50</v>
      </c>
      <c r="F52" t="s">
        <v>1106</v>
      </c>
    </row>
    <row r="53" spans="1:7" x14ac:dyDescent="0.3">
      <c r="A53" t="s">
        <v>600</v>
      </c>
      <c r="B53" t="s">
        <v>592</v>
      </c>
      <c r="C53" t="s">
        <v>514</v>
      </c>
      <c r="D53" s="56" t="s">
        <v>1079</v>
      </c>
      <c r="E53" s="59" t="s">
        <v>1080</v>
      </c>
      <c r="F53" t="s">
        <v>1107</v>
      </c>
      <c r="G53" s="56" t="s">
        <v>1082</v>
      </c>
    </row>
    <row r="54" spans="1:7" ht="43.2" x14ac:dyDescent="0.3">
      <c r="A54" t="s">
        <v>604</v>
      </c>
      <c r="B54" t="s">
        <v>592</v>
      </c>
      <c r="C54" t="s">
        <v>514</v>
      </c>
      <c r="D54" s="56" t="s">
        <v>1075</v>
      </c>
      <c r="E54" s="59">
        <v>100</v>
      </c>
      <c r="F54" t="s">
        <v>1108</v>
      </c>
      <c r="G54" s="56" t="s">
        <v>1547</v>
      </c>
    </row>
    <row r="55" spans="1:7" ht="43.2" x14ac:dyDescent="0.3">
      <c r="A55" t="s">
        <v>604</v>
      </c>
      <c r="B55" t="s">
        <v>592</v>
      </c>
      <c r="C55" t="s">
        <v>514</v>
      </c>
      <c r="D55" s="56" t="s">
        <v>1077</v>
      </c>
      <c r="E55" s="59">
        <v>50</v>
      </c>
      <c r="F55" t="s">
        <v>1109</v>
      </c>
      <c r="G55" s="56" t="s">
        <v>1547</v>
      </c>
    </row>
    <row r="56" spans="1:7" ht="57.6" x14ac:dyDescent="0.3">
      <c r="A56" t="s">
        <v>604</v>
      </c>
      <c r="B56" t="s">
        <v>592</v>
      </c>
      <c r="C56" t="s">
        <v>514</v>
      </c>
      <c r="D56" s="56" t="s">
        <v>1079</v>
      </c>
      <c r="E56" s="59" t="s">
        <v>1080</v>
      </c>
      <c r="F56" t="s">
        <v>1110</v>
      </c>
      <c r="G56" s="56" t="s">
        <v>1548</v>
      </c>
    </row>
    <row r="57" spans="1:7" x14ac:dyDescent="0.3">
      <c r="A57" t="s">
        <v>606</v>
      </c>
      <c r="B57" t="s">
        <v>592</v>
      </c>
      <c r="C57" t="s">
        <v>514</v>
      </c>
      <c r="D57" s="56" t="s">
        <v>1111</v>
      </c>
      <c r="E57" s="59">
        <v>100</v>
      </c>
      <c r="F57" t="s">
        <v>1112</v>
      </c>
    </row>
    <row r="58" spans="1:7" x14ac:dyDescent="0.3">
      <c r="A58" t="s">
        <v>606</v>
      </c>
      <c r="B58" t="s">
        <v>592</v>
      </c>
      <c r="C58" t="s">
        <v>514</v>
      </c>
      <c r="D58" s="56" t="s">
        <v>1113</v>
      </c>
      <c r="E58" s="59">
        <v>100</v>
      </c>
      <c r="F58" t="s">
        <v>1114</v>
      </c>
    </row>
    <row r="59" spans="1:7" x14ac:dyDescent="0.3">
      <c r="A59" t="s">
        <v>606</v>
      </c>
      <c r="B59" t="s">
        <v>592</v>
      </c>
      <c r="C59" t="s">
        <v>514</v>
      </c>
      <c r="D59" s="56" t="s">
        <v>1115</v>
      </c>
      <c r="E59" s="59">
        <v>100</v>
      </c>
      <c r="F59" t="s">
        <v>1116</v>
      </c>
    </row>
    <row r="60" spans="1:7" x14ac:dyDescent="0.3">
      <c r="A60" t="s">
        <v>606</v>
      </c>
      <c r="B60" t="s">
        <v>592</v>
      </c>
      <c r="C60" t="s">
        <v>514</v>
      </c>
      <c r="D60" s="56" t="s">
        <v>1117</v>
      </c>
      <c r="E60" s="59">
        <v>100</v>
      </c>
      <c r="F60" t="s">
        <v>1118</v>
      </c>
    </row>
    <row r="61" spans="1:7" x14ac:dyDescent="0.3">
      <c r="A61" t="s">
        <v>606</v>
      </c>
      <c r="B61" t="s">
        <v>592</v>
      </c>
      <c r="C61" t="s">
        <v>514</v>
      </c>
      <c r="D61" s="56" t="s">
        <v>1079</v>
      </c>
      <c r="E61" s="59" t="s">
        <v>1080</v>
      </c>
      <c r="F61" t="s">
        <v>1119</v>
      </c>
      <c r="G61" s="56" t="s">
        <v>1082</v>
      </c>
    </row>
    <row r="62" spans="1:7" x14ac:dyDescent="0.3">
      <c r="A62" t="s">
        <v>610</v>
      </c>
      <c r="B62" t="s">
        <v>611</v>
      </c>
      <c r="C62" t="s">
        <v>613</v>
      </c>
      <c r="D62" s="56" t="s">
        <v>1120</v>
      </c>
      <c r="E62" s="59"/>
      <c r="G62" s="56" t="s">
        <v>1121</v>
      </c>
    </row>
    <row r="63" spans="1:7" x14ac:dyDescent="0.3">
      <c r="A63" t="s">
        <v>616</v>
      </c>
      <c r="B63" t="s">
        <v>611</v>
      </c>
      <c r="C63" t="s">
        <v>523</v>
      </c>
      <c r="D63" s="56" t="s">
        <v>1122</v>
      </c>
      <c r="E63" s="59"/>
      <c r="G63" s="56" t="s">
        <v>1123</v>
      </c>
    </row>
    <row r="64" spans="1:7" x14ac:dyDescent="0.3">
      <c r="A64" t="s">
        <v>618</v>
      </c>
      <c r="B64" t="s">
        <v>611</v>
      </c>
      <c r="C64" t="s">
        <v>613</v>
      </c>
      <c r="D64" s="56" t="s">
        <v>1120</v>
      </c>
      <c r="E64" s="59"/>
      <c r="G64" s="56" t="s">
        <v>1121</v>
      </c>
    </row>
    <row r="65" spans="1:7" x14ac:dyDescent="0.3">
      <c r="A65" t="s">
        <v>621</v>
      </c>
      <c r="B65" t="s">
        <v>611</v>
      </c>
      <c r="C65" t="s">
        <v>514</v>
      </c>
      <c r="D65" s="56" t="s">
        <v>1124</v>
      </c>
      <c r="E65" s="59">
        <v>100</v>
      </c>
      <c r="F65" t="s">
        <v>1125</v>
      </c>
    </row>
    <row r="66" spans="1:7" x14ac:dyDescent="0.3">
      <c r="A66" t="s">
        <v>621</v>
      </c>
      <c r="B66" t="s">
        <v>611</v>
      </c>
      <c r="C66" t="s">
        <v>514</v>
      </c>
      <c r="D66" s="56" t="s">
        <v>1126</v>
      </c>
      <c r="E66" s="59">
        <v>75</v>
      </c>
      <c r="F66" t="s">
        <v>1127</v>
      </c>
    </row>
    <row r="67" spans="1:7" x14ac:dyDescent="0.3">
      <c r="A67" t="s">
        <v>621</v>
      </c>
      <c r="B67" t="s">
        <v>611</v>
      </c>
      <c r="C67" t="s">
        <v>514</v>
      </c>
      <c r="D67" s="56" t="s">
        <v>1128</v>
      </c>
      <c r="E67" s="59">
        <v>50</v>
      </c>
      <c r="F67" t="s">
        <v>1129</v>
      </c>
    </row>
    <row r="68" spans="1:7" x14ac:dyDescent="0.3">
      <c r="A68" t="s">
        <v>621</v>
      </c>
      <c r="B68" t="s">
        <v>611</v>
      </c>
      <c r="C68" t="s">
        <v>514</v>
      </c>
      <c r="D68" s="56" t="s">
        <v>1130</v>
      </c>
      <c r="E68" s="59">
        <v>25</v>
      </c>
      <c r="F68" t="s">
        <v>1131</v>
      </c>
    </row>
    <row r="69" spans="1:7" x14ac:dyDescent="0.3">
      <c r="A69" t="s">
        <v>621</v>
      </c>
      <c r="B69" t="s">
        <v>611</v>
      </c>
      <c r="C69" t="s">
        <v>514</v>
      </c>
      <c r="D69" s="56" t="s">
        <v>1132</v>
      </c>
      <c r="E69" s="59" t="s">
        <v>1080</v>
      </c>
      <c r="F69" t="s">
        <v>1133</v>
      </c>
      <c r="G69" s="56" t="s">
        <v>1082</v>
      </c>
    </row>
    <row r="70" spans="1:7" x14ac:dyDescent="0.3">
      <c r="A70" t="s">
        <v>624</v>
      </c>
      <c r="B70" t="s">
        <v>611</v>
      </c>
      <c r="C70" t="s">
        <v>514</v>
      </c>
      <c r="D70" s="56" t="s">
        <v>1134</v>
      </c>
      <c r="E70" s="59">
        <v>0</v>
      </c>
      <c r="F70" t="s">
        <v>1135</v>
      </c>
    </row>
    <row r="71" spans="1:7" x14ac:dyDescent="0.3">
      <c r="A71" t="s">
        <v>624</v>
      </c>
      <c r="B71" t="s">
        <v>611</v>
      </c>
      <c r="C71" t="s">
        <v>514</v>
      </c>
      <c r="D71" s="56" t="s">
        <v>1136</v>
      </c>
      <c r="E71" s="59">
        <v>33</v>
      </c>
      <c r="F71" t="s">
        <v>1137</v>
      </c>
    </row>
    <row r="72" spans="1:7" x14ac:dyDescent="0.3">
      <c r="A72" t="s">
        <v>624</v>
      </c>
      <c r="B72" t="s">
        <v>611</v>
      </c>
      <c r="C72" t="s">
        <v>514</v>
      </c>
      <c r="D72" s="56" t="s">
        <v>1138</v>
      </c>
      <c r="E72" s="59">
        <v>67</v>
      </c>
      <c r="F72" t="s">
        <v>1139</v>
      </c>
    </row>
    <row r="73" spans="1:7" x14ac:dyDescent="0.3">
      <c r="A73" t="s">
        <v>624</v>
      </c>
      <c r="B73" t="s">
        <v>611</v>
      </c>
      <c r="C73" t="s">
        <v>514</v>
      </c>
      <c r="D73" s="56" t="s">
        <v>1140</v>
      </c>
      <c r="E73" s="59">
        <v>100</v>
      </c>
      <c r="F73" t="s">
        <v>1141</v>
      </c>
    </row>
    <row r="74" spans="1:7" ht="28.8" x14ac:dyDescent="0.3">
      <c r="A74" t="s">
        <v>627</v>
      </c>
      <c r="B74" t="s">
        <v>611</v>
      </c>
      <c r="C74" t="s">
        <v>514</v>
      </c>
      <c r="D74" s="56" t="s">
        <v>1142</v>
      </c>
      <c r="E74" s="59">
        <v>0</v>
      </c>
      <c r="F74" t="s">
        <v>1143</v>
      </c>
      <c r="G74" s="56" t="s">
        <v>1549</v>
      </c>
    </row>
    <row r="75" spans="1:7" ht="28.8" x14ac:dyDescent="0.3">
      <c r="A75" t="s">
        <v>627</v>
      </c>
      <c r="B75" t="s">
        <v>611</v>
      </c>
      <c r="C75" t="s">
        <v>514</v>
      </c>
      <c r="D75" s="56" t="s">
        <v>1144</v>
      </c>
      <c r="E75" s="59">
        <v>50</v>
      </c>
      <c r="F75" t="s">
        <v>1145</v>
      </c>
      <c r="G75" s="56" t="s">
        <v>1549</v>
      </c>
    </row>
    <row r="76" spans="1:7" ht="28.8" x14ac:dyDescent="0.3">
      <c r="A76" t="s">
        <v>627</v>
      </c>
      <c r="B76" t="s">
        <v>611</v>
      </c>
      <c r="C76" t="s">
        <v>514</v>
      </c>
      <c r="D76" s="56" t="s">
        <v>1146</v>
      </c>
      <c r="E76" s="59">
        <v>100</v>
      </c>
      <c r="F76" t="s">
        <v>1147</v>
      </c>
      <c r="G76" s="56" t="s">
        <v>1549</v>
      </c>
    </row>
    <row r="77" spans="1:7" x14ac:dyDescent="0.3">
      <c r="A77" t="s">
        <v>631</v>
      </c>
      <c r="B77" t="s">
        <v>611</v>
      </c>
      <c r="C77" t="s">
        <v>514</v>
      </c>
      <c r="D77" s="56" t="s">
        <v>1148</v>
      </c>
      <c r="E77" s="59">
        <v>100</v>
      </c>
      <c r="F77" t="s">
        <v>1149</v>
      </c>
    </row>
    <row r="78" spans="1:7" x14ac:dyDescent="0.3">
      <c r="A78" t="s">
        <v>631</v>
      </c>
      <c r="B78" t="s">
        <v>611</v>
      </c>
      <c r="C78" t="s">
        <v>514</v>
      </c>
      <c r="D78" s="56" t="s">
        <v>1150</v>
      </c>
      <c r="E78" s="59">
        <v>75</v>
      </c>
      <c r="F78" t="s">
        <v>1151</v>
      </c>
    </row>
    <row r="79" spans="1:7" x14ac:dyDescent="0.3">
      <c r="A79" t="s">
        <v>631</v>
      </c>
      <c r="B79" t="s">
        <v>611</v>
      </c>
      <c r="C79" t="s">
        <v>514</v>
      </c>
      <c r="D79" s="56" t="s">
        <v>1152</v>
      </c>
      <c r="E79" s="59">
        <v>50</v>
      </c>
      <c r="F79" t="s">
        <v>1153</v>
      </c>
    </row>
    <row r="80" spans="1:7" x14ac:dyDescent="0.3">
      <c r="A80" t="s">
        <v>631</v>
      </c>
      <c r="B80" t="s">
        <v>611</v>
      </c>
      <c r="C80" t="s">
        <v>514</v>
      </c>
      <c r="D80" s="56" t="s">
        <v>1154</v>
      </c>
      <c r="E80" s="59">
        <v>25</v>
      </c>
      <c r="F80" t="s">
        <v>1155</v>
      </c>
    </row>
    <row r="81" spans="1:7" x14ac:dyDescent="0.3">
      <c r="A81" t="s">
        <v>631</v>
      </c>
      <c r="B81" t="s">
        <v>611</v>
      </c>
      <c r="C81" t="s">
        <v>514</v>
      </c>
      <c r="D81" s="56" t="s">
        <v>1156</v>
      </c>
      <c r="E81" s="59" t="s">
        <v>1080</v>
      </c>
      <c r="F81" t="s">
        <v>1157</v>
      </c>
      <c r="G81" s="56" t="s">
        <v>1082</v>
      </c>
    </row>
    <row r="82" spans="1:7" ht="28.8" x14ac:dyDescent="0.3">
      <c r="A82" t="s">
        <v>634</v>
      </c>
      <c r="B82" t="s">
        <v>611</v>
      </c>
      <c r="C82" t="s">
        <v>514</v>
      </c>
      <c r="D82" s="56" t="s">
        <v>1158</v>
      </c>
      <c r="E82" s="59">
        <v>100</v>
      </c>
      <c r="F82" t="s">
        <v>1159</v>
      </c>
      <c r="G82" s="56" t="s">
        <v>1550</v>
      </c>
    </row>
    <row r="83" spans="1:7" ht="28.8" x14ac:dyDescent="0.3">
      <c r="A83" t="s">
        <v>634</v>
      </c>
      <c r="B83" t="s">
        <v>611</v>
      </c>
      <c r="C83" t="s">
        <v>514</v>
      </c>
      <c r="D83" s="56" t="s">
        <v>1160</v>
      </c>
      <c r="E83" s="59">
        <v>67</v>
      </c>
      <c r="F83" t="s">
        <v>1161</v>
      </c>
      <c r="G83" s="56" t="s">
        <v>1550</v>
      </c>
    </row>
    <row r="84" spans="1:7" ht="28.8" x14ac:dyDescent="0.3">
      <c r="A84" t="s">
        <v>634</v>
      </c>
      <c r="B84" t="s">
        <v>611</v>
      </c>
      <c r="C84" t="s">
        <v>514</v>
      </c>
      <c r="D84" s="56" t="s">
        <v>1162</v>
      </c>
      <c r="E84" s="59">
        <v>33</v>
      </c>
      <c r="F84" t="s">
        <v>1163</v>
      </c>
      <c r="G84" s="56" t="s">
        <v>1550</v>
      </c>
    </row>
    <row r="85" spans="1:7" ht="28.8" x14ac:dyDescent="0.3">
      <c r="A85" t="s">
        <v>634</v>
      </c>
      <c r="B85" t="s">
        <v>611</v>
      </c>
      <c r="C85" t="s">
        <v>514</v>
      </c>
      <c r="D85" s="56" t="s">
        <v>1164</v>
      </c>
      <c r="E85" s="59">
        <v>0</v>
      </c>
      <c r="F85" t="s">
        <v>1165</v>
      </c>
      <c r="G85" s="56" t="s">
        <v>1550</v>
      </c>
    </row>
    <row r="86" spans="1:7" ht="43.2" x14ac:dyDescent="0.3">
      <c r="A86" t="s">
        <v>634</v>
      </c>
      <c r="B86" t="s">
        <v>611</v>
      </c>
      <c r="C86" t="s">
        <v>514</v>
      </c>
      <c r="D86" s="56" t="s">
        <v>1166</v>
      </c>
      <c r="E86" s="59" t="s">
        <v>1080</v>
      </c>
      <c r="F86" t="s">
        <v>1167</v>
      </c>
      <c r="G86" s="56" t="s">
        <v>1551</v>
      </c>
    </row>
    <row r="87" spans="1:7" x14ac:dyDescent="0.3">
      <c r="A87" t="s">
        <v>639</v>
      </c>
      <c r="B87" t="s">
        <v>640</v>
      </c>
      <c r="C87" t="s">
        <v>523</v>
      </c>
      <c r="D87" s="56" t="s">
        <v>1122</v>
      </c>
      <c r="E87" s="59"/>
      <c r="G87" s="56" t="s">
        <v>1123</v>
      </c>
    </row>
    <row r="88" spans="1:7" ht="43.2" x14ac:dyDescent="0.3">
      <c r="A88" t="s">
        <v>643</v>
      </c>
      <c r="B88" t="s">
        <v>640</v>
      </c>
      <c r="C88" t="s">
        <v>514</v>
      </c>
      <c r="D88" s="56" t="s">
        <v>1168</v>
      </c>
      <c r="E88" s="59">
        <v>0</v>
      </c>
      <c r="F88" t="s">
        <v>1169</v>
      </c>
      <c r="G88" s="56" t="s">
        <v>1552</v>
      </c>
    </row>
    <row r="89" spans="1:7" ht="43.2" x14ac:dyDescent="0.3">
      <c r="A89" t="s">
        <v>643</v>
      </c>
      <c r="B89" t="s">
        <v>640</v>
      </c>
      <c r="C89" t="s">
        <v>514</v>
      </c>
      <c r="D89" s="56" t="s">
        <v>1170</v>
      </c>
      <c r="E89" s="59">
        <v>50</v>
      </c>
      <c r="F89" t="s">
        <v>1171</v>
      </c>
      <c r="G89" s="56" t="s">
        <v>1552</v>
      </c>
    </row>
    <row r="90" spans="1:7" ht="43.2" x14ac:dyDescent="0.3">
      <c r="A90" t="s">
        <v>643</v>
      </c>
      <c r="B90" t="s">
        <v>640</v>
      </c>
      <c r="C90" t="s">
        <v>514</v>
      </c>
      <c r="D90" s="56" t="s">
        <v>1172</v>
      </c>
      <c r="E90" s="59">
        <v>0</v>
      </c>
      <c r="F90" t="s">
        <v>1173</v>
      </c>
      <c r="G90" s="56" t="s">
        <v>1552</v>
      </c>
    </row>
    <row r="91" spans="1:7" ht="43.2" x14ac:dyDescent="0.3">
      <c r="A91" t="s">
        <v>643</v>
      </c>
      <c r="B91" t="s">
        <v>640</v>
      </c>
      <c r="C91" t="s">
        <v>514</v>
      </c>
      <c r="D91" s="56" t="s">
        <v>1174</v>
      </c>
      <c r="E91" s="59" t="s">
        <v>1080</v>
      </c>
      <c r="F91" t="s">
        <v>1175</v>
      </c>
      <c r="G91" s="56" t="s">
        <v>1553</v>
      </c>
    </row>
    <row r="92" spans="1:7" ht="43.2" x14ac:dyDescent="0.3">
      <c r="A92" t="s">
        <v>643</v>
      </c>
      <c r="B92" t="s">
        <v>640</v>
      </c>
      <c r="C92" t="s">
        <v>514</v>
      </c>
      <c r="D92" s="56" t="s">
        <v>1176</v>
      </c>
      <c r="E92" s="59">
        <v>100</v>
      </c>
      <c r="F92" t="s">
        <v>1177</v>
      </c>
      <c r="G92" s="56" t="s">
        <v>1552</v>
      </c>
    </row>
    <row r="93" spans="1:7" x14ac:dyDescent="0.3">
      <c r="A93" t="s">
        <v>646</v>
      </c>
      <c r="B93" t="s">
        <v>640</v>
      </c>
      <c r="C93" t="s">
        <v>613</v>
      </c>
      <c r="D93" s="56" t="s">
        <v>1120</v>
      </c>
      <c r="E93" s="59"/>
      <c r="G93" s="56" t="s">
        <v>1121</v>
      </c>
    </row>
    <row r="94" spans="1:7" x14ac:dyDescent="0.3">
      <c r="A94" t="s">
        <v>648</v>
      </c>
      <c r="B94" t="s">
        <v>640</v>
      </c>
      <c r="C94" t="s">
        <v>514</v>
      </c>
      <c r="D94" s="56" t="s">
        <v>1075</v>
      </c>
      <c r="E94" s="59">
        <v>0</v>
      </c>
      <c r="F94" t="s">
        <v>1178</v>
      </c>
    </row>
    <row r="95" spans="1:7" x14ac:dyDescent="0.3">
      <c r="A95" t="s">
        <v>648</v>
      </c>
      <c r="B95" t="s">
        <v>640</v>
      </c>
      <c r="C95" t="s">
        <v>514</v>
      </c>
      <c r="D95" s="56" t="s">
        <v>1077</v>
      </c>
      <c r="E95" s="59">
        <v>100</v>
      </c>
      <c r="F95" t="s">
        <v>1179</v>
      </c>
    </row>
    <row r="96" spans="1:7" x14ac:dyDescent="0.3">
      <c r="A96" t="s">
        <v>648</v>
      </c>
      <c r="B96" t="s">
        <v>640</v>
      </c>
      <c r="C96" t="s">
        <v>514</v>
      </c>
      <c r="D96" s="56" t="s">
        <v>1174</v>
      </c>
      <c r="E96" s="59" t="s">
        <v>1080</v>
      </c>
      <c r="F96" t="s">
        <v>1180</v>
      </c>
      <c r="G96" s="56" t="s">
        <v>1082</v>
      </c>
    </row>
    <row r="97" spans="1:7" x14ac:dyDescent="0.3">
      <c r="A97" t="s">
        <v>651</v>
      </c>
      <c r="B97" t="s">
        <v>640</v>
      </c>
      <c r="C97" t="s">
        <v>514</v>
      </c>
      <c r="D97" s="56" t="s">
        <v>1181</v>
      </c>
      <c r="E97" s="59">
        <v>100</v>
      </c>
      <c r="F97" t="s">
        <v>1182</v>
      </c>
    </row>
    <row r="98" spans="1:7" x14ac:dyDescent="0.3">
      <c r="A98" t="s">
        <v>651</v>
      </c>
      <c r="B98" t="s">
        <v>640</v>
      </c>
      <c r="C98" t="s">
        <v>514</v>
      </c>
      <c r="D98" s="56" t="s">
        <v>1183</v>
      </c>
      <c r="E98" s="59">
        <v>50</v>
      </c>
      <c r="F98" t="s">
        <v>1184</v>
      </c>
    </row>
    <row r="99" spans="1:7" x14ac:dyDescent="0.3">
      <c r="A99" t="s">
        <v>651</v>
      </c>
      <c r="B99" t="s">
        <v>640</v>
      </c>
      <c r="C99" t="s">
        <v>514</v>
      </c>
      <c r="D99" s="56" t="s">
        <v>1077</v>
      </c>
      <c r="E99" s="59">
        <v>0</v>
      </c>
      <c r="F99" t="s">
        <v>1185</v>
      </c>
    </row>
    <row r="100" spans="1:7" x14ac:dyDescent="0.3">
      <c r="A100" t="s">
        <v>651</v>
      </c>
      <c r="B100" t="s">
        <v>640</v>
      </c>
      <c r="C100" t="s">
        <v>514</v>
      </c>
      <c r="D100" s="56" t="s">
        <v>1166</v>
      </c>
      <c r="E100" s="59" t="s">
        <v>1080</v>
      </c>
      <c r="F100" t="s">
        <v>1186</v>
      </c>
      <c r="G100" s="56" t="s">
        <v>1082</v>
      </c>
    </row>
    <row r="101" spans="1:7" x14ac:dyDescent="0.3">
      <c r="A101" t="s">
        <v>654</v>
      </c>
      <c r="B101" t="s">
        <v>640</v>
      </c>
      <c r="C101" t="s">
        <v>514</v>
      </c>
      <c r="D101" s="56" t="s">
        <v>1187</v>
      </c>
      <c r="E101" s="59">
        <v>100</v>
      </c>
      <c r="F101" t="s">
        <v>1188</v>
      </c>
    </row>
    <row r="102" spans="1:7" x14ac:dyDescent="0.3">
      <c r="A102" t="s">
        <v>654</v>
      </c>
      <c r="B102" t="s">
        <v>640</v>
      </c>
      <c r="C102" t="s">
        <v>514</v>
      </c>
      <c r="D102" s="56" t="s">
        <v>1189</v>
      </c>
      <c r="E102" s="59">
        <v>50</v>
      </c>
      <c r="F102" t="s">
        <v>1190</v>
      </c>
    </row>
    <row r="103" spans="1:7" x14ac:dyDescent="0.3">
      <c r="A103" t="s">
        <v>654</v>
      </c>
      <c r="B103" t="s">
        <v>640</v>
      </c>
      <c r="C103" t="s">
        <v>514</v>
      </c>
      <c r="D103" s="56" t="s">
        <v>1077</v>
      </c>
      <c r="E103" s="59">
        <v>0</v>
      </c>
      <c r="F103" t="s">
        <v>1191</v>
      </c>
    </row>
    <row r="104" spans="1:7" x14ac:dyDescent="0.3">
      <c r="A104" t="s">
        <v>654</v>
      </c>
      <c r="B104" t="s">
        <v>640</v>
      </c>
      <c r="C104" t="s">
        <v>514</v>
      </c>
      <c r="D104" s="56" t="s">
        <v>1166</v>
      </c>
      <c r="E104" s="59" t="s">
        <v>1080</v>
      </c>
      <c r="F104" t="s">
        <v>1192</v>
      </c>
      <c r="G104" s="56" t="s">
        <v>1082</v>
      </c>
    </row>
    <row r="105" spans="1:7" x14ac:dyDescent="0.3">
      <c r="A105" t="s">
        <v>657</v>
      </c>
      <c r="B105" t="s">
        <v>640</v>
      </c>
      <c r="C105" t="s">
        <v>514</v>
      </c>
      <c r="D105" s="56" t="s">
        <v>1075</v>
      </c>
      <c r="E105" s="59">
        <v>0</v>
      </c>
      <c r="F105" t="s">
        <v>1193</v>
      </c>
    </row>
    <row r="106" spans="1:7" x14ac:dyDescent="0.3">
      <c r="A106" t="s">
        <v>657</v>
      </c>
      <c r="B106" t="s">
        <v>640</v>
      </c>
      <c r="C106" t="s">
        <v>514</v>
      </c>
      <c r="D106" s="56" t="s">
        <v>1077</v>
      </c>
      <c r="E106" s="59">
        <v>100</v>
      </c>
      <c r="F106" t="s">
        <v>1194</v>
      </c>
    </row>
    <row r="107" spans="1:7" x14ac:dyDescent="0.3">
      <c r="A107" t="s">
        <v>657</v>
      </c>
      <c r="B107" t="s">
        <v>640</v>
      </c>
      <c r="C107" t="s">
        <v>514</v>
      </c>
      <c r="D107" s="56" t="s">
        <v>1079</v>
      </c>
      <c r="E107" s="59" t="s">
        <v>1080</v>
      </c>
      <c r="F107" t="s">
        <v>1195</v>
      </c>
      <c r="G107" s="56" t="s">
        <v>1082</v>
      </c>
    </row>
    <row r="108" spans="1:7" x14ac:dyDescent="0.3">
      <c r="A108" t="s">
        <v>659</v>
      </c>
      <c r="B108" t="s">
        <v>640</v>
      </c>
      <c r="C108" t="s">
        <v>514</v>
      </c>
      <c r="D108" s="56" t="s">
        <v>1196</v>
      </c>
      <c r="E108" s="59">
        <v>100</v>
      </c>
      <c r="F108" t="s">
        <v>1197</v>
      </c>
    </row>
    <row r="109" spans="1:7" x14ac:dyDescent="0.3">
      <c r="A109" t="s">
        <v>659</v>
      </c>
      <c r="B109" t="s">
        <v>640</v>
      </c>
      <c r="C109" t="s">
        <v>514</v>
      </c>
      <c r="D109" s="56" t="s">
        <v>1198</v>
      </c>
      <c r="E109" s="59">
        <v>80</v>
      </c>
      <c r="F109" t="s">
        <v>1199</v>
      </c>
    </row>
    <row r="110" spans="1:7" ht="28.8" x14ac:dyDescent="0.3">
      <c r="A110" t="s">
        <v>659</v>
      </c>
      <c r="B110" t="s">
        <v>640</v>
      </c>
      <c r="C110" t="s">
        <v>514</v>
      </c>
      <c r="D110" s="56" t="s">
        <v>1200</v>
      </c>
      <c r="E110" s="59">
        <v>60</v>
      </c>
      <c r="F110" t="s">
        <v>1201</v>
      </c>
    </row>
    <row r="111" spans="1:7" x14ac:dyDescent="0.3">
      <c r="A111" t="s">
        <v>659</v>
      </c>
      <c r="B111" t="s">
        <v>640</v>
      </c>
      <c r="C111" t="s">
        <v>514</v>
      </c>
      <c r="D111" s="56" t="s">
        <v>1202</v>
      </c>
      <c r="E111" s="59">
        <v>20</v>
      </c>
      <c r="F111" t="s">
        <v>1203</v>
      </c>
    </row>
    <row r="112" spans="1:7" ht="28.8" x14ac:dyDescent="0.3">
      <c r="A112" t="s">
        <v>659</v>
      </c>
      <c r="B112" t="s">
        <v>640</v>
      </c>
      <c r="C112" t="s">
        <v>514</v>
      </c>
      <c r="D112" s="56" t="s">
        <v>1204</v>
      </c>
      <c r="E112" s="59">
        <v>0</v>
      </c>
      <c r="F112" t="s">
        <v>1205</v>
      </c>
    </row>
    <row r="113" spans="1:7" x14ac:dyDescent="0.3">
      <c r="A113" t="s">
        <v>659</v>
      </c>
      <c r="B113" t="s">
        <v>640</v>
      </c>
      <c r="C113" t="s">
        <v>514</v>
      </c>
      <c r="D113" s="56" t="s">
        <v>1174</v>
      </c>
      <c r="E113" s="59" t="s">
        <v>1080</v>
      </c>
      <c r="F113" t="s">
        <v>1206</v>
      </c>
      <c r="G113" s="56" t="s">
        <v>1082</v>
      </c>
    </row>
    <row r="114" spans="1:7" x14ac:dyDescent="0.3">
      <c r="A114" t="s">
        <v>662</v>
      </c>
      <c r="B114" t="s">
        <v>640</v>
      </c>
      <c r="C114" t="s">
        <v>514</v>
      </c>
      <c r="D114" s="56" t="s">
        <v>1207</v>
      </c>
      <c r="E114" s="59">
        <v>100</v>
      </c>
      <c r="F114" t="s">
        <v>1208</v>
      </c>
    </row>
    <row r="115" spans="1:7" x14ac:dyDescent="0.3">
      <c r="A115" t="s">
        <v>662</v>
      </c>
      <c r="B115" t="s">
        <v>640</v>
      </c>
      <c r="C115" t="s">
        <v>514</v>
      </c>
      <c r="D115" s="56" t="s">
        <v>1183</v>
      </c>
      <c r="E115" s="59">
        <v>50</v>
      </c>
      <c r="F115" t="s">
        <v>1209</v>
      </c>
    </row>
    <row r="116" spans="1:7" x14ac:dyDescent="0.3">
      <c r="A116" t="s">
        <v>662</v>
      </c>
      <c r="B116" t="s">
        <v>640</v>
      </c>
      <c r="C116" t="s">
        <v>514</v>
      </c>
      <c r="D116" s="56" t="s">
        <v>1174</v>
      </c>
      <c r="E116" s="59" t="s">
        <v>1080</v>
      </c>
      <c r="F116" t="s">
        <v>1210</v>
      </c>
      <c r="G116" s="56" t="s">
        <v>1082</v>
      </c>
    </row>
    <row r="117" spans="1:7" x14ac:dyDescent="0.3">
      <c r="A117" t="s">
        <v>662</v>
      </c>
      <c r="B117" t="s">
        <v>640</v>
      </c>
      <c r="C117" t="s">
        <v>514</v>
      </c>
      <c r="D117" s="56" t="s">
        <v>1079</v>
      </c>
      <c r="E117" s="59" t="s">
        <v>1080</v>
      </c>
      <c r="F117" t="s">
        <v>1211</v>
      </c>
      <c r="G117" s="56" t="s">
        <v>1082</v>
      </c>
    </row>
    <row r="118" spans="1:7" x14ac:dyDescent="0.3">
      <c r="A118" t="s">
        <v>665</v>
      </c>
      <c r="B118" t="s">
        <v>640</v>
      </c>
      <c r="C118" t="s">
        <v>514</v>
      </c>
      <c r="D118" s="56" t="s">
        <v>1212</v>
      </c>
      <c r="E118" s="59">
        <v>100</v>
      </c>
      <c r="F118" t="s">
        <v>1213</v>
      </c>
    </row>
    <row r="119" spans="1:7" x14ac:dyDescent="0.3">
      <c r="A119" t="s">
        <v>665</v>
      </c>
      <c r="B119" t="s">
        <v>640</v>
      </c>
      <c r="C119" t="s">
        <v>514</v>
      </c>
      <c r="D119" s="56" t="s">
        <v>1214</v>
      </c>
      <c r="E119" s="59">
        <v>50</v>
      </c>
      <c r="F119" t="s">
        <v>1215</v>
      </c>
    </row>
    <row r="120" spans="1:7" x14ac:dyDescent="0.3">
      <c r="A120" t="s">
        <v>665</v>
      </c>
      <c r="B120" t="s">
        <v>640</v>
      </c>
      <c r="C120" t="s">
        <v>514</v>
      </c>
      <c r="D120" s="56" t="s">
        <v>1216</v>
      </c>
      <c r="E120" s="59">
        <v>0</v>
      </c>
      <c r="F120" t="s">
        <v>1217</v>
      </c>
    </row>
    <row r="121" spans="1:7" x14ac:dyDescent="0.3">
      <c r="A121" t="s">
        <v>668</v>
      </c>
      <c r="B121" t="s">
        <v>640</v>
      </c>
      <c r="C121" t="s">
        <v>514</v>
      </c>
      <c r="D121" s="56" t="s">
        <v>1218</v>
      </c>
      <c r="E121" s="59">
        <v>100</v>
      </c>
      <c r="F121" t="s">
        <v>1219</v>
      </c>
      <c r="G121" s="56" t="s">
        <v>1554</v>
      </c>
    </row>
    <row r="122" spans="1:7" x14ac:dyDescent="0.3">
      <c r="A122" t="s">
        <v>668</v>
      </c>
      <c r="B122" t="s">
        <v>640</v>
      </c>
      <c r="C122" t="s">
        <v>514</v>
      </c>
      <c r="D122" s="56" t="s">
        <v>1220</v>
      </c>
      <c r="E122" s="59">
        <v>0</v>
      </c>
      <c r="F122" t="s">
        <v>1221</v>
      </c>
      <c r="G122" s="56" t="s">
        <v>1554</v>
      </c>
    </row>
    <row r="123" spans="1:7" ht="28.8" x14ac:dyDescent="0.3">
      <c r="A123" t="s">
        <v>668</v>
      </c>
      <c r="B123" t="s">
        <v>640</v>
      </c>
      <c r="C123" t="s">
        <v>514</v>
      </c>
      <c r="D123" s="56" t="s">
        <v>1222</v>
      </c>
      <c r="E123" s="59" t="s">
        <v>1080</v>
      </c>
      <c r="F123" t="s">
        <v>1223</v>
      </c>
      <c r="G123" s="56" t="s">
        <v>1555</v>
      </c>
    </row>
    <row r="124" spans="1:7" ht="28.8" x14ac:dyDescent="0.3">
      <c r="A124" t="s">
        <v>668</v>
      </c>
      <c r="B124" t="s">
        <v>640</v>
      </c>
      <c r="C124" t="s">
        <v>514</v>
      </c>
      <c r="D124" s="56" t="s">
        <v>1079</v>
      </c>
      <c r="E124" s="59" t="s">
        <v>1080</v>
      </c>
      <c r="F124" t="s">
        <v>1224</v>
      </c>
      <c r="G124" s="56" t="s">
        <v>1555</v>
      </c>
    </row>
    <row r="125" spans="1:7" x14ac:dyDescent="0.3">
      <c r="A125" t="s">
        <v>671</v>
      </c>
      <c r="B125" t="s">
        <v>640</v>
      </c>
      <c r="C125" t="s">
        <v>514</v>
      </c>
      <c r="D125" s="56" t="s">
        <v>1225</v>
      </c>
      <c r="E125" s="59">
        <v>100</v>
      </c>
      <c r="F125" t="s">
        <v>1226</v>
      </c>
    </row>
    <row r="126" spans="1:7" x14ac:dyDescent="0.3">
      <c r="A126" t="s">
        <v>671</v>
      </c>
      <c r="B126" t="s">
        <v>640</v>
      </c>
      <c r="C126" t="s">
        <v>514</v>
      </c>
      <c r="D126" s="56" t="s">
        <v>1227</v>
      </c>
      <c r="E126" s="59">
        <v>50</v>
      </c>
      <c r="F126" t="s">
        <v>1228</v>
      </c>
    </row>
    <row r="127" spans="1:7" x14ac:dyDescent="0.3">
      <c r="A127" t="s">
        <v>671</v>
      </c>
      <c r="B127" t="s">
        <v>640</v>
      </c>
      <c r="C127" t="s">
        <v>514</v>
      </c>
      <c r="D127" s="56" t="s">
        <v>1077</v>
      </c>
      <c r="E127" s="59">
        <v>0</v>
      </c>
      <c r="F127" t="s">
        <v>1229</v>
      </c>
    </row>
    <row r="128" spans="1:7" x14ac:dyDescent="0.3">
      <c r="A128" t="s">
        <v>671</v>
      </c>
      <c r="B128" t="s">
        <v>640</v>
      </c>
      <c r="C128" t="s">
        <v>514</v>
      </c>
      <c r="D128" s="56" t="s">
        <v>1230</v>
      </c>
      <c r="E128" s="59" t="s">
        <v>1080</v>
      </c>
      <c r="F128" t="s">
        <v>1231</v>
      </c>
      <c r="G128" s="56" t="s">
        <v>1082</v>
      </c>
    </row>
    <row r="129" spans="1:7" ht="28.8" x14ac:dyDescent="0.3">
      <c r="A129" t="s">
        <v>674</v>
      </c>
      <c r="B129" t="s">
        <v>640</v>
      </c>
      <c r="C129" t="s">
        <v>514</v>
      </c>
      <c r="D129" s="56" t="s">
        <v>1232</v>
      </c>
      <c r="E129" s="59">
        <v>0</v>
      </c>
      <c r="F129" t="s">
        <v>1233</v>
      </c>
      <c r="G129" s="56" t="s">
        <v>1556</v>
      </c>
    </row>
    <row r="130" spans="1:7" ht="28.8" x14ac:dyDescent="0.3">
      <c r="A130" t="s">
        <v>674</v>
      </c>
      <c r="B130" t="s">
        <v>640</v>
      </c>
      <c r="C130" t="s">
        <v>514</v>
      </c>
      <c r="D130" s="56" t="s">
        <v>1234</v>
      </c>
      <c r="E130" s="59">
        <v>50</v>
      </c>
      <c r="F130" t="s">
        <v>1235</v>
      </c>
      <c r="G130" s="56" t="s">
        <v>1556</v>
      </c>
    </row>
    <row r="131" spans="1:7" ht="28.8" x14ac:dyDescent="0.3">
      <c r="A131" t="s">
        <v>674</v>
      </c>
      <c r="B131" t="s">
        <v>640</v>
      </c>
      <c r="C131" t="s">
        <v>514</v>
      </c>
      <c r="D131" s="56" t="s">
        <v>1077</v>
      </c>
      <c r="E131" s="59">
        <v>100</v>
      </c>
      <c r="F131" t="s">
        <v>1236</v>
      </c>
      <c r="G131" s="56" t="s">
        <v>1556</v>
      </c>
    </row>
    <row r="132" spans="1:7" ht="28.8" x14ac:dyDescent="0.3">
      <c r="A132" t="s">
        <v>674</v>
      </c>
      <c r="B132" t="s">
        <v>640</v>
      </c>
      <c r="C132" t="s">
        <v>514</v>
      </c>
      <c r="D132" s="56" t="s">
        <v>1079</v>
      </c>
      <c r="E132" s="59" t="s">
        <v>1080</v>
      </c>
      <c r="F132" t="s">
        <v>1237</v>
      </c>
      <c r="G132" s="56" t="s">
        <v>1557</v>
      </c>
    </row>
    <row r="133" spans="1:7" ht="43.2" x14ac:dyDescent="0.3">
      <c r="A133" t="s">
        <v>679</v>
      </c>
      <c r="B133" t="s">
        <v>680</v>
      </c>
      <c r="C133" t="s">
        <v>514</v>
      </c>
      <c r="D133" s="56" t="s">
        <v>1174</v>
      </c>
      <c r="E133" s="59" t="s">
        <v>1080</v>
      </c>
      <c r="F133" t="s">
        <v>1238</v>
      </c>
      <c r="G133" s="56" t="s">
        <v>1558</v>
      </c>
    </row>
    <row r="134" spans="1:7" ht="43.2" x14ac:dyDescent="0.3">
      <c r="A134" t="s">
        <v>679</v>
      </c>
      <c r="B134" t="s">
        <v>680</v>
      </c>
      <c r="C134" t="s">
        <v>514</v>
      </c>
      <c r="D134" s="56" t="s">
        <v>1239</v>
      </c>
      <c r="E134" s="59">
        <v>50</v>
      </c>
      <c r="F134" t="s">
        <v>1240</v>
      </c>
      <c r="G134" s="56" t="s">
        <v>1559</v>
      </c>
    </row>
    <row r="135" spans="1:7" ht="43.2" x14ac:dyDescent="0.3">
      <c r="A135" t="s">
        <v>679</v>
      </c>
      <c r="B135" t="s">
        <v>680</v>
      </c>
      <c r="C135" t="s">
        <v>514</v>
      </c>
      <c r="D135" s="56" t="s">
        <v>1241</v>
      </c>
      <c r="E135" s="59">
        <v>75</v>
      </c>
      <c r="F135" t="s">
        <v>1242</v>
      </c>
      <c r="G135" s="56" t="s">
        <v>1559</v>
      </c>
    </row>
    <row r="136" spans="1:7" ht="43.2" x14ac:dyDescent="0.3">
      <c r="A136" t="s">
        <v>679</v>
      </c>
      <c r="B136" t="s">
        <v>680</v>
      </c>
      <c r="C136" t="s">
        <v>514</v>
      </c>
      <c r="D136" s="56" t="s">
        <v>1243</v>
      </c>
      <c r="E136" s="59">
        <v>0</v>
      </c>
      <c r="F136" t="s">
        <v>1244</v>
      </c>
      <c r="G136" s="56" t="s">
        <v>1559</v>
      </c>
    </row>
    <row r="137" spans="1:7" ht="43.2" x14ac:dyDescent="0.3">
      <c r="A137" t="s">
        <v>679</v>
      </c>
      <c r="B137" t="s">
        <v>680</v>
      </c>
      <c r="C137" t="s">
        <v>514</v>
      </c>
      <c r="D137" s="56" t="s">
        <v>1245</v>
      </c>
      <c r="E137" s="59">
        <v>100</v>
      </c>
      <c r="F137" t="s">
        <v>1246</v>
      </c>
      <c r="G137" s="56" t="s">
        <v>1559</v>
      </c>
    </row>
    <row r="138" spans="1:7" x14ac:dyDescent="0.3">
      <c r="A138" t="s">
        <v>684</v>
      </c>
      <c r="B138" t="s">
        <v>680</v>
      </c>
      <c r="C138" t="s">
        <v>613</v>
      </c>
      <c r="D138" s="56" t="s">
        <v>1120</v>
      </c>
      <c r="E138" s="59"/>
      <c r="G138" s="56" t="s">
        <v>1121</v>
      </c>
    </row>
    <row r="139" spans="1:7" x14ac:dyDescent="0.3">
      <c r="A139" t="s">
        <v>686</v>
      </c>
      <c r="B139" t="s">
        <v>680</v>
      </c>
      <c r="C139" t="s">
        <v>514</v>
      </c>
      <c r="D139" s="56" t="s">
        <v>1247</v>
      </c>
      <c r="E139" s="59">
        <v>100</v>
      </c>
      <c r="F139" t="s">
        <v>1248</v>
      </c>
    </row>
    <row r="140" spans="1:7" x14ac:dyDescent="0.3">
      <c r="A140" t="s">
        <v>686</v>
      </c>
      <c r="B140" t="s">
        <v>680</v>
      </c>
      <c r="C140" t="s">
        <v>514</v>
      </c>
      <c r="D140" s="56" t="s">
        <v>1105</v>
      </c>
      <c r="E140" s="59">
        <v>50</v>
      </c>
      <c r="F140" t="s">
        <v>1249</v>
      </c>
    </row>
    <row r="141" spans="1:7" x14ac:dyDescent="0.3">
      <c r="A141" t="s">
        <v>686</v>
      </c>
      <c r="B141" t="s">
        <v>680</v>
      </c>
      <c r="C141" t="s">
        <v>514</v>
      </c>
      <c r="D141" s="56" t="s">
        <v>1079</v>
      </c>
      <c r="E141" s="59" t="s">
        <v>1080</v>
      </c>
      <c r="F141" t="s">
        <v>1250</v>
      </c>
      <c r="G141" s="56" t="s">
        <v>1082</v>
      </c>
    </row>
    <row r="142" spans="1:7" ht="28.8" x14ac:dyDescent="0.3">
      <c r="A142" t="s">
        <v>689</v>
      </c>
      <c r="B142" t="s">
        <v>680</v>
      </c>
      <c r="C142" t="s">
        <v>514</v>
      </c>
      <c r="D142" s="56" t="s">
        <v>1251</v>
      </c>
      <c r="E142" s="59">
        <v>0</v>
      </c>
      <c r="F142" t="s">
        <v>1252</v>
      </c>
      <c r="G142" s="56" t="s">
        <v>1560</v>
      </c>
    </row>
    <row r="143" spans="1:7" ht="28.8" x14ac:dyDescent="0.3">
      <c r="A143" t="s">
        <v>689</v>
      </c>
      <c r="B143" t="s">
        <v>680</v>
      </c>
      <c r="C143" t="s">
        <v>514</v>
      </c>
      <c r="D143" s="56" t="s">
        <v>1253</v>
      </c>
      <c r="E143" s="59">
        <v>75</v>
      </c>
      <c r="F143" t="s">
        <v>1254</v>
      </c>
      <c r="G143" s="56" t="s">
        <v>1560</v>
      </c>
    </row>
    <row r="144" spans="1:7" ht="28.8" x14ac:dyDescent="0.3">
      <c r="A144" t="s">
        <v>689</v>
      </c>
      <c r="B144" t="s">
        <v>680</v>
      </c>
      <c r="C144" t="s">
        <v>514</v>
      </c>
      <c r="D144" s="56" t="s">
        <v>1255</v>
      </c>
      <c r="E144" s="59">
        <v>100</v>
      </c>
      <c r="F144" t="s">
        <v>1256</v>
      </c>
      <c r="G144" s="56" t="s">
        <v>1560</v>
      </c>
    </row>
    <row r="145" spans="1:7" ht="28.8" x14ac:dyDescent="0.3">
      <c r="A145" t="s">
        <v>689</v>
      </c>
      <c r="B145" t="s">
        <v>680</v>
      </c>
      <c r="C145" t="s">
        <v>514</v>
      </c>
      <c r="D145" s="56" t="s">
        <v>1257</v>
      </c>
      <c r="E145" s="59">
        <v>0</v>
      </c>
      <c r="F145" t="s">
        <v>1258</v>
      </c>
      <c r="G145" s="56" t="s">
        <v>1560</v>
      </c>
    </row>
    <row r="146" spans="1:7" x14ac:dyDescent="0.3">
      <c r="A146" t="s">
        <v>694</v>
      </c>
      <c r="B146" t="s">
        <v>695</v>
      </c>
      <c r="C146" t="s">
        <v>613</v>
      </c>
      <c r="D146" s="56" t="s">
        <v>1120</v>
      </c>
      <c r="E146" s="59"/>
      <c r="G146" s="56" t="s">
        <v>1121</v>
      </c>
    </row>
    <row r="147" spans="1:7" x14ac:dyDescent="0.3">
      <c r="A147" t="s">
        <v>698</v>
      </c>
      <c r="B147" t="s">
        <v>695</v>
      </c>
      <c r="C147" t="s">
        <v>613</v>
      </c>
      <c r="D147" s="56" t="s">
        <v>1120</v>
      </c>
      <c r="E147" s="59"/>
      <c r="G147" s="56" t="s">
        <v>1121</v>
      </c>
    </row>
    <row r="148" spans="1:7" x14ac:dyDescent="0.3">
      <c r="A148" t="s">
        <v>700</v>
      </c>
      <c r="B148" t="s">
        <v>695</v>
      </c>
      <c r="C148" t="s">
        <v>514</v>
      </c>
      <c r="D148" s="56" t="s">
        <v>1259</v>
      </c>
      <c r="E148" s="59">
        <v>0</v>
      </c>
      <c r="F148" t="s">
        <v>1260</v>
      </c>
    </row>
    <row r="149" spans="1:7" x14ac:dyDescent="0.3">
      <c r="A149" t="s">
        <v>700</v>
      </c>
      <c r="B149" t="s">
        <v>695</v>
      </c>
      <c r="C149" t="s">
        <v>514</v>
      </c>
      <c r="D149" s="56" t="s">
        <v>1261</v>
      </c>
      <c r="E149" s="59">
        <v>50</v>
      </c>
      <c r="F149" t="s">
        <v>1262</v>
      </c>
    </row>
    <row r="150" spans="1:7" x14ac:dyDescent="0.3">
      <c r="A150" t="s">
        <v>700</v>
      </c>
      <c r="B150" t="s">
        <v>695</v>
      </c>
      <c r="C150" t="s">
        <v>514</v>
      </c>
      <c r="D150" s="56" t="s">
        <v>1263</v>
      </c>
      <c r="E150" s="59">
        <v>100</v>
      </c>
      <c r="F150" t="s">
        <v>1264</v>
      </c>
    </row>
    <row r="151" spans="1:7" x14ac:dyDescent="0.3">
      <c r="A151" t="s">
        <v>703</v>
      </c>
      <c r="B151" t="s">
        <v>695</v>
      </c>
      <c r="C151" t="s">
        <v>514</v>
      </c>
      <c r="D151" s="56" t="s">
        <v>1265</v>
      </c>
      <c r="E151" s="59" t="s">
        <v>1080</v>
      </c>
      <c r="F151" t="s">
        <v>1266</v>
      </c>
      <c r="G151" s="56" t="s">
        <v>1082</v>
      </c>
    </row>
    <row r="152" spans="1:7" x14ac:dyDescent="0.3">
      <c r="A152" t="s">
        <v>703</v>
      </c>
      <c r="B152" t="s">
        <v>695</v>
      </c>
      <c r="C152" t="s">
        <v>514</v>
      </c>
      <c r="D152" s="56" t="s">
        <v>1267</v>
      </c>
      <c r="E152" s="59">
        <v>0</v>
      </c>
      <c r="F152" t="s">
        <v>1268</v>
      </c>
    </row>
    <row r="153" spans="1:7" x14ac:dyDescent="0.3">
      <c r="A153" t="s">
        <v>703</v>
      </c>
      <c r="B153" t="s">
        <v>695</v>
      </c>
      <c r="C153" t="s">
        <v>514</v>
      </c>
      <c r="D153" s="56" t="s">
        <v>1269</v>
      </c>
      <c r="E153" s="59">
        <v>50</v>
      </c>
      <c r="F153" t="s">
        <v>1270</v>
      </c>
    </row>
    <row r="154" spans="1:7" x14ac:dyDescent="0.3">
      <c r="A154" t="s">
        <v>703</v>
      </c>
      <c r="B154" t="s">
        <v>695</v>
      </c>
      <c r="C154" t="s">
        <v>514</v>
      </c>
      <c r="D154" s="56" t="s">
        <v>1271</v>
      </c>
      <c r="E154" s="59">
        <v>100</v>
      </c>
      <c r="F154" t="s">
        <v>1272</v>
      </c>
    </row>
    <row r="155" spans="1:7" ht="28.8" x14ac:dyDescent="0.3">
      <c r="A155" t="s">
        <v>706</v>
      </c>
      <c r="B155" t="s">
        <v>695</v>
      </c>
      <c r="C155" t="s">
        <v>527</v>
      </c>
      <c r="D155" s="56" t="s">
        <v>1074</v>
      </c>
      <c r="E155" s="59"/>
      <c r="G155" s="56" t="s">
        <v>1561</v>
      </c>
    </row>
    <row r="156" spans="1:7" x14ac:dyDescent="0.3">
      <c r="A156" t="s">
        <v>709</v>
      </c>
      <c r="B156" t="s">
        <v>695</v>
      </c>
      <c r="C156" t="s">
        <v>514</v>
      </c>
      <c r="D156" s="56" t="s">
        <v>1077</v>
      </c>
      <c r="E156" s="59">
        <v>0</v>
      </c>
      <c r="F156" t="s">
        <v>1273</v>
      </c>
    </row>
    <row r="157" spans="1:7" x14ac:dyDescent="0.3">
      <c r="A157" t="s">
        <v>709</v>
      </c>
      <c r="B157" t="s">
        <v>695</v>
      </c>
      <c r="C157" t="s">
        <v>514</v>
      </c>
      <c r="D157" s="56" t="s">
        <v>1274</v>
      </c>
      <c r="E157" s="59">
        <v>50</v>
      </c>
      <c r="F157" t="s">
        <v>1275</v>
      </c>
    </row>
    <row r="158" spans="1:7" x14ac:dyDescent="0.3">
      <c r="A158" t="s">
        <v>709</v>
      </c>
      <c r="B158" t="s">
        <v>695</v>
      </c>
      <c r="C158" t="s">
        <v>514</v>
      </c>
      <c r="D158" s="56" t="s">
        <v>1276</v>
      </c>
      <c r="E158" s="59">
        <v>100</v>
      </c>
      <c r="F158" t="s">
        <v>1277</v>
      </c>
    </row>
    <row r="159" spans="1:7" x14ac:dyDescent="0.3">
      <c r="A159" t="s">
        <v>712</v>
      </c>
      <c r="B159" t="s">
        <v>695</v>
      </c>
      <c r="C159" t="s">
        <v>514</v>
      </c>
      <c r="D159" s="56" t="s">
        <v>1077</v>
      </c>
      <c r="E159" s="59">
        <v>0</v>
      </c>
      <c r="F159" t="s">
        <v>1278</v>
      </c>
    </row>
    <row r="160" spans="1:7" x14ac:dyDescent="0.3">
      <c r="A160" t="s">
        <v>712</v>
      </c>
      <c r="B160" t="s">
        <v>695</v>
      </c>
      <c r="C160" t="s">
        <v>514</v>
      </c>
      <c r="D160" s="56" t="s">
        <v>1279</v>
      </c>
      <c r="E160" s="59">
        <v>50</v>
      </c>
      <c r="F160" t="s">
        <v>1280</v>
      </c>
    </row>
    <row r="161" spans="1:6" x14ac:dyDescent="0.3">
      <c r="A161" t="s">
        <v>712</v>
      </c>
      <c r="B161" t="s">
        <v>695</v>
      </c>
      <c r="C161" t="s">
        <v>514</v>
      </c>
      <c r="D161" s="56" t="s">
        <v>1281</v>
      </c>
      <c r="E161" s="59">
        <v>100</v>
      </c>
      <c r="F161" t="s">
        <v>1282</v>
      </c>
    </row>
    <row r="162" spans="1:6" x14ac:dyDescent="0.3">
      <c r="A162" t="s">
        <v>715</v>
      </c>
      <c r="B162" t="s">
        <v>695</v>
      </c>
      <c r="C162" t="s">
        <v>514</v>
      </c>
      <c r="D162" s="56" t="s">
        <v>1283</v>
      </c>
      <c r="E162" s="59">
        <v>0</v>
      </c>
      <c r="F162" t="s">
        <v>1284</v>
      </c>
    </row>
    <row r="163" spans="1:6" x14ac:dyDescent="0.3">
      <c r="A163" t="s">
        <v>715</v>
      </c>
      <c r="B163" t="s">
        <v>695</v>
      </c>
      <c r="C163" t="s">
        <v>514</v>
      </c>
      <c r="D163" s="56" t="s">
        <v>1285</v>
      </c>
      <c r="E163" s="59">
        <v>50</v>
      </c>
      <c r="F163" t="s">
        <v>1286</v>
      </c>
    </row>
    <row r="164" spans="1:6" x14ac:dyDescent="0.3">
      <c r="A164" t="s">
        <v>715</v>
      </c>
      <c r="B164" t="s">
        <v>695</v>
      </c>
      <c r="C164" t="s">
        <v>514</v>
      </c>
      <c r="D164" s="56" t="s">
        <v>1287</v>
      </c>
      <c r="E164" s="59">
        <v>100</v>
      </c>
      <c r="F164" t="s">
        <v>1288</v>
      </c>
    </row>
    <row r="165" spans="1:6" x14ac:dyDescent="0.3">
      <c r="A165" t="s">
        <v>718</v>
      </c>
      <c r="B165" t="s">
        <v>695</v>
      </c>
      <c r="C165" t="s">
        <v>514</v>
      </c>
      <c r="D165" s="56" t="s">
        <v>1077</v>
      </c>
      <c r="E165" s="59">
        <v>0</v>
      </c>
      <c r="F165" t="s">
        <v>1289</v>
      </c>
    </row>
    <row r="166" spans="1:6" x14ac:dyDescent="0.3">
      <c r="A166" t="s">
        <v>718</v>
      </c>
      <c r="B166" t="s">
        <v>695</v>
      </c>
      <c r="C166" t="s">
        <v>514</v>
      </c>
      <c r="D166" s="56" t="s">
        <v>1290</v>
      </c>
      <c r="E166" s="59">
        <v>50</v>
      </c>
      <c r="F166" t="s">
        <v>1291</v>
      </c>
    </row>
    <row r="167" spans="1:6" x14ac:dyDescent="0.3">
      <c r="A167" t="s">
        <v>718</v>
      </c>
      <c r="B167" t="s">
        <v>695</v>
      </c>
      <c r="C167" t="s">
        <v>514</v>
      </c>
      <c r="D167" s="56" t="s">
        <v>1292</v>
      </c>
      <c r="E167" s="59">
        <v>100</v>
      </c>
      <c r="F167" t="s">
        <v>1293</v>
      </c>
    </row>
    <row r="168" spans="1:6" x14ac:dyDescent="0.3">
      <c r="A168" t="s">
        <v>722</v>
      </c>
      <c r="B168" t="s">
        <v>723</v>
      </c>
      <c r="C168" t="s">
        <v>514</v>
      </c>
      <c r="D168" s="56" t="s">
        <v>1077</v>
      </c>
      <c r="E168" s="59">
        <v>0</v>
      </c>
      <c r="F168" t="s">
        <v>1294</v>
      </c>
    </row>
    <row r="169" spans="1:6" x14ac:dyDescent="0.3">
      <c r="A169" t="s">
        <v>722</v>
      </c>
      <c r="B169" t="s">
        <v>723</v>
      </c>
      <c r="C169" t="s">
        <v>514</v>
      </c>
      <c r="D169" s="56" t="s">
        <v>1295</v>
      </c>
      <c r="E169" s="59">
        <v>33</v>
      </c>
      <c r="F169" t="s">
        <v>1296</v>
      </c>
    </row>
    <row r="170" spans="1:6" x14ac:dyDescent="0.3">
      <c r="A170" t="s">
        <v>722</v>
      </c>
      <c r="B170" t="s">
        <v>723</v>
      </c>
      <c r="C170" t="s">
        <v>514</v>
      </c>
      <c r="D170" s="56" t="s">
        <v>1297</v>
      </c>
      <c r="E170" s="59">
        <v>67</v>
      </c>
      <c r="F170" t="s">
        <v>1298</v>
      </c>
    </row>
    <row r="171" spans="1:6" x14ac:dyDescent="0.3">
      <c r="A171" t="s">
        <v>722</v>
      </c>
      <c r="B171" t="s">
        <v>723</v>
      </c>
      <c r="C171" t="s">
        <v>514</v>
      </c>
      <c r="D171" s="56" t="s">
        <v>1299</v>
      </c>
      <c r="E171" s="59">
        <v>100</v>
      </c>
      <c r="F171" t="s">
        <v>1300</v>
      </c>
    </row>
    <row r="172" spans="1:6" x14ac:dyDescent="0.3">
      <c r="A172" t="s">
        <v>727</v>
      </c>
      <c r="B172" t="s">
        <v>723</v>
      </c>
      <c r="C172" t="s">
        <v>514</v>
      </c>
      <c r="D172" s="56" t="s">
        <v>1216</v>
      </c>
      <c r="E172" s="59">
        <v>0</v>
      </c>
      <c r="F172" t="s">
        <v>1301</v>
      </c>
    </row>
    <row r="173" spans="1:6" x14ac:dyDescent="0.3">
      <c r="A173" t="s">
        <v>727</v>
      </c>
      <c r="B173" t="s">
        <v>723</v>
      </c>
      <c r="C173" t="s">
        <v>514</v>
      </c>
      <c r="D173" s="56" t="s">
        <v>1302</v>
      </c>
      <c r="E173" s="59">
        <v>33</v>
      </c>
      <c r="F173" t="s">
        <v>1303</v>
      </c>
    </row>
    <row r="174" spans="1:6" x14ac:dyDescent="0.3">
      <c r="A174" t="s">
        <v>727</v>
      </c>
      <c r="B174" t="s">
        <v>723</v>
      </c>
      <c r="C174" t="s">
        <v>514</v>
      </c>
      <c r="D174" s="56" t="s">
        <v>1304</v>
      </c>
      <c r="E174" s="59">
        <v>67</v>
      </c>
      <c r="F174" t="s">
        <v>1305</v>
      </c>
    </row>
    <row r="175" spans="1:6" x14ac:dyDescent="0.3">
      <c r="A175" t="s">
        <v>727</v>
      </c>
      <c r="B175" t="s">
        <v>723</v>
      </c>
      <c r="C175" t="s">
        <v>514</v>
      </c>
      <c r="D175" s="56" t="s">
        <v>1306</v>
      </c>
      <c r="E175" s="59">
        <v>100</v>
      </c>
      <c r="F175" t="s">
        <v>1307</v>
      </c>
    </row>
    <row r="176" spans="1:6" x14ac:dyDescent="0.3">
      <c r="A176" t="s">
        <v>730</v>
      </c>
      <c r="B176" t="s">
        <v>723</v>
      </c>
      <c r="C176" t="s">
        <v>514</v>
      </c>
      <c r="D176" s="56" t="s">
        <v>1308</v>
      </c>
      <c r="E176" s="59">
        <v>25</v>
      </c>
      <c r="F176" t="s">
        <v>1309</v>
      </c>
    </row>
    <row r="177" spans="1:6" x14ac:dyDescent="0.3">
      <c r="A177" t="s">
        <v>730</v>
      </c>
      <c r="B177" t="s">
        <v>723</v>
      </c>
      <c r="C177" t="s">
        <v>514</v>
      </c>
      <c r="D177" s="56" t="s">
        <v>1310</v>
      </c>
      <c r="E177" s="59">
        <v>50</v>
      </c>
      <c r="F177" t="s">
        <v>1311</v>
      </c>
    </row>
    <row r="178" spans="1:6" x14ac:dyDescent="0.3">
      <c r="A178" t="s">
        <v>730</v>
      </c>
      <c r="B178" t="s">
        <v>723</v>
      </c>
      <c r="C178" t="s">
        <v>514</v>
      </c>
      <c r="D178" s="56" t="s">
        <v>1312</v>
      </c>
      <c r="E178" s="59">
        <v>75</v>
      </c>
      <c r="F178" t="s">
        <v>1313</v>
      </c>
    </row>
    <row r="179" spans="1:6" x14ac:dyDescent="0.3">
      <c r="A179" t="s">
        <v>730</v>
      </c>
      <c r="B179" t="s">
        <v>723</v>
      </c>
      <c r="C179" t="s">
        <v>514</v>
      </c>
      <c r="D179" s="56" t="s">
        <v>1314</v>
      </c>
      <c r="E179" s="59">
        <v>100</v>
      </c>
      <c r="F179" t="s">
        <v>1315</v>
      </c>
    </row>
    <row r="180" spans="1:6" x14ac:dyDescent="0.3">
      <c r="A180" t="s">
        <v>733</v>
      </c>
      <c r="B180" t="s">
        <v>723</v>
      </c>
      <c r="C180" t="s">
        <v>514</v>
      </c>
      <c r="D180" s="56" t="s">
        <v>1316</v>
      </c>
      <c r="E180" s="59">
        <v>0</v>
      </c>
      <c r="F180" t="s">
        <v>1317</v>
      </c>
    </row>
    <row r="181" spans="1:6" x14ac:dyDescent="0.3">
      <c r="A181" t="s">
        <v>733</v>
      </c>
      <c r="B181" t="s">
        <v>723</v>
      </c>
      <c r="C181" t="s">
        <v>514</v>
      </c>
      <c r="D181" s="56" t="s">
        <v>1318</v>
      </c>
      <c r="E181" s="59">
        <v>50</v>
      </c>
      <c r="F181" t="s">
        <v>1319</v>
      </c>
    </row>
    <row r="182" spans="1:6" x14ac:dyDescent="0.3">
      <c r="A182" t="s">
        <v>733</v>
      </c>
      <c r="B182" t="s">
        <v>723</v>
      </c>
      <c r="C182" t="s">
        <v>514</v>
      </c>
      <c r="D182" s="56" t="s">
        <v>1320</v>
      </c>
      <c r="E182" s="59">
        <v>100</v>
      </c>
      <c r="F182" t="s">
        <v>1321</v>
      </c>
    </row>
    <row r="183" spans="1:6" x14ac:dyDescent="0.3">
      <c r="A183" t="s">
        <v>736</v>
      </c>
      <c r="B183" t="s">
        <v>723</v>
      </c>
      <c r="C183" t="s">
        <v>514</v>
      </c>
      <c r="D183" s="56" t="s">
        <v>1322</v>
      </c>
      <c r="E183" s="59">
        <v>0</v>
      </c>
      <c r="F183" t="s">
        <v>1323</v>
      </c>
    </row>
    <row r="184" spans="1:6" x14ac:dyDescent="0.3">
      <c r="A184" t="s">
        <v>736</v>
      </c>
      <c r="B184" t="s">
        <v>723</v>
      </c>
      <c r="C184" t="s">
        <v>514</v>
      </c>
      <c r="D184" s="56" t="s">
        <v>1324</v>
      </c>
      <c r="E184" s="59">
        <v>50</v>
      </c>
      <c r="F184" t="s">
        <v>1325</v>
      </c>
    </row>
    <row r="185" spans="1:6" x14ac:dyDescent="0.3">
      <c r="A185" t="s">
        <v>736</v>
      </c>
      <c r="B185" t="s">
        <v>723</v>
      </c>
      <c r="C185" t="s">
        <v>514</v>
      </c>
      <c r="D185" s="56" t="s">
        <v>1326</v>
      </c>
      <c r="E185" s="59">
        <v>100</v>
      </c>
      <c r="F185" t="s">
        <v>1327</v>
      </c>
    </row>
    <row r="186" spans="1:6" x14ac:dyDescent="0.3">
      <c r="A186" t="s">
        <v>739</v>
      </c>
      <c r="B186" t="s">
        <v>723</v>
      </c>
      <c r="C186" t="s">
        <v>514</v>
      </c>
      <c r="D186" s="56" t="s">
        <v>1328</v>
      </c>
      <c r="E186" s="59">
        <v>0</v>
      </c>
      <c r="F186" t="s">
        <v>1329</v>
      </c>
    </row>
    <row r="187" spans="1:6" x14ac:dyDescent="0.3">
      <c r="A187" t="s">
        <v>739</v>
      </c>
      <c r="B187" t="s">
        <v>723</v>
      </c>
      <c r="C187" t="s">
        <v>514</v>
      </c>
      <c r="D187" s="56" t="s">
        <v>1330</v>
      </c>
      <c r="E187" s="59">
        <v>25</v>
      </c>
      <c r="F187" t="s">
        <v>1331</v>
      </c>
    </row>
    <row r="188" spans="1:6" x14ac:dyDescent="0.3">
      <c r="A188" t="s">
        <v>739</v>
      </c>
      <c r="B188" t="s">
        <v>723</v>
      </c>
      <c r="C188" t="s">
        <v>514</v>
      </c>
      <c r="D188" s="56" t="s">
        <v>1332</v>
      </c>
      <c r="E188" s="59">
        <v>50</v>
      </c>
      <c r="F188" t="s">
        <v>1333</v>
      </c>
    </row>
    <row r="189" spans="1:6" x14ac:dyDescent="0.3">
      <c r="A189" t="s">
        <v>739</v>
      </c>
      <c r="B189" t="s">
        <v>723</v>
      </c>
      <c r="C189" t="s">
        <v>514</v>
      </c>
      <c r="D189" s="56" t="s">
        <v>1334</v>
      </c>
      <c r="E189" s="59">
        <v>100</v>
      </c>
      <c r="F189" t="s">
        <v>1335</v>
      </c>
    </row>
    <row r="190" spans="1:6" x14ac:dyDescent="0.3">
      <c r="A190" t="s">
        <v>742</v>
      </c>
      <c r="B190" t="s">
        <v>723</v>
      </c>
      <c r="C190" t="s">
        <v>514</v>
      </c>
      <c r="D190" s="56" t="s">
        <v>1336</v>
      </c>
      <c r="E190" s="59">
        <v>0</v>
      </c>
      <c r="F190" t="s">
        <v>1337</v>
      </c>
    </row>
    <row r="191" spans="1:6" x14ac:dyDescent="0.3">
      <c r="A191" t="s">
        <v>742</v>
      </c>
      <c r="B191" t="s">
        <v>723</v>
      </c>
      <c r="C191" t="s">
        <v>514</v>
      </c>
      <c r="D191" s="56" t="s">
        <v>1338</v>
      </c>
      <c r="E191" s="59">
        <v>33</v>
      </c>
      <c r="F191" t="s">
        <v>1339</v>
      </c>
    </row>
    <row r="192" spans="1:6" x14ac:dyDescent="0.3">
      <c r="A192" t="s">
        <v>742</v>
      </c>
      <c r="B192" t="s">
        <v>723</v>
      </c>
      <c r="C192" t="s">
        <v>514</v>
      </c>
      <c r="D192" s="56" t="s">
        <v>1340</v>
      </c>
      <c r="E192" s="59">
        <v>67</v>
      </c>
      <c r="F192" t="s">
        <v>1341</v>
      </c>
    </row>
    <row r="193" spans="1:7" x14ac:dyDescent="0.3">
      <c r="A193" t="s">
        <v>742</v>
      </c>
      <c r="B193" t="s">
        <v>723</v>
      </c>
      <c r="C193" t="s">
        <v>514</v>
      </c>
      <c r="D193" s="56" t="s">
        <v>1342</v>
      </c>
      <c r="E193" s="59">
        <v>100</v>
      </c>
      <c r="F193" t="s">
        <v>1343</v>
      </c>
    </row>
    <row r="194" spans="1:7" ht="43.2" x14ac:dyDescent="0.3">
      <c r="A194" t="s">
        <v>745</v>
      </c>
      <c r="B194" t="s">
        <v>723</v>
      </c>
      <c r="C194" t="s">
        <v>514</v>
      </c>
      <c r="D194" s="56" t="s">
        <v>1344</v>
      </c>
      <c r="E194" s="59">
        <v>50</v>
      </c>
      <c r="F194" t="s">
        <v>1345</v>
      </c>
      <c r="G194" s="56" t="s">
        <v>1562</v>
      </c>
    </row>
    <row r="195" spans="1:7" ht="43.2" x14ac:dyDescent="0.3">
      <c r="A195" t="s">
        <v>745</v>
      </c>
      <c r="B195" t="s">
        <v>723</v>
      </c>
      <c r="C195" t="s">
        <v>514</v>
      </c>
      <c r="D195" s="56" t="s">
        <v>1346</v>
      </c>
      <c r="E195" s="59">
        <v>50</v>
      </c>
      <c r="F195" t="s">
        <v>1347</v>
      </c>
      <c r="G195" s="56" t="s">
        <v>1562</v>
      </c>
    </row>
    <row r="196" spans="1:7" ht="43.2" x14ac:dyDescent="0.3">
      <c r="A196" t="s">
        <v>745</v>
      </c>
      <c r="B196" t="s">
        <v>723</v>
      </c>
      <c r="C196" t="s">
        <v>514</v>
      </c>
      <c r="D196" s="56" t="s">
        <v>1348</v>
      </c>
      <c r="E196" s="59">
        <v>50</v>
      </c>
      <c r="F196" t="s">
        <v>1349</v>
      </c>
      <c r="G196" s="56" t="s">
        <v>1562</v>
      </c>
    </row>
    <row r="197" spans="1:7" ht="43.2" x14ac:dyDescent="0.3">
      <c r="A197" t="s">
        <v>745</v>
      </c>
      <c r="B197" t="s">
        <v>723</v>
      </c>
      <c r="C197" t="s">
        <v>514</v>
      </c>
      <c r="D197" s="56" t="s">
        <v>1350</v>
      </c>
      <c r="E197" s="59">
        <v>0</v>
      </c>
      <c r="F197" t="s">
        <v>1351</v>
      </c>
      <c r="G197" s="56" t="s">
        <v>1562</v>
      </c>
    </row>
    <row r="198" spans="1:7" ht="43.2" x14ac:dyDescent="0.3">
      <c r="A198" t="s">
        <v>745</v>
      </c>
      <c r="B198" t="s">
        <v>723</v>
      </c>
      <c r="C198" t="s">
        <v>514</v>
      </c>
      <c r="D198" s="56" t="s">
        <v>1352</v>
      </c>
      <c r="E198" s="59">
        <v>50</v>
      </c>
      <c r="F198" t="s">
        <v>1353</v>
      </c>
      <c r="G198" s="56" t="s">
        <v>1562</v>
      </c>
    </row>
    <row r="199" spans="1:7" ht="43.2" x14ac:dyDescent="0.3">
      <c r="A199" t="s">
        <v>745</v>
      </c>
      <c r="B199" t="s">
        <v>723</v>
      </c>
      <c r="C199" t="s">
        <v>514</v>
      </c>
      <c r="D199" s="56" t="s">
        <v>1354</v>
      </c>
      <c r="E199" s="59">
        <v>100</v>
      </c>
      <c r="F199" t="s">
        <v>1355</v>
      </c>
      <c r="G199" s="56" t="s">
        <v>1562</v>
      </c>
    </row>
    <row r="200" spans="1:7" x14ac:dyDescent="0.3">
      <c r="A200" t="s">
        <v>748</v>
      </c>
      <c r="B200" t="s">
        <v>723</v>
      </c>
      <c r="C200" t="s">
        <v>514</v>
      </c>
      <c r="D200" s="56" t="s">
        <v>1356</v>
      </c>
      <c r="E200" s="59">
        <v>100</v>
      </c>
      <c r="F200" t="s">
        <v>1357</v>
      </c>
    </row>
    <row r="201" spans="1:7" x14ac:dyDescent="0.3">
      <c r="A201" t="s">
        <v>748</v>
      </c>
      <c r="B201" t="s">
        <v>723</v>
      </c>
      <c r="C201" t="s">
        <v>514</v>
      </c>
      <c r="D201" s="56" t="s">
        <v>1358</v>
      </c>
      <c r="E201" s="59">
        <v>50</v>
      </c>
      <c r="F201" t="s">
        <v>1359</v>
      </c>
    </row>
    <row r="202" spans="1:7" x14ac:dyDescent="0.3">
      <c r="A202" t="s">
        <v>748</v>
      </c>
      <c r="B202" t="s">
        <v>723</v>
      </c>
      <c r="C202" t="s">
        <v>514</v>
      </c>
      <c r="D202" s="56" t="s">
        <v>1077</v>
      </c>
      <c r="E202" s="59">
        <v>0</v>
      </c>
      <c r="F202" t="s">
        <v>1360</v>
      </c>
    </row>
    <row r="203" spans="1:7" x14ac:dyDescent="0.3">
      <c r="A203" t="s">
        <v>748</v>
      </c>
      <c r="B203" t="s">
        <v>723</v>
      </c>
      <c r="C203" t="s">
        <v>514</v>
      </c>
      <c r="D203" s="56" t="s">
        <v>1079</v>
      </c>
      <c r="E203" s="59" t="s">
        <v>1080</v>
      </c>
      <c r="F203" t="s">
        <v>1361</v>
      </c>
      <c r="G203" s="56" t="s">
        <v>1082</v>
      </c>
    </row>
    <row r="204" spans="1:7" x14ac:dyDescent="0.3">
      <c r="A204" t="s">
        <v>752</v>
      </c>
      <c r="B204" t="s">
        <v>753</v>
      </c>
      <c r="C204" t="s">
        <v>514</v>
      </c>
      <c r="D204" s="56" t="s">
        <v>1362</v>
      </c>
      <c r="E204" s="59">
        <v>0</v>
      </c>
      <c r="F204" t="s">
        <v>1363</v>
      </c>
    </row>
    <row r="205" spans="1:7" x14ac:dyDescent="0.3">
      <c r="A205" t="s">
        <v>752</v>
      </c>
      <c r="B205" t="s">
        <v>753</v>
      </c>
      <c r="C205" t="s">
        <v>514</v>
      </c>
      <c r="D205" s="56" t="s">
        <v>1364</v>
      </c>
      <c r="E205" s="59">
        <v>50</v>
      </c>
      <c r="F205" t="s">
        <v>1365</v>
      </c>
    </row>
    <row r="206" spans="1:7" x14ac:dyDescent="0.3">
      <c r="A206" t="s">
        <v>752</v>
      </c>
      <c r="B206" t="s">
        <v>753</v>
      </c>
      <c r="C206" t="s">
        <v>514</v>
      </c>
      <c r="D206" s="56" t="s">
        <v>1366</v>
      </c>
      <c r="E206" s="59">
        <v>100</v>
      </c>
      <c r="F206" t="s">
        <v>1367</v>
      </c>
    </row>
    <row r="207" spans="1:7" x14ac:dyDescent="0.3">
      <c r="A207" t="s">
        <v>757</v>
      </c>
      <c r="B207" t="s">
        <v>753</v>
      </c>
      <c r="C207" t="s">
        <v>514</v>
      </c>
      <c r="D207" s="56" t="s">
        <v>1075</v>
      </c>
      <c r="E207" s="59">
        <v>100</v>
      </c>
      <c r="F207" t="s">
        <v>1368</v>
      </c>
    </row>
    <row r="208" spans="1:7" x14ac:dyDescent="0.3">
      <c r="A208" t="s">
        <v>757</v>
      </c>
      <c r="B208" t="s">
        <v>753</v>
      </c>
      <c r="C208" t="s">
        <v>514</v>
      </c>
      <c r="D208" s="56" t="s">
        <v>1077</v>
      </c>
      <c r="E208" s="59">
        <v>0</v>
      </c>
      <c r="F208" t="s">
        <v>1369</v>
      </c>
    </row>
    <row r="209" spans="1:7" ht="28.8" x14ac:dyDescent="0.3">
      <c r="A209" t="s">
        <v>759</v>
      </c>
      <c r="B209" t="s">
        <v>753</v>
      </c>
      <c r="C209" t="s">
        <v>514</v>
      </c>
      <c r="D209" s="56" t="s">
        <v>1079</v>
      </c>
      <c r="E209" s="59" t="s">
        <v>1080</v>
      </c>
      <c r="F209" t="s">
        <v>1370</v>
      </c>
      <c r="G209" s="56" t="s">
        <v>1563</v>
      </c>
    </row>
    <row r="210" spans="1:7" ht="28.8" x14ac:dyDescent="0.3">
      <c r="A210" t="s">
        <v>759</v>
      </c>
      <c r="B210" t="s">
        <v>753</v>
      </c>
      <c r="C210" t="s">
        <v>514</v>
      </c>
      <c r="D210" s="56" t="s">
        <v>1371</v>
      </c>
      <c r="E210" s="59">
        <v>33</v>
      </c>
      <c r="F210" t="s">
        <v>1372</v>
      </c>
      <c r="G210" s="56" t="s">
        <v>1564</v>
      </c>
    </row>
    <row r="211" spans="1:7" ht="28.8" x14ac:dyDescent="0.3">
      <c r="A211" t="s">
        <v>759</v>
      </c>
      <c r="B211" t="s">
        <v>753</v>
      </c>
      <c r="C211" t="s">
        <v>514</v>
      </c>
      <c r="D211" s="56" t="s">
        <v>1373</v>
      </c>
      <c r="E211" s="59">
        <v>67</v>
      </c>
      <c r="F211" t="s">
        <v>1374</v>
      </c>
      <c r="G211" s="56" t="s">
        <v>1564</v>
      </c>
    </row>
    <row r="212" spans="1:7" ht="28.8" x14ac:dyDescent="0.3">
      <c r="A212" t="s">
        <v>759</v>
      </c>
      <c r="B212" t="s">
        <v>753</v>
      </c>
      <c r="C212" t="s">
        <v>514</v>
      </c>
      <c r="D212" s="56" t="s">
        <v>1375</v>
      </c>
      <c r="E212" s="59">
        <v>100</v>
      </c>
      <c r="F212" t="s">
        <v>1376</v>
      </c>
      <c r="G212" s="56" t="s">
        <v>1564</v>
      </c>
    </row>
    <row r="213" spans="1:7" x14ac:dyDescent="0.3">
      <c r="A213" t="s">
        <v>762</v>
      </c>
      <c r="B213" t="s">
        <v>753</v>
      </c>
      <c r="C213" t="s">
        <v>514</v>
      </c>
      <c r="D213" s="56" t="s">
        <v>1377</v>
      </c>
      <c r="E213" s="59">
        <v>0</v>
      </c>
      <c r="F213" t="s">
        <v>1378</v>
      </c>
    </row>
    <row r="214" spans="1:7" x14ac:dyDescent="0.3">
      <c r="A214" t="s">
        <v>762</v>
      </c>
      <c r="B214" t="s">
        <v>753</v>
      </c>
      <c r="C214" t="s">
        <v>514</v>
      </c>
      <c r="D214" s="56" t="s">
        <v>1379</v>
      </c>
      <c r="E214" s="59">
        <v>33</v>
      </c>
      <c r="F214" t="s">
        <v>1380</v>
      </c>
    </row>
    <row r="215" spans="1:7" x14ac:dyDescent="0.3">
      <c r="A215" t="s">
        <v>762</v>
      </c>
      <c r="B215" t="s">
        <v>753</v>
      </c>
      <c r="C215" t="s">
        <v>514</v>
      </c>
      <c r="D215" s="56" t="s">
        <v>1381</v>
      </c>
      <c r="E215" s="59">
        <v>67</v>
      </c>
      <c r="F215" t="s">
        <v>1382</v>
      </c>
    </row>
    <row r="216" spans="1:7" x14ac:dyDescent="0.3">
      <c r="A216" t="s">
        <v>762</v>
      </c>
      <c r="B216" t="s">
        <v>753</v>
      </c>
      <c r="C216" t="s">
        <v>514</v>
      </c>
      <c r="D216" s="56" t="s">
        <v>1383</v>
      </c>
      <c r="E216" s="59">
        <v>100</v>
      </c>
      <c r="F216" t="s">
        <v>1384</v>
      </c>
    </row>
    <row r="217" spans="1:7" ht="43.2" x14ac:dyDescent="0.3">
      <c r="A217" t="s">
        <v>765</v>
      </c>
      <c r="B217" t="s">
        <v>753</v>
      </c>
      <c r="C217" t="s">
        <v>514</v>
      </c>
      <c r="D217" s="56" t="s">
        <v>1074</v>
      </c>
      <c r="E217" s="59"/>
      <c r="G217" s="56" t="s">
        <v>1565</v>
      </c>
    </row>
    <row r="218" spans="1:7" x14ac:dyDescent="0.3">
      <c r="A218" t="s">
        <v>768</v>
      </c>
      <c r="B218" t="s">
        <v>753</v>
      </c>
      <c r="C218" t="s">
        <v>514</v>
      </c>
      <c r="D218" s="56" t="s">
        <v>1385</v>
      </c>
      <c r="E218" s="59">
        <v>100</v>
      </c>
      <c r="F218" t="s">
        <v>1386</v>
      </c>
    </row>
    <row r="219" spans="1:7" x14ac:dyDescent="0.3">
      <c r="A219" t="s">
        <v>768</v>
      </c>
      <c r="B219" t="s">
        <v>753</v>
      </c>
      <c r="C219" t="s">
        <v>514</v>
      </c>
      <c r="D219" s="56" t="s">
        <v>1387</v>
      </c>
      <c r="E219" s="59">
        <v>50</v>
      </c>
      <c r="F219" t="s">
        <v>1388</v>
      </c>
    </row>
    <row r="220" spans="1:7" x14ac:dyDescent="0.3">
      <c r="A220" t="s">
        <v>768</v>
      </c>
      <c r="B220" t="s">
        <v>753</v>
      </c>
      <c r="C220" t="s">
        <v>514</v>
      </c>
      <c r="D220" s="56" t="s">
        <v>1077</v>
      </c>
      <c r="E220" s="59">
        <v>0</v>
      </c>
      <c r="F220" t="s">
        <v>1389</v>
      </c>
    </row>
    <row r="221" spans="1:7" x14ac:dyDescent="0.3">
      <c r="A221" t="s">
        <v>768</v>
      </c>
      <c r="B221" t="s">
        <v>753</v>
      </c>
      <c r="C221" t="s">
        <v>514</v>
      </c>
      <c r="D221" s="56" t="s">
        <v>1079</v>
      </c>
      <c r="E221" s="59" t="s">
        <v>1080</v>
      </c>
      <c r="F221" t="s">
        <v>1390</v>
      </c>
      <c r="G221" s="56" t="s">
        <v>1082</v>
      </c>
    </row>
    <row r="222" spans="1:7" x14ac:dyDescent="0.3">
      <c r="A222" t="s">
        <v>772</v>
      </c>
      <c r="B222" t="s">
        <v>753</v>
      </c>
      <c r="C222" t="s">
        <v>514</v>
      </c>
      <c r="D222" s="56" t="s">
        <v>1391</v>
      </c>
      <c r="E222" s="59">
        <v>100</v>
      </c>
      <c r="F222" t="s">
        <v>1392</v>
      </c>
    </row>
    <row r="223" spans="1:7" x14ac:dyDescent="0.3">
      <c r="A223" t="s">
        <v>772</v>
      </c>
      <c r="B223" t="s">
        <v>753</v>
      </c>
      <c r="C223" t="s">
        <v>514</v>
      </c>
      <c r="D223" s="56" t="s">
        <v>1393</v>
      </c>
      <c r="E223" s="59">
        <v>50</v>
      </c>
      <c r="F223" t="s">
        <v>1394</v>
      </c>
    </row>
    <row r="224" spans="1:7" x14ac:dyDescent="0.3">
      <c r="A224" t="s">
        <v>772</v>
      </c>
      <c r="B224" t="s">
        <v>753</v>
      </c>
      <c r="C224" t="s">
        <v>514</v>
      </c>
      <c r="D224" s="56" t="s">
        <v>1395</v>
      </c>
      <c r="E224" s="59">
        <v>0</v>
      </c>
      <c r="F224" t="s">
        <v>1396</v>
      </c>
    </row>
    <row r="225" spans="1:7" x14ac:dyDescent="0.3">
      <c r="A225" t="s">
        <v>772</v>
      </c>
      <c r="B225" t="s">
        <v>753</v>
      </c>
      <c r="C225" t="s">
        <v>514</v>
      </c>
      <c r="D225" s="56" t="s">
        <v>1079</v>
      </c>
      <c r="E225" s="59" t="s">
        <v>1080</v>
      </c>
      <c r="F225" t="s">
        <v>1397</v>
      </c>
      <c r="G225" s="56" t="s">
        <v>1082</v>
      </c>
    </row>
    <row r="226" spans="1:7" x14ac:dyDescent="0.3">
      <c r="A226" t="s">
        <v>777</v>
      </c>
      <c r="B226" t="s">
        <v>778</v>
      </c>
      <c r="C226" t="s">
        <v>613</v>
      </c>
      <c r="D226" s="56" t="s">
        <v>1120</v>
      </c>
      <c r="E226" s="59"/>
      <c r="G226" s="56" t="s">
        <v>1121</v>
      </c>
    </row>
    <row r="227" spans="1:7" x14ac:dyDescent="0.3">
      <c r="A227" t="s">
        <v>781</v>
      </c>
      <c r="B227" t="s">
        <v>778</v>
      </c>
      <c r="C227" t="s">
        <v>523</v>
      </c>
      <c r="D227" s="56" t="s">
        <v>1122</v>
      </c>
      <c r="E227" s="59"/>
      <c r="G227" s="56" t="s">
        <v>1123</v>
      </c>
    </row>
    <row r="228" spans="1:7" x14ac:dyDescent="0.3">
      <c r="A228" t="s">
        <v>783</v>
      </c>
      <c r="B228" t="s">
        <v>778</v>
      </c>
      <c r="C228" t="s">
        <v>514</v>
      </c>
      <c r="D228" s="56" t="s">
        <v>1216</v>
      </c>
      <c r="E228" s="59">
        <v>0</v>
      </c>
      <c r="F228" t="s">
        <v>1398</v>
      </c>
    </row>
    <row r="229" spans="1:7" x14ac:dyDescent="0.3">
      <c r="A229" t="s">
        <v>783</v>
      </c>
      <c r="B229" t="s">
        <v>778</v>
      </c>
      <c r="C229" t="s">
        <v>514</v>
      </c>
      <c r="D229" s="56" t="s">
        <v>1399</v>
      </c>
      <c r="E229" s="59">
        <v>50</v>
      </c>
      <c r="F229" t="s">
        <v>1400</v>
      </c>
    </row>
    <row r="230" spans="1:7" x14ac:dyDescent="0.3">
      <c r="A230" t="s">
        <v>783</v>
      </c>
      <c r="B230" t="s">
        <v>778</v>
      </c>
      <c r="C230" t="s">
        <v>514</v>
      </c>
      <c r="D230" s="56" t="s">
        <v>1401</v>
      </c>
      <c r="E230" s="59">
        <v>100</v>
      </c>
      <c r="F230" t="s">
        <v>1402</v>
      </c>
    </row>
    <row r="231" spans="1:7" x14ac:dyDescent="0.3">
      <c r="A231" t="s">
        <v>786</v>
      </c>
      <c r="B231" t="s">
        <v>778</v>
      </c>
      <c r="C231" t="s">
        <v>514</v>
      </c>
      <c r="D231" s="56" t="s">
        <v>1403</v>
      </c>
      <c r="E231" s="59">
        <v>0</v>
      </c>
      <c r="F231" t="s">
        <v>1404</v>
      </c>
    </row>
    <row r="232" spans="1:7" x14ac:dyDescent="0.3">
      <c r="A232" t="s">
        <v>786</v>
      </c>
      <c r="B232" t="s">
        <v>778</v>
      </c>
      <c r="C232" t="s">
        <v>514</v>
      </c>
      <c r="D232" s="56" t="s">
        <v>1405</v>
      </c>
      <c r="E232" s="59">
        <v>50</v>
      </c>
      <c r="F232" t="s">
        <v>1406</v>
      </c>
    </row>
    <row r="233" spans="1:7" x14ac:dyDescent="0.3">
      <c r="A233" t="s">
        <v>786</v>
      </c>
      <c r="B233" t="s">
        <v>778</v>
      </c>
      <c r="C233" t="s">
        <v>514</v>
      </c>
      <c r="D233" s="56" t="s">
        <v>1407</v>
      </c>
      <c r="E233" s="59">
        <v>100</v>
      </c>
      <c r="F233" t="s">
        <v>1408</v>
      </c>
    </row>
    <row r="234" spans="1:7" x14ac:dyDescent="0.3">
      <c r="A234" t="s">
        <v>790</v>
      </c>
      <c r="B234" t="s">
        <v>791</v>
      </c>
      <c r="C234" t="s">
        <v>514</v>
      </c>
      <c r="D234" s="56" t="s">
        <v>1409</v>
      </c>
      <c r="E234" s="59">
        <v>0</v>
      </c>
      <c r="F234" t="s">
        <v>1410</v>
      </c>
    </row>
    <row r="235" spans="1:7" x14ac:dyDescent="0.3">
      <c r="A235" t="s">
        <v>790</v>
      </c>
      <c r="B235" t="s">
        <v>791</v>
      </c>
      <c r="C235" t="s">
        <v>514</v>
      </c>
      <c r="D235" s="56" t="s">
        <v>1411</v>
      </c>
      <c r="E235" s="59">
        <v>50</v>
      </c>
      <c r="F235" t="s">
        <v>1412</v>
      </c>
    </row>
    <row r="236" spans="1:7" x14ac:dyDescent="0.3">
      <c r="A236" t="s">
        <v>790</v>
      </c>
      <c r="B236" t="s">
        <v>791</v>
      </c>
      <c r="C236" t="s">
        <v>514</v>
      </c>
      <c r="D236" s="56" t="s">
        <v>1413</v>
      </c>
      <c r="E236" s="59">
        <v>100</v>
      </c>
      <c r="F236" t="s">
        <v>1414</v>
      </c>
    </row>
    <row r="237" spans="1:7" x14ac:dyDescent="0.3">
      <c r="A237" t="s">
        <v>790</v>
      </c>
      <c r="B237" t="s">
        <v>791</v>
      </c>
      <c r="C237" t="s">
        <v>514</v>
      </c>
      <c r="D237" s="56" t="s">
        <v>1415</v>
      </c>
      <c r="E237" s="59" t="s">
        <v>1080</v>
      </c>
      <c r="F237" t="s">
        <v>1416</v>
      </c>
      <c r="G237" s="56" t="s">
        <v>1082</v>
      </c>
    </row>
    <row r="238" spans="1:7" ht="43.2" x14ac:dyDescent="0.3">
      <c r="A238" t="s">
        <v>795</v>
      </c>
      <c r="B238" t="s">
        <v>791</v>
      </c>
      <c r="C238" t="s">
        <v>514</v>
      </c>
      <c r="D238" s="56" t="s">
        <v>1417</v>
      </c>
      <c r="E238" s="59">
        <v>33</v>
      </c>
      <c r="F238" t="s">
        <v>1418</v>
      </c>
      <c r="G238" s="56" t="s">
        <v>1566</v>
      </c>
    </row>
    <row r="239" spans="1:7" ht="43.2" x14ac:dyDescent="0.3">
      <c r="A239" t="s">
        <v>795</v>
      </c>
      <c r="B239" t="s">
        <v>791</v>
      </c>
      <c r="C239" t="s">
        <v>514</v>
      </c>
      <c r="D239" s="56" t="s">
        <v>1419</v>
      </c>
      <c r="E239" s="59">
        <v>100</v>
      </c>
      <c r="F239" t="s">
        <v>1420</v>
      </c>
      <c r="G239" s="56" t="s">
        <v>1566</v>
      </c>
    </row>
    <row r="240" spans="1:7" ht="43.2" x14ac:dyDescent="0.3">
      <c r="A240" t="s">
        <v>795</v>
      </c>
      <c r="B240" t="s">
        <v>791</v>
      </c>
      <c r="C240" t="s">
        <v>514</v>
      </c>
      <c r="D240" s="56" t="s">
        <v>1421</v>
      </c>
      <c r="E240" s="59">
        <v>67</v>
      </c>
      <c r="F240" t="s">
        <v>1422</v>
      </c>
      <c r="G240" s="56" t="s">
        <v>1566</v>
      </c>
    </row>
    <row r="241" spans="1:7" ht="43.2" x14ac:dyDescent="0.3">
      <c r="A241" t="s">
        <v>795</v>
      </c>
      <c r="B241" t="s">
        <v>791</v>
      </c>
      <c r="C241" t="s">
        <v>514</v>
      </c>
      <c r="D241" s="56" t="s">
        <v>1423</v>
      </c>
      <c r="E241" s="59">
        <v>100</v>
      </c>
      <c r="F241" t="s">
        <v>1424</v>
      </c>
      <c r="G241" s="56" t="s">
        <v>1566</v>
      </c>
    </row>
    <row r="242" spans="1:7" ht="43.2" x14ac:dyDescent="0.3">
      <c r="A242" t="s">
        <v>795</v>
      </c>
      <c r="B242" t="s">
        <v>791</v>
      </c>
      <c r="C242" t="s">
        <v>514</v>
      </c>
      <c r="D242" s="56" t="s">
        <v>1079</v>
      </c>
      <c r="E242" s="59" t="s">
        <v>1080</v>
      </c>
      <c r="F242" t="s">
        <v>1425</v>
      </c>
      <c r="G242" s="56" t="s">
        <v>1567</v>
      </c>
    </row>
    <row r="243" spans="1:7" x14ac:dyDescent="0.3">
      <c r="A243" t="s">
        <v>798</v>
      </c>
      <c r="B243" t="s">
        <v>791</v>
      </c>
      <c r="C243" t="s">
        <v>514</v>
      </c>
      <c r="D243" s="56" t="s">
        <v>1426</v>
      </c>
      <c r="E243" s="59">
        <v>0</v>
      </c>
      <c r="F243" t="s">
        <v>1427</v>
      </c>
    </row>
    <row r="244" spans="1:7" x14ac:dyDescent="0.3">
      <c r="A244" t="s">
        <v>798</v>
      </c>
      <c r="B244" t="s">
        <v>791</v>
      </c>
      <c r="C244" t="s">
        <v>514</v>
      </c>
      <c r="D244" s="56" t="s">
        <v>1428</v>
      </c>
      <c r="E244" s="59">
        <v>50</v>
      </c>
      <c r="F244" t="s">
        <v>1429</v>
      </c>
    </row>
    <row r="245" spans="1:7" x14ac:dyDescent="0.3">
      <c r="A245" t="s">
        <v>798</v>
      </c>
      <c r="B245" t="s">
        <v>791</v>
      </c>
      <c r="C245" t="s">
        <v>514</v>
      </c>
      <c r="D245" s="56" t="s">
        <v>1166</v>
      </c>
      <c r="E245" s="59" t="s">
        <v>1080</v>
      </c>
      <c r="F245" t="s">
        <v>1430</v>
      </c>
      <c r="G245" s="56" t="s">
        <v>1082</v>
      </c>
    </row>
    <row r="246" spans="1:7" x14ac:dyDescent="0.3">
      <c r="A246" t="s">
        <v>798</v>
      </c>
      <c r="B246" t="s">
        <v>791</v>
      </c>
      <c r="C246" t="s">
        <v>514</v>
      </c>
      <c r="D246" s="56" t="s">
        <v>1431</v>
      </c>
      <c r="E246" s="59" t="s">
        <v>1080</v>
      </c>
      <c r="F246" t="s">
        <v>1432</v>
      </c>
      <c r="G246" s="56" t="s">
        <v>1082</v>
      </c>
    </row>
    <row r="247" spans="1:7" ht="28.8" x14ac:dyDescent="0.3">
      <c r="A247" t="s">
        <v>802</v>
      </c>
      <c r="B247" t="s">
        <v>803</v>
      </c>
      <c r="C247" t="s">
        <v>514</v>
      </c>
      <c r="D247" s="56" t="s">
        <v>1433</v>
      </c>
      <c r="E247" s="59">
        <v>0</v>
      </c>
      <c r="F247" t="s">
        <v>1434</v>
      </c>
      <c r="G247" s="56" t="s">
        <v>1568</v>
      </c>
    </row>
    <row r="248" spans="1:7" ht="28.8" x14ac:dyDescent="0.3">
      <c r="A248" t="s">
        <v>802</v>
      </c>
      <c r="B248" t="s">
        <v>803</v>
      </c>
      <c r="C248" t="s">
        <v>514</v>
      </c>
      <c r="D248" s="56" t="s">
        <v>1435</v>
      </c>
      <c r="E248" s="59">
        <v>33</v>
      </c>
      <c r="F248" t="s">
        <v>1436</v>
      </c>
      <c r="G248" s="56" t="s">
        <v>1568</v>
      </c>
    </row>
    <row r="249" spans="1:7" ht="28.8" x14ac:dyDescent="0.3">
      <c r="A249" t="s">
        <v>802</v>
      </c>
      <c r="B249" t="s">
        <v>803</v>
      </c>
      <c r="C249" t="s">
        <v>514</v>
      </c>
      <c r="D249" s="56" t="s">
        <v>1437</v>
      </c>
      <c r="E249" s="59">
        <v>100</v>
      </c>
      <c r="F249" t="s">
        <v>1438</v>
      </c>
      <c r="G249" s="56" t="s">
        <v>1568</v>
      </c>
    </row>
    <row r="250" spans="1:7" ht="43.2" x14ac:dyDescent="0.3">
      <c r="A250" t="s">
        <v>802</v>
      </c>
      <c r="B250" t="s">
        <v>803</v>
      </c>
      <c r="C250" t="s">
        <v>514</v>
      </c>
      <c r="D250" s="56" t="s">
        <v>1439</v>
      </c>
      <c r="E250" s="59" t="s">
        <v>1080</v>
      </c>
      <c r="F250" t="s">
        <v>1440</v>
      </c>
      <c r="G250" s="56" t="s">
        <v>1569</v>
      </c>
    </row>
    <row r="251" spans="1:7" ht="28.8" x14ac:dyDescent="0.3">
      <c r="A251" t="s">
        <v>806</v>
      </c>
      <c r="B251" t="s">
        <v>803</v>
      </c>
      <c r="C251" t="s">
        <v>514</v>
      </c>
      <c r="D251" s="56" t="s">
        <v>1075</v>
      </c>
      <c r="E251" s="59">
        <v>0</v>
      </c>
      <c r="F251" t="s">
        <v>1441</v>
      </c>
      <c r="G251" s="56" t="s">
        <v>1570</v>
      </c>
    </row>
    <row r="252" spans="1:7" ht="28.8" x14ac:dyDescent="0.3">
      <c r="A252" t="s">
        <v>806</v>
      </c>
      <c r="B252" t="s">
        <v>803</v>
      </c>
      <c r="C252" t="s">
        <v>514</v>
      </c>
      <c r="D252" s="56" t="s">
        <v>1077</v>
      </c>
      <c r="E252" s="59">
        <v>100</v>
      </c>
      <c r="F252" t="s">
        <v>1442</v>
      </c>
      <c r="G252" s="56" t="s">
        <v>1570</v>
      </c>
    </row>
    <row r="253" spans="1:7" x14ac:dyDescent="0.3">
      <c r="A253" t="s">
        <v>808</v>
      </c>
      <c r="B253" t="s">
        <v>803</v>
      </c>
      <c r="C253" t="s">
        <v>514</v>
      </c>
      <c r="D253" s="56" t="s">
        <v>1443</v>
      </c>
      <c r="E253" s="59">
        <v>100</v>
      </c>
      <c r="F253" t="s">
        <v>1444</v>
      </c>
    </row>
    <row r="254" spans="1:7" x14ac:dyDescent="0.3">
      <c r="A254" t="s">
        <v>808</v>
      </c>
      <c r="B254" t="s">
        <v>803</v>
      </c>
      <c r="C254" t="s">
        <v>514</v>
      </c>
      <c r="D254" s="56" t="s">
        <v>1445</v>
      </c>
      <c r="E254" s="59">
        <v>50</v>
      </c>
      <c r="F254" t="s">
        <v>1446</v>
      </c>
    </row>
    <row r="255" spans="1:7" x14ac:dyDescent="0.3">
      <c r="A255" t="s">
        <v>808</v>
      </c>
      <c r="B255" t="s">
        <v>803</v>
      </c>
      <c r="C255" t="s">
        <v>514</v>
      </c>
      <c r="D255" s="56" t="s">
        <v>1447</v>
      </c>
      <c r="E255" s="59">
        <v>0</v>
      </c>
      <c r="F255" t="s">
        <v>1448</v>
      </c>
    </row>
    <row r="256" spans="1:7" x14ac:dyDescent="0.3">
      <c r="A256" t="s">
        <v>808</v>
      </c>
      <c r="B256" t="s">
        <v>803</v>
      </c>
      <c r="C256" t="s">
        <v>514</v>
      </c>
      <c r="D256" s="56" t="s">
        <v>1079</v>
      </c>
      <c r="E256" s="59" t="s">
        <v>1080</v>
      </c>
      <c r="F256" t="s">
        <v>1449</v>
      </c>
      <c r="G256" s="56" t="s">
        <v>1082</v>
      </c>
    </row>
    <row r="257" spans="1:7" ht="28.8" x14ac:dyDescent="0.3">
      <c r="A257" t="s">
        <v>812</v>
      </c>
      <c r="B257" t="s">
        <v>813</v>
      </c>
      <c r="C257" t="s">
        <v>527</v>
      </c>
      <c r="D257" s="56" t="s">
        <v>1074</v>
      </c>
      <c r="E257" s="59"/>
      <c r="G257" s="56" t="s">
        <v>1571</v>
      </c>
    </row>
    <row r="258" spans="1:7" ht="28.8" x14ac:dyDescent="0.3">
      <c r="A258" t="s">
        <v>817</v>
      </c>
      <c r="B258" t="s">
        <v>813</v>
      </c>
      <c r="C258" t="s">
        <v>507</v>
      </c>
      <c r="D258" s="56" t="s">
        <v>490</v>
      </c>
      <c r="E258" s="59"/>
      <c r="G258" s="56" t="s">
        <v>1073</v>
      </c>
    </row>
    <row r="259" spans="1:7" ht="28.8" x14ac:dyDescent="0.3">
      <c r="A259" t="s">
        <v>819</v>
      </c>
      <c r="B259" t="s">
        <v>813</v>
      </c>
      <c r="C259" t="s">
        <v>514</v>
      </c>
      <c r="D259" s="56" t="s">
        <v>1075</v>
      </c>
      <c r="E259" s="59">
        <v>100</v>
      </c>
      <c r="F259" t="s">
        <v>1450</v>
      </c>
      <c r="G259" s="56" t="s">
        <v>1572</v>
      </c>
    </row>
    <row r="260" spans="1:7" ht="28.8" x14ac:dyDescent="0.3">
      <c r="A260" t="s">
        <v>819</v>
      </c>
      <c r="B260" t="s">
        <v>813</v>
      </c>
      <c r="C260" t="s">
        <v>514</v>
      </c>
      <c r="D260" s="56" t="s">
        <v>1451</v>
      </c>
      <c r="E260" s="59">
        <v>50</v>
      </c>
      <c r="F260" t="s">
        <v>1452</v>
      </c>
      <c r="G260" s="56" t="s">
        <v>1572</v>
      </c>
    </row>
    <row r="261" spans="1:7" ht="28.8" x14ac:dyDescent="0.3">
      <c r="A261" t="s">
        <v>819</v>
      </c>
      <c r="B261" t="s">
        <v>813</v>
      </c>
      <c r="C261" t="s">
        <v>514</v>
      </c>
      <c r="D261" s="56" t="s">
        <v>1077</v>
      </c>
      <c r="E261" s="59">
        <v>0</v>
      </c>
      <c r="F261" t="s">
        <v>1453</v>
      </c>
      <c r="G261" s="56" t="s">
        <v>1572</v>
      </c>
    </row>
    <row r="262" spans="1:7" ht="28.8" x14ac:dyDescent="0.3">
      <c r="A262" t="s">
        <v>819</v>
      </c>
      <c r="B262" t="s">
        <v>813</v>
      </c>
      <c r="C262" t="s">
        <v>514</v>
      </c>
      <c r="D262" s="56" t="s">
        <v>1454</v>
      </c>
      <c r="E262" s="59" t="s">
        <v>1080</v>
      </c>
      <c r="F262" t="s">
        <v>1455</v>
      </c>
      <c r="G262" s="56" t="s">
        <v>1573</v>
      </c>
    </row>
    <row r="263" spans="1:7" x14ac:dyDescent="0.3">
      <c r="A263" t="s">
        <v>823</v>
      </c>
      <c r="B263" t="s">
        <v>824</v>
      </c>
      <c r="C263" t="s">
        <v>514</v>
      </c>
      <c r="D263" s="56" t="s">
        <v>1456</v>
      </c>
      <c r="E263" s="59">
        <v>0</v>
      </c>
      <c r="F263" t="s">
        <v>1457</v>
      </c>
    </row>
    <row r="264" spans="1:7" x14ac:dyDescent="0.3">
      <c r="A264" t="s">
        <v>823</v>
      </c>
      <c r="B264" t="s">
        <v>824</v>
      </c>
      <c r="C264" t="s">
        <v>514</v>
      </c>
      <c r="D264" s="56" t="s">
        <v>1458</v>
      </c>
      <c r="E264" s="59">
        <v>1</v>
      </c>
      <c r="F264" t="s">
        <v>1459</v>
      </c>
    </row>
    <row r="265" spans="1:7" x14ac:dyDescent="0.3">
      <c r="A265" t="s">
        <v>823</v>
      </c>
      <c r="B265" t="s">
        <v>824</v>
      </c>
      <c r="C265" t="s">
        <v>514</v>
      </c>
      <c r="D265" s="56" t="s">
        <v>1460</v>
      </c>
      <c r="E265" s="59">
        <v>2</v>
      </c>
      <c r="F265" t="s">
        <v>1461</v>
      </c>
    </row>
    <row r="266" spans="1:7" x14ac:dyDescent="0.3">
      <c r="A266" t="s">
        <v>828</v>
      </c>
      <c r="B266" t="s">
        <v>829</v>
      </c>
      <c r="C266" t="s">
        <v>514</v>
      </c>
      <c r="D266" s="56" t="s">
        <v>1462</v>
      </c>
      <c r="E266" s="59">
        <v>0</v>
      </c>
      <c r="F266" t="s">
        <v>1463</v>
      </c>
    </row>
    <row r="267" spans="1:7" x14ac:dyDescent="0.3">
      <c r="A267" t="s">
        <v>828</v>
      </c>
      <c r="B267" t="s">
        <v>829</v>
      </c>
      <c r="C267" t="s">
        <v>514</v>
      </c>
      <c r="D267" s="56" t="s">
        <v>1464</v>
      </c>
      <c r="E267" s="59">
        <v>1</v>
      </c>
      <c r="F267" t="s">
        <v>1465</v>
      </c>
    </row>
    <row r="268" spans="1:7" x14ac:dyDescent="0.3">
      <c r="A268" t="s">
        <v>828</v>
      </c>
      <c r="B268" t="s">
        <v>829</v>
      </c>
      <c r="C268" t="s">
        <v>514</v>
      </c>
      <c r="D268" s="56" t="s">
        <v>1466</v>
      </c>
      <c r="E268" s="59">
        <v>2</v>
      </c>
      <c r="F268" t="s">
        <v>1467</v>
      </c>
    </row>
    <row r="269" spans="1:7" x14ac:dyDescent="0.3">
      <c r="A269" t="s">
        <v>833</v>
      </c>
      <c r="B269" t="s">
        <v>834</v>
      </c>
      <c r="C269" t="s">
        <v>514</v>
      </c>
      <c r="D269" s="56" t="s">
        <v>1462</v>
      </c>
      <c r="E269" s="59">
        <v>0</v>
      </c>
      <c r="F269" t="s">
        <v>1468</v>
      </c>
    </row>
    <row r="270" spans="1:7" x14ac:dyDescent="0.3">
      <c r="A270" t="s">
        <v>833</v>
      </c>
      <c r="B270" t="s">
        <v>834</v>
      </c>
      <c r="C270" t="s">
        <v>514</v>
      </c>
      <c r="D270" s="56" t="s">
        <v>1469</v>
      </c>
      <c r="E270" s="59">
        <v>1</v>
      </c>
      <c r="F270" t="s">
        <v>1470</v>
      </c>
    </row>
    <row r="271" spans="1:7" x14ac:dyDescent="0.3">
      <c r="A271" t="s">
        <v>833</v>
      </c>
      <c r="B271" t="s">
        <v>834</v>
      </c>
      <c r="C271" t="s">
        <v>514</v>
      </c>
      <c r="D271" s="56" t="s">
        <v>1471</v>
      </c>
      <c r="E271" s="59">
        <v>2</v>
      </c>
      <c r="F271" t="s">
        <v>1472</v>
      </c>
    </row>
    <row r="272" spans="1:7" x14ac:dyDescent="0.3">
      <c r="A272" t="s">
        <v>838</v>
      </c>
      <c r="B272" t="s">
        <v>839</v>
      </c>
      <c r="C272" t="s">
        <v>514</v>
      </c>
      <c r="D272" s="56" t="s">
        <v>1473</v>
      </c>
      <c r="E272" s="59">
        <v>0</v>
      </c>
      <c r="F272" t="s">
        <v>1474</v>
      </c>
    </row>
    <row r="273" spans="1:7" x14ac:dyDescent="0.3">
      <c r="A273" t="s">
        <v>838</v>
      </c>
      <c r="B273" t="s">
        <v>839</v>
      </c>
      <c r="C273" t="s">
        <v>514</v>
      </c>
      <c r="D273" s="56" t="s">
        <v>1475</v>
      </c>
      <c r="E273" s="59">
        <v>1</v>
      </c>
      <c r="F273" t="s">
        <v>1476</v>
      </c>
    </row>
    <row r="274" spans="1:7" x14ac:dyDescent="0.3">
      <c r="A274" t="s">
        <v>838</v>
      </c>
      <c r="B274" t="s">
        <v>839</v>
      </c>
      <c r="C274" t="s">
        <v>514</v>
      </c>
      <c r="D274" s="56" t="s">
        <v>1477</v>
      </c>
      <c r="E274" s="59">
        <v>2</v>
      </c>
      <c r="F274" t="s">
        <v>1478</v>
      </c>
    </row>
    <row r="275" spans="1:7" ht="43.2" x14ac:dyDescent="0.3">
      <c r="A275" t="s">
        <v>844</v>
      </c>
      <c r="B275" t="s">
        <v>845</v>
      </c>
      <c r="C275" t="s">
        <v>514</v>
      </c>
      <c r="D275" s="56" t="s">
        <v>1479</v>
      </c>
      <c r="E275" s="59">
        <v>100</v>
      </c>
      <c r="F275" t="s">
        <v>1480</v>
      </c>
      <c r="G275" s="56" t="s">
        <v>1574</v>
      </c>
    </row>
    <row r="276" spans="1:7" ht="43.2" x14ac:dyDescent="0.3">
      <c r="A276" t="s">
        <v>844</v>
      </c>
      <c r="B276" t="s">
        <v>845</v>
      </c>
      <c r="C276" t="s">
        <v>514</v>
      </c>
      <c r="D276" s="56" t="s">
        <v>1481</v>
      </c>
      <c r="E276" s="59">
        <v>75</v>
      </c>
      <c r="F276" t="s">
        <v>1482</v>
      </c>
      <c r="G276" s="56" t="s">
        <v>1574</v>
      </c>
    </row>
    <row r="277" spans="1:7" ht="43.2" x14ac:dyDescent="0.3">
      <c r="A277" t="s">
        <v>844</v>
      </c>
      <c r="B277" t="s">
        <v>845</v>
      </c>
      <c r="C277" t="s">
        <v>514</v>
      </c>
      <c r="D277" s="56" t="s">
        <v>1483</v>
      </c>
      <c r="E277" s="59">
        <v>25</v>
      </c>
      <c r="F277" t="s">
        <v>1484</v>
      </c>
      <c r="G277" s="56" t="s">
        <v>1574</v>
      </c>
    </row>
    <row r="278" spans="1:7" ht="43.2" x14ac:dyDescent="0.3">
      <c r="A278" t="s">
        <v>844</v>
      </c>
      <c r="B278" t="s">
        <v>845</v>
      </c>
      <c r="C278" t="s">
        <v>514</v>
      </c>
      <c r="D278" s="56" t="s">
        <v>1485</v>
      </c>
      <c r="E278" s="59">
        <v>50</v>
      </c>
      <c r="F278" t="s">
        <v>1486</v>
      </c>
      <c r="G278" s="56" t="s">
        <v>1574</v>
      </c>
    </row>
    <row r="279" spans="1:7" ht="43.2" x14ac:dyDescent="0.3">
      <c r="A279" t="s">
        <v>844</v>
      </c>
      <c r="B279" t="s">
        <v>845</v>
      </c>
      <c r="C279" t="s">
        <v>514</v>
      </c>
      <c r="D279" s="56" t="s">
        <v>1487</v>
      </c>
      <c r="E279" s="59">
        <v>50</v>
      </c>
      <c r="F279" t="s">
        <v>1488</v>
      </c>
      <c r="G279" s="56" t="s">
        <v>1574</v>
      </c>
    </row>
    <row r="280" spans="1:7" x14ac:dyDescent="0.3">
      <c r="A280" t="s">
        <v>849</v>
      </c>
      <c r="B280" t="s">
        <v>845</v>
      </c>
      <c r="C280" t="s">
        <v>514</v>
      </c>
      <c r="D280" s="56" t="s">
        <v>1075</v>
      </c>
      <c r="E280" s="59">
        <v>100</v>
      </c>
      <c r="F280" t="s">
        <v>1489</v>
      </c>
    </row>
    <row r="281" spans="1:7" x14ac:dyDescent="0.3">
      <c r="A281" t="s">
        <v>849</v>
      </c>
      <c r="B281" t="s">
        <v>845</v>
      </c>
      <c r="C281" t="s">
        <v>514</v>
      </c>
      <c r="D281" s="56" t="s">
        <v>1077</v>
      </c>
      <c r="E281" s="59">
        <v>0</v>
      </c>
      <c r="F281" t="s">
        <v>1490</v>
      </c>
    </row>
    <row r="282" spans="1:7" x14ac:dyDescent="0.3">
      <c r="A282" t="s">
        <v>849</v>
      </c>
      <c r="B282" t="s">
        <v>845</v>
      </c>
      <c r="C282" t="s">
        <v>514</v>
      </c>
      <c r="D282" s="56" t="s">
        <v>1079</v>
      </c>
      <c r="E282" s="59" t="s">
        <v>1080</v>
      </c>
      <c r="F282" t="s">
        <v>1491</v>
      </c>
      <c r="G282" s="56" t="s">
        <v>1082</v>
      </c>
    </row>
    <row r="283" spans="1:7" ht="28.8" x14ac:dyDescent="0.3">
      <c r="A283" t="s">
        <v>853</v>
      </c>
      <c r="B283" t="s">
        <v>854</v>
      </c>
      <c r="C283" t="s">
        <v>523</v>
      </c>
      <c r="D283" s="56" t="s">
        <v>490</v>
      </c>
      <c r="E283" s="59"/>
      <c r="G283" s="56" t="s">
        <v>1073</v>
      </c>
    </row>
    <row r="284" spans="1:7" ht="28.8" x14ac:dyDescent="0.3">
      <c r="A284" t="s">
        <v>857</v>
      </c>
      <c r="B284" t="s">
        <v>854</v>
      </c>
      <c r="C284" t="s">
        <v>523</v>
      </c>
      <c r="D284" s="56" t="s">
        <v>490</v>
      </c>
      <c r="E284" s="59"/>
      <c r="G284" s="56" t="s">
        <v>1073</v>
      </c>
    </row>
    <row r="285" spans="1:7" ht="28.8" x14ac:dyDescent="0.3">
      <c r="A285" t="s">
        <v>860</v>
      </c>
      <c r="B285" t="s">
        <v>854</v>
      </c>
      <c r="C285" t="s">
        <v>570</v>
      </c>
      <c r="D285" s="56" t="s">
        <v>490</v>
      </c>
      <c r="E285" s="59"/>
      <c r="G285" s="56" t="s">
        <v>1073</v>
      </c>
    </row>
    <row r="286" spans="1:7" ht="28.8" x14ac:dyDescent="0.3">
      <c r="A286" t="s">
        <v>863</v>
      </c>
      <c r="B286" t="s">
        <v>854</v>
      </c>
      <c r="C286" t="s">
        <v>523</v>
      </c>
      <c r="D286" s="56" t="s">
        <v>490</v>
      </c>
      <c r="E286" s="59"/>
      <c r="G286" s="56" t="s">
        <v>1073</v>
      </c>
    </row>
    <row r="287" spans="1:7" ht="28.8" x14ac:dyDescent="0.3">
      <c r="A287" t="s">
        <v>866</v>
      </c>
      <c r="B287" t="s">
        <v>854</v>
      </c>
      <c r="C287" t="s">
        <v>523</v>
      </c>
      <c r="D287" s="56" t="s">
        <v>490</v>
      </c>
      <c r="E287" s="59"/>
      <c r="G287" s="56" t="s">
        <v>1073</v>
      </c>
    </row>
    <row r="288" spans="1:7" ht="28.8" x14ac:dyDescent="0.3">
      <c r="A288" t="s">
        <v>869</v>
      </c>
      <c r="B288" t="s">
        <v>854</v>
      </c>
      <c r="C288" t="s">
        <v>523</v>
      </c>
      <c r="D288" s="56" t="s">
        <v>490</v>
      </c>
      <c r="E288" s="59"/>
      <c r="G288" s="56" t="s">
        <v>1073</v>
      </c>
    </row>
    <row r="289" spans="1:7" ht="28.8" x14ac:dyDescent="0.3">
      <c r="A289" t="s">
        <v>872</v>
      </c>
      <c r="B289" t="s">
        <v>854</v>
      </c>
      <c r="C289" t="s">
        <v>493</v>
      </c>
      <c r="D289" s="56" t="s">
        <v>490</v>
      </c>
      <c r="E289" s="59"/>
      <c r="G289" s="56" t="s">
        <v>1073</v>
      </c>
    </row>
    <row r="290" spans="1:7" ht="28.8" x14ac:dyDescent="0.3">
      <c r="A290" t="s">
        <v>875</v>
      </c>
      <c r="B290" t="s">
        <v>854</v>
      </c>
      <c r="C290" t="s">
        <v>523</v>
      </c>
      <c r="D290" s="56" t="s">
        <v>490</v>
      </c>
      <c r="E290" s="59"/>
      <c r="G290" s="56" t="s">
        <v>1073</v>
      </c>
    </row>
    <row r="291" spans="1:7" ht="28.8" x14ac:dyDescent="0.3">
      <c r="A291" t="s">
        <v>878</v>
      </c>
      <c r="B291" t="s">
        <v>854</v>
      </c>
      <c r="C291" t="s">
        <v>523</v>
      </c>
      <c r="D291" s="56" t="s">
        <v>490</v>
      </c>
      <c r="E291" s="59"/>
      <c r="G291" s="56" t="s">
        <v>1073</v>
      </c>
    </row>
    <row r="292" spans="1:7" ht="28.8" x14ac:dyDescent="0.3">
      <c r="A292" t="s">
        <v>881</v>
      </c>
      <c r="B292" t="s">
        <v>854</v>
      </c>
      <c r="C292" t="s">
        <v>523</v>
      </c>
      <c r="D292" s="56" t="s">
        <v>490</v>
      </c>
      <c r="E292" s="59"/>
      <c r="G292" s="56" t="s">
        <v>1073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1492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1493</v>
      </c>
      <c r="B2" s="60" t="s">
        <v>885</v>
      </c>
      <c r="C2" s="60" t="s">
        <v>487</v>
      </c>
      <c r="D2" s="60" t="s">
        <v>492</v>
      </c>
      <c r="E2" s="60" t="s">
        <v>495</v>
      </c>
      <c r="F2" s="60" t="s">
        <v>500</v>
      </c>
      <c r="G2" s="60" t="s">
        <v>503</v>
      </c>
      <c r="H2" s="60" t="s">
        <v>505</v>
      </c>
      <c r="I2" s="60" t="s">
        <v>509</v>
      </c>
      <c r="J2" s="60" t="s">
        <v>512</v>
      </c>
      <c r="K2" s="60" t="s">
        <v>517</v>
      </c>
      <c r="L2" s="60" t="s">
        <v>521</v>
      </c>
      <c r="M2" s="60" t="s">
        <v>525</v>
      </c>
      <c r="N2" s="60" t="s">
        <v>530</v>
      </c>
      <c r="O2" s="60" t="s">
        <v>533</v>
      </c>
      <c r="P2" s="60" t="s">
        <v>537</v>
      </c>
      <c r="Q2" s="60" t="s">
        <v>540</v>
      </c>
      <c r="R2" s="60" t="s">
        <v>543</v>
      </c>
      <c r="S2" s="60" t="s">
        <v>547</v>
      </c>
      <c r="T2" s="60" t="s">
        <v>550</v>
      </c>
      <c r="U2" s="60" t="s">
        <v>554</v>
      </c>
      <c r="V2" s="60" t="s">
        <v>557</v>
      </c>
      <c r="W2" s="60" t="s">
        <v>5</v>
      </c>
      <c r="X2" s="60" t="s">
        <v>563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591</v>
      </c>
      <c r="AM2" s="60" t="s">
        <v>596</v>
      </c>
      <c r="AN2" s="60" t="s">
        <v>600</v>
      </c>
      <c r="AO2" s="60" t="s">
        <v>604</v>
      </c>
      <c r="AP2" s="60" t="s">
        <v>606</v>
      </c>
      <c r="AQ2" s="60" t="s">
        <v>610</v>
      </c>
      <c r="AR2" s="60" t="s">
        <v>616</v>
      </c>
      <c r="AS2" s="60" t="s">
        <v>618</v>
      </c>
      <c r="AT2" s="60" t="s">
        <v>621</v>
      </c>
      <c r="AU2" s="60" t="s">
        <v>624</v>
      </c>
      <c r="AV2" s="60" t="s">
        <v>627</v>
      </c>
      <c r="AW2" s="60" t="s">
        <v>631</v>
      </c>
      <c r="AX2" s="60" t="s">
        <v>634</v>
      </c>
      <c r="AY2" s="60" t="s">
        <v>639</v>
      </c>
      <c r="AZ2" s="60" t="s">
        <v>643</v>
      </c>
      <c r="BA2" s="60" t="s">
        <v>646</v>
      </c>
      <c r="BB2" s="60" t="s">
        <v>648</v>
      </c>
      <c r="BC2" s="60" t="s">
        <v>651</v>
      </c>
      <c r="BD2" s="60" t="s">
        <v>654</v>
      </c>
      <c r="BE2" s="60" t="s">
        <v>657</v>
      </c>
      <c r="BF2" s="60" t="s">
        <v>659</v>
      </c>
      <c r="BG2" s="60" t="s">
        <v>662</v>
      </c>
      <c r="BH2" s="60" t="s">
        <v>665</v>
      </c>
      <c r="BI2" s="60" t="s">
        <v>668</v>
      </c>
      <c r="BJ2" s="60" t="s">
        <v>671</v>
      </c>
      <c r="BK2" s="60" t="s">
        <v>674</v>
      </c>
      <c r="BL2" s="60" t="s">
        <v>679</v>
      </c>
      <c r="BM2" s="60" t="s">
        <v>684</v>
      </c>
      <c r="BN2" s="60" t="s">
        <v>686</v>
      </c>
      <c r="BO2" s="60" t="s">
        <v>689</v>
      </c>
      <c r="BP2" s="60" t="s">
        <v>694</v>
      </c>
      <c r="BQ2" s="60" t="s">
        <v>698</v>
      </c>
      <c r="BR2" s="60" t="s">
        <v>700</v>
      </c>
      <c r="BS2" s="60" t="s">
        <v>703</v>
      </c>
      <c r="BT2" s="60" t="s">
        <v>706</v>
      </c>
      <c r="BU2" s="60" t="s">
        <v>709</v>
      </c>
      <c r="BV2" s="60" t="s">
        <v>712</v>
      </c>
      <c r="BW2" s="60" t="s">
        <v>715</v>
      </c>
      <c r="BX2" s="60" t="s">
        <v>718</v>
      </c>
      <c r="BY2" s="60" t="s">
        <v>722</v>
      </c>
      <c r="BZ2" s="60" t="s">
        <v>727</v>
      </c>
      <c r="CA2" s="60" t="s">
        <v>730</v>
      </c>
      <c r="CB2" s="60" t="s">
        <v>733</v>
      </c>
      <c r="CC2" s="60" t="s">
        <v>736</v>
      </c>
      <c r="CD2" s="60" t="s">
        <v>739</v>
      </c>
      <c r="CE2" s="60" t="s">
        <v>742</v>
      </c>
      <c r="CF2" s="60" t="s">
        <v>745</v>
      </c>
      <c r="CG2" s="60" t="s">
        <v>748</v>
      </c>
      <c r="CH2" s="60" t="s">
        <v>752</v>
      </c>
      <c r="CI2" s="60" t="s">
        <v>757</v>
      </c>
      <c r="CJ2" s="60" t="s">
        <v>759</v>
      </c>
      <c r="CK2" s="60" t="s">
        <v>762</v>
      </c>
      <c r="CL2" s="60" t="s">
        <v>765</v>
      </c>
      <c r="CM2" s="60" t="s">
        <v>768</v>
      </c>
      <c r="CN2" s="60" t="s">
        <v>772</v>
      </c>
      <c r="CO2" s="60" t="s">
        <v>777</v>
      </c>
      <c r="CP2" s="60" t="s">
        <v>781</v>
      </c>
      <c r="CQ2" s="60" t="s">
        <v>783</v>
      </c>
      <c r="CR2" s="60" t="s">
        <v>786</v>
      </c>
      <c r="CS2" s="60" t="s">
        <v>790</v>
      </c>
      <c r="CT2" s="60" t="s">
        <v>795</v>
      </c>
      <c r="CU2" s="60" t="s">
        <v>798</v>
      </c>
      <c r="CV2" s="60" t="s">
        <v>802</v>
      </c>
      <c r="CW2" s="60" t="s">
        <v>806</v>
      </c>
      <c r="CX2" s="60" t="s">
        <v>808</v>
      </c>
      <c r="CY2" s="60" t="s">
        <v>812</v>
      </c>
      <c r="CZ2" s="60" t="s">
        <v>817</v>
      </c>
      <c r="DA2" s="60" t="s">
        <v>819</v>
      </c>
      <c r="DB2" s="60" t="s">
        <v>823</v>
      </c>
      <c r="DC2" s="60" t="s">
        <v>828</v>
      </c>
      <c r="DD2" s="60" t="s">
        <v>833</v>
      </c>
      <c r="DE2" s="60" t="s">
        <v>838</v>
      </c>
      <c r="DF2" s="60" t="s">
        <v>844</v>
      </c>
      <c r="DG2" s="60" t="s">
        <v>849</v>
      </c>
      <c r="DH2" s="60" t="s">
        <v>853</v>
      </c>
      <c r="DI2" s="60" t="s">
        <v>857</v>
      </c>
      <c r="DJ2" s="60" t="s">
        <v>860</v>
      </c>
      <c r="DK2" s="60" t="s">
        <v>863</v>
      </c>
      <c r="DL2" s="60" t="s">
        <v>866</v>
      </c>
      <c r="DM2" s="60" t="s">
        <v>869</v>
      </c>
      <c r="DN2" s="60" t="s">
        <v>872</v>
      </c>
      <c r="DO2" s="60" t="s">
        <v>875</v>
      </c>
      <c r="DP2" s="60" t="s">
        <v>878</v>
      </c>
      <c r="DQ2" s="60" t="s">
        <v>881</v>
      </c>
    </row>
    <row r="3" spans="1:121" x14ac:dyDescent="0.3">
      <c r="A3">
        <v>20118578415</v>
      </c>
      <c r="B3" t="s">
        <v>55</v>
      </c>
    </row>
    <row r="4" spans="1:121" x14ac:dyDescent="0.3">
      <c r="A4">
        <v>20129156083</v>
      </c>
      <c r="B4" t="s">
        <v>63</v>
      </c>
    </row>
    <row r="5" spans="1:121" x14ac:dyDescent="0.3">
      <c r="A5">
        <v>20129529530</v>
      </c>
      <c r="B5" t="s">
        <v>68</v>
      </c>
    </row>
    <row r="6" spans="1:121" x14ac:dyDescent="0.3">
      <c r="A6">
        <v>20132489824</v>
      </c>
      <c r="B6" t="s">
        <v>71</v>
      </c>
    </row>
    <row r="7" spans="1:121" x14ac:dyDescent="0.3">
      <c r="A7">
        <v>20132505455</v>
      </c>
      <c r="B7" t="s">
        <v>74</v>
      </c>
    </row>
    <row r="8" spans="1:121" x14ac:dyDescent="0.3">
      <c r="A8">
        <v>20132509795</v>
      </c>
      <c r="B8" t="s">
        <v>77</v>
      </c>
    </row>
    <row r="9" spans="1:121" x14ac:dyDescent="0.3">
      <c r="A9">
        <v>20132509876</v>
      </c>
      <c r="B9" t="s">
        <v>79</v>
      </c>
    </row>
    <row r="10" spans="1:121" x14ac:dyDescent="0.3">
      <c r="A10">
        <v>20132517119</v>
      </c>
      <c r="B10" t="s">
        <v>81</v>
      </c>
    </row>
    <row r="11" spans="1:121" x14ac:dyDescent="0.3">
      <c r="A11">
        <v>20136201132</v>
      </c>
      <c r="B11" t="s">
        <v>83</v>
      </c>
    </row>
    <row r="12" spans="1:121" x14ac:dyDescent="0.3">
      <c r="A12">
        <v>20136201213</v>
      </c>
      <c r="B12" t="s">
        <v>85</v>
      </c>
    </row>
    <row r="13" spans="1:121" x14ac:dyDescent="0.3">
      <c r="A13">
        <v>20140292657</v>
      </c>
      <c r="B13" t="s">
        <v>88</v>
      </c>
    </row>
    <row r="14" spans="1:121" x14ac:dyDescent="0.3">
      <c r="A14">
        <v>20143692010</v>
      </c>
      <c r="B14" t="s">
        <v>90</v>
      </c>
    </row>
    <row r="15" spans="1:121" x14ac:dyDescent="0.3">
      <c r="A15">
        <v>20145484597</v>
      </c>
      <c r="B15" t="s">
        <v>92</v>
      </c>
    </row>
    <row r="16" spans="1:121" x14ac:dyDescent="0.3">
      <c r="A16">
        <v>20146696041</v>
      </c>
      <c r="B16" t="s">
        <v>94</v>
      </c>
    </row>
    <row r="17" spans="1:2" x14ac:dyDescent="0.3">
      <c r="A17">
        <v>20147443120</v>
      </c>
      <c r="B17" t="s">
        <v>97</v>
      </c>
    </row>
    <row r="18" spans="1:2" x14ac:dyDescent="0.3">
      <c r="A18">
        <v>20166786861</v>
      </c>
      <c r="B18" t="s">
        <v>100</v>
      </c>
    </row>
    <row r="19" spans="1:2" x14ac:dyDescent="0.3">
      <c r="A19">
        <v>20170142773</v>
      </c>
      <c r="B19" t="s">
        <v>103</v>
      </c>
    </row>
    <row r="20" spans="1:2" x14ac:dyDescent="0.3">
      <c r="A20">
        <v>20200880448</v>
      </c>
      <c r="B20" t="s">
        <v>106</v>
      </c>
    </row>
    <row r="21" spans="1:2" x14ac:dyDescent="0.3">
      <c r="A21">
        <v>20352417018</v>
      </c>
      <c r="B21" t="s">
        <v>108</v>
      </c>
    </row>
    <row r="22" spans="1:2" x14ac:dyDescent="0.3">
      <c r="A22">
        <v>20352423921</v>
      </c>
      <c r="B22" t="s">
        <v>110</v>
      </c>
    </row>
    <row r="23" spans="1:2" x14ac:dyDescent="0.3">
      <c r="A23">
        <v>20393152207</v>
      </c>
      <c r="B23" t="s">
        <v>113</v>
      </c>
    </row>
    <row r="24" spans="1:2" x14ac:dyDescent="0.3">
      <c r="A24">
        <v>20393593670</v>
      </c>
      <c r="B24" t="s">
        <v>115</v>
      </c>
    </row>
    <row r="25" spans="1:2" x14ac:dyDescent="0.3">
      <c r="A25">
        <v>20393692228</v>
      </c>
      <c r="B25" t="s">
        <v>118</v>
      </c>
    </row>
    <row r="26" spans="1:2" x14ac:dyDescent="0.3">
      <c r="A26">
        <v>20393786044</v>
      </c>
      <c r="B26" t="s">
        <v>120</v>
      </c>
    </row>
    <row r="27" spans="1:2" x14ac:dyDescent="0.3">
      <c r="A27">
        <v>20393816211</v>
      </c>
      <c r="B27" t="s">
        <v>122</v>
      </c>
    </row>
    <row r="28" spans="1:2" x14ac:dyDescent="0.3">
      <c r="A28">
        <v>20393882868</v>
      </c>
      <c r="B28" t="s">
        <v>124</v>
      </c>
    </row>
    <row r="29" spans="1:2" x14ac:dyDescent="0.3">
      <c r="A29">
        <v>20393972000</v>
      </c>
      <c r="B29" t="s">
        <v>126</v>
      </c>
    </row>
    <row r="30" spans="1:2" x14ac:dyDescent="0.3">
      <c r="A30">
        <v>20447888701</v>
      </c>
      <c r="B30" t="s">
        <v>128</v>
      </c>
    </row>
    <row r="31" spans="1:2" x14ac:dyDescent="0.3">
      <c r="A31">
        <v>20450189201</v>
      </c>
      <c r="B31" t="s">
        <v>130</v>
      </c>
    </row>
    <row r="32" spans="1:2" x14ac:dyDescent="0.3">
      <c r="A32">
        <v>20450207544</v>
      </c>
      <c r="B32" t="s">
        <v>133</v>
      </c>
    </row>
    <row r="33" spans="1:2" x14ac:dyDescent="0.3">
      <c r="A33">
        <v>20450242021</v>
      </c>
      <c r="B33" t="s">
        <v>135</v>
      </c>
    </row>
    <row r="34" spans="1:2" x14ac:dyDescent="0.3">
      <c r="A34">
        <v>20450319423</v>
      </c>
      <c r="B34" t="s">
        <v>137</v>
      </c>
    </row>
    <row r="35" spans="1:2" x14ac:dyDescent="0.3">
      <c r="A35">
        <v>20452774705</v>
      </c>
      <c r="B35" t="s">
        <v>139</v>
      </c>
    </row>
    <row r="36" spans="1:2" x14ac:dyDescent="0.3">
      <c r="A36">
        <v>20479595276</v>
      </c>
      <c r="B36" t="s">
        <v>141</v>
      </c>
    </row>
    <row r="37" spans="1:2" x14ac:dyDescent="0.3">
      <c r="A37">
        <v>20479622699</v>
      </c>
      <c r="B37" t="s">
        <v>144</v>
      </c>
    </row>
    <row r="38" spans="1:2" x14ac:dyDescent="0.3">
      <c r="A38">
        <v>20479856258</v>
      </c>
      <c r="B38" t="s">
        <v>146</v>
      </c>
    </row>
    <row r="39" spans="1:2" x14ac:dyDescent="0.3">
      <c r="A39">
        <v>20479917141</v>
      </c>
      <c r="B39" t="s">
        <v>148</v>
      </c>
    </row>
    <row r="40" spans="1:2" x14ac:dyDescent="0.3">
      <c r="A40">
        <v>20480458550</v>
      </c>
      <c r="B40" t="s">
        <v>150</v>
      </c>
    </row>
    <row r="41" spans="1:2" x14ac:dyDescent="0.3">
      <c r="A41">
        <v>20480762895</v>
      </c>
      <c r="B41" t="s">
        <v>152</v>
      </c>
    </row>
    <row r="42" spans="1:2" x14ac:dyDescent="0.3">
      <c r="A42">
        <v>20484163902</v>
      </c>
      <c r="B42" t="s">
        <v>154</v>
      </c>
    </row>
    <row r="43" spans="1:2" x14ac:dyDescent="0.3">
      <c r="A43">
        <v>20485945815</v>
      </c>
      <c r="B43" t="s">
        <v>156</v>
      </c>
    </row>
    <row r="44" spans="1:2" x14ac:dyDescent="0.3">
      <c r="A44">
        <v>20486094657</v>
      </c>
      <c r="B44" t="s">
        <v>158</v>
      </c>
    </row>
    <row r="45" spans="1:2" x14ac:dyDescent="0.3">
      <c r="A45">
        <v>20486255090</v>
      </c>
      <c r="B45" t="s">
        <v>160</v>
      </c>
    </row>
    <row r="46" spans="1:2" x14ac:dyDescent="0.3">
      <c r="A46">
        <v>20486668335</v>
      </c>
      <c r="B46" t="s">
        <v>162</v>
      </c>
    </row>
    <row r="47" spans="1:2" x14ac:dyDescent="0.3">
      <c r="A47">
        <v>20486876019</v>
      </c>
      <c r="B47" t="s">
        <v>164</v>
      </c>
    </row>
    <row r="48" spans="1:2" x14ac:dyDescent="0.3">
      <c r="A48">
        <v>20486973219</v>
      </c>
      <c r="B48" t="s">
        <v>166</v>
      </c>
    </row>
    <row r="49" spans="1:2" x14ac:dyDescent="0.3">
      <c r="A49">
        <v>20487242994</v>
      </c>
      <c r="B49" t="s">
        <v>168</v>
      </c>
    </row>
    <row r="50" spans="1:2" x14ac:dyDescent="0.3">
      <c r="A50">
        <v>20487351343</v>
      </c>
      <c r="B50" t="s">
        <v>170</v>
      </c>
    </row>
    <row r="51" spans="1:2" x14ac:dyDescent="0.3">
      <c r="A51">
        <v>20487661539</v>
      </c>
      <c r="B51" t="s">
        <v>173</v>
      </c>
    </row>
    <row r="52" spans="1:2" x14ac:dyDescent="0.3">
      <c r="A52">
        <v>20490726196</v>
      </c>
      <c r="B52" t="s">
        <v>175</v>
      </c>
    </row>
    <row r="53" spans="1:2" x14ac:dyDescent="0.3">
      <c r="A53">
        <v>20493934822</v>
      </c>
      <c r="B53" t="s">
        <v>177</v>
      </c>
    </row>
    <row r="54" spans="1:2" x14ac:dyDescent="0.3">
      <c r="A54">
        <v>20493959574</v>
      </c>
      <c r="B54" t="s">
        <v>179</v>
      </c>
    </row>
    <row r="55" spans="1:2" x14ac:dyDescent="0.3">
      <c r="A55">
        <v>20494126819</v>
      </c>
      <c r="B55" t="s">
        <v>181</v>
      </c>
    </row>
    <row r="56" spans="1:2" x14ac:dyDescent="0.3">
      <c r="A56">
        <v>20494145791</v>
      </c>
      <c r="B56" t="s">
        <v>183</v>
      </c>
    </row>
    <row r="57" spans="1:2" x14ac:dyDescent="0.3">
      <c r="A57">
        <v>20494699690</v>
      </c>
      <c r="B57" t="s">
        <v>186</v>
      </c>
    </row>
    <row r="58" spans="1:2" x14ac:dyDescent="0.3">
      <c r="A58">
        <v>20525969551</v>
      </c>
      <c r="B58" t="s">
        <v>188</v>
      </c>
    </row>
    <row r="59" spans="1:2" x14ac:dyDescent="0.3">
      <c r="A59">
        <v>20526514689</v>
      </c>
      <c r="B59" t="s">
        <v>190</v>
      </c>
    </row>
    <row r="60" spans="1:2" x14ac:dyDescent="0.3">
      <c r="A60">
        <v>20527565376</v>
      </c>
      <c r="B60" t="s">
        <v>192</v>
      </c>
    </row>
    <row r="61" spans="1:2" x14ac:dyDescent="0.3">
      <c r="A61">
        <v>20528996214</v>
      </c>
      <c r="B61" t="s">
        <v>195</v>
      </c>
    </row>
    <row r="62" spans="1:2" x14ac:dyDescent="0.3">
      <c r="A62">
        <v>20529801433</v>
      </c>
      <c r="B62" t="s">
        <v>197</v>
      </c>
    </row>
    <row r="63" spans="1:2" x14ac:dyDescent="0.3">
      <c r="A63">
        <v>20529822350</v>
      </c>
      <c r="B63" t="s">
        <v>199</v>
      </c>
    </row>
    <row r="64" spans="1:2" x14ac:dyDescent="0.3">
      <c r="A64">
        <v>20531405723</v>
      </c>
      <c r="B64" t="s">
        <v>201</v>
      </c>
    </row>
    <row r="65" spans="1:2" x14ac:dyDescent="0.3">
      <c r="A65">
        <v>20531441797</v>
      </c>
      <c r="B65" t="s">
        <v>203</v>
      </c>
    </row>
    <row r="66" spans="1:2" x14ac:dyDescent="0.3">
      <c r="A66">
        <v>20534524774</v>
      </c>
      <c r="B66" t="s">
        <v>205</v>
      </c>
    </row>
    <row r="67" spans="1:2" x14ac:dyDescent="0.3">
      <c r="A67">
        <v>20539205600</v>
      </c>
      <c r="B67" t="s">
        <v>207</v>
      </c>
    </row>
    <row r="68" spans="1:2" x14ac:dyDescent="0.3">
      <c r="A68">
        <v>20539241665</v>
      </c>
      <c r="B68" t="s">
        <v>209</v>
      </c>
    </row>
    <row r="69" spans="1:2" x14ac:dyDescent="0.3">
      <c r="A69">
        <v>20539280644</v>
      </c>
      <c r="B69" t="s">
        <v>211</v>
      </c>
    </row>
    <row r="70" spans="1:2" x14ac:dyDescent="0.3">
      <c r="A70">
        <v>20542209951</v>
      </c>
      <c r="B70" t="s">
        <v>213</v>
      </c>
    </row>
    <row r="71" spans="1:2" x14ac:dyDescent="0.3">
      <c r="A71">
        <v>20542251990</v>
      </c>
      <c r="B71" t="s">
        <v>216</v>
      </c>
    </row>
    <row r="72" spans="1:2" x14ac:dyDescent="0.3">
      <c r="A72">
        <v>20542257416</v>
      </c>
      <c r="B72" t="s">
        <v>218</v>
      </c>
    </row>
    <row r="73" spans="1:2" x14ac:dyDescent="0.3">
      <c r="A73">
        <v>20542264544</v>
      </c>
      <c r="B73" t="s">
        <v>220</v>
      </c>
    </row>
    <row r="74" spans="1:2" x14ac:dyDescent="0.3">
      <c r="A74">
        <v>20542289024</v>
      </c>
      <c r="B74" t="s">
        <v>222</v>
      </c>
    </row>
    <row r="75" spans="1:2" x14ac:dyDescent="0.3">
      <c r="A75">
        <v>20542299330</v>
      </c>
      <c r="B75" t="s">
        <v>224</v>
      </c>
    </row>
    <row r="76" spans="1:2" x14ac:dyDescent="0.3">
      <c r="A76">
        <v>20542311569</v>
      </c>
      <c r="B76" t="s">
        <v>226</v>
      </c>
    </row>
    <row r="77" spans="1:2" x14ac:dyDescent="0.3">
      <c r="A77">
        <v>20542380455</v>
      </c>
      <c r="B77" t="s">
        <v>228</v>
      </c>
    </row>
    <row r="78" spans="1:2" x14ac:dyDescent="0.3">
      <c r="A78">
        <v>20542482886</v>
      </c>
      <c r="B78" t="s">
        <v>230</v>
      </c>
    </row>
    <row r="79" spans="1:2" x14ac:dyDescent="0.3">
      <c r="A79">
        <v>20542825163</v>
      </c>
      <c r="B79" t="s">
        <v>232</v>
      </c>
    </row>
    <row r="80" spans="1:2" x14ac:dyDescent="0.3">
      <c r="A80">
        <v>20561140091</v>
      </c>
      <c r="B80" t="s">
        <v>235</v>
      </c>
    </row>
    <row r="81" spans="1:2" x14ac:dyDescent="0.3">
      <c r="A81">
        <v>20564032485</v>
      </c>
      <c r="B81" t="s">
        <v>238</v>
      </c>
    </row>
    <row r="82" spans="1:2" x14ac:dyDescent="0.3">
      <c r="A82">
        <v>20568071281</v>
      </c>
      <c r="B82" t="s">
        <v>240</v>
      </c>
    </row>
    <row r="83" spans="1:2" x14ac:dyDescent="0.3">
      <c r="A83">
        <v>20568080948</v>
      </c>
      <c r="B83" t="s">
        <v>243</v>
      </c>
    </row>
    <row r="84" spans="1:2" x14ac:dyDescent="0.3">
      <c r="A84">
        <v>20568190450</v>
      </c>
      <c r="B84" t="s">
        <v>245</v>
      </c>
    </row>
    <row r="85" spans="1:2" x14ac:dyDescent="0.3">
      <c r="A85">
        <v>20568194951</v>
      </c>
      <c r="B85" t="s">
        <v>247</v>
      </c>
    </row>
    <row r="86" spans="1:2" x14ac:dyDescent="0.3">
      <c r="A86">
        <v>20568428375</v>
      </c>
      <c r="B86" t="s">
        <v>249</v>
      </c>
    </row>
    <row r="87" spans="1:2" x14ac:dyDescent="0.3">
      <c r="A87">
        <v>20568549083</v>
      </c>
      <c r="B87" t="s">
        <v>251</v>
      </c>
    </row>
    <row r="88" spans="1:2" x14ac:dyDescent="0.3">
      <c r="A88">
        <v>20568560133</v>
      </c>
      <c r="B88" t="s">
        <v>253</v>
      </c>
    </row>
    <row r="89" spans="1:2" x14ac:dyDescent="0.3">
      <c r="A89">
        <v>20568567731</v>
      </c>
      <c r="B89" t="s">
        <v>255</v>
      </c>
    </row>
    <row r="90" spans="1:2" x14ac:dyDescent="0.3">
      <c r="A90">
        <v>20568609833</v>
      </c>
      <c r="B90" t="s">
        <v>257</v>
      </c>
    </row>
    <row r="91" spans="1:2" x14ac:dyDescent="0.3">
      <c r="A91">
        <v>20568962282</v>
      </c>
      <c r="B91" t="s">
        <v>259</v>
      </c>
    </row>
    <row r="92" spans="1:2" x14ac:dyDescent="0.3">
      <c r="A92">
        <v>20570706927</v>
      </c>
      <c r="B92" t="s">
        <v>261</v>
      </c>
    </row>
    <row r="93" spans="1:2" x14ac:dyDescent="0.3">
      <c r="A93">
        <v>20572111131</v>
      </c>
      <c r="B93" t="s">
        <v>263</v>
      </c>
    </row>
    <row r="94" spans="1:2" x14ac:dyDescent="0.3">
      <c r="A94">
        <v>20572190251</v>
      </c>
      <c r="B94" t="s">
        <v>265</v>
      </c>
    </row>
    <row r="95" spans="1:2" x14ac:dyDescent="0.3">
      <c r="A95">
        <v>20573049102</v>
      </c>
      <c r="B95" t="s">
        <v>267</v>
      </c>
    </row>
    <row r="96" spans="1:2" x14ac:dyDescent="0.3">
      <c r="A96">
        <v>20573057385</v>
      </c>
      <c r="B96" t="s">
        <v>269</v>
      </c>
    </row>
    <row r="97" spans="1:2" x14ac:dyDescent="0.3">
      <c r="A97">
        <v>20573138202</v>
      </c>
      <c r="B97" t="s">
        <v>271</v>
      </c>
    </row>
    <row r="98" spans="1:2" x14ac:dyDescent="0.3">
      <c r="A98">
        <v>20573260008</v>
      </c>
      <c r="B98" t="s">
        <v>273</v>
      </c>
    </row>
    <row r="99" spans="1:2" x14ac:dyDescent="0.3">
      <c r="A99">
        <v>20573344791</v>
      </c>
      <c r="B99" t="s">
        <v>275</v>
      </c>
    </row>
    <row r="100" spans="1:2" x14ac:dyDescent="0.3">
      <c r="A100">
        <v>20574797013</v>
      </c>
      <c r="B100" t="s">
        <v>278</v>
      </c>
    </row>
    <row r="101" spans="1:2" x14ac:dyDescent="0.3">
      <c r="A101">
        <v>20600001109</v>
      </c>
      <c r="B101" t="s">
        <v>280</v>
      </c>
    </row>
    <row r="102" spans="1:2" x14ac:dyDescent="0.3">
      <c r="A102">
        <v>20600010086</v>
      </c>
      <c r="B102" t="s">
        <v>282</v>
      </c>
    </row>
    <row r="103" spans="1:2" x14ac:dyDescent="0.3">
      <c r="A103">
        <v>20600029887</v>
      </c>
      <c r="B103" t="s">
        <v>284</v>
      </c>
    </row>
    <row r="104" spans="1:2" x14ac:dyDescent="0.3">
      <c r="A104">
        <v>20600146689</v>
      </c>
      <c r="B104" t="s">
        <v>286</v>
      </c>
    </row>
    <row r="105" spans="1:2" x14ac:dyDescent="0.3">
      <c r="A105">
        <v>20600200756</v>
      </c>
      <c r="B105" t="s">
        <v>288</v>
      </c>
    </row>
    <row r="106" spans="1:2" x14ac:dyDescent="0.3">
      <c r="A106">
        <v>20600263286</v>
      </c>
      <c r="B106" t="s">
        <v>290</v>
      </c>
    </row>
    <row r="107" spans="1:2" x14ac:dyDescent="0.3">
      <c r="A107">
        <v>20600382064</v>
      </c>
      <c r="B107" t="s">
        <v>292</v>
      </c>
    </row>
    <row r="108" spans="1:2" x14ac:dyDescent="0.3">
      <c r="A108">
        <v>20600390911</v>
      </c>
      <c r="B108" t="s">
        <v>294</v>
      </c>
    </row>
    <row r="109" spans="1:2" x14ac:dyDescent="0.3">
      <c r="A109">
        <v>20600529693</v>
      </c>
      <c r="B109" t="s">
        <v>296</v>
      </c>
    </row>
    <row r="110" spans="1:2" x14ac:dyDescent="0.3">
      <c r="A110">
        <v>20600668430</v>
      </c>
      <c r="B110" t="s">
        <v>298</v>
      </c>
    </row>
    <row r="111" spans="1:2" x14ac:dyDescent="0.3">
      <c r="A111">
        <v>20600682386</v>
      </c>
      <c r="B111" t="s">
        <v>300</v>
      </c>
    </row>
    <row r="112" spans="1:2" x14ac:dyDescent="0.3">
      <c r="A112">
        <v>20600720733</v>
      </c>
      <c r="B112" t="s">
        <v>302</v>
      </c>
    </row>
    <row r="113" spans="1:2" x14ac:dyDescent="0.3">
      <c r="A113">
        <v>20600785541</v>
      </c>
      <c r="B113" t="s">
        <v>304</v>
      </c>
    </row>
    <row r="114" spans="1:2" x14ac:dyDescent="0.3">
      <c r="A114">
        <v>20600796683</v>
      </c>
      <c r="B114" t="s">
        <v>306</v>
      </c>
    </row>
    <row r="115" spans="1:2" x14ac:dyDescent="0.3">
      <c r="A115">
        <v>20600796721</v>
      </c>
      <c r="B115" t="s">
        <v>308</v>
      </c>
    </row>
    <row r="116" spans="1:2" x14ac:dyDescent="0.3">
      <c r="A116">
        <v>20600874919</v>
      </c>
      <c r="B116" t="s">
        <v>310</v>
      </c>
    </row>
    <row r="117" spans="1:2" x14ac:dyDescent="0.3">
      <c r="A117">
        <v>20600964080</v>
      </c>
      <c r="B117" t="s">
        <v>312</v>
      </c>
    </row>
    <row r="118" spans="1:2" x14ac:dyDescent="0.3">
      <c r="A118">
        <v>20601067146</v>
      </c>
      <c r="B118" t="s">
        <v>314</v>
      </c>
    </row>
    <row r="119" spans="1:2" x14ac:dyDescent="0.3">
      <c r="A119">
        <v>20601119316</v>
      </c>
      <c r="B119" t="s">
        <v>316</v>
      </c>
    </row>
    <row r="120" spans="1:2" x14ac:dyDescent="0.3">
      <c r="A120">
        <v>20601186986</v>
      </c>
      <c r="B120" t="s">
        <v>318</v>
      </c>
    </row>
    <row r="121" spans="1:2" x14ac:dyDescent="0.3">
      <c r="A121">
        <v>20601329159</v>
      </c>
      <c r="B121" t="s">
        <v>320</v>
      </c>
    </row>
    <row r="122" spans="1:2" x14ac:dyDescent="0.3">
      <c r="A122">
        <v>20601339090</v>
      </c>
      <c r="B122" t="s">
        <v>322</v>
      </c>
    </row>
    <row r="123" spans="1:2" x14ac:dyDescent="0.3">
      <c r="A123">
        <v>20601537771</v>
      </c>
      <c r="B123" t="s">
        <v>324</v>
      </c>
    </row>
    <row r="124" spans="1:2" x14ac:dyDescent="0.3">
      <c r="A124">
        <v>20601558204</v>
      </c>
      <c r="B124" t="s">
        <v>326</v>
      </c>
    </row>
    <row r="125" spans="1:2" x14ac:dyDescent="0.3">
      <c r="A125">
        <v>20601667526</v>
      </c>
      <c r="B125" t="s">
        <v>329</v>
      </c>
    </row>
    <row r="126" spans="1:2" x14ac:dyDescent="0.3">
      <c r="A126">
        <v>20601919657</v>
      </c>
      <c r="B126" t="s">
        <v>331</v>
      </c>
    </row>
    <row r="127" spans="1:2" x14ac:dyDescent="0.3">
      <c r="A127">
        <v>20601939402</v>
      </c>
      <c r="B127" t="s">
        <v>333</v>
      </c>
    </row>
    <row r="128" spans="1:2" x14ac:dyDescent="0.3">
      <c r="A128">
        <v>20601958911</v>
      </c>
      <c r="B128" t="s">
        <v>335</v>
      </c>
    </row>
    <row r="129" spans="1:2" x14ac:dyDescent="0.3">
      <c r="A129">
        <v>20602047025</v>
      </c>
      <c r="B129" t="s">
        <v>337</v>
      </c>
    </row>
    <row r="130" spans="1:2" x14ac:dyDescent="0.3">
      <c r="A130">
        <v>20602054480</v>
      </c>
      <c r="B130" t="s">
        <v>339</v>
      </c>
    </row>
    <row r="131" spans="1:2" x14ac:dyDescent="0.3">
      <c r="A131">
        <v>20602161081</v>
      </c>
      <c r="B131" t="s">
        <v>342</v>
      </c>
    </row>
    <row r="132" spans="1:2" x14ac:dyDescent="0.3">
      <c r="A132">
        <v>20602194265</v>
      </c>
      <c r="B132" t="s">
        <v>344</v>
      </c>
    </row>
    <row r="133" spans="1:2" x14ac:dyDescent="0.3">
      <c r="A133">
        <v>20602242464</v>
      </c>
      <c r="B133" t="s">
        <v>346</v>
      </c>
    </row>
    <row r="134" spans="1:2" x14ac:dyDescent="0.3">
      <c r="A134">
        <v>20602488927</v>
      </c>
      <c r="B134" t="s">
        <v>348</v>
      </c>
    </row>
    <row r="135" spans="1:2" x14ac:dyDescent="0.3">
      <c r="A135">
        <v>20602650643</v>
      </c>
      <c r="B135" t="s">
        <v>351</v>
      </c>
    </row>
    <row r="136" spans="1:2" x14ac:dyDescent="0.3">
      <c r="A136">
        <v>20602712657</v>
      </c>
      <c r="B136" t="s">
        <v>354</v>
      </c>
    </row>
    <row r="137" spans="1:2" x14ac:dyDescent="0.3">
      <c r="A137">
        <v>20602881971</v>
      </c>
      <c r="B137" t="s">
        <v>356</v>
      </c>
    </row>
    <row r="138" spans="1:2" x14ac:dyDescent="0.3">
      <c r="A138">
        <v>20603320621</v>
      </c>
      <c r="B138" t="s">
        <v>358</v>
      </c>
    </row>
    <row r="139" spans="1:2" x14ac:dyDescent="0.3">
      <c r="A139">
        <v>20603526423</v>
      </c>
      <c r="B139" t="s">
        <v>360</v>
      </c>
    </row>
    <row r="140" spans="1:2" x14ac:dyDescent="0.3">
      <c r="A140">
        <v>20603557825</v>
      </c>
      <c r="B140" t="s">
        <v>362</v>
      </c>
    </row>
    <row r="141" spans="1:2" x14ac:dyDescent="0.3">
      <c r="A141">
        <v>20603675551</v>
      </c>
      <c r="B141" t="s">
        <v>364</v>
      </c>
    </row>
    <row r="142" spans="1:2" x14ac:dyDescent="0.3">
      <c r="A142">
        <v>20603676476</v>
      </c>
      <c r="B142" t="s">
        <v>366</v>
      </c>
    </row>
    <row r="143" spans="1:2" x14ac:dyDescent="0.3">
      <c r="A143">
        <v>20603820691</v>
      </c>
      <c r="B143" t="s">
        <v>368</v>
      </c>
    </row>
    <row r="144" spans="1:2" x14ac:dyDescent="0.3">
      <c r="A144">
        <v>20603829515</v>
      </c>
      <c r="B144" t="s">
        <v>370</v>
      </c>
    </row>
    <row r="145" spans="1:2" x14ac:dyDescent="0.3">
      <c r="A145">
        <v>20603842511</v>
      </c>
      <c r="B145" t="s">
        <v>372</v>
      </c>
    </row>
    <row r="146" spans="1:2" x14ac:dyDescent="0.3">
      <c r="A146">
        <v>20603862369</v>
      </c>
      <c r="B146" t="s">
        <v>374</v>
      </c>
    </row>
    <row r="147" spans="1:2" x14ac:dyDescent="0.3">
      <c r="A147">
        <v>20604151954</v>
      </c>
      <c r="B147" t="s">
        <v>376</v>
      </c>
    </row>
    <row r="148" spans="1:2" x14ac:dyDescent="0.3">
      <c r="A148">
        <v>20604215600</v>
      </c>
      <c r="B148" t="s">
        <v>378</v>
      </c>
    </row>
    <row r="149" spans="1:2" x14ac:dyDescent="0.3">
      <c r="A149">
        <v>20604309728</v>
      </c>
      <c r="B149" t="s">
        <v>380</v>
      </c>
    </row>
    <row r="150" spans="1:2" x14ac:dyDescent="0.3">
      <c r="A150">
        <v>20604401187</v>
      </c>
      <c r="B150" t="s">
        <v>382</v>
      </c>
    </row>
    <row r="151" spans="1:2" x14ac:dyDescent="0.3">
      <c r="A151">
        <v>20604705411</v>
      </c>
      <c r="B151" t="s">
        <v>384</v>
      </c>
    </row>
    <row r="152" spans="1:2" x14ac:dyDescent="0.3">
      <c r="A152">
        <v>20604988200</v>
      </c>
      <c r="B152" t="s">
        <v>386</v>
      </c>
    </row>
    <row r="153" spans="1:2" x14ac:dyDescent="0.3">
      <c r="A153">
        <v>20605228489</v>
      </c>
      <c r="B153" t="s">
        <v>388</v>
      </c>
    </row>
    <row r="154" spans="1:2" x14ac:dyDescent="0.3">
      <c r="A154">
        <v>20605500430</v>
      </c>
      <c r="B154" t="s">
        <v>390</v>
      </c>
    </row>
    <row r="155" spans="1:2" x14ac:dyDescent="0.3">
      <c r="A155">
        <v>20605688170</v>
      </c>
      <c r="B155" t="s">
        <v>392</v>
      </c>
    </row>
    <row r="156" spans="1:2" x14ac:dyDescent="0.3">
      <c r="A156">
        <v>20606041382</v>
      </c>
      <c r="B156" t="s">
        <v>394</v>
      </c>
    </row>
    <row r="157" spans="1:2" x14ac:dyDescent="0.3">
      <c r="A157">
        <v>20606451122</v>
      </c>
      <c r="B157" t="s">
        <v>396</v>
      </c>
    </row>
    <row r="158" spans="1:2" x14ac:dyDescent="0.3">
      <c r="A158">
        <v>20606485281</v>
      </c>
      <c r="B158" t="s">
        <v>399</v>
      </c>
    </row>
    <row r="159" spans="1:2" x14ac:dyDescent="0.3">
      <c r="A159">
        <v>20606556331</v>
      </c>
      <c r="B159" t="s">
        <v>401</v>
      </c>
    </row>
    <row r="160" spans="1:2" x14ac:dyDescent="0.3">
      <c r="A160">
        <v>20606717475</v>
      </c>
      <c r="B160" t="s">
        <v>403</v>
      </c>
    </row>
    <row r="161" spans="1:2" x14ac:dyDescent="0.3">
      <c r="A161">
        <v>20607265624</v>
      </c>
      <c r="B161" t="s">
        <v>406</v>
      </c>
    </row>
    <row r="162" spans="1:2" x14ac:dyDescent="0.3">
      <c r="A162">
        <v>20607382604</v>
      </c>
      <c r="B162" t="s">
        <v>408</v>
      </c>
    </row>
    <row r="163" spans="1:2" x14ac:dyDescent="0.3">
      <c r="A163">
        <v>20607536016</v>
      </c>
      <c r="B163" t="s">
        <v>410</v>
      </c>
    </row>
    <row r="164" spans="1:2" x14ac:dyDescent="0.3">
      <c r="A164">
        <v>20607558559</v>
      </c>
      <c r="B164" t="s">
        <v>412</v>
      </c>
    </row>
    <row r="165" spans="1:2" x14ac:dyDescent="0.3">
      <c r="A165">
        <v>20607775185</v>
      </c>
      <c r="B165" t="s">
        <v>414</v>
      </c>
    </row>
    <row r="166" spans="1:2" x14ac:dyDescent="0.3">
      <c r="A166">
        <v>20608235648</v>
      </c>
      <c r="B166" t="s">
        <v>416</v>
      </c>
    </row>
    <row r="167" spans="1:2" x14ac:dyDescent="0.3">
      <c r="A167">
        <v>20608294512</v>
      </c>
      <c r="B167" t="s">
        <v>418</v>
      </c>
    </row>
    <row r="168" spans="1:2" x14ac:dyDescent="0.3">
      <c r="A168">
        <v>20608478311</v>
      </c>
      <c r="B168" t="s">
        <v>420</v>
      </c>
    </row>
    <row r="169" spans="1:2" x14ac:dyDescent="0.3">
      <c r="A169">
        <v>20609025353</v>
      </c>
      <c r="B169" t="s">
        <v>422</v>
      </c>
    </row>
    <row r="170" spans="1:2" x14ac:dyDescent="0.3">
      <c r="A170">
        <v>20609555395</v>
      </c>
      <c r="B170" t="s">
        <v>424</v>
      </c>
    </row>
    <row r="171" spans="1:2" x14ac:dyDescent="0.3">
      <c r="A171">
        <v>20609846314</v>
      </c>
      <c r="B171" t="s">
        <v>426</v>
      </c>
    </row>
    <row r="172" spans="1:2" x14ac:dyDescent="0.3">
      <c r="A172">
        <v>20610739491</v>
      </c>
      <c r="B172" t="s">
        <v>428</v>
      </c>
    </row>
    <row r="173" spans="1:2" x14ac:dyDescent="0.3">
      <c r="A173">
        <v>20610772553</v>
      </c>
      <c r="B173" t="s">
        <v>430</v>
      </c>
    </row>
    <row r="174" spans="1:2" x14ac:dyDescent="0.3">
      <c r="A174">
        <v>20611316616</v>
      </c>
    </row>
    <row r="175" spans="1:2" x14ac:dyDescent="0.3">
      <c r="A175">
        <v>20611935243</v>
      </c>
      <c r="B175" t="s">
        <v>434</v>
      </c>
    </row>
    <row r="176" spans="1:2" x14ac:dyDescent="0.3">
      <c r="A176">
        <v>20612331821</v>
      </c>
      <c r="B176" t="s">
        <v>436</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1494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20</v>
      </c>
      <c r="B2" s="62" t="s">
        <v>885</v>
      </c>
      <c r="C2" s="63" t="s">
        <v>525</v>
      </c>
      <c r="D2" s="63" t="s">
        <v>12</v>
      </c>
      <c r="E2" s="63" t="s">
        <v>14</v>
      </c>
      <c r="F2" s="63" t="s">
        <v>17</v>
      </c>
      <c r="G2" s="63" t="s">
        <v>18</v>
      </c>
      <c r="H2" s="63" t="s">
        <v>591</v>
      </c>
      <c r="I2" s="63" t="s">
        <v>600</v>
      </c>
      <c r="J2" s="63" t="s">
        <v>604</v>
      </c>
      <c r="K2" s="63" t="s">
        <v>606</v>
      </c>
      <c r="L2" s="63" t="s">
        <v>610</v>
      </c>
      <c r="M2" s="63" t="s">
        <v>616</v>
      </c>
      <c r="N2" s="63" t="s">
        <v>618</v>
      </c>
      <c r="O2" s="63" t="s">
        <v>621</v>
      </c>
      <c r="P2" s="63" t="s">
        <v>624</v>
      </c>
      <c r="Q2" s="63" t="s">
        <v>627</v>
      </c>
      <c r="R2" s="63" t="s">
        <v>631</v>
      </c>
      <c r="S2" s="63" t="s">
        <v>634</v>
      </c>
      <c r="T2" s="63" t="s">
        <v>639</v>
      </c>
      <c r="U2" s="63" t="s">
        <v>643</v>
      </c>
      <c r="V2" s="63" t="s">
        <v>646</v>
      </c>
      <c r="W2" s="63" t="s">
        <v>648</v>
      </c>
      <c r="X2" s="63" t="s">
        <v>651</v>
      </c>
      <c r="Y2" s="63" t="s">
        <v>654</v>
      </c>
      <c r="Z2" s="63" t="s">
        <v>657</v>
      </c>
      <c r="AA2" s="63" t="s">
        <v>659</v>
      </c>
      <c r="AB2" s="63" t="s">
        <v>662</v>
      </c>
      <c r="AC2" s="63" t="s">
        <v>665</v>
      </c>
      <c r="AD2" s="63" t="s">
        <v>668</v>
      </c>
      <c r="AE2" s="63" t="s">
        <v>671</v>
      </c>
      <c r="AF2" s="63" t="s">
        <v>674</v>
      </c>
      <c r="AG2" s="63" t="s">
        <v>679</v>
      </c>
      <c r="AH2" s="63" t="s">
        <v>684</v>
      </c>
      <c r="AI2" s="63" t="s">
        <v>686</v>
      </c>
      <c r="AJ2" s="63" t="s">
        <v>689</v>
      </c>
      <c r="AK2" s="63" t="s">
        <v>694</v>
      </c>
      <c r="AL2" s="63" t="s">
        <v>698</v>
      </c>
      <c r="AM2" s="63" t="s">
        <v>700</v>
      </c>
      <c r="AN2" s="63" t="s">
        <v>703</v>
      </c>
      <c r="AO2" s="63" t="s">
        <v>706</v>
      </c>
      <c r="AP2" s="63" t="s">
        <v>709</v>
      </c>
      <c r="AQ2" s="63" t="s">
        <v>712</v>
      </c>
      <c r="AR2" s="63" t="s">
        <v>715</v>
      </c>
      <c r="AS2" s="63" t="s">
        <v>718</v>
      </c>
      <c r="AT2" s="63" t="s">
        <v>722</v>
      </c>
      <c r="AU2" s="63" t="s">
        <v>727</v>
      </c>
      <c r="AV2" s="63" t="s">
        <v>730</v>
      </c>
      <c r="AW2" s="63" t="s">
        <v>733</v>
      </c>
      <c r="AX2" s="63" t="s">
        <v>736</v>
      </c>
      <c r="AY2" s="63" t="s">
        <v>739</v>
      </c>
      <c r="AZ2" s="63" t="s">
        <v>742</v>
      </c>
      <c r="BA2" s="63" t="s">
        <v>745</v>
      </c>
      <c r="BB2" s="63" t="s">
        <v>748</v>
      </c>
      <c r="BC2" s="63" t="s">
        <v>752</v>
      </c>
      <c r="BD2" s="63" t="s">
        <v>757</v>
      </c>
      <c r="BE2" s="63" t="s">
        <v>759</v>
      </c>
      <c r="BF2" s="63" t="s">
        <v>762</v>
      </c>
      <c r="BG2" s="63" t="s">
        <v>765</v>
      </c>
      <c r="BH2" s="63" t="s">
        <v>768</v>
      </c>
      <c r="BI2" s="63" t="s">
        <v>772</v>
      </c>
      <c r="BJ2" s="63" t="s">
        <v>777</v>
      </c>
      <c r="BK2" s="63" t="s">
        <v>781</v>
      </c>
      <c r="BL2" s="63" t="s">
        <v>783</v>
      </c>
      <c r="BM2" s="63" t="s">
        <v>786</v>
      </c>
      <c r="BN2" s="63" t="s">
        <v>790</v>
      </c>
      <c r="BO2" s="63" t="s">
        <v>795</v>
      </c>
      <c r="BP2" s="63" t="s">
        <v>798</v>
      </c>
      <c r="BQ2" s="63" t="s">
        <v>802</v>
      </c>
      <c r="BR2" s="63" t="s">
        <v>806</v>
      </c>
      <c r="BS2" s="63" t="s">
        <v>808</v>
      </c>
      <c r="BT2" s="63" t="s">
        <v>812</v>
      </c>
      <c r="BU2" s="63" t="s">
        <v>819</v>
      </c>
      <c r="BV2" s="63" t="s">
        <v>823</v>
      </c>
      <c r="BW2" s="63" t="s">
        <v>828</v>
      </c>
      <c r="BX2" s="63" t="s">
        <v>833</v>
      </c>
      <c r="BY2" s="63" t="s">
        <v>838</v>
      </c>
      <c r="BZ2" s="63" t="s">
        <v>844</v>
      </c>
      <c r="CA2" s="63" t="s">
        <v>849</v>
      </c>
      <c r="CB2" s="63" t="s">
        <v>1023</v>
      </c>
      <c r="CC2" s="63" t="s">
        <v>1024</v>
      </c>
      <c r="CD2" s="63" t="s">
        <v>1025</v>
      </c>
      <c r="CE2" s="63" t="s">
        <v>1026</v>
      </c>
      <c r="CF2" s="63" t="s">
        <v>1027</v>
      </c>
      <c r="CG2" s="63" t="s">
        <v>1028</v>
      </c>
      <c r="CH2" s="63" t="s">
        <v>1029</v>
      </c>
      <c r="CI2" s="63" t="s">
        <v>1030</v>
      </c>
      <c r="CJ2" s="63" t="s">
        <v>1031</v>
      </c>
      <c r="CK2" s="63" t="s">
        <v>1032</v>
      </c>
      <c r="CL2" s="63" t="s">
        <v>1033</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f>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f>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f>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f>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f>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f>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f>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f>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f>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f>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f>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f>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f>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f>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f>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f>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f>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f>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f>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f>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f>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f>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f>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f>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f>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f>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f>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f>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f>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f>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f>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9">IFERROR(AVERAGE(H35,I35,J35,K35),"")</f>
        <v/>
      </c>
      <c r="CC35" t="str">
        <f t="shared" ref="CC35:CC66" si="10">IFERROR(AVERAGE(L35,M35,N35,O35,P35,R35),"")</f>
        <v/>
      </c>
      <c r="CD35" t="str">
        <f t="shared" ref="CD35:CD66" si="11">IFERROR(AVERAGE(T35,U35,V35,W35,X35,Y35,Z35,AA35,AB35,AC35,AE35),"")</f>
        <v/>
      </c>
      <c r="CE35" t="str">
        <f t="shared" ref="CE35:CE66" si="12">IFERROR(AVERAGE(AG35,AH35,AI35),"")</f>
        <v/>
      </c>
      <c r="CF35" t="str">
        <f t="shared" ref="CF35:CF66" si="13">IFERROR(AVERAGE(AK35,AL35,AM35,AN35,AP35,AQ35,AR35,AS35),"")</f>
        <v/>
      </c>
      <c r="CG35" t="str">
        <f t="shared" ref="CG35:CG66" si="14">IFERROR(AVERAGE(AT35,AU35,AV35,BB35,AW35,AX35,AY35,AZ35,BA35),"")</f>
        <v/>
      </c>
      <c r="CH35" t="str">
        <f t="shared" ref="CH35:CH66" si="15">IFERROR(AVERAGE(BC35,BH35,BI35,BD35,BF35),"")</f>
        <v/>
      </c>
      <c r="CI35" t="str">
        <f t="shared" ref="CI35:CI66" si="16">IFERROR(AVERAGE(BJ35,BK35,BL35,BM35),"")</f>
        <v/>
      </c>
      <c r="CJ35" t="str">
        <f t="shared" ref="CJ35:CJ66" si="17">IFERROR(AVERAGE(BN35,BO35,BP35),"")</f>
        <v/>
      </c>
      <c r="CK35" t="str">
        <f>""</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9"/>
        <v/>
      </c>
      <c r="CC36" t="str">
        <f t="shared" si="10"/>
        <v/>
      </c>
      <c r="CD36" t="str">
        <f t="shared" si="11"/>
        <v/>
      </c>
      <c r="CE36" t="str">
        <f t="shared" si="12"/>
        <v/>
      </c>
      <c r="CF36" t="str">
        <f t="shared" si="13"/>
        <v/>
      </c>
      <c r="CG36" t="str">
        <f t="shared" si="14"/>
        <v/>
      </c>
      <c r="CH36" t="str">
        <f t="shared" si="15"/>
        <v/>
      </c>
      <c r="CI36" t="str">
        <f t="shared" si="16"/>
        <v/>
      </c>
      <c r="CJ36" t="str">
        <f t="shared" si="17"/>
        <v/>
      </c>
      <c r="CK36" t="str">
        <f>""</f>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9"/>
        <v/>
      </c>
      <c r="CC37" t="str">
        <f t="shared" si="10"/>
        <v/>
      </c>
      <c r="CD37" t="str">
        <f t="shared" si="11"/>
        <v/>
      </c>
      <c r="CE37" t="str">
        <f t="shared" si="12"/>
        <v/>
      </c>
      <c r="CF37" t="str">
        <f t="shared" si="13"/>
        <v/>
      </c>
      <c r="CG37" t="str">
        <f t="shared" si="14"/>
        <v/>
      </c>
      <c r="CH37" t="str">
        <f t="shared" si="15"/>
        <v/>
      </c>
      <c r="CI37" t="str">
        <f t="shared" si="16"/>
        <v/>
      </c>
      <c r="CJ37" t="str">
        <f t="shared" si="17"/>
        <v/>
      </c>
      <c r="CK37" t="str">
        <f>""</f>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9"/>
        <v/>
      </c>
      <c r="CC38" t="str">
        <f t="shared" si="10"/>
        <v/>
      </c>
      <c r="CD38" t="str">
        <f t="shared" si="11"/>
        <v/>
      </c>
      <c r="CE38" t="str">
        <f t="shared" si="12"/>
        <v/>
      </c>
      <c r="CF38" t="str">
        <f t="shared" si="13"/>
        <v/>
      </c>
      <c r="CG38" t="str">
        <f t="shared" si="14"/>
        <v/>
      </c>
      <c r="CH38" t="str">
        <f t="shared" si="15"/>
        <v/>
      </c>
      <c r="CI38" t="str">
        <f t="shared" si="16"/>
        <v/>
      </c>
      <c r="CJ38" t="str">
        <f t="shared" si="17"/>
        <v/>
      </c>
      <c r="CK38" t="str">
        <f>""</f>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9"/>
        <v/>
      </c>
      <c r="CC39" t="str">
        <f t="shared" si="10"/>
        <v/>
      </c>
      <c r="CD39" t="str">
        <f t="shared" si="11"/>
        <v/>
      </c>
      <c r="CE39" t="str">
        <f t="shared" si="12"/>
        <v/>
      </c>
      <c r="CF39" t="str">
        <f t="shared" si="13"/>
        <v/>
      </c>
      <c r="CG39" t="str">
        <f t="shared" si="14"/>
        <v/>
      </c>
      <c r="CH39" t="str">
        <f t="shared" si="15"/>
        <v/>
      </c>
      <c r="CI39" t="str">
        <f t="shared" si="16"/>
        <v/>
      </c>
      <c r="CJ39" t="str">
        <f t="shared" si="17"/>
        <v/>
      </c>
      <c r="CK39" t="str">
        <f>""</f>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9"/>
        <v/>
      </c>
      <c r="CC40" t="str">
        <f t="shared" si="10"/>
        <v/>
      </c>
      <c r="CD40" t="str">
        <f t="shared" si="11"/>
        <v/>
      </c>
      <c r="CE40" t="str">
        <f t="shared" si="12"/>
        <v/>
      </c>
      <c r="CF40" t="str">
        <f t="shared" si="13"/>
        <v/>
      </c>
      <c r="CG40" t="str">
        <f t="shared" si="14"/>
        <v/>
      </c>
      <c r="CH40" t="str">
        <f t="shared" si="15"/>
        <v/>
      </c>
      <c r="CI40" t="str">
        <f t="shared" si="16"/>
        <v/>
      </c>
      <c r="CJ40" t="str">
        <f t="shared" si="17"/>
        <v/>
      </c>
      <c r="CK40" t="str">
        <f>""</f>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9"/>
        <v/>
      </c>
      <c r="CC41" t="str">
        <f t="shared" si="10"/>
        <v/>
      </c>
      <c r="CD41" t="str">
        <f t="shared" si="11"/>
        <v/>
      </c>
      <c r="CE41" t="str">
        <f t="shared" si="12"/>
        <v/>
      </c>
      <c r="CF41" t="str">
        <f t="shared" si="13"/>
        <v/>
      </c>
      <c r="CG41" t="str">
        <f t="shared" si="14"/>
        <v/>
      </c>
      <c r="CH41" t="str">
        <f t="shared" si="15"/>
        <v/>
      </c>
      <c r="CI41" t="str">
        <f t="shared" si="16"/>
        <v/>
      </c>
      <c r="CJ41" t="str">
        <f t="shared" si="17"/>
        <v/>
      </c>
      <c r="CK41" t="str">
        <f>""</f>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9"/>
        <v/>
      </c>
      <c r="CC42" t="str">
        <f t="shared" si="10"/>
        <v/>
      </c>
      <c r="CD42" t="str">
        <f t="shared" si="11"/>
        <v/>
      </c>
      <c r="CE42" t="str">
        <f t="shared" si="12"/>
        <v/>
      </c>
      <c r="CF42" t="str">
        <f t="shared" si="13"/>
        <v/>
      </c>
      <c r="CG42" t="str">
        <f t="shared" si="14"/>
        <v/>
      </c>
      <c r="CH42" t="str">
        <f t="shared" si="15"/>
        <v/>
      </c>
      <c r="CI42" t="str">
        <f t="shared" si="16"/>
        <v/>
      </c>
      <c r="CJ42" t="str">
        <f t="shared" si="17"/>
        <v/>
      </c>
      <c r="CK42" t="str">
        <f>""</f>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9"/>
        <v/>
      </c>
      <c r="CC43" t="str">
        <f t="shared" si="10"/>
        <v/>
      </c>
      <c r="CD43" t="str">
        <f t="shared" si="11"/>
        <v/>
      </c>
      <c r="CE43" t="str">
        <f t="shared" si="12"/>
        <v/>
      </c>
      <c r="CF43" t="str">
        <f t="shared" si="13"/>
        <v/>
      </c>
      <c r="CG43" t="str">
        <f t="shared" si="14"/>
        <v/>
      </c>
      <c r="CH43" t="str">
        <f t="shared" si="15"/>
        <v/>
      </c>
      <c r="CI43" t="str">
        <f t="shared" si="16"/>
        <v/>
      </c>
      <c r="CJ43" t="str">
        <f t="shared" si="17"/>
        <v/>
      </c>
      <c r="CK43" t="str">
        <f>""</f>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9"/>
        <v/>
      </c>
      <c r="CC44" t="str">
        <f t="shared" si="10"/>
        <v/>
      </c>
      <c r="CD44" t="str">
        <f t="shared" si="11"/>
        <v/>
      </c>
      <c r="CE44" t="str">
        <f t="shared" si="12"/>
        <v/>
      </c>
      <c r="CF44" t="str">
        <f t="shared" si="13"/>
        <v/>
      </c>
      <c r="CG44" t="str">
        <f t="shared" si="14"/>
        <v/>
      </c>
      <c r="CH44" t="str">
        <f t="shared" si="15"/>
        <v/>
      </c>
      <c r="CI44" t="str">
        <f t="shared" si="16"/>
        <v/>
      </c>
      <c r="CJ44" t="str">
        <f t="shared" si="17"/>
        <v/>
      </c>
      <c r="CK44" t="str">
        <f>""</f>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9"/>
        <v/>
      </c>
      <c r="CC45" t="str">
        <f t="shared" si="10"/>
        <v/>
      </c>
      <c r="CD45" t="str">
        <f t="shared" si="11"/>
        <v/>
      </c>
      <c r="CE45" t="str">
        <f t="shared" si="12"/>
        <v/>
      </c>
      <c r="CF45" t="str">
        <f t="shared" si="13"/>
        <v/>
      </c>
      <c r="CG45" t="str">
        <f t="shared" si="14"/>
        <v/>
      </c>
      <c r="CH45" t="str">
        <f t="shared" si="15"/>
        <v/>
      </c>
      <c r="CI45" t="str">
        <f t="shared" si="16"/>
        <v/>
      </c>
      <c r="CJ45" t="str">
        <f t="shared" si="17"/>
        <v/>
      </c>
      <c r="CK45" t="str">
        <f>""</f>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9"/>
        <v/>
      </c>
      <c r="CC46" t="str">
        <f t="shared" si="10"/>
        <v/>
      </c>
      <c r="CD46" t="str">
        <f t="shared" si="11"/>
        <v/>
      </c>
      <c r="CE46" t="str">
        <f t="shared" si="12"/>
        <v/>
      </c>
      <c r="CF46" t="str">
        <f t="shared" si="13"/>
        <v/>
      </c>
      <c r="CG46" t="str">
        <f t="shared" si="14"/>
        <v/>
      </c>
      <c r="CH46" t="str">
        <f t="shared" si="15"/>
        <v/>
      </c>
      <c r="CI46" t="str">
        <f t="shared" si="16"/>
        <v/>
      </c>
      <c r="CJ46" t="str">
        <f t="shared" si="17"/>
        <v/>
      </c>
      <c r="CK46" t="str">
        <f>""</f>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9"/>
        <v/>
      </c>
      <c r="CC47" t="str">
        <f t="shared" si="10"/>
        <v/>
      </c>
      <c r="CD47" t="str">
        <f t="shared" si="11"/>
        <v/>
      </c>
      <c r="CE47" t="str">
        <f t="shared" si="12"/>
        <v/>
      </c>
      <c r="CF47" t="str">
        <f t="shared" si="13"/>
        <v/>
      </c>
      <c r="CG47" t="str">
        <f t="shared" si="14"/>
        <v/>
      </c>
      <c r="CH47" t="str">
        <f t="shared" si="15"/>
        <v/>
      </c>
      <c r="CI47" t="str">
        <f t="shared" si="16"/>
        <v/>
      </c>
      <c r="CJ47" t="str">
        <f t="shared" si="17"/>
        <v/>
      </c>
      <c r="CK47" t="str">
        <f>""</f>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9"/>
        <v/>
      </c>
      <c r="CC48" t="str">
        <f t="shared" si="10"/>
        <v/>
      </c>
      <c r="CD48" t="str">
        <f t="shared" si="11"/>
        <v/>
      </c>
      <c r="CE48" t="str">
        <f t="shared" si="12"/>
        <v/>
      </c>
      <c r="CF48" t="str">
        <f t="shared" si="13"/>
        <v/>
      </c>
      <c r="CG48" t="str">
        <f t="shared" si="14"/>
        <v/>
      </c>
      <c r="CH48" t="str">
        <f t="shared" si="15"/>
        <v/>
      </c>
      <c r="CI48" t="str">
        <f t="shared" si="16"/>
        <v/>
      </c>
      <c r="CJ48" t="str">
        <f t="shared" si="17"/>
        <v/>
      </c>
      <c r="CK48" t="str">
        <f>""</f>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9"/>
        <v/>
      </c>
      <c r="CC49" t="str">
        <f t="shared" si="10"/>
        <v/>
      </c>
      <c r="CD49" t="str">
        <f t="shared" si="11"/>
        <v/>
      </c>
      <c r="CE49" t="str">
        <f t="shared" si="12"/>
        <v/>
      </c>
      <c r="CF49" t="str">
        <f t="shared" si="13"/>
        <v/>
      </c>
      <c r="CG49" t="str">
        <f t="shared" si="14"/>
        <v/>
      </c>
      <c r="CH49" t="str">
        <f t="shared" si="15"/>
        <v/>
      </c>
      <c r="CI49" t="str">
        <f t="shared" si="16"/>
        <v/>
      </c>
      <c r="CJ49" t="str">
        <f t="shared" si="17"/>
        <v/>
      </c>
      <c r="CK49" t="str">
        <f>""</f>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9"/>
        <v/>
      </c>
      <c r="CC50" t="str">
        <f t="shared" si="10"/>
        <v/>
      </c>
      <c r="CD50" t="str">
        <f t="shared" si="11"/>
        <v/>
      </c>
      <c r="CE50" t="str">
        <f t="shared" si="12"/>
        <v/>
      </c>
      <c r="CF50" t="str">
        <f t="shared" si="13"/>
        <v/>
      </c>
      <c r="CG50" t="str">
        <f t="shared" si="14"/>
        <v/>
      </c>
      <c r="CH50" t="str">
        <f t="shared" si="15"/>
        <v/>
      </c>
      <c r="CI50" t="str">
        <f t="shared" si="16"/>
        <v/>
      </c>
      <c r="CJ50" t="str">
        <f t="shared" si="17"/>
        <v/>
      </c>
      <c r="CK50" t="str">
        <f>""</f>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9"/>
        <v/>
      </c>
      <c r="CC51" t="str">
        <f t="shared" si="10"/>
        <v/>
      </c>
      <c r="CD51" t="str">
        <f t="shared" si="11"/>
        <v/>
      </c>
      <c r="CE51" t="str">
        <f t="shared" si="12"/>
        <v/>
      </c>
      <c r="CF51" t="str">
        <f t="shared" si="13"/>
        <v/>
      </c>
      <c r="CG51" t="str">
        <f t="shared" si="14"/>
        <v/>
      </c>
      <c r="CH51" t="str">
        <f t="shared" si="15"/>
        <v/>
      </c>
      <c r="CI51" t="str">
        <f t="shared" si="16"/>
        <v/>
      </c>
      <c r="CJ51" t="str">
        <f t="shared" si="17"/>
        <v/>
      </c>
      <c r="CK51" t="str">
        <f>""</f>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9"/>
        <v/>
      </c>
      <c r="CC52" t="str">
        <f t="shared" si="10"/>
        <v/>
      </c>
      <c r="CD52" t="str">
        <f t="shared" si="11"/>
        <v/>
      </c>
      <c r="CE52" t="str">
        <f t="shared" si="12"/>
        <v/>
      </c>
      <c r="CF52" t="str">
        <f t="shared" si="13"/>
        <v/>
      </c>
      <c r="CG52" t="str">
        <f t="shared" si="14"/>
        <v/>
      </c>
      <c r="CH52" t="str">
        <f t="shared" si="15"/>
        <v/>
      </c>
      <c r="CI52" t="str">
        <f t="shared" si="16"/>
        <v/>
      </c>
      <c r="CJ52" t="str">
        <f t="shared" si="17"/>
        <v/>
      </c>
      <c r="CK52" t="str">
        <f>""</f>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9"/>
        <v/>
      </c>
      <c r="CC53" t="str">
        <f t="shared" si="10"/>
        <v/>
      </c>
      <c r="CD53" t="str">
        <f t="shared" si="11"/>
        <v/>
      </c>
      <c r="CE53" t="str">
        <f t="shared" si="12"/>
        <v/>
      </c>
      <c r="CF53" t="str">
        <f t="shared" si="13"/>
        <v/>
      </c>
      <c r="CG53" t="str">
        <f t="shared" si="14"/>
        <v/>
      </c>
      <c r="CH53" t="str">
        <f t="shared" si="15"/>
        <v/>
      </c>
      <c r="CI53" t="str">
        <f t="shared" si="16"/>
        <v/>
      </c>
      <c r="CJ53" t="str">
        <f t="shared" si="17"/>
        <v/>
      </c>
      <c r="CK53" t="str">
        <f>""</f>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9"/>
        <v/>
      </c>
      <c r="CC54" t="str">
        <f t="shared" si="10"/>
        <v/>
      </c>
      <c r="CD54" t="str">
        <f t="shared" si="11"/>
        <v/>
      </c>
      <c r="CE54" t="str">
        <f t="shared" si="12"/>
        <v/>
      </c>
      <c r="CF54" t="str">
        <f t="shared" si="13"/>
        <v/>
      </c>
      <c r="CG54" t="str">
        <f t="shared" si="14"/>
        <v/>
      </c>
      <c r="CH54" t="str">
        <f t="shared" si="15"/>
        <v/>
      </c>
      <c r="CI54" t="str">
        <f t="shared" si="16"/>
        <v/>
      </c>
      <c r="CJ54" t="str">
        <f t="shared" si="17"/>
        <v/>
      </c>
      <c r="CK54" t="str">
        <f>""</f>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9"/>
        <v/>
      </c>
      <c r="CC55" t="str">
        <f t="shared" si="10"/>
        <v/>
      </c>
      <c r="CD55" t="str">
        <f t="shared" si="11"/>
        <v/>
      </c>
      <c r="CE55" t="str">
        <f t="shared" si="12"/>
        <v/>
      </c>
      <c r="CF55" t="str">
        <f t="shared" si="13"/>
        <v/>
      </c>
      <c r="CG55" t="str">
        <f t="shared" si="14"/>
        <v/>
      </c>
      <c r="CH55" t="str">
        <f t="shared" si="15"/>
        <v/>
      </c>
      <c r="CI55" t="str">
        <f t="shared" si="16"/>
        <v/>
      </c>
      <c r="CJ55" t="str">
        <f t="shared" si="17"/>
        <v/>
      </c>
      <c r="CK55" t="str">
        <f>""</f>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9"/>
        <v/>
      </c>
      <c r="CC56" t="str">
        <f t="shared" si="10"/>
        <v/>
      </c>
      <c r="CD56" t="str">
        <f t="shared" si="11"/>
        <v/>
      </c>
      <c r="CE56" t="str">
        <f t="shared" si="12"/>
        <v/>
      </c>
      <c r="CF56" t="str">
        <f t="shared" si="13"/>
        <v/>
      </c>
      <c r="CG56" t="str">
        <f t="shared" si="14"/>
        <v/>
      </c>
      <c r="CH56" t="str">
        <f t="shared" si="15"/>
        <v/>
      </c>
      <c r="CI56" t="str">
        <f t="shared" si="16"/>
        <v/>
      </c>
      <c r="CJ56" t="str">
        <f t="shared" si="17"/>
        <v/>
      </c>
      <c r="CK56" t="str">
        <f>""</f>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9"/>
        <v/>
      </c>
      <c r="CC57" t="str">
        <f t="shared" si="10"/>
        <v/>
      </c>
      <c r="CD57" t="str">
        <f t="shared" si="11"/>
        <v/>
      </c>
      <c r="CE57" t="str">
        <f t="shared" si="12"/>
        <v/>
      </c>
      <c r="CF57" t="str">
        <f t="shared" si="13"/>
        <v/>
      </c>
      <c r="CG57" t="str">
        <f t="shared" si="14"/>
        <v/>
      </c>
      <c r="CH57" t="str">
        <f t="shared" si="15"/>
        <v/>
      </c>
      <c r="CI57" t="str">
        <f t="shared" si="16"/>
        <v/>
      </c>
      <c r="CJ57" t="str">
        <f t="shared" si="17"/>
        <v/>
      </c>
      <c r="CK57" t="str">
        <f>""</f>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9"/>
        <v/>
      </c>
      <c r="CC58" t="str">
        <f t="shared" si="10"/>
        <v/>
      </c>
      <c r="CD58" t="str">
        <f t="shared" si="11"/>
        <v/>
      </c>
      <c r="CE58" t="str">
        <f t="shared" si="12"/>
        <v/>
      </c>
      <c r="CF58" t="str">
        <f t="shared" si="13"/>
        <v/>
      </c>
      <c r="CG58" t="str">
        <f t="shared" si="14"/>
        <v/>
      </c>
      <c r="CH58" t="str">
        <f t="shared" si="15"/>
        <v/>
      </c>
      <c r="CI58" t="str">
        <f t="shared" si="16"/>
        <v/>
      </c>
      <c r="CJ58" t="str">
        <f t="shared" si="17"/>
        <v/>
      </c>
      <c r="CK58" t="str">
        <f>""</f>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9"/>
        <v/>
      </c>
      <c r="CC59" t="str">
        <f t="shared" si="10"/>
        <v/>
      </c>
      <c r="CD59" t="str">
        <f t="shared" si="11"/>
        <v/>
      </c>
      <c r="CE59" t="str">
        <f t="shared" si="12"/>
        <v/>
      </c>
      <c r="CF59" t="str">
        <f t="shared" si="13"/>
        <v/>
      </c>
      <c r="CG59" t="str">
        <f t="shared" si="14"/>
        <v/>
      </c>
      <c r="CH59" t="str">
        <f t="shared" si="15"/>
        <v/>
      </c>
      <c r="CI59" t="str">
        <f t="shared" si="16"/>
        <v/>
      </c>
      <c r="CJ59" t="str">
        <f t="shared" si="17"/>
        <v/>
      </c>
      <c r="CK59" t="str">
        <f>""</f>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9"/>
        <v/>
      </c>
      <c r="CC60" t="str">
        <f t="shared" si="10"/>
        <v/>
      </c>
      <c r="CD60" t="str">
        <f t="shared" si="11"/>
        <v/>
      </c>
      <c r="CE60" t="str">
        <f t="shared" si="12"/>
        <v/>
      </c>
      <c r="CF60" t="str">
        <f t="shared" si="13"/>
        <v/>
      </c>
      <c r="CG60" t="str">
        <f t="shared" si="14"/>
        <v/>
      </c>
      <c r="CH60" t="str">
        <f t="shared" si="15"/>
        <v/>
      </c>
      <c r="CI60" t="str">
        <f t="shared" si="16"/>
        <v/>
      </c>
      <c r="CJ60" t="str">
        <f t="shared" si="17"/>
        <v/>
      </c>
      <c r="CK60" t="str">
        <f>""</f>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9"/>
        <v/>
      </c>
      <c r="CC61" t="str">
        <f t="shared" si="10"/>
        <v/>
      </c>
      <c r="CD61" t="str">
        <f t="shared" si="11"/>
        <v/>
      </c>
      <c r="CE61" t="str">
        <f t="shared" si="12"/>
        <v/>
      </c>
      <c r="CF61" t="str">
        <f t="shared" si="13"/>
        <v/>
      </c>
      <c r="CG61" t="str">
        <f t="shared" si="14"/>
        <v/>
      </c>
      <c r="CH61" t="str">
        <f t="shared" si="15"/>
        <v/>
      </c>
      <c r="CI61" t="str">
        <f t="shared" si="16"/>
        <v/>
      </c>
      <c r="CJ61" t="str">
        <f t="shared" si="17"/>
        <v/>
      </c>
      <c r="CK61" t="str">
        <f>""</f>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9"/>
        <v/>
      </c>
      <c r="CC62" t="str">
        <f t="shared" si="10"/>
        <v/>
      </c>
      <c r="CD62" t="str">
        <f t="shared" si="11"/>
        <v/>
      </c>
      <c r="CE62" t="str">
        <f t="shared" si="12"/>
        <v/>
      </c>
      <c r="CF62" t="str">
        <f t="shared" si="13"/>
        <v/>
      </c>
      <c r="CG62" t="str">
        <f t="shared" si="14"/>
        <v/>
      </c>
      <c r="CH62" t="str">
        <f t="shared" si="15"/>
        <v/>
      </c>
      <c r="CI62" t="str">
        <f t="shared" si="16"/>
        <v/>
      </c>
      <c r="CJ62" t="str">
        <f t="shared" si="17"/>
        <v/>
      </c>
      <c r="CK62" t="str">
        <f>""</f>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9"/>
        <v/>
      </c>
      <c r="CC63" t="str">
        <f t="shared" si="10"/>
        <v/>
      </c>
      <c r="CD63" t="str">
        <f t="shared" si="11"/>
        <v/>
      </c>
      <c r="CE63" t="str">
        <f t="shared" si="12"/>
        <v/>
      </c>
      <c r="CF63" t="str">
        <f t="shared" si="13"/>
        <v/>
      </c>
      <c r="CG63" t="str">
        <f t="shared" si="14"/>
        <v/>
      </c>
      <c r="CH63" t="str">
        <f t="shared" si="15"/>
        <v/>
      </c>
      <c r="CI63" t="str">
        <f t="shared" si="16"/>
        <v/>
      </c>
      <c r="CJ63" t="str">
        <f t="shared" si="17"/>
        <v/>
      </c>
      <c r="CK63" t="str">
        <f>""</f>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9"/>
        <v/>
      </c>
      <c r="CC64" t="str">
        <f t="shared" si="10"/>
        <v/>
      </c>
      <c r="CD64" t="str">
        <f t="shared" si="11"/>
        <v/>
      </c>
      <c r="CE64" t="str">
        <f t="shared" si="12"/>
        <v/>
      </c>
      <c r="CF64" t="str">
        <f t="shared" si="13"/>
        <v/>
      </c>
      <c r="CG64" t="str">
        <f t="shared" si="14"/>
        <v/>
      </c>
      <c r="CH64" t="str">
        <f t="shared" si="15"/>
        <v/>
      </c>
      <c r="CI64" t="str">
        <f t="shared" si="16"/>
        <v/>
      </c>
      <c r="CJ64" t="str">
        <f t="shared" si="17"/>
        <v/>
      </c>
      <c r="CK64" t="str">
        <f>""</f>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9"/>
        <v/>
      </c>
      <c r="CC65" t="str">
        <f t="shared" si="10"/>
        <v/>
      </c>
      <c r="CD65" t="str">
        <f t="shared" si="11"/>
        <v/>
      </c>
      <c r="CE65" t="str">
        <f t="shared" si="12"/>
        <v/>
      </c>
      <c r="CF65" t="str">
        <f t="shared" si="13"/>
        <v/>
      </c>
      <c r="CG65" t="str">
        <f t="shared" si="14"/>
        <v/>
      </c>
      <c r="CH65" t="str">
        <f t="shared" si="15"/>
        <v/>
      </c>
      <c r="CI65" t="str">
        <f t="shared" si="16"/>
        <v/>
      </c>
      <c r="CJ65" t="str">
        <f t="shared" si="17"/>
        <v/>
      </c>
      <c r="CK65" t="str">
        <f>""</f>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9"/>
        <v/>
      </c>
      <c r="CC66" t="str">
        <f t="shared" si="10"/>
        <v/>
      </c>
      <c r="CD66" t="str">
        <f t="shared" si="11"/>
        <v/>
      </c>
      <c r="CE66" t="str">
        <f t="shared" si="12"/>
        <v/>
      </c>
      <c r="CF66" t="str">
        <f t="shared" si="13"/>
        <v/>
      </c>
      <c r="CG66" t="str">
        <f t="shared" si="14"/>
        <v/>
      </c>
      <c r="CH66" t="str">
        <f t="shared" si="15"/>
        <v/>
      </c>
      <c r="CI66" t="str">
        <f t="shared" si="16"/>
        <v/>
      </c>
      <c r="CJ66" t="str">
        <f t="shared" si="17"/>
        <v/>
      </c>
      <c r="CK66" t="str">
        <f>""</f>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18">IFERROR(AVERAGE(H67,I67,J67,K67),"")</f>
        <v/>
      </c>
      <c r="CC67" t="str">
        <f t="shared" ref="CC67:CC98" si="19">IFERROR(AVERAGE(L67,M67,N67,O67,P67,R67),"")</f>
        <v/>
      </c>
      <c r="CD67" t="str">
        <f t="shared" ref="CD67:CD98" si="20">IFERROR(AVERAGE(T67,U67,V67,W67,X67,Y67,Z67,AA67,AB67,AC67,AE67),"")</f>
        <v/>
      </c>
      <c r="CE67" t="str">
        <f t="shared" ref="CE67:CE98" si="21">IFERROR(AVERAGE(AG67,AH67,AI67),"")</f>
        <v/>
      </c>
      <c r="CF67" t="str">
        <f t="shared" ref="CF67:CF98" si="22">IFERROR(AVERAGE(AK67,AL67,AM67,AN67,AP67,AQ67,AR67,AS67),"")</f>
        <v/>
      </c>
      <c r="CG67" t="str">
        <f t="shared" ref="CG67:CG98" si="23">IFERROR(AVERAGE(AT67,AU67,AV67,BB67,AW67,AX67,AY67,AZ67,BA67),"")</f>
        <v/>
      </c>
      <c r="CH67" t="str">
        <f t="shared" ref="CH67:CH98" si="24">IFERROR(AVERAGE(BC67,BH67,BI67,BD67,BF67),"")</f>
        <v/>
      </c>
      <c r="CI67" t="str">
        <f t="shared" ref="CI67:CI98" si="25">IFERROR(AVERAGE(BJ67,BK67,BL67,BM67),"")</f>
        <v/>
      </c>
      <c r="CJ67" t="str">
        <f t="shared" ref="CJ67:CJ98" si="26">IFERROR(AVERAGE(BN67,BO67,BP67),"")</f>
        <v/>
      </c>
      <c r="CK67" t="str">
        <f>""</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18"/>
        <v/>
      </c>
      <c r="CC68" t="str">
        <f t="shared" si="19"/>
        <v/>
      </c>
      <c r="CD68" t="str">
        <f t="shared" si="20"/>
        <v/>
      </c>
      <c r="CE68" t="str">
        <f t="shared" si="21"/>
        <v/>
      </c>
      <c r="CF68" t="str">
        <f t="shared" si="22"/>
        <v/>
      </c>
      <c r="CG68" t="str">
        <f t="shared" si="23"/>
        <v/>
      </c>
      <c r="CH68" t="str">
        <f t="shared" si="24"/>
        <v/>
      </c>
      <c r="CI68" t="str">
        <f t="shared" si="25"/>
        <v/>
      </c>
      <c r="CJ68" t="str">
        <f t="shared" si="26"/>
        <v/>
      </c>
      <c r="CK68" t="str">
        <f>""</f>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18"/>
        <v/>
      </c>
      <c r="CC69" t="str">
        <f t="shared" si="19"/>
        <v/>
      </c>
      <c r="CD69" t="str">
        <f t="shared" si="20"/>
        <v/>
      </c>
      <c r="CE69" t="str">
        <f t="shared" si="21"/>
        <v/>
      </c>
      <c r="CF69" t="str">
        <f t="shared" si="22"/>
        <v/>
      </c>
      <c r="CG69" t="str">
        <f t="shared" si="23"/>
        <v/>
      </c>
      <c r="CH69" t="str">
        <f t="shared" si="24"/>
        <v/>
      </c>
      <c r="CI69" t="str">
        <f t="shared" si="25"/>
        <v/>
      </c>
      <c r="CJ69" t="str">
        <f t="shared" si="26"/>
        <v/>
      </c>
      <c r="CK69" t="str">
        <f>""</f>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18"/>
        <v/>
      </c>
      <c r="CC70" t="str">
        <f t="shared" si="19"/>
        <v/>
      </c>
      <c r="CD70" t="str">
        <f t="shared" si="20"/>
        <v/>
      </c>
      <c r="CE70" t="str">
        <f t="shared" si="21"/>
        <v/>
      </c>
      <c r="CF70" t="str">
        <f t="shared" si="22"/>
        <v/>
      </c>
      <c r="CG70" t="str">
        <f t="shared" si="23"/>
        <v/>
      </c>
      <c r="CH70" t="str">
        <f t="shared" si="24"/>
        <v/>
      </c>
      <c r="CI70" t="str">
        <f t="shared" si="25"/>
        <v/>
      </c>
      <c r="CJ70" t="str">
        <f t="shared" si="26"/>
        <v/>
      </c>
      <c r="CK70" t="str">
        <f>""</f>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18"/>
        <v/>
      </c>
      <c r="CC71" t="str">
        <f t="shared" si="19"/>
        <v/>
      </c>
      <c r="CD71" t="str">
        <f t="shared" si="20"/>
        <v/>
      </c>
      <c r="CE71" t="str">
        <f t="shared" si="21"/>
        <v/>
      </c>
      <c r="CF71" t="str">
        <f t="shared" si="22"/>
        <v/>
      </c>
      <c r="CG71" t="str">
        <f t="shared" si="23"/>
        <v/>
      </c>
      <c r="CH71" t="str">
        <f t="shared" si="24"/>
        <v/>
      </c>
      <c r="CI71" t="str">
        <f t="shared" si="25"/>
        <v/>
      </c>
      <c r="CJ71" t="str">
        <f t="shared" si="26"/>
        <v/>
      </c>
      <c r="CK71" t="str">
        <f>""</f>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18"/>
        <v/>
      </c>
      <c r="CC72" t="str">
        <f t="shared" si="19"/>
        <v/>
      </c>
      <c r="CD72" t="str">
        <f t="shared" si="20"/>
        <v/>
      </c>
      <c r="CE72" t="str">
        <f t="shared" si="21"/>
        <v/>
      </c>
      <c r="CF72" t="str">
        <f t="shared" si="22"/>
        <v/>
      </c>
      <c r="CG72" t="str">
        <f t="shared" si="23"/>
        <v/>
      </c>
      <c r="CH72" t="str">
        <f t="shared" si="24"/>
        <v/>
      </c>
      <c r="CI72" t="str">
        <f t="shared" si="25"/>
        <v/>
      </c>
      <c r="CJ72" t="str">
        <f t="shared" si="26"/>
        <v/>
      </c>
      <c r="CK72" t="str">
        <f>""</f>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18"/>
        <v/>
      </c>
      <c r="CC73" t="str">
        <f t="shared" si="19"/>
        <v/>
      </c>
      <c r="CD73" t="str">
        <f t="shared" si="20"/>
        <v/>
      </c>
      <c r="CE73" t="str">
        <f t="shared" si="21"/>
        <v/>
      </c>
      <c r="CF73" t="str">
        <f t="shared" si="22"/>
        <v/>
      </c>
      <c r="CG73" t="str">
        <f t="shared" si="23"/>
        <v/>
      </c>
      <c r="CH73" t="str">
        <f t="shared" si="24"/>
        <v/>
      </c>
      <c r="CI73" t="str">
        <f t="shared" si="25"/>
        <v/>
      </c>
      <c r="CJ73" t="str">
        <f t="shared" si="26"/>
        <v/>
      </c>
      <c r="CK73" t="str">
        <f>""</f>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18"/>
        <v/>
      </c>
      <c r="CC74" t="str">
        <f t="shared" si="19"/>
        <v/>
      </c>
      <c r="CD74" t="str">
        <f t="shared" si="20"/>
        <v/>
      </c>
      <c r="CE74" t="str">
        <f t="shared" si="21"/>
        <v/>
      </c>
      <c r="CF74" t="str">
        <f t="shared" si="22"/>
        <v/>
      </c>
      <c r="CG74" t="str">
        <f t="shared" si="23"/>
        <v/>
      </c>
      <c r="CH74" t="str">
        <f t="shared" si="24"/>
        <v/>
      </c>
      <c r="CI74" t="str">
        <f t="shared" si="25"/>
        <v/>
      </c>
      <c r="CJ74" t="str">
        <f t="shared" si="26"/>
        <v/>
      </c>
      <c r="CK74" t="str">
        <f>""</f>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18"/>
        <v/>
      </c>
      <c r="CC75" t="str">
        <f t="shared" si="19"/>
        <v/>
      </c>
      <c r="CD75" t="str">
        <f t="shared" si="20"/>
        <v/>
      </c>
      <c r="CE75" t="str">
        <f t="shared" si="21"/>
        <v/>
      </c>
      <c r="CF75" t="str">
        <f t="shared" si="22"/>
        <v/>
      </c>
      <c r="CG75" t="str">
        <f t="shared" si="23"/>
        <v/>
      </c>
      <c r="CH75" t="str">
        <f t="shared" si="24"/>
        <v/>
      </c>
      <c r="CI75" t="str">
        <f t="shared" si="25"/>
        <v/>
      </c>
      <c r="CJ75" t="str">
        <f t="shared" si="26"/>
        <v/>
      </c>
      <c r="CK75" t="str">
        <f>""</f>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18"/>
        <v/>
      </c>
      <c r="CC76" t="str">
        <f t="shared" si="19"/>
        <v/>
      </c>
      <c r="CD76" t="str">
        <f t="shared" si="20"/>
        <v/>
      </c>
      <c r="CE76" t="str">
        <f t="shared" si="21"/>
        <v/>
      </c>
      <c r="CF76" t="str">
        <f t="shared" si="22"/>
        <v/>
      </c>
      <c r="CG76" t="str">
        <f t="shared" si="23"/>
        <v/>
      </c>
      <c r="CH76" t="str">
        <f t="shared" si="24"/>
        <v/>
      </c>
      <c r="CI76" t="str">
        <f t="shared" si="25"/>
        <v/>
      </c>
      <c r="CJ76" t="str">
        <f t="shared" si="26"/>
        <v/>
      </c>
      <c r="CK76" t="str">
        <f>""</f>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18"/>
        <v/>
      </c>
      <c r="CC77" t="str">
        <f t="shared" si="19"/>
        <v/>
      </c>
      <c r="CD77" t="str">
        <f t="shared" si="20"/>
        <v/>
      </c>
      <c r="CE77" t="str">
        <f t="shared" si="21"/>
        <v/>
      </c>
      <c r="CF77" t="str">
        <f t="shared" si="22"/>
        <v/>
      </c>
      <c r="CG77" t="str">
        <f t="shared" si="23"/>
        <v/>
      </c>
      <c r="CH77" t="str">
        <f t="shared" si="24"/>
        <v/>
      </c>
      <c r="CI77" t="str">
        <f t="shared" si="25"/>
        <v/>
      </c>
      <c r="CJ77" t="str">
        <f t="shared" si="26"/>
        <v/>
      </c>
      <c r="CK77" t="str">
        <f>""</f>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18"/>
        <v/>
      </c>
      <c r="CC78" t="str">
        <f t="shared" si="19"/>
        <v/>
      </c>
      <c r="CD78" t="str">
        <f t="shared" si="20"/>
        <v/>
      </c>
      <c r="CE78" t="str">
        <f t="shared" si="21"/>
        <v/>
      </c>
      <c r="CF78" t="str">
        <f t="shared" si="22"/>
        <v/>
      </c>
      <c r="CG78" t="str">
        <f t="shared" si="23"/>
        <v/>
      </c>
      <c r="CH78" t="str">
        <f t="shared" si="24"/>
        <v/>
      </c>
      <c r="CI78" t="str">
        <f t="shared" si="25"/>
        <v/>
      </c>
      <c r="CJ78" t="str">
        <f t="shared" si="26"/>
        <v/>
      </c>
      <c r="CK78" t="str">
        <f>""</f>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18"/>
        <v/>
      </c>
      <c r="CC79" t="str">
        <f t="shared" si="19"/>
        <v/>
      </c>
      <c r="CD79" t="str">
        <f t="shared" si="20"/>
        <v/>
      </c>
      <c r="CE79" t="str">
        <f t="shared" si="21"/>
        <v/>
      </c>
      <c r="CF79" t="str">
        <f t="shared" si="22"/>
        <v/>
      </c>
      <c r="CG79" t="str">
        <f t="shared" si="23"/>
        <v/>
      </c>
      <c r="CH79" t="str">
        <f t="shared" si="24"/>
        <v/>
      </c>
      <c r="CI79" t="str">
        <f t="shared" si="25"/>
        <v/>
      </c>
      <c r="CJ79" t="str">
        <f t="shared" si="26"/>
        <v/>
      </c>
      <c r="CK79" t="str">
        <f>""</f>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18"/>
        <v/>
      </c>
      <c r="CC80" t="str">
        <f t="shared" si="19"/>
        <v/>
      </c>
      <c r="CD80" t="str">
        <f t="shared" si="20"/>
        <v/>
      </c>
      <c r="CE80" t="str">
        <f t="shared" si="21"/>
        <v/>
      </c>
      <c r="CF80" t="str">
        <f t="shared" si="22"/>
        <v/>
      </c>
      <c r="CG80" t="str">
        <f t="shared" si="23"/>
        <v/>
      </c>
      <c r="CH80" t="str">
        <f t="shared" si="24"/>
        <v/>
      </c>
      <c r="CI80" t="str">
        <f t="shared" si="25"/>
        <v/>
      </c>
      <c r="CJ80" t="str">
        <f t="shared" si="26"/>
        <v/>
      </c>
      <c r="CK80" t="str">
        <f>""</f>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18"/>
        <v/>
      </c>
      <c r="CC81" t="str">
        <f t="shared" si="19"/>
        <v/>
      </c>
      <c r="CD81" t="str">
        <f t="shared" si="20"/>
        <v/>
      </c>
      <c r="CE81" t="str">
        <f t="shared" si="21"/>
        <v/>
      </c>
      <c r="CF81" t="str">
        <f t="shared" si="22"/>
        <v/>
      </c>
      <c r="CG81" t="str">
        <f t="shared" si="23"/>
        <v/>
      </c>
      <c r="CH81" t="str">
        <f t="shared" si="24"/>
        <v/>
      </c>
      <c r="CI81" t="str">
        <f t="shared" si="25"/>
        <v/>
      </c>
      <c r="CJ81" t="str">
        <f t="shared" si="26"/>
        <v/>
      </c>
      <c r="CK81" t="str">
        <f>""</f>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18"/>
        <v/>
      </c>
      <c r="CC82" t="str">
        <f t="shared" si="19"/>
        <v/>
      </c>
      <c r="CD82" t="str">
        <f t="shared" si="20"/>
        <v/>
      </c>
      <c r="CE82" t="str">
        <f t="shared" si="21"/>
        <v/>
      </c>
      <c r="CF82" t="str">
        <f t="shared" si="22"/>
        <v/>
      </c>
      <c r="CG82" t="str">
        <f t="shared" si="23"/>
        <v/>
      </c>
      <c r="CH82" t="str">
        <f t="shared" si="24"/>
        <v/>
      </c>
      <c r="CI82" t="str">
        <f t="shared" si="25"/>
        <v/>
      </c>
      <c r="CJ82" t="str">
        <f t="shared" si="26"/>
        <v/>
      </c>
      <c r="CK82" t="str">
        <f>""</f>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18"/>
        <v/>
      </c>
      <c r="CC83" t="str">
        <f t="shared" si="19"/>
        <v/>
      </c>
      <c r="CD83" t="str">
        <f t="shared" si="20"/>
        <v/>
      </c>
      <c r="CE83" t="str">
        <f t="shared" si="21"/>
        <v/>
      </c>
      <c r="CF83" t="str">
        <f t="shared" si="22"/>
        <v/>
      </c>
      <c r="CG83" t="str">
        <f t="shared" si="23"/>
        <v/>
      </c>
      <c r="CH83" t="str">
        <f t="shared" si="24"/>
        <v/>
      </c>
      <c r="CI83" t="str">
        <f t="shared" si="25"/>
        <v/>
      </c>
      <c r="CJ83" t="str">
        <f t="shared" si="26"/>
        <v/>
      </c>
      <c r="CK83" t="str">
        <f>""</f>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18"/>
        <v/>
      </c>
      <c r="CC84" t="str">
        <f t="shared" si="19"/>
        <v/>
      </c>
      <c r="CD84" t="str">
        <f t="shared" si="20"/>
        <v/>
      </c>
      <c r="CE84" t="str">
        <f t="shared" si="21"/>
        <v/>
      </c>
      <c r="CF84" t="str">
        <f t="shared" si="22"/>
        <v/>
      </c>
      <c r="CG84" t="str">
        <f t="shared" si="23"/>
        <v/>
      </c>
      <c r="CH84" t="str">
        <f t="shared" si="24"/>
        <v/>
      </c>
      <c r="CI84" t="str">
        <f t="shared" si="25"/>
        <v/>
      </c>
      <c r="CJ84" t="str">
        <f t="shared" si="26"/>
        <v/>
      </c>
      <c r="CK84" t="str">
        <f>""</f>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18"/>
        <v/>
      </c>
      <c r="CC85" t="str">
        <f t="shared" si="19"/>
        <v/>
      </c>
      <c r="CD85" t="str">
        <f t="shared" si="20"/>
        <v/>
      </c>
      <c r="CE85" t="str">
        <f t="shared" si="21"/>
        <v/>
      </c>
      <c r="CF85" t="str">
        <f t="shared" si="22"/>
        <v/>
      </c>
      <c r="CG85" t="str">
        <f t="shared" si="23"/>
        <v/>
      </c>
      <c r="CH85" t="str">
        <f t="shared" si="24"/>
        <v/>
      </c>
      <c r="CI85" t="str">
        <f t="shared" si="25"/>
        <v/>
      </c>
      <c r="CJ85" t="str">
        <f t="shared" si="26"/>
        <v/>
      </c>
      <c r="CK85" t="str">
        <f>""</f>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18"/>
        <v/>
      </c>
      <c r="CC86" t="str">
        <f t="shared" si="19"/>
        <v/>
      </c>
      <c r="CD86" t="str">
        <f t="shared" si="20"/>
        <v/>
      </c>
      <c r="CE86" t="str">
        <f t="shared" si="21"/>
        <v/>
      </c>
      <c r="CF86" t="str">
        <f t="shared" si="22"/>
        <v/>
      </c>
      <c r="CG86" t="str">
        <f t="shared" si="23"/>
        <v/>
      </c>
      <c r="CH86" t="str">
        <f t="shared" si="24"/>
        <v/>
      </c>
      <c r="CI86" t="str">
        <f t="shared" si="25"/>
        <v/>
      </c>
      <c r="CJ86" t="str">
        <f t="shared" si="26"/>
        <v/>
      </c>
      <c r="CK86" t="str">
        <f>""</f>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18"/>
        <v/>
      </c>
      <c r="CC87" t="str">
        <f t="shared" si="19"/>
        <v/>
      </c>
      <c r="CD87" t="str">
        <f t="shared" si="20"/>
        <v/>
      </c>
      <c r="CE87" t="str">
        <f t="shared" si="21"/>
        <v/>
      </c>
      <c r="CF87" t="str">
        <f t="shared" si="22"/>
        <v/>
      </c>
      <c r="CG87" t="str">
        <f t="shared" si="23"/>
        <v/>
      </c>
      <c r="CH87" t="str">
        <f t="shared" si="24"/>
        <v/>
      </c>
      <c r="CI87" t="str">
        <f t="shared" si="25"/>
        <v/>
      </c>
      <c r="CJ87" t="str">
        <f t="shared" si="26"/>
        <v/>
      </c>
      <c r="CK87" t="str">
        <f>""</f>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18"/>
        <v/>
      </c>
      <c r="CC88" t="str">
        <f t="shared" si="19"/>
        <v/>
      </c>
      <c r="CD88" t="str">
        <f t="shared" si="20"/>
        <v/>
      </c>
      <c r="CE88" t="str">
        <f t="shared" si="21"/>
        <v/>
      </c>
      <c r="CF88" t="str">
        <f t="shared" si="22"/>
        <v/>
      </c>
      <c r="CG88" t="str">
        <f t="shared" si="23"/>
        <v/>
      </c>
      <c r="CH88" t="str">
        <f t="shared" si="24"/>
        <v/>
      </c>
      <c r="CI88" t="str">
        <f t="shared" si="25"/>
        <v/>
      </c>
      <c r="CJ88" t="str">
        <f t="shared" si="26"/>
        <v/>
      </c>
      <c r="CK88" t="str">
        <f>""</f>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18"/>
        <v/>
      </c>
      <c r="CC89" t="str">
        <f t="shared" si="19"/>
        <v/>
      </c>
      <c r="CD89" t="str">
        <f t="shared" si="20"/>
        <v/>
      </c>
      <c r="CE89" t="str">
        <f t="shared" si="21"/>
        <v/>
      </c>
      <c r="CF89" t="str">
        <f t="shared" si="22"/>
        <v/>
      </c>
      <c r="CG89" t="str">
        <f t="shared" si="23"/>
        <v/>
      </c>
      <c r="CH89" t="str">
        <f t="shared" si="24"/>
        <v/>
      </c>
      <c r="CI89" t="str">
        <f t="shared" si="25"/>
        <v/>
      </c>
      <c r="CJ89" t="str">
        <f t="shared" si="26"/>
        <v/>
      </c>
      <c r="CK89" t="str">
        <f>""</f>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18"/>
        <v/>
      </c>
      <c r="CC90" t="str">
        <f t="shared" si="19"/>
        <v/>
      </c>
      <c r="CD90" t="str">
        <f t="shared" si="20"/>
        <v/>
      </c>
      <c r="CE90" t="str">
        <f t="shared" si="21"/>
        <v/>
      </c>
      <c r="CF90" t="str">
        <f t="shared" si="22"/>
        <v/>
      </c>
      <c r="CG90" t="str">
        <f t="shared" si="23"/>
        <v/>
      </c>
      <c r="CH90" t="str">
        <f t="shared" si="24"/>
        <v/>
      </c>
      <c r="CI90" t="str">
        <f t="shared" si="25"/>
        <v/>
      </c>
      <c r="CJ90" t="str">
        <f t="shared" si="26"/>
        <v/>
      </c>
      <c r="CK90" t="str">
        <f>""</f>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18"/>
        <v/>
      </c>
      <c r="CC91" t="str">
        <f t="shared" si="19"/>
        <v/>
      </c>
      <c r="CD91" t="str">
        <f t="shared" si="20"/>
        <v/>
      </c>
      <c r="CE91" t="str">
        <f t="shared" si="21"/>
        <v/>
      </c>
      <c r="CF91" t="str">
        <f t="shared" si="22"/>
        <v/>
      </c>
      <c r="CG91" t="str">
        <f t="shared" si="23"/>
        <v/>
      </c>
      <c r="CH91" t="str">
        <f t="shared" si="24"/>
        <v/>
      </c>
      <c r="CI91" t="str">
        <f t="shared" si="25"/>
        <v/>
      </c>
      <c r="CJ91" t="str">
        <f t="shared" si="26"/>
        <v/>
      </c>
      <c r="CK91" t="str">
        <f>""</f>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18"/>
        <v/>
      </c>
      <c r="CC92" t="str">
        <f t="shared" si="19"/>
        <v/>
      </c>
      <c r="CD92" t="str">
        <f t="shared" si="20"/>
        <v/>
      </c>
      <c r="CE92" t="str">
        <f t="shared" si="21"/>
        <v/>
      </c>
      <c r="CF92" t="str">
        <f t="shared" si="22"/>
        <v/>
      </c>
      <c r="CG92" t="str">
        <f t="shared" si="23"/>
        <v/>
      </c>
      <c r="CH92" t="str">
        <f t="shared" si="24"/>
        <v/>
      </c>
      <c r="CI92" t="str">
        <f t="shared" si="25"/>
        <v/>
      </c>
      <c r="CJ92" t="str">
        <f t="shared" si="26"/>
        <v/>
      </c>
      <c r="CK92" t="str">
        <f>""</f>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18"/>
        <v/>
      </c>
      <c r="CC93" t="str">
        <f t="shared" si="19"/>
        <v/>
      </c>
      <c r="CD93" t="str">
        <f t="shared" si="20"/>
        <v/>
      </c>
      <c r="CE93" t="str">
        <f t="shared" si="21"/>
        <v/>
      </c>
      <c r="CF93" t="str">
        <f t="shared" si="22"/>
        <v/>
      </c>
      <c r="CG93" t="str">
        <f t="shared" si="23"/>
        <v/>
      </c>
      <c r="CH93" t="str">
        <f t="shared" si="24"/>
        <v/>
      </c>
      <c r="CI93" t="str">
        <f t="shared" si="25"/>
        <v/>
      </c>
      <c r="CJ93" t="str">
        <f t="shared" si="26"/>
        <v/>
      </c>
      <c r="CK93" t="str">
        <f>""</f>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18"/>
        <v/>
      </c>
      <c r="CC94" t="str">
        <f t="shared" si="19"/>
        <v/>
      </c>
      <c r="CD94" t="str">
        <f t="shared" si="20"/>
        <v/>
      </c>
      <c r="CE94" t="str">
        <f t="shared" si="21"/>
        <v/>
      </c>
      <c r="CF94" t="str">
        <f t="shared" si="22"/>
        <v/>
      </c>
      <c r="CG94" t="str">
        <f t="shared" si="23"/>
        <v/>
      </c>
      <c r="CH94" t="str">
        <f t="shared" si="24"/>
        <v/>
      </c>
      <c r="CI94" t="str">
        <f t="shared" si="25"/>
        <v/>
      </c>
      <c r="CJ94" t="str">
        <f t="shared" si="26"/>
        <v/>
      </c>
      <c r="CK94" t="str">
        <f>""</f>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18"/>
        <v/>
      </c>
      <c r="CC95" t="str">
        <f t="shared" si="19"/>
        <v/>
      </c>
      <c r="CD95" t="str">
        <f t="shared" si="20"/>
        <v/>
      </c>
      <c r="CE95" t="str">
        <f t="shared" si="21"/>
        <v/>
      </c>
      <c r="CF95" t="str">
        <f t="shared" si="22"/>
        <v/>
      </c>
      <c r="CG95" t="str">
        <f t="shared" si="23"/>
        <v/>
      </c>
      <c r="CH95" t="str">
        <f t="shared" si="24"/>
        <v/>
      </c>
      <c r="CI95" t="str">
        <f t="shared" si="25"/>
        <v/>
      </c>
      <c r="CJ95" t="str">
        <f t="shared" si="26"/>
        <v/>
      </c>
      <c r="CK95" t="str">
        <f>""</f>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18"/>
        <v/>
      </c>
      <c r="CC96" t="str">
        <f t="shared" si="19"/>
        <v/>
      </c>
      <c r="CD96" t="str">
        <f t="shared" si="20"/>
        <v/>
      </c>
      <c r="CE96" t="str">
        <f t="shared" si="21"/>
        <v/>
      </c>
      <c r="CF96" t="str">
        <f t="shared" si="22"/>
        <v/>
      </c>
      <c r="CG96" t="str">
        <f t="shared" si="23"/>
        <v/>
      </c>
      <c r="CH96" t="str">
        <f t="shared" si="24"/>
        <v/>
      </c>
      <c r="CI96" t="str">
        <f t="shared" si="25"/>
        <v/>
      </c>
      <c r="CJ96" t="str">
        <f t="shared" si="26"/>
        <v/>
      </c>
      <c r="CK96" t="str">
        <f>""</f>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18"/>
        <v/>
      </c>
      <c r="CC97" t="str">
        <f t="shared" si="19"/>
        <v/>
      </c>
      <c r="CD97" t="str">
        <f t="shared" si="20"/>
        <v/>
      </c>
      <c r="CE97" t="str">
        <f t="shared" si="21"/>
        <v/>
      </c>
      <c r="CF97" t="str">
        <f t="shared" si="22"/>
        <v/>
      </c>
      <c r="CG97" t="str">
        <f t="shared" si="23"/>
        <v/>
      </c>
      <c r="CH97" t="str">
        <f t="shared" si="24"/>
        <v/>
      </c>
      <c r="CI97" t="str">
        <f t="shared" si="25"/>
        <v/>
      </c>
      <c r="CJ97" t="str">
        <f t="shared" si="26"/>
        <v/>
      </c>
      <c r="CK97" t="str">
        <f>""</f>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18"/>
        <v/>
      </c>
      <c r="CC98" t="str">
        <f t="shared" si="19"/>
        <v/>
      </c>
      <c r="CD98" t="str">
        <f t="shared" si="20"/>
        <v/>
      </c>
      <c r="CE98" t="str">
        <f t="shared" si="21"/>
        <v/>
      </c>
      <c r="CF98" t="str">
        <f t="shared" si="22"/>
        <v/>
      </c>
      <c r="CG98" t="str">
        <f t="shared" si="23"/>
        <v/>
      </c>
      <c r="CH98" t="str">
        <f t="shared" si="24"/>
        <v/>
      </c>
      <c r="CI98" t="str">
        <f t="shared" si="25"/>
        <v/>
      </c>
      <c r="CJ98" t="str">
        <f t="shared" si="26"/>
        <v/>
      </c>
      <c r="CK98" t="str">
        <f>""</f>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27">IFERROR(AVERAGE(H99,I99,J99,K99),"")</f>
        <v/>
      </c>
      <c r="CC99" t="str">
        <f t="shared" ref="CC99:CC130" si="28">IFERROR(AVERAGE(L99,M99,N99,O99,P99,R99),"")</f>
        <v/>
      </c>
      <c r="CD99" t="str">
        <f t="shared" ref="CD99:CD130" si="29">IFERROR(AVERAGE(T99,U99,V99,W99,X99,Y99,Z99,AA99,AB99,AC99,AE99),"")</f>
        <v/>
      </c>
      <c r="CE99" t="str">
        <f t="shared" ref="CE99:CE130" si="30">IFERROR(AVERAGE(AG99,AH99,AI99),"")</f>
        <v/>
      </c>
      <c r="CF99" t="str">
        <f t="shared" ref="CF99:CF130" si="31">IFERROR(AVERAGE(AK99,AL99,AM99,AN99,AP99,AQ99,AR99,AS99),"")</f>
        <v/>
      </c>
      <c r="CG99" t="str">
        <f t="shared" ref="CG99:CG130" si="32">IFERROR(AVERAGE(AT99,AU99,AV99,BB99,AW99,AX99,AY99,AZ99,BA99),"")</f>
        <v/>
      </c>
      <c r="CH99" t="str">
        <f t="shared" ref="CH99:CH130" si="33">IFERROR(AVERAGE(BC99,BH99,BI99,BD99,BF99),"")</f>
        <v/>
      </c>
      <c r="CI99" t="str">
        <f t="shared" ref="CI99:CI130" si="34">IFERROR(AVERAGE(BJ99,BK99,BL99,BM99),"")</f>
        <v/>
      </c>
      <c r="CJ99" t="str">
        <f t="shared" ref="CJ99:CJ130" si="35">IFERROR(AVERAGE(BN99,BO99,BP99),"")</f>
        <v/>
      </c>
      <c r="CK99" t="str">
        <f>""</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27"/>
        <v/>
      </c>
      <c r="CC100" t="str">
        <f t="shared" si="28"/>
        <v/>
      </c>
      <c r="CD100" t="str">
        <f t="shared" si="29"/>
        <v/>
      </c>
      <c r="CE100" t="str">
        <f t="shared" si="30"/>
        <v/>
      </c>
      <c r="CF100" t="str">
        <f t="shared" si="31"/>
        <v/>
      </c>
      <c r="CG100" t="str">
        <f t="shared" si="32"/>
        <v/>
      </c>
      <c r="CH100" t="str">
        <f t="shared" si="33"/>
        <v/>
      </c>
      <c r="CI100" t="str">
        <f t="shared" si="34"/>
        <v/>
      </c>
      <c r="CJ100" t="str">
        <f t="shared" si="35"/>
        <v/>
      </c>
      <c r="CK100" t="str">
        <f>""</f>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27"/>
        <v/>
      </c>
      <c r="CC101" t="str">
        <f t="shared" si="28"/>
        <v/>
      </c>
      <c r="CD101" t="str">
        <f t="shared" si="29"/>
        <v/>
      </c>
      <c r="CE101" t="str">
        <f t="shared" si="30"/>
        <v/>
      </c>
      <c r="CF101" t="str">
        <f t="shared" si="31"/>
        <v/>
      </c>
      <c r="CG101" t="str">
        <f t="shared" si="32"/>
        <v/>
      </c>
      <c r="CH101" t="str">
        <f t="shared" si="33"/>
        <v/>
      </c>
      <c r="CI101" t="str">
        <f t="shared" si="34"/>
        <v/>
      </c>
      <c r="CJ101" t="str">
        <f t="shared" si="35"/>
        <v/>
      </c>
      <c r="CK101" t="str">
        <f>""</f>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27"/>
        <v/>
      </c>
      <c r="CC102" t="str">
        <f t="shared" si="28"/>
        <v/>
      </c>
      <c r="CD102" t="str">
        <f t="shared" si="29"/>
        <v/>
      </c>
      <c r="CE102" t="str">
        <f t="shared" si="30"/>
        <v/>
      </c>
      <c r="CF102" t="str">
        <f t="shared" si="31"/>
        <v/>
      </c>
      <c r="CG102" t="str">
        <f t="shared" si="32"/>
        <v/>
      </c>
      <c r="CH102" t="str">
        <f t="shared" si="33"/>
        <v/>
      </c>
      <c r="CI102" t="str">
        <f t="shared" si="34"/>
        <v/>
      </c>
      <c r="CJ102" t="str">
        <f t="shared" si="35"/>
        <v/>
      </c>
      <c r="CK102" t="str">
        <f>""</f>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27"/>
        <v/>
      </c>
      <c r="CC103" t="str">
        <f t="shared" si="28"/>
        <v/>
      </c>
      <c r="CD103" t="str">
        <f t="shared" si="29"/>
        <v/>
      </c>
      <c r="CE103" t="str">
        <f t="shared" si="30"/>
        <v/>
      </c>
      <c r="CF103" t="str">
        <f t="shared" si="31"/>
        <v/>
      </c>
      <c r="CG103" t="str">
        <f t="shared" si="32"/>
        <v/>
      </c>
      <c r="CH103" t="str">
        <f t="shared" si="33"/>
        <v/>
      </c>
      <c r="CI103" t="str">
        <f t="shared" si="34"/>
        <v/>
      </c>
      <c r="CJ103" t="str">
        <f t="shared" si="35"/>
        <v/>
      </c>
      <c r="CK103" t="str">
        <f>""</f>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27"/>
        <v/>
      </c>
      <c r="CC104" t="str">
        <f t="shared" si="28"/>
        <v/>
      </c>
      <c r="CD104" t="str">
        <f t="shared" si="29"/>
        <v/>
      </c>
      <c r="CE104" t="str">
        <f t="shared" si="30"/>
        <v/>
      </c>
      <c r="CF104" t="str">
        <f t="shared" si="31"/>
        <v/>
      </c>
      <c r="CG104" t="str">
        <f t="shared" si="32"/>
        <v/>
      </c>
      <c r="CH104" t="str">
        <f t="shared" si="33"/>
        <v/>
      </c>
      <c r="CI104" t="str">
        <f t="shared" si="34"/>
        <v/>
      </c>
      <c r="CJ104" t="str">
        <f t="shared" si="35"/>
        <v/>
      </c>
      <c r="CK104" t="str">
        <f>""</f>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27"/>
        <v/>
      </c>
      <c r="CC105" t="str">
        <f t="shared" si="28"/>
        <v/>
      </c>
      <c r="CD105" t="str">
        <f t="shared" si="29"/>
        <v/>
      </c>
      <c r="CE105" t="str">
        <f t="shared" si="30"/>
        <v/>
      </c>
      <c r="CF105" t="str">
        <f t="shared" si="31"/>
        <v/>
      </c>
      <c r="CG105" t="str">
        <f t="shared" si="32"/>
        <v/>
      </c>
      <c r="CH105" t="str">
        <f t="shared" si="33"/>
        <v/>
      </c>
      <c r="CI105" t="str">
        <f t="shared" si="34"/>
        <v/>
      </c>
      <c r="CJ105" t="str">
        <f t="shared" si="35"/>
        <v/>
      </c>
      <c r="CK105" t="str">
        <f>""</f>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27"/>
        <v/>
      </c>
      <c r="CC106" t="str">
        <f t="shared" si="28"/>
        <v/>
      </c>
      <c r="CD106" t="str">
        <f t="shared" si="29"/>
        <v/>
      </c>
      <c r="CE106" t="str">
        <f t="shared" si="30"/>
        <v/>
      </c>
      <c r="CF106" t="str">
        <f t="shared" si="31"/>
        <v/>
      </c>
      <c r="CG106" t="str">
        <f t="shared" si="32"/>
        <v/>
      </c>
      <c r="CH106" t="str">
        <f t="shared" si="33"/>
        <v/>
      </c>
      <c r="CI106" t="str">
        <f t="shared" si="34"/>
        <v/>
      </c>
      <c r="CJ106" t="str">
        <f t="shared" si="35"/>
        <v/>
      </c>
      <c r="CK106" t="str">
        <f>""</f>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27"/>
        <v/>
      </c>
      <c r="CC107" t="str">
        <f t="shared" si="28"/>
        <v/>
      </c>
      <c r="CD107" t="str">
        <f t="shared" si="29"/>
        <v/>
      </c>
      <c r="CE107" t="str">
        <f t="shared" si="30"/>
        <v/>
      </c>
      <c r="CF107" t="str">
        <f t="shared" si="31"/>
        <v/>
      </c>
      <c r="CG107" t="str">
        <f t="shared" si="32"/>
        <v/>
      </c>
      <c r="CH107" t="str">
        <f t="shared" si="33"/>
        <v/>
      </c>
      <c r="CI107" t="str">
        <f t="shared" si="34"/>
        <v/>
      </c>
      <c r="CJ107" t="str">
        <f t="shared" si="35"/>
        <v/>
      </c>
      <c r="CK107" t="str">
        <f>""</f>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27"/>
        <v/>
      </c>
      <c r="CC108" t="str">
        <f t="shared" si="28"/>
        <v/>
      </c>
      <c r="CD108" t="str">
        <f t="shared" si="29"/>
        <v/>
      </c>
      <c r="CE108" t="str">
        <f t="shared" si="30"/>
        <v/>
      </c>
      <c r="CF108" t="str">
        <f t="shared" si="31"/>
        <v/>
      </c>
      <c r="CG108" t="str">
        <f t="shared" si="32"/>
        <v/>
      </c>
      <c r="CH108" t="str">
        <f t="shared" si="33"/>
        <v/>
      </c>
      <c r="CI108" t="str">
        <f t="shared" si="34"/>
        <v/>
      </c>
      <c r="CJ108" t="str">
        <f t="shared" si="35"/>
        <v/>
      </c>
      <c r="CK108" t="str">
        <f>""</f>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27"/>
        <v/>
      </c>
      <c r="CC109" t="str">
        <f t="shared" si="28"/>
        <v/>
      </c>
      <c r="CD109" t="str">
        <f t="shared" si="29"/>
        <v/>
      </c>
      <c r="CE109" t="str">
        <f t="shared" si="30"/>
        <v/>
      </c>
      <c r="CF109" t="str">
        <f t="shared" si="31"/>
        <v/>
      </c>
      <c r="CG109" t="str">
        <f t="shared" si="32"/>
        <v/>
      </c>
      <c r="CH109" t="str">
        <f t="shared" si="33"/>
        <v/>
      </c>
      <c r="CI109" t="str">
        <f t="shared" si="34"/>
        <v/>
      </c>
      <c r="CJ109" t="str">
        <f t="shared" si="35"/>
        <v/>
      </c>
      <c r="CK109" t="str">
        <f>""</f>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27"/>
        <v/>
      </c>
      <c r="CC110" t="str">
        <f t="shared" si="28"/>
        <v/>
      </c>
      <c r="CD110" t="str">
        <f t="shared" si="29"/>
        <v/>
      </c>
      <c r="CE110" t="str">
        <f t="shared" si="30"/>
        <v/>
      </c>
      <c r="CF110" t="str">
        <f t="shared" si="31"/>
        <v/>
      </c>
      <c r="CG110" t="str">
        <f t="shared" si="32"/>
        <v/>
      </c>
      <c r="CH110" t="str">
        <f t="shared" si="33"/>
        <v/>
      </c>
      <c r="CI110" t="str">
        <f t="shared" si="34"/>
        <v/>
      </c>
      <c r="CJ110" t="str">
        <f t="shared" si="35"/>
        <v/>
      </c>
      <c r="CK110" t="str">
        <f>""</f>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27"/>
        <v/>
      </c>
      <c r="CC111" t="str">
        <f t="shared" si="28"/>
        <v/>
      </c>
      <c r="CD111" t="str">
        <f t="shared" si="29"/>
        <v/>
      </c>
      <c r="CE111" t="str">
        <f t="shared" si="30"/>
        <v/>
      </c>
      <c r="CF111" t="str">
        <f t="shared" si="31"/>
        <v/>
      </c>
      <c r="CG111" t="str">
        <f t="shared" si="32"/>
        <v/>
      </c>
      <c r="CH111" t="str">
        <f t="shared" si="33"/>
        <v/>
      </c>
      <c r="CI111" t="str">
        <f t="shared" si="34"/>
        <v/>
      </c>
      <c r="CJ111" t="str">
        <f t="shared" si="35"/>
        <v/>
      </c>
      <c r="CK111" t="str">
        <f>""</f>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27"/>
        <v/>
      </c>
      <c r="CC112" t="str">
        <f t="shared" si="28"/>
        <v/>
      </c>
      <c r="CD112" t="str">
        <f t="shared" si="29"/>
        <v/>
      </c>
      <c r="CE112" t="str">
        <f t="shared" si="30"/>
        <v/>
      </c>
      <c r="CF112" t="str">
        <f t="shared" si="31"/>
        <v/>
      </c>
      <c r="CG112" t="str">
        <f t="shared" si="32"/>
        <v/>
      </c>
      <c r="CH112" t="str">
        <f t="shared" si="33"/>
        <v/>
      </c>
      <c r="CI112" t="str">
        <f t="shared" si="34"/>
        <v/>
      </c>
      <c r="CJ112" t="str">
        <f t="shared" si="35"/>
        <v/>
      </c>
      <c r="CK112" t="str">
        <f>""</f>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27"/>
        <v/>
      </c>
      <c r="CC113" t="str">
        <f t="shared" si="28"/>
        <v/>
      </c>
      <c r="CD113" t="str">
        <f t="shared" si="29"/>
        <v/>
      </c>
      <c r="CE113" t="str">
        <f t="shared" si="30"/>
        <v/>
      </c>
      <c r="CF113" t="str">
        <f t="shared" si="31"/>
        <v/>
      </c>
      <c r="CG113" t="str">
        <f t="shared" si="32"/>
        <v/>
      </c>
      <c r="CH113" t="str">
        <f t="shared" si="33"/>
        <v/>
      </c>
      <c r="CI113" t="str">
        <f t="shared" si="34"/>
        <v/>
      </c>
      <c r="CJ113" t="str">
        <f t="shared" si="35"/>
        <v/>
      </c>
      <c r="CK113" t="str">
        <f>""</f>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27"/>
        <v/>
      </c>
      <c r="CC114" t="str">
        <f t="shared" si="28"/>
        <v/>
      </c>
      <c r="CD114" t="str">
        <f t="shared" si="29"/>
        <v/>
      </c>
      <c r="CE114" t="str">
        <f t="shared" si="30"/>
        <v/>
      </c>
      <c r="CF114" t="str">
        <f t="shared" si="31"/>
        <v/>
      </c>
      <c r="CG114" t="str">
        <f t="shared" si="32"/>
        <v/>
      </c>
      <c r="CH114" t="str">
        <f t="shared" si="33"/>
        <v/>
      </c>
      <c r="CI114" t="str">
        <f t="shared" si="34"/>
        <v/>
      </c>
      <c r="CJ114" t="str">
        <f t="shared" si="35"/>
        <v/>
      </c>
      <c r="CK114" t="str">
        <f>""</f>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27"/>
        <v/>
      </c>
      <c r="CC115" t="str">
        <f t="shared" si="28"/>
        <v/>
      </c>
      <c r="CD115" t="str">
        <f t="shared" si="29"/>
        <v/>
      </c>
      <c r="CE115" t="str">
        <f t="shared" si="30"/>
        <v/>
      </c>
      <c r="CF115" t="str">
        <f t="shared" si="31"/>
        <v/>
      </c>
      <c r="CG115" t="str">
        <f t="shared" si="32"/>
        <v/>
      </c>
      <c r="CH115" t="str">
        <f t="shared" si="33"/>
        <v/>
      </c>
      <c r="CI115" t="str">
        <f t="shared" si="34"/>
        <v/>
      </c>
      <c r="CJ115" t="str">
        <f t="shared" si="35"/>
        <v/>
      </c>
      <c r="CK115" t="str">
        <f>""</f>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27"/>
        <v/>
      </c>
      <c r="CC116" t="str">
        <f t="shared" si="28"/>
        <v/>
      </c>
      <c r="CD116" t="str">
        <f t="shared" si="29"/>
        <v/>
      </c>
      <c r="CE116" t="str">
        <f t="shared" si="30"/>
        <v/>
      </c>
      <c r="CF116" t="str">
        <f t="shared" si="31"/>
        <v/>
      </c>
      <c r="CG116" t="str">
        <f t="shared" si="32"/>
        <v/>
      </c>
      <c r="CH116" t="str">
        <f t="shared" si="33"/>
        <v/>
      </c>
      <c r="CI116" t="str">
        <f t="shared" si="34"/>
        <v/>
      </c>
      <c r="CJ116" t="str">
        <f t="shared" si="35"/>
        <v/>
      </c>
      <c r="CK116" t="str">
        <f>""</f>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27"/>
        <v/>
      </c>
      <c r="CC117" t="str">
        <f t="shared" si="28"/>
        <v/>
      </c>
      <c r="CD117" t="str">
        <f t="shared" si="29"/>
        <v/>
      </c>
      <c r="CE117" t="str">
        <f t="shared" si="30"/>
        <v/>
      </c>
      <c r="CF117" t="str">
        <f t="shared" si="31"/>
        <v/>
      </c>
      <c r="CG117" t="str">
        <f t="shared" si="32"/>
        <v/>
      </c>
      <c r="CH117" t="str">
        <f t="shared" si="33"/>
        <v/>
      </c>
      <c r="CI117" t="str">
        <f t="shared" si="34"/>
        <v/>
      </c>
      <c r="CJ117" t="str">
        <f t="shared" si="35"/>
        <v/>
      </c>
      <c r="CK117" t="str">
        <f>""</f>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27"/>
        <v/>
      </c>
      <c r="CC118" t="str">
        <f t="shared" si="28"/>
        <v/>
      </c>
      <c r="CD118" t="str">
        <f t="shared" si="29"/>
        <v/>
      </c>
      <c r="CE118" t="str">
        <f t="shared" si="30"/>
        <v/>
      </c>
      <c r="CF118" t="str">
        <f t="shared" si="31"/>
        <v/>
      </c>
      <c r="CG118" t="str">
        <f t="shared" si="32"/>
        <v/>
      </c>
      <c r="CH118" t="str">
        <f t="shared" si="33"/>
        <v/>
      </c>
      <c r="CI118" t="str">
        <f t="shared" si="34"/>
        <v/>
      </c>
      <c r="CJ118" t="str">
        <f t="shared" si="35"/>
        <v/>
      </c>
      <c r="CK118" t="str">
        <f>""</f>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27"/>
        <v/>
      </c>
      <c r="CC119" t="str">
        <f t="shared" si="28"/>
        <v/>
      </c>
      <c r="CD119" t="str">
        <f t="shared" si="29"/>
        <v/>
      </c>
      <c r="CE119" t="str">
        <f t="shared" si="30"/>
        <v/>
      </c>
      <c r="CF119" t="str">
        <f t="shared" si="31"/>
        <v/>
      </c>
      <c r="CG119" t="str">
        <f t="shared" si="32"/>
        <v/>
      </c>
      <c r="CH119" t="str">
        <f t="shared" si="33"/>
        <v/>
      </c>
      <c r="CI119" t="str">
        <f t="shared" si="34"/>
        <v/>
      </c>
      <c r="CJ119" t="str">
        <f t="shared" si="35"/>
        <v/>
      </c>
      <c r="CK119" t="str">
        <f>""</f>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27"/>
        <v/>
      </c>
      <c r="CC120" t="str">
        <f t="shared" si="28"/>
        <v/>
      </c>
      <c r="CD120" t="str">
        <f t="shared" si="29"/>
        <v/>
      </c>
      <c r="CE120" t="str">
        <f t="shared" si="30"/>
        <v/>
      </c>
      <c r="CF120" t="str">
        <f t="shared" si="31"/>
        <v/>
      </c>
      <c r="CG120" t="str">
        <f t="shared" si="32"/>
        <v/>
      </c>
      <c r="CH120" t="str">
        <f t="shared" si="33"/>
        <v/>
      </c>
      <c r="CI120" t="str">
        <f t="shared" si="34"/>
        <v/>
      </c>
      <c r="CJ120" t="str">
        <f t="shared" si="35"/>
        <v/>
      </c>
      <c r="CK120" t="str">
        <f>""</f>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27"/>
        <v/>
      </c>
      <c r="CC121" t="str">
        <f t="shared" si="28"/>
        <v/>
      </c>
      <c r="CD121" t="str">
        <f t="shared" si="29"/>
        <v/>
      </c>
      <c r="CE121" t="str">
        <f t="shared" si="30"/>
        <v/>
      </c>
      <c r="CF121" t="str">
        <f t="shared" si="31"/>
        <v/>
      </c>
      <c r="CG121" t="str">
        <f t="shared" si="32"/>
        <v/>
      </c>
      <c r="CH121" t="str">
        <f t="shared" si="33"/>
        <v/>
      </c>
      <c r="CI121" t="str">
        <f t="shared" si="34"/>
        <v/>
      </c>
      <c r="CJ121" t="str">
        <f t="shared" si="35"/>
        <v/>
      </c>
      <c r="CK121" t="str">
        <f>""</f>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27"/>
        <v/>
      </c>
      <c r="CC122" t="str">
        <f t="shared" si="28"/>
        <v/>
      </c>
      <c r="CD122" t="str">
        <f t="shared" si="29"/>
        <v/>
      </c>
      <c r="CE122" t="str">
        <f t="shared" si="30"/>
        <v/>
      </c>
      <c r="CF122" t="str">
        <f t="shared" si="31"/>
        <v/>
      </c>
      <c r="CG122" t="str">
        <f t="shared" si="32"/>
        <v/>
      </c>
      <c r="CH122" t="str">
        <f t="shared" si="33"/>
        <v/>
      </c>
      <c r="CI122" t="str">
        <f t="shared" si="34"/>
        <v/>
      </c>
      <c r="CJ122" t="str">
        <f t="shared" si="35"/>
        <v/>
      </c>
      <c r="CK122" t="str">
        <f>""</f>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27"/>
        <v/>
      </c>
      <c r="CC123" t="str">
        <f t="shared" si="28"/>
        <v/>
      </c>
      <c r="CD123" t="str">
        <f t="shared" si="29"/>
        <v/>
      </c>
      <c r="CE123" t="str">
        <f t="shared" si="30"/>
        <v/>
      </c>
      <c r="CF123" t="str">
        <f t="shared" si="31"/>
        <v/>
      </c>
      <c r="CG123" t="str">
        <f t="shared" si="32"/>
        <v/>
      </c>
      <c r="CH123" t="str">
        <f t="shared" si="33"/>
        <v/>
      </c>
      <c r="CI123" t="str">
        <f t="shared" si="34"/>
        <v/>
      </c>
      <c r="CJ123" t="str">
        <f t="shared" si="35"/>
        <v/>
      </c>
      <c r="CK123" t="str">
        <f>""</f>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27"/>
        <v/>
      </c>
      <c r="CC124" t="str">
        <f t="shared" si="28"/>
        <v/>
      </c>
      <c r="CD124" t="str">
        <f t="shared" si="29"/>
        <v/>
      </c>
      <c r="CE124" t="str">
        <f t="shared" si="30"/>
        <v/>
      </c>
      <c r="CF124" t="str">
        <f t="shared" si="31"/>
        <v/>
      </c>
      <c r="CG124" t="str">
        <f t="shared" si="32"/>
        <v/>
      </c>
      <c r="CH124" t="str">
        <f t="shared" si="33"/>
        <v/>
      </c>
      <c r="CI124" t="str">
        <f t="shared" si="34"/>
        <v/>
      </c>
      <c r="CJ124" t="str">
        <f t="shared" si="35"/>
        <v/>
      </c>
      <c r="CK124" t="str">
        <f>""</f>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27"/>
        <v/>
      </c>
      <c r="CC125" t="str">
        <f t="shared" si="28"/>
        <v/>
      </c>
      <c r="CD125" t="str">
        <f t="shared" si="29"/>
        <v/>
      </c>
      <c r="CE125" t="str">
        <f t="shared" si="30"/>
        <v/>
      </c>
      <c r="CF125" t="str">
        <f t="shared" si="31"/>
        <v/>
      </c>
      <c r="CG125" t="str">
        <f t="shared" si="32"/>
        <v/>
      </c>
      <c r="CH125" t="str">
        <f t="shared" si="33"/>
        <v/>
      </c>
      <c r="CI125" t="str">
        <f t="shared" si="34"/>
        <v/>
      </c>
      <c r="CJ125" t="str">
        <f t="shared" si="35"/>
        <v/>
      </c>
      <c r="CK125" t="str">
        <f>""</f>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27"/>
        <v/>
      </c>
      <c r="CC126" t="str">
        <f t="shared" si="28"/>
        <v/>
      </c>
      <c r="CD126" t="str">
        <f t="shared" si="29"/>
        <v/>
      </c>
      <c r="CE126" t="str">
        <f t="shared" si="30"/>
        <v/>
      </c>
      <c r="CF126" t="str">
        <f t="shared" si="31"/>
        <v/>
      </c>
      <c r="CG126" t="str">
        <f t="shared" si="32"/>
        <v/>
      </c>
      <c r="CH126" t="str">
        <f t="shared" si="33"/>
        <v/>
      </c>
      <c r="CI126" t="str">
        <f t="shared" si="34"/>
        <v/>
      </c>
      <c r="CJ126" t="str">
        <f t="shared" si="35"/>
        <v/>
      </c>
      <c r="CK126" t="str">
        <f>""</f>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27"/>
        <v/>
      </c>
      <c r="CC127" t="str">
        <f t="shared" si="28"/>
        <v/>
      </c>
      <c r="CD127" t="str">
        <f t="shared" si="29"/>
        <v/>
      </c>
      <c r="CE127" t="str">
        <f t="shared" si="30"/>
        <v/>
      </c>
      <c r="CF127" t="str">
        <f t="shared" si="31"/>
        <v/>
      </c>
      <c r="CG127" t="str">
        <f t="shared" si="32"/>
        <v/>
      </c>
      <c r="CH127" t="str">
        <f t="shared" si="33"/>
        <v/>
      </c>
      <c r="CI127" t="str">
        <f t="shared" si="34"/>
        <v/>
      </c>
      <c r="CJ127" t="str">
        <f t="shared" si="35"/>
        <v/>
      </c>
      <c r="CK127" t="str">
        <f>""</f>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27"/>
        <v/>
      </c>
      <c r="CC128" t="str">
        <f t="shared" si="28"/>
        <v/>
      </c>
      <c r="CD128" t="str">
        <f t="shared" si="29"/>
        <v/>
      </c>
      <c r="CE128" t="str">
        <f t="shared" si="30"/>
        <v/>
      </c>
      <c r="CF128" t="str">
        <f t="shared" si="31"/>
        <v/>
      </c>
      <c r="CG128" t="str">
        <f t="shared" si="32"/>
        <v/>
      </c>
      <c r="CH128" t="str">
        <f t="shared" si="33"/>
        <v/>
      </c>
      <c r="CI128" t="str">
        <f t="shared" si="34"/>
        <v/>
      </c>
      <c r="CJ128" t="str">
        <f t="shared" si="35"/>
        <v/>
      </c>
      <c r="CK128" t="str">
        <f>""</f>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27"/>
        <v/>
      </c>
      <c r="CC129" t="str">
        <f t="shared" si="28"/>
        <v/>
      </c>
      <c r="CD129" t="str">
        <f t="shared" si="29"/>
        <v/>
      </c>
      <c r="CE129" t="str">
        <f t="shared" si="30"/>
        <v/>
      </c>
      <c r="CF129" t="str">
        <f t="shared" si="31"/>
        <v/>
      </c>
      <c r="CG129" t="str">
        <f t="shared" si="32"/>
        <v/>
      </c>
      <c r="CH129" t="str">
        <f t="shared" si="33"/>
        <v/>
      </c>
      <c r="CI129" t="str">
        <f t="shared" si="34"/>
        <v/>
      </c>
      <c r="CJ129" t="str">
        <f t="shared" si="35"/>
        <v/>
      </c>
      <c r="CK129" t="str">
        <f>""</f>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27"/>
        <v/>
      </c>
      <c r="CC130" t="str">
        <f t="shared" si="28"/>
        <v/>
      </c>
      <c r="CD130" t="str">
        <f t="shared" si="29"/>
        <v/>
      </c>
      <c r="CE130" t="str">
        <f t="shared" si="30"/>
        <v/>
      </c>
      <c r="CF130" t="str">
        <f t="shared" si="31"/>
        <v/>
      </c>
      <c r="CG130" t="str">
        <f t="shared" si="32"/>
        <v/>
      </c>
      <c r="CH130" t="str">
        <f t="shared" si="33"/>
        <v/>
      </c>
      <c r="CI130" t="str">
        <f t="shared" si="34"/>
        <v/>
      </c>
      <c r="CJ130" t="str">
        <f t="shared" si="35"/>
        <v/>
      </c>
      <c r="CK130" t="str">
        <f>""</f>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36">IFERROR(AVERAGE(H131,I131,J131,K131),"")</f>
        <v/>
      </c>
      <c r="CC131" t="str">
        <f t="shared" ref="CC131:CC162" si="37">IFERROR(AVERAGE(L131,M131,N131,O131,P131,R131),"")</f>
        <v/>
      </c>
      <c r="CD131" t="str">
        <f t="shared" ref="CD131:CD162" si="38">IFERROR(AVERAGE(T131,U131,V131,W131,X131,Y131,Z131,AA131,AB131,AC131,AE131),"")</f>
        <v/>
      </c>
      <c r="CE131" t="str">
        <f t="shared" ref="CE131:CE162" si="39">IFERROR(AVERAGE(AG131,AH131,AI131),"")</f>
        <v/>
      </c>
      <c r="CF131" t="str">
        <f t="shared" ref="CF131:CF162" si="40">IFERROR(AVERAGE(AK131,AL131,AM131,AN131,AP131,AQ131,AR131,AS131),"")</f>
        <v/>
      </c>
      <c r="CG131" t="str">
        <f t="shared" ref="CG131:CG162" si="41">IFERROR(AVERAGE(AT131,AU131,AV131,BB131,AW131,AX131,AY131,AZ131,BA131),"")</f>
        <v/>
      </c>
      <c r="CH131" t="str">
        <f t="shared" ref="CH131:CH162" si="42">IFERROR(AVERAGE(BC131,BH131,BI131,BD131,BF131),"")</f>
        <v/>
      </c>
      <c r="CI131" t="str">
        <f t="shared" ref="CI131:CI162" si="43">IFERROR(AVERAGE(BJ131,BK131,BL131,BM131),"")</f>
        <v/>
      </c>
      <c r="CJ131" t="str">
        <f t="shared" ref="CJ131:CJ162" si="44">IFERROR(AVERAGE(BN131,BO131,BP131),"")</f>
        <v/>
      </c>
      <c r="CK131" t="str">
        <f>""</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36"/>
        <v/>
      </c>
      <c r="CC132" t="str">
        <f t="shared" si="37"/>
        <v/>
      </c>
      <c r="CD132" t="str">
        <f t="shared" si="38"/>
        <v/>
      </c>
      <c r="CE132" t="str">
        <f t="shared" si="39"/>
        <v/>
      </c>
      <c r="CF132" t="str">
        <f t="shared" si="40"/>
        <v/>
      </c>
      <c r="CG132" t="str">
        <f t="shared" si="41"/>
        <v/>
      </c>
      <c r="CH132" t="str">
        <f t="shared" si="42"/>
        <v/>
      </c>
      <c r="CI132" t="str">
        <f t="shared" si="43"/>
        <v/>
      </c>
      <c r="CJ132" t="str">
        <f t="shared" si="44"/>
        <v/>
      </c>
      <c r="CK132" t="str">
        <f>""</f>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36"/>
        <v/>
      </c>
      <c r="CC133" t="str">
        <f t="shared" si="37"/>
        <v/>
      </c>
      <c r="CD133" t="str">
        <f t="shared" si="38"/>
        <v/>
      </c>
      <c r="CE133" t="str">
        <f t="shared" si="39"/>
        <v/>
      </c>
      <c r="CF133" t="str">
        <f t="shared" si="40"/>
        <v/>
      </c>
      <c r="CG133" t="str">
        <f t="shared" si="41"/>
        <v/>
      </c>
      <c r="CH133" t="str">
        <f t="shared" si="42"/>
        <v/>
      </c>
      <c r="CI133" t="str">
        <f t="shared" si="43"/>
        <v/>
      </c>
      <c r="CJ133" t="str">
        <f t="shared" si="44"/>
        <v/>
      </c>
      <c r="CK133" t="str">
        <f>""</f>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36"/>
        <v/>
      </c>
      <c r="CC134" t="str">
        <f t="shared" si="37"/>
        <v/>
      </c>
      <c r="CD134" t="str">
        <f t="shared" si="38"/>
        <v/>
      </c>
      <c r="CE134" t="str">
        <f t="shared" si="39"/>
        <v/>
      </c>
      <c r="CF134" t="str">
        <f t="shared" si="40"/>
        <v/>
      </c>
      <c r="CG134" t="str">
        <f t="shared" si="41"/>
        <v/>
      </c>
      <c r="CH134" t="str">
        <f t="shared" si="42"/>
        <v/>
      </c>
      <c r="CI134" t="str">
        <f t="shared" si="43"/>
        <v/>
      </c>
      <c r="CJ134" t="str">
        <f t="shared" si="44"/>
        <v/>
      </c>
      <c r="CK134" t="str">
        <f>""</f>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36"/>
        <v/>
      </c>
      <c r="CC135" t="str">
        <f t="shared" si="37"/>
        <v/>
      </c>
      <c r="CD135" t="str">
        <f t="shared" si="38"/>
        <v/>
      </c>
      <c r="CE135" t="str">
        <f t="shared" si="39"/>
        <v/>
      </c>
      <c r="CF135" t="str">
        <f t="shared" si="40"/>
        <v/>
      </c>
      <c r="CG135" t="str">
        <f t="shared" si="41"/>
        <v/>
      </c>
      <c r="CH135" t="str">
        <f t="shared" si="42"/>
        <v/>
      </c>
      <c r="CI135" t="str">
        <f t="shared" si="43"/>
        <v/>
      </c>
      <c r="CJ135" t="str">
        <f t="shared" si="44"/>
        <v/>
      </c>
      <c r="CK135" t="str">
        <f>""</f>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36"/>
        <v/>
      </c>
      <c r="CC136" t="str">
        <f t="shared" si="37"/>
        <v/>
      </c>
      <c r="CD136" t="str">
        <f t="shared" si="38"/>
        <v/>
      </c>
      <c r="CE136" t="str">
        <f t="shared" si="39"/>
        <v/>
      </c>
      <c r="CF136" t="str">
        <f t="shared" si="40"/>
        <v/>
      </c>
      <c r="CG136" t="str">
        <f t="shared" si="41"/>
        <v/>
      </c>
      <c r="CH136" t="str">
        <f t="shared" si="42"/>
        <v/>
      </c>
      <c r="CI136" t="str">
        <f t="shared" si="43"/>
        <v/>
      </c>
      <c r="CJ136" t="str">
        <f t="shared" si="44"/>
        <v/>
      </c>
      <c r="CK136" t="str">
        <f>""</f>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36"/>
        <v/>
      </c>
      <c r="CC137" t="str">
        <f t="shared" si="37"/>
        <v/>
      </c>
      <c r="CD137" t="str">
        <f t="shared" si="38"/>
        <v/>
      </c>
      <c r="CE137" t="str">
        <f t="shared" si="39"/>
        <v/>
      </c>
      <c r="CF137" t="str">
        <f t="shared" si="40"/>
        <v/>
      </c>
      <c r="CG137" t="str">
        <f t="shared" si="41"/>
        <v/>
      </c>
      <c r="CH137" t="str">
        <f t="shared" si="42"/>
        <v/>
      </c>
      <c r="CI137" t="str">
        <f t="shared" si="43"/>
        <v/>
      </c>
      <c r="CJ137" t="str">
        <f t="shared" si="44"/>
        <v/>
      </c>
      <c r="CK137" t="str">
        <f>""</f>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36"/>
        <v/>
      </c>
      <c r="CC138" t="str">
        <f t="shared" si="37"/>
        <v/>
      </c>
      <c r="CD138" t="str">
        <f t="shared" si="38"/>
        <v/>
      </c>
      <c r="CE138" t="str">
        <f t="shared" si="39"/>
        <v/>
      </c>
      <c r="CF138" t="str">
        <f t="shared" si="40"/>
        <v/>
      </c>
      <c r="CG138" t="str">
        <f t="shared" si="41"/>
        <v/>
      </c>
      <c r="CH138" t="str">
        <f t="shared" si="42"/>
        <v/>
      </c>
      <c r="CI138" t="str">
        <f t="shared" si="43"/>
        <v/>
      </c>
      <c r="CJ138" t="str">
        <f t="shared" si="44"/>
        <v/>
      </c>
      <c r="CK138" t="str">
        <f>""</f>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36"/>
        <v/>
      </c>
      <c r="CC139" t="str">
        <f t="shared" si="37"/>
        <v/>
      </c>
      <c r="CD139" t="str">
        <f t="shared" si="38"/>
        <v/>
      </c>
      <c r="CE139" t="str">
        <f t="shared" si="39"/>
        <v/>
      </c>
      <c r="CF139" t="str">
        <f t="shared" si="40"/>
        <v/>
      </c>
      <c r="CG139" t="str">
        <f t="shared" si="41"/>
        <v/>
      </c>
      <c r="CH139" t="str">
        <f t="shared" si="42"/>
        <v/>
      </c>
      <c r="CI139" t="str">
        <f t="shared" si="43"/>
        <v/>
      </c>
      <c r="CJ139" t="str">
        <f t="shared" si="44"/>
        <v/>
      </c>
      <c r="CK139" t="str">
        <f>""</f>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36"/>
        <v/>
      </c>
      <c r="CC140" t="str">
        <f t="shared" si="37"/>
        <v/>
      </c>
      <c r="CD140" t="str">
        <f t="shared" si="38"/>
        <v/>
      </c>
      <c r="CE140" t="str">
        <f t="shared" si="39"/>
        <v/>
      </c>
      <c r="CF140" t="str">
        <f t="shared" si="40"/>
        <v/>
      </c>
      <c r="CG140" t="str">
        <f t="shared" si="41"/>
        <v/>
      </c>
      <c r="CH140" t="str">
        <f t="shared" si="42"/>
        <v/>
      </c>
      <c r="CI140" t="str">
        <f t="shared" si="43"/>
        <v/>
      </c>
      <c r="CJ140" t="str">
        <f t="shared" si="44"/>
        <v/>
      </c>
      <c r="CK140" t="str">
        <f>""</f>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36"/>
        <v/>
      </c>
      <c r="CC141" t="str">
        <f t="shared" si="37"/>
        <v/>
      </c>
      <c r="CD141" t="str">
        <f t="shared" si="38"/>
        <v/>
      </c>
      <c r="CE141" t="str">
        <f t="shared" si="39"/>
        <v/>
      </c>
      <c r="CF141" t="str">
        <f t="shared" si="40"/>
        <v/>
      </c>
      <c r="CG141" t="str">
        <f t="shared" si="41"/>
        <v/>
      </c>
      <c r="CH141" t="str">
        <f t="shared" si="42"/>
        <v/>
      </c>
      <c r="CI141" t="str">
        <f t="shared" si="43"/>
        <v/>
      </c>
      <c r="CJ141" t="str">
        <f t="shared" si="44"/>
        <v/>
      </c>
      <c r="CK141" t="str">
        <f>""</f>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36"/>
        <v/>
      </c>
      <c r="CC142" t="str">
        <f t="shared" si="37"/>
        <v/>
      </c>
      <c r="CD142" t="str">
        <f t="shared" si="38"/>
        <v/>
      </c>
      <c r="CE142" t="str">
        <f t="shared" si="39"/>
        <v/>
      </c>
      <c r="CF142" t="str">
        <f t="shared" si="40"/>
        <v/>
      </c>
      <c r="CG142" t="str">
        <f t="shared" si="41"/>
        <v/>
      </c>
      <c r="CH142" t="str">
        <f t="shared" si="42"/>
        <v/>
      </c>
      <c r="CI142" t="str">
        <f t="shared" si="43"/>
        <v/>
      </c>
      <c r="CJ142" t="str">
        <f t="shared" si="44"/>
        <v/>
      </c>
      <c r="CK142" t="str">
        <f>""</f>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36"/>
        <v/>
      </c>
      <c r="CC143" t="str">
        <f t="shared" si="37"/>
        <v/>
      </c>
      <c r="CD143" t="str">
        <f t="shared" si="38"/>
        <v/>
      </c>
      <c r="CE143" t="str">
        <f t="shared" si="39"/>
        <v/>
      </c>
      <c r="CF143" t="str">
        <f t="shared" si="40"/>
        <v/>
      </c>
      <c r="CG143" t="str">
        <f t="shared" si="41"/>
        <v/>
      </c>
      <c r="CH143" t="str">
        <f t="shared" si="42"/>
        <v/>
      </c>
      <c r="CI143" t="str">
        <f t="shared" si="43"/>
        <v/>
      </c>
      <c r="CJ143" t="str">
        <f t="shared" si="44"/>
        <v/>
      </c>
      <c r="CK143" t="str">
        <f>""</f>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36"/>
        <v/>
      </c>
      <c r="CC144" t="str">
        <f t="shared" si="37"/>
        <v/>
      </c>
      <c r="CD144" t="str">
        <f t="shared" si="38"/>
        <v/>
      </c>
      <c r="CE144" t="str">
        <f t="shared" si="39"/>
        <v/>
      </c>
      <c r="CF144" t="str">
        <f t="shared" si="40"/>
        <v/>
      </c>
      <c r="CG144" t="str">
        <f t="shared" si="41"/>
        <v/>
      </c>
      <c r="CH144" t="str">
        <f t="shared" si="42"/>
        <v/>
      </c>
      <c r="CI144" t="str">
        <f t="shared" si="43"/>
        <v/>
      </c>
      <c r="CJ144" t="str">
        <f t="shared" si="44"/>
        <v/>
      </c>
      <c r="CK144" t="str">
        <f>""</f>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36"/>
        <v/>
      </c>
      <c r="CC145" t="str">
        <f t="shared" si="37"/>
        <v/>
      </c>
      <c r="CD145" t="str">
        <f t="shared" si="38"/>
        <v/>
      </c>
      <c r="CE145" t="str">
        <f t="shared" si="39"/>
        <v/>
      </c>
      <c r="CF145" t="str">
        <f t="shared" si="40"/>
        <v/>
      </c>
      <c r="CG145" t="str">
        <f t="shared" si="41"/>
        <v/>
      </c>
      <c r="CH145" t="str">
        <f t="shared" si="42"/>
        <v/>
      </c>
      <c r="CI145" t="str">
        <f t="shared" si="43"/>
        <v/>
      </c>
      <c r="CJ145" t="str">
        <f t="shared" si="44"/>
        <v/>
      </c>
      <c r="CK145" t="str">
        <f>""</f>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36"/>
        <v/>
      </c>
      <c r="CC146" t="str">
        <f t="shared" si="37"/>
        <v/>
      </c>
      <c r="CD146" t="str">
        <f t="shared" si="38"/>
        <v/>
      </c>
      <c r="CE146" t="str">
        <f t="shared" si="39"/>
        <v/>
      </c>
      <c r="CF146" t="str">
        <f t="shared" si="40"/>
        <v/>
      </c>
      <c r="CG146" t="str">
        <f t="shared" si="41"/>
        <v/>
      </c>
      <c r="CH146" t="str">
        <f t="shared" si="42"/>
        <v/>
      </c>
      <c r="CI146" t="str">
        <f t="shared" si="43"/>
        <v/>
      </c>
      <c r="CJ146" t="str">
        <f t="shared" si="44"/>
        <v/>
      </c>
      <c r="CK146" t="str">
        <f>""</f>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36"/>
        <v/>
      </c>
      <c r="CC147" t="str">
        <f t="shared" si="37"/>
        <v/>
      </c>
      <c r="CD147" t="str">
        <f t="shared" si="38"/>
        <v/>
      </c>
      <c r="CE147" t="str">
        <f t="shared" si="39"/>
        <v/>
      </c>
      <c r="CF147" t="str">
        <f t="shared" si="40"/>
        <v/>
      </c>
      <c r="CG147" t="str">
        <f t="shared" si="41"/>
        <v/>
      </c>
      <c r="CH147" t="str">
        <f t="shared" si="42"/>
        <v/>
      </c>
      <c r="CI147" t="str">
        <f t="shared" si="43"/>
        <v/>
      </c>
      <c r="CJ147" t="str">
        <f t="shared" si="44"/>
        <v/>
      </c>
      <c r="CK147" t="str">
        <f>""</f>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36"/>
        <v/>
      </c>
      <c r="CC148" t="str">
        <f t="shared" si="37"/>
        <v/>
      </c>
      <c r="CD148" t="str">
        <f t="shared" si="38"/>
        <v/>
      </c>
      <c r="CE148" t="str">
        <f t="shared" si="39"/>
        <v/>
      </c>
      <c r="CF148" t="str">
        <f t="shared" si="40"/>
        <v/>
      </c>
      <c r="CG148" t="str">
        <f t="shared" si="41"/>
        <v/>
      </c>
      <c r="CH148" t="str">
        <f t="shared" si="42"/>
        <v/>
      </c>
      <c r="CI148" t="str">
        <f t="shared" si="43"/>
        <v/>
      </c>
      <c r="CJ148" t="str">
        <f t="shared" si="44"/>
        <v/>
      </c>
      <c r="CK148" t="str">
        <f>""</f>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36"/>
        <v/>
      </c>
      <c r="CC149" t="str">
        <f t="shared" si="37"/>
        <v/>
      </c>
      <c r="CD149" t="str">
        <f t="shared" si="38"/>
        <v/>
      </c>
      <c r="CE149" t="str">
        <f t="shared" si="39"/>
        <v/>
      </c>
      <c r="CF149" t="str">
        <f t="shared" si="40"/>
        <v/>
      </c>
      <c r="CG149" t="str">
        <f t="shared" si="41"/>
        <v/>
      </c>
      <c r="CH149" t="str">
        <f t="shared" si="42"/>
        <v/>
      </c>
      <c r="CI149" t="str">
        <f t="shared" si="43"/>
        <v/>
      </c>
      <c r="CJ149" t="str">
        <f t="shared" si="44"/>
        <v/>
      </c>
      <c r="CK149" t="str">
        <f>""</f>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36"/>
        <v/>
      </c>
      <c r="CC150" t="str">
        <f t="shared" si="37"/>
        <v/>
      </c>
      <c r="CD150" t="str">
        <f t="shared" si="38"/>
        <v/>
      </c>
      <c r="CE150" t="str">
        <f t="shared" si="39"/>
        <v/>
      </c>
      <c r="CF150" t="str">
        <f t="shared" si="40"/>
        <v/>
      </c>
      <c r="CG150" t="str">
        <f t="shared" si="41"/>
        <v/>
      </c>
      <c r="CH150" t="str">
        <f t="shared" si="42"/>
        <v/>
      </c>
      <c r="CI150" t="str">
        <f t="shared" si="43"/>
        <v/>
      </c>
      <c r="CJ150" t="str">
        <f t="shared" si="44"/>
        <v/>
      </c>
      <c r="CK150" t="str">
        <f>""</f>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36"/>
        <v/>
      </c>
      <c r="CC151" t="str">
        <f t="shared" si="37"/>
        <v/>
      </c>
      <c r="CD151" t="str">
        <f t="shared" si="38"/>
        <v/>
      </c>
      <c r="CE151" t="str">
        <f t="shared" si="39"/>
        <v/>
      </c>
      <c r="CF151" t="str">
        <f t="shared" si="40"/>
        <v/>
      </c>
      <c r="CG151" t="str">
        <f t="shared" si="41"/>
        <v/>
      </c>
      <c r="CH151" t="str">
        <f t="shared" si="42"/>
        <v/>
      </c>
      <c r="CI151" t="str">
        <f t="shared" si="43"/>
        <v/>
      </c>
      <c r="CJ151" t="str">
        <f t="shared" si="44"/>
        <v/>
      </c>
      <c r="CK151" t="str">
        <f>""</f>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36"/>
        <v/>
      </c>
      <c r="CC152" t="str">
        <f t="shared" si="37"/>
        <v/>
      </c>
      <c r="CD152" t="str">
        <f t="shared" si="38"/>
        <v/>
      </c>
      <c r="CE152" t="str">
        <f t="shared" si="39"/>
        <v/>
      </c>
      <c r="CF152" t="str">
        <f t="shared" si="40"/>
        <v/>
      </c>
      <c r="CG152" t="str">
        <f t="shared" si="41"/>
        <v/>
      </c>
      <c r="CH152" t="str">
        <f t="shared" si="42"/>
        <v/>
      </c>
      <c r="CI152" t="str">
        <f t="shared" si="43"/>
        <v/>
      </c>
      <c r="CJ152" t="str">
        <f t="shared" si="44"/>
        <v/>
      </c>
      <c r="CK152" t="str">
        <f>""</f>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36"/>
        <v/>
      </c>
      <c r="CC153" t="str">
        <f t="shared" si="37"/>
        <v/>
      </c>
      <c r="CD153" t="str">
        <f t="shared" si="38"/>
        <v/>
      </c>
      <c r="CE153" t="str">
        <f t="shared" si="39"/>
        <v/>
      </c>
      <c r="CF153" t="str">
        <f t="shared" si="40"/>
        <v/>
      </c>
      <c r="CG153" t="str">
        <f t="shared" si="41"/>
        <v/>
      </c>
      <c r="CH153" t="str">
        <f t="shared" si="42"/>
        <v/>
      </c>
      <c r="CI153" t="str">
        <f t="shared" si="43"/>
        <v/>
      </c>
      <c r="CJ153" t="str">
        <f t="shared" si="44"/>
        <v/>
      </c>
      <c r="CK153" t="str">
        <f>""</f>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36"/>
        <v/>
      </c>
      <c r="CC154" t="str">
        <f t="shared" si="37"/>
        <v/>
      </c>
      <c r="CD154" t="str">
        <f t="shared" si="38"/>
        <v/>
      </c>
      <c r="CE154" t="str">
        <f t="shared" si="39"/>
        <v/>
      </c>
      <c r="CF154" t="str">
        <f t="shared" si="40"/>
        <v/>
      </c>
      <c r="CG154" t="str">
        <f t="shared" si="41"/>
        <v/>
      </c>
      <c r="CH154" t="str">
        <f t="shared" si="42"/>
        <v/>
      </c>
      <c r="CI154" t="str">
        <f t="shared" si="43"/>
        <v/>
      </c>
      <c r="CJ154" t="str">
        <f t="shared" si="44"/>
        <v/>
      </c>
      <c r="CK154" t="str">
        <f>""</f>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36"/>
        <v/>
      </c>
      <c r="CC155" t="str">
        <f t="shared" si="37"/>
        <v/>
      </c>
      <c r="CD155" t="str">
        <f t="shared" si="38"/>
        <v/>
      </c>
      <c r="CE155" t="str">
        <f t="shared" si="39"/>
        <v/>
      </c>
      <c r="CF155" t="str">
        <f t="shared" si="40"/>
        <v/>
      </c>
      <c r="CG155" t="str">
        <f t="shared" si="41"/>
        <v/>
      </c>
      <c r="CH155" t="str">
        <f t="shared" si="42"/>
        <v/>
      </c>
      <c r="CI155" t="str">
        <f t="shared" si="43"/>
        <v/>
      </c>
      <c r="CJ155" t="str">
        <f t="shared" si="44"/>
        <v/>
      </c>
      <c r="CK155" t="str">
        <f>""</f>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36"/>
        <v/>
      </c>
      <c r="CC156" t="str">
        <f t="shared" si="37"/>
        <v/>
      </c>
      <c r="CD156" t="str">
        <f t="shared" si="38"/>
        <v/>
      </c>
      <c r="CE156" t="str">
        <f t="shared" si="39"/>
        <v/>
      </c>
      <c r="CF156" t="str">
        <f t="shared" si="40"/>
        <v/>
      </c>
      <c r="CG156" t="str">
        <f t="shared" si="41"/>
        <v/>
      </c>
      <c r="CH156" t="str">
        <f t="shared" si="42"/>
        <v/>
      </c>
      <c r="CI156" t="str">
        <f t="shared" si="43"/>
        <v/>
      </c>
      <c r="CJ156" t="str">
        <f t="shared" si="44"/>
        <v/>
      </c>
      <c r="CK156" t="str">
        <f>""</f>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36"/>
        <v/>
      </c>
      <c r="CC157" t="str">
        <f t="shared" si="37"/>
        <v/>
      </c>
      <c r="CD157" t="str">
        <f t="shared" si="38"/>
        <v/>
      </c>
      <c r="CE157" t="str">
        <f t="shared" si="39"/>
        <v/>
      </c>
      <c r="CF157" t="str">
        <f t="shared" si="40"/>
        <v/>
      </c>
      <c r="CG157" t="str">
        <f t="shared" si="41"/>
        <v/>
      </c>
      <c r="CH157" t="str">
        <f t="shared" si="42"/>
        <v/>
      </c>
      <c r="CI157" t="str">
        <f t="shared" si="43"/>
        <v/>
      </c>
      <c r="CJ157" t="str">
        <f t="shared" si="44"/>
        <v/>
      </c>
      <c r="CK157" t="str">
        <f>""</f>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36"/>
        <v/>
      </c>
      <c r="CC158" t="str">
        <f t="shared" si="37"/>
        <v/>
      </c>
      <c r="CD158" t="str">
        <f t="shared" si="38"/>
        <v/>
      </c>
      <c r="CE158" t="str">
        <f t="shared" si="39"/>
        <v/>
      </c>
      <c r="CF158" t="str">
        <f t="shared" si="40"/>
        <v/>
      </c>
      <c r="CG158" t="str">
        <f t="shared" si="41"/>
        <v/>
      </c>
      <c r="CH158" t="str">
        <f t="shared" si="42"/>
        <v/>
      </c>
      <c r="CI158" t="str">
        <f t="shared" si="43"/>
        <v/>
      </c>
      <c r="CJ158" t="str">
        <f t="shared" si="44"/>
        <v/>
      </c>
      <c r="CK158" t="str">
        <f>""</f>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36"/>
        <v/>
      </c>
      <c r="CC159" t="str">
        <f t="shared" si="37"/>
        <v/>
      </c>
      <c r="CD159" t="str">
        <f t="shared" si="38"/>
        <v/>
      </c>
      <c r="CE159" t="str">
        <f t="shared" si="39"/>
        <v/>
      </c>
      <c r="CF159" t="str">
        <f t="shared" si="40"/>
        <v/>
      </c>
      <c r="CG159" t="str">
        <f t="shared" si="41"/>
        <v/>
      </c>
      <c r="CH159" t="str">
        <f t="shared" si="42"/>
        <v/>
      </c>
      <c r="CI159" t="str">
        <f t="shared" si="43"/>
        <v/>
      </c>
      <c r="CJ159" t="str">
        <f t="shared" si="44"/>
        <v/>
      </c>
      <c r="CK159" t="str">
        <f>""</f>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36"/>
        <v/>
      </c>
      <c r="CC160" t="str">
        <f t="shared" si="37"/>
        <v/>
      </c>
      <c r="CD160" t="str">
        <f t="shared" si="38"/>
        <v/>
      </c>
      <c r="CE160" t="str">
        <f t="shared" si="39"/>
        <v/>
      </c>
      <c r="CF160" t="str">
        <f t="shared" si="40"/>
        <v/>
      </c>
      <c r="CG160" t="str">
        <f t="shared" si="41"/>
        <v/>
      </c>
      <c r="CH160" t="str">
        <f t="shared" si="42"/>
        <v/>
      </c>
      <c r="CI160" t="str">
        <f t="shared" si="43"/>
        <v/>
      </c>
      <c r="CJ160" t="str">
        <f t="shared" si="44"/>
        <v/>
      </c>
      <c r="CK160" t="str">
        <f>""</f>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36"/>
        <v/>
      </c>
      <c r="CC161" t="str">
        <f t="shared" si="37"/>
        <v/>
      </c>
      <c r="CD161" t="str">
        <f t="shared" si="38"/>
        <v/>
      </c>
      <c r="CE161" t="str">
        <f t="shared" si="39"/>
        <v/>
      </c>
      <c r="CF161" t="str">
        <f t="shared" si="40"/>
        <v/>
      </c>
      <c r="CG161" t="str">
        <f t="shared" si="41"/>
        <v/>
      </c>
      <c r="CH161" t="str">
        <f t="shared" si="42"/>
        <v/>
      </c>
      <c r="CI161" t="str">
        <f t="shared" si="43"/>
        <v/>
      </c>
      <c r="CJ161" t="str">
        <f t="shared" si="44"/>
        <v/>
      </c>
      <c r="CK161" t="str">
        <f>""</f>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36"/>
        <v/>
      </c>
      <c r="CC162" t="str">
        <f t="shared" si="37"/>
        <v/>
      </c>
      <c r="CD162" t="str">
        <f t="shared" si="38"/>
        <v/>
      </c>
      <c r="CE162" t="str">
        <f t="shared" si="39"/>
        <v/>
      </c>
      <c r="CF162" t="str">
        <f t="shared" si="40"/>
        <v/>
      </c>
      <c r="CG162" t="str">
        <f t="shared" si="41"/>
        <v/>
      </c>
      <c r="CH162" t="str">
        <f t="shared" si="42"/>
        <v/>
      </c>
      <c r="CI162" t="str">
        <f t="shared" si="43"/>
        <v/>
      </c>
      <c r="CJ162" t="str">
        <f t="shared" si="44"/>
        <v/>
      </c>
      <c r="CK162" t="str">
        <f>""</f>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45">IFERROR(AVERAGE(H163,I163,J163,K163),"")</f>
        <v/>
      </c>
      <c r="CC163" t="str">
        <f t="shared" ref="CC163:CC176" si="46">IFERROR(AVERAGE(L163,M163,N163,O163,P163,R163),"")</f>
        <v/>
      </c>
      <c r="CD163" t="str">
        <f t="shared" ref="CD163:CD176" si="47">IFERROR(AVERAGE(T163,U163,V163,W163,X163,Y163,Z163,AA163,AB163,AC163,AE163),"")</f>
        <v/>
      </c>
      <c r="CE163" t="str">
        <f t="shared" ref="CE163:CE176" si="48">IFERROR(AVERAGE(AG163,AH163,AI163),"")</f>
        <v/>
      </c>
      <c r="CF163" t="str">
        <f t="shared" ref="CF163:CF176" si="49">IFERROR(AVERAGE(AK163,AL163,AM163,AN163,AP163,AQ163,AR163,AS163),"")</f>
        <v/>
      </c>
      <c r="CG163" t="str">
        <f t="shared" ref="CG163:CG176" si="50">IFERROR(AVERAGE(AT163,AU163,AV163,BB163,AW163,AX163,AY163,AZ163,BA163),"")</f>
        <v/>
      </c>
      <c r="CH163" t="str">
        <f t="shared" ref="CH163:CH176" si="51">IFERROR(AVERAGE(BC163,BH163,BI163,BD163,BF163),"")</f>
        <v/>
      </c>
      <c r="CI163" t="str">
        <f t="shared" ref="CI163:CI176" si="52">IFERROR(AVERAGE(BJ163,BK163,BL163,BM163),"")</f>
        <v/>
      </c>
      <c r="CJ163" t="str">
        <f t="shared" ref="CJ163:CJ176" si="53">IFERROR(AVERAGE(BN163,BO163,BP163),"")</f>
        <v/>
      </c>
      <c r="CK163" t="str">
        <f>""</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45"/>
        <v/>
      </c>
      <c r="CC164" t="str">
        <f t="shared" si="46"/>
        <v/>
      </c>
      <c r="CD164" t="str">
        <f t="shared" si="47"/>
        <v/>
      </c>
      <c r="CE164" t="str">
        <f t="shared" si="48"/>
        <v/>
      </c>
      <c r="CF164" t="str">
        <f t="shared" si="49"/>
        <v/>
      </c>
      <c r="CG164" t="str">
        <f t="shared" si="50"/>
        <v/>
      </c>
      <c r="CH164" t="str">
        <f t="shared" si="51"/>
        <v/>
      </c>
      <c r="CI164" t="str">
        <f t="shared" si="52"/>
        <v/>
      </c>
      <c r="CJ164" t="str">
        <f t="shared" si="53"/>
        <v/>
      </c>
      <c r="CK164" t="str">
        <f>""</f>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45"/>
        <v/>
      </c>
      <c r="CC165" t="str">
        <f t="shared" si="46"/>
        <v/>
      </c>
      <c r="CD165" t="str">
        <f t="shared" si="47"/>
        <v/>
      </c>
      <c r="CE165" t="str">
        <f t="shared" si="48"/>
        <v/>
      </c>
      <c r="CF165" t="str">
        <f t="shared" si="49"/>
        <v/>
      </c>
      <c r="CG165" t="str">
        <f t="shared" si="50"/>
        <v/>
      </c>
      <c r="CH165" t="str">
        <f t="shared" si="51"/>
        <v/>
      </c>
      <c r="CI165" t="str">
        <f t="shared" si="52"/>
        <v/>
      </c>
      <c r="CJ165" t="str">
        <f t="shared" si="53"/>
        <v/>
      </c>
      <c r="CK165" t="str">
        <f>""</f>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45"/>
        <v/>
      </c>
      <c r="CC166" t="str">
        <f t="shared" si="46"/>
        <v/>
      </c>
      <c r="CD166" t="str">
        <f t="shared" si="47"/>
        <v/>
      </c>
      <c r="CE166" t="str">
        <f t="shared" si="48"/>
        <v/>
      </c>
      <c r="CF166" t="str">
        <f t="shared" si="49"/>
        <v/>
      </c>
      <c r="CG166" t="str">
        <f t="shared" si="50"/>
        <v/>
      </c>
      <c r="CH166" t="str">
        <f t="shared" si="51"/>
        <v/>
      </c>
      <c r="CI166" t="str">
        <f t="shared" si="52"/>
        <v/>
      </c>
      <c r="CJ166" t="str">
        <f t="shared" si="53"/>
        <v/>
      </c>
      <c r="CK166" t="str">
        <f>""</f>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45"/>
        <v/>
      </c>
      <c r="CC167" t="str">
        <f t="shared" si="46"/>
        <v/>
      </c>
      <c r="CD167" t="str">
        <f t="shared" si="47"/>
        <v/>
      </c>
      <c r="CE167" t="str">
        <f t="shared" si="48"/>
        <v/>
      </c>
      <c r="CF167" t="str">
        <f t="shared" si="49"/>
        <v/>
      </c>
      <c r="CG167" t="str">
        <f t="shared" si="50"/>
        <v/>
      </c>
      <c r="CH167" t="str">
        <f t="shared" si="51"/>
        <v/>
      </c>
      <c r="CI167" t="str">
        <f t="shared" si="52"/>
        <v/>
      </c>
      <c r="CJ167" t="str">
        <f t="shared" si="53"/>
        <v/>
      </c>
      <c r="CK167" t="str">
        <f>""</f>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45"/>
        <v/>
      </c>
      <c r="CC168" t="str">
        <f t="shared" si="46"/>
        <v/>
      </c>
      <c r="CD168" t="str">
        <f t="shared" si="47"/>
        <v/>
      </c>
      <c r="CE168" t="str">
        <f t="shared" si="48"/>
        <v/>
      </c>
      <c r="CF168" t="str">
        <f t="shared" si="49"/>
        <v/>
      </c>
      <c r="CG168" t="str">
        <f t="shared" si="50"/>
        <v/>
      </c>
      <c r="CH168" t="str">
        <f t="shared" si="51"/>
        <v/>
      </c>
      <c r="CI168" t="str">
        <f t="shared" si="52"/>
        <v/>
      </c>
      <c r="CJ168" t="str">
        <f t="shared" si="53"/>
        <v/>
      </c>
      <c r="CK168" t="str">
        <f>""</f>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45"/>
        <v/>
      </c>
      <c r="CC169" t="str">
        <f t="shared" si="46"/>
        <v/>
      </c>
      <c r="CD169" t="str">
        <f t="shared" si="47"/>
        <v/>
      </c>
      <c r="CE169" t="str">
        <f t="shared" si="48"/>
        <v/>
      </c>
      <c r="CF169" t="str">
        <f t="shared" si="49"/>
        <v/>
      </c>
      <c r="CG169" t="str">
        <f t="shared" si="50"/>
        <v/>
      </c>
      <c r="CH169" t="str">
        <f t="shared" si="51"/>
        <v/>
      </c>
      <c r="CI169" t="str">
        <f t="shared" si="52"/>
        <v/>
      </c>
      <c r="CJ169" t="str">
        <f t="shared" si="53"/>
        <v/>
      </c>
      <c r="CK169" t="str">
        <f>""</f>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45"/>
        <v/>
      </c>
      <c r="CC170" t="str">
        <f t="shared" si="46"/>
        <v/>
      </c>
      <c r="CD170" t="str">
        <f t="shared" si="47"/>
        <v/>
      </c>
      <c r="CE170" t="str">
        <f t="shared" si="48"/>
        <v/>
      </c>
      <c r="CF170" t="str">
        <f t="shared" si="49"/>
        <v/>
      </c>
      <c r="CG170" t="str">
        <f t="shared" si="50"/>
        <v/>
      </c>
      <c r="CH170" t="str">
        <f t="shared" si="51"/>
        <v/>
      </c>
      <c r="CI170" t="str">
        <f t="shared" si="52"/>
        <v/>
      </c>
      <c r="CJ170" t="str">
        <f t="shared" si="53"/>
        <v/>
      </c>
      <c r="CK170" t="str">
        <f>""</f>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45"/>
        <v/>
      </c>
      <c r="CC171" t="str">
        <f t="shared" si="46"/>
        <v/>
      </c>
      <c r="CD171" t="str">
        <f t="shared" si="47"/>
        <v/>
      </c>
      <c r="CE171" t="str">
        <f t="shared" si="48"/>
        <v/>
      </c>
      <c r="CF171" t="str">
        <f t="shared" si="49"/>
        <v/>
      </c>
      <c r="CG171" t="str">
        <f t="shared" si="50"/>
        <v/>
      </c>
      <c r="CH171" t="str">
        <f t="shared" si="51"/>
        <v/>
      </c>
      <c r="CI171" t="str">
        <f t="shared" si="52"/>
        <v/>
      </c>
      <c r="CJ171" t="str">
        <f t="shared" si="53"/>
        <v/>
      </c>
      <c r="CK171" t="str">
        <f>""</f>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45"/>
        <v/>
      </c>
      <c r="CC172" t="str">
        <f t="shared" si="46"/>
        <v/>
      </c>
      <c r="CD172" t="str">
        <f t="shared" si="47"/>
        <v/>
      </c>
      <c r="CE172" t="str">
        <f t="shared" si="48"/>
        <v/>
      </c>
      <c r="CF172" t="str">
        <f t="shared" si="49"/>
        <v/>
      </c>
      <c r="CG172" t="str">
        <f t="shared" si="50"/>
        <v/>
      </c>
      <c r="CH172" t="str">
        <f t="shared" si="51"/>
        <v/>
      </c>
      <c r="CI172" t="str">
        <f t="shared" si="52"/>
        <v/>
      </c>
      <c r="CJ172" t="str">
        <f t="shared" si="53"/>
        <v/>
      </c>
      <c r="CK172" t="str">
        <f>""</f>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45"/>
        <v/>
      </c>
      <c r="CC173" t="str">
        <f t="shared" si="46"/>
        <v/>
      </c>
      <c r="CD173" t="str">
        <f t="shared" si="47"/>
        <v/>
      </c>
      <c r="CE173" t="str">
        <f t="shared" si="48"/>
        <v/>
      </c>
      <c r="CF173" t="str">
        <f t="shared" si="49"/>
        <v/>
      </c>
      <c r="CG173" t="str">
        <f t="shared" si="50"/>
        <v/>
      </c>
      <c r="CH173" t="str">
        <f t="shared" si="51"/>
        <v/>
      </c>
      <c r="CI173" t="str">
        <f t="shared" si="52"/>
        <v/>
      </c>
      <c r="CJ173" t="str">
        <f t="shared" si="53"/>
        <v/>
      </c>
      <c r="CK173" t="str">
        <f>""</f>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45"/>
        <v/>
      </c>
      <c r="CC174" t="str">
        <f t="shared" si="46"/>
        <v/>
      </c>
      <c r="CD174" t="str">
        <f t="shared" si="47"/>
        <v/>
      </c>
      <c r="CE174" t="str">
        <f t="shared" si="48"/>
        <v/>
      </c>
      <c r="CF174" t="str">
        <f t="shared" si="49"/>
        <v/>
      </c>
      <c r="CG174" t="str">
        <f t="shared" si="50"/>
        <v/>
      </c>
      <c r="CH174" t="str">
        <f t="shared" si="51"/>
        <v/>
      </c>
      <c r="CI174" t="str">
        <f t="shared" si="52"/>
        <v/>
      </c>
      <c r="CJ174" t="str">
        <f t="shared" si="53"/>
        <v/>
      </c>
      <c r="CK174" t="str">
        <f>""</f>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45"/>
        <v/>
      </c>
      <c r="CC175" t="str">
        <f t="shared" si="46"/>
        <v/>
      </c>
      <c r="CD175" t="str">
        <f t="shared" si="47"/>
        <v/>
      </c>
      <c r="CE175" t="str">
        <f t="shared" si="48"/>
        <v/>
      </c>
      <c r="CF175" t="str">
        <f t="shared" si="49"/>
        <v/>
      </c>
      <c r="CG175" t="str">
        <f t="shared" si="50"/>
        <v/>
      </c>
      <c r="CH175" t="str">
        <f t="shared" si="51"/>
        <v/>
      </c>
      <c r="CI175" t="str">
        <f t="shared" si="52"/>
        <v/>
      </c>
      <c r="CJ175" t="str">
        <f t="shared" si="53"/>
        <v/>
      </c>
      <c r="CK175" t="str">
        <f>""</f>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45"/>
        <v/>
      </c>
      <c r="CC176" t="str">
        <f t="shared" si="46"/>
        <v/>
      </c>
      <c r="CD176" t="str">
        <f t="shared" si="47"/>
        <v/>
      </c>
      <c r="CE176" t="str">
        <f t="shared" si="48"/>
        <v/>
      </c>
      <c r="CF176" t="str">
        <f t="shared" si="49"/>
        <v/>
      </c>
      <c r="CG176" t="str">
        <f t="shared" si="50"/>
        <v/>
      </c>
      <c r="CH176" t="str">
        <f t="shared" si="51"/>
        <v/>
      </c>
      <c r="CI176" t="str">
        <f t="shared" si="52"/>
        <v/>
      </c>
      <c r="CJ176" t="str">
        <f t="shared" si="53"/>
        <v/>
      </c>
      <c r="CK176" t="str">
        <f>""</f>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884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1046</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20</v>
      </c>
      <c r="B3" s="1" t="s">
        <v>885</v>
      </c>
      <c r="C3" s="1" t="s">
        <v>22</v>
      </c>
      <c r="D3" s="1" t="s">
        <v>31</v>
      </c>
      <c r="E3" s="2" t="s">
        <v>886</v>
      </c>
      <c r="F3" s="3" t="s">
        <v>887</v>
      </c>
      <c r="G3" s="3" t="s">
        <v>888</v>
      </c>
      <c r="H3" s="2" t="s">
        <v>889</v>
      </c>
      <c r="I3" s="3" t="s">
        <v>890</v>
      </c>
      <c r="J3" s="3" t="s">
        <v>891</v>
      </c>
      <c r="K3" s="2" t="s">
        <v>892</v>
      </c>
      <c r="L3" s="2" t="s">
        <v>893</v>
      </c>
      <c r="M3" s="2" t="s">
        <v>894</v>
      </c>
      <c r="N3" s="2" t="s">
        <v>1587</v>
      </c>
      <c r="O3" s="2" t="s">
        <v>895</v>
      </c>
      <c r="P3" s="4" t="s">
        <v>896</v>
      </c>
      <c r="Q3" s="4" t="s">
        <v>897</v>
      </c>
      <c r="R3" s="4" t="s">
        <v>898</v>
      </c>
      <c r="S3" s="4" t="s">
        <v>899</v>
      </c>
      <c r="T3" s="4" t="s">
        <v>900</v>
      </c>
      <c r="U3" s="5" t="s">
        <v>901</v>
      </c>
      <c r="V3" s="5" t="s">
        <v>902</v>
      </c>
      <c r="W3" s="5" t="s">
        <v>903</v>
      </c>
      <c r="X3" s="5" t="s">
        <v>904</v>
      </c>
      <c r="Y3" s="5" t="s">
        <v>905</v>
      </c>
      <c r="Z3" s="6" t="s">
        <v>906</v>
      </c>
      <c r="AA3" s="7" t="s">
        <v>907</v>
      </c>
      <c r="AB3" s="8" t="s">
        <v>908</v>
      </c>
      <c r="AC3" s="9" t="s">
        <v>909</v>
      </c>
      <c r="AD3" s="8" t="s">
        <v>910</v>
      </c>
      <c r="AE3" s="10" t="s">
        <v>911</v>
      </c>
      <c r="AF3" s="10" t="s">
        <v>912</v>
      </c>
      <c r="AG3" s="10" t="s">
        <v>913</v>
      </c>
      <c r="AH3" s="10" t="s">
        <v>914</v>
      </c>
      <c r="AI3" s="11" t="s">
        <v>1582</v>
      </c>
      <c r="AJ3" s="12" t="s">
        <v>915</v>
      </c>
      <c r="AK3" s="4" t="s">
        <v>916</v>
      </c>
      <c r="AL3" s="6" t="s">
        <v>917</v>
      </c>
      <c r="AM3" s="56" t="s">
        <v>1586</v>
      </c>
    </row>
    <row r="4" spans="1:39" ht="16.05" customHeight="1" x14ac:dyDescent="0.3">
      <c r="A4" s="13" t="s">
        <v>54</v>
      </c>
      <c r="B4" s="14" t="s">
        <v>55</v>
      </c>
      <c r="C4" s="13" t="s">
        <v>56</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IF(AND(ISNUMBER(K4),ISNUMBER(M4),ISNUMBER(MATRIZ_174!AV3)),(K4+M4+MATRIZ_174!AV3)/3,"")</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 · D12-D15 0/4</v>
      </c>
    </row>
    <row r="5" spans="1:39" ht="16.05" customHeight="1" x14ac:dyDescent="0.3">
      <c r="A5" s="13" t="s">
        <v>62</v>
      </c>
      <c r="B5" s="14" t="s">
        <v>63</v>
      </c>
      <c r="C5" s="13" t="s">
        <v>64</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IF(AND(ISNUMBER(K5),ISNUMBER(M5),ISNUMBER(MATRIZ_174!AV4)),(K5+M5+MATRIZ_174!AV4)/3,"")</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67</v>
      </c>
      <c r="B6" s="14" t="s">
        <v>68</v>
      </c>
      <c r="C6" s="13" t="s">
        <v>69</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IF(AND(ISNUMBER(K6),ISNUMBER(M6),ISNUMBER(MATRIZ_174!AV5)),(K6+M6+MATRIZ_174!AV5)/3,"")</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 · D12-D15 0/4</v>
      </c>
    </row>
    <row r="7" spans="1:39" ht="16.05" customHeight="1" x14ac:dyDescent="0.3">
      <c r="A7" s="13" t="s">
        <v>70</v>
      </c>
      <c r="B7" s="14" t="s">
        <v>71</v>
      </c>
      <c r="C7" s="13" t="s">
        <v>72</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t="str">
        <f>IF(AND(ISNUMBER(K7),ISNUMBER(M7),ISNUMBER(MATRIZ_174!AV6)),(K7+M7+MATRIZ_174!AV6)/3,"")</f>
        <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 · D12-D15 0/4</v>
      </c>
    </row>
    <row r="8" spans="1:39" ht="16.05" customHeight="1" x14ac:dyDescent="0.3">
      <c r="A8" s="13" t="s">
        <v>73</v>
      </c>
      <c r="B8" s="14" t="s">
        <v>74</v>
      </c>
      <c r="C8" s="13" t="s">
        <v>72</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t="str">
        <f>IF(AND(ISNUMBER(K8),ISNUMBER(M8),ISNUMBER(MATRIZ_174!AV7)),(K8+M8+MATRIZ_174!AV7)/3,"")</f>
        <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 · D12-D15 0/4</v>
      </c>
    </row>
    <row r="9" spans="1:39" ht="16.05" customHeight="1" x14ac:dyDescent="0.3">
      <c r="A9" s="13" t="s">
        <v>76</v>
      </c>
      <c r="B9" s="14" t="s">
        <v>77</v>
      </c>
      <c r="C9" s="13" t="s">
        <v>72</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IF(AND(ISNUMBER(K9),ISNUMBER(M9),ISNUMBER(MATRIZ_174!AV8)),(K9+M9+MATRIZ_174!AV8)/3,"")</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 · D12-D15 0/4</v>
      </c>
    </row>
    <row r="10" spans="1:39" ht="16.05" customHeight="1" x14ac:dyDescent="0.3">
      <c r="A10" s="13" t="s">
        <v>78</v>
      </c>
      <c r="B10" s="14" t="s">
        <v>79</v>
      </c>
      <c r="C10" s="13" t="s">
        <v>72</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IF(AND(ISNUMBER(K10),ISNUMBER(M10),ISNUMBER(MATRIZ_174!AV9)),(K10+M10+MATRIZ_174!AV9)/3,"")</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 · D12-D15 0/4</v>
      </c>
    </row>
    <row r="11" spans="1:39" ht="16.05" customHeight="1" x14ac:dyDescent="0.3">
      <c r="A11" s="13" t="s">
        <v>80</v>
      </c>
      <c r="B11" s="14" t="s">
        <v>81</v>
      </c>
      <c r="C11" s="13" t="s">
        <v>72</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t="str">
        <f>IF(AND(ISNUMBER(K11),ISNUMBER(M11),ISNUMBER(MATRIZ_174!AV10)),(K11+M11+MATRIZ_174!AV10)/3,"")</f>
        <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 · D12-D15 0/4</v>
      </c>
    </row>
    <row r="12" spans="1:39" ht="16.05" customHeight="1" x14ac:dyDescent="0.3">
      <c r="A12" s="13" t="s">
        <v>82</v>
      </c>
      <c r="B12" s="14" t="s">
        <v>83</v>
      </c>
      <c r="C12" s="13" t="s">
        <v>72</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IF(AND(ISNUMBER(K12),ISNUMBER(M12),ISNUMBER(MATRIZ_174!AV11)),(K12+M12+MATRIZ_174!AV11)/3,"")</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 · D12-D15 0/4</v>
      </c>
    </row>
    <row r="13" spans="1:39" ht="16.05" customHeight="1" x14ac:dyDescent="0.3">
      <c r="A13" s="13" t="s">
        <v>84</v>
      </c>
      <c r="B13" s="14" t="s">
        <v>85</v>
      </c>
      <c r="C13" s="13" t="s">
        <v>72</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t="str">
        <f>IF(AND(ISNUMBER(K13),ISNUMBER(M13),ISNUMBER(MATRIZ_174!AV12)),(K13+M13+MATRIZ_174!AV12)/3,"")</f>
        <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 · D12-D15 0/4</v>
      </c>
    </row>
    <row r="14" spans="1:39" ht="16.05" customHeight="1" x14ac:dyDescent="0.3">
      <c r="A14" s="13" t="s">
        <v>87</v>
      </c>
      <c r="B14" s="14" t="s">
        <v>88</v>
      </c>
      <c r="C14" s="13" t="s">
        <v>72</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t="str">
        <f>IF(AND(ISNUMBER(K14),ISNUMBER(M14),ISNUMBER(MATRIZ_174!AV13)),(K14+M14+MATRIZ_174!AV13)/3,"")</f>
        <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 · D12-D15 0/4</v>
      </c>
    </row>
    <row r="15" spans="1:39" ht="16.05" customHeight="1" x14ac:dyDescent="0.3">
      <c r="A15" s="13" t="s">
        <v>89</v>
      </c>
      <c r="B15" s="14" t="s">
        <v>90</v>
      </c>
      <c r="C15" s="13" t="s">
        <v>64</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IF(AND(ISNUMBER(K15),ISNUMBER(M15),ISNUMBER(MATRIZ_174!AV14)),(K15+M15+MATRIZ_174!AV14)/3,"")</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 · D12-D15 0/4</v>
      </c>
    </row>
    <row r="16" spans="1:39" ht="16.05" customHeight="1" x14ac:dyDescent="0.3">
      <c r="A16" s="13" t="s">
        <v>91</v>
      </c>
      <c r="B16" s="14" t="s">
        <v>92</v>
      </c>
      <c r="C16" s="13" t="s">
        <v>56</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IF(AND(ISNUMBER(K16),ISNUMBER(M16),ISNUMBER(MATRIZ_174!AV15)),(K16+M16+MATRIZ_174!AV15)/3,"")</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93</v>
      </c>
      <c r="B17" s="14" t="s">
        <v>94</v>
      </c>
      <c r="C17" s="13" t="s">
        <v>95</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IF(AND(ISNUMBER(K17),ISNUMBER(M17),ISNUMBER(MATRIZ_174!AV16)),(K17+M17+MATRIZ_174!AV16)/3,"")</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96</v>
      </c>
      <c r="B18" s="14" t="s">
        <v>97</v>
      </c>
      <c r="C18" s="13" t="s">
        <v>72</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t="str">
        <f>IF(AND(ISNUMBER(K18),ISNUMBER(M18),ISNUMBER(MATRIZ_174!AV17)),(K18+M18+MATRIZ_174!AV17)/3,"")</f>
        <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 · D12-D15 0/4</v>
      </c>
    </row>
    <row r="19" spans="1:39" ht="16.05" customHeight="1" x14ac:dyDescent="0.3">
      <c r="A19" s="13" t="s">
        <v>99</v>
      </c>
      <c r="B19" s="14" t="s">
        <v>100</v>
      </c>
      <c r="C19" s="13" t="s">
        <v>101</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IF(AND(ISNUMBER(K19),ISNUMBER(M19),ISNUMBER(MATRIZ_174!AV18)),(K19+M19+MATRIZ_174!AV18)/3,"")</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102</v>
      </c>
      <c r="B20" s="14" t="s">
        <v>103</v>
      </c>
      <c r="C20" s="13" t="s">
        <v>104</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IF(AND(ISNUMBER(K20),ISNUMBER(M20),ISNUMBER(MATRIZ_174!AV19)),(K20+M20+MATRIZ_174!AV19)/3,"")</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 · D12-D15 0/4</v>
      </c>
    </row>
    <row r="21" spans="1:39" ht="16.05" customHeight="1" x14ac:dyDescent="0.3">
      <c r="A21" s="13" t="s">
        <v>105</v>
      </c>
      <c r="B21" s="14" t="s">
        <v>106</v>
      </c>
      <c r="C21" s="13" t="s">
        <v>72</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t="str">
        <f>IF(AND(ISNUMBER(K21),ISNUMBER(M21),ISNUMBER(MATRIZ_174!AV20)),(K21+M21+MATRIZ_174!AV20)/3,"")</f>
        <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 · D12-D15 0/4</v>
      </c>
    </row>
    <row r="22" spans="1:39" ht="16.05" customHeight="1" x14ac:dyDescent="0.3">
      <c r="A22" s="13" t="s">
        <v>107</v>
      </c>
      <c r="B22" s="14" t="s">
        <v>108</v>
      </c>
      <c r="C22" s="13" t="s">
        <v>101</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IF(AND(ISNUMBER(K22),ISNUMBER(M22),ISNUMBER(MATRIZ_174!AV21)),(K22+M22+MATRIZ_174!AV21)/3,"")</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109</v>
      </c>
      <c r="B23" s="14" t="s">
        <v>110</v>
      </c>
      <c r="C23" s="13" t="s">
        <v>111</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IF(AND(ISNUMBER(K23),ISNUMBER(M23),ISNUMBER(MATRIZ_174!AV22)),(K23+M23+MATRIZ_174!AV22)/3,"")</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112</v>
      </c>
      <c r="B24" s="14" t="s">
        <v>113</v>
      </c>
      <c r="C24" s="13" t="s">
        <v>101</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IF(AND(ISNUMBER(K24),ISNUMBER(M24),ISNUMBER(MATRIZ_174!AV23)),(K24+M24+MATRIZ_174!AV23)/3,"")</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114</v>
      </c>
      <c r="B25" s="14" t="s">
        <v>115</v>
      </c>
      <c r="C25" s="13" t="s">
        <v>101</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IF(AND(ISNUMBER(K25),ISNUMBER(M25),ISNUMBER(MATRIZ_174!AV24)),(K25+M25+MATRIZ_174!AV24)/3,"")</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117</v>
      </c>
      <c r="B26" s="14" t="s">
        <v>118</v>
      </c>
      <c r="C26" s="13" t="s">
        <v>101</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IF(AND(ISNUMBER(K26),ISNUMBER(M26),ISNUMBER(MATRIZ_174!AV25)),(K26+M26+MATRIZ_174!AV25)/3,"")</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119</v>
      </c>
      <c r="B27" s="14" t="s">
        <v>120</v>
      </c>
      <c r="C27" s="13" t="s">
        <v>101</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IF(AND(ISNUMBER(K27),ISNUMBER(M27),ISNUMBER(MATRIZ_174!AV26)),(K27+M27+MATRIZ_174!AV26)/3,"")</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121</v>
      </c>
      <c r="B28" s="14" t="s">
        <v>122</v>
      </c>
      <c r="C28" s="13" t="s">
        <v>101</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IF(AND(ISNUMBER(K28),ISNUMBER(M28),ISNUMBER(MATRIZ_174!AV27)),(K28+M28+MATRIZ_174!AV27)/3,"")</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123</v>
      </c>
      <c r="B29" s="14" t="s">
        <v>124</v>
      </c>
      <c r="C29" s="13" t="s">
        <v>101</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IF(AND(ISNUMBER(K29),ISNUMBER(M29),ISNUMBER(MATRIZ_174!AV28)),(K29+M29+MATRIZ_174!AV28)/3,"")</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125</v>
      </c>
      <c r="B30" s="14" t="s">
        <v>126</v>
      </c>
      <c r="C30" s="13" t="s">
        <v>101</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IF(AND(ISNUMBER(K30),ISNUMBER(M30),ISNUMBER(MATRIZ_174!AV29)),(K30+M30+MATRIZ_174!AV29)/3,"")</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127</v>
      </c>
      <c r="B31" s="14" t="s">
        <v>128</v>
      </c>
      <c r="C31" s="13" t="s">
        <v>56</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IF(AND(ISNUMBER(K31),ISNUMBER(M31),ISNUMBER(MATRIZ_174!AV30)),(K31+M31+MATRIZ_174!AV30)/3,"")</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129</v>
      </c>
      <c r="B32" s="14" t="s">
        <v>130</v>
      </c>
      <c r="C32" s="13" t="s">
        <v>131</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IF(AND(ISNUMBER(K32),ISNUMBER(M32),ISNUMBER(MATRIZ_174!AV31)),(K32+M32+MATRIZ_174!AV31)/3,"")</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132</v>
      </c>
      <c r="B33" s="14" t="s">
        <v>133</v>
      </c>
      <c r="C33" s="13" t="s">
        <v>131</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IF(AND(ISNUMBER(K33),ISNUMBER(M33),ISNUMBER(MATRIZ_174!AV32)),(K33+M33+MATRIZ_174!AV32)/3,"")</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134</v>
      </c>
      <c r="B34" s="14" t="s">
        <v>135</v>
      </c>
      <c r="C34" s="13" t="s">
        <v>131</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IF(AND(ISNUMBER(K34),ISNUMBER(M34),ISNUMBER(MATRIZ_174!AV33)),(K34+M34+MATRIZ_174!AV33)/3,"")</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136</v>
      </c>
      <c r="B35" s="14" t="s">
        <v>137</v>
      </c>
      <c r="C35" s="13" t="s">
        <v>131</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IF(AND(ISNUMBER(K35),ISNUMBER(M35),ISNUMBER(MATRIZ_174!AV34)),(K35+M35+MATRIZ_174!AV34)/3,"")</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138</v>
      </c>
      <c r="B36" s="14" t="s">
        <v>139</v>
      </c>
      <c r="C36" s="13" t="s">
        <v>72</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IF(AND(ISNUMBER(K36),ISNUMBER(M36),ISNUMBER(MATRIZ_174!AV35)),(K36+M36+MATRIZ_174!AV35)/3,"")</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 · D12-D15 0/4</v>
      </c>
    </row>
    <row r="37" spans="1:39" ht="16.05" customHeight="1" x14ac:dyDescent="0.3">
      <c r="A37" s="13" t="s">
        <v>140</v>
      </c>
      <c r="B37" s="14" t="s">
        <v>141</v>
      </c>
      <c r="C37" s="13" t="s">
        <v>142</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t="str">
        <f>IF(AND(ISNUMBER(K37),ISNUMBER(M37),ISNUMBER(MATRIZ_174!AV36)),(K37+M37+MATRIZ_174!AV36)/3,"")</f>
        <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 · D12-D15 0/4</v>
      </c>
    </row>
    <row r="38" spans="1:39" ht="16.05" customHeight="1" x14ac:dyDescent="0.3">
      <c r="A38" s="13" t="s">
        <v>143</v>
      </c>
      <c r="B38" s="14" t="s">
        <v>144</v>
      </c>
      <c r="C38" s="13" t="s">
        <v>104</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IF(AND(ISNUMBER(K38),ISNUMBER(M38),ISNUMBER(MATRIZ_174!AV37)),(K38+M38+MATRIZ_174!AV37)/3,"")</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145</v>
      </c>
      <c r="B39" s="14" t="s">
        <v>146</v>
      </c>
      <c r="C39" s="13" t="s">
        <v>104</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IF(AND(ISNUMBER(K39),ISNUMBER(M39),ISNUMBER(MATRIZ_174!AV38)),(K39+M39+MATRIZ_174!AV38)/3,"")</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147</v>
      </c>
      <c r="B40" s="14" t="s">
        <v>148</v>
      </c>
      <c r="C40" s="13" t="s">
        <v>104</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IF(AND(ISNUMBER(K40),ISNUMBER(M40),ISNUMBER(MATRIZ_174!AV39)),(K40+M40+MATRIZ_174!AV39)/3,"")</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 · D12-D15 0/4</v>
      </c>
    </row>
    <row r="41" spans="1:39" ht="16.05" customHeight="1" x14ac:dyDescent="0.3">
      <c r="A41" s="13" t="s">
        <v>149</v>
      </c>
      <c r="B41" s="14" t="s">
        <v>150</v>
      </c>
      <c r="C41" s="13" t="s">
        <v>104</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IF(AND(ISNUMBER(K41),ISNUMBER(M41),ISNUMBER(MATRIZ_174!AV40)),(K41+M41+MATRIZ_174!AV40)/3,"")</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 · D12-D15 0/4</v>
      </c>
    </row>
    <row r="42" spans="1:39" ht="16.05" customHeight="1" x14ac:dyDescent="0.3">
      <c r="A42" s="13" t="s">
        <v>151</v>
      </c>
      <c r="B42" s="14" t="s">
        <v>152</v>
      </c>
      <c r="C42" s="13" t="s">
        <v>104</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IF(AND(ISNUMBER(K42),ISNUMBER(M42),ISNUMBER(MATRIZ_174!AV41)),(K42+M42+MATRIZ_174!AV41)/3,"")</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153</v>
      </c>
      <c r="B43" s="14" t="s">
        <v>154</v>
      </c>
      <c r="C43" s="13" t="s">
        <v>95</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IF(AND(ISNUMBER(K43),ISNUMBER(M43),ISNUMBER(MATRIZ_174!AV42)),(K43+M43+MATRIZ_174!AV42)/3,"")</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 · D12-D15 0/4</v>
      </c>
    </row>
    <row r="44" spans="1:39" ht="16.05" customHeight="1" x14ac:dyDescent="0.3">
      <c r="A44" s="13" t="s">
        <v>155</v>
      </c>
      <c r="B44" s="14" t="s">
        <v>156</v>
      </c>
      <c r="C44" s="13" t="s">
        <v>69</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IF(AND(ISNUMBER(K44),ISNUMBER(M44),ISNUMBER(MATRIZ_174!AV43)),(K44+M44+MATRIZ_174!AV43)/3,"")</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157</v>
      </c>
      <c r="B45" s="14" t="s">
        <v>158</v>
      </c>
      <c r="C45" s="13" t="s">
        <v>69</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IF(AND(ISNUMBER(K45),ISNUMBER(M45),ISNUMBER(MATRIZ_174!AV44)),(K45+M45+MATRIZ_174!AV44)/3,"")</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159</v>
      </c>
      <c r="B46" s="14" t="s">
        <v>160</v>
      </c>
      <c r="C46" s="13" t="s">
        <v>69</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IF(AND(ISNUMBER(K46),ISNUMBER(M46),ISNUMBER(MATRIZ_174!AV45)),(K46+M46+MATRIZ_174!AV45)/3,"")</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 · D12-D15 0/4</v>
      </c>
    </row>
    <row r="47" spans="1:39" ht="16.05" customHeight="1" x14ac:dyDescent="0.3">
      <c r="A47" s="13" t="s">
        <v>161</v>
      </c>
      <c r="B47" s="14" t="s">
        <v>162</v>
      </c>
      <c r="C47" s="13" t="s">
        <v>69</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IF(AND(ISNUMBER(K47),ISNUMBER(M47),ISNUMBER(MATRIZ_174!AV46)),(K47+M47+MATRIZ_174!AV46)/3,"")</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163</v>
      </c>
      <c r="B48" s="14" t="s">
        <v>164</v>
      </c>
      <c r="C48" s="13" t="s">
        <v>69</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IF(AND(ISNUMBER(K48),ISNUMBER(M48),ISNUMBER(MATRIZ_174!AV47)),(K48+M48+MATRIZ_174!AV47)/3,"")</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165</v>
      </c>
      <c r="B49" s="14" t="s">
        <v>166</v>
      </c>
      <c r="C49" s="13" t="s">
        <v>69</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IF(AND(ISNUMBER(K49),ISNUMBER(M49),ISNUMBER(MATRIZ_174!AV48)),(K49+M49+MATRIZ_174!AV48)/3,"")</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 · D12-D15 0/4</v>
      </c>
    </row>
    <row r="50" spans="1:39" ht="16.05" customHeight="1" x14ac:dyDescent="0.3">
      <c r="A50" s="13" t="s">
        <v>167</v>
      </c>
      <c r="B50" s="14" t="s">
        <v>168</v>
      </c>
      <c r="C50" s="13" t="s">
        <v>69</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IF(AND(ISNUMBER(K50),ISNUMBER(M50),ISNUMBER(MATRIZ_174!AV49)),(K50+M50+MATRIZ_174!AV49)/3,"")</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 · D12-D15 0/4</v>
      </c>
    </row>
    <row r="51" spans="1:39" ht="16.05" customHeight="1" x14ac:dyDescent="0.3">
      <c r="A51" s="13" t="s">
        <v>169</v>
      </c>
      <c r="B51" s="14" t="s">
        <v>170</v>
      </c>
      <c r="C51" s="13" t="s">
        <v>171</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IF(AND(ISNUMBER(K51),ISNUMBER(M51),ISNUMBER(MATRIZ_174!AV50)),(K51+M51+MATRIZ_174!AV50)/3,"")</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172</v>
      </c>
      <c r="B52" s="14" t="s">
        <v>173</v>
      </c>
      <c r="C52" s="13" t="s">
        <v>142</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IF(AND(ISNUMBER(K52),ISNUMBER(M52),ISNUMBER(MATRIZ_174!AV51)),(K52+M52+MATRIZ_174!AV51)/3,"")</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174</v>
      </c>
      <c r="B53" s="14" t="s">
        <v>175</v>
      </c>
      <c r="C53" s="13" t="s">
        <v>72</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IF(AND(ISNUMBER(K53),ISNUMBER(M53),ISNUMBER(MATRIZ_174!AV52)),(K53+M53+MATRIZ_174!AV52)/3,"")</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176</v>
      </c>
      <c r="B54" s="14" t="s">
        <v>177</v>
      </c>
      <c r="C54" s="13" t="s">
        <v>131</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IF(AND(ISNUMBER(K54),ISNUMBER(M54),ISNUMBER(MATRIZ_174!AV53)),(K54+M54+MATRIZ_174!AV53)/3,"")</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178</v>
      </c>
      <c r="B55" s="14" t="s">
        <v>179</v>
      </c>
      <c r="C55" s="13" t="s">
        <v>131</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IF(AND(ISNUMBER(K55),ISNUMBER(M55),ISNUMBER(MATRIZ_174!AV54)),(K55+M55+MATRIZ_174!AV54)/3,"")</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180</v>
      </c>
      <c r="B56" s="14" t="s">
        <v>181</v>
      </c>
      <c r="C56" s="13" t="s">
        <v>131</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IF(AND(ISNUMBER(K56),ISNUMBER(M56),ISNUMBER(MATRIZ_174!AV55)),(K56+M56+MATRIZ_174!AV55)/3,"")</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182</v>
      </c>
      <c r="B57" s="14" t="s">
        <v>183</v>
      </c>
      <c r="C57" s="13" t="s">
        <v>184</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IF(AND(ISNUMBER(K57),ISNUMBER(M57),ISNUMBER(MATRIZ_174!AV56)),(K57+M57+MATRIZ_174!AV56)/3,"")</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185</v>
      </c>
      <c r="B58" s="14" t="s">
        <v>186</v>
      </c>
      <c r="C58" s="13" t="s">
        <v>72</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IF(AND(ISNUMBER(K58),ISNUMBER(M58),ISNUMBER(MATRIZ_174!AV57)),(K58+M58+MATRIZ_174!AV57)/3,"")</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187</v>
      </c>
      <c r="B59" s="14" t="s">
        <v>188</v>
      </c>
      <c r="C59" s="13" t="s">
        <v>95</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IF(AND(ISNUMBER(K59),ISNUMBER(M59),ISNUMBER(MATRIZ_174!AV58)),(K59+M59+MATRIZ_174!AV58)/3,"")</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 · D12-D15 0/4</v>
      </c>
    </row>
    <row r="60" spans="1:39" ht="16.05" customHeight="1" x14ac:dyDescent="0.3">
      <c r="A60" s="13" t="s">
        <v>189</v>
      </c>
      <c r="B60" s="14" t="s">
        <v>190</v>
      </c>
      <c r="C60" s="13" t="s">
        <v>95</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IF(AND(ISNUMBER(K60),ISNUMBER(M60),ISNUMBER(MATRIZ_174!AV59)),(K60+M60+MATRIZ_174!AV59)/3,"")</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191</v>
      </c>
      <c r="B61" s="14" t="s">
        <v>192</v>
      </c>
      <c r="C61" s="13" t="s">
        <v>193</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IF(AND(ISNUMBER(K61),ISNUMBER(M61),ISNUMBER(MATRIZ_174!AV60)),(K61+M61+MATRIZ_174!AV60)/3,"")</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 · D12-D15 0/4</v>
      </c>
    </row>
    <row r="62" spans="1:39" ht="16.05" customHeight="1" x14ac:dyDescent="0.3">
      <c r="A62" s="13" t="s">
        <v>194</v>
      </c>
      <c r="B62" s="14" t="s">
        <v>195</v>
      </c>
      <c r="C62" s="13" t="s">
        <v>111</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IF(AND(ISNUMBER(K62),ISNUMBER(M62),ISNUMBER(MATRIZ_174!AV61)),(K62+M62+MATRIZ_174!AV61)/3,"")</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196</v>
      </c>
      <c r="B63" s="14" t="s">
        <v>197</v>
      </c>
      <c r="C63" s="13" t="s">
        <v>95</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IF(AND(ISNUMBER(K63),ISNUMBER(M63),ISNUMBER(MATRIZ_174!AV62)),(K63+M63+MATRIZ_174!AV62)/3,"")</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198</v>
      </c>
      <c r="B64" s="14" t="s">
        <v>199</v>
      </c>
      <c r="C64" s="13" t="s">
        <v>95</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IF(AND(ISNUMBER(K64),ISNUMBER(M64),ISNUMBER(MATRIZ_174!AV63)),(K64+M64+MATRIZ_174!AV63)/3,"")</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200</v>
      </c>
      <c r="B65" s="14" t="s">
        <v>201</v>
      </c>
      <c r="C65" s="13" t="s">
        <v>131</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IF(AND(ISNUMBER(K65),ISNUMBER(M65),ISNUMBER(MATRIZ_174!AV64)),(K65+M65+MATRIZ_174!AV64)/3,"")</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202</v>
      </c>
      <c r="B66" s="14" t="s">
        <v>203</v>
      </c>
      <c r="C66" s="13" t="s">
        <v>131</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IF(AND(ISNUMBER(K66),ISNUMBER(M66),ISNUMBER(MATRIZ_174!AV65)),(K66+M66+MATRIZ_174!AV65)/3,"")</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 · D12-D15 0/4</v>
      </c>
    </row>
    <row r="67" spans="1:39" ht="16.05" customHeight="1" x14ac:dyDescent="0.3">
      <c r="A67" s="13" t="s">
        <v>204</v>
      </c>
      <c r="B67" s="14" t="s">
        <v>205</v>
      </c>
      <c r="C67" s="13" t="s">
        <v>72</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IF(AND(ISNUMBER(K67),ISNUMBER(M67),ISNUMBER(MATRIZ_174!AV66)),(K67+M67+MATRIZ_174!AV66)/3,"")</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206</v>
      </c>
      <c r="B68" s="14" t="s">
        <v>207</v>
      </c>
      <c r="C68" s="13" t="s">
        <v>104</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IF(AND(ISNUMBER(K68),ISNUMBER(M68),ISNUMBER(MATRIZ_174!AV67)),(K68+M68+MATRIZ_174!AV67)/3,"")</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208</v>
      </c>
      <c r="B69" s="14" t="s">
        <v>209</v>
      </c>
      <c r="C69" s="13" t="s">
        <v>104</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IF(AND(ISNUMBER(K69),ISNUMBER(M69),ISNUMBER(MATRIZ_174!AV68)),(K69+M69+MATRIZ_174!AV68)/3,"")</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210</v>
      </c>
      <c r="B70" s="14" t="s">
        <v>211</v>
      </c>
      <c r="C70" s="13" t="s">
        <v>171</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IF(AND(ISNUMBER(K70),ISNUMBER(M70),ISNUMBER(MATRIZ_174!AV69)),(K70+M70+MATRIZ_174!AV69)/3,"")</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212</v>
      </c>
      <c r="B71" s="14" t="s">
        <v>213</v>
      </c>
      <c r="C71" s="13" t="s">
        <v>131</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t="str">
        <f>IF(AND(ISNUMBER(K71),ISNUMBER(M71),ISNUMBER(MATRIZ_174!AV70)),(K71+M71+MATRIZ_174!AV70)/3,"")</f>
        <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 · D12-D15 0/4</v>
      </c>
    </row>
    <row r="72" spans="1:39" ht="16.05" customHeight="1" x14ac:dyDescent="0.3">
      <c r="A72" s="13" t="s">
        <v>215</v>
      </c>
      <c r="B72" s="14" t="s">
        <v>216</v>
      </c>
      <c r="C72" s="13" t="s">
        <v>131</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IF(AND(ISNUMBER(K72),ISNUMBER(M72),ISNUMBER(MATRIZ_174!AV71)),(K72+M72+MATRIZ_174!AV71)/3,"")</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217</v>
      </c>
      <c r="B73" s="14" t="s">
        <v>218</v>
      </c>
      <c r="C73" s="13" t="s">
        <v>131</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IF(AND(ISNUMBER(K73),ISNUMBER(M73),ISNUMBER(MATRIZ_174!AV72)),(K73+M73+MATRIZ_174!AV72)/3,"")</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 · D12-D15 0/4</v>
      </c>
    </row>
    <row r="74" spans="1:39" ht="16.05" customHeight="1" x14ac:dyDescent="0.3">
      <c r="A74" s="13" t="s">
        <v>219</v>
      </c>
      <c r="B74" s="14" t="s">
        <v>220</v>
      </c>
      <c r="C74" s="13" t="s">
        <v>131</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t="str">
        <f>IF(AND(ISNUMBER(K74),ISNUMBER(M74),ISNUMBER(MATRIZ_174!AV73)),(K74+M74+MATRIZ_174!AV73)/3,"")</f>
        <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 · D12-D15 0/4</v>
      </c>
    </row>
    <row r="75" spans="1:39" ht="16.05" customHeight="1" x14ac:dyDescent="0.3">
      <c r="A75" s="13" t="s">
        <v>221</v>
      </c>
      <c r="B75" s="14" t="s">
        <v>222</v>
      </c>
      <c r="C75" s="13" t="s">
        <v>131</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IF(AND(ISNUMBER(K75),ISNUMBER(M75),ISNUMBER(MATRIZ_174!AV74)),(K75+M75+MATRIZ_174!AV74)/3,"")</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 · D12-D15 0/4</v>
      </c>
    </row>
    <row r="76" spans="1:39" ht="16.05" customHeight="1" x14ac:dyDescent="0.3">
      <c r="A76" s="13" t="s">
        <v>223</v>
      </c>
      <c r="B76" s="14" t="s">
        <v>224</v>
      </c>
      <c r="C76" s="13" t="s">
        <v>184</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IF(AND(ISNUMBER(K76),ISNUMBER(M76),ISNUMBER(MATRIZ_174!AV75)),(K76+M76+MATRIZ_174!AV75)/3,"")</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225</v>
      </c>
      <c r="B77" s="14" t="s">
        <v>226</v>
      </c>
      <c r="C77" s="13" t="s">
        <v>184</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IF(AND(ISNUMBER(K77),ISNUMBER(M77),ISNUMBER(MATRIZ_174!AV76)),(K77+M77+MATRIZ_174!AV76)/3,"")</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227</v>
      </c>
      <c r="B78" s="14" t="s">
        <v>228</v>
      </c>
      <c r="C78" s="13" t="s">
        <v>142</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IF(AND(ISNUMBER(K78),ISNUMBER(M78),ISNUMBER(MATRIZ_174!AV77)),(K78+M78+MATRIZ_174!AV77)/3,"")</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 · D12-D15 0/4</v>
      </c>
    </row>
    <row r="79" spans="1:39" ht="16.05" customHeight="1" x14ac:dyDescent="0.3">
      <c r="A79" s="13" t="s">
        <v>229</v>
      </c>
      <c r="B79" s="14" t="s">
        <v>230</v>
      </c>
      <c r="C79" s="13" t="s">
        <v>111</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IF(AND(ISNUMBER(K79),ISNUMBER(M79),ISNUMBER(MATRIZ_174!AV78)),(K79+M79+MATRIZ_174!AV78)/3,"")</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231</v>
      </c>
      <c r="B80" s="14" t="s">
        <v>232</v>
      </c>
      <c r="C80" s="13" t="s">
        <v>233</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IF(AND(ISNUMBER(K80),ISNUMBER(M80),ISNUMBER(MATRIZ_174!AV79)),(K80+M80+MATRIZ_174!AV79)/3,"")</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234</v>
      </c>
      <c r="B81" s="14" t="s">
        <v>235</v>
      </c>
      <c r="C81" s="13" t="s">
        <v>104</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t="str">
        <f>IF(AND(ISNUMBER(K81),ISNUMBER(M81),ISNUMBER(MATRIZ_174!AV80)),(K81+M81+MATRIZ_174!AV80)/3,"")</f>
        <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 · D12-D15 0/4</v>
      </c>
    </row>
    <row r="82" spans="1:39" ht="16.05" customHeight="1" x14ac:dyDescent="0.3">
      <c r="A82" s="13" t="s">
        <v>237</v>
      </c>
      <c r="B82" s="14" t="s">
        <v>238</v>
      </c>
      <c r="C82" s="13" t="s">
        <v>72</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IF(AND(ISNUMBER(K82),ISNUMBER(M82),ISNUMBER(MATRIZ_174!AV81)),(K82+M82+MATRIZ_174!AV81)/3,"")</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239</v>
      </c>
      <c r="B83" s="14" t="s">
        <v>240</v>
      </c>
      <c r="C83" s="13" t="s">
        <v>241</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IF(AND(ISNUMBER(K83),ISNUMBER(M83),ISNUMBER(MATRIZ_174!AV82)),(K83+M83+MATRIZ_174!AV82)/3,"")</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 · D12-D15 0/4</v>
      </c>
    </row>
    <row r="84" spans="1:39" ht="16.05" customHeight="1" x14ac:dyDescent="0.3">
      <c r="A84" s="13" t="s">
        <v>242</v>
      </c>
      <c r="B84" s="14" t="s">
        <v>243</v>
      </c>
      <c r="C84" s="13" t="s">
        <v>241</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IF(AND(ISNUMBER(K84),ISNUMBER(M84),ISNUMBER(MATRIZ_174!AV83)),(K84+M84+MATRIZ_174!AV83)/3,"")</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244</v>
      </c>
      <c r="B85" s="14" t="s">
        <v>245</v>
      </c>
      <c r="C85" s="13" t="s">
        <v>69</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IF(AND(ISNUMBER(K85),ISNUMBER(M85),ISNUMBER(MATRIZ_174!AV84)),(K85+M85+MATRIZ_174!AV84)/3,"")</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 · D12-D15 0/4</v>
      </c>
    </row>
    <row r="86" spans="1:39" ht="16.05" customHeight="1" x14ac:dyDescent="0.3">
      <c r="A86" s="13" t="s">
        <v>246</v>
      </c>
      <c r="B86" s="14" t="s">
        <v>247</v>
      </c>
      <c r="C86" s="13" t="s">
        <v>69</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IF(AND(ISNUMBER(K86),ISNUMBER(M86),ISNUMBER(MATRIZ_174!AV85)),(K86+M86+MATRIZ_174!AV85)/3,"")</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 · D12-D15 0/4</v>
      </c>
    </row>
    <row r="87" spans="1:39" ht="16.05" customHeight="1" x14ac:dyDescent="0.3">
      <c r="A87" s="13" t="s">
        <v>248</v>
      </c>
      <c r="B87" s="14" t="s">
        <v>249</v>
      </c>
      <c r="C87" s="13" t="s">
        <v>241</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IF(AND(ISNUMBER(K87),ISNUMBER(M87),ISNUMBER(MATRIZ_174!AV86)),(K87+M87+MATRIZ_174!AV86)/3,"")</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250</v>
      </c>
      <c r="B88" s="14" t="s">
        <v>251</v>
      </c>
      <c r="C88" s="13" t="s">
        <v>241</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IF(AND(ISNUMBER(K88),ISNUMBER(M88),ISNUMBER(MATRIZ_174!AV87)),(K88+M88+MATRIZ_174!AV87)/3,"")</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252</v>
      </c>
      <c r="B89" s="14" t="s">
        <v>253</v>
      </c>
      <c r="C89" s="13" t="s">
        <v>241</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IF(AND(ISNUMBER(K89),ISNUMBER(M89),ISNUMBER(MATRIZ_174!AV88)),(K89+M89+MATRIZ_174!AV88)/3,"")</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254</v>
      </c>
      <c r="B90" s="14" t="s">
        <v>255</v>
      </c>
      <c r="C90" s="13" t="s">
        <v>241</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IF(AND(ISNUMBER(K90),ISNUMBER(M90),ISNUMBER(MATRIZ_174!AV89)),(K90+M90+MATRIZ_174!AV89)/3,"")</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256</v>
      </c>
      <c r="B91" s="14" t="s">
        <v>257</v>
      </c>
      <c r="C91" s="13" t="s">
        <v>69</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IF(AND(ISNUMBER(K91),ISNUMBER(M91),ISNUMBER(MATRIZ_174!AV90)),(K91+M91+MATRIZ_174!AV90)/3,"")</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258</v>
      </c>
      <c r="B92" s="14" t="s">
        <v>259</v>
      </c>
      <c r="C92" s="13" t="s">
        <v>69</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IF(AND(ISNUMBER(K92),ISNUMBER(M92),ISNUMBER(MATRIZ_174!AV91)),(K92+M92+MATRIZ_174!AV91)/3,"")</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260</v>
      </c>
      <c r="B93" s="14" t="s">
        <v>261</v>
      </c>
      <c r="C93" s="13" t="s">
        <v>142</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IF(AND(ISNUMBER(K93),ISNUMBER(M93),ISNUMBER(MATRIZ_174!AV92)),(K93+M93+MATRIZ_174!AV92)/3,"")</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 · D12-D15 0/4</v>
      </c>
    </row>
    <row r="94" spans="1:39" ht="16.05" customHeight="1" x14ac:dyDescent="0.3">
      <c r="A94" s="13" t="s">
        <v>262</v>
      </c>
      <c r="B94" s="14" t="s">
        <v>263</v>
      </c>
      <c r="C94" s="13" t="s">
        <v>131</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IF(AND(ISNUMBER(K94),ISNUMBER(M94),ISNUMBER(MATRIZ_174!AV93)),(K94+M94+MATRIZ_174!AV93)/3,"")</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264</v>
      </c>
      <c r="B95" s="14" t="s">
        <v>265</v>
      </c>
      <c r="C95" s="13" t="s">
        <v>131</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IF(AND(ISNUMBER(K95),ISNUMBER(M95),ISNUMBER(MATRIZ_174!AV94)),(K95+M95+MATRIZ_174!AV94)/3,"")</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 · D12-D15 0/4</v>
      </c>
    </row>
    <row r="96" spans="1:39" ht="16.05" customHeight="1" x14ac:dyDescent="0.3">
      <c r="A96" s="13" t="s">
        <v>266</v>
      </c>
      <c r="B96" s="14" t="s">
        <v>267</v>
      </c>
      <c r="C96" s="13" t="s">
        <v>111</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IF(AND(ISNUMBER(K96),ISNUMBER(M96),ISNUMBER(MATRIZ_174!AV95)),(K96+M96+MATRIZ_174!AV95)/3,"")</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268</v>
      </c>
      <c r="B97" s="14" t="s">
        <v>269</v>
      </c>
      <c r="C97" s="13" t="s">
        <v>111</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IF(AND(ISNUMBER(K97),ISNUMBER(M97),ISNUMBER(MATRIZ_174!AV96)),(K97+M97+MATRIZ_174!AV96)/3,"")</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270</v>
      </c>
      <c r="B98" s="14" t="s">
        <v>271</v>
      </c>
      <c r="C98" s="13" t="s">
        <v>111</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IF(AND(ISNUMBER(K98),ISNUMBER(M98),ISNUMBER(MATRIZ_174!AV97)),(K98+M98+MATRIZ_174!AV97)/3,"")</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272</v>
      </c>
      <c r="B99" s="14" t="s">
        <v>273</v>
      </c>
      <c r="C99" s="13" t="s">
        <v>111</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IF(AND(ISNUMBER(K99),ISNUMBER(M99),ISNUMBER(MATRIZ_174!AV98)),(K99+M99+MATRIZ_174!AV98)/3,"")</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274</v>
      </c>
      <c r="B100" s="14" t="s">
        <v>275</v>
      </c>
      <c r="C100" s="13" t="s">
        <v>111</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IF(AND(ISNUMBER(K100),ISNUMBER(M100),ISNUMBER(MATRIZ_174!AV99)),(K100+M100+MATRIZ_174!AV99)/3,"")</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277</v>
      </c>
      <c r="B101" s="14" t="s">
        <v>278</v>
      </c>
      <c r="C101" s="13" t="s">
        <v>72</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IF(AND(ISNUMBER(K101),ISNUMBER(M101),ISNUMBER(MATRIZ_174!AV100)),(K101+M101+MATRIZ_174!AV100)/3,"")</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279</v>
      </c>
      <c r="B102" s="14" t="s">
        <v>280</v>
      </c>
      <c r="C102" s="13" t="s">
        <v>104</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IF(AND(ISNUMBER(K102),ISNUMBER(M102),ISNUMBER(MATRIZ_174!AV101)),(K102+M102+MATRIZ_174!AV101)/3,"")</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281</v>
      </c>
      <c r="B103" s="14" t="s">
        <v>282</v>
      </c>
      <c r="C103" s="13" t="s">
        <v>111</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IF(AND(ISNUMBER(K103),ISNUMBER(M103),ISNUMBER(MATRIZ_174!AV102)),(K103+M103+MATRIZ_174!AV102)/3,"")</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283</v>
      </c>
      <c r="B104" s="14" t="s">
        <v>284</v>
      </c>
      <c r="C104" s="13" t="s">
        <v>184</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IF(AND(ISNUMBER(K104),ISNUMBER(M104),ISNUMBER(MATRIZ_174!AV103)),(K104+M104+MATRIZ_174!AV103)/3,"")</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285</v>
      </c>
      <c r="B105" s="14" t="s">
        <v>286</v>
      </c>
      <c r="C105" s="13" t="s">
        <v>233</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IF(AND(ISNUMBER(K105),ISNUMBER(M105),ISNUMBER(MATRIZ_174!AV104)),(K105+M105+MATRIZ_174!AV104)/3,"")</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287</v>
      </c>
      <c r="B106" s="14" t="s">
        <v>288</v>
      </c>
      <c r="C106" s="13" t="s">
        <v>104</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IF(AND(ISNUMBER(K106),ISNUMBER(M106),ISNUMBER(MATRIZ_174!AV105)),(K106+M106+MATRIZ_174!AV105)/3,"")</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289</v>
      </c>
      <c r="B107" s="14" t="s">
        <v>290</v>
      </c>
      <c r="C107" s="13" t="s">
        <v>131</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t="str">
        <f>IF(AND(ISNUMBER(K107),ISNUMBER(M107),ISNUMBER(MATRIZ_174!AV106)),(K107+M107+MATRIZ_174!AV106)/3,"")</f>
        <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 · D12-D15 0/4</v>
      </c>
    </row>
    <row r="108" spans="1:39" ht="16.05" customHeight="1" x14ac:dyDescent="0.3">
      <c r="A108" s="13" t="s">
        <v>291</v>
      </c>
      <c r="B108" s="14" t="s">
        <v>292</v>
      </c>
      <c r="C108" s="13" t="s">
        <v>101</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IF(AND(ISNUMBER(K108),ISNUMBER(M108),ISNUMBER(MATRIZ_174!AV107)),(K108+M108+MATRIZ_174!AV107)/3,"")</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293</v>
      </c>
      <c r="B109" s="14" t="s">
        <v>294</v>
      </c>
      <c r="C109" s="13" t="s">
        <v>101</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IF(AND(ISNUMBER(K109),ISNUMBER(M109),ISNUMBER(MATRIZ_174!AV108)),(K109+M109+MATRIZ_174!AV108)/3,"")</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 · D12-D15 0/4</v>
      </c>
    </row>
    <row r="110" spans="1:39" ht="16.05" customHeight="1" x14ac:dyDescent="0.3">
      <c r="A110" s="13" t="s">
        <v>295</v>
      </c>
      <c r="B110" s="14" t="s">
        <v>296</v>
      </c>
      <c r="C110" s="13" t="s">
        <v>64</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IF(AND(ISNUMBER(K110),ISNUMBER(M110),ISNUMBER(MATRIZ_174!AV109)),(K110+M110+MATRIZ_174!AV109)/3,"")</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297</v>
      </c>
      <c r="B111" s="14" t="s">
        <v>298</v>
      </c>
      <c r="C111" s="13" t="s">
        <v>111</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IF(AND(ISNUMBER(K111),ISNUMBER(M111),ISNUMBER(MATRIZ_174!AV110)),(K111+M111+MATRIZ_174!AV110)/3,"")</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299</v>
      </c>
      <c r="B112" s="14" t="s">
        <v>300</v>
      </c>
      <c r="C112" s="13" t="s">
        <v>104</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IF(AND(ISNUMBER(K112),ISNUMBER(M112),ISNUMBER(MATRIZ_174!AV111)),(K112+M112+MATRIZ_174!AV111)/3,"")</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 · D12-D15 0/4</v>
      </c>
    </row>
    <row r="113" spans="1:39" ht="16.05" customHeight="1" x14ac:dyDescent="0.3">
      <c r="A113" s="13" t="s">
        <v>301</v>
      </c>
      <c r="B113" s="14" t="s">
        <v>302</v>
      </c>
      <c r="C113" s="13" t="s">
        <v>111</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IF(AND(ISNUMBER(K113),ISNUMBER(M113),ISNUMBER(MATRIZ_174!AV112)),(K113+M113+MATRIZ_174!AV112)/3,"")</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303</v>
      </c>
      <c r="B114" s="14" t="s">
        <v>304</v>
      </c>
      <c r="C114" s="13" t="s">
        <v>142</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IF(AND(ISNUMBER(K114),ISNUMBER(M114),ISNUMBER(MATRIZ_174!AV113)),(K114+M114+MATRIZ_174!AV113)/3,"")</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 · D12-D15 0/4</v>
      </c>
    </row>
    <row r="115" spans="1:39" ht="16.05" customHeight="1" x14ac:dyDescent="0.3">
      <c r="A115" s="13" t="s">
        <v>305</v>
      </c>
      <c r="B115" s="14" t="s">
        <v>306</v>
      </c>
      <c r="C115" s="13" t="s">
        <v>233</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IF(AND(ISNUMBER(K115),ISNUMBER(M115),ISNUMBER(MATRIZ_174!AV114)),(K115+M115+MATRIZ_174!AV114)/3,"")</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307</v>
      </c>
      <c r="B116" s="14" t="s">
        <v>308</v>
      </c>
      <c r="C116" s="13" t="s">
        <v>131</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IF(AND(ISNUMBER(K116),ISNUMBER(M116),ISNUMBER(MATRIZ_174!AV115)),(K116+M116+MATRIZ_174!AV115)/3,"")</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 · D12-D15 0/4</v>
      </c>
    </row>
    <row r="117" spans="1:39" ht="16.05" customHeight="1" x14ac:dyDescent="0.3">
      <c r="A117" s="13" t="s">
        <v>309</v>
      </c>
      <c r="B117" s="14" t="s">
        <v>310</v>
      </c>
      <c r="C117" s="13" t="s">
        <v>233</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IF(AND(ISNUMBER(K117),ISNUMBER(M117),ISNUMBER(MATRIZ_174!AV116)),(K117+M117+MATRIZ_174!AV116)/3,"")</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311</v>
      </c>
      <c r="B118" s="14" t="s">
        <v>312</v>
      </c>
      <c r="C118" s="13" t="s">
        <v>171</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IF(AND(ISNUMBER(K118),ISNUMBER(M118),ISNUMBER(MATRIZ_174!AV117)),(K118+M118+MATRIZ_174!AV117)/3,"")</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313</v>
      </c>
      <c r="B119" s="14" t="s">
        <v>314</v>
      </c>
      <c r="C119" s="13" t="s">
        <v>101</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IF(AND(ISNUMBER(K119),ISNUMBER(M119),ISNUMBER(MATRIZ_174!AV118)),(K119+M119+MATRIZ_174!AV118)/3,"")</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315</v>
      </c>
      <c r="B120" s="14" t="s">
        <v>316</v>
      </c>
      <c r="C120" s="13" t="s">
        <v>101</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IF(AND(ISNUMBER(K120),ISNUMBER(M120),ISNUMBER(MATRIZ_174!AV119)),(K120+M120+MATRIZ_174!AV119)/3,"")</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317</v>
      </c>
      <c r="B121" s="14" t="s">
        <v>318</v>
      </c>
      <c r="C121" s="13" t="s">
        <v>142</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IF(AND(ISNUMBER(K121),ISNUMBER(M121),ISNUMBER(MATRIZ_174!AV120)),(K121+M121+MATRIZ_174!AV120)/3,"")</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319</v>
      </c>
      <c r="B122" s="14" t="s">
        <v>320</v>
      </c>
      <c r="C122" s="13" t="s">
        <v>241</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IF(AND(ISNUMBER(K122),ISNUMBER(M122),ISNUMBER(MATRIZ_174!AV121)),(K122+M122+MATRIZ_174!AV121)/3,"")</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321</v>
      </c>
      <c r="B123" s="14" t="s">
        <v>322</v>
      </c>
      <c r="C123" s="13" t="s">
        <v>111</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IF(AND(ISNUMBER(K123),ISNUMBER(M123),ISNUMBER(MATRIZ_174!AV122)),(K123+M123+MATRIZ_174!AV122)/3,"")</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323</v>
      </c>
      <c r="B124" s="14" t="s">
        <v>324</v>
      </c>
      <c r="C124" s="13" t="s">
        <v>69</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IF(AND(ISNUMBER(K124),ISNUMBER(M124),ISNUMBER(MATRIZ_174!AV123)),(K124+M124+MATRIZ_174!AV123)/3,"")</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325</v>
      </c>
      <c r="B125" s="14" t="s">
        <v>326</v>
      </c>
      <c r="C125" s="13" t="s">
        <v>104</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t="str">
        <f>IF(AND(ISNUMBER(K125),ISNUMBER(M125),ISNUMBER(MATRIZ_174!AV124)),(K125+M125+MATRIZ_174!AV124)/3,"")</f>
        <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 · D12-D15 0/4</v>
      </c>
    </row>
    <row r="126" spans="1:39" ht="16.05" customHeight="1" x14ac:dyDescent="0.3">
      <c r="A126" s="13" t="s">
        <v>328</v>
      </c>
      <c r="B126" s="14" t="s">
        <v>329</v>
      </c>
      <c r="C126" s="13" t="s">
        <v>69</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IF(AND(ISNUMBER(K126),ISNUMBER(M126),ISNUMBER(MATRIZ_174!AV125)),(K126+M126+MATRIZ_174!AV125)/3,"")</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330</v>
      </c>
      <c r="B127" s="14" t="s">
        <v>331</v>
      </c>
      <c r="C127" s="13" t="s">
        <v>69</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IF(AND(ISNUMBER(K127),ISNUMBER(M127),ISNUMBER(MATRIZ_174!AV126)),(K127+M127+MATRIZ_174!AV126)/3,"")</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332</v>
      </c>
      <c r="B128" s="14" t="s">
        <v>333</v>
      </c>
      <c r="C128" s="13" t="s">
        <v>69</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IF(AND(ISNUMBER(K128),ISNUMBER(M128),ISNUMBER(MATRIZ_174!AV127)),(K128+M128+MATRIZ_174!AV127)/3,"")</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334</v>
      </c>
      <c r="B129" s="14" t="s">
        <v>335</v>
      </c>
      <c r="C129" s="13" t="s">
        <v>104</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IF(AND(ISNUMBER(K129),ISNUMBER(M129),ISNUMBER(MATRIZ_174!AV128)),(K129+M129+MATRIZ_174!AV128)/3,"")</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 · D12-D15 0/4</v>
      </c>
    </row>
    <row r="130" spans="1:39" ht="16.05" customHeight="1" x14ac:dyDescent="0.3">
      <c r="A130" s="13" t="s">
        <v>336</v>
      </c>
      <c r="B130" s="14" t="s">
        <v>337</v>
      </c>
      <c r="C130" s="13" t="s">
        <v>101</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IF(AND(ISNUMBER(K130),ISNUMBER(M130),ISNUMBER(MATRIZ_174!AV129)),(K130+M130+MATRIZ_174!AV129)/3,"")</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338</v>
      </c>
      <c r="B131" s="14" t="s">
        <v>339</v>
      </c>
      <c r="C131" s="13" t="s">
        <v>241</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t="str">
        <f>IF(AND(ISNUMBER(K131),ISNUMBER(M131),ISNUMBER(MATRIZ_174!AV130)),(K131+M131+MATRIZ_174!AV130)/3,"")</f>
        <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 · D12-D15 0/4</v>
      </c>
    </row>
    <row r="132" spans="1:39" ht="16.05" customHeight="1" x14ac:dyDescent="0.3">
      <c r="A132" s="13" t="s">
        <v>341</v>
      </c>
      <c r="B132" s="14" t="s">
        <v>342</v>
      </c>
      <c r="C132" s="13" t="s">
        <v>69</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IF(AND(ISNUMBER(K132),ISNUMBER(M132),ISNUMBER(MATRIZ_174!AV131)),(K132+M132+MATRIZ_174!AV131)/3,"")</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343</v>
      </c>
      <c r="B133" s="14" t="s">
        <v>344</v>
      </c>
      <c r="C133" s="13" t="s">
        <v>101</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IF(AND(ISNUMBER(K133),ISNUMBER(M133),ISNUMBER(MATRIZ_174!AV132)),(K133+M133+MATRIZ_174!AV132)/3,"")</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345</v>
      </c>
      <c r="B134" s="14" t="s">
        <v>346</v>
      </c>
      <c r="C134" s="13" t="s">
        <v>95</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IF(AND(ISNUMBER(K134),ISNUMBER(M134),ISNUMBER(MATRIZ_174!AV133)),(K134+M134+MATRIZ_174!AV133)/3,"")</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347</v>
      </c>
      <c r="B135" s="14" t="s">
        <v>348</v>
      </c>
      <c r="C135" s="13" t="s">
        <v>69</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t="str">
        <f>IF(AND(ISNUMBER(K135),ISNUMBER(M135),ISNUMBER(MATRIZ_174!AV134)),(K135+M135+MATRIZ_174!AV134)/3,"")</f>
        <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 · D12-D15 0/4</v>
      </c>
    </row>
    <row r="136" spans="1:39" ht="16.05" customHeight="1" x14ac:dyDescent="0.3">
      <c r="A136" s="13" t="s">
        <v>350</v>
      </c>
      <c r="B136" s="14" t="s">
        <v>351</v>
      </c>
      <c r="C136" s="13" t="s">
        <v>131</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t="str">
        <f>IF(AND(ISNUMBER(K136),ISNUMBER(M136),ISNUMBER(MATRIZ_174!AV135)),(K136+M136+MATRIZ_174!AV135)/3,"")</f>
        <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 · D12-D15 0/4</v>
      </c>
    </row>
    <row r="137" spans="1:39" ht="16.05" customHeight="1" x14ac:dyDescent="0.3">
      <c r="A137" s="13" t="s">
        <v>353</v>
      </c>
      <c r="B137" s="14" t="s">
        <v>354</v>
      </c>
      <c r="C137" s="13" t="s">
        <v>69</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IF(AND(ISNUMBER(K137),ISNUMBER(M137),ISNUMBER(MATRIZ_174!AV136)),(K137+M137+MATRIZ_174!AV136)/3,"")</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355</v>
      </c>
      <c r="B138" s="14" t="s">
        <v>356</v>
      </c>
      <c r="C138" s="13" t="s">
        <v>72</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IF(AND(ISNUMBER(K138),ISNUMBER(M138),ISNUMBER(MATRIZ_174!AV137)),(K138+M138+MATRIZ_174!AV137)/3,"")</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357</v>
      </c>
      <c r="B139" s="14" t="s">
        <v>358</v>
      </c>
      <c r="C139" s="13" t="s">
        <v>104</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IF(AND(ISNUMBER(K139),ISNUMBER(M139),ISNUMBER(MATRIZ_174!AV138)),(K139+M139+MATRIZ_174!AV138)/3,"")</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 · D12-D15 0/4</v>
      </c>
    </row>
    <row r="140" spans="1:39" ht="16.05" customHeight="1" x14ac:dyDescent="0.3">
      <c r="A140" s="13" t="s">
        <v>359</v>
      </c>
      <c r="B140" s="14" t="s">
        <v>360</v>
      </c>
      <c r="C140" s="13" t="s">
        <v>184</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IF(AND(ISNUMBER(K140),ISNUMBER(M140),ISNUMBER(MATRIZ_174!AV139)),(K140+M140+MATRIZ_174!AV139)/3,"")</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361</v>
      </c>
      <c r="B141" s="14" t="s">
        <v>362</v>
      </c>
      <c r="C141" s="13" t="s">
        <v>69</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IF(AND(ISNUMBER(K141),ISNUMBER(M141),ISNUMBER(MATRIZ_174!AV140)),(K141+M141+MATRIZ_174!AV140)/3,"")</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 · D12-D15 0/4</v>
      </c>
    </row>
    <row r="142" spans="1:39" ht="16.05" customHeight="1" x14ac:dyDescent="0.3">
      <c r="A142" s="13" t="s">
        <v>363</v>
      </c>
      <c r="B142" s="14" t="s">
        <v>364</v>
      </c>
      <c r="C142" s="13" t="s">
        <v>72</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IF(AND(ISNUMBER(K142),ISNUMBER(M142),ISNUMBER(MATRIZ_174!AV141)),(K142+M142+MATRIZ_174!AV141)/3,"")</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365</v>
      </c>
      <c r="B143" s="14" t="s">
        <v>366</v>
      </c>
      <c r="C143" s="13" t="s">
        <v>72</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IF(AND(ISNUMBER(K143),ISNUMBER(M143),ISNUMBER(MATRIZ_174!AV142)),(K143+M143+MATRIZ_174!AV142)/3,"")</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367</v>
      </c>
      <c r="B144" s="14" t="s">
        <v>368</v>
      </c>
      <c r="C144" s="13" t="s">
        <v>131</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t="str">
        <f>IF(AND(ISNUMBER(K144),ISNUMBER(M144),ISNUMBER(MATRIZ_174!AV143)),(K144+M144+MATRIZ_174!AV143)/3,"")</f>
        <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 · D12-D15 0/4</v>
      </c>
    </row>
    <row r="145" spans="1:39" ht="16.05" customHeight="1" x14ac:dyDescent="0.3">
      <c r="A145" s="13" t="s">
        <v>369</v>
      </c>
      <c r="B145" s="14" t="s">
        <v>370</v>
      </c>
      <c r="C145" s="13" t="s">
        <v>72</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IF(AND(ISNUMBER(K145),ISNUMBER(M145),ISNUMBER(MATRIZ_174!AV144)),(K145+M145+MATRIZ_174!AV144)/3,"")</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371</v>
      </c>
      <c r="B146" s="14" t="s">
        <v>372</v>
      </c>
      <c r="C146" s="13" t="s">
        <v>72</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IF(AND(ISNUMBER(K146),ISNUMBER(M146),ISNUMBER(MATRIZ_174!AV145)),(K146+M146+MATRIZ_174!AV145)/3,"")</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373</v>
      </c>
      <c r="B147" s="14" t="s">
        <v>374</v>
      </c>
      <c r="C147" s="13" t="s">
        <v>69</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t="str">
        <f>IF(AND(ISNUMBER(K147),ISNUMBER(M147),ISNUMBER(MATRIZ_174!AV146)),(K147+M147+MATRIZ_174!AV146)/3,"")</f>
        <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 · D12-D15 0/4</v>
      </c>
    </row>
    <row r="148" spans="1:39" ht="16.05" customHeight="1" x14ac:dyDescent="0.3">
      <c r="A148" s="13" t="s">
        <v>375</v>
      </c>
      <c r="B148" s="14" t="s">
        <v>376</v>
      </c>
      <c r="C148" s="13" t="s">
        <v>233</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IF(AND(ISNUMBER(K148),ISNUMBER(M148),ISNUMBER(MATRIZ_174!AV147)),(K148+M148+MATRIZ_174!AV147)/3,"")</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 · D12-D15 0/4</v>
      </c>
    </row>
    <row r="149" spans="1:39" ht="16.05" customHeight="1" x14ac:dyDescent="0.3">
      <c r="A149" s="13" t="s">
        <v>377</v>
      </c>
      <c r="B149" s="14" t="s">
        <v>378</v>
      </c>
      <c r="C149" s="13" t="s">
        <v>72</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IF(AND(ISNUMBER(K149),ISNUMBER(M149),ISNUMBER(MATRIZ_174!AV148)),(K149+M149+MATRIZ_174!AV148)/3,"")</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379</v>
      </c>
      <c r="B150" s="14" t="s">
        <v>380</v>
      </c>
      <c r="C150" s="13" t="s">
        <v>142</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t="str">
        <f>IF(AND(ISNUMBER(K150),ISNUMBER(M150),ISNUMBER(MATRIZ_174!AV149)),(K150+M150+MATRIZ_174!AV149)/3,"")</f>
        <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 · D12-D15 0/4</v>
      </c>
    </row>
    <row r="151" spans="1:39" ht="16.05" customHeight="1" x14ac:dyDescent="0.3">
      <c r="A151" s="13" t="s">
        <v>381</v>
      </c>
      <c r="B151" s="14" t="s">
        <v>382</v>
      </c>
      <c r="C151" s="13" t="s">
        <v>95</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IF(AND(ISNUMBER(K151),ISNUMBER(M151),ISNUMBER(MATRIZ_174!AV150)),(K151+M151+MATRIZ_174!AV150)/3,"")</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383</v>
      </c>
      <c r="B152" s="14" t="s">
        <v>384</v>
      </c>
      <c r="C152" s="13" t="s">
        <v>171</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IF(AND(ISNUMBER(K152),ISNUMBER(M152),ISNUMBER(MATRIZ_174!AV151)),(K152+M152+MATRIZ_174!AV151)/3,"")</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385</v>
      </c>
      <c r="B153" s="14" t="s">
        <v>386</v>
      </c>
      <c r="C153" s="13" t="s">
        <v>72</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IF(AND(ISNUMBER(K153),ISNUMBER(M153),ISNUMBER(MATRIZ_174!AV152)),(K153+M153+MATRIZ_174!AV152)/3,"")</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387</v>
      </c>
      <c r="B154" s="14" t="s">
        <v>388</v>
      </c>
      <c r="C154" s="13" t="s">
        <v>72</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IF(AND(ISNUMBER(K154),ISNUMBER(M154),ISNUMBER(MATRIZ_174!AV153)),(K154+M154+MATRIZ_174!AV153)/3,"")</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389</v>
      </c>
      <c r="B155" s="14" t="s">
        <v>390</v>
      </c>
      <c r="C155" s="13" t="s">
        <v>69</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t="str">
        <f>IF(AND(ISNUMBER(K155),ISNUMBER(M155),ISNUMBER(MATRIZ_174!AV154)),(K155+M155+MATRIZ_174!AV154)/3,"")</f>
        <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 · D12-D15 0/4</v>
      </c>
    </row>
    <row r="156" spans="1:39" ht="16.05" customHeight="1" x14ac:dyDescent="0.3">
      <c r="A156" s="13" t="s">
        <v>391</v>
      </c>
      <c r="B156" s="14" t="s">
        <v>392</v>
      </c>
      <c r="C156" s="13" t="s">
        <v>101</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IF(AND(ISNUMBER(K156),ISNUMBER(M156),ISNUMBER(MATRIZ_174!AV155)),(K156+M156+MATRIZ_174!AV155)/3,"")</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393</v>
      </c>
      <c r="B157" s="14" t="s">
        <v>394</v>
      </c>
      <c r="C157" s="13" t="s">
        <v>171</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IF(AND(ISNUMBER(K157),ISNUMBER(M157),ISNUMBER(MATRIZ_174!AV156)),(K157+M157+MATRIZ_174!AV156)/3,"")</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395</v>
      </c>
      <c r="B158" s="14" t="s">
        <v>396</v>
      </c>
      <c r="C158" s="13" t="s">
        <v>131</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t="str">
        <f>IF(AND(ISNUMBER(K158),ISNUMBER(M158),ISNUMBER(MATRIZ_174!AV157)),(K158+M158+MATRIZ_174!AV157)/3,"")</f>
        <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 · D12-D15 0/4</v>
      </c>
    </row>
    <row r="159" spans="1:39" ht="16.05" customHeight="1" x14ac:dyDescent="0.3">
      <c r="A159" s="13" t="s">
        <v>398</v>
      </c>
      <c r="B159" s="14" t="s">
        <v>399</v>
      </c>
      <c r="C159" s="13" t="s">
        <v>69</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IF(AND(ISNUMBER(K159),ISNUMBER(M159),ISNUMBER(MATRIZ_174!AV158)),(K159+M159+MATRIZ_174!AV158)/3,"")</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400</v>
      </c>
      <c r="B160" s="14" t="s">
        <v>401</v>
      </c>
      <c r="C160" s="13" t="s">
        <v>131</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IF(AND(ISNUMBER(K160),ISNUMBER(M160),ISNUMBER(MATRIZ_174!AV159)),(K160+M160+MATRIZ_174!AV159)/3,"")</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402</v>
      </c>
      <c r="B161" s="14" t="s">
        <v>403</v>
      </c>
      <c r="C161" s="13" t="s">
        <v>95</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IF(AND(ISNUMBER(K161),ISNUMBER(M161),ISNUMBER(MATRIZ_174!AV160)),(K161+M161+MATRIZ_174!AV160)/3,"")</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405</v>
      </c>
      <c r="B162" s="14" t="s">
        <v>406</v>
      </c>
      <c r="C162" s="13" t="s">
        <v>171</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IF(AND(ISNUMBER(K162),ISNUMBER(M162),ISNUMBER(MATRIZ_174!AV161)),(K162+M162+MATRIZ_174!AV161)/3,"")</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407</v>
      </c>
      <c r="B163" s="14" t="s">
        <v>408</v>
      </c>
      <c r="C163" s="13" t="s">
        <v>95</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IF(AND(ISNUMBER(K163),ISNUMBER(M163),ISNUMBER(MATRIZ_174!AV162)),(K163+M163+MATRIZ_174!AV162)/3,"")</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409</v>
      </c>
      <c r="B164" s="14" t="s">
        <v>410</v>
      </c>
      <c r="C164" s="13" t="s">
        <v>142</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IF(AND(ISNUMBER(K164),ISNUMBER(M164),ISNUMBER(MATRIZ_174!AV163)),(K164+M164+MATRIZ_174!AV163)/3,"")</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 · D12-D15 0/4</v>
      </c>
    </row>
    <row r="165" spans="1:39" ht="16.05" customHeight="1" x14ac:dyDescent="0.3">
      <c r="A165" s="13" t="s">
        <v>411</v>
      </c>
      <c r="B165" s="14" t="s">
        <v>412</v>
      </c>
      <c r="C165" s="13" t="s">
        <v>104</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IF(AND(ISNUMBER(K165),ISNUMBER(M165),ISNUMBER(MATRIZ_174!AV164)),(K165+M165+MATRIZ_174!AV164)/3,"")</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413</v>
      </c>
      <c r="B166" s="14" t="s">
        <v>414</v>
      </c>
      <c r="C166" s="13" t="s">
        <v>171</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IF(AND(ISNUMBER(K166),ISNUMBER(M166),ISNUMBER(MATRIZ_174!AV165)),(K166+M166+MATRIZ_174!AV165)/3,"")</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415</v>
      </c>
      <c r="B167" s="14" t="s">
        <v>416</v>
      </c>
      <c r="C167" s="13" t="s">
        <v>233</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IF(AND(ISNUMBER(K167),ISNUMBER(M167),ISNUMBER(MATRIZ_174!AV166)),(K167+M167+MATRIZ_174!AV166)/3,"")</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417</v>
      </c>
      <c r="B168" s="14" t="s">
        <v>418</v>
      </c>
      <c r="C168" s="13" t="s">
        <v>131</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IF(AND(ISNUMBER(K168),ISNUMBER(M168),ISNUMBER(MATRIZ_174!AV167)),(K168+M168+MATRIZ_174!AV167)/3,"")</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 · D12-D15 0/4</v>
      </c>
    </row>
    <row r="169" spans="1:39" ht="16.05" customHeight="1" x14ac:dyDescent="0.3">
      <c r="A169" s="13" t="s">
        <v>419</v>
      </c>
      <c r="B169" s="14" t="s">
        <v>420</v>
      </c>
      <c r="C169" s="13" t="s">
        <v>104</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IF(AND(ISNUMBER(K169),ISNUMBER(M169),ISNUMBER(MATRIZ_174!AV168)),(K169+M169+MATRIZ_174!AV168)/3,"")</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 · D12-D15 0/4</v>
      </c>
    </row>
    <row r="170" spans="1:39" ht="16.05" customHeight="1" x14ac:dyDescent="0.3">
      <c r="A170" s="13" t="s">
        <v>421</v>
      </c>
      <c r="B170" s="14" t="s">
        <v>422</v>
      </c>
      <c r="C170" s="13" t="s">
        <v>142</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IF(AND(ISNUMBER(K170),ISNUMBER(M170),ISNUMBER(MATRIZ_174!AV169)),(K170+M170+MATRIZ_174!AV169)/3,"")</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423</v>
      </c>
      <c r="B171" s="14" t="s">
        <v>424</v>
      </c>
      <c r="C171" s="13" t="s">
        <v>101</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IF(AND(ISNUMBER(K171),ISNUMBER(M171),ISNUMBER(MATRIZ_174!AV170)),(K171+M171+MATRIZ_174!AV170)/3,"")</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 · D12-D15 0/4</v>
      </c>
    </row>
    <row r="172" spans="1:39" ht="16.05" customHeight="1" x14ac:dyDescent="0.3">
      <c r="A172" s="13" t="s">
        <v>425</v>
      </c>
      <c r="B172" s="14" t="s">
        <v>426</v>
      </c>
      <c r="C172" s="13" t="s">
        <v>131</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t="str">
        <f>IF(AND(ISNUMBER(K172),ISNUMBER(M172),ISNUMBER(MATRIZ_174!AV171)),(K172+M172+MATRIZ_174!AV171)/3,"")</f>
        <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 · D12-D15 0/4</v>
      </c>
    </row>
    <row r="173" spans="1:39" ht="16.05" customHeight="1" x14ac:dyDescent="0.3">
      <c r="A173" s="13" t="s">
        <v>427</v>
      </c>
      <c r="B173" s="14" t="s">
        <v>428</v>
      </c>
      <c r="C173" s="13" t="s">
        <v>104</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IF(AND(ISNUMBER(K173),ISNUMBER(M173),ISNUMBER(MATRIZ_174!AV172)),(K173+M173+MATRIZ_174!AV172)/3,"")</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429</v>
      </c>
      <c r="B174" s="14" t="s">
        <v>430</v>
      </c>
      <c r="C174" s="13" t="s">
        <v>171</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IF(AND(ISNUMBER(K174),ISNUMBER(M174),ISNUMBER(MATRIZ_174!AV173)),(K174+M174+MATRIZ_174!AV173)/3,"")</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431</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IF(AND(ISNUMBER(K175),ISNUMBER(M175),ISNUMBER(MATRIZ_174!AV174)),(K175+M175+MATRIZ_174!AV174)/3,"")</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433</v>
      </c>
      <c r="B176" s="14" t="s">
        <v>434</v>
      </c>
      <c r="C176" s="13" t="s">
        <v>101</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IF(AND(ISNUMBER(K176),ISNUMBER(M176),ISNUMBER(MATRIZ_174!AV175)),(K176+M176+MATRIZ_174!AV175)/3,"")</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 · D12-D15 0/4</v>
      </c>
    </row>
    <row r="177" spans="1:39" ht="16.05" customHeight="1" x14ac:dyDescent="0.3">
      <c r="A177" s="13" t="s">
        <v>435</v>
      </c>
      <c r="B177" s="14" t="s">
        <v>436</v>
      </c>
      <c r="C177" s="13" t="s">
        <v>104</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IF(AND(ISNUMBER(K177),ISNUMBER(M177),ISNUMBER(MATRIZ_174!AV176)),(K177+M177+MATRIZ_174!AV176)/3,"")</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 · D12-D15 0/4</v>
      </c>
    </row>
    <row r="178" spans="1:39" ht="22.05" customHeight="1" x14ac:dyDescent="0.3">
      <c r="A178" s="72" t="s">
        <v>918</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919</v>
      </c>
      <c r="AD178" s="25"/>
      <c r="AE178" s="25"/>
      <c r="AF178" s="25"/>
      <c r="AG178" s="25"/>
      <c r="AH178" s="25"/>
      <c r="AI178" s="25"/>
      <c r="AJ178" s="25"/>
      <c r="AK178" s="25"/>
      <c r="AL178" s="26" t="str">
        <f>IFERROR(AVERAGE(AL4:AL177),"—")</f>
        <v>—</v>
      </c>
    </row>
    <row r="180" spans="1:39" ht="30" customHeight="1" x14ac:dyDescent="0.3">
      <c r="A180" s="75" t="s">
        <v>1053</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1495</v>
      </c>
    </row>
    <row r="183" spans="1:39" x14ac:dyDescent="0.3">
      <c r="A183" t="s">
        <v>592</v>
      </c>
      <c r="B183">
        <f>COUNT(E$4:E$177)</f>
        <v>0</v>
      </c>
      <c r="C183" t="str">
        <f t="shared" ref="C183:C197" si="66">IF(B183=174,"completo",IF(B183=0,"pendiente","parcial"))</f>
        <v>pendiente</v>
      </c>
    </row>
    <row r="184" spans="1:39" x14ac:dyDescent="0.3">
      <c r="A184" t="s">
        <v>1054</v>
      </c>
      <c r="B184">
        <f>COUNT(F$4:F$177)</f>
        <v>0</v>
      </c>
      <c r="C184" t="str">
        <f t="shared" si="66"/>
        <v>pendiente</v>
      </c>
    </row>
    <row r="185" spans="1:39" x14ac:dyDescent="0.3">
      <c r="A185" t="s">
        <v>1496</v>
      </c>
      <c r="B185">
        <f>COUNT(G$4:G$177)</f>
        <v>174</v>
      </c>
      <c r="C185" t="str">
        <f t="shared" si="66"/>
        <v>completo</v>
      </c>
    </row>
    <row r="186" spans="1:39" x14ac:dyDescent="0.3">
      <c r="A186" t="s">
        <v>1055</v>
      </c>
      <c r="B186">
        <f>COUNT(H$4:H$177)</f>
        <v>0</v>
      </c>
      <c r="C186" t="str">
        <f t="shared" si="66"/>
        <v>pendiente</v>
      </c>
    </row>
    <row r="187" spans="1:39" x14ac:dyDescent="0.3">
      <c r="A187" t="s">
        <v>695</v>
      </c>
      <c r="B187">
        <f>COUNT(I$4:I$177)</f>
        <v>0</v>
      </c>
      <c r="C187" t="str">
        <f t="shared" si="66"/>
        <v>pendiente</v>
      </c>
    </row>
    <row r="188" spans="1:39" x14ac:dyDescent="0.3">
      <c r="A188" t="s">
        <v>1056</v>
      </c>
      <c r="B188">
        <f>COUNT(J$4:J$177)</f>
        <v>0</v>
      </c>
      <c r="C188" t="str">
        <f t="shared" si="66"/>
        <v>pendiente</v>
      </c>
    </row>
    <row r="189" spans="1:39" x14ac:dyDescent="0.3">
      <c r="A189" t="s">
        <v>1057</v>
      </c>
      <c r="B189">
        <f>COUNT(K$4:K$177)</f>
        <v>0</v>
      </c>
      <c r="C189" t="str">
        <f t="shared" si="66"/>
        <v>pendiente</v>
      </c>
    </row>
    <row r="190" spans="1:39" x14ac:dyDescent="0.3">
      <c r="A190" t="s">
        <v>893</v>
      </c>
      <c r="B190">
        <f>COUNT(L$4:L$177)</f>
        <v>0</v>
      </c>
      <c r="C190" t="str">
        <f t="shared" si="66"/>
        <v>pendiente</v>
      </c>
    </row>
    <row r="191" spans="1:39" x14ac:dyDescent="0.3">
      <c r="A191" t="s">
        <v>1058</v>
      </c>
      <c r="B191">
        <f>COUNT(M$4:M$177)</f>
        <v>0</v>
      </c>
      <c r="C191" t="str">
        <f t="shared" si="66"/>
        <v>pendiente</v>
      </c>
    </row>
    <row r="192" spans="1:39" x14ac:dyDescent="0.3">
      <c r="A192" t="s">
        <v>1588</v>
      </c>
      <c r="B192">
        <f>COUNT(N$4:N$177)</f>
        <v>0</v>
      </c>
      <c r="C192" t="str">
        <f t="shared" si="66"/>
        <v>pendiente</v>
      </c>
    </row>
    <row r="193" spans="1:3" x14ac:dyDescent="0.3">
      <c r="A193" t="s">
        <v>1589</v>
      </c>
      <c r="B193">
        <f>COUNT(O$4:O$177)</f>
        <v>0</v>
      </c>
      <c r="C193" t="str">
        <f t="shared" si="66"/>
        <v>pendiente</v>
      </c>
    </row>
    <row r="194" spans="1:3" x14ac:dyDescent="0.3">
      <c r="A194" t="s">
        <v>1062</v>
      </c>
      <c r="B194">
        <f>COUNT(NORMALIZADO!BV3:BV176)</f>
        <v>0</v>
      </c>
      <c r="C194" t="str">
        <f t="shared" si="66"/>
        <v>pendiente</v>
      </c>
    </row>
    <row r="195" spans="1:3" x14ac:dyDescent="0.3">
      <c r="A195" t="s">
        <v>1059</v>
      </c>
      <c r="B195">
        <f>COUNT(NORMALIZADO!BW3:BW176)</f>
        <v>0</v>
      </c>
      <c r="C195" t="str">
        <f t="shared" si="66"/>
        <v>pendiente</v>
      </c>
    </row>
    <row r="196" spans="1:3" x14ac:dyDescent="0.3">
      <c r="A196" t="s">
        <v>1060</v>
      </c>
      <c r="B196">
        <f>COUNT(NORMALIZADO!BX3:BX176)</f>
        <v>0</v>
      </c>
      <c r="C196" t="str">
        <f t="shared" si="66"/>
        <v>pendiente</v>
      </c>
    </row>
    <row r="197" spans="1:3" x14ac:dyDescent="0.3">
      <c r="A197" t="s">
        <v>1061</v>
      </c>
      <c r="B197">
        <f>COUNT(NORMALIZADO!BY3:BY176)</f>
        <v>0</v>
      </c>
      <c r="C197" t="str">
        <f t="shared" si="66"/>
        <v>pendiente</v>
      </c>
    </row>
    <row r="198" spans="1:3" x14ac:dyDescent="0.3">
      <c r="A198" t="s">
        <v>1497</v>
      </c>
      <c r="B198">
        <f>COUNT(AK4:AK177)</f>
        <v>0</v>
      </c>
      <c r="C198" t="str">
        <f>IF(B198=0,"pendiente",IF(B198=174,"completo","parcial"))</f>
        <v>pendiente</v>
      </c>
    </row>
    <row r="199" spans="1:3" x14ac:dyDescent="0.3">
      <c r="A199" t="s">
        <v>1498</v>
      </c>
      <c r="B199">
        <f>COUNT(Z4:Z177)</f>
        <v>0</v>
      </c>
      <c r="C199" t="str">
        <f>IF(B199=0,"pendiente",IF(B199=174,"completo","parcial"))</f>
        <v>pendiente</v>
      </c>
    </row>
    <row r="201" spans="1:3" x14ac:dyDescent="0.3">
      <c r="A201" t="s">
        <v>1067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920</v>
      </c>
      <c r="B1" s="65"/>
      <c r="C1" s="65"/>
      <c r="D1" s="65"/>
    </row>
    <row r="2" spans="1:4" x14ac:dyDescent="0.3">
      <c r="A2" s="65" t="s">
        <v>921</v>
      </c>
      <c r="B2" s="65"/>
      <c r="C2" s="65"/>
      <c r="D2" s="65"/>
    </row>
    <row r="3" spans="1:4" x14ac:dyDescent="0.3">
      <c r="A3" t="s">
        <v>922</v>
      </c>
      <c r="B3" t="s">
        <v>1602</v>
      </c>
    </row>
    <row r="4" spans="1:4" x14ac:dyDescent="0.3">
      <c r="A4" t="s">
        <v>923</v>
      </c>
      <c r="B4" t="s">
        <v>924</v>
      </c>
    </row>
    <row r="5" spans="1:4" x14ac:dyDescent="0.3">
      <c r="A5" t="s">
        <v>925</v>
      </c>
      <c r="B5" t="s">
        <v>1603</v>
      </c>
    </row>
    <row r="6" spans="1:4" x14ac:dyDescent="0.3">
      <c r="A6" t="s">
        <v>926</v>
      </c>
      <c r="B6" t="s">
        <v>927</v>
      </c>
    </row>
    <row r="7" spans="1:4" x14ac:dyDescent="0.3">
      <c r="A7" t="s">
        <v>928</v>
      </c>
      <c r="B7" t="s">
        <v>929</v>
      </c>
    </row>
    <row r="8" spans="1:4" x14ac:dyDescent="0.3">
      <c r="A8" t="s">
        <v>930</v>
      </c>
      <c r="B8" t="s">
        <v>931</v>
      </c>
    </row>
    <row r="10" spans="1:4" x14ac:dyDescent="0.3">
      <c r="A10" s="65" t="s">
        <v>932</v>
      </c>
      <c r="B10" s="65"/>
      <c r="C10" s="65"/>
      <c r="D10" s="65"/>
    </row>
    <row r="11" spans="1:4" x14ac:dyDescent="0.3">
      <c r="A11" t="s">
        <v>933</v>
      </c>
      <c r="B11" t="s">
        <v>934</v>
      </c>
      <c r="C11" t="s">
        <v>935</v>
      </c>
      <c r="D11" t="s">
        <v>936</v>
      </c>
    </row>
    <row r="12" spans="1:4" ht="18" customHeight="1" x14ac:dyDescent="0.3">
      <c r="A12" t="s">
        <v>937</v>
      </c>
      <c r="B12" t="s">
        <v>938</v>
      </c>
      <c r="C12" t="s">
        <v>939</v>
      </c>
      <c r="D12">
        <v>20</v>
      </c>
    </row>
    <row r="13" spans="1:4" ht="18" customHeight="1" x14ac:dyDescent="0.3">
      <c r="A13" t="s">
        <v>940</v>
      </c>
      <c r="B13" t="s">
        <v>941</v>
      </c>
      <c r="C13" t="s">
        <v>942</v>
      </c>
      <c r="D13">
        <v>16</v>
      </c>
    </row>
    <row r="14" spans="1:4" ht="18" customHeight="1" x14ac:dyDescent="0.3">
      <c r="A14" t="s">
        <v>943</v>
      </c>
      <c r="B14" t="s">
        <v>944</v>
      </c>
      <c r="C14" t="s">
        <v>945</v>
      </c>
      <c r="D14">
        <v>12</v>
      </c>
    </row>
    <row r="15" spans="1:4" ht="18" customHeight="1" x14ac:dyDescent="0.3">
      <c r="A15" t="s">
        <v>946</v>
      </c>
      <c r="B15" t="s">
        <v>947</v>
      </c>
      <c r="C15" t="s">
        <v>948</v>
      </c>
      <c r="D15">
        <v>8</v>
      </c>
    </row>
    <row r="16" spans="1:4" ht="18" customHeight="1" x14ac:dyDescent="0.3">
      <c r="A16" t="s">
        <v>949</v>
      </c>
      <c r="B16" t="s">
        <v>950</v>
      </c>
      <c r="C16" t="s">
        <v>951</v>
      </c>
      <c r="D16">
        <v>12</v>
      </c>
    </row>
    <row r="17" spans="1:4" ht="18" customHeight="1" x14ac:dyDescent="0.3">
      <c r="A17" t="s">
        <v>952</v>
      </c>
      <c r="B17" t="s">
        <v>953</v>
      </c>
      <c r="C17" t="s">
        <v>1604</v>
      </c>
      <c r="D17">
        <v>8</v>
      </c>
    </row>
    <row r="18" spans="1:4" ht="18" customHeight="1" x14ac:dyDescent="0.3">
      <c r="A18" t="s">
        <v>954</v>
      </c>
      <c r="B18" t="s">
        <v>955</v>
      </c>
      <c r="C18" t="s">
        <v>956</v>
      </c>
      <c r="D18">
        <v>4</v>
      </c>
    </row>
    <row r="19" spans="1:4" ht="19.95" customHeight="1" x14ac:dyDescent="0.3">
      <c r="A19" t="s">
        <v>957</v>
      </c>
      <c r="B19" s="65" t="s">
        <v>958</v>
      </c>
      <c r="C19" s="65"/>
      <c r="D19">
        <v>20</v>
      </c>
    </row>
    <row r="20" spans="1:4" x14ac:dyDescent="0.3">
      <c r="A20" t="s">
        <v>959</v>
      </c>
      <c r="D20">
        <f>SUM(D12:D19)</f>
        <v>100</v>
      </c>
    </row>
    <row r="21" spans="1:4" x14ac:dyDescent="0.3">
      <c r="A21" s="65"/>
      <c r="B21" s="65"/>
      <c r="C21" s="65"/>
      <c r="D21" s="65"/>
    </row>
    <row r="22" spans="1:4" x14ac:dyDescent="0.3">
      <c r="A22" t="s">
        <v>960</v>
      </c>
    </row>
    <row r="23" spans="1:4" x14ac:dyDescent="0.3">
      <c r="A23" s="65"/>
      <c r="B23" s="65"/>
      <c r="C23" s="65"/>
      <c r="D23" s="65"/>
    </row>
    <row r="24" spans="1:4" x14ac:dyDescent="0.3">
      <c r="A24" s="78" t="s">
        <v>961</v>
      </c>
      <c r="B24" s="65"/>
      <c r="C24" s="65"/>
      <c r="D24" s="65"/>
    </row>
    <row r="25" spans="1:4" x14ac:dyDescent="0.3">
      <c r="A25" s="52" t="s">
        <v>962</v>
      </c>
    </row>
    <row r="26" spans="1:4" ht="43.2" customHeight="1" x14ac:dyDescent="0.3">
      <c r="A26" s="27" t="s">
        <v>963</v>
      </c>
      <c r="B26" s="27" t="s">
        <v>964</v>
      </c>
      <c r="C26" s="27" t="s">
        <v>965</v>
      </c>
    </row>
    <row r="27" spans="1:4" ht="43.2" customHeight="1" x14ac:dyDescent="0.3">
      <c r="A27" s="28" t="s">
        <v>966</v>
      </c>
      <c r="B27" s="29" t="s">
        <v>967</v>
      </c>
      <c r="C27" s="27" t="s">
        <v>968</v>
      </c>
    </row>
    <row r="28" spans="1:4" ht="28.8" customHeight="1" x14ac:dyDescent="0.3">
      <c r="A28" s="14"/>
      <c r="B28" s="14"/>
      <c r="C28" s="13"/>
    </row>
    <row r="29" spans="1:4" ht="43.2" customHeight="1" x14ac:dyDescent="0.3">
      <c r="A29" s="28" t="s">
        <v>969</v>
      </c>
      <c r="B29" s="29" t="s">
        <v>1503</v>
      </c>
      <c r="C29" s="27" t="s">
        <v>968</v>
      </c>
    </row>
    <row r="30" spans="1:4" ht="28.8" customHeight="1" x14ac:dyDescent="0.3">
      <c r="A30" s="14"/>
      <c r="B30" s="14"/>
      <c r="C30" s="13"/>
    </row>
    <row r="31" spans="1:4" ht="28.8" customHeight="1" x14ac:dyDescent="0.3">
      <c r="A31" s="28" t="s">
        <v>970</v>
      </c>
      <c r="B31" s="29" t="s">
        <v>971</v>
      </c>
      <c r="C31" s="27" t="s">
        <v>968</v>
      </c>
    </row>
    <row r="32" spans="1:4" x14ac:dyDescent="0.3">
      <c r="A32" s="14"/>
      <c r="B32" s="14"/>
      <c r="C32" s="13"/>
    </row>
    <row r="33" spans="1:3" ht="28.8" customHeight="1" x14ac:dyDescent="0.3">
      <c r="A33" s="30" t="s">
        <v>972</v>
      </c>
      <c r="B33" s="31" t="s">
        <v>973</v>
      </c>
      <c r="C33" s="32" t="s">
        <v>974</v>
      </c>
    </row>
    <row r="34" spans="1:3" ht="28.8" customHeight="1" x14ac:dyDescent="0.3">
      <c r="A34" s="33" t="s">
        <v>975</v>
      </c>
      <c r="B34" s="34" t="s">
        <v>976</v>
      </c>
      <c r="C34" s="35" t="s">
        <v>974</v>
      </c>
    </row>
    <row r="35" spans="1:3" ht="28.8" customHeight="1" x14ac:dyDescent="0.3">
      <c r="A35" s="30" t="s">
        <v>977</v>
      </c>
      <c r="B35" s="31" t="s">
        <v>978</v>
      </c>
      <c r="C35" s="32" t="s">
        <v>974</v>
      </c>
    </row>
    <row r="36" spans="1:3" ht="28.8" customHeight="1" x14ac:dyDescent="0.3">
      <c r="A36" s="33" t="s">
        <v>979</v>
      </c>
      <c r="B36" s="34" t="s">
        <v>980</v>
      </c>
      <c r="C36" s="35" t="s">
        <v>974</v>
      </c>
    </row>
    <row r="37" spans="1:3" ht="28.8" customHeight="1" x14ac:dyDescent="0.3">
      <c r="A37" s="30" t="s">
        <v>981</v>
      </c>
      <c r="B37" s="31" t="s">
        <v>982</v>
      </c>
      <c r="C37" s="32" t="s">
        <v>974</v>
      </c>
    </row>
    <row r="38" spans="1:3" ht="28.8" customHeight="1" x14ac:dyDescent="0.3">
      <c r="A38" s="33" t="s">
        <v>983</v>
      </c>
      <c r="B38" s="34" t="s">
        <v>984</v>
      </c>
      <c r="C38" s="35" t="s">
        <v>968</v>
      </c>
    </row>
    <row r="39" spans="1:3" ht="43.2" customHeight="1" x14ac:dyDescent="0.3">
      <c r="A39" s="14"/>
      <c r="B39" s="14"/>
      <c r="C39" s="13"/>
    </row>
    <row r="40" spans="1:3" ht="28.8" customHeight="1" x14ac:dyDescent="0.3">
      <c r="A40" s="33" t="s">
        <v>985</v>
      </c>
      <c r="B40" s="34" t="s">
        <v>986</v>
      </c>
      <c r="C40" s="35" t="s">
        <v>974</v>
      </c>
    </row>
    <row r="41" spans="1:3" ht="43.2" customHeight="1" x14ac:dyDescent="0.3">
      <c r="A41" s="30" t="s">
        <v>987</v>
      </c>
      <c r="B41" s="31" t="s">
        <v>988</v>
      </c>
      <c r="C41" s="32" t="s">
        <v>974</v>
      </c>
    </row>
    <row r="42" spans="1:3" ht="43.2" customHeight="1" x14ac:dyDescent="0.3">
      <c r="A42" s="33" t="s">
        <v>989</v>
      </c>
      <c r="B42" s="34" t="s">
        <v>990</v>
      </c>
      <c r="C42" s="35" t="s">
        <v>974</v>
      </c>
    </row>
    <row r="43" spans="1:3" ht="43.2" customHeight="1" x14ac:dyDescent="0.3">
      <c r="A43" s="30" t="s">
        <v>991</v>
      </c>
      <c r="B43" s="31" t="s">
        <v>1051</v>
      </c>
      <c r="C43" s="32" t="s">
        <v>974</v>
      </c>
    </row>
    <row r="44" spans="1:3" ht="28.8" customHeight="1" x14ac:dyDescent="0.3">
      <c r="A44" s="33" t="s">
        <v>992</v>
      </c>
      <c r="B44" s="34" t="s">
        <v>993</v>
      </c>
      <c r="C44" s="35" t="s">
        <v>974</v>
      </c>
    </row>
    <row r="45" spans="1:3" ht="28.8" customHeight="1" x14ac:dyDescent="0.3">
      <c r="A45" s="30" t="s">
        <v>994</v>
      </c>
      <c r="B45" s="31" t="s">
        <v>995</v>
      </c>
      <c r="C45" s="32" t="s">
        <v>968</v>
      </c>
    </row>
    <row r="46" spans="1:3" x14ac:dyDescent="0.3">
      <c r="A46" s="14"/>
      <c r="B46" s="14"/>
      <c r="C46" s="13"/>
    </row>
    <row r="47" spans="1:3" ht="28.8" customHeight="1" x14ac:dyDescent="0.3">
      <c r="A47" s="30" t="s">
        <v>996</v>
      </c>
      <c r="B47" s="31"/>
      <c r="C47" s="32" t="s">
        <v>490</v>
      </c>
    </row>
    <row r="48" spans="1:3" ht="28.8" customHeight="1" x14ac:dyDescent="0.3">
      <c r="A48" s="33" t="s">
        <v>997</v>
      </c>
      <c r="B48" s="34" t="s">
        <v>998</v>
      </c>
      <c r="C48" s="35" t="s">
        <v>999</v>
      </c>
    </row>
    <row r="49" spans="1:4" x14ac:dyDescent="0.3">
      <c r="A49" t="s">
        <v>1000</v>
      </c>
      <c r="B49" t="s">
        <v>1050</v>
      </c>
    </row>
    <row r="50" spans="1:4" x14ac:dyDescent="0.3">
      <c r="A50" t="s">
        <v>1001</v>
      </c>
      <c r="B50" t="s">
        <v>1605</v>
      </c>
    </row>
    <row r="51" spans="1:4" x14ac:dyDescent="0.3">
      <c r="A51" t="s">
        <v>1002</v>
      </c>
      <c r="B51" t="s">
        <v>1003</v>
      </c>
    </row>
    <row r="53" spans="1:4" x14ac:dyDescent="0.3">
      <c r="A53" t="s">
        <v>1063</v>
      </c>
      <c r="B53" t="s">
        <v>1064</v>
      </c>
    </row>
    <row r="54" spans="1:4" x14ac:dyDescent="0.3">
      <c r="A54" s="55" t="s">
        <v>1501</v>
      </c>
    </row>
    <row r="55" spans="1:4" ht="374.4" x14ac:dyDescent="0.3">
      <c r="A55" s="56" t="s">
        <v>1502</v>
      </c>
    </row>
    <row r="56" spans="1:4" ht="16.05" customHeight="1" x14ac:dyDescent="0.3">
      <c r="A56" s="70" t="s">
        <v>1504</v>
      </c>
      <c r="B56" s="70"/>
      <c r="C56" s="70"/>
      <c r="D56" s="70"/>
    </row>
    <row r="57" spans="1:4" ht="46.05" customHeight="1" x14ac:dyDescent="0.3">
      <c r="A57" s="67" t="s">
        <v>1505</v>
      </c>
      <c r="B57" s="67"/>
      <c r="C57" s="67"/>
      <c r="D57" s="67"/>
    </row>
    <row r="58" spans="1:4" ht="16.05" customHeight="1" x14ac:dyDescent="0.3">
      <c r="A58" s="70" t="s">
        <v>1580</v>
      </c>
      <c r="B58" s="70"/>
      <c r="C58" s="70"/>
      <c r="D58" s="70"/>
    </row>
    <row r="59" spans="1:4" ht="46.05" customHeight="1" x14ac:dyDescent="0.3">
      <c r="A59" s="67" t="s">
        <v>1584</v>
      </c>
      <c r="B59" s="67"/>
      <c r="C59" s="67"/>
      <c r="D59" s="67"/>
    </row>
    <row r="61" spans="1:4" ht="16.05" customHeight="1" x14ac:dyDescent="0.3">
      <c r="A61" s="77" t="s">
        <v>1575</v>
      </c>
      <c r="B61" s="66"/>
      <c r="C61" s="66"/>
      <c r="D61" s="66"/>
    </row>
    <row r="62" spans="1:4" ht="78" customHeight="1" x14ac:dyDescent="0.3">
      <c r="A62" s="66" t="s">
        <v>1576</v>
      </c>
      <c r="B62" s="66"/>
      <c r="C62" s="66"/>
      <c r="D62" s="66"/>
    </row>
    <row r="64" spans="1:4" x14ac:dyDescent="0.3">
      <c r="A64" t="s">
        <v>1594</v>
      </c>
    </row>
    <row r="65" spans="1:1" x14ac:dyDescent="0.3">
      <c r="A65" t="s">
        <v>1606</v>
      </c>
    </row>
  </sheetData>
  <mergeCells count="13">
    <mergeCell ref="A1:D1"/>
    <mergeCell ref="A23:D23"/>
    <mergeCell ref="B19:C19"/>
    <mergeCell ref="A21:D21"/>
    <mergeCell ref="A24:D24"/>
    <mergeCell ref="A2:D2"/>
    <mergeCell ref="A10:D10"/>
    <mergeCell ref="A61:D61"/>
    <mergeCell ref="A62:D62"/>
    <mergeCell ref="A56:D56"/>
    <mergeCell ref="A57:D57"/>
    <mergeCell ref="A58:D58"/>
    <mergeCell ref="A59:D5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189"/>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 min="46" max="46" width="27.77734375" customWidth="1"/>
  </cols>
  <sheetData>
    <row r="1" spans="1:48"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s="56" t="s">
        <v>1607</v>
      </c>
      <c r="AP1" t="s">
        <v>19</v>
      </c>
    </row>
    <row r="2" spans="1:48" s="50" customFormat="1" ht="100.05" customHeight="1" x14ac:dyDescent="0.3">
      <c r="A2" s="50" t="s">
        <v>20</v>
      </c>
      <c r="B2" s="50" t="s">
        <v>21</v>
      </c>
      <c r="C2" s="50" t="s">
        <v>22</v>
      </c>
      <c r="D2" s="50" t="s">
        <v>23</v>
      </c>
      <c r="E2" s="50" t="s">
        <v>24</v>
      </c>
      <c r="F2" s="50" t="s">
        <v>25</v>
      </c>
      <c r="G2" s="50" t="s">
        <v>26</v>
      </c>
      <c r="H2" s="50" t="s">
        <v>27</v>
      </c>
      <c r="I2" s="50" t="s">
        <v>28</v>
      </c>
      <c r="J2" s="50" t="s">
        <v>29</v>
      </c>
      <c r="K2" s="50" t="s">
        <v>30</v>
      </c>
      <c r="L2" s="50" t="s">
        <v>31</v>
      </c>
      <c r="M2" s="50" t="s">
        <v>32</v>
      </c>
      <c r="N2" s="50" t="s">
        <v>33</v>
      </c>
      <c r="O2" s="50" t="s">
        <v>1608</v>
      </c>
      <c r="P2" s="50" t="s">
        <v>34</v>
      </c>
      <c r="Q2" s="50" t="s">
        <v>35</v>
      </c>
      <c r="R2" s="50" t="s">
        <v>36</v>
      </c>
      <c r="S2" s="50" t="s">
        <v>1609</v>
      </c>
      <c r="T2" s="50" t="s">
        <v>1579</v>
      </c>
      <c r="U2" s="50" t="s">
        <v>1610</v>
      </c>
      <c r="V2" s="50" t="s">
        <v>37</v>
      </c>
      <c r="W2" s="50" t="s">
        <v>38</v>
      </c>
      <c r="X2" s="50" t="s">
        <v>39</v>
      </c>
      <c r="Y2" s="50" t="s">
        <v>40</v>
      </c>
      <c r="Z2" s="50" t="s">
        <v>41</v>
      </c>
      <c r="AA2" s="50" t="s">
        <v>42</v>
      </c>
      <c r="AB2" s="50" t="s">
        <v>43</v>
      </c>
      <c r="AC2" s="50" t="s">
        <v>44</v>
      </c>
      <c r="AD2" s="50" t="s">
        <v>1611</v>
      </c>
      <c r="AE2" s="50" t="s">
        <v>45</v>
      </c>
      <c r="AF2" s="50" t="s">
        <v>46</v>
      </c>
      <c r="AG2" s="50" t="s">
        <v>47</v>
      </c>
      <c r="AH2" s="50" t="s">
        <v>48</v>
      </c>
      <c r="AI2" s="50" t="s">
        <v>49</v>
      </c>
      <c r="AJ2" s="50" t="s">
        <v>50</v>
      </c>
      <c r="AK2" s="50" t="s">
        <v>1612</v>
      </c>
      <c r="AL2" s="50" t="s">
        <v>51</v>
      </c>
      <c r="AM2" s="50" t="s">
        <v>52</v>
      </c>
      <c r="AN2" s="50" t="s">
        <v>53</v>
      </c>
      <c r="AO2" s="50" t="s">
        <v>1047</v>
      </c>
      <c r="AP2" s="50" t="s">
        <v>1577</v>
      </c>
      <c r="AQ2" s="50" t="s">
        <v>1578</v>
      </c>
      <c r="AR2" s="50" t="s">
        <v>1506</v>
      </c>
      <c r="AS2" s="50" t="s">
        <v>1507</v>
      </c>
      <c r="AT2" s="50" t="s">
        <v>1585</v>
      </c>
      <c r="AU2" s="50" t="s">
        <v>1592</v>
      </c>
      <c r="AV2" s="50" t="s">
        <v>1613</v>
      </c>
    </row>
    <row r="3" spans="1:48" ht="16.05" customHeight="1" x14ac:dyDescent="0.3">
      <c r="A3" t="s">
        <v>54</v>
      </c>
      <c r="B3" t="s">
        <v>55</v>
      </c>
      <c r="C3" t="s">
        <v>56</v>
      </c>
      <c r="D3" t="s">
        <v>57</v>
      </c>
      <c r="E3">
        <v>5107246.6199999992</v>
      </c>
      <c r="F3">
        <v>38</v>
      </c>
      <c r="G3" t="s">
        <v>58</v>
      </c>
      <c r="J3" t="s">
        <v>59</v>
      </c>
      <c r="L3">
        <v>2553623.31</v>
      </c>
      <c r="M3">
        <f>IF(E3&gt;0,ROUND(L3/E3*100,1),"")</f>
        <v>50</v>
      </c>
      <c r="N3" t="s">
        <v>60</v>
      </c>
      <c r="O3" t="str">
        <f>IF(AND(H3="",I3=""),"",IF(H3="SI",1,0)*0.6+IF(I3="SI",1,0)*0.4)</f>
        <v/>
      </c>
      <c r="P3" t="s">
        <v>60</v>
      </c>
      <c r="S3">
        <f t="shared" ref="S3:S34" si="0">IFERROR(ROUND(AP3*100,1),"—")</f>
        <v>50</v>
      </c>
      <c r="T3" t="str">
        <f>IF(NOT(ISNUMBER(S3)),"⬜  Sin dato PVE",IF(AND(COUNT(NORMALIZADO!BV3:BY3)&gt;=3,AQ3=7),IF(S3&lt;34,"🔴 Crítico",IF(S3&lt;67,"🟡 Vulnerable","🟢 Preparado")),"◐  Parcial · "&amp;AQ3&amp;"/7"))</f>
        <v>◐  Parcial · 2/7</v>
      </c>
      <c r="U3" s="53">
        <v>1</v>
      </c>
      <c r="V3" t="s">
        <v>61</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dato",IF(AND(COUNT(NORMALIZADO!BV3:BY3)&gt;=3,AQ3=7),"completo","parcial · "&amp;AQ3&amp;"/7 · D12-D15 "&amp;COUNT(NORMALIZADO!BV3:BY3)&amp;"/4"))</f>
        <v>parcial · 2/7 · D12-D15 0/4</v>
      </c>
      <c r="AU3" t="str">
        <f>IF(CAPTURA!N3&lt;&gt;"",ISNUMBER(SEARCH("Rainforest",CAPTURA!N3))+ISNUMBER(SEARCH("Fairtrade",CAPTURA!N3))+ISNUMBER(SEARCH("Org",CAPTURA!N3))+ISNUMBER(SEARCH("UTZ",CAPTURA!N3))+ISNUMBER(SEARCH("Otr",CAPTURA!N3)),IF(AND(H3="",I3=""),"",IF(H3="SI",1,0)+IF(I3="SI",1,0)))</f>
        <v/>
      </c>
      <c r="AV3" t="str">
        <f t="shared" ref="AV3:AV34" si="2">IF(AU3="","",CHOOSE(MIN(3,AU3)+1,0,33,66,100))</f>
        <v/>
      </c>
    </row>
    <row r="4" spans="1:48" ht="16.05" customHeight="1" x14ac:dyDescent="0.3">
      <c r="A4" t="s">
        <v>62</v>
      </c>
      <c r="B4" t="s">
        <v>63</v>
      </c>
      <c r="C4" t="s">
        <v>64</v>
      </c>
      <c r="D4" t="s">
        <v>65</v>
      </c>
      <c r="G4" t="s">
        <v>66</v>
      </c>
      <c r="J4" t="s">
        <v>59</v>
      </c>
      <c r="M4" t="str">
        <f t="shared" ref="M4:M67" si="3">IF(E4&gt;0,ROUND(L4/E4*100,1),"")</f>
        <v/>
      </c>
      <c r="N4" t="s">
        <v>60</v>
      </c>
      <c r="O4" t="str">
        <f t="shared" ref="O4:O67" si="4">IF(AND(H4="",I4=""),"",IF(H4="SI",1,0)*0.6+IF(I4="SI",1,0)*0.4)</f>
        <v/>
      </c>
      <c r="P4" t="s">
        <v>60</v>
      </c>
      <c r="S4" t="str">
        <f t="shared" si="0"/>
        <v>—</v>
      </c>
      <c r="T4" t="str">
        <f>IF(NOT(ISNUMBER(S4)),"⬜  Sin dato PVE",IF(AND(COUNT(NORMALIZADO!BV4:BY4)&gt;=3,AQ4=7),IF(S4&lt;34,"🔴 Crítico",IF(S4&lt;67,"🟡 Vulnerable","🟢 Preparado")),"◐  Parcial · "&amp;AQ4&amp;"/7"))</f>
        <v>⬜  Sin dato PVE</v>
      </c>
      <c r="U4" s="53">
        <v>1</v>
      </c>
      <c r="V4" t="s">
        <v>61</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dato",IF(AND(COUNT(NORMALIZADO!BV4:BY4)&gt;=3,AQ4=7),"completo","parcial · "&amp;AQ4&amp;"/7 · D12-D15 "&amp;COUNT(NORMALIZADO!BV4:BY4)&amp;"/4"))</f>
        <v>sin dato</v>
      </c>
      <c r="AU4" t="str">
        <f>IF(CAPTURA!N4&lt;&gt;"",ISNUMBER(SEARCH("Rainforest",CAPTURA!N4))+ISNUMBER(SEARCH("Fairtrade",CAPTURA!N4))+ISNUMBER(SEARCH("Org",CAPTURA!N4))+ISNUMBER(SEARCH("UTZ",CAPTURA!N4))+ISNUMBER(SEARCH("Otr",CAPTURA!N4)),IF(AND(H4="",I4=""),"",IF(H4="SI",1,0)+IF(I4="SI",1,0)))</f>
        <v/>
      </c>
      <c r="AV4" t="str">
        <f t="shared" si="2"/>
        <v/>
      </c>
    </row>
    <row r="5" spans="1:48" ht="16.05" customHeight="1" x14ac:dyDescent="0.3">
      <c r="A5" t="s">
        <v>67</v>
      </c>
      <c r="B5" t="s">
        <v>68</v>
      </c>
      <c r="C5" t="s">
        <v>69</v>
      </c>
      <c r="E5">
        <v>9603968.1199999992</v>
      </c>
      <c r="F5">
        <v>41</v>
      </c>
      <c r="G5" t="s">
        <v>58</v>
      </c>
      <c r="J5" t="s">
        <v>59</v>
      </c>
      <c r="L5">
        <v>4801984.0599999996</v>
      </c>
      <c r="M5">
        <f t="shared" si="3"/>
        <v>50</v>
      </c>
      <c r="N5" t="s">
        <v>60</v>
      </c>
      <c r="O5" t="str">
        <f t="shared" si="4"/>
        <v/>
      </c>
      <c r="P5" t="s">
        <v>60</v>
      </c>
      <c r="S5">
        <f t="shared" si="0"/>
        <v>50</v>
      </c>
      <c r="T5" t="str">
        <f>IF(NOT(ISNUMBER(S5)),"⬜  Sin dato PVE",IF(AND(COUNT(NORMALIZADO!BV5:BY5)&gt;=3,AQ5=7),IF(S5&lt;34,"🔴 Crítico",IF(S5&lt;67,"🟡 Vulnerable","🟢 Preparado")),"◐  Parcial · "&amp;AQ5&amp;"/7"))</f>
        <v>◐  Parcial · 2/7</v>
      </c>
      <c r="U5" s="53">
        <v>1</v>
      </c>
      <c r="V5" t="s">
        <v>61</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dato",IF(AND(COUNT(NORMALIZADO!BV5:BY5)&gt;=3,AQ5=7),"completo","parcial · "&amp;AQ5&amp;"/7 · D12-D15 "&amp;COUNT(NORMALIZADO!BV5:BY5)&amp;"/4"))</f>
        <v>parcial · 2/7 · D12-D15 0/4</v>
      </c>
      <c r="AU5" t="str">
        <f>IF(CAPTURA!N5&lt;&gt;"",ISNUMBER(SEARCH("Rainforest",CAPTURA!N5))+ISNUMBER(SEARCH("Fairtrade",CAPTURA!N5))+ISNUMBER(SEARCH("Org",CAPTURA!N5))+ISNUMBER(SEARCH("UTZ",CAPTURA!N5))+ISNUMBER(SEARCH("Otr",CAPTURA!N5)),IF(AND(H5="",I5=""),"",IF(H5="SI",1,0)+IF(I5="SI",1,0)))</f>
        <v/>
      </c>
      <c r="AV5" t="str">
        <f t="shared" si="2"/>
        <v/>
      </c>
    </row>
    <row r="6" spans="1:48" ht="16.05" customHeight="1" x14ac:dyDescent="0.3">
      <c r="A6" t="s">
        <v>70</v>
      </c>
      <c r="B6" t="s">
        <v>71</v>
      </c>
      <c r="C6" t="s">
        <v>72</v>
      </c>
      <c r="G6" t="s">
        <v>66</v>
      </c>
      <c r="H6" t="s">
        <v>58</v>
      </c>
      <c r="J6" t="s">
        <v>59</v>
      </c>
      <c r="M6" t="str">
        <f t="shared" si="3"/>
        <v/>
      </c>
      <c r="N6" t="s">
        <v>60</v>
      </c>
      <c r="O6">
        <f t="shared" si="4"/>
        <v>0.6</v>
      </c>
      <c r="P6" t="s">
        <v>60</v>
      </c>
      <c r="Q6">
        <v>44</v>
      </c>
      <c r="R6">
        <v>44</v>
      </c>
      <c r="S6">
        <f t="shared" si="0"/>
        <v>52.9</v>
      </c>
      <c r="T6" t="str">
        <f>IF(NOT(ISNUMBER(S6)),"⬜  Sin dato PVE",IF(AND(COUNT(NORMALIZADO!BV6:BY6)&gt;=3,AQ6=7),IF(S6&lt;34,"🔴 Crítico",IF(S6&lt;67,"🟡 Vulnerable","🟢 Preparado")),"◐  Parcial · "&amp;AQ6&amp;"/7"))</f>
        <v>◐  Parcial · 2/7</v>
      </c>
      <c r="U6" s="53">
        <v>1</v>
      </c>
      <c r="V6" t="s">
        <v>61</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1508</v>
      </c>
      <c r="AS6" t="s">
        <v>1509</v>
      </c>
      <c r="AT6" t="str">
        <f>IF(NOT(ISNUMBER(AP6)),"sin dato",IF(AND(COUNT(NORMALIZADO!BV6:BY6)&gt;=3,AQ6=7),"completo","parcial · "&amp;AQ6&amp;"/7 · D12-D15 "&amp;COUNT(NORMALIZADO!BV6:BY6)&amp;"/4"))</f>
        <v>parcial · 2/7 · D12-D15 0/4</v>
      </c>
      <c r="AU6">
        <f>IF(CAPTURA!N6&lt;&gt;"",ISNUMBER(SEARCH("Rainforest",CAPTURA!N6))+ISNUMBER(SEARCH("Fairtrade",CAPTURA!N6))+ISNUMBER(SEARCH("Org",CAPTURA!N6))+ISNUMBER(SEARCH("UTZ",CAPTURA!N6))+ISNUMBER(SEARCH("Otr",CAPTURA!N6)),IF(AND(H6="",I6=""),"",IF(H6="SI",1,0)+IF(I6="SI",1,0)))</f>
        <v>1</v>
      </c>
      <c r="AV6">
        <f t="shared" si="2"/>
        <v>33</v>
      </c>
    </row>
    <row r="7" spans="1:48" ht="16.05" customHeight="1" x14ac:dyDescent="0.3">
      <c r="A7" t="s">
        <v>73</v>
      </c>
      <c r="B7" t="s">
        <v>74</v>
      </c>
      <c r="C7" t="s">
        <v>72</v>
      </c>
      <c r="D7" t="s">
        <v>57</v>
      </c>
      <c r="G7" t="s">
        <v>66</v>
      </c>
      <c r="H7" t="s">
        <v>58</v>
      </c>
      <c r="I7" t="s">
        <v>58</v>
      </c>
      <c r="J7" t="s">
        <v>59</v>
      </c>
      <c r="K7" t="s">
        <v>75</v>
      </c>
      <c r="M7" t="str">
        <f t="shared" si="3"/>
        <v/>
      </c>
      <c r="N7" t="s">
        <v>60</v>
      </c>
      <c r="O7">
        <f t="shared" si="4"/>
        <v>1</v>
      </c>
      <c r="P7" t="s">
        <v>60</v>
      </c>
      <c r="Q7">
        <v>100</v>
      </c>
      <c r="R7">
        <v>218</v>
      </c>
      <c r="S7">
        <f t="shared" si="0"/>
        <v>64.3</v>
      </c>
      <c r="T7" t="str">
        <f>IF(NOT(ISNUMBER(S7)),"⬜  Sin dato PVE",IF(AND(COUNT(NORMALIZADO!BV7:BY7)&gt;=3,AQ7=7),IF(S7&lt;34,"🔴 Crítico",IF(S7&lt;67,"🟡 Vulnerable","🟢 Preparado")),"◐  Parcial · "&amp;AQ7&amp;"/7"))</f>
        <v>◐  Parcial · 2/7</v>
      </c>
      <c r="U7" s="53">
        <v>1</v>
      </c>
      <c r="V7" t="s">
        <v>61</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1510</v>
      </c>
      <c r="AT7" t="str">
        <f>IF(NOT(ISNUMBER(AP7)),"sin dato",IF(AND(COUNT(NORMALIZADO!BV7:BY7)&gt;=3,AQ7=7),"completo","parcial · "&amp;AQ7&amp;"/7 · D12-D15 "&amp;COUNT(NORMALIZADO!BV7:BY7)&amp;"/4"))</f>
        <v>parcial · 2/7 · D12-D15 0/4</v>
      </c>
      <c r="AU7">
        <f>IF(CAPTURA!N7&lt;&gt;"",ISNUMBER(SEARCH("Rainforest",CAPTURA!N7))+ISNUMBER(SEARCH("Fairtrade",CAPTURA!N7))+ISNUMBER(SEARCH("Org",CAPTURA!N7))+ISNUMBER(SEARCH("UTZ",CAPTURA!N7))+ISNUMBER(SEARCH("Otr",CAPTURA!N7)),IF(AND(H7="",I7=""),"",IF(H7="SI",1,0)+IF(I7="SI",1,0)))</f>
        <v>2</v>
      </c>
      <c r="AV7">
        <f t="shared" si="2"/>
        <v>66</v>
      </c>
    </row>
    <row r="8" spans="1:48" ht="16.05" customHeight="1" x14ac:dyDescent="0.3">
      <c r="A8" t="s">
        <v>76</v>
      </c>
      <c r="B8" t="s">
        <v>77</v>
      </c>
      <c r="C8" t="s">
        <v>72</v>
      </c>
      <c r="D8" t="s">
        <v>57</v>
      </c>
      <c r="E8">
        <v>2477083.5</v>
      </c>
      <c r="F8">
        <v>14</v>
      </c>
      <c r="G8" t="s">
        <v>58</v>
      </c>
      <c r="J8" t="s">
        <v>59</v>
      </c>
      <c r="L8">
        <v>1238541.75</v>
      </c>
      <c r="M8">
        <f t="shared" si="3"/>
        <v>50</v>
      </c>
      <c r="N8" t="s">
        <v>60</v>
      </c>
      <c r="O8" t="str">
        <f t="shared" si="4"/>
        <v/>
      </c>
      <c r="P8" t="s">
        <v>60</v>
      </c>
      <c r="S8">
        <f t="shared" si="0"/>
        <v>50</v>
      </c>
      <c r="T8" t="str">
        <f>IF(NOT(ISNUMBER(S8)),"⬜  Sin dato PVE",IF(AND(COUNT(NORMALIZADO!BV8:BY8)&gt;=3,AQ8=7),IF(S8&lt;34,"🔴 Crítico",IF(S8&lt;67,"🟡 Vulnerable","🟢 Preparado")),"◐  Parcial · "&amp;AQ8&amp;"/7"))</f>
        <v>◐  Parcial · 2/7</v>
      </c>
      <c r="U8" s="53">
        <v>1</v>
      </c>
      <c r="V8" t="s">
        <v>61</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dato",IF(AND(COUNT(NORMALIZADO!BV8:BY8)&gt;=3,AQ8=7),"completo","parcial · "&amp;AQ8&amp;"/7 · D12-D15 "&amp;COUNT(NORMALIZADO!BV8:BY8)&amp;"/4"))</f>
        <v>parcial · 2/7 · D12-D15 0/4</v>
      </c>
      <c r="AU8" t="str">
        <f>IF(CAPTURA!N8&lt;&gt;"",ISNUMBER(SEARCH("Rainforest",CAPTURA!N8))+ISNUMBER(SEARCH("Fairtrade",CAPTURA!N8))+ISNUMBER(SEARCH("Org",CAPTURA!N8))+ISNUMBER(SEARCH("UTZ",CAPTURA!N8))+ISNUMBER(SEARCH("Otr",CAPTURA!N8)),IF(AND(H8="",I8=""),"",IF(H8="SI",1,0)+IF(I8="SI",1,0)))</f>
        <v/>
      </c>
      <c r="AV8" t="str">
        <f t="shared" si="2"/>
        <v/>
      </c>
    </row>
    <row r="9" spans="1:48" ht="16.05" customHeight="1" x14ac:dyDescent="0.3">
      <c r="A9" t="s">
        <v>78</v>
      </c>
      <c r="B9" t="s">
        <v>79</v>
      </c>
      <c r="C9" t="s">
        <v>72</v>
      </c>
      <c r="D9" t="s">
        <v>57</v>
      </c>
      <c r="E9">
        <v>1689820.33</v>
      </c>
      <c r="F9">
        <v>5</v>
      </c>
      <c r="G9" t="s">
        <v>58</v>
      </c>
      <c r="J9" t="s">
        <v>59</v>
      </c>
      <c r="L9">
        <v>0</v>
      </c>
      <c r="M9">
        <f t="shared" si="3"/>
        <v>0</v>
      </c>
      <c r="N9" t="s">
        <v>60</v>
      </c>
      <c r="O9" t="str">
        <f t="shared" si="4"/>
        <v/>
      </c>
      <c r="P9" t="s">
        <v>60</v>
      </c>
      <c r="S9">
        <f t="shared" si="0"/>
        <v>0</v>
      </c>
      <c r="T9" t="str">
        <f>IF(NOT(ISNUMBER(S9)),"⬜  Sin dato PVE",IF(AND(COUNT(NORMALIZADO!BV9:BY9)&gt;=3,AQ9=7),IF(S9&lt;34,"🔴 Crítico",IF(S9&lt;67,"🟡 Vulnerable","🟢 Preparado")),"◐  Parcial · "&amp;AQ9&amp;"/7"))</f>
        <v>◐  Parcial · 1/7</v>
      </c>
      <c r="U9" s="53">
        <v>1</v>
      </c>
      <c r="V9" t="s">
        <v>61</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dato",IF(AND(COUNT(NORMALIZADO!BV9:BY9)&gt;=3,AQ9=7),"completo","parcial · "&amp;AQ9&amp;"/7 · D12-D15 "&amp;COUNT(NORMALIZADO!BV9:BY9)&amp;"/4"))</f>
        <v>parcial · 1/7 · D12-D15 0/4</v>
      </c>
      <c r="AU9" t="str">
        <f>IF(CAPTURA!N9&lt;&gt;"",ISNUMBER(SEARCH("Rainforest",CAPTURA!N9))+ISNUMBER(SEARCH("Fairtrade",CAPTURA!N9))+ISNUMBER(SEARCH("Org",CAPTURA!N9))+ISNUMBER(SEARCH("UTZ",CAPTURA!N9))+ISNUMBER(SEARCH("Otr",CAPTURA!N9)),IF(AND(H9="",I9=""),"",IF(H9="SI",1,0)+IF(I9="SI",1,0)))</f>
        <v/>
      </c>
      <c r="AV9" t="str">
        <f t="shared" si="2"/>
        <v/>
      </c>
    </row>
    <row r="10" spans="1:48" ht="16.05" customHeight="1" x14ac:dyDescent="0.3">
      <c r="A10" t="s">
        <v>80</v>
      </c>
      <c r="B10" t="s">
        <v>81</v>
      </c>
      <c r="C10" t="s">
        <v>72</v>
      </c>
      <c r="D10" t="s">
        <v>57</v>
      </c>
      <c r="G10" t="s">
        <v>66</v>
      </c>
      <c r="H10" t="s">
        <v>58</v>
      </c>
      <c r="I10" t="s">
        <v>58</v>
      </c>
      <c r="J10" t="s">
        <v>59</v>
      </c>
      <c r="K10" t="s">
        <v>75</v>
      </c>
      <c r="M10" t="str">
        <f t="shared" si="3"/>
        <v/>
      </c>
      <c r="N10" t="s">
        <v>60</v>
      </c>
      <c r="O10">
        <f t="shared" si="4"/>
        <v>1</v>
      </c>
      <c r="P10" t="s">
        <v>60</v>
      </c>
      <c r="Q10">
        <v>177</v>
      </c>
      <c r="R10">
        <v>469</v>
      </c>
      <c r="S10">
        <f t="shared" si="0"/>
        <v>64.3</v>
      </c>
      <c r="T10" t="str">
        <f>IF(NOT(ISNUMBER(S10)),"⬜  Sin dato PVE",IF(AND(COUNT(NORMALIZADO!BV10:BY10)&gt;=3,AQ10=7),IF(S10&lt;34,"🔴 Crítico",IF(S10&lt;67,"🟡 Vulnerable","🟢 Preparado")),"◐  Parcial · "&amp;AQ10&amp;"/7"))</f>
        <v>◐  Parcial · 2/7</v>
      </c>
      <c r="U10" s="53">
        <v>1</v>
      </c>
      <c r="V10" t="s">
        <v>61</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1511</v>
      </c>
      <c r="AS10" t="s">
        <v>1512</v>
      </c>
      <c r="AT10" t="str">
        <f>IF(NOT(ISNUMBER(AP10)),"sin dato",IF(AND(COUNT(NORMALIZADO!BV10:BY10)&gt;=3,AQ10=7),"completo","parcial · "&amp;AQ10&amp;"/7 · D12-D15 "&amp;COUNT(NORMALIZADO!BV10:BY10)&amp;"/4"))</f>
        <v>parcial · 2/7 · D12-D15 0/4</v>
      </c>
      <c r="AU10">
        <f>IF(CAPTURA!N10&lt;&gt;"",ISNUMBER(SEARCH("Rainforest",CAPTURA!N10))+ISNUMBER(SEARCH("Fairtrade",CAPTURA!N10))+ISNUMBER(SEARCH("Org",CAPTURA!N10))+ISNUMBER(SEARCH("UTZ",CAPTURA!N10))+ISNUMBER(SEARCH("Otr",CAPTURA!N10)),IF(AND(H10="",I10=""),"",IF(H10="SI",1,0)+IF(I10="SI",1,0)))</f>
        <v>2</v>
      </c>
      <c r="AV10">
        <f t="shared" si="2"/>
        <v>66</v>
      </c>
    </row>
    <row r="11" spans="1:48" ht="16.05" customHeight="1" x14ac:dyDescent="0.3">
      <c r="A11" t="s">
        <v>82</v>
      </c>
      <c r="B11" t="s">
        <v>83</v>
      </c>
      <c r="C11" t="s">
        <v>72</v>
      </c>
      <c r="D11" t="s">
        <v>57</v>
      </c>
      <c r="E11">
        <v>681394.36</v>
      </c>
      <c r="F11">
        <v>6</v>
      </c>
      <c r="G11" t="s">
        <v>58</v>
      </c>
      <c r="J11" t="s">
        <v>59</v>
      </c>
      <c r="L11">
        <v>0</v>
      </c>
      <c r="M11">
        <f t="shared" si="3"/>
        <v>0</v>
      </c>
      <c r="N11" t="s">
        <v>60</v>
      </c>
      <c r="O11" t="str">
        <f t="shared" si="4"/>
        <v/>
      </c>
      <c r="P11" t="s">
        <v>60</v>
      </c>
      <c r="S11">
        <f t="shared" si="0"/>
        <v>0</v>
      </c>
      <c r="T11" t="str">
        <f>IF(NOT(ISNUMBER(S11)),"⬜  Sin dato PVE",IF(AND(COUNT(NORMALIZADO!BV11:BY11)&gt;=3,AQ11=7),IF(S11&lt;34,"🔴 Crítico",IF(S11&lt;67,"🟡 Vulnerable","🟢 Preparado")),"◐  Parcial · "&amp;AQ11&amp;"/7"))</f>
        <v>◐  Parcial · 1/7</v>
      </c>
      <c r="U11" s="53">
        <v>1</v>
      </c>
      <c r="V11" t="s">
        <v>61</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dato",IF(AND(COUNT(NORMALIZADO!BV11:BY11)&gt;=3,AQ11=7),"completo","parcial · "&amp;AQ11&amp;"/7 · D12-D15 "&amp;COUNT(NORMALIZADO!BV11:BY11)&amp;"/4"))</f>
        <v>parcial · 1/7 · D12-D15 0/4</v>
      </c>
      <c r="AU11" t="str">
        <f>IF(CAPTURA!N11&lt;&gt;"",ISNUMBER(SEARCH("Rainforest",CAPTURA!N11))+ISNUMBER(SEARCH("Fairtrade",CAPTURA!N11))+ISNUMBER(SEARCH("Org",CAPTURA!N11))+ISNUMBER(SEARCH("UTZ",CAPTURA!N11))+ISNUMBER(SEARCH("Otr",CAPTURA!N11)),IF(AND(H11="",I11=""),"",IF(H11="SI",1,0)+IF(I11="SI",1,0)))</f>
        <v/>
      </c>
      <c r="AV11" t="str">
        <f t="shared" si="2"/>
        <v/>
      </c>
    </row>
    <row r="12" spans="1:48" ht="16.05" customHeight="1" x14ac:dyDescent="0.3">
      <c r="A12" t="s">
        <v>84</v>
      </c>
      <c r="B12" t="s">
        <v>85</v>
      </c>
      <c r="C12" t="s">
        <v>72</v>
      </c>
      <c r="D12" t="s">
        <v>57</v>
      </c>
      <c r="E12">
        <v>4445611.5999999978</v>
      </c>
      <c r="F12">
        <v>33</v>
      </c>
      <c r="G12" t="s">
        <v>58</v>
      </c>
      <c r="H12" t="s">
        <v>58</v>
      </c>
      <c r="I12" t="s">
        <v>58</v>
      </c>
      <c r="J12" t="s">
        <v>59</v>
      </c>
      <c r="K12" t="s">
        <v>75</v>
      </c>
      <c r="L12">
        <v>894391.27</v>
      </c>
      <c r="M12">
        <f t="shared" si="3"/>
        <v>20.100000000000001</v>
      </c>
      <c r="N12" t="s">
        <v>60</v>
      </c>
      <c r="O12">
        <f t="shared" si="4"/>
        <v>1</v>
      </c>
      <c r="P12" t="s">
        <v>60</v>
      </c>
      <c r="Q12">
        <v>660</v>
      </c>
      <c r="R12">
        <v>1670</v>
      </c>
      <c r="S12">
        <f t="shared" si="0"/>
        <v>45.9</v>
      </c>
      <c r="T12" t="str">
        <f>IF(NOT(ISNUMBER(S12)),"⬜  Sin dato PVE",IF(AND(COUNT(NORMALIZADO!BV12:BY12)&gt;=3,AQ12=7),IF(S12&lt;34,"🔴 Crítico",IF(S12&lt;67,"🟡 Vulnerable","🟢 Preparado")),"◐  Parcial · "&amp;AQ12&amp;"/7"))</f>
        <v>◐  Parcial · 3/7</v>
      </c>
      <c r="U12" s="54">
        <v>0.75</v>
      </c>
      <c r="V12" t="s">
        <v>86</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1513</v>
      </c>
      <c r="AS12" t="s">
        <v>1514</v>
      </c>
      <c r="AT12" t="str">
        <f>IF(NOT(ISNUMBER(AP12)),"sin dato",IF(AND(COUNT(NORMALIZADO!BV12:BY12)&gt;=3,AQ12=7),"completo","parcial · "&amp;AQ12&amp;"/7 · D12-D15 "&amp;COUNT(NORMALIZADO!BV12:BY12)&amp;"/4"))</f>
        <v>parcial · 3/7 · D12-D15 0/4</v>
      </c>
      <c r="AU12">
        <f>IF(CAPTURA!N12&lt;&gt;"",ISNUMBER(SEARCH("Rainforest",CAPTURA!N12))+ISNUMBER(SEARCH("Fairtrade",CAPTURA!N12))+ISNUMBER(SEARCH("Org",CAPTURA!N12))+ISNUMBER(SEARCH("UTZ",CAPTURA!N12))+ISNUMBER(SEARCH("Otr",CAPTURA!N12)),IF(AND(H12="",I12=""),"",IF(H12="SI",1,0)+IF(I12="SI",1,0)))</f>
        <v>2</v>
      </c>
      <c r="AV12">
        <f t="shared" si="2"/>
        <v>66</v>
      </c>
    </row>
    <row r="13" spans="1:48" ht="16.05" customHeight="1" x14ac:dyDescent="0.3">
      <c r="A13" t="s">
        <v>87</v>
      </c>
      <c r="B13" t="s">
        <v>88</v>
      </c>
      <c r="C13" t="s">
        <v>72</v>
      </c>
      <c r="D13" t="s">
        <v>57</v>
      </c>
      <c r="G13" t="s">
        <v>66</v>
      </c>
      <c r="H13" t="s">
        <v>58</v>
      </c>
      <c r="I13" t="s">
        <v>66</v>
      </c>
      <c r="J13" t="s">
        <v>59</v>
      </c>
      <c r="K13" t="s">
        <v>75</v>
      </c>
      <c r="M13" t="str">
        <f t="shared" si="3"/>
        <v/>
      </c>
      <c r="N13" t="s">
        <v>60</v>
      </c>
      <c r="O13">
        <f t="shared" si="4"/>
        <v>0.6</v>
      </c>
      <c r="P13" t="s">
        <v>60</v>
      </c>
      <c r="Q13">
        <v>49</v>
      </c>
      <c r="R13">
        <v>136.9</v>
      </c>
      <c r="S13">
        <f t="shared" si="0"/>
        <v>52.9</v>
      </c>
      <c r="T13" t="str">
        <f>IF(NOT(ISNUMBER(S13)),"⬜  Sin dato PVE",IF(AND(COUNT(NORMALIZADO!BV13:BY13)&gt;=3,AQ13=7),IF(S13&lt;34,"🔴 Crítico",IF(S13&lt;67,"🟡 Vulnerable","🟢 Preparado")),"◐  Parcial · "&amp;AQ13&amp;"/7"))</f>
        <v>◐  Parcial · 2/7</v>
      </c>
      <c r="U13" s="53">
        <v>1</v>
      </c>
      <c r="V13" t="s">
        <v>61</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1515</v>
      </c>
      <c r="AS13" t="s">
        <v>1516</v>
      </c>
      <c r="AT13" t="str">
        <f>IF(NOT(ISNUMBER(AP13)),"sin dato",IF(AND(COUNT(NORMALIZADO!BV13:BY13)&gt;=3,AQ13=7),"completo","parcial · "&amp;AQ13&amp;"/7 · D12-D15 "&amp;COUNT(NORMALIZADO!BV13:BY13)&amp;"/4"))</f>
        <v>parcial · 2/7 · D12-D15 0/4</v>
      </c>
      <c r="AU13">
        <f>IF(CAPTURA!N13&lt;&gt;"",ISNUMBER(SEARCH("Rainforest",CAPTURA!N13))+ISNUMBER(SEARCH("Fairtrade",CAPTURA!N13))+ISNUMBER(SEARCH("Org",CAPTURA!N13))+ISNUMBER(SEARCH("UTZ",CAPTURA!N13))+ISNUMBER(SEARCH("Otr",CAPTURA!N13)),IF(AND(H13="",I13=""),"",IF(H13="SI",1,0)+IF(I13="SI",1,0)))</f>
        <v>1</v>
      </c>
      <c r="AV13">
        <f t="shared" si="2"/>
        <v>33</v>
      </c>
    </row>
    <row r="14" spans="1:48" ht="16.05" customHeight="1" x14ac:dyDescent="0.3">
      <c r="A14" t="s">
        <v>89</v>
      </c>
      <c r="B14" t="s">
        <v>90</v>
      </c>
      <c r="C14" t="s">
        <v>64</v>
      </c>
      <c r="D14" t="s">
        <v>65</v>
      </c>
      <c r="E14">
        <v>4030694.66</v>
      </c>
      <c r="F14">
        <v>14</v>
      </c>
      <c r="G14" t="s">
        <v>58</v>
      </c>
      <c r="J14" t="s">
        <v>59</v>
      </c>
      <c r="L14">
        <v>2015347.33</v>
      </c>
      <c r="M14">
        <f t="shared" si="3"/>
        <v>50</v>
      </c>
      <c r="N14" t="s">
        <v>60</v>
      </c>
      <c r="O14" t="str">
        <f t="shared" si="4"/>
        <v/>
      </c>
      <c r="P14" t="s">
        <v>60</v>
      </c>
      <c r="S14">
        <f t="shared" si="0"/>
        <v>50</v>
      </c>
      <c r="T14" t="str">
        <f>IF(NOT(ISNUMBER(S14)),"⬜  Sin dato PVE",IF(AND(COUNT(NORMALIZADO!BV14:BY14)&gt;=3,AQ14=7),IF(S14&lt;34,"🔴 Crítico",IF(S14&lt;67,"🟡 Vulnerable","🟢 Preparado")),"◐  Parcial · "&amp;AQ14&amp;"/7"))</f>
        <v>◐  Parcial · 2/7</v>
      </c>
      <c r="U14" s="53">
        <v>1</v>
      </c>
      <c r="V14" t="s">
        <v>61</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dato",IF(AND(COUNT(NORMALIZADO!BV14:BY14)&gt;=3,AQ14=7),"completo","parcial · "&amp;AQ14&amp;"/7 · D12-D15 "&amp;COUNT(NORMALIZADO!BV14:BY14)&amp;"/4"))</f>
        <v>parcial · 2/7 · D12-D15 0/4</v>
      </c>
      <c r="AU14" t="str">
        <f>IF(CAPTURA!N14&lt;&gt;"",ISNUMBER(SEARCH("Rainforest",CAPTURA!N14))+ISNUMBER(SEARCH("Fairtrade",CAPTURA!N14))+ISNUMBER(SEARCH("Org",CAPTURA!N14))+ISNUMBER(SEARCH("UTZ",CAPTURA!N14))+ISNUMBER(SEARCH("Otr",CAPTURA!N14)),IF(AND(H14="",I14=""),"",IF(H14="SI",1,0)+IF(I14="SI",1,0)))</f>
        <v/>
      </c>
      <c r="AV14" t="str">
        <f t="shared" si="2"/>
        <v/>
      </c>
    </row>
    <row r="15" spans="1:48" ht="16.05" customHeight="1" x14ac:dyDescent="0.3">
      <c r="A15" t="s">
        <v>91</v>
      </c>
      <c r="B15" t="s">
        <v>92</v>
      </c>
      <c r="C15" t="s">
        <v>56</v>
      </c>
      <c r="D15" t="s">
        <v>57</v>
      </c>
      <c r="G15" t="s">
        <v>66</v>
      </c>
      <c r="J15" t="s">
        <v>59</v>
      </c>
      <c r="M15" t="str">
        <f t="shared" si="3"/>
        <v/>
      </c>
      <c r="N15" t="s">
        <v>60</v>
      </c>
      <c r="O15" t="str">
        <f t="shared" si="4"/>
        <v/>
      </c>
      <c r="P15" t="s">
        <v>60</v>
      </c>
      <c r="S15" t="str">
        <f t="shared" si="0"/>
        <v>—</v>
      </c>
      <c r="T15" t="str">
        <f>IF(NOT(ISNUMBER(S15)),"⬜  Sin dato PVE",IF(AND(COUNT(NORMALIZADO!BV15:BY15)&gt;=3,AQ15=7),IF(S15&lt;34,"🔴 Crítico",IF(S15&lt;67,"🟡 Vulnerable","🟢 Preparado")),"◐  Parcial · "&amp;AQ15&amp;"/7"))</f>
        <v>⬜  Sin dato PVE</v>
      </c>
      <c r="U15" s="53">
        <v>1</v>
      </c>
      <c r="V15" t="s">
        <v>61</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dato",IF(AND(COUNT(NORMALIZADO!BV15:BY15)&gt;=3,AQ15=7),"completo","parcial · "&amp;AQ15&amp;"/7 · D12-D15 "&amp;COUNT(NORMALIZADO!BV15:BY15)&amp;"/4"))</f>
        <v>sin dato</v>
      </c>
      <c r="AU15" t="str">
        <f>IF(CAPTURA!N15&lt;&gt;"",ISNUMBER(SEARCH("Rainforest",CAPTURA!N15))+ISNUMBER(SEARCH("Fairtrade",CAPTURA!N15))+ISNUMBER(SEARCH("Org",CAPTURA!N15))+ISNUMBER(SEARCH("UTZ",CAPTURA!N15))+ISNUMBER(SEARCH("Otr",CAPTURA!N15)),IF(AND(H15="",I15=""),"",IF(H15="SI",1,0)+IF(I15="SI",1,0)))</f>
        <v/>
      </c>
      <c r="AV15" t="str">
        <f t="shared" si="2"/>
        <v/>
      </c>
    </row>
    <row r="16" spans="1:48" ht="16.05" customHeight="1" x14ac:dyDescent="0.3">
      <c r="A16" t="s">
        <v>93</v>
      </c>
      <c r="B16" t="s">
        <v>94</v>
      </c>
      <c r="C16" t="s">
        <v>95</v>
      </c>
      <c r="D16" t="s">
        <v>57</v>
      </c>
      <c r="G16" t="s">
        <v>66</v>
      </c>
      <c r="J16" t="s">
        <v>59</v>
      </c>
      <c r="M16" t="str">
        <f t="shared" si="3"/>
        <v/>
      </c>
      <c r="N16" t="s">
        <v>60</v>
      </c>
      <c r="O16" t="str">
        <f t="shared" si="4"/>
        <v/>
      </c>
      <c r="P16" t="s">
        <v>60</v>
      </c>
      <c r="S16" t="str">
        <f t="shared" si="0"/>
        <v>—</v>
      </c>
      <c r="T16" t="str">
        <f>IF(NOT(ISNUMBER(S16)),"⬜  Sin dato PVE",IF(AND(COUNT(NORMALIZADO!BV16:BY16)&gt;=3,AQ16=7),IF(S16&lt;34,"🔴 Crítico",IF(S16&lt;67,"🟡 Vulnerable","🟢 Preparado")),"◐  Parcial · "&amp;AQ16&amp;"/7"))</f>
        <v>⬜  Sin dato PVE</v>
      </c>
      <c r="U16" s="53">
        <v>1</v>
      </c>
      <c r="V16" t="s">
        <v>61</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dato",IF(AND(COUNT(NORMALIZADO!BV16:BY16)&gt;=3,AQ16=7),"completo","parcial · "&amp;AQ16&amp;"/7 · D12-D15 "&amp;COUNT(NORMALIZADO!BV16:BY16)&amp;"/4"))</f>
        <v>sin dato</v>
      </c>
      <c r="AU16" t="str">
        <f>IF(CAPTURA!N16&lt;&gt;"",ISNUMBER(SEARCH("Rainforest",CAPTURA!N16))+ISNUMBER(SEARCH("Fairtrade",CAPTURA!N16))+ISNUMBER(SEARCH("Org",CAPTURA!N16))+ISNUMBER(SEARCH("UTZ",CAPTURA!N16))+ISNUMBER(SEARCH("Otr",CAPTURA!N16)),IF(AND(H16="",I16=""),"",IF(H16="SI",1,0)+IF(I16="SI",1,0)))</f>
        <v/>
      </c>
      <c r="AV16" t="str">
        <f t="shared" si="2"/>
        <v/>
      </c>
    </row>
    <row r="17" spans="1:48" ht="16.05" customHeight="1" x14ac:dyDescent="0.3">
      <c r="A17" t="s">
        <v>96</v>
      </c>
      <c r="B17" t="s">
        <v>97</v>
      </c>
      <c r="C17" t="s">
        <v>72</v>
      </c>
      <c r="G17" t="s">
        <v>66</v>
      </c>
      <c r="H17" t="s">
        <v>58</v>
      </c>
      <c r="J17" t="s">
        <v>98</v>
      </c>
      <c r="M17" t="str">
        <f t="shared" si="3"/>
        <v/>
      </c>
      <c r="N17" t="s">
        <v>60</v>
      </c>
      <c r="O17">
        <f t="shared" si="4"/>
        <v>0.6</v>
      </c>
      <c r="P17" t="s">
        <v>60</v>
      </c>
      <c r="Q17">
        <v>74</v>
      </c>
      <c r="R17">
        <v>150</v>
      </c>
      <c r="S17">
        <f t="shared" si="0"/>
        <v>52.9</v>
      </c>
      <c r="T17" t="str">
        <f>IF(NOT(ISNUMBER(S17)),"⬜  Sin dato PVE",IF(AND(COUNT(NORMALIZADO!BV17:BY17)&gt;=3,AQ17=7),IF(S17&lt;34,"🔴 Crítico",IF(S17&lt;67,"🟡 Vulnerable","🟢 Preparado")),"◐  Parcial · "&amp;AQ17&amp;"/7"))</f>
        <v>◐  Parcial · 2/7</v>
      </c>
      <c r="U17" s="53">
        <v>1</v>
      </c>
      <c r="V17" t="s">
        <v>61</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1508</v>
      </c>
      <c r="AS17" t="s">
        <v>1509</v>
      </c>
      <c r="AT17" t="str">
        <f>IF(NOT(ISNUMBER(AP17)),"sin dato",IF(AND(COUNT(NORMALIZADO!BV17:BY17)&gt;=3,AQ17=7),"completo","parcial · "&amp;AQ17&amp;"/7 · D12-D15 "&amp;COUNT(NORMALIZADO!BV17:BY17)&amp;"/4"))</f>
        <v>parcial · 2/7 · D12-D15 0/4</v>
      </c>
      <c r="AU17">
        <f>IF(CAPTURA!N17&lt;&gt;"",ISNUMBER(SEARCH("Rainforest",CAPTURA!N17))+ISNUMBER(SEARCH("Fairtrade",CAPTURA!N17))+ISNUMBER(SEARCH("Org",CAPTURA!N17))+ISNUMBER(SEARCH("UTZ",CAPTURA!N17))+ISNUMBER(SEARCH("Otr",CAPTURA!N17)),IF(AND(H17="",I17=""),"",IF(H17="SI",1,0)+IF(I17="SI",1,0)))</f>
        <v>1</v>
      </c>
      <c r="AV17">
        <f t="shared" si="2"/>
        <v>33</v>
      </c>
    </row>
    <row r="18" spans="1:48" ht="16.05" customHeight="1" x14ac:dyDescent="0.3">
      <c r="A18" t="s">
        <v>99</v>
      </c>
      <c r="B18" t="s">
        <v>100</v>
      </c>
      <c r="C18" t="s">
        <v>101</v>
      </c>
      <c r="D18" t="s">
        <v>65</v>
      </c>
      <c r="G18" t="s">
        <v>66</v>
      </c>
      <c r="J18" t="s">
        <v>59</v>
      </c>
      <c r="M18" t="str">
        <f t="shared" si="3"/>
        <v/>
      </c>
      <c r="N18" t="s">
        <v>60</v>
      </c>
      <c r="O18" t="str">
        <f t="shared" si="4"/>
        <v/>
      </c>
      <c r="P18" t="s">
        <v>60</v>
      </c>
      <c r="S18" t="str">
        <f t="shared" si="0"/>
        <v>—</v>
      </c>
      <c r="T18" t="str">
        <f>IF(NOT(ISNUMBER(S18)),"⬜  Sin dato PVE",IF(AND(COUNT(NORMALIZADO!BV18:BY18)&gt;=3,AQ18=7),IF(S18&lt;34,"🔴 Crítico",IF(S18&lt;67,"🟡 Vulnerable","🟢 Preparado")),"◐  Parcial · "&amp;AQ18&amp;"/7"))</f>
        <v>⬜  Sin dato PVE</v>
      </c>
      <c r="U18" s="53">
        <v>1</v>
      </c>
      <c r="V18" t="s">
        <v>61</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dato",IF(AND(COUNT(NORMALIZADO!BV18:BY18)&gt;=3,AQ18=7),"completo","parcial · "&amp;AQ18&amp;"/7 · D12-D15 "&amp;COUNT(NORMALIZADO!BV18:BY18)&amp;"/4"))</f>
        <v>sin dato</v>
      </c>
      <c r="AU18" t="str">
        <f>IF(CAPTURA!N18&lt;&gt;"",ISNUMBER(SEARCH("Rainforest",CAPTURA!N18))+ISNUMBER(SEARCH("Fairtrade",CAPTURA!N18))+ISNUMBER(SEARCH("Org",CAPTURA!N18))+ISNUMBER(SEARCH("UTZ",CAPTURA!N18))+ISNUMBER(SEARCH("Otr",CAPTURA!N18)),IF(AND(H18="",I18=""),"",IF(H18="SI",1,0)+IF(I18="SI",1,0)))</f>
        <v/>
      </c>
      <c r="AV18" t="str">
        <f t="shared" si="2"/>
        <v/>
      </c>
    </row>
    <row r="19" spans="1:48" ht="16.05" customHeight="1" x14ac:dyDescent="0.3">
      <c r="A19" t="s">
        <v>102</v>
      </c>
      <c r="B19" t="s">
        <v>103</v>
      </c>
      <c r="C19" t="s">
        <v>104</v>
      </c>
      <c r="D19" t="s">
        <v>57</v>
      </c>
      <c r="E19">
        <v>9070756.8800000008</v>
      </c>
      <c r="F19">
        <v>41</v>
      </c>
      <c r="G19" t="s">
        <v>58</v>
      </c>
      <c r="J19" t="s">
        <v>59</v>
      </c>
      <c r="L19">
        <v>4535378.4400000004</v>
      </c>
      <c r="M19">
        <f t="shared" si="3"/>
        <v>50</v>
      </c>
      <c r="N19" t="s">
        <v>60</v>
      </c>
      <c r="O19" t="str">
        <f t="shared" si="4"/>
        <v/>
      </c>
      <c r="P19" t="s">
        <v>60</v>
      </c>
      <c r="S19">
        <f t="shared" si="0"/>
        <v>50</v>
      </c>
      <c r="T19" t="str">
        <f>IF(NOT(ISNUMBER(S19)),"⬜  Sin dato PVE",IF(AND(COUNT(NORMALIZADO!BV19:BY19)&gt;=3,AQ19=7),IF(S19&lt;34,"🔴 Crítico",IF(S19&lt;67,"🟡 Vulnerable","🟢 Preparado")),"◐  Parcial · "&amp;AQ19&amp;"/7"))</f>
        <v>◐  Parcial · 2/7</v>
      </c>
      <c r="U19" s="53">
        <v>1</v>
      </c>
      <c r="V19" t="s">
        <v>61</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dato",IF(AND(COUNT(NORMALIZADO!BV19:BY19)&gt;=3,AQ19=7),"completo","parcial · "&amp;AQ19&amp;"/7 · D12-D15 "&amp;COUNT(NORMALIZADO!BV19:BY19)&amp;"/4"))</f>
        <v>parcial · 2/7 · D12-D15 0/4</v>
      </c>
      <c r="AU19" t="str">
        <f>IF(CAPTURA!N19&lt;&gt;"",ISNUMBER(SEARCH("Rainforest",CAPTURA!N19))+ISNUMBER(SEARCH("Fairtrade",CAPTURA!N19))+ISNUMBER(SEARCH("Org",CAPTURA!N19))+ISNUMBER(SEARCH("UTZ",CAPTURA!N19))+ISNUMBER(SEARCH("Otr",CAPTURA!N19)),IF(AND(H19="",I19=""),"",IF(H19="SI",1,0)+IF(I19="SI",1,0)))</f>
        <v/>
      </c>
      <c r="AV19" t="str">
        <f t="shared" si="2"/>
        <v/>
      </c>
    </row>
    <row r="20" spans="1:48" ht="16.05" customHeight="1" x14ac:dyDescent="0.3">
      <c r="A20" t="s">
        <v>105</v>
      </c>
      <c r="B20" t="s">
        <v>106</v>
      </c>
      <c r="C20" t="s">
        <v>72</v>
      </c>
      <c r="G20" t="s">
        <v>66</v>
      </c>
      <c r="H20" t="s">
        <v>58</v>
      </c>
      <c r="J20" t="s">
        <v>59</v>
      </c>
      <c r="M20" t="str">
        <f t="shared" si="3"/>
        <v/>
      </c>
      <c r="N20" t="s">
        <v>60</v>
      </c>
      <c r="O20">
        <f t="shared" si="4"/>
        <v>0.6</v>
      </c>
      <c r="P20" t="s">
        <v>60</v>
      </c>
      <c r="Q20">
        <v>36</v>
      </c>
      <c r="R20">
        <v>38</v>
      </c>
      <c r="S20">
        <f t="shared" si="0"/>
        <v>52.9</v>
      </c>
      <c r="T20" t="str">
        <f>IF(NOT(ISNUMBER(S20)),"⬜  Sin dato PVE",IF(AND(COUNT(NORMALIZADO!BV20:BY20)&gt;=3,AQ20=7),IF(S20&lt;34,"🔴 Crítico",IF(S20&lt;67,"🟡 Vulnerable","🟢 Preparado")),"◐  Parcial · "&amp;AQ20&amp;"/7"))</f>
        <v>◐  Parcial · 2/7</v>
      </c>
      <c r="U20" s="53">
        <v>1</v>
      </c>
      <c r="V20" t="s">
        <v>61</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1508</v>
      </c>
      <c r="AS20" t="s">
        <v>1509</v>
      </c>
      <c r="AT20" t="str">
        <f>IF(NOT(ISNUMBER(AP20)),"sin dato",IF(AND(COUNT(NORMALIZADO!BV20:BY20)&gt;=3,AQ20=7),"completo","parcial · "&amp;AQ20&amp;"/7 · D12-D15 "&amp;COUNT(NORMALIZADO!BV20:BY20)&amp;"/4"))</f>
        <v>parcial · 2/7 · D12-D15 0/4</v>
      </c>
      <c r="AU20">
        <f>IF(CAPTURA!N20&lt;&gt;"",ISNUMBER(SEARCH("Rainforest",CAPTURA!N20))+ISNUMBER(SEARCH("Fairtrade",CAPTURA!N20))+ISNUMBER(SEARCH("Org",CAPTURA!N20))+ISNUMBER(SEARCH("UTZ",CAPTURA!N20))+ISNUMBER(SEARCH("Otr",CAPTURA!N20)),IF(AND(H20="",I20=""),"",IF(H20="SI",1,0)+IF(I20="SI",1,0)))</f>
        <v>1</v>
      </c>
      <c r="AV20">
        <f t="shared" si="2"/>
        <v>33</v>
      </c>
    </row>
    <row r="21" spans="1:48" ht="16.05" customHeight="1" x14ac:dyDescent="0.3">
      <c r="A21" t="s">
        <v>107</v>
      </c>
      <c r="B21" t="s">
        <v>108</v>
      </c>
      <c r="C21" t="s">
        <v>101</v>
      </c>
      <c r="D21" t="s">
        <v>65</v>
      </c>
      <c r="G21" t="s">
        <v>66</v>
      </c>
      <c r="J21" t="s">
        <v>98</v>
      </c>
      <c r="M21" t="str">
        <f t="shared" si="3"/>
        <v/>
      </c>
      <c r="N21" t="s">
        <v>60</v>
      </c>
      <c r="O21" t="str">
        <f t="shared" si="4"/>
        <v/>
      </c>
      <c r="P21" t="s">
        <v>60</v>
      </c>
      <c r="S21" t="str">
        <f t="shared" si="0"/>
        <v>—</v>
      </c>
      <c r="T21" t="str">
        <f>IF(NOT(ISNUMBER(S21)),"⬜  Sin dato PVE",IF(AND(COUNT(NORMALIZADO!BV21:BY21)&gt;=3,AQ21=7),IF(S21&lt;34,"🔴 Crítico",IF(S21&lt;67,"🟡 Vulnerable","🟢 Preparado")),"◐  Parcial · "&amp;AQ21&amp;"/7"))</f>
        <v>⬜  Sin dato PVE</v>
      </c>
      <c r="U21" s="53">
        <v>1</v>
      </c>
      <c r="V21" t="s">
        <v>61</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dato",IF(AND(COUNT(NORMALIZADO!BV21:BY21)&gt;=3,AQ21=7),"completo","parcial · "&amp;AQ21&amp;"/7 · D12-D15 "&amp;COUNT(NORMALIZADO!BV21:BY21)&amp;"/4"))</f>
        <v>sin dato</v>
      </c>
      <c r="AU21" t="str">
        <f>IF(CAPTURA!N21&lt;&gt;"",ISNUMBER(SEARCH("Rainforest",CAPTURA!N21))+ISNUMBER(SEARCH("Fairtrade",CAPTURA!N21))+ISNUMBER(SEARCH("Org",CAPTURA!N21))+ISNUMBER(SEARCH("UTZ",CAPTURA!N21))+ISNUMBER(SEARCH("Otr",CAPTURA!N21)),IF(AND(H21="",I21=""),"",IF(H21="SI",1,0)+IF(I21="SI",1,0)))</f>
        <v/>
      </c>
      <c r="AV21" t="str">
        <f t="shared" si="2"/>
        <v/>
      </c>
    </row>
    <row r="22" spans="1:48" ht="16.05" customHeight="1" x14ac:dyDescent="0.3">
      <c r="A22" t="s">
        <v>109</v>
      </c>
      <c r="B22" t="s">
        <v>110</v>
      </c>
      <c r="C22" t="s">
        <v>111</v>
      </c>
      <c r="D22" t="s">
        <v>57</v>
      </c>
      <c r="G22" t="s">
        <v>66</v>
      </c>
      <c r="J22" t="s">
        <v>59</v>
      </c>
      <c r="M22" t="str">
        <f t="shared" si="3"/>
        <v/>
      </c>
      <c r="N22" t="s">
        <v>60</v>
      </c>
      <c r="O22" t="str">
        <f t="shared" si="4"/>
        <v/>
      </c>
      <c r="P22" t="s">
        <v>60</v>
      </c>
      <c r="S22" t="str">
        <f t="shared" si="0"/>
        <v>—</v>
      </c>
      <c r="T22" t="str">
        <f>IF(NOT(ISNUMBER(S22)),"⬜  Sin dato PVE",IF(AND(COUNT(NORMALIZADO!BV22:BY22)&gt;=3,AQ22=7),IF(S22&lt;34,"🔴 Crítico",IF(S22&lt;67,"🟡 Vulnerable","🟢 Preparado")),"◐  Parcial · "&amp;AQ22&amp;"/7"))</f>
        <v>⬜  Sin dato PVE</v>
      </c>
      <c r="U22" s="53">
        <v>1</v>
      </c>
      <c r="V22" t="s">
        <v>61</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dato",IF(AND(COUNT(NORMALIZADO!BV22:BY22)&gt;=3,AQ22=7),"completo","parcial · "&amp;AQ22&amp;"/7 · D12-D15 "&amp;COUNT(NORMALIZADO!BV22:BY22)&amp;"/4"))</f>
        <v>sin dato</v>
      </c>
      <c r="AU22" t="str">
        <f>IF(CAPTURA!N22&lt;&gt;"",ISNUMBER(SEARCH("Rainforest",CAPTURA!N22))+ISNUMBER(SEARCH("Fairtrade",CAPTURA!N22))+ISNUMBER(SEARCH("Org",CAPTURA!N22))+ISNUMBER(SEARCH("UTZ",CAPTURA!N22))+ISNUMBER(SEARCH("Otr",CAPTURA!N22)),IF(AND(H22="",I22=""),"",IF(H22="SI",1,0)+IF(I22="SI",1,0)))</f>
        <v/>
      </c>
      <c r="AV22" t="str">
        <f t="shared" si="2"/>
        <v/>
      </c>
    </row>
    <row r="23" spans="1:48" ht="16.05" customHeight="1" x14ac:dyDescent="0.3">
      <c r="A23" t="s">
        <v>112</v>
      </c>
      <c r="B23" t="s">
        <v>113</v>
      </c>
      <c r="C23" t="s">
        <v>101</v>
      </c>
      <c r="D23" t="s">
        <v>65</v>
      </c>
      <c r="G23" t="s">
        <v>66</v>
      </c>
      <c r="J23" t="s">
        <v>59</v>
      </c>
      <c r="M23" t="str">
        <f t="shared" si="3"/>
        <v/>
      </c>
      <c r="N23" t="s">
        <v>60</v>
      </c>
      <c r="O23" t="str">
        <f t="shared" si="4"/>
        <v/>
      </c>
      <c r="P23" t="s">
        <v>60</v>
      </c>
      <c r="S23" t="str">
        <f t="shared" si="0"/>
        <v>—</v>
      </c>
      <c r="T23" t="str">
        <f>IF(NOT(ISNUMBER(S23)),"⬜  Sin dato PVE",IF(AND(COUNT(NORMALIZADO!BV23:BY23)&gt;=3,AQ23=7),IF(S23&lt;34,"🔴 Crítico",IF(S23&lt;67,"🟡 Vulnerable","🟢 Preparado")),"◐  Parcial · "&amp;AQ23&amp;"/7"))</f>
        <v>⬜  Sin dato PVE</v>
      </c>
      <c r="U23" s="53">
        <v>1</v>
      </c>
      <c r="V23" t="s">
        <v>61</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dato",IF(AND(COUNT(NORMALIZADO!BV23:BY23)&gt;=3,AQ23=7),"completo","parcial · "&amp;AQ23&amp;"/7 · D12-D15 "&amp;COUNT(NORMALIZADO!BV23:BY23)&amp;"/4"))</f>
        <v>sin dato</v>
      </c>
      <c r="AU23" t="str">
        <f>IF(CAPTURA!N23&lt;&gt;"",ISNUMBER(SEARCH("Rainforest",CAPTURA!N23))+ISNUMBER(SEARCH("Fairtrade",CAPTURA!N23))+ISNUMBER(SEARCH("Org",CAPTURA!N23))+ISNUMBER(SEARCH("UTZ",CAPTURA!N23))+ISNUMBER(SEARCH("Otr",CAPTURA!N23)),IF(AND(H23="",I23=""),"",IF(H23="SI",1,0)+IF(I23="SI",1,0)))</f>
        <v/>
      </c>
      <c r="AV23" t="str">
        <f t="shared" si="2"/>
        <v/>
      </c>
    </row>
    <row r="24" spans="1:48" ht="16.05" customHeight="1" x14ac:dyDescent="0.3">
      <c r="A24" t="s">
        <v>114</v>
      </c>
      <c r="B24" t="s">
        <v>115</v>
      </c>
      <c r="C24" t="s">
        <v>101</v>
      </c>
      <c r="D24" t="s">
        <v>65</v>
      </c>
      <c r="G24" t="s">
        <v>66</v>
      </c>
      <c r="J24" t="s">
        <v>116</v>
      </c>
      <c r="M24" t="str">
        <f t="shared" si="3"/>
        <v/>
      </c>
      <c r="N24" t="s">
        <v>60</v>
      </c>
      <c r="O24" t="str">
        <f t="shared" si="4"/>
        <v/>
      </c>
      <c r="P24" t="s">
        <v>60</v>
      </c>
      <c r="S24" t="str">
        <f t="shared" si="0"/>
        <v>—</v>
      </c>
      <c r="T24" t="str">
        <f>IF(NOT(ISNUMBER(S24)),"⬜  Sin dato PVE",IF(AND(COUNT(NORMALIZADO!BV24:BY24)&gt;=3,AQ24=7),IF(S24&lt;34,"🔴 Crítico",IF(S24&lt;67,"🟡 Vulnerable","🟢 Preparado")),"◐  Parcial · "&amp;AQ24&amp;"/7"))</f>
        <v>⬜  Sin dato PVE</v>
      </c>
      <c r="U24" s="53">
        <v>1</v>
      </c>
      <c r="V24" t="s">
        <v>61</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dato",IF(AND(COUNT(NORMALIZADO!BV24:BY24)&gt;=3,AQ24=7),"completo","parcial · "&amp;AQ24&amp;"/7 · D12-D15 "&amp;COUNT(NORMALIZADO!BV24:BY24)&amp;"/4"))</f>
        <v>sin dato</v>
      </c>
      <c r="AU24" t="str">
        <f>IF(CAPTURA!N24&lt;&gt;"",ISNUMBER(SEARCH("Rainforest",CAPTURA!N24))+ISNUMBER(SEARCH("Fairtrade",CAPTURA!N24))+ISNUMBER(SEARCH("Org",CAPTURA!N24))+ISNUMBER(SEARCH("UTZ",CAPTURA!N24))+ISNUMBER(SEARCH("Otr",CAPTURA!N24)),IF(AND(H24="",I24=""),"",IF(H24="SI",1,0)+IF(I24="SI",1,0)))</f>
        <v/>
      </c>
      <c r="AV24" t="str">
        <f t="shared" si="2"/>
        <v/>
      </c>
    </row>
    <row r="25" spans="1:48" ht="16.05" customHeight="1" x14ac:dyDescent="0.3">
      <c r="A25" t="s">
        <v>117</v>
      </c>
      <c r="B25" t="s">
        <v>118</v>
      </c>
      <c r="C25" t="s">
        <v>101</v>
      </c>
      <c r="D25" t="s">
        <v>65</v>
      </c>
      <c r="G25" t="s">
        <v>66</v>
      </c>
      <c r="J25" t="s">
        <v>59</v>
      </c>
      <c r="M25" t="str">
        <f t="shared" si="3"/>
        <v/>
      </c>
      <c r="N25" t="s">
        <v>60</v>
      </c>
      <c r="O25" t="str">
        <f t="shared" si="4"/>
        <v/>
      </c>
      <c r="P25" t="s">
        <v>60</v>
      </c>
      <c r="S25" t="str">
        <f t="shared" si="0"/>
        <v>—</v>
      </c>
      <c r="T25" t="str">
        <f>IF(NOT(ISNUMBER(S25)),"⬜  Sin dato PVE",IF(AND(COUNT(NORMALIZADO!BV25:BY25)&gt;=3,AQ25=7),IF(S25&lt;34,"🔴 Crítico",IF(S25&lt;67,"🟡 Vulnerable","🟢 Preparado")),"◐  Parcial · "&amp;AQ25&amp;"/7"))</f>
        <v>⬜  Sin dato PVE</v>
      </c>
      <c r="U25" s="53">
        <v>1</v>
      </c>
      <c r="V25" t="s">
        <v>61</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dato",IF(AND(COUNT(NORMALIZADO!BV25:BY25)&gt;=3,AQ25=7),"completo","parcial · "&amp;AQ25&amp;"/7 · D12-D15 "&amp;COUNT(NORMALIZADO!BV25:BY25)&amp;"/4"))</f>
        <v>sin dato</v>
      </c>
      <c r="AU25" t="str">
        <f>IF(CAPTURA!N25&lt;&gt;"",ISNUMBER(SEARCH("Rainforest",CAPTURA!N25))+ISNUMBER(SEARCH("Fairtrade",CAPTURA!N25))+ISNUMBER(SEARCH("Org",CAPTURA!N25))+ISNUMBER(SEARCH("UTZ",CAPTURA!N25))+ISNUMBER(SEARCH("Otr",CAPTURA!N25)),IF(AND(H25="",I25=""),"",IF(H25="SI",1,0)+IF(I25="SI",1,0)))</f>
        <v/>
      </c>
      <c r="AV25" t="str">
        <f t="shared" si="2"/>
        <v/>
      </c>
    </row>
    <row r="26" spans="1:48" ht="16.05" customHeight="1" x14ac:dyDescent="0.3">
      <c r="A26" t="s">
        <v>119</v>
      </c>
      <c r="B26" t="s">
        <v>120</v>
      </c>
      <c r="C26" t="s">
        <v>101</v>
      </c>
      <c r="D26" t="s">
        <v>57</v>
      </c>
      <c r="G26" t="s">
        <v>66</v>
      </c>
      <c r="J26" t="s">
        <v>59</v>
      </c>
      <c r="M26" t="str">
        <f t="shared" si="3"/>
        <v/>
      </c>
      <c r="N26" t="s">
        <v>60</v>
      </c>
      <c r="O26" t="str">
        <f t="shared" si="4"/>
        <v/>
      </c>
      <c r="P26" t="s">
        <v>60</v>
      </c>
      <c r="S26" t="str">
        <f t="shared" si="0"/>
        <v>—</v>
      </c>
      <c r="T26" t="str">
        <f>IF(NOT(ISNUMBER(S26)),"⬜  Sin dato PVE",IF(AND(COUNT(NORMALIZADO!BV26:BY26)&gt;=3,AQ26=7),IF(S26&lt;34,"🔴 Crítico",IF(S26&lt;67,"🟡 Vulnerable","🟢 Preparado")),"◐  Parcial · "&amp;AQ26&amp;"/7"))</f>
        <v>⬜  Sin dato PVE</v>
      </c>
      <c r="U26" s="53">
        <v>1</v>
      </c>
      <c r="V26" t="s">
        <v>61</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dato",IF(AND(COUNT(NORMALIZADO!BV26:BY26)&gt;=3,AQ26=7),"completo","parcial · "&amp;AQ26&amp;"/7 · D12-D15 "&amp;COUNT(NORMALIZADO!BV26:BY26)&amp;"/4"))</f>
        <v>sin dato</v>
      </c>
      <c r="AU26" t="str">
        <f>IF(CAPTURA!N26&lt;&gt;"",ISNUMBER(SEARCH("Rainforest",CAPTURA!N26))+ISNUMBER(SEARCH("Fairtrade",CAPTURA!N26))+ISNUMBER(SEARCH("Org",CAPTURA!N26))+ISNUMBER(SEARCH("UTZ",CAPTURA!N26))+ISNUMBER(SEARCH("Otr",CAPTURA!N26)),IF(AND(H26="",I26=""),"",IF(H26="SI",1,0)+IF(I26="SI",1,0)))</f>
        <v/>
      </c>
      <c r="AV26" t="str">
        <f t="shared" si="2"/>
        <v/>
      </c>
    </row>
    <row r="27" spans="1:48" ht="16.05" customHeight="1" x14ac:dyDescent="0.3">
      <c r="A27" t="s">
        <v>121</v>
      </c>
      <c r="B27" t="s">
        <v>122</v>
      </c>
      <c r="C27" t="s">
        <v>101</v>
      </c>
      <c r="D27" t="s">
        <v>65</v>
      </c>
      <c r="G27" t="s">
        <v>66</v>
      </c>
      <c r="J27" t="s">
        <v>59</v>
      </c>
      <c r="M27" t="str">
        <f t="shared" si="3"/>
        <v/>
      </c>
      <c r="N27" t="s">
        <v>60</v>
      </c>
      <c r="O27" t="str">
        <f t="shared" si="4"/>
        <v/>
      </c>
      <c r="P27" t="s">
        <v>60</v>
      </c>
      <c r="S27" t="str">
        <f t="shared" si="0"/>
        <v>—</v>
      </c>
      <c r="T27" t="str">
        <f>IF(NOT(ISNUMBER(S27)),"⬜  Sin dato PVE",IF(AND(COUNT(NORMALIZADO!BV27:BY27)&gt;=3,AQ27=7),IF(S27&lt;34,"🔴 Crítico",IF(S27&lt;67,"🟡 Vulnerable","🟢 Preparado")),"◐  Parcial · "&amp;AQ27&amp;"/7"))</f>
        <v>⬜  Sin dato PVE</v>
      </c>
      <c r="U27" s="53">
        <v>1</v>
      </c>
      <c r="V27" t="s">
        <v>61</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dato",IF(AND(COUNT(NORMALIZADO!BV27:BY27)&gt;=3,AQ27=7),"completo","parcial · "&amp;AQ27&amp;"/7 · D12-D15 "&amp;COUNT(NORMALIZADO!BV27:BY27)&amp;"/4"))</f>
        <v>sin dato</v>
      </c>
      <c r="AU27" t="str">
        <f>IF(CAPTURA!N27&lt;&gt;"",ISNUMBER(SEARCH("Rainforest",CAPTURA!N27))+ISNUMBER(SEARCH("Fairtrade",CAPTURA!N27))+ISNUMBER(SEARCH("Org",CAPTURA!N27))+ISNUMBER(SEARCH("UTZ",CAPTURA!N27))+ISNUMBER(SEARCH("Otr",CAPTURA!N27)),IF(AND(H27="",I27=""),"",IF(H27="SI",1,0)+IF(I27="SI",1,0)))</f>
        <v/>
      </c>
      <c r="AV27" t="str">
        <f t="shared" si="2"/>
        <v/>
      </c>
    </row>
    <row r="28" spans="1:48" ht="16.05" customHeight="1" x14ac:dyDescent="0.3">
      <c r="A28" t="s">
        <v>123</v>
      </c>
      <c r="B28" t="s">
        <v>124</v>
      </c>
      <c r="C28" t="s">
        <v>101</v>
      </c>
      <c r="D28" t="s">
        <v>65</v>
      </c>
      <c r="G28" t="s">
        <v>66</v>
      </c>
      <c r="J28" t="s">
        <v>59</v>
      </c>
      <c r="M28" t="str">
        <f t="shared" si="3"/>
        <v/>
      </c>
      <c r="N28" t="s">
        <v>60</v>
      </c>
      <c r="O28" t="str">
        <f t="shared" si="4"/>
        <v/>
      </c>
      <c r="P28" t="s">
        <v>60</v>
      </c>
      <c r="S28" t="str">
        <f t="shared" si="0"/>
        <v>—</v>
      </c>
      <c r="T28" t="str">
        <f>IF(NOT(ISNUMBER(S28)),"⬜  Sin dato PVE",IF(AND(COUNT(NORMALIZADO!BV28:BY28)&gt;=3,AQ28=7),IF(S28&lt;34,"🔴 Crítico",IF(S28&lt;67,"🟡 Vulnerable","🟢 Preparado")),"◐  Parcial · "&amp;AQ28&amp;"/7"))</f>
        <v>⬜  Sin dato PVE</v>
      </c>
      <c r="U28" s="53">
        <v>1</v>
      </c>
      <c r="V28" t="s">
        <v>61</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dato",IF(AND(COUNT(NORMALIZADO!BV28:BY28)&gt;=3,AQ28=7),"completo","parcial · "&amp;AQ28&amp;"/7 · D12-D15 "&amp;COUNT(NORMALIZADO!BV28:BY28)&amp;"/4"))</f>
        <v>sin dato</v>
      </c>
      <c r="AU28" t="str">
        <f>IF(CAPTURA!N28&lt;&gt;"",ISNUMBER(SEARCH("Rainforest",CAPTURA!N28))+ISNUMBER(SEARCH("Fairtrade",CAPTURA!N28))+ISNUMBER(SEARCH("Org",CAPTURA!N28))+ISNUMBER(SEARCH("UTZ",CAPTURA!N28))+ISNUMBER(SEARCH("Otr",CAPTURA!N28)),IF(AND(H28="",I28=""),"",IF(H28="SI",1,0)+IF(I28="SI",1,0)))</f>
        <v/>
      </c>
      <c r="AV28" t="str">
        <f t="shared" si="2"/>
        <v/>
      </c>
    </row>
    <row r="29" spans="1:48" ht="16.05" customHeight="1" x14ac:dyDescent="0.3">
      <c r="A29" t="s">
        <v>125</v>
      </c>
      <c r="B29" t="s">
        <v>126</v>
      </c>
      <c r="C29" t="s">
        <v>101</v>
      </c>
      <c r="D29" t="s">
        <v>65</v>
      </c>
      <c r="G29" t="s">
        <v>66</v>
      </c>
      <c r="J29" t="s">
        <v>59</v>
      </c>
      <c r="M29" t="str">
        <f t="shared" si="3"/>
        <v/>
      </c>
      <c r="N29" t="s">
        <v>60</v>
      </c>
      <c r="O29" t="str">
        <f t="shared" si="4"/>
        <v/>
      </c>
      <c r="P29" t="s">
        <v>60</v>
      </c>
      <c r="S29" t="str">
        <f t="shared" si="0"/>
        <v>—</v>
      </c>
      <c r="T29" t="str">
        <f>IF(NOT(ISNUMBER(S29)),"⬜  Sin dato PVE",IF(AND(COUNT(NORMALIZADO!BV29:BY29)&gt;=3,AQ29=7),IF(S29&lt;34,"🔴 Crítico",IF(S29&lt;67,"🟡 Vulnerable","🟢 Preparado")),"◐  Parcial · "&amp;AQ29&amp;"/7"))</f>
        <v>⬜  Sin dato PVE</v>
      </c>
      <c r="U29" s="53">
        <v>1</v>
      </c>
      <c r="V29" t="s">
        <v>61</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dato",IF(AND(COUNT(NORMALIZADO!BV29:BY29)&gt;=3,AQ29=7),"completo","parcial · "&amp;AQ29&amp;"/7 · D12-D15 "&amp;COUNT(NORMALIZADO!BV29:BY29)&amp;"/4"))</f>
        <v>sin dato</v>
      </c>
      <c r="AU29" t="str">
        <f>IF(CAPTURA!N29&lt;&gt;"",ISNUMBER(SEARCH("Rainforest",CAPTURA!N29))+ISNUMBER(SEARCH("Fairtrade",CAPTURA!N29))+ISNUMBER(SEARCH("Org",CAPTURA!N29))+ISNUMBER(SEARCH("UTZ",CAPTURA!N29))+ISNUMBER(SEARCH("Otr",CAPTURA!N29)),IF(AND(H29="",I29=""),"",IF(H29="SI",1,0)+IF(I29="SI",1,0)))</f>
        <v/>
      </c>
      <c r="AV29" t="str">
        <f t="shared" si="2"/>
        <v/>
      </c>
    </row>
    <row r="30" spans="1:48" ht="16.05" customHeight="1" x14ac:dyDescent="0.3">
      <c r="A30" t="s">
        <v>127</v>
      </c>
      <c r="B30" t="s">
        <v>128</v>
      </c>
      <c r="C30" t="s">
        <v>56</v>
      </c>
      <c r="D30" t="s">
        <v>65</v>
      </c>
      <c r="G30" t="s">
        <v>66</v>
      </c>
      <c r="J30" t="s">
        <v>59</v>
      </c>
      <c r="M30" t="str">
        <f t="shared" si="3"/>
        <v/>
      </c>
      <c r="N30" t="s">
        <v>60</v>
      </c>
      <c r="O30" t="str">
        <f t="shared" si="4"/>
        <v/>
      </c>
      <c r="P30" t="s">
        <v>60</v>
      </c>
      <c r="S30" t="str">
        <f t="shared" si="0"/>
        <v>—</v>
      </c>
      <c r="T30" t="str">
        <f>IF(NOT(ISNUMBER(S30)),"⬜  Sin dato PVE",IF(AND(COUNT(NORMALIZADO!BV30:BY30)&gt;=3,AQ30=7),IF(S30&lt;34,"🔴 Crítico",IF(S30&lt;67,"🟡 Vulnerable","🟢 Preparado")),"◐  Parcial · "&amp;AQ30&amp;"/7"))</f>
        <v>⬜  Sin dato PVE</v>
      </c>
      <c r="U30" s="53">
        <v>1</v>
      </c>
      <c r="V30" t="s">
        <v>61</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dato",IF(AND(COUNT(NORMALIZADO!BV30:BY30)&gt;=3,AQ30=7),"completo","parcial · "&amp;AQ30&amp;"/7 · D12-D15 "&amp;COUNT(NORMALIZADO!BV30:BY30)&amp;"/4"))</f>
        <v>sin dato</v>
      </c>
      <c r="AU30" t="str">
        <f>IF(CAPTURA!N30&lt;&gt;"",ISNUMBER(SEARCH("Rainforest",CAPTURA!N30))+ISNUMBER(SEARCH("Fairtrade",CAPTURA!N30))+ISNUMBER(SEARCH("Org",CAPTURA!N30))+ISNUMBER(SEARCH("UTZ",CAPTURA!N30))+ISNUMBER(SEARCH("Otr",CAPTURA!N30)),IF(AND(H30="",I30=""),"",IF(H30="SI",1,0)+IF(I30="SI",1,0)))</f>
        <v/>
      </c>
      <c r="AV30" t="str">
        <f t="shared" si="2"/>
        <v/>
      </c>
    </row>
    <row r="31" spans="1:48" ht="16.05" customHeight="1" x14ac:dyDescent="0.3">
      <c r="A31" t="s">
        <v>129</v>
      </c>
      <c r="B31" t="s">
        <v>130</v>
      </c>
      <c r="C31" t="s">
        <v>131</v>
      </c>
      <c r="D31" t="s">
        <v>57</v>
      </c>
      <c r="G31" t="s">
        <v>66</v>
      </c>
      <c r="J31" t="s">
        <v>59</v>
      </c>
      <c r="M31" t="str">
        <f t="shared" si="3"/>
        <v/>
      </c>
      <c r="N31" t="s">
        <v>60</v>
      </c>
      <c r="O31" t="str">
        <f t="shared" si="4"/>
        <v/>
      </c>
      <c r="P31" t="s">
        <v>60</v>
      </c>
      <c r="S31" t="str">
        <f t="shared" si="0"/>
        <v>—</v>
      </c>
      <c r="T31" t="str">
        <f>IF(NOT(ISNUMBER(S31)),"⬜  Sin dato PVE",IF(AND(COUNT(NORMALIZADO!BV31:BY31)&gt;=3,AQ31=7),IF(S31&lt;34,"🔴 Crítico",IF(S31&lt;67,"🟡 Vulnerable","🟢 Preparado")),"◐  Parcial · "&amp;AQ31&amp;"/7"))</f>
        <v>⬜  Sin dato PVE</v>
      </c>
      <c r="U31" s="53">
        <v>1</v>
      </c>
      <c r="V31" t="s">
        <v>61</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dato",IF(AND(COUNT(NORMALIZADO!BV31:BY31)&gt;=3,AQ31=7),"completo","parcial · "&amp;AQ31&amp;"/7 · D12-D15 "&amp;COUNT(NORMALIZADO!BV31:BY31)&amp;"/4"))</f>
        <v>sin dato</v>
      </c>
      <c r="AU31" t="str">
        <f>IF(CAPTURA!N31&lt;&gt;"",ISNUMBER(SEARCH("Rainforest",CAPTURA!N31))+ISNUMBER(SEARCH("Fairtrade",CAPTURA!N31))+ISNUMBER(SEARCH("Org",CAPTURA!N31))+ISNUMBER(SEARCH("UTZ",CAPTURA!N31))+ISNUMBER(SEARCH("Otr",CAPTURA!N31)),IF(AND(H31="",I31=""),"",IF(H31="SI",1,0)+IF(I31="SI",1,0)))</f>
        <v/>
      </c>
      <c r="AV31" t="str">
        <f t="shared" si="2"/>
        <v/>
      </c>
    </row>
    <row r="32" spans="1:48" ht="16.05" customHeight="1" x14ac:dyDescent="0.3">
      <c r="A32" t="s">
        <v>132</v>
      </c>
      <c r="B32" t="s">
        <v>133</v>
      </c>
      <c r="C32" t="s">
        <v>131</v>
      </c>
      <c r="D32" t="s">
        <v>65</v>
      </c>
      <c r="G32" t="s">
        <v>66</v>
      </c>
      <c r="J32" t="s">
        <v>59</v>
      </c>
      <c r="M32" t="str">
        <f t="shared" si="3"/>
        <v/>
      </c>
      <c r="N32" t="s">
        <v>60</v>
      </c>
      <c r="O32" t="str">
        <f t="shared" si="4"/>
        <v/>
      </c>
      <c r="P32" t="s">
        <v>60</v>
      </c>
      <c r="S32" t="str">
        <f t="shared" si="0"/>
        <v>—</v>
      </c>
      <c r="T32" t="str">
        <f>IF(NOT(ISNUMBER(S32)),"⬜  Sin dato PVE",IF(AND(COUNT(NORMALIZADO!BV32:BY32)&gt;=3,AQ32=7),IF(S32&lt;34,"🔴 Crítico",IF(S32&lt;67,"🟡 Vulnerable","🟢 Preparado")),"◐  Parcial · "&amp;AQ32&amp;"/7"))</f>
        <v>⬜  Sin dato PVE</v>
      </c>
      <c r="U32" s="53">
        <v>1</v>
      </c>
      <c r="V32" t="s">
        <v>61</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dato",IF(AND(COUNT(NORMALIZADO!BV32:BY32)&gt;=3,AQ32=7),"completo","parcial · "&amp;AQ32&amp;"/7 · D12-D15 "&amp;COUNT(NORMALIZADO!BV32:BY32)&amp;"/4"))</f>
        <v>sin dato</v>
      </c>
      <c r="AU32" t="str">
        <f>IF(CAPTURA!N32&lt;&gt;"",ISNUMBER(SEARCH("Rainforest",CAPTURA!N32))+ISNUMBER(SEARCH("Fairtrade",CAPTURA!N32))+ISNUMBER(SEARCH("Org",CAPTURA!N32))+ISNUMBER(SEARCH("UTZ",CAPTURA!N32))+ISNUMBER(SEARCH("Otr",CAPTURA!N32)),IF(AND(H32="",I32=""),"",IF(H32="SI",1,0)+IF(I32="SI",1,0)))</f>
        <v/>
      </c>
      <c r="AV32" t="str">
        <f t="shared" si="2"/>
        <v/>
      </c>
    </row>
    <row r="33" spans="1:48" ht="16.05" customHeight="1" x14ac:dyDescent="0.3">
      <c r="A33" t="s">
        <v>134</v>
      </c>
      <c r="B33" t="s">
        <v>135</v>
      </c>
      <c r="C33" t="s">
        <v>131</v>
      </c>
      <c r="D33" t="s">
        <v>57</v>
      </c>
      <c r="G33" t="s">
        <v>66</v>
      </c>
      <c r="J33" t="s">
        <v>59</v>
      </c>
      <c r="M33" t="str">
        <f t="shared" si="3"/>
        <v/>
      </c>
      <c r="N33" t="s">
        <v>60</v>
      </c>
      <c r="O33" t="str">
        <f t="shared" si="4"/>
        <v/>
      </c>
      <c r="P33" t="s">
        <v>60</v>
      </c>
      <c r="S33" t="str">
        <f t="shared" si="0"/>
        <v>—</v>
      </c>
      <c r="T33" t="str">
        <f>IF(NOT(ISNUMBER(S33)),"⬜  Sin dato PVE",IF(AND(COUNT(NORMALIZADO!BV33:BY33)&gt;=3,AQ33=7),IF(S33&lt;34,"🔴 Crítico",IF(S33&lt;67,"🟡 Vulnerable","🟢 Preparado")),"◐  Parcial · "&amp;AQ33&amp;"/7"))</f>
        <v>⬜  Sin dato PVE</v>
      </c>
      <c r="U33" s="53">
        <v>1</v>
      </c>
      <c r="V33" t="s">
        <v>61</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dato",IF(AND(COUNT(NORMALIZADO!BV33:BY33)&gt;=3,AQ33=7),"completo","parcial · "&amp;AQ33&amp;"/7 · D12-D15 "&amp;COUNT(NORMALIZADO!BV33:BY33)&amp;"/4"))</f>
        <v>sin dato</v>
      </c>
      <c r="AU33" t="str">
        <f>IF(CAPTURA!N33&lt;&gt;"",ISNUMBER(SEARCH("Rainforest",CAPTURA!N33))+ISNUMBER(SEARCH("Fairtrade",CAPTURA!N33))+ISNUMBER(SEARCH("Org",CAPTURA!N33))+ISNUMBER(SEARCH("UTZ",CAPTURA!N33))+ISNUMBER(SEARCH("Otr",CAPTURA!N33)),IF(AND(H33="",I33=""),"",IF(H33="SI",1,0)+IF(I33="SI",1,0)))</f>
        <v/>
      </c>
      <c r="AV33" t="str">
        <f t="shared" si="2"/>
        <v/>
      </c>
    </row>
    <row r="34" spans="1:48" ht="16.05" customHeight="1" x14ac:dyDescent="0.3">
      <c r="A34" t="s">
        <v>136</v>
      </c>
      <c r="B34" t="s">
        <v>137</v>
      </c>
      <c r="C34" t="s">
        <v>131</v>
      </c>
      <c r="D34" t="s">
        <v>57</v>
      </c>
      <c r="G34" t="s">
        <v>66</v>
      </c>
      <c r="J34" t="s">
        <v>59</v>
      </c>
      <c r="M34" t="str">
        <f t="shared" si="3"/>
        <v/>
      </c>
      <c r="N34" t="s">
        <v>60</v>
      </c>
      <c r="O34" t="str">
        <f t="shared" si="4"/>
        <v/>
      </c>
      <c r="P34" t="s">
        <v>60</v>
      </c>
      <c r="S34" t="str">
        <f t="shared" si="0"/>
        <v>—</v>
      </c>
      <c r="T34" t="str">
        <f>IF(NOT(ISNUMBER(S34)),"⬜  Sin dato PVE",IF(AND(COUNT(NORMALIZADO!BV34:BY34)&gt;=3,AQ34=7),IF(S34&lt;34,"🔴 Crítico",IF(S34&lt;67,"🟡 Vulnerable","🟢 Preparado")),"◐  Parcial · "&amp;AQ34&amp;"/7"))</f>
        <v>⬜  Sin dato PVE</v>
      </c>
      <c r="U34" s="53">
        <v>1</v>
      </c>
      <c r="V34" t="s">
        <v>61</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dato",IF(AND(COUNT(NORMALIZADO!BV34:BY34)&gt;=3,AQ34=7),"completo","parcial · "&amp;AQ34&amp;"/7 · D12-D15 "&amp;COUNT(NORMALIZADO!BV34:BY34)&amp;"/4"))</f>
        <v>sin dato</v>
      </c>
      <c r="AU34" t="str">
        <f>IF(CAPTURA!N34&lt;&gt;"",ISNUMBER(SEARCH("Rainforest",CAPTURA!N34))+ISNUMBER(SEARCH("Fairtrade",CAPTURA!N34))+ISNUMBER(SEARCH("Org",CAPTURA!N34))+ISNUMBER(SEARCH("UTZ",CAPTURA!N34))+ISNUMBER(SEARCH("Otr",CAPTURA!N34)),IF(AND(H34="",I34=""),"",IF(H34="SI",1,0)+IF(I34="SI",1,0)))</f>
        <v/>
      </c>
      <c r="AV34" t="str">
        <f t="shared" si="2"/>
        <v/>
      </c>
    </row>
    <row r="35" spans="1:48" ht="16.05" customHeight="1" x14ac:dyDescent="0.3">
      <c r="A35" t="s">
        <v>138</v>
      </c>
      <c r="B35" t="s">
        <v>139</v>
      </c>
      <c r="C35" t="s">
        <v>72</v>
      </c>
      <c r="D35" t="s">
        <v>65</v>
      </c>
      <c r="E35">
        <v>1931452.7</v>
      </c>
      <c r="F35">
        <v>7</v>
      </c>
      <c r="G35" t="s">
        <v>58</v>
      </c>
      <c r="J35" t="s">
        <v>59</v>
      </c>
      <c r="L35">
        <v>965726.35</v>
      </c>
      <c r="M35">
        <f t="shared" si="3"/>
        <v>50</v>
      </c>
      <c r="N35" t="s">
        <v>60</v>
      </c>
      <c r="O35" t="str">
        <f t="shared" si="4"/>
        <v/>
      </c>
      <c r="P35" t="s">
        <v>60</v>
      </c>
      <c r="S35">
        <f t="shared" ref="S35:S66" si="5">IFERROR(ROUND(AP35*100,1),"—")</f>
        <v>50</v>
      </c>
      <c r="T35" t="str">
        <f>IF(NOT(ISNUMBER(S35)),"⬜  Sin dato PVE",IF(AND(COUNT(NORMALIZADO!BV35:BY35)&gt;=3,AQ35=7),IF(S35&lt;34,"🔴 Crítico",IF(S35&lt;67,"🟡 Vulnerable","🟢 Preparado")),"◐  Parcial · "&amp;AQ35&amp;"/7"))</f>
        <v>◐  Parcial · 2/7</v>
      </c>
      <c r="U35" s="53">
        <v>1</v>
      </c>
      <c r="V35" t="s">
        <v>61</v>
      </c>
      <c r="W35">
        <f>IF(NORMALIZADO!BV35="",1,NORMALIZADO!BV35)</f>
        <v>1</v>
      </c>
      <c r="X35" t="str">
        <f>IF(NORMALIZADO!BW35="","",NORMALIZADO!BW35)</f>
        <v/>
      </c>
      <c r="Y35" t="str">
        <f>IF(NORMALIZADO!BX35="","",NORMALIZADO!BX35)</f>
        <v/>
      </c>
      <c r="Z35" t="str">
        <f>IF(NORMALIZADO!BY35="","",NORMALIZADO!BY35)</f>
        <v/>
      </c>
      <c r="AO35" t="str">
        <f t="shared" ref="AO35:AO66" si="6">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dato",IF(AND(COUNT(NORMALIZADO!BV35:BY35)&gt;=3,AQ35=7),"completo","parcial · "&amp;AQ35&amp;"/7 · D12-D15 "&amp;COUNT(NORMALIZADO!BV35:BY35)&amp;"/4"))</f>
        <v>parcial · 2/7 · D12-D15 0/4</v>
      </c>
      <c r="AU35" t="str">
        <f>IF(CAPTURA!N35&lt;&gt;"",ISNUMBER(SEARCH("Rainforest",CAPTURA!N35))+ISNUMBER(SEARCH("Fairtrade",CAPTURA!N35))+ISNUMBER(SEARCH("Org",CAPTURA!N35))+ISNUMBER(SEARCH("UTZ",CAPTURA!N35))+ISNUMBER(SEARCH("Otr",CAPTURA!N35)),IF(AND(H35="",I35=""),"",IF(H35="SI",1,0)+IF(I35="SI",1,0)))</f>
        <v/>
      </c>
      <c r="AV35" t="str">
        <f t="shared" ref="AV35:AV66" si="7">IF(AU35="","",CHOOSE(MIN(3,AU35)+1,0,33,66,100))</f>
        <v/>
      </c>
    </row>
    <row r="36" spans="1:48" ht="16.05" customHeight="1" x14ac:dyDescent="0.3">
      <c r="A36" t="s">
        <v>140</v>
      </c>
      <c r="B36" t="s">
        <v>141</v>
      </c>
      <c r="C36" t="s">
        <v>142</v>
      </c>
      <c r="D36" t="s">
        <v>57</v>
      </c>
      <c r="E36">
        <v>4538578.93</v>
      </c>
      <c r="F36">
        <v>24</v>
      </c>
      <c r="G36" t="s">
        <v>58</v>
      </c>
      <c r="H36" t="s">
        <v>58</v>
      </c>
      <c r="I36" t="s">
        <v>58</v>
      </c>
      <c r="J36" t="s">
        <v>59</v>
      </c>
      <c r="L36">
        <v>965167.45</v>
      </c>
      <c r="M36">
        <f t="shared" si="3"/>
        <v>21.3</v>
      </c>
      <c r="N36" t="s">
        <v>60</v>
      </c>
      <c r="O36">
        <f t="shared" si="4"/>
        <v>1</v>
      </c>
      <c r="P36" t="s">
        <v>60</v>
      </c>
      <c r="Q36">
        <v>178</v>
      </c>
      <c r="R36">
        <v>437</v>
      </c>
      <c r="S36">
        <f t="shared" si="5"/>
        <v>46.4</v>
      </c>
      <c r="T36" t="str">
        <f>IF(NOT(ISNUMBER(S36)),"⬜  Sin dato PVE",IF(AND(COUNT(NORMALIZADO!BV36:BY36)&gt;=3,AQ36=7),IF(S36&lt;34,"🔴 Crítico",IF(S36&lt;67,"🟡 Vulnerable","🟢 Preparado")),"◐  Parcial · "&amp;AQ36&amp;"/7"))</f>
        <v>◐  Parcial · 3/7</v>
      </c>
      <c r="U36" s="53">
        <v>1</v>
      </c>
      <c r="V36" t="s">
        <v>61</v>
      </c>
      <c r="W36">
        <f>IF(NORMALIZADO!BV36="",1,NORMALIZADO!BV36)</f>
        <v>1</v>
      </c>
      <c r="X36" t="str">
        <f>IF(NORMALIZADO!BW36="","",NORMALIZADO!BW36)</f>
        <v/>
      </c>
      <c r="Y36" t="str">
        <f>IF(NORMALIZADO!BX36="","",NORMALIZADO!BX36)</f>
        <v/>
      </c>
      <c r="Z36" t="str">
        <f>IF(NORMALIZADO!BY36="","",NORMALIZADO!BY36)</f>
        <v/>
      </c>
      <c r="AO36" t="str">
        <f t="shared" si="6"/>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58</v>
      </c>
      <c r="AS36" t="s">
        <v>58</v>
      </c>
      <c r="AT36" t="str">
        <f>IF(NOT(ISNUMBER(AP36)),"sin dato",IF(AND(COUNT(NORMALIZADO!BV36:BY36)&gt;=3,AQ36=7),"completo","parcial · "&amp;AQ36&amp;"/7 · D12-D15 "&amp;COUNT(NORMALIZADO!BV36:BY36)&amp;"/4"))</f>
        <v>parcial · 3/7 · D12-D15 0/4</v>
      </c>
      <c r="AU36">
        <f>IF(CAPTURA!N36&lt;&gt;"",ISNUMBER(SEARCH("Rainforest",CAPTURA!N36))+ISNUMBER(SEARCH("Fairtrade",CAPTURA!N36))+ISNUMBER(SEARCH("Org",CAPTURA!N36))+ISNUMBER(SEARCH("UTZ",CAPTURA!N36))+ISNUMBER(SEARCH("Otr",CAPTURA!N36)),IF(AND(H36="",I36=""),"",IF(H36="SI",1,0)+IF(I36="SI",1,0)))</f>
        <v>2</v>
      </c>
      <c r="AV36">
        <f t="shared" si="7"/>
        <v>66</v>
      </c>
    </row>
    <row r="37" spans="1:48" ht="16.05" customHeight="1" x14ac:dyDescent="0.3">
      <c r="A37" t="s">
        <v>143</v>
      </c>
      <c r="B37" t="s">
        <v>144</v>
      </c>
      <c r="C37" t="s">
        <v>104</v>
      </c>
      <c r="D37" t="s">
        <v>57</v>
      </c>
      <c r="G37" t="s">
        <v>66</v>
      </c>
      <c r="J37" t="s">
        <v>59</v>
      </c>
      <c r="M37" t="str">
        <f t="shared" si="3"/>
        <v/>
      </c>
      <c r="N37" t="s">
        <v>60</v>
      </c>
      <c r="O37" t="str">
        <f t="shared" si="4"/>
        <v/>
      </c>
      <c r="P37" t="s">
        <v>60</v>
      </c>
      <c r="S37" t="str">
        <f t="shared" si="5"/>
        <v>—</v>
      </c>
      <c r="T37" t="str">
        <f>IF(NOT(ISNUMBER(S37)),"⬜  Sin dato PVE",IF(AND(COUNT(NORMALIZADO!BV37:BY37)&gt;=3,AQ37=7),IF(S37&lt;34,"🔴 Crítico",IF(S37&lt;67,"🟡 Vulnerable","🟢 Preparado")),"◐  Parcial · "&amp;AQ37&amp;"/7"))</f>
        <v>⬜  Sin dato PVE</v>
      </c>
      <c r="U37" s="53">
        <v>1</v>
      </c>
      <c r="V37" t="s">
        <v>61</v>
      </c>
      <c r="W37" t="str">
        <f>IF(NORMALIZADO!BV37="","",NORMALIZADO!BV37)</f>
        <v/>
      </c>
      <c r="X37" t="str">
        <f>IF(NORMALIZADO!BW37="","",NORMALIZADO!BW37)</f>
        <v/>
      </c>
      <c r="Y37" t="str">
        <f>IF(NORMALIZADO!BX37="","",NORMALIZADO!BX37)</f>
        <v/>
      </c>
      <c r="Z37" t="str">
        <f>IF(NORMALIZADO!BY37="","",NORMALIZADO!BY37)</f>
        <v/>
      </c>
      <c r="AO37" t="str">
        <f t="shared" si="6"/>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dato",IF(AND(COUNT(NORMALIZADO!BV37:BY37)&gt;=3,AQ37=7),"completo","parcial · "&amp;AQ37&amp;"/7 · D12-D15 "&amp;COUNT(NORMALIZADO!BV37:BY37)&amp;"/4"))</f>
        <v>sin dato</v>
      </c>
      <c r="AU37" t="str">
        <f>IF(CAPTURA!N37&lt;&gt;"",ISNUMBER(SEARCH("Rainforest",CAPTURA!N37))+ISNUMBER(SEARCH("Fairtrade",CAPTURA!N37))+ISNUMBER(SEARCH("Org",CAPTURA!N37))+ISNUMBER(SEARCH("UTZ",CAPTURA!N37))+ISNUMBER(SEARCH("Otr",CAPTURA!N37)),IF(AND(H37="",I37=""),"",IF(H37="SI",1,0)+IF(I37="SI",1,0)))</f>
        <v/>
      </c>
      <c r="AV37" t="str">
        <f t="shared" si="7"/>
        <v/>
      </c>
    </row>
    <row r="38" spans="1:48" ht="16.05" customHeight="1" x14ac:dyDescent="0.3">
      <c r="A38" t="s">
        <v>145</v>
      </c>
      <c r="B38" t="s">
        <v>146</v>
      </c>
      <c r="C38" t="s">
        <v>104</v>
      </c>
      <c r="G38" t="s">
        <v>66</v>
      </c>
      <c r="J38" t="s">
        <v>116</v>
      </c>
      <c r="M38" t="str">
        <f t="shared" si="3"/>
        <v/>
      </c>
      <c r="N38" t="s">
        <v>60</v>
      </c>
      <c r="O38" t="str">
        <f t="shared" si="4"/>
        <v/>
      </c>
      <c r="P38" t="s">
        <v>60</v>
      </c>
      <c r="S38" t="str">
        <f t="shared" si="5"/>
        <v>—</v>
      </c>
      <c r="T38" t="str">
        <f>IF(NOT(ISNUMBER(S38)),"⬜  Sin dato PVE",IF(AND(COUNT(NORMALIZADO!BV38:BY38)&gt;=3,AQ38=7),IF(S38&lt;34,"🔴 Crítico",IF(S38&lt;67,"🟡 Vulnerable","🟢 Preparado")),"◐  Parcial · "&amp;AQ38&amp;"/7"))</f>
        <v>⬜  Sin dato PVE</v>
      </c>
      <c r="U38" s="53">
        <v>1</v>
      </c>
      <c r="V38" t="s">
        <v>61</v>
      </c>
      <c r="W38" t="str">
        <f>IF(NORMALIZADO!BV38="","",NORMALIZADO!BV38)</f>
        <v/>
      </c>
      <c r="X38" t="str">
        <f>IF(NORMALIZADO!BW38="","",NORMALIZADO!BW38)</f>
        <v/>
      </c>
      <c r="Y38" t="str">
        <f>IF(NORMALIZADO!BX38="","",NORMALIZADO!BX38)</f>
        <v/>
      </c>
      <c r="Z38" t="str">
        <f>IF(NORMALIZADO!BY38="","",NORMALIZADO!BY38)</f>
        <v/>
      </c>
      <c r="AO38" t="str">
        <f t="shared" si="6"/>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dato",IF(AND(COUNT(NORMALIZADO!BV38:BY38)&gt;=3,AQ38=7),"completo","parcial · "&amp;AQ38&amp;"/7 · D12-D15 "&amp;COUNT(NORMALIZADO!BV38:BY38)&amp;"/4"))</f>
        <v>sin dato</v>
      </c>
      <c r="AU38" t="str">
        <f>IF(CAPTURA!N38&lt;&gt;"",ISNUMBER(SEARCH("Rainforest",CAPTURA!N38))+ISNUMBER(SEARCH("Fairtrade",CAPTURA!N38))+ISNUMBER(SEARCH("Org",CAPTURA!N38))+ISNUMBER(SEARCH("UTZ",CAPTURA!N38))+ISNUMBER(SEARCH("Otr",CAPTURA!N38)),IF(AND(H38="",I38=""),"",IF(H38="SI",1,0)+IF(I38="SI",1,0)))</f>
        <v/>
      </c>
      <c r="AV38" t="str">
        <f t="shared" si="7"/>
        <v/>
      </c>
    </row>
    <row r="39" spans="1:48" ht="16.05" customHeight="1" x14ac:dyDescent="0.3">
      <c r="A39" t="s">
        <v>147</v>
      </c>
      <c r="B39" t="s">
        <v>148</v>
      </c>
      <c r="C39" t="s">
        <v>104</v>
      </c>
      <c r="D39" t="s">
        <v>65</v>
      </c>
      <c r="E39">
        <v>1175215.28</v>
      </c>
      <c r="F39">
        <v>7</v>
      </c>
      <c r="G39" t="s">
        <v>58</v>
      </c>
      <c r="J39" t="s">
        <v>59</v>
      </c>
      <c r="L39">
        <v>587607.64</v>
      </c>
      <c r="M39">
        <f t="shared" si="3"/>
        <v>50</v>
      </c>
      <c r="N39" t="s">
        <v>60</v>
      </c>
      <c r="O39" t="str">
        <f t="shared" si="4"/>
        <v/>
      </c>
      <c r="P39" t="s">
        <v>60</v>
      </c>
      <c r="S39">
        <f t="shared" si="5"/>
        <v>50</v>
      </c>
      <c r="T39" t="str">
        <f>IF(NOT(ISNUMBER(S39)),"⬜  Sin dato PVE",IF(AND(COUNT(NORMALIZADO!BV39:BY39)&gt;=3,AQ39=7),IF(S39&lt;34,"🔴 Crítico",IF(S39&lt;67,"🟡 Vulnerable","🟢 Preparado")),"◐  Parcial · "&amp;AQ39&amp;"/7"))</f>
        <v>◐  Parcial · 2/7</v>
      </c>
      <c r="U39" s="53">
        <v>1</v>
      </c>
      <c r="V39" t="s">
        <v>61</v>
      </c>
      <c r="W39">
        <f>IF(NORMALIZADO!BV39="",1,NORMALIZADO!BV39)</f>
        <v>1</v>
      </c>
      <c r="X39" t="str">
        <f>IF(NORMALIZADO!BW39="","",NORMALIZADO!BW39)</f>
        <v/>
      </c>
      <c r="Y39" t="str">
        <f>IF(NORMALIZADO!BX39="","",NORMALIZADO!BX39)</f>
        <v/>
      </c>
      <c r="Z39" t="str">
        <f>IF(NORMALIZADO!BY39="","",NORMALIZADO!BY39)</f>
        <v/>
      </c>
      <c r="AO39" t="str">
        <f t="shared" si="6"/>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dato",IF(AND(COUNT(NORMALIZADO!BV39:BY39)&gt;=3,AQ39=7),"completo","parcial · "&amp;AQ39&amp;"/7 · D12-D15 "&amp;COUNT(NORMALIZADO!BV39:BY39)&amp;"/4"))</f>
        <v>parcial · 2/7 · D12-D15 0/4</v>
      </c>
      <c r="AU39" t="str">
        <f>IF(CAPTURA!N39&lt;&gt;"",ISNUMBER(SEARCH("Rainforest",CAPTURA!N39))+ISNUMBER(SEARCH("Fairtrade",CAPTURA!N39))+ISNUMBER(SEARCH("Org",CAPTURA!N39))+ISNUMBER(SEARCH("UTZ",CAPTURA!N39))+ISNUMBER(SEARCH("Otr",CAPTURA!N39)),IF(AND(H39="",I39=""),"",IF(H39="SI",1,0)+IF(I39="SI",1,0)))</f>
        <v/>
      </c>
      <c r="AV39" t="str">
        <f t="shared" si="7"/>
        <v/>
      </c>
    </row>
    <row r="40" spans="1:48" ht="16.05" customHeight="1" x14ac:dyDescent="0.3">
      <c r="A40" t="s">
        <v>149</v>
      </c>
      <c r="B40" t="s">
        <v>150</v>
      </c>
      <c r="C40" t="s">
        <v>104</v>
      </c>
      <c r="D40" t="s">
        <v>65</v>
      </c>
      <c r="E40">
        <v>1684429.98</v>
      </c>
      <c r="F40">
        <v>14</v>
      </c>
      <c r="G40" t="s">
        <v>58</v>
      </c>
      <c r="J40" t="s">
        <v>59</v>
      </c>
      <c r="L40">
        <v>842214.99</v>
      </c>
      <c r="M40">
        <f t="shared" si="3"/>
        <v>50</v>
      </c>
      <c r="N40" t="s">
        <v>60</v>
      </c>
      <c r="O40" t="str">
        <f t="shared" si="4"/>
        <v/>
      </c>
      <c r="P40" t="s">
        <v>60</v>
      </c>
      <c r="S40">
        <f t="shared" si="5"/>
        <v>50</v>
      </c>
      <c r="T40" t="str">
        <f>IF(NOT(ISNUMBER(S40)),"⬜  Sin dato PVE",IF(AND(COUNT(NORMALIZADO!BV40:BY40)&gt;=3,AQ40=7),IF(S40&lt;34,"🔴 Crítico",IF(S40&lt;67,"🟡 Vulnerable","🟢 Preparado")),"◐  Parcial · "&amp;AQ40&amp;"/7"))</f>
        <v>◐  Parcial · 2/7</v>
      </c>
      <c r="U40" s="53">
        <v>1</v>
      </c>
      <c r="V40" t="s">
        <v>61</v>
      </c>
      <c r="W40">
        <f>IF(NORMALIZADO!BV40="",1,NORMALIZADO!BV40)</f>
        <v>1</v>
      </c>
      <c r="X40" t="str">
        <f>IF(NORMALIZADO!BW40="","",NORMALIZADO!BW40)</f>
        <v/>
      </c>
      <c r="Y40" t="str">
        <f>IF(NORMALIZADO!BX40="","",NORMALIZADO!BX40)</f>
        <v/>
      </c>
      <c r="Z40" t="str">
        <f>IF(NORMALIZADO!BY40="","",NORMALIZADO!BY40)</f>
        <v/>
      </c>
      <c r="AO40" t="str">
        <f t="shared" si="6"/>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dato",IF(AND(COUNT(NORMALIZADO!BV40:BY40)&gt;=3,AQ40=7),"completo","parcial · "&amp;AQ40&amp;"/7 · D12-D15 "&amp;COUNT(NORMALIZADO!BV40:BY40)&amp;"/4"))</f>
        <v>parcial · 2/7 · D12-D15 0/4</v>
      </c>
      <c r="AU40" t="str">
        <f>IF(CAPTURA!N40&lt;&gt;"",ISNUMBER(SEARCH("Rainforest",CAPTURA!N40))+ISNUMBER(SEARCH("Fairtrade",CAPTURA!N40))+ISNUMBER(SEARCH("Org",CAPTURA!N40))+ISNUMBER(SEARCH("UTZ",CAPTURA!N40))+ISNUMBER(SEARCH("Otr",CAPTURA!N40)),IF(AND(H40="",I40=""),"",IF(H40="SI",1,0)+IF(I40="SI",1,0)))</f>
        <v/>
      </c>
      <c r="AV40" t="str">
        <f t="shared" si="7"/>
        <v/>
      </c>
    </row>
    <row r="41" spans="1:48" ht="16.05" customHeight="1" x14ac:dyDescent="0.3">
      <c r="A41" t="s">
        <v>151</v>
      </c>
      <c r="B41" t="s">
        <v>152</v>
      </c>
      <c r="C41" t="s">
        <v>104</v>
      </c>
      <c r="D41" t="s">
        <v>57</v>
      </c>
      <c r="G41" t="s">
        <v>66</v>
      </c>
      <c r="J41" t="s">
        <v>116</v>
      </c>
      <c r="M41" t="str">
        <f t="shared" si="3"/>
        <v/>
      </c>
      <c r="N41" t="s">
        <v>60</v>
      </c>
      <c r="O41" t="str">
        <f t="shared" si="4"/>
        <v/>
      </c>
      <c r="P41" t="s">
        <v>60</v>
      </c>
      <c r="S41" t="str">
        <f t="shared" si="5"/>
        <v>—</v>
      </c>
      <c r="T41" t="str">
        <f>IF(NOT(ISNUMBER(S41)),"⬜  Sin dato PVE",IF(AND(COUNT(NORMALIZADO!BV41:BY41)&gt;=3,AQ41=7),IF(S41&lt;34,"🔴 Crítico",IF(S41&lt;67,"🟡 Vulnerable","🟢 Preparado")),"◐  Parcial · "&amp;AQ41&amp;"/7"))</f>
        <v>⬜  Sin dato PVE</v>
      </c>
      <c r="U41" s="53">
        <v>1</v>
      </c>
      <c r="V41" t="s">
        <v>61</v>
      </c>
      <c r="W41" t="str">
        <f>IF(NORMALIZADO!BV41="","",NORMALIZADO!BV41)</f>
        <v/>
      </c>
      <c r="X41" t="str">
        <f>IF(NORMALIZADO!BW41="","",NORMALIZADO!BW41)</f>
        <v/>
      </c>
      <c r="Y41" t="str">
        <f>IF(NORMALIZADO!BX41="","",NORMALIZADO!BX41)</f>
        <v/>
      </c>
      <c r="Z41" t="str">
        <f>IF(NORMALIZADO!BY41="","",NORMALIZADO!BY41)</f>
        <v/>
      </c>
      <c r="AO41" t="str">
        <f t="shared" si="6"/>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dato",IF(AND(COUNT(NORMALIZADO!BV41:BY41)&gt;=3,AQ41=7),"completo","parcial · "&amp;AQ41&amp;"/7 · D12-D15 "&amp;COUNT(NORMALIZADO!BV41:BY41)&amp;"/4"))</f>
        <v>sin dato</v>
      </c>
      <c r="AU41" t="str">
        <f>IF(CAPTURA!N41&lt;&gt;"",ISNUMBER(SEARCH("Rainforest",CAPTURA!N41))+ISNUMBER(SEARCH("Fairtrade",CAPTURA!N41))+ISNUMBER(SEARCH("Org",CAPTURA!N41))+ISNUMBER(SEARCH("UTZ",CAPTURA!N41))+ISNUMBER(SEARCH("Otr",CAPTURA!N41)),IF(AND(H41="",I41=""),"",IF(H41="SI",1,0)+IF(I41="SI",1,0)))</f>
        <v/>
      </c>
      <c r="AV41" t="str">
        <f t="shared" si="7"/>
        <v/>
      </c>
    </row>
    <row r="42" spans="1:48" ht="16.05" customHeight="1" x14ac:dyDescent="0.3">
      <c r="A42" t="s">
        <v>153</v>
      </c>
      <c r="B42" t="s">
        <v>154</v>
      </c>
      <c r="C42" t="s">
        <v>95</v>
      </c>
      <c r="D42" t="s">
        <v>65</v>
      </c>
      <c r="E42">
        <v>817000</v>
      </c>
      <c r="F42">
        <v>6</v>
      </c>
      <c r="G42" t="s">
        <v>58</v>
      </c>
      <c r="J42" t="s">
        <v>59</v>
      </c>
      <c r="L42">
        <v>408500</v>
      </c>
      <c r="M42">
        <f t="shared" si="3"/>
        <v>50</v>
      </c>
      <c r="N42" t="s">
        <v>60</v>
      </c>
      <c r="O42" t="str">
        <f t="shared" si="4"/>
        <v/>
      </c>
      <c r="P42" t="s">
        <v>60</v>
      </c>
      <c r="S42">
        <f t="shared" si="5"/>
        <v>50</v>
      </c>
      <c r="T42" t="str">
        <f>IF(NOT(ISNUMBER(S42)),"⬜  Sin dato PVE",IF(AND(COUNT(NORMALIZADO!BV42:BY42)&gt;=3,AQ42=7),IF(S42&lt;34,"🔴 Crítico",IF(S42&lt;67,"🟡 Vulnerable","🟢 Preparado")),"◐  Parcial · "&amp;AQ42&amp;"/7"))</f>
        <v>◐  Parcial · 1/7</v>
      </c>
      <c r="U42" s="53">
        <v>1</v>
      </c>
      <c r="V42" t="s">
        <v>61</v>
      </c>
      <c r="W42" t="str">
        <f>IF(NORMALIZADO!BV42="","",NORMALIZADO!BV42)</f>
        <v/>
      </c>
      <c r="X42" t="str">
        <f>IF(NORMALIZADO!BW42="","",NORMALIZADO!BW42)</f>
        <v/>
      </c>
      <c r="Y42" t="str">
        <f>IF(NORMALIZADO!BX42="","",NORMALIZADO!BX42)</f>
        <v/>
      </c>
      <c r="Z42" t="str">
        <f>IF(NORMALIZADO!BY42="","",NORMALIZADO!BY42)</f>
        <v/>
      </c>
      <c r="AO42" t="str">
        <f t="shared" si="6"/>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dato",IF(AND(COUNT(NORMALIZADO!BV42:BY42)&gt;=3,AQ42=7),"completo","parcial · "&amp;AQ42&amp;"/7 · D12-D15 "&amp;COUNT(NORMALIZADO!BV42:BY42)&amp;"/4"))</f>
        <v>parcial · 1/7 · D12-D15 0/4</v>
      </c>
      <c r="AU42" t="str">
        <f>IF(CAPTURA!N42&lt;&gt;"",ISNUMBER(SEARCH("Rainforest",CAPTURA!N42))+ISNUMBER(SEARCH("Fairtrade",CAPTURA!N42))+ISNUMBER(SEARCH("Org",CAPTURA!N42))+ISNUMBER(SEARCH("UTZ",CAPTURA!N42))+ISNUMBER(SEARCH("Otr",CAPTURA!N42)),IF(AND(H42="",I42=""),"",IF(H42="SI",1,0)+IF(I42="SI",1,0)))</f>
        <v/>
      </c>
      <c r="AV42" t="str">
        <f t="shared" si="7"/>
        <v/>
      </c>
    </row>
    <row r="43" spans="1:48" ht="16.05" customHeight="1" x14ac:dyDescent="0.3">
      <c r="A43" t="s">
        <v>155</v>
      </c>
      <c r="B43" t="s">
        <v>156</v>
      </c>
      <c r="C43" t="s">
        <v>69</v>
      </c>
      <c r="D43" t="s">
        <v>57</v>
      </c>
      <c r="G43" t="s">
        <v>66</v>
      </c>
      <c r="J43" t="s">
        <v>98</v>
      </c>
      <c r="M43" t="str">
        <f t="shared" si="3"/>
        <v/>
      </c>
      <c r="N43" t="s">
        <v>60</v>
      </c>
      <c r="O43" t="str">
        <f t="shared" si="4"/>
        <v/>
      </c>
      <c r="P43" t="s">
        <v>60</v>
      </c>
      <c r="S43" t="str">
        <f t="shared" si="5"/>
        <v>—</v>
      </c>
      <c r="T43" t="str">
        <f>IF(NOT(ISNUMBER(S43)),"⬜  Sin dato PVE",IF(AND(COUNT(NORMALIZADO!BV43:BY43)&gt;=3,AQ43=7),IF(S43&lt;34,"🔴 Crítico",IF(S43&lt;67,"🟡 Vulnerable","🟢 Preparado")),"◐  Parcial · "&amp;AQ43&amp;"/7"))</f>
        <v>⬜  Sin dato PVE</v>
      </c>
      <c r="U43" s="53">
        <v>1</v>
      </c>
      <c r="V43" t="s">
        <v>61</v>
      </c>
      <c r="W43" t="str">
        <f>IF(NORMALIZADO!BV43="","",NORMALIZADO!BV43)</f>
        <v/>
      </c>
      <c r="X43" t="str">
        <f>IF(NORMALIZADO!BW43="","",NORMALIZADO!BW43)</f>
        <v/>
      </c>
      <c r="Y43" t="str">
        <f>IF(NORMALIZADO!BX43="","",NORMALIZADO!BX43)</f>
        <v/>
      </c>
      <c r="Z43" t="str">
        <f>IF(NORMALIZADO!BY43="","",NORMALIZADO!BY43)</f>
        <v/>
      </c>
      <c r="AO43" t="str">
        <f t="shared" si="6"/>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dato",IF(AND(COUNT(NORMALIZADO!BV43:BY43)&gt;=3,AQ43=7),"completo","parcial · "&amp;AQ43&amp;"/7 · D12-D15 "&amp;COUNT(NORMALIZADO!BV43:BY43)&amp;"/4"))</f>
        <v>sin dato</v>
      </c>
      <c r="AU43" t="str">
        <f>IF(CAPTURA!N43&lt;&gt;"",ISNUMBER(SEARCH("Rainforest",CAPTURA!N43))+ISNUMBER(SEARCH("Fairtrade",CAPTURA!N43))+ISNUMBER(SEARCH("Org",CAPTURA!N43))+ISNUMBER(SEARCH("UTZ",CAPTURA!N43))+ISNUMBER(SEARCH("Otr",CAPTURA!N43)),IF(AND(H43="",I43=""),"",IF(H43="SI",1,0)+IF(I43="SI",1,0)))</f>
        <v/>
      </c>
      <c r="AV43" t="str">
        <f t="shared" si="7"/>
        <v/>
      </c>
    </row>
    <row r="44" spans="1:48" ht="16.05" customHeight="1" x14ac:dyDescent="0.3">
      <c r="A44" t="s">
        <v>157</v>
      </c>
      <c r="B44" t="s">
        <v>158</v>
      </c>
      <c r="C44" t="s">
        <v>69</v>
      </c>
      <c r="D44" t="s">
        <v>57</v>
      </c>
      <c r="G44" t="s">
        <v>66</v>
      </c>
      <c r="J44" t="s">
        <v>59</v>
      </c>
      <c r="M44" t="str">
        <f t="shared" si="3"/>
        <v/>
      </c>
      <c r="N44" t="s">
        <v>60</v>
      </c>
      <c r="O44" t="str">
        <f t="shared" si="4"/>
        <v/>
      </c>
      <c r="P44" t="s">
        <v>60</v>
      </c>
      <c r="S44" t="str">
        <f t="shared" si="5"/>
        <v>—</v>
      </c>
      <c r="T44" t="str">
        <f>IF(NOT(ISNUMBER(S44)),"⬜  Sin dato PVE",IF(AND(COUNT(NORMALIZADO!BV44:BY44)&gt;=3,AQ44=7),IF(S44&lt;34,"🔴 Crítico",IF(S44&lt;67,"🟡 Vulnerable","🟢 Preparado")),"◐  Parcial · "&amp;AQ44&amp;"/7"))</f>
        <v>⬜  Sin dato PVE</v>
      </c>
      <c r="U44" s="53">
        <v>1</v>
      </c>
      <c r="V44" t="s">
        <v>61</v>
      </c>
      <c r="W44" t="str">
        <f>IF(NORMALIZADO!BV44="","",NORMALIZADO!BV44)</f>
        <v/>
      </c>
      <c r="X44" t="str">
        <f>IF(NORMALIZADO!BW44="","",NORMALIZADO!BW44)</f>
        <v/>
      </c>
      <c r="Y44" t="str">
        <f>IF(NORMALIZADO!BX44="","",NORMALIZADO!BX44)</f>
        <v/>
      </c>
      <c r="Z44" t="str">
        <f>IF(NORMALIZADO!BY44="","",NORMALIZADO!BY44)</f>
        <v/>
      </c>
      <c r="AO44" t="str">
        <f t="shared" si="6"/>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dato",IF(AND(COUNT(NORMALIZADO!BV44:BY44)&gt;=3,AQ44=7),"completo","parcial · "&amp;AQ44&amp;"/7 · D12-D15 "&amp;COUNT(NORMALIZADO!BV44:BY44)&amp;"/4"))</f>
        <v>sin dato</v>
      </c>
      <c r="AU44" t="str">
        <f>IF(CAPTURA!N44&lt;&gt;"",ISNUMBER(SEARCH("Rainforest",CAPTURA!N44))+ISNUMBER(SEARCH("Fairtrade",CAPTURA!N44))+ISNUMBER(SEARCH("Org",CAPTURA!N44))+ISNUMBER(SEARCH("UTZ",CAPTURA!N44))+ISNUMBER(SEARCH("Otr",CAPTURA!N44)),IF(AND(H44="",I44=""),"",IF(H44="SI",1,0)+IF(I44="SI",1,0)))</f>
        <v/>
      </c>
      <c r="AV44" t="str">
        <f t="shared" si="7"/>
        <v/>
      </c>
    </row>
    <row r="45" spans="1:48" ht="16.05" customHeight="1" x14ac:dyDescent="0.3">
      <c r="A45" t="s">
        <v>159</v>
      </c>
      <c r="B45" t="s">
        <v>160</v>
      </c>
      <c r="C45" t="s">
        <v>69</v>
      </c>
      <c r="D45" t="s">
        <v>57</v>
      </c>
      <c r="E45">
        <v>13207692.050000001</v>
      </c>
      <c r="F45">
        <v>41</v>
      </c>
      <c r="G45" t="s">
        <v>58</v>
      </c>
      <c r="J45" t="s">
        <v>59</v>
      </c>
      <c r="L45">
        <v>6603846.0300000003</v>
      </c>
      <c r="M45">
        <f t="shared" si="3"/>
        <v>50</v>
      </c>
      <c r="N45" t="s">
        <v>60</v>
      </c>
      <c r="O45" t="str">
        <f t="shared" si="4"/>
        <v/>
      </c>
      <c r="P45" t="s">
        <v>60</v>
      </c>
      <c r="S45">
        <f t="shared" si="5"/>
        <v>50</v>
      </c>
      <c r="T45" t="str">
        <f>IF(NOT(ISNUMBER(S45)),"⬜  Sin dato PVE",IF(AND(COUNT(NORMALIZADO!BV45:BY45)&gt;=3,AQ45=7),IF(S45&lt;34,"🔴 Crítico",IF(S45&lt;67,"🟡 Vulnerable","🟢 Preparado")),"◐  Parcial · "&amp;AQ45&amp;"/7"))</f>
        <v>◐  Parcial · 2/7</v>
      </c>
      <c r="U45" s="53">
        <v>1</v>
      </c>
      <c r="V45" t="s">
        <v>61</v>
      </c>
      <c r="W45">
        <f>IF(NORMALIZADO!BV45="",1,NORMALIZADO!BV45)</f>
        <v>1</v>
      </c>
      <c r="X45" t="str">
        <f>IF(NORMALIZADO!BW45="","",NORMALIZADO!BW45)</f>
        <v/>
      </c>
      <c r="Y45" t="str">
        <f>IF(NORMALIZADO!BX45="","",NORMALIZADO!BX45)</f>
        <v/>
      </c>
      <c r="Z45" t="str">
        <f>IF(NORMALIZADO!BY45="","",NORMALIZADO!BY45)</f>
        <v/>
      </c>
      <c r="AO45" t="str">
        <f t="shared" si="6"/>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dato",IF(AND(COUNT(NORMALIZADO!BV45:BY45)&gt;=3,AQ45=7),"completo","parcial · "&amp;AQ45&amp;"/7 · D12-D15 "&amp;COUNT(NORMALIZADO!BV45:BY45)&amp;"/4"))</f>
        <v>parcial · 2/7 · D12-D15 0/4</v>
      </c>
      <c r="AU45" t="str">
        <f>IF(CAPTURA!N45&lt;&gt;"",ISNUMBER(SEARCH("Rainforest",CAPTURA!N45))+ISNUMBER(SEARCH("Fairtrade",CAPTURA!N45))+ISNUMBER(SEARCH("Org",CAPTURA!N45))+ISNUMBER(SEARCH("UTZ",CAPTURA!N45))+ISNUMBER(SEARCH("Otr",CAPTURA!N45)),IF(AND(H45="",I45=""),"",IF(H45="SI",1,0)+IF(I45="SI",1,0)))</f>
        <v/>
      </c>
      <c r="AV45" t="str">
        <f t="shared" si="7"/>
        <v/>
      </c>
    </row>
    <row r="46" spans="1:48" ht="16.05" customHeight="1" x14ac:dyDescent="0.3">
      <c r="A46" t="s">
        <v>161</v>
      </c>
      <c r="B46" t="s">
        <v>162</v>
      </c>
      <c r="C46" t="s">
        <v>69</v>
      </c>
      <c r="G46" t="s">
        <v>66</v>
      </c>
      <c r="J46" t="s">
        <v>98</v>
      </c>
      <c r="M46" t="str">
        <f t="shared" si="3"/>
        <v/>
      </c>
      <c r="N46" t="s">
        <v>60</v>
      </c>
      <c r="O46" t="str">
        <f t="shared" si="4"/>
        <v/>
      </c>
      <c r="P46" t="s">
        <v>60</v>
      </c>
      <c r="S46" t="str">
        <f t="shared" si="5"/>
        <v>—</v>
      </c>
      <c r="T46" t="str">
        <f>IF(NOT(ISNUMBER(S46)),"⬜  Sin dato PVE",IF(AND(COUNT(NORMALIZADO!BV46:BY46)&gt;=3,AQ46=7),IF(S46&lt;34,"🔴 Crítico",IF(S46&lt;67,"🟡 Vulnerable","🟢 Preparado")),"◐  Parcial · "&amp;AQ46&amp;"/7"))</f>
        <v>⬜  Sin dato PVE</v>
      </c>
      <c r="U46" s="53">
        <v>1</v>
      </c>
      <c r="V46" t="s">
        <v>61</v>
      </c>
      <c r="W46" t="str">
        <f>IF(NORMALIZADO!BV46="","",NORMALIZADO!BV46)</f>
        <v/>
      </c>
      <c r="X46" t="str">
        <f>IF(NORMALIZADO!BW46="","",NORMALIZADO!BW46)</f>
        <v/>
      </c>
      <c r="Y46" t="str">
        <f>IF(NORMALIZADO!BX46="","",NORMALIZADO!BX46)</f>
        <v/>
      </c>
      <c r="Z46" t="str">
        <f>IF(NORMALIZADO!BY46="","",NORMALIZADO!BY46)</f>
        <v/>
      </c>
      <c r="AO46" t="str">
        <f t="shared" si="6"/>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dato",IF(AND(COUNT(NORMALIZADO!BV46:BY46)&gt;=3,AQ46=7),"completo","parcial · "&amp;AQ46&amp;"/7 · D12-D15 "&amp;COUNT(NORMALIZADO!BV46:BY46)&amp;"/4"))</f>
        <v>sin dato</v>
      </c>
      <c r="AU46" t="str">
        <f>IF(CAPTURA!N46&lt;&gt;"",ISNUMBER(SEARCH("Rainforest",CAPTURA!N46))+ISNUMBER(SEARCH("Fairtrade",CAPTURA!N46))+ISNUMBER(SEARCH("Org",CAPTURA!N46))+ISNUMBER(SEARCH("UTZ",CAPTURA!N46))+ISNUMBER(SEARCH("Otr",CAPTURA!N46)),IF(AND(H46="",I46=""),"",IF(H46="SI",1,0)+IF(I46="SI",1,0)))</f>
        <v/>
      </c>
      <c r="AV46" t="str">
        <f t="shared" si="7"/>
        <v/>
      </c>
    </row>
    <row r="47" spans="1:48" ht="16.05" customHeight="1" x14ac:dyDescent="0.3">
      <c r="A47" t="s">
        <v>163</v>
      </c>
      <c r="B47" t="s">
        <v>164</v>
      </c>
      <c r="C47" t="s">
        <v>69</v>
      </c>
      <c r="D47" t="s">
        <v>65</v>
      </c>
      <c r="G47" t="s">
        <v>66</v>
      </c>
      <c r="J47" t="s">
        <v>59</v>
      </c>
      <c r="M47" t="str">
        <f t="shared" si="3"/>
        <v/>
      </c>
      <c r="N47" t="s">
        <v>60</v>
      </c>
      <c r="O47" t="str">
        <f t="shared" si="4"/>
        <v/>
      </c>
      <c r="P47" t="s">
        <v>60</v>
      </c>
      <c r="S47" t="str">
        <f t="shared" si="5"/>
        <v>—</v>
      </c>
      <c r="T47" t="str">
        <f>IF(NOT(ISNUMBER(S47)),"⬜  Sin dato PVE",IF(AND(COUNT(NORMALIZADO!BV47:BY47)&gt;=3,AQ47=7),IF(S47&lt;34,"🔴 Crítico",IF(S47&lt;67,"🟡 Vulnerable","🟢 Preparado")),"◐  Parcial · "&amp;AQ47&amp;"/7"))</f>
        <v>⬜  Sin dato PVE</v>
      </c>
      <c r="U47" s="53">
        <v>1</v>
      </c>
      <c r="V47" t="s">
        <v>61</v>
      </c>
      <c r="W47" t="str">
        <f>IF(NORMALIZADO!BV47="","",NORMALIZADO!BV47)</f>
        <v/>
      </c>
      <c r="X47" t="str">
        <f>IF(NORMALIZADO!BW47="","",NORMALIZADO!BW47)</f>
        <v/>
      </c>
      <c r="Y47" t="str">
        <f>IF(NORMALIZADO!BX47="","",NORMALIZADO!BX47)</f>
        <v/>
      </c>
      <c r="Z47" t="str">
        <f>IF(NORMALIZADO!BY47="","",NORMALIZADO!BY47)</f>
        <v/>
      </c>
      <c r="AO47" t="str">
        <f t="shared" si="6"/>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dato",IF(AND(COUNT(NORMALIZADO!BV47:BY47)&gt;=3,AQ47=7),"completo","parcial · "&amp;AQ47&amp;"/7 · D12-D15 "&amp;COUNT(NORMALIZADO!BV47:BY47)&amp;"/4"))</f>
        <v>sin dato</v>
      </c>
      <c r="AU47" t="str">
        <f>IF(CAPTURA!N47&lt;&gt;"",ISNUMBER(SEARCH("Rainforest",CAPTURA!N47))+ISNUMBER(SEARCH("Fairtrade",CAPTURA!N47))+ISNUMBER(SEARCH("Org",CAPTURA!N47))+ISNUMBER(SEARCH("UTZ",CAPTURA!N47))+ISNUMBER(SEARCH("Otr",CAPTURA!N47)),IF(AND(H47="",I47=""),"",IF(H47="SI",1,0)+IF(I47="SI",1,0)))</f>
        <v/>
      </c>
      <c r="AV47" t="str">
        <f t="shared" si="7"/>
        <v/>
      </c>
    </row>
    <row r="48" spans="1:48" ht="16.05" customHeight="1" x14ac:dyDescent="0.3">
      <c r="A48" t="s">
        <v>165</v>
      </c>
      <c r="B48" t="s">
        <v>166</v>
      </c>
      <c r="C48" t="s">
        <v>69</v>
      </c>
      <c r="D48" t="s">
        <v>65</v>
      </c>
      <c r="E48">
        <v>30342293.079999998</v>
      </c>
      <c r="F48">
        <v>108</v>
      </c>
      <c r="G48" t="s">
        <v>58</v>
      </c>
      <c r="J48" t="s">
        <v>59</v>
      </c>
      <c r="L48">
        <v>15171146.539999999</v>
      </c>
      <c r="M48">
        <f t="shared" si="3"/>
        <v>50</v>
      </c>
      <c r="N48" t="s">
        <v>60</v>
      </c>
      <c r="O48" t="str">
        <f t="shared" si="4"/>
        <v/>
      </c>
      <c r="P48" t="s">
        <v>60</v>
      </c>
      <c r="S48">
        <f t="shared" si="5"/>
        <v>50</v>
      </c>
      <c r="T48" t="str">
        <f>IF(NOT(ISNUMBER(S48)),"⬜  Sin dato PVE",IF(AND(COUNT(NORMALIZADO!BV48:BY48)&gt;=3,AQ48=7),IF(S48&lt;34,"🔴 Crítico",IF(S48&lt;67,"🟡 Vulnerable","🟢 Preparado")),"◐  Parcial · "&amp;AQ48&amp;"/7"))</f>
        <v>◐  Parcial · 2/7</v>
      </c>
      <c r="U48" s="53">
        <v>1</v>
      </c>
      <c r="V48" t="s">
        <v>61</v>
      </c>
      <c r="W48">
        <f>IF(NORMALIZADO!BV48="",1,NORMALIZADO!BV48)</f>
        <v>1</v>
      </c>
      <c r="X48" t="str">
        <f>IF(NORMALIZADO!BW48="","",NORMALIZADO!BW48)</f>
        <v/>
      </c>
      <c r="Y48" t="str">
        <f>IF(NORMALIZADO!BX48="","",NORMALIZADO!BX48)</f>
        <v/>
      </c>
      <c r="Z48" t="str">
        <f>IF(NORMALIZADO!BY48="","",NORMALIZADO!BY48)</f>
        <v/>
      </c>
      <c r="AO48" t="str">
        <f t="shared" si="6"/>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dato",IF(AND(COUNT(NORMALIZADO!BV48:BY48)&gt;=3,AQ48=7),"completo","parcial · "&amp;AQ48&amp;"/7 · D12-D15 "&amp;COUNT(NORMALIZADO!BV48:BY48)&amp;"/4"))</f>
        <v>parcial · 2/7 · D12-D15 0/4</v>
      </c>
      <c r="AU48" t="str">
        <f>IF(CAPTURA!N48&lt;&gt;"",ISNUMBER(SEARCH("Rainforest",CAPTURA!N48))+ISNUMBER(SEARCH("Fairtrade",CAPTURA!N48))+ISNUMBER(SEARCH("Org",CAPTURA!N48))+ISNUMBER(SEARCH("UTZ",CAPTURA!N48))+ISNUMBER(SEARCH("Otr",CAPTURA!N48)),IF(AND(H48="",I48=""),"",IF(H48="SI",1,0)+IF(I48="SI",1,0)))</f>
        <v/>
      </c>
      <c r="AV48" t="str">
        <f t="shared" si="7"/>
        <v/>
      </c>
    </row>
    <row r="49" spans="1:48" ht="16.05" customHeight="1" x14ac:dyDescent="0.3">
      <c r="A49" t="s">
        <v>167</v>
      </c>
      <c r="B49" t="s">
        <v>168</v>
      </c>
      <c r="C49" t="s">
        <v>69</v>
      </c>
      <c r="D49" t="s">
        <v>65</v>
      </c>
      <c r="E49">
        <v>2290978.7000000002</v>
      </c>
      <c r="F49">
        <v>10</v>
      </c>
      <c r="G49" t="s">
        <v>58</v>
      </c>
      <c r="J49" t="s">
        <v>59</v>
      </c>
      <c r="L49">
        <v>1145489.3500000001</v>
      </c>
      <c r="M49">
        <f t="shared" si="3"/>
        <v>50</v>
      </c>
      <c r="N49" t="s">
        <v>60</v>
      </c>
      <c r="O49" t="str">
        <f t="shared" si="4"/>
        <v/>
      </c>
      <c r="P49" t="s">
        <v>60</v>
      </c>
      <c r="S49">
        <f t="shared" si="5"/>
        <v>50</v>
      </c>
      <c r="T49" t="str">
        <f>IF(NOT(ISNUMBER(S49)),"⬜  Sin dato PVE",IF(AND(COUNT(NORMALIZADO!BV49:BY49)&gt;=3,AQ49=7),IF(S49&lt;34,"🔴 Crítico",IF(S49&lt;67,"🟡 Vulnerable","🟢 Preparado")),"◐  Parcial · "&amp;AQ49&amp;"/7"))</f>
        <v>◐  Parcial · 2/7</v>
      </c>
      <c r="U49" s="53">
        <v>1</v>
      </c>
      <c r="V49" t="s">
        <v>61</v>
      </c>
      <c r="W49">
        <f>IF(NORMALIZADO!BV49="",1,NORMALIZADO!BV49)</f>
        <v>1</v>
      </c>
      <c r="X49" t="str">
        <f>IF(NORMALIZADO!BW49="","",NORMALIZADO!BW49)</f>
        <v/>
      </c>
      <c r="Y49" t="str">
        <f>IF(NORMALIZADO!BX49="","",NORMALIZADO!BX49)</f>
        <v/>
      </c>
      <c r="Z49" t="str">
        <f>IF(NORMALIZADO!BY49="","",NORMALIZADO!BY49)</f>
        <v/>
      </c>
      <c r="AO49" t="str">
        <f t="shared" si="6"/>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dato",IF(AND(COUNT(NORMALIZADO!BV49:BY49)&gt;=3,AQ49=7),"completo","parcial · "&amp;AQ49&amp;"/7 · D12-D15 "&amp;COUNT(NORMALIZADO!BV49:BY49)&amp;"/4"))</f>
        <v>parcial · 2/7 · D12-D15 0/4</v>
      </c>
      <c r="AU49" t="str">
        <f>IF(CAPTURA!N49&lt;&gt;"",ISNUMBER(SEARCH("Rainforest",CAPTURA!N49))+ISNUMBER(SEARCH("Fairtrade",CAPTURA!N49))+ISNUMBER(SEARCH("Org",CAPTURA!N49))+ISNUMBER(SEARCH("UTZ",CAPTURA!N49))+ISNUMBER(SEARCH("Otr",CAPTURA!N49)),IF(AND(H49="",I49=""),"",IF(H49="SI",1,0)+IF(I49="SI",1,0)))</f>
        <v/>
      </c>
      <c r="AV49" t="str">
        <f t="shared" si="7"/>
        <v/>
      </c>
    </row>
    <row r="50" spans="1:48" ht="16.05" customHeight="1" x14ac:dyDescent="0.3">
      <c r="A50" t="s">
        <v>169</v>
      </c>
      <c r="B50" t="s">
        <v>170</v>
      </c>
      <c r="C50" t="s">
        <v>171</v>
      </c>
      <c r="D50" t="s">
        <v>57</v>
      </c>
      <c r="G50" t="s">
        <v>66</v>
      </c>
      <c r="J50" t="s">
        <v>116</v>
      </c>
      <c r="M50" t="str">
        <f t="shared" si="3"/>
        <v/>
      </c>
      <c r="N50" t="s">
        <v>60</v>
      </c>
      <c r="O50" t="str">
        <f t="shared" si="4"/>
        <v/>
      </c>
      <c r="P50" t="s">
        <v>60</v>
      </c>
      <c r="S50" t="str">
        <f t="shared" si="5"/>
        <v>—</v>
      </c>
      <c r="T50" t="str">
        <f>IF(NOT(ISNUMBER(S50)),"⬜  Sin dato PVE",IF(AND(COUNT(NORMALIZADO!BV50:BY50)&gt;=3,AQ50=7),IF(S50&lt;34,"🔴 Crítico",IF(S50&lt;67,"🟡 Vulnerable","🟢 Preparado")),"◐  Parcial · "&amp;AQ50&amp;"/7"))</f>
        <v>⬜  Sin dato PVE</v>
      </c>
      <c r="U50" s="53">
        <v>1</v>
      </c>
      <c r="V50" t="s">
        <v>61</v>
      </c>
      <c r="W50" t="str">
        <f>IF(NORMALIZADO!BV50="","",NORMALIZADO!BV50)</f>
        <v/>
      </c>
      <c r="X50" t="str">
        <f>IF(NORMALIZADO!BW50="","",NORMALIZADO!BW50)</f>
        <v/>
      </c>
      <c r="Y50" t="str">
        <f>IF(NORMALIZADO!BX50="","",NORMALIZADO!BX50)</f>
        <v/>
      </c>
      <c r="Z50" t="str">
        <f>IF(NORMALIZADO!BY50="","",NORMALIZADO!BY50)</f>
        <v/>
      </c>
      <c r="AO50" t="str">
        <f t="shared" si="6"/>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dato",IF(AND(COUNT(NORMALIZADO!BV50:BY50)&gt;=3,AQ50=7),"completo","parcial · "&amp;AQ50&amp;"/7 · D12-D15 "&amp;COUNT(NORMALIZADO!BV50:BY50)&amp;"/4"))</f>
        <v>sin dato</v>
      </c>
      <c r="AU50" t="str">
        <f>IF(CAPTURA!N50&lt;&gt;"",ISNUMBER(SEARCH("Rainforest",CAPTURA!N50))+ISNUMBER(SEARCH("Fairtrade",CAPTURA!N50))+ISNUMBER(SEARCH("Org",CAPTURA!N50))+ISNUMBER(SEARCH("UTZ",CAPTURA!N50))+ISNUMBER(SEARCH("Otr",CAPTURA!N50)),IF(AND(H50="",I50=""),"",IF(H50="SI",1,0)+IF(I50="SI",1,0)))</f>
        <v/>
      </c>
      <c r="AV50" t="str">
        <f t="shared" si="7"/>
        <v/>
      </c>
    </row>
    <row r="51" spans="1:48" ht="16.05" customHeight="1" x14ac:dyDescent="0.3">
      <c r="A51" t="s">
        <v>172</v>
      </c>
      <c r="B51" t="s">
        <v>173</v>
      </c>
      <c r="C51" t="s">
        <v>142</v>
      </c>
      <c r="D51" t="s">
        <v>65</v>
      </c>
      <c r="G51" t="s">
        <v>66</v>
      </c>
      <c r="J51" t="s">
        <v>59</v>
      </c>
      <c r="M51" t="str">
        <f t="shared" si="3"/>
        <v/>
      </c>
      <c r="N51" t="s">
        <v>60</v>
      </c>
      <c r="O51" t="str">
        <f t="shared" si="4"/>
        <v/>
      </c>
      <c r="P51" t="s">
        <v>60</v>
      </c>
      <c r="S51" t="str">
        <f t="shared" si="5"/>
        <v>—</v>
      </c>
      <c r="T51" t="str">
        <f>IF(NOT(ISNUMBER(S51)),"⬜  Sin dato PVE",IF(AND(COUNT(NORMALIZADO!BV51:BY51)&gt;=3,AQ51=7),IF(S51&lt;34,"🔴 Crítico",IF(S51&lt;67,"🟡 Vulnerable","🟢 Preparado")),"◐  Parcial · "&amp;AQ51&amp;"/7"))</f>
        <v>⬜  Sin dato PVE</v>
      </c>
      <c r="U51" s="53">
        <v>1</v>
      </c>
      <c r="V51" t="s">
        <v>61</v>
      </c>
      <c r="W51" t="str">
        <f>IF(NORMALIZADO!BV51="","",NORMALIZADO!BV51)</f>
        <v/>
      </c>
      <c r="X51" t="str">
        <f>IF(NORMALIZADO!BW51="","",NORMALIZADO!BW51)</f>
        <v/>
      </c>
      <c r="Y51" t="str">
        <f>IF(NORMALIZADO!BX51="","",NORMALIZADO!BX51)</f>
        <v/>
      </c>
      <c r="Z51" t="str">
        <f>IF(NORMALIZADO!BY51="","",NORMALIZADO!BY51)</f>
        <v/>
      </c>
      <c r="AO51" t="str">
        <f t="shared" si="6"/>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dato",IF(AND(COUNT(NORMALIZADO!BV51:BY51)&gt;=3,AQ51=7),"completo","parcial · "&amp;AQ51&amp;"/7 · D12-D15 "&amp;COUNT(NORMALIZADO!BV51:BY51)&amp;"/4"))</f>
        <v>sin dato</v>
      </c>
      <c r="AU51" t="str">
        <f>IF(CAPTURA!N51&lt;&gt;"",ISNUMBER(SEARCH("Rainforest",CAPTURA!N51))+ISNUMBER(SEARCH("Fairtrade",CAPTURA!N51))+ISNUMBER(SEARCH("Org",CAPTURA!N51))+ISNUMBER(SEARCH("UTZ",CAPTURA!N51))+ISNUMBER(SEARCH("Otr",CAPTURA!N51)),IF(AND(H51="",I51=""),"",IF(H51="SI",1,0)+IF(I51="SI",1,0)))</f>
        <v/>
      </c>
      <c r="AV51" t="str">
        <f t="shared" si="7"/>
        <v/>
      </c>
    </row>
    <row r="52" spans="1:48" ht="16.05" customHeight="1" x14ac:dyDescent="0.3">
      <c r="A52" t="s">
        <v>174</v>
      </c>
      <c r="B52" t="s">
        <v>175</v>
      </c>
      <c r="C52" t="s">
        <v>72</v>
      </c>
      <c r="D52" t="s">
        <v>65</v>
      </c>
      <c r="G52" t="s">
        <v>66</v>
      </c>
      <c r="J52" t="s">
        <v>59</v>
      </c>
      <c r="M52" t="str">
        <f t="shared" si="3"/>
        <v/>
      </c>
      <c r="N52" t="s">
        <v>60</v>
      </c>
      <c r="O52" t="str">
        <f t="shared" si="4"/>
        <v/>
      </c>
      <c r="P52" t="s">
        <v>60</v>
      </c>
      <c r="S52" t="str">
        <f t="shared" si="5"/>
        <v>—</v>
      </c>
      <c r="T52" t="str">
        <f>IF(NOT(ISNUMBER(S52)),"⬜  Sin dato PVE",IF(AND(COUNT(NORMALIZADO!BV52:BY52)&gt;=3,AQ52=7),IF(S52&lt;34,"🔴 Crítico",IF(S52&lt;67,"🟡 Vulnerable","🟢 Preparado")),"◐  Parcial · "&amp;AQ52&amp;"/7"))</f>
        <v>⬜  Sin dato PVE</v>
      </c>
      <c r="U52" s="53">
        <v>1</v>
      </c>
      <c r="V52" t="s">
        <v>61</v>
      </c>
      <c r="W52" t="str">
        <f>IF(NORMALIZADO!BV52="","",NORMALIZADO!BV52)</f>
        <v/>
      </c>
      <c r="X52" t="str">
        <f>IF(NORMALIZADO!BW52="","",NORMALIZADO!BW52)</f>
        <v/>
      </c>
      <c r="Y52" t="str">
        <f>IF(NORMALIZADO!BX52="","",NORMALIZADO!BX52)</f>
        <v/>
      </c>
      <c r="Z52" t="str">
        <f>IF(NORMALIZADO!BY52="","",NORMALIZADO!BY52)</f>
        <v/>
      </c>
      <c r="AO52" t="str">
        <f t="shared" si="6"/>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dato",IF(AND(COUNT(NORMALIZADO!BV52:BY52)&gt;=3,AQ52=7),"completo","parcial · "&amp;AQ52&amp;"/7 · D12-D15 "&amp;COUNT(NORMALIZADO!BV52:BY52)&amp;"/4"))</f>
        <v>sin dato</v>
      </c>
      <c r="AU52" t="str">
        <f>IF(CAPTURA!N52&lt;&gt;"",ISNUMBER(SEARCH("Rainforest",CAPTURA!N52))+ISNUMBER(SEARCH("Fairtrade",CAPTURA!N52))+ISNUMBER(SEARCH("Org",CAPTURA!N52))+ISNUMBER(SEARCH("UTZ",CAPTURA!N52))+ISNUMBER(SEARCH("Otr",CAPTURA!N52)),IF(AND(H52="",I52=""),"",IF(H52="SI",1,0)+IF(I52="SI",1,0)))</f>
        <v/>
      </c>
      <c r="AV52" t="str">
        <f t="shared" si="7"/>
        <v/>
      </c>
    </row>
    <row r="53" spans="1:48" ht="16.05" customHeight="1" x14ac:dyDescent="0.3">
      <c r="A53" t="s">
        <v>176</v>
      </c>
      <c r="B53" t="s">
        <v>177</v>
      </c>
      <c r="C53" t="s">
        <v>131</v>
      </c>
      <c r="D53" t="s">
        <v>65</v>
      </c>
      <c r="G53" t="s">
        <v>66</v>
      </c>
      <c r="J53" t="s">
        <v>59</v>
      </c>
      <c r="M53" t="str">
        <f t="shared" si="3"/>
        <v/>
      </c>
      <c r="N53" t="s">
        <v>60</v>
      </c>
      <c r="O53" t="str">
        <f t="shared" si="4"/>
        <v/>
      </c>
      <c r="P53" t="s">
        <v>60</v>
      </c>
      <c r="S53" t="str">
        <f t="shared" si="5"/>
        <v>—</v>
      </c>
      <c r="T53" t="str">
        <f>IF(NOT(ISNUMBER(S53)),"⬜  Sin dato PVE",IF(AND(COUNT(NORMALIZADO!BV53:BY53)&gt;=3,AQ53=7),IF(S53&lt;34,"🔴 Crítico",IF(S53&lt;67,"🟡 Vulnerable","🟢 Preparado")),"◐  Parcial · "&amp;AQ53&amp;"/7"))</f>
        <v>⬜  Sin dato PVE</v>
      </c>
      <c r="U53" s="53">
        <v>1</v>
      </c>
      <c r="V53" t="s">
        <v>61</v>
      </c>
      <c r="W53" t="str">
        <f>IF(NORMALIZADO!BV53="","",NORMALIZADO!BV53)</f>
        <v/>
      </c>
      <c r="X53" t="str">
        <f>IF(NORMALIZADO!BW53="","",NORMALIZADO!BW53)</f>
        <v/>
      </c>
      <c r="Y53" t="str">
        <f>IF(NORMALIZADO!BX53="","",NORMALIZADO!BX53)</f>
        <v/>
      </c>
      <c r="Z53" t="str">
        <f>IF(NORMALIZADO!BY53="","",NORMALIZADO!BY53)</f>
        <v/>
      </c>
      <c r="AO53" t="str">
        <f t="shared" si="6"/>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dato",IF(AND(COUNT(NORMALIZADO!BV53:BY53)&gt;=3,AQ53=7),"completo","parcial · "&amp;AQ53&amp;"/7 · D12-D15 "&amp;COUNT(NORMALIZADO!BV53:BY53)&amp;"/4"))</f>
        <v>sin dato</v>
      </c>
      <c r="AU53" t="str">
        <f>IF(CAPTURA!N53&lt;&gt;"",ISNUMBER(SEARCH("Rainforest",CAPTURA!N53))+ISNUMBER(SEARCH("Fairtrade",CAPTURA!N53))+ISNUMBER(SEARCH("Org",CAPTURA!N53))+ISNUMBER(SEARCH("UTZ",CAPTURA!N53))+ISNUMBER(SEARCH("Otr",CAPTURA!N53)),IF(AND(H53="",I53=""),"",IF(H53="SI",1,0)+IF(I53="SI",1,0)))</f>
        <v/>
      </c>
      <c r="AV53" t="str">
        <f t="shared" si="7"/>
        <v/>
      </c>
    </row>
    <row r="54" spans="1:48" ht="16.05" customHeight="1" x14ac:dyDescent="0.3">
      <c r="A54" t="s">
        <v>178</v>
      </c>
      <c r="B54" t="s">
        <v>179</v>
      </c>
      <c r="C54" t="s">
        <v>131</v>
      </c>
      <c r="D54" t="s">
        <v>65</v>
      </c>
      <c r="G54" t="s">
        <v>66</v>
      </c>
      <c r="J54" t="s">
        <v>98</v>
      </c>
      <c r="M54" t="str">
        <f t="shared" si="3"/>
        <v/>
      </c>
      <c r="N54" t="s">
        <v>60</v>
      </c>
      <c r="O54" t="str">
        <f t="shared" si="4"/>
        <v/>
      </c>
      <c r="P54" t="s">
        <v>60</v>
      </c>
      <c r="S54" t="str">
        <f t="shared" si="5"/>
        <v>—</v>
      </c>
      <c r="T54" t="str">
        <f>IF(NOT(ISNUMBER(S54)),"⬜  Sin dato PVE",IF(AND(COUNT(NORMALIZADO!BV54:BY54)&gt;=3,AQ54=7),IF(S54&lt;34,"🔴 Crítico",IF(S54&lt;67,"🟡 Vulnerable","🟢 Preparado")),"◐  Parcial · "&amp;AQ54&amp;"/7"))</f>
        <v>⬜  Sin dato PVE</v>
      </c>
      <c r="U54" s="53">
        <v>1</v>
      </c>
      <c r="V54" t="s">
        <v>61</v>
      </c>
      <c r="W54" t="str">
        <f>IF(NORMALIZADO!BV54="","",NORMALIZADO!BV54)</f>
        <v/>
      </c>
      <c r="X54" t="str">
        <f>IF(NORMALIZADO!BW54="","",NORMALIZADO!BW54)</f>
        <v/>
      </c>
      <c r="Y54" t="str">
        <f>IF(NORMALIZADO!BX54="","",NORMALIZADO!BX54)</f>
        <v/>
      </c>
      <c r="Z54" t="str">
        <f>IF(NORMALIZADO!BY54="","",NORMALIZADO!BY54)</f>
        <v/>
      </c>
      <c r="AO54" t="str">
        <f t="shared" si="6"/>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dato",IF(AND(COUNT(NORMALIZADO!BV54:BY54)&gt;=3,AQ54=7),"completo","parcial · "&amp;AQ54&amp;"/7 · D12-D15 "&amp;COUNT(NORMALIZADO!BV54:BY54)&amp;"/4"))</f>
        <v>sin dato</v>
      </c>
      <c r="AU54" t="str">
        <f>IF(CAPTURA!N54&lt;&gt;"",ISNUMBER(SEARCH("Rainforest",CAPTURA!N54))+ISNUMBER(SEARCH("Fairtrade",CAPTURA!N54))+ISNUMBER(SEARCH("Org",CAPTURA!N54))+ISNUMBER(SEARCH("UTZ",CAPTURA!N54))+ISNUMBER(SEARCH("Otr",CAPTURA!N54)),IF(AND(H54="",I54=""),"",IF(H54="SI",1,0)+IF(I54="SI",1,0)))</f>
        <v/>
      </c>
      <c r="AV54" t="str">
        <f t="shared" si="7"/>
        <v/>
      </c>
    </row>
    <row r="55" spans="1:48" ht="16.05" customHeight="1" x14ac:dyDescent="0.3">
      <c r="A55" t="s">
        <v>180</v>
      </c>
      <c r="B55" t="s">
        <v>181</v>
      </c>
      <c r="C55" t="s">
        <v>131</v>
      </c>
      <c r="D55" t="s">
        <v>65</v>
      </c>
      <c r="G55" t="s">
        <v>66</v>
      </c>
      <c r="J55" t="s">
        <v>59</v>
      </c>
      <c r="M55" t="str">
        <f t="shared" si="3"/>
        <v/>
      </c>
      <c r="N55" t="s">
        <v>60</v>
      </c>
      <c r="O55" t="str">
        <f t="shared" si="4"/>
        <v/>
      </c>
      <c r="P55" t="s">
        <v>60</v>
      </c>
      <c r="S55" t="str">
        <f t="shared" si="5"/>
        <v>—</v>
      </c>
      <c r="T55" t="str">
        <f>IF(NOT(ISNUMBER(S55)),"⬜  Sin dato PVE",IF(AND(COUNT(NORMALIZADO!BV55:BY55)&gt;=3,AQ55=7),IF(S55&lt;34,"🔴 Crítico",IF(S55&lt;67,"🟡 Vulnerable","🟢 Preparado")),"◐  Parcial · "&amp;AQ55&amp;"/7"))</f>
        <v>⬜  Sin dato PVE</v>
      </c>
      <c r="U55" s="53">
        <v>1</v>
      </c>
      <c r="V55" t="s">
        <v>61</v>
      </c>
      <c r="W55" t="str">
        <f>IF(NORMALIZADO!BV55="","",NORMALIZADO!BV55)</f>
        <v/>
      </c>
      <c r="X55" t="str">
        <f>IF(NORMALIZADO!BW55="","",NORMALIZADO!BW55)</f>
        <v/>
      </c>
      <c r="Y55" t="str">
        <f>IF(NORMALIZADO!BX55="","",NORMALIZADO!BX55)</f>
        <v/>
      </c>
      <c r="Z55" t="str">
        <f>IF(NORMALIZADO!BY55="","",NORMALIZADO!BY55)</f>
        <v/>
      </c>
      <c r="AO55" t="str">
        <f t="shared" si="6"/>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dato",IF(AND(COUNT(NORMALIZADO!BV55:BY55)&gt;=3,AQ55=7),"completo","parcial · "&amp;AQ55&amp;"/7 · D12-D15 "&amp;COUNT(NORMALIZADO!BV55:BY55)&amp;"/4"))</f>
        <v>sin dato</v>
      </c>
      <c r="AU55" t="str">
        <f>IF(CAPTURA!N55&lt;&gt;"",ISNUMBER(SEARCH("Rainforest",CAPTURA!N55))+ISNUMBER(SEARCH("Fairtrade",CAPTURA!N55))+ISNUMBER(SEARCH("Org",CAPTURA!N55))+ISNUMBER(SEARCH("UTZ",CAPTURA!N55))+ISNUMBER(SEARCH("Otr",CAPTURA!N55)),IF(AND(H55="",I55=""),"",IF(H55="SI",1,0)+IF(I55="SI",1,0)))</f>
        <v/>
      </c>
      <c r="AV55" t="str">
        <f t="shared" si="7"/>
        <v/>
      </c>
    </row>
    <row r="56" spans="1:48" ht="16.05" customHeight="1" x14ac:dyDescent="0.3">
      <c r="A56" t="s">
        <v>182</v>
      </c>
      <c r="B56" t="s">
        <v>183</v>
      </c>
      <c r="C56" t="s">
        <v>184</v>
      </c>
      <c r="D56" t="s">
        <v>65</v>
      </c>
      <c r="G56" t="s">
        <v>66</v>
      </c>
      <c r="J56" t="s">
        <v>59</v>
      </c>
      <c r="M56" t="str">
        <f t="shared" si="3"/>
        <v/>
      </c>
      <c r="N56" t="s">
        <v>60</v>
      </c>
      <c r="O56" t="str">
        <f t="shared" si="4"/>
        <v/>
      </c>
      <c r="P56" t="s">
        <v>60</v>
      </c>
      <c r="S56" t="str">
        <f t="shared" si="5"/>
        <v>—</v>
      </c>
      <c r="T56" t="str">
        <f>IF(NOT(ISNUMBER(S56)),"⬜  Sin dato PVE",IF(AND(COUNT(NORMALIZADO!BV56:BY56)&gt;=3,AQ56=7),IF(S56&lt;34,"🔴 Crítico",IF(S56&lt;67,"🟡 Vulnerable","🟢 Preparado")),"◐  Parcial · "&amp;AQ56&amp;"/7"))</f>
        <v>⬜  Sin dato PVE</v>
      </c>
      <c r="U56" s="53">
        <v>1</v>
      </c>
      <c r="V56" t="s">
        <v>61</v>
      </c>
      <c r="W56" t="str">
        <f>IF(NORMALIZADO!BV56="","",NORMALIZADO!BV56)</f>
        <v/>
      </c>
      <c r="X56" t="str">
        <f>IF(NORMALIZADO!BW56="","",NORMALIZADO!BW56)</f>
        <v/>
      </c>
      <c r="Y56" t="str">
        <f>IF(NORMALIZADO!BX56="","",NORMALIZADO!BX56)</f>
        <v/>
      </c>
      <c r="Z56" t="str">
        <f>IF(NORMALIZADO!BY56="","",NORMALIZADO!BY56)</f>
        <v/>
      </c>
      <c r="AO56" t="str">
        <f t="shared" si="6"/>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dato",IF(AND(COUNT(NORMALIZADO!BV56:BY56)&gt;=3,AQ56=7),"completo","parcial · "&amp;AQ56&amp;"/7 · D12-D15 "&amp;COUNT(NORMALIZADO!BV56:BY56)&amp;"/4"))</f>
        <v>sin dato</v>
      </c>
      <c r="AU56" t="str">
        <f>IF(CAPTURA!N56&lt;&gt;"",ISNUMBER(SEARCH("Rainforest",CAPTURA!N56))+ISNUMBER(SEARCH("Fairtrade",CAPTURA!N56))+ISNUMBER(SEARCH("Org",CAPTURA!N56))+ISNUMBER(SEARCH("UTZ",CAPTURA!N56))+ISNUMBER(SEARCH("Otr",CAPTURA!N56)),IF(AND(H56="",I56=""),"",IF(H56="SI",1,0)+IF(I56="SI",1,0)))</f>
        <v/>
      </c>
      <c r="AV56" t="str">
        <f t="shared" si="7"/>
        <v/>
      </c>
    </row>
    <row r="57" spans="1:48" ht="16.05" customHeight="1" x14ac:dyDescent="0.3">
      <c r="A57" t="s">
        <v>185</v>
      </c>
      <c r="B57" t="s">
        <v>186</v>
      </c>
      <c r="C57" t="s">
        <v>72</v>
      </c>
      <c r="D57" t="s">
        <v>65</v>
      </c>
      <c r="G57" t="s">
        <v>66</v>
      </c>
      <c r="J57" t="s">
        <v>59</v>
      </c>
      <c r="M57" t="str">
        <f t="shared" si="3"/>
        <v/>
      </c>
      <c r="N57" t="s">
        <v>60</v>
      </c>
      <c r="O57" t="str">
        <f t="shared" si="4"/>
        <v/>
      </c>
      <c r="P57" t="s">
        <v>60</v>
      </c>
      <c r="S57" t="str">
        <f t="shared" si="5"/>
        <v>—</v>
      </c>
      <c r="T57" t="str">
        <f>IF(NOT(ISNUMBER(S57)),"⬜  Sin dato PVE",IF(AND(COUNT(NORMALIZADO!BV57:BY57)&gt;=3,AQ57=7),IF(S57&lt;34,"🔴 Crítico",IF(S57&lt;67,"🟡 Vulnerable","🟢 Preparado")),"◐  Parcial · "&amp;AQ57&amp;"/7"))</f>
        <v>⬜  Sin dato PVE</v>
      </c>
      <c r="U57" s="53">
        <v>1</v>
      </c>
      <c r="V57" t="s">
        <v>61</v>
      </c>
      <c r="W57" t="str">
        <f>IF(NORMALIZADO!BV57="","",NORMALIZADO!BV57)</f>
        <v/>
      </c>
      <c r="X57" t="str">
        <f>IF(NORMALIZADO!BW57="","",NORMALIZADO!BW57)</f>
        <v/>
      </c>
      <c r="Y57" t="str">
        <f>IF(NORMALIZADO!BX57="","",NORMALIZADO!BX57)</f>
        <v/>
      </c>
      <c r="Z57" t="str">
        <f>IF(NORMALIZADO!BY57="","",NORMALIZADO!BY57)</f>
        <v/>
      </c>
      <c r="AO57" t="str">
        <f t="shared" si="6"/>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dato",IF(AND(COUNT(NORMALIZADO!BV57:BY57)&gt;=3,AQ57=7),"completo","parcial · "&amp;AQ57&amp;"/7 · D12-D15 "&amp;COUNT(NORMALIZADO!BV57:BY57)&amp;"/4"))</f>
        <v>sin dato</v>
      </c>
      <c r="AU57" t="str">
        <f>IF(CAPTURA!N57&lt;&gt;"",ISNUMBER(SEARCH("Rainforest",CAPTURA!N57))+ISNUMBER(SEARCH("Fairtrade",CAPTURA!N57))+ISNUMBER(SEARCH("Org",CAPTURA!N57))+ISNUMBER(SEARCH("UTZ",CAPTURA!N57))+ISNUMBER(SEARCH("Otr",CAPTURA!N57)),IF(AND(H57="",I57=""),"",IF(H57="SI",1,0)+IF(I57="SI",1,0)))</f>
        <v/>
      </c>
      <c r="AV57" t="str">
        <f t="shared" si="7"/>
        <v/>
      </c>
    </row>
    <row r="58" spans="1:48" ht="16.05" customHeight="1" x14ac:dyDescent="0.3">
      <c r="A58" t="s">
        <v>187</v>
      </c>
      <c r="B58" t="s">
        <v>188</v>
      </c>
      <c r="C58" t="s">
        <v>95</v>
      </c>
      <c r="D58" t="s">
        <v>65</v>
      </c>
      <c r="E58">
        <v>105840</v>
      </c>
      <c r="F58">
        <v>7</v>
      </c>
      <c r="G58" t="s">
        <v>58</v>
      </c>
      <c r="J58" t="s">
        <v>59</v>
      </c>
      <c r="L58">
        <v>52920</v>
      </c>
      <c r="M58">
        <f t="shared" si="3"/>
        <v>50</v>
      </c>
      <c r="N58" t="s">
        <v>60</v>
      </c>
      <c r="O58" t="str">
        <f t="shared" si="4"/>
        <v/>
      </c>
      <c r="P58" t="s">
        <v>60</v>
      </c>
      <c r="S58">
        <f t="shared" si="5"/>
        <v>50</v>
      </c>
      <c r="T58" t="str">
        <f>IF(NOT(ISNUMBER(S58)),"⬜  Sin dato PVE",IF(AND(COUNT(NORMALIZADO!BV58:BY58)&gt;=3,AQ58=7),IF(S58&lt;34,"🔴 Crítico",IF(S58&lt;67,"🟡 Vulnerable","🟢 Preparado")),"◐  Parcial · "&amp;AQ58&amp;"/7"))</f>
        <v>◐  Parcial · 1/7</v>
      </c>
      <c r="U58" s="53">
        <v>1</v>
      </c>
      <c r="V58" t="s">
        <v>61</v>
      </c>
      <c r="W58" t="str">
        <f>IF(NORMALIZADO!BV58="","",NORMALIZADO!BV58)</f>
        <v/>
      </c>
      <c r="X58" t="str">
        <f>IF(NORMALIZADO!BW58="","",NORMALIZADO!BW58)</f>
        <v/>
      </c>
      <c r="Y58" t="str">
        <f>IF(NORMALIZADO!BX58="","",NORMALIZADO!BX58)</f>
        <v/>
      </c>
      <c r="Z58" t="str">
        <f>IF(NORMALIZADO!BY58="","",NORMALIZADO!BY58)</f>
        <v/>
      </c>
      <c r="AO58" t="str">
        <f t="shared" si="6"/>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dato",IF(AND(COUNT(NORMALIZADO!BV58:BY58)&gt;=3,AQ58=7),"completo","parcial · "&amp;AQ58&amp;"/7 · D12-D15 "&amp;COUNT(NORMALIZADO!BV58:BY58)&amp;"/4"))</f>
        <v>parcial · 1/7 · D12-D15 0/4</v>
      </c>
      <c r="AU58" t="str">
        <f>IF(CAPTURA!N58&lt;&gt;"",ISNUMBER(SEARCH("Rainforest",CAPTURA!N58))+ISNUMBER(SEARCH("Fairtrade",CAPTURA!N58))+ISNUMBER(SEARCH("Org",CAPTURA!N58))+ISNUMBER(SEARCH("UTZ",CAPTURA!N58))+ISNUMBER(SEARCH("Otr",CAPTURA!N58)),IF(AND(H58="",I58=""),"",IF(H58="SI",1,0)+IF(I58="SI",1,0)))</f>
        <v/>
      </c>
      <c r="AV58" t="str">
        <f t="shared" si="7"/>
        <v/>
      </c>
    </row>
    <row r="59" spans="1:48" ht="16.05" customHeight="1" x14ac:dyDescent="0.3">
      <c r="A59" t="s">
        <v>189</v>
      </c>
      <c r="B59" t="s">
        <v>190</v>
      </c>
      <c r="C59" t="s">
        <v>95</v>
      </c>
      <c r="D59" t="s">
        <v>65</v>
      </c>
      <c r="G59" t="s">
        <v>66</v>
      </c>
      <c r="J59" t="s">
        <v>116</v>
      </c>
      <c r="M59" t="str">
        <f t="shared" si="3"/>
        <v/>
      </c>
      <c r="N59" t="s">
        <v>60</v>
      </c>
      <c r="O59" t="str">
        <f t="shared" si="4"/>
        <v/>
      </c>
      <c r="P59" t="s">
        <v>60</v>
      </c>
      <c r="S59" t="str">
        <f t="shared" si="5"/>
        <v>—</v>
      </c>
      <c r="T59" t="str">
        <f>IF(NOT(ISNUMBER(S59)),"⬜  Sin dato PVE",IF(AND(COUNT(NORMALIZADO!BV59:BY59)&gt;=3,AQ59=7),IF(S59&lt;34,"🔴 Crítico",IF(S59&lt;67,"🟡 Vulnerable","🟢 Preparado")),"◐  Parcial · "&amp;AQ59&amp;"/7"))</f>
        <v>⬜  Sin dato PVE</v>
      </c>
      <c r="U59" s="53">
        <v>1</v>
      </c>
      <c r="V59" t="s">
        <v>61</v>
      </c>
      <c r="W59" t="str">
        <f>IF(NORMALIZADO!BV59="","",NORMALIZADO!BV59)</f>
        <v/>
      </c>
      <c r="X59" t="str">
        <f>IF(NORMALIZADO!BW59="","",NORMALIZADO!BW59)</f>
        <v/>
      </c>
      <c r="Y59" t="str">
        <f>IF(NORMALIZADO!BX59="","",NORMALIZADO!BX59)</f>
        <v/>
      </c>
      <c r="Z59" t="str">
        <f>IF(NORMALIZADO!BY59="","",NORMALIZADO!BY59)</f>
        <v/>
      </c>
      <c r="AO59" t="str">
        <f t="shared" si="6"/>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dato",IF(AND(COUNT(NORMALIZADO!BV59:BY59)&gt;=3,AQ59=7),"completo","parcial · "&amp;AQ59&amp;"/7 · D12-D15 "&amp;COUNT(NORMALIZADO!BV59:BY59)&amp;"/4"))</f>
        <v>sin dato</v>
      </c>
      <c r="AU59" t="str">
        <f>IF(CAPTURA!N59&lt;&gt;"",ISNUMBER(SEARCH("Rainforest",CAPTURA!N59))+ISNUMBER(SEARCH("Fairtrade",CAPTURA!N59))+ISNUMBER(SEARCH("Org",CAPTURA!N59))+ISNUMBER(SEARCH("UTZ",CAPTURA!N59))+ISNUMBER(SEARCH("Otr",CAPTURA!N59)),IF(AND(H59="",I59=""),"",IF(H59="SI",1,0)+IF(I59="SI",1,0)))</f>
        <v/>
      </c>
      <c r="AV59" t="str">
        <f t="shared" si="7"/>
        <v/>
      </c>
    </row>
    <row r="60" spans="1:48" ht="16.05" customHeight="1" x14ac:dyDescent="0.3">
      <c r="A60" t="s">
        <v>191</v>
      </c>
      <c r="B60" t="s">
        <v>192</v>
      </c>
      <c r="C60" t="s">
        <v>193</v>
      </c>
      <c r="D60" t="s">
        <v>57</v>
      </c>
      <c r="E60">
        <v>10746930.949999999</v>
      </c>
      <c r="F60">
        <v>59</v>
      </c>
      <c r="G60" t="s">
        <v>58</v>
      </c>
      <c r="J60" t="s">
        <v>59</v>
      </c>
      <c r="L60">
        <v>5373465.4699999997</v>
      </c>
      <c r="M60">
        <f t="shared" si="3"/>
        <v>50</v>
      </c>
      <c r="N60" t="s">
        <v>60</v>
      </c>
      <c r="O60" t="str">
        <f t="shared" si="4"/>
        <v/>
      </c>
      <c r="P60" t="s">
        <v>60</v>
      </c>
      <c r="S60">
        <f t="shared" si="5"/>
        <v>50</v>
      </c>
      <c r="T60" t="str">
        <f>IF(NOT(ISNUMBER(S60)),"⬜  Sin dato PVE",IF(AND(COUNT(NORMALIZADO!BV60:BY60)&gt;=3,AQ60=7),IF(S60&lt;34,"🔴 Crítico",IF(S60&lt;67,"🟡 Vulnerable","🟢 Preparado")),"◐  Parcial · "&amp;AQ60&amp;"/7"))</f>
        <v>◐  Parcial · 2/7</v>
      </c>
      <c r="U60" s="53">
        <v>1</v>
      </c>
      <c r="V60" t="s">
        <v>61</v>
      </c>
      <c r="W60">
        <f>IF(NORMALIZADO!BV60="",1,NORMALIZADO!BV60)</f>
        <v>1</v>
      </c>
      <c r="X60" t="str">
        <f>IF(NORMALIZADO!BW60="","",NORMALIZADO!BW60)</f>
        <v/>
      </c>
      <c r="Y60" t="str">
        <f>IF(NORMALIZADO!BX60="","",NORMALIZADO!BX60)</f>
        <v/>
      </c>
      <c r="Z60" t="str">
        <f>IF(NORMALIZADO!BY60="","",NORMALIZADO!BY60)</f>
        <v/>
      </c>
      <c r="AO60" t="str">
        <f t="shared" si="6"/>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dato",IF(AND(COUNT(NORMALIZADO!BV60:BY60)&gt;=3,AQ60=7),"completo","parcial · "&amp;AQ60&amp;"/7 · D12-D15 "&amp;COUNT(NORMALIZADO!BV60:BY60)&amp;"/4"))</f>
        <v>parcial · 2/7 · D12-D15 0/4</v>
      </c>
      <c r="AU60" t="str">
        <f>IF(CAPTURA!N60&lt;&gt;"",ISNUMBER(SEARCH("Rainforest",CAPTURA!N60))+ISNUMBER(SEARCH("Fairtrade",CAPTURA!N60))+ISNUMBER(SEARCH("Org",CAPTURA!N60))+ISNUMBER(SEARCH("UTZ",CAPTURA!N60))+ISNUMBER(SEARCH("Otr",CAPTURA!N60)),IF(AND(H60="",I60=""),"",IF(H60="SI",1,0)+IF(I60="SI",1,0)))</f>
        <v/>
      </c>
      <c r="AV60" t="str">
        <f t="shared" si="7"/>
        <v/>
      </c>
    </row>
    <row r="61" spans="1:48" ht="16.05" customHeight="1" x14ac:dyDescent="0.3">
      <c r="A61" t="s">
        <v>194</v>
      </c>
      <c r="B61" t="s">
        <v>195</v>
      </c>
      <c r="C61" t="s">
        <v>111</v>
      </c>
      <c r="D61" t="s">
        <v>57</v>
      </c>
      <c r="G61" t="s">
        <v>66</v>
      </c>
      <c r="J61" t="s">
        <v>59</v>
      </c>
      <c r="M61" t="str">
        <f t="shared" si="3"/>
        <v/>
      </c>
      <c r="N61" t="s">
        <v>60</v>
      </c>
      <c r="O61" t="str">
        <f t="shared" si="4"/>
        <v/>
      </c>
      <c r="P61" t="s">
        <v>60</v>
      </c>
      <c r="S61" t="str">
        <f t="shared" si="5"/>
        <v>—</v>
      </c>
      <c r="T61" t="str">
        <f>IF(NOT(ISNUMBER(S61)),"⬜  Sin dato PVE",IF(AND(COUNT(NORMALIZADO!BV61:BY61)&gt;=3,AQ61=7),IF(S61&lt;34,"🔴 Crítico",IF(S61&lt;67,"🟡 Vulnerable","🟢 Preparado")),"◐  Parcial · "&amp;AQ61&amp;"/7"))</f>
        <v>⬜  Sin dato PVE</v>
      </c>
      <c r="U61" s="53">
        <v>1</v>
      </c>
      <c r="V61" t="s">
        <v>61</v>
      </c>
      <c r="W61" t="str">
        <f>IF(NORMALIZADO!BV61="","",NORMALIZADO!BV61)</f>
        <v/>
      </c>
      <c r="X61" t="str">
        <f>IF(NORMALIZADO!BW61="","",NORMALIZADO!BW61)</f>
        <v/>
      </c>
      <c r="Y61" t="str">
        <f>IF(NORMALIZADO!BX61="","",NORMALIZADO!BX61)</f>
        <v/>
      </c>
      <c r="Z61" t="str">
        <f>IF(NORMALIZADO!BY61="","",NORMALIZADO!BY61)</f>
        <v/>
      </c>
      <c r="AO61" t="str">
        <f t="shared" si="6"/>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dato",IF(AND(COUNT(NORMALIZADO!BV61:BY61)&gt;=3,AQ61=7),"completo","parcial · "&amp;AQ61&amp;"/7 · D12-D15 "&amp;COUNT(NORMALIZADO!BV61:BY61)&amp;"/4"))</f>
        <v>sin dato</v>
      </c>
      <c r="AU61" t="str">
        <f>IF(CAPTURA!N61&lt;&gt;"",ISNUMBER(SEARCH("Rainforest",CAPTURA!N61))+ISNUMBER(SEARCH("Fairtrade",CAPTURA!N61))+ISNUMBER(SEARCH("Org",CAPTURA!N61))+ISNUMBER(SEARCH("UTZ",CAPTURA!N61))+ISNUMBER(SEARCH("Otr",CAPTURA!N61)),IF(AND(H61="",I61=""),"",IF(H61="SI",1,0)+IF(I61="SI",1,0)))</f>
        <v/>
      </c>
      <c r="AV61" t="str">
        <f t="shared" si="7"/>
        <v/>
      </c>
    </row>
    <row r="62" spans="1:48" ht="16.05" customHeight="1" x14ac:dyDescent="0.3">
      <c r="A62" t="s">
        <v>196</v>
      </c>
      <c r="B62" t="s">
        <v>197</v>
      </c>
      <c r="C62" t="s">
        <v>95</v>
      </c>
      <c r="D62" t="s">
        <v>57</v>
      </c>
      <c r="G62" t="s">
        <v>66</v>
      </c>
      <c r="J62" t="s">
        <v>116</v>
      </c>
      <c r="M62" t="str">
        <f t="shared" si="3"/>
        <v/>
      </c>
      <c r="N62" t="s">
        <v>60</v>
      </c>
      <c r="O62" t="str">
        <f t="shared" si="4"/>
        <v/>
      </c>
      <c r="P62" t="s">
        <v>60</v>
      </c>
      <c r="S62" t="str">
        <f t="shared" si="5"/>
        <v>—</v>
      </c>
      <c r="T62" t="str">
        <f>IF(NOT(ISNUMBER(S62)),"⬜  Sin dato PVE",IF(AND(COUNT(NORMALIZADO!BV62:BY62)&gt;=3,AQ62=7),IF(S62&lt;34,"🔴 Crítico",IF(S62&lt;67,"🟡 Vulnerable","🟢 Preparado")),"◐  Parcial · "&amp;AQ62&amp;"/7"))</f>
        <v>⬜  Sin dato PVE</v>
      </c>
      <c r="U62" s="53">
        <v>1</v>
      </c>
      <c r="V62" t="s">
        <v>61</v>
      </c>
      <c r="W62" t="str">
        <f>IF(NORMALIZADO!BV62="","",NORMALIZADO!BV62)</f>
        <v/>
      </c>
      <c r="X62" t="str">
        <f>IF(NORMALIZADO!BW62="","",NORMALIZADO!BW62)</f>
        <v/>
      </c>
      <c r="Y62" t="str">
        <f>IF(NORMALIZADO!BX62="","",NORMALIZADO!BX62)</f>
        <v/>
      </c>
      <c r="Z62" t="str">
        <f>IF(NORMALIZADO!BY62="","",NORMALIZADO!BY62)</f>
        <v/>
      </c>
      <c r="AO62" t="str">
        <f t="shared" si="6"/>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dato",IF(AND(COUNT(NORMALIZADO!BV62:BY62)&gt;=3,AQ62=7),"completo","parcial · "&amp;AQ62&amp;"/7 · D12-D15 "&amp;COUNT(NORMALIZADO!BV62:BY62)&amp;"/4"))</f>
        <v>sin dato</v>
      </c>
      <c r="AU62" t="str">
        <f>IF(CAPTURA!N62&lt;&gt;"",ISNUMBER(SEARCH("Rainforest",CAPTURA!N62))+ISNUMBER(SEARCH("Fairtrade",CAPTURA!N62))+ISNUMBER(SEARCH("Org",CAPTURA!N62))+ISNUMBER(SEARCH("UTZ",CAPTURA!N62))+ISNUMBER(SEARCH("Otr",CAPTURA!N62)),IF(AND(H62="",I62=""),"",IF(H62="SI",1,0)+IF(I62="SI",1,0)))</f>
        <v/>
      </c>
      <c r="AV62" t="str">
        <f t="shared" si="7"/>
        <v/>
      </c>
    </row>
    <row r="63" spans="1:48" ht="16.05" customHeight="1" x14ac:dyDescent="0.3">
      <c r="A63" t="s">
        <v>198</v>
      </c>
      <c r="B63" t="s">
        <v>199</v>
      </c>
      <c r="C63" t="s">
        <v>95</v>
      </c>
      <c r="D63" t="s">
        <v>57</v>
      </c>
      <c r="G63" t="s">
        <v>66</v>
      </c>
      <c r="J63" t="s">
        <v>116</v>
      </c>
      <c r="M63" t="str">
        <f t="shared" si="3"/>
        <v/>
      </c>
      <c r="N63" t="s">
        <v>60</v>
      </c>
      <c r="O63" t="str">
        <f t="shared" si="4"/>
        <v/>
      </c>
      <c r="P63" t="s">
        <v>60</v>
      </c>
      <c r="S63" t="str">
        <f t="shared" si="5"/>
        <v>—</v>
      </c>
      <c r="T63" t="str">
        <f>IF(NOT(ISNUMBER(S63)),"⬜  Sin dato PVE",IF(AND(COUNT(NORMALIZADO!BV63:BY63)&gt;=3,AQ63=7),IF(S63&lt;34,"🔴 Crítico",IF(S63&lt;67,"🟡 Vulnerable","🟢 Preparado")),"◐  Parcial · "&amp;AQ63&amp;"/7"))</f>
        <v>⬜  Sin dato PVE</v>
      </c>
      <c r="U63" s="53">
        <v>1</v>
      </c>
      <c r="V63" t="s">
        <v>61</v>
      </c>
      <c r="W63" t="str">
        <f>IF(NORMALIZADO!BV63="","",NORMALIZADO!BV63)</f>
        <v/>
      </c>
      <c r="X63" t="str">
        <f>IF(NORMALIZADO!BW63="","",NORMALIZADO!BW63)</f>
        <v/>
      </c>
      <c r="Y63" t="str">
        <f>IF(NORMALIZADO!BX63="","",NORMALIZADO!BX63)</f>
        <v/>
      </c>
      <c r="Z63" t="str">
        <f>IF(NORMALIZADO!BY63="","",NORMALIZADO!BY63)</f>
        <v/>
      </c>
      <c r="AO63" t="str">
        <f t="shared" si="6"/>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dato",IF(AND(COUNT(NORMALIZADO!BV63:BY63)&gt;=3,AQ63=7),"completo","parcial · "&amp;AQ63&amp;"/7 · D12-D15 "&amp;COUNT(NORMALIZADO!BV63:BY63)&amp;"/4"))</f>
        <v>sin dato</v>
      </c>
      <c r="AU63" t="str">
        <f>IF(CAPTURA!N63&lt;&gt;"",ISNUMBER(SEARCH("Rainforest",CAPTURA!N63))+ISNUMBER(SEARCH("Fairtrade",CAPTURA!N63))+ISNUMBER(SEARCH("Org",CAPTURA!N63))+ISNUMBER(SEARCH("UTZ",CAPTURA!N63))+ISNUMBER(SEARCH("Otr",CAPTURA!N63)),IF(AND(H63="",I63=""),"",IF(H63="SI",1,0)+IF(I63="SI",1,0)))</f>
        <v/>
      </c>
      <c r="AV63" t="str">
        <f t="shared" si="7"/>
        <v/>
      </c>
    </row>
    <row r="64" spans="1:48" ht="16.05" customHeight="1" x14ac:dyDescent="0.3">
      <c r="A64" t="s">
        <v>200</v>
      </c>
      <c r="B64" t="s">
        <v>201</v>
      </c>
      <c r="C64" t="s">
        <v>131</v>
      </c>
      <c r="D64" t="s">
        <v>57</v>
      </c>
      <c r="G64" t="s">
        <v>66</v>
      </c>
      <c r="J64" t="s">
        <v>59</v>
      </c>
      <c r="M64" t="str">
        <f t="shared" si="3"/>
        <v/>
      </c>
      <c r="N64" t="s">
        <v>60</v>
      </c>
      <c r="O64" t="str">
        <f t="shared" si="4"/>
        <v/>
      </c>
      <c r="P64" t="s">
        <v>60</v>
      </c>
      <c r="S64" t="str">
        <f t="shared" si="5"/>
        <v>—</v>
      </c>
      <c r="T64" t="str">
        <f>IF(NOT(ISNUMBER(S64)),"⬜  Sin dato PVE",IF(AND(COUNT(NORMALIZADO!BV64:BY64)&gt;=3,AQ64=7),IF(S64&lt;34,"🔴 Crítico",IF(S64&lt;67,"🟡 Vulnerable","🟢 Preparado")),"◐  Parcial · "&amp;AQ64&amp;"/7"))</f>
        <v>⬜  Sin dato PVE</v>
      </c>
      <c r="U64" s="53">
        <v>1</v>
      </c>
      <c r="V64" t="s">
        <v>61</v>
      </c>
      <c r="W64" t="str">
        <f>IF(NORMALIZADO!BV64="","",NORMALIZADO!BV64)</f>
        <v/>
      </c>
      <c r="X64" t="str">
        <f>IF(NORMALIZADO!BW64="","",NORMALIZADO!BW64)</f>
        <v/>
      </c>
      <c r="Y64" t="str">
        <f>IF(NORMALIZADO!BX64="","",NORMALIZADO!BX64)</f>
        <v/>
      </c>
      <c r="Z64" t="str">
        <f>IF(NORMALIZADO!BY64="","",NORMALIZADO!BY64)</f>
        <v/>
      </c>
      <c r="AO64" t="str">
        <f t="shared" si="6"/>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dato",IF(AND(COUNT(NORMALIZADO!BV64:BY64)&gt;=3,AQ64=7),"completo","parcial · "&amp;AQ64&amp;"/7 · D12-D15 "&amp;COUNT(NORMALIZADO!BV64:BY64)&amp;"/4"))</f>
        <v>sin dato</v>
      </c>
      <c r="AU64" t="str">
        <f>IF(CAPTURA!N64&lt;&gt;"",ISNUMBER(SEARCH("Rainforest",CAPTURA!N64))+ISNUMBER(SEARCH("Fairtrade",CAPTURA!N64))+ISNUMBER(SEARCH("Org",CAPTURA!N64))+ISNUMBER(SEARCH("UTZ",CAPTURA!N64))+ISNUMBER(SEARCH("Otr",CAPTURA!N64)),IF(AND(H64="",I64=""),"",IF(H64="SI",1,0)+IF(I64="SI",1,0)))</f>
        <v/>
      </c>
      <c r="AV64" t="str">
        <f t="shared" si="7"/>
        <v/>
      </c>
    </row>
    <row r="65" spans="1:48" ht="16.05" customHeight="1" x14ac:dyDescent="0.3">
      <c r="A65" t="s">
        <v>202</v>
      </c>
      <c r="B65" t="s">
        <v>203</v>
      </c>
      <c r="C65" t="s">
        <v>131</v>
      </c>
      <c r="D65" t="s">
        <v>65</v>
      </c>
      <c r="E65">
        <v>1984.05</v>
      </c>
      <c r="F65">
        <v>1</v>
      </c>
      <c r="G65" t="s">
        <v>58</v>
      </c>
      <c r="J65" t="s">
        <v>59</v>
      </c>
      <c r="L65">
        <v>0</v>
      </c>
      <c r="M65">
        <f t="shared" si="3"/>
        <v>0</v>
      </c>
      <c r="N65" t="s">
        <v>60</v>
      </c>
      <c r="O65" t="str">
        <f t="shared" si="4"/>
        <v/>
      </c>
      <c r="P65" t="s">
        <v>60</v>
      </c>
      <c r="S65">
        <f t="shared" si="5"/>
        <v>0</v>
      </c>
      <c r="T65" t="str">
        <f>IF(NOT(ISNUMBER(S65)),"⬜  Sin dato PVE",IF(AND(COUNT(NORMALIZADO!BV65:BY65)&gt;=3,AQ65=7),IF(S65&lt;34,"🔴 Crítico",IF(S65&lt;67,"🟡 Vulnerable","🟢 Preparado")),"◐  Parcial · "&amp;AQ65&amp;"/7"))</f>
        <v>◐  Parcial · 1/7</v>
      </c>
      <c r="U65" s="53">
        <v>1</v>
      </c>
      <c r="V65" t="s">
        <v>61</v>
      </c>
      <c r="W65" t="str">
        <f>IF(NORMALIZADO!BV65="","",NORMALIZADO!BV65)</f>
        <v/>
      </c>
      <c r="X65" t="str">
        <f>IF(NORMALIZADO!BW65="","",NORMALIZADO!BW65)</f>
        <v/>
      </c>
      <c r="Y65" t="str">
        <f>IF(NORMALIZADO!BX65="","",NORMALIZADO!BX65)</f>
        <v/>
      </c>
      <c r="Z65" t="str">
        <f>IF(NORMALIZADO!BY65="","",NORMALIZADO!BY65)</f>
        <v/>
      </c>
      <c r="AO65" t="str">
        <f t="shared" si="6"/>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dato",IF(AND(COUNT(NORMALIZADO!BV65:BY65)&gt;=3,AQ65=7),"completo","parcial · "&amp;AQ65&amp;"/7 · D12-D15 "&amp;COUNT(NORMALIZADO!BV65:BY65)&amp;"/4"))</f>
        <v>parcial · 1/7 · D12-D15 0/4</v>
      </c>
      <c r="AU65" t="str">
        <f>IF(CAPTURA!N65&lt;&gt;"",ISNUMBER(SEARCH("Rainforest",CAPTURA!N65))+ISNUMBER(SEARCH("Fairtrade",CAPTURA!N65))+ISNUMBER(SEARCH("Org",CAPTURA!N65))+ISNUMBER(SEARCH("UTZ",CAPTURA!N65))+ISNUMBER(SEARCH("Otr",CAPTURA!N65)),IF(AND(H65="",I65=""),"",IF(H65="SI",1,0)+IF(I65="SI",1,0)))</f>
        <v/>
      </c>
      <c r="AV65" t="str">
        <f t="shared" si="7"/>
        <v/>
      </c>
    </row>
    <row r="66" spans="1:48" ht="16.05" customHeight="1" x14ac:dyDescent="0.3">
      <c r="A66" t="s">
        <v>204</v>
      </c>
      <c r="B66" t="s">
        <v>205</v>
      </c>
      <c r="C66" t="s">
        <v>72</v>
      </c>
      <c r="D66" t="s">
        <v>57</v>
      </c>
      <c r="G66" t="s">
        <v>66</v>
      </c>
      <c r="J66" t="s">
        <v>59</v>
      </c>
      <c r="M66" t="str">
        <f t="shared" si="3"/>
        <v/>
      </c>
      <c r="N66" t="s">
        <v>60</v>
      </c>
      <c r="O66" t="str">
        <f t="shared" si="4"/>
        <v/>
      </c>
      <c r="P66" t="s">
        <v>60</v>
      </c>
      <c r="S66" t="str">
        <f t="shared" si="5"/>
        <v>—</v>
      </c>
      <c r="T66" t="str">
        <f>IF(NOT(ISNUMBER(S66)),"⬜  Sin dato PVE",IF(AND(COUNT(NORMALIZADO!BV66:BY66)&gt;=3,AQ66=7),IF(S66&lt;34,"🔴 Crítico",IF(S66&lt;67,"🟡 Vulnerable","🟢 Preparado")),"◐  Parcial · "&amp;AQ66&amp;"/7"))</f>
        <v>⬜  Sin dato PVE</v>
      </c>
      <c r="U66" s="53">
        <v>1</v>
      </c>
      <c r="V66" t="s">
        <v>61</v>
      </c>
      <c r="W66" t="str">
        <f>IF(NORMALIZADO!BV66="","",NORMALIZADO!BV66)</f>
        <v/>
      </c>
      <c r="X66" t="str">
        <f>IF(NORMALIZADO!BW66="","",NORMALIZADO!BW66)</f>
        <v/>
      </c>
      <c r="Y66" t="str">
        <f>IF(NORMALIZADO!BX66="","",NORMALIZADO!BX66)</f>
        <v/>
      </c>
      <c r="Z66" t="str">
        <f>IF(NORMALIZADO!BY66="","",NORMALIZADO!BY66)</f>
        <v/>
      </c>
      <c r="AO66" t="str">
        <f t="shared" si="6"/>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dato",IF(AND(COUNT(NORMALIZADO!BV66:BY66)&gt;=3,AQ66=7),"completo","parcial · "&amp;AQ66&amp;"/7 · D12-D15 "&amp;COUNT(NORMALIZADO!BV66:BY66)&amp;"/4"))</f>
        <v>sin dato</v>
      </c>
      <c r="AU66" t="str">
        <f>IF(CAPTURA!N66&lt;&gt;"",ISNUMBER(SEARCH("Rainforest",CAPTURA!N66))+ISNUMBER(SEARCH("Fairtrade",CAPTURA!N66))+ISNUMBER(SEARCH("Org",CAPTURA!N66))+ISNUMBER(SEARCH("UTZ",CAPTURA!N66))+ISNUMBER(SEARCH("Otr",CAPTURA!N66)),IF(AND(H66="",I66=""),"",IF(H66="SI",1,0)+IF(I66="SI",1,0)))</f>
        <v/>
      </c>
      <c r="AV66" t="str">
        <f t="shared" si="7"/>
        <v/>
      </c>
    </row>
    <row r="67" spans="1:48" ht="16.05" customHeight="1" x14ac:dyDescent="0.3">
      <c r="A67" t="s">
        <v>206</v>
      </c>
      <c r="B67" t="s">
        <v>207</v>
      </c>
      <c r="C67" t="s">
        <v>104</v>
      </c>
      <c r="D67" t="s">
        <v>57</v>
      </c>
      <c r="G67" t="s">
        <v>66</v>
      </c>
      <c r="J67" t="s">
        <v>59</v>
      </c>
      <c r="M67" t="str">
        <f t="shared" si="3"/>
        <v/>
      </c>
      <c r="N67" t="s">
        <v>60</v>
      </c>
      <c r="O67" t="str">
        <f t="shared" si="4"/>
        <v/>
      </c>
      <c r="P67" t="s">
        <v>60</v>
      </c>
      <c r="S67" t="str">
        <f t="shared" ref="S67:S98" si="8">IFERROR(ROUND(AP67*100,1),"—")</f>
        <v>—</v>
      </c>
      <c r="T67" t="str">
        <f>IF(NOT(ISNUMBER(S67)),"⬜  Sin dato PVE",IF(AND(COUNT(NORMALIZADO!BV67:BY67)&gt;=3,AQ67=7),IF(S67&lt;34,"🔴 Crítico",IF(S67&lt;67,"🟡 Vulnerable","🟢 Preparado")),"◐  Parcial · "&amp;AQ67&amp;"/7"))</f>
        <v>⬜  Sin dato PVE</v>
      </c>
      <c r="U67" s="53">
        <v>1</v>
      </c>
      <c r="V67" t="s">
        <v>61</v>
      </c>
      <c r="W67" t="str">
        <f>IF(NORMALIZADO!BV67="","",NORMALIZADO!BV67)</f>
        <v/>
      </c>
      <c r="X67" t="str">
        <f>IF(NORMALIZADO!BW67="","",NORMALIZADO!BW67)</f>
        <v/>
      </c>
      <c r="Y67" t="str">
        <f>IF(NORMALIZADO!BX67="","",NORMALIZADO!BX67)</f>
        <v/>
      </c>
      <c r="Z67" t="str">
        <f>IF(NORMALIZADO!BY67="","",NORMALIZADO!BY67)</f>
        <v/>
      </c>
      <c r="AO67" t="str">
        <f t="shared" ref="AO67:AO98" si="9">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dato",IF(AND(COUNT(NORMALIZADO!BV67:BY67)&gt;=3,AQ67=7),"completo","parcial · "&amp;AQ67&amp;"/7 · D12-D15 "&amp;COUNT(NORMALIZADO!BV67:BY67)&amp;"/4"))</f>
        <v>sin dato</v>
      </c>
      <c r="AU67" t="str">
        <f>IF(CAPTURA!N67&lt;&gt;"",ISNUMBER(SEARCH("Rainforest",CAPTURA!N67))+ISNUMBER(SEARCH("Fairtrade",CAPTURA!N67))+ISNUMBER(SEARCH("Org",CAPTURA!N67))+ISNUMBER(SEARCH("UTZ",CAPTURA!N67))+ISNUMBER(SEARCH("Otr",CAPTURA!N67)),IF(AND(H67="",I67=""),"",IF(H67="SI",1,0)+IF(I67="SI",1,0)))</f>
        <v/>
      </c>
      <c r="AV67" t="str">
        <f t="shared" ref="AV67:AV98" si="10">IF(AU67="","",CHOOSE(MIN(3,AU67)+1,0,33,66,100))</f>
        <v/>
      </c>
    </row>
    <row r="68" spans="1:48" ht="16.05" customHeight="1" x14ac:dyDescent="0.3">
      <c r="A68" t="s">
        <v>208</v>
      </c>
      <c r="B68" t="s">
        <v>209</v>
      </c>
      <c r="C68" t="s">
        <v>104</v>
      </c>
      <c r="D68" t="s">
        <v>57</v>
      </c>
      <c r="G68" t="s">
        <v>66</v>
      </c>
      <c r="J68" t="s">
        <v>59</v>
      </c>
      <c r="M68" t="str">
        <f t="shared" ref="M68:M131" si="11">IF(E68&gt;0,ROUND(L68/E68*100,1),"")</f>
        <v/>
      </c>
      <c r="N68" t="s">
        <v>60</v>
      </c>
      <c r="O68" t="str">
        <f t="shared" ref="O68:O131" si="12">IF(AND(H68="",I68=""),"",IF(H68="SI",1,0)*0.6+IF(I68="SI",1,0)*0.4)</f>
        <v/>
      </c>
      <c r="P68" t="s">
        <v>60</v>
      </c>
      <c r="S68" t="str">
        <f t="shared" si="8"/>
        <v>—</v>
      </c>
      <c r="T68" t="str">
        <f>IF(NOT(ISNUMBER(S68)),"⬜  Sin dato PVE",IF(AND(COUNT(NORMALIZADO!BV68:BY68)&gt;=3,AQ68=7),IF(S68&lt;34,"🔴 Crítico",IF(S68&lt;67,"🟡 Vulnerable","🟢 Preparado")),"◐  Parcial · "&amp;AQ68&amp;"/7"))</f>
        <v>⬜  Sin dato PVE</v>
      </c>
      <c r="U68" s="53">
        <v>1</v>
      </c>
      <c r="V68" t="s">
        <v>61</v>
      </c>
      <c r="W68" t="str">
        <f>IF(NORMALIZADO!BV68="","",NORMALIZADO!BV68)</f>
        <v/>
      </c>
      <c r="X68" t="str">
        <f>IF(NORMALIZADO!BW68="","",NORMALIZADO!BW68)</f>
        <v/>
      </c>
      <c r="Y68" t="str">
        <f>IF(NORMALIZADO!BX68="","",NORMALIZADO!BX68)</f>
        <v/>
      </c>
      <c r="Z68" t="str">
        <f>IF(NORMALIZADO!BY68="","",NORMALIZADO!BY68)</f>
        <v/>
      </c>
      <c r="AO68" t="str">
        <f t="shared" si="9"/>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dato",IF(AND(COUNT(NORMALIZADO!BV68:BY68)&gt;=3,AQ68=7),"completo","parcial · "&amp;AQ68&amp;"/7 · D12-D15 "&amp;COUNT(NORMALIZADO!BV68:BY68)&amp;"/4"))</f>
        <v>sin dato</v>
      </c>
      <c r="AU68" t="str">
        <f>IF(CAPTURA!N68&lt;&gt;"",ISNUMBER(SEARCH("Rainforest",CAPTURA!N68))+ISNUMBER(SEARCH("Fairtrade",CAPTURA!N68))+ISNUMBER(SEARCH("Org",CAPTURA!N68))+ISNUMBER(SEARCH("UTZ",CAPTURA!N68))+ISNUMBER(SEARCH("Otr",CAPTURA!N68)),IF(AND(H68="",I68=""),"",IF(H68="SI",1,0)+IF(I68="SI",1,0)))</f>
        <v/>
      </c>
      <c r="AV68" t="str">
        <f t="shared" si="10"/>
        <v/>
      </c>
    </row>
    <row r="69" spans="1:48" ht="16.05" customHeight="1" x14ac:dyDescent="0.3">
      <c r="A69" t="s">
        <v>210</v>
      </c>
      <c r="B69" t="s">
        <v>211</v>
      </c>
      <c r="C69" t="s">
        <v>171</v>
      </c>
      <c r="D69" t="s">
        <v>57</v>
      </c>
      <c r="G69" t="s">
        <v>66</v>
      </c>
      <c r="J69" t="s">
        <v>116</v>
      </c>
      <c r="M69" t="str">
        <f t="shared" si="11"/>
        <v/>
      </c>
      <c r="N69" t="s">
        <v>60</v>
      </c>
      <c r="O69" t="str">
        <f t="shared" si="12"/>
        <v/>
      </c>
      <c r="P69" t="s">
        <v>60</v>
      </c>
      <c r="S69" t="str">
        <f t="shared" si="8"/>
        <v>—</v>
      </c>
      <c r="T69" t="str">
        <f>IF(NOT(ISNUMBER(S69)),"⬜  Sin dato PVE",IF(AND(COUNT(NORMALIZADO!BV69:BY69)&gt;=3,AQ69=7),IF(S69&lt;34,"🔴 Crítico",IF(S69&lt;67,"🟡 Vulnerable","🟢 Preparado")),"◐  Parcial · "&amp;AQ69&amp;"/7"))</f>
        <v>⬜  Sin dato PVE</v>
      </c>
      <c r="U69" s="53">
        <v>1</v>
      </c>
      <c r="V69" t="s">
        <v>61</v>
      </c>
      <c r="W69" t="str">
        <f>IF(NORMALIZADO!BV69="","",NORMALIZADO!BV69)</f>
        <v/>
      </c>
      <c r="X69" t="str">
        <f>IF(NORMALIZADO!BW69="","",NORMALIZADO!BW69)</f>
        <v/>
      </c>
      <c r="Y69" t="str">
        <f>IF(NORMALIZADO!BX69="","",NORMALIZADO!BX69)</f>
        <v/>
      </c>
      <c r="Z69" t="str">
        <f>IF(NORMALIZADO!BY69="","",NORMALIZADO!BY69)</f>
        <v/>
      </c>
      <c r="AO69" t="str">
        <f t="shared" si="9"/>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dato",IF(AND(COUNT(NORMALIZADO!BV69:BY69)&gt;=3,AQ69=7),"completo","parcial · "&amp;AQ69&amp;"/7 · D12-D15 "&amp;COUNT(NORMALIZADO!BV69:BY69)&amp;"/4"))</f>
        <v>sin dato</v>
      </c>
      <c r="AU69" t="str">
        <f>IF(CAPTURA!N69&lt;&gt;"",ISNUMBER(SEARCH("Rainforest",CAPTURA!N69))+ISNUMBER(SEARCH("Fairtrade",CAPTURA!N69))+ISNUMBER(SEARCH("Org",CAPTURA!N69))+ISNUMBER(SEARCH("UTZ",CAPTURA!N69))+ISNUMBER(SEARCH("Otr",CAPTURA!N69)),IF(AND(H69="",I69=""),"",IF(H69="SI",1,0)+IF(I69="SI",1,0)))</f>
        <v/>
      </c>
      <c r="AV69" t="str">
        <f t="shared" si="10"/>
        <v/>
      </c>
    </row>
    <row r="70" spans="1:48" ht="16.05" customHeight="1" x14ac:dyDescent="0.3">
      <c r="A70" t="s">
        <v>212</v>
      </c>
      <c r="B70" t="s">
        <v>213</v>
      </c>
      <c r="C70" t="s">
        <v>131</v>
      </c>
      <c r="D70" t="s">
        <v>57</v>
      </c>
      <c r="E70">
        <v>13246408.59</v>
      </c>
      <c r="F70">
        <v>46</v>
      </c>
      <c r="G70" t="s">
        <v>58</v>
      </c>
      <c r="H70" t="s">
        <v>58</v>
      </c>
      <c r="I70" t="s">
        <v>58</v>
      </c>
      <c r="J70" t="s">
        <v>59</v>
      </c>
      <c r="K70" t="s">
        <v>214</v>
      </c>
      <c r="L70">
        <v>7878141.7300000004</v>
      </c>
      <c r="M70">
        <f t="shared" si="11"/>
        <v>59.5</v>
      </c>
      <c r="N70" t="s">
        <v>60</v>
      </c>
      <c r="O70">
        <f t="shared" si="12"/>
        <v>1</v>
      </c>
      <c r="P70" t="s">
        <v>60</v>
      </c>
      <c r="Q70">
        <v>622</v>
      </c>
      <c r="R70">
        <v>4031</v>
      </c>
      <c r="S70">
        <f t="shared" si="8"/>
        <v>62.3</v>
      </c>
      <c r="T70" t="str">
        <f>IF(NOT(ISNUMBER(S70)),"⬜  Sin dato PVE",IF(AND(COUNT(NORMALIZADO!BV70:BY70)&gt;=3,AQ70=7),IF(S70&lt;34,"🔴 Crítico",IF(S70&lt;67,"🟡 Vulnerable","🟢 Preparado")),"◐  Parcial · "&amp;AQ70&amp;"/7"))</f>
        <v>◐  Parcial · 3/7</v>
      </c>
      <c r="U70" s="53">
        <v>1</v>
      </c>
      <c r="V70" t="s">
        <v>61</v>
      </c>
      <c r="W70">
        <f>IF(NORMALIZADO!BV70="",1,NORMALIZADO!BV70)</f>
        <v>1</v>
      </c>
      <c r="X70" t="str">
        <f>IF(NORMALIZADO!BW70="","",NORMALIZADO!BW70)</f>
        <v/>
      </c>
      <c r="Y70" t="str">
        <f>IF(NORMALIZADO!BX70="","",NORMALIZADO!BX70)</f>
        <v/>
      </c>
      <c r="Z70" t="str">
        <f>IF(NORMALIZADO!BY70="","",NORMALIZADO!BY70)</f>
        <v/>
      </c>
      <c r="AO70" t="str">
        <f t="shared" si="9"/>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1517</v>
      </c>
      <c r="AS70" t="s">
        <v>1518</v>
      </c>
      <c r="AT70" t="str">
        <f>IF(NOT(ISNUMBER(AP70)),"sin dato",IF(AND(COUNT(NORMALIZADO!BV70:BY70)&gt;=3,AQ70=7),"completo","parcial · "&amp;AQ70&amp;"/7 · D12-D15 "&amp;COUNT(NORMALIZADO!BV70:BY70)&amp;"/4"))</f>
        <v>parcial · 3/7 · D12-D15 0/4</v>
      </c>
      <c r="AU70">
        <f>IF(CAPTURA!N70&lt;&gt;"",ISNUMBER(SEARCH("Rainforest",CAPTURA!N70))+ISNUMBER(SEARCH("Fairtrade",CAPTURA!N70))+ISNUMBER(SEARCH("Org",CAPTURA!N70))+ISNUMBER(SEARCH("UTZ",CAPTURA!N70))+ISNUMBER(SEARCH("Otr",CAPTURA!N70)),IF(AND(H70="",I70=""),"",IF(H70="SI",1,0)+IF(I70="SI",1,0)))</f>
        <v>2</v>
      </c>
      <c r="AV70">
        <f t="shared" si="10"/>
        <v>66</v>
      </c>
    </row>
    <row r="71" spans="1:48" ht="16.05" customHeight="1" x14ac:dyDescent="0.3">
      <c r="A71" t="s">
        <v>215</v>
      </c>
      <c r="B71" t="s">
        <v>216</v>
      </c>
      <c r="C71" t="s">
        <v>131</v>
      </c>
      <c r="D71" t="s">
        <v>65</v>
      </c>
      <c r="G71" t="s">
        <v>66</v>
      </c>
      <c r="J71" t="s">
        <v>59</v>
      </c>
      <c r="M71" t="str">
        <f t="shared" si="11"/>
        <v/>
      </c>
      <c r="N71" t="s">
        <v>60</v>
      </c>
      <c r="O71" t="str">
        <f t="shared" si="12"/>
        <v/>
      </c>
      <c r="P71" t="s">
        <v>60</v>
      </c>
      <c r="S71" t="str">
        <f t="shared" si="8"/>
        <v>—</v>
      </c>
      <c r="T71" t="str">
        <f>IF(NOT(ISNUMBER(S71)),"⬜  Sin dato PVE",IF(AND(COUNT(NORMALIZADO!BV71:BY71)&gt;=3,AQ71=7),IF(S71&lt;34,"🔴 Crítico",IF(S71&lt;67,"🟡 Vulnerable","🟢 Preparado")),"◐  Parcial · "&amp;AQ71&amp;"/7"))</f>
        <v>⬜  Sin dato PVE</v>
      </c>
      <c r="U71" s="53">
        <v>1</v>
      </c>
      <c r="V71" t="s">
        <v>61</v>
      </c>
      <c r="W71" t="str">
        <f>IF(NORMALIZADO!BV71="","",NORMALIZADO!BV71)</f>
        <v/>
      </c>
      <c r="X71" t="str">
        <f>IF(NORMALIZADO!BW71="","",NORMALIZADO!BW71)</f>
        <v/>
      </c>
      <c r="Y71" t="str">
        <f>IF(NORMALIZADO!BX71="","",NORMALIZADO!BX71)</f>
        <v/>
      </c>
      <c r="Z71" t="str">
        <f>IF(NORMALIZADO!BY71="","",NORMALIZADO!BY71)</f>
        <v/>
      </c>
      <c r="AO71" t="str">
        <f t="shared" si="9"/>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dato",IF(AND(COUNT(NORMALIZADO!BV71:BY71)&gt;=3,AQ71=7),"completo","parcial · "&amp;AQ71&amp;"/7 · D12-D15 "&amp;COUNT(NORMALIZADO!BV71:BY71)&amp;"/4"))</f>
        <v>sin dato</v>
      </c>
      <c r="AU71" t="str">
        <f>IF(CAPTURA!N71&lt;&gt;"",ISNUMBER(SEARCH("Rainforest",CAPTURA!N71))+ISNUMBER(SEARCH("Fairtrade",CAPTURA!N71))+ISNUMBER(SEARCH("Org",CAPTURA!N71))+ISNUMBER(SEARCH("UTZ",CAPTURA!N71))+ISNUMBER(SEARCH("Otr",CAPTURA!N71)),IF(AND(H71="",I71=""),"",IF(H71="SI",1,0)+IF(I71="SI",1,0)))</f>
        <v/>
      </c>
      <c r="AV71" t="str">
        <f t="shared" si="10"/>
        <v/>
      </c>
    </row>
    <row r="72" spans="1:48" ht="16.05" customHeight="1" x14ac:dyDescent="0.3">
      <c r="A72" t="s">
        <v>217</v>
      </c>
      <c r="B72" t="s">
        <v>218</v>
      </c>
      <c r="C72" t="s">
        <v>131</v>
      </c>
      <c r="D72" t="s">
        <v>65</v>
      </c>
      <c r="E72">
        <v>2826075</v>
      </c>
      <c r="F72">
        <v>12</v>
      </c>
      <c r="G72" t="s">
        <v>58</v>
      </c>
      <c r="J72" t="s">
        <v>59</v>
      </c>
      <c r="L72">
        <v>1413037.5</v>
      </c>
      <c r="M72">
        <f t="shared" si="11"/>
        <v>50</v>
      </c>
      <c r="N72" t="s">
        <v>60</v>
      </c>
      <c r="O72" t="str">
        <f t="shared" si="12"/>
        <v/>
      </c>
      <c r="P72" t="s">
        <v>60</v>
      </c>
      <c r="S72">
        <f t="shared" si="8"/>
        <v>50</v>
      </c>
      <c r="T72" t="str">
        <f>IF(NOT(ISNUMBER(S72)),"⬜  Sin dato PVE",IF(AND(COUNT(NORMALIZADO!BV72:BY72)&gt;=3,AQ72=7),IF(S72&lt;34,"🔴 Crítico",IF(S72&lt;67,"🟡 Vulnerable","🟢 Preparado")),"◐  Parcial · "&amp;AQ72&amp;"/7"))</f>
        <v>◐  Parcial · 2/7</v>
      </c>
      <c r="U72" s="53">
        <v>1</v>
      </c>
      <c r="V72" t="s">
        <v>61</v>
      </c>
      <c r="W72">
        <f>IF(NORMALIZADO!BV72="",1,NORMALIZADO!BV72)</f>
        <v>1</v>
      </c>
      <c r="X72" t="str">
        <f>IF(NORMALIZADO!BW72="","",NORMALIZADO!BW72)</f>
        <v/>
      </c>
      <c r="Y72" t="str">
        <f>IF(NORMALIZADO!BX72="","",NORMALIZADO!BX72)</f>
        <v/>
      </c>
      <c r="Z72" t="str">
        <f>IF(NORMALIZADO!BY72="","",NORMALIZADO!BY72)</f>
        <v/>
      </c>
      <c r="AO72" t="str">
        <f t="shared" si="9"/>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dato",IF(AND(COUNT(NORMALIZADO!BV72:BY72)&gt;=3,AQ72=7),"completo","parcial · "&amp;AQ72&amp;"/7 · D12-D15 "&amp;COUNT(NORMALIZADO!BV72:BY72)&amp;"/4"))</f>
        <v>parcial · 2/7 · D12-D15 0/4</v>
      </c>
      <c r="AU72" t="str">
        <f>IF(CAPTURA!N72&lt;&gt;"",ISNUMBER(SEARCH("Rainforest",CAPTURA!N72))+ISNUMBER(SEARCH("Fairtrade",CAPTURA!N72))+ISNUMBER(SEARCH("Org",CAPTURA!N72))+ISNUMBER(SEARCH("UTZ",CAPTURA!N72))+ISNUMBER(SEARCH("Otr",CAPTURA!N72)),IF(AND(H72="",I72=""),"",IF(H72="SI",1,0)+IF(I72="SI",1,0)))</f>
        <v/>
      </c>
      <c r="AV72" t="str">
        <f t="shared" si="10"/>
        <v/>
      </c>
    </row>
    <row r="73" spans="1:48" ht="16.05" customHeight="1" x14ac:dyDescent="0.3">
      <c r="A73" t="s">
        <v>219</v>
      </c>
      <c r="B73" t="s">
        <v>220</v>
      </c>
      <c r="C73" t="s">
        <v>131</v>
      </c>
      <c r="D73" t="s">
        <v>57</v>
      </c>
      <c r="E73">
        <v>1187600.46</v>
      </c>
      <c r="F73">
        <v>6</v>
      </c>
      <c r="G73" t="s">
        <v>58</v>
      </c>
      <c r="H73" t="s">
        <v>58</v>
      </c>
      <c r="I73" t="s">
        <v>58</v>
      </c>
      <c r="J73" t="s">
        <v>59</v>
      </c>
      <c r="K73" t="s">
        <v>214</v>
      </c>
      <c r="L73">
        <v>1187600.48</v>
      </c>
      <c r="M73">
        <f t="shared" si="11"/>
        <v>100</v>
      </c>
      <c r="N73" t="s">
        <v>60</v>
      </c>
      <c r="O73">
        <f t="shared" si="12"/>
        <v>1</v>
      </c>
      <c r="P73" t="s">
        <v>60</v>
      </c>
      <c r="Q73">
        <v>416</v>
      </c>
      <c r="R73">
        <v>1248</v>
      </c>
      <c r="S73">
        <f t="shared" si="8"/>
        <v>79.2</v>
      </c>
      <c r="T73" t="str">
        <f>IF(NOT(ISNUMBER(S73)),"⬜  Sin dato PVE",IF(AND(COUNT(NORMALIZADO!BV73:BY73)&gt;=3,AQ73=7),IF(S73&lt;34,"🔴 Crítico",IF(S73&lt;67,"🟡 Vulnerable","🟢 Preparado")),"◐  Parcial · "&amp;AQ73&amp;"/7"))</f>
        <v>◐  Parcial · 3/7</v>
      </c>
      <c r="U73" s="53">
        <v>1</v>
      </c>
      <c r="V73" t="s">
        <v>61</v>
      </c>
      <c r="W73">
        <f>IF(NORMALIZADO!BV73="",1,NORMALIZADO!BV73)</f>
        <v>1</v>
      </c>
      <c r="X73" t="str">
        <f>IF(NORMALIZADO!BW73="","",NORMALIZADO!BW73)</f>
        <v/>
      </c>
      <c r="Y73" t="str">
        <f>IF(NORMALIZADO!BX73="","",NORMALIZADO!BX73)</f>
        <v/>
      </c>
      <c r="Z73" t="str">
        <f>IF(NORMALIZADO!BY73="","",NORMALIZADO!BY73)</f>
        <v/>
      </c>
      <c r="AO73" t="str">
        <f t="shared" si="9"/>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1519</v>
      </c>
      <c r="AS73" t="s">
        <v>1520</v>
      </c>
      <c r="AT73" t="str">
        <f>IF(NOT(ISNUMBER(AP73)),"sin dato",IF(AND(COUNT(NORMALIZADO!BV73:BY73)&gt;=3,AQ73=7),"completo","parcial · "&amp;AQ73&amp;"/7 · D12-D15 "&amp;COUNT(NORMALIZADO!BV73:BY73)&amp;"/4"))</f>
        <v>parcial · 3/7 · D12-D15 0/4</v>
      </c>
      <c r="AU73">
        <f>IF(CAPTURA!N73&lt;&gt;"",ISNUMBER(SEARCH("Rainforest",CAPTURA!N73))+ISNUMBER(SEARCH("Fairtrade",CAPTURA!N73))+ISNUMBER(SEARCH("Org",CAPTURA!N73))+ISNUMBER(SEARCH("UTZ",CAPTURA!N73))+ISNUMBER(SEARCH("Otr",CAPTURA!N73)),IF(AND(H73="",I73=""),"",IF(H73="SI",1,0)+IF(I73="SI",1,0)))</f>
        <v>2</v>
      </c>
      <c r="AV73">
        <f t="shared" si="10"/>
        <v>66</v>
      </c>
    </row>
    <row r="74" spans="1:48" ht="16.05" customHeight="1" x14ac:dyDescent="0.3">
      <c r="A74" t="s">
        <v>221</v>
      </c>
      <c r="B74" t="s">
        <v>222</v>
      </c>
      <c r="C74" t="s">
        <v>131</v>
      </c>
      <c r="D74" t="s">
        <v>65</v>
      </c>
      <c r="E74">
        <v>24285431.82</v>
      </c>
      <c r="F74">
        <v>111</v>
      </c>
      <c r="G74" t="s">
        <v>58</v>
      </c>
      <c r="J74" t="s">
        <v>59</v>
      </c>
      <c r="L74">
        <v>12142715.91</v>
      </c>
      <c r="M74">
        <f t="shared" si="11"/>
        <v>50</v>
      </c>
      <c r="N74" t="s">
        <v>60</v>
      </c>
      <c r="O74" t="str">
        <f t="shared" si="12"/>
        <v/>
      </c>
      <c r="P74" t="s">
        <v>60</v>
      </c>
      <c r="S74">
        <f t="shared" si="8"/>
        <v>50</v>
      </c>
      <c r="T74" t="str">
        <f>IF(NOT(ISNUMBER(S74)),"⬜  Sin dato PVE",IF(AND(COUNT(NORMALIZADO!BV74:BY74)&gt;=3,AQ74=7),IF(S74&lt;34,"🔴 Crítico",IF(S74&lt;67,"🟡 Vulnerable","🟢 Preparado")),"◐  Parcial · "&amp;AQ74&amp;"/7"))</f>
        <v>◐  Parcial · 2/7</v>
      </c>
      <c r="U74" s="53">
        <v>1</v>
      </c>
      <c r="V74" t="s">
        <v>61</v>
      </c>
      <c r="W74">
        <f>IF(NORMALIZADO!BV74="",1,NORMALIZADO!BV74)</f>
        <v>1</v>
      </c>
      <c r="X74" t="str">
        <f>IF(NORMALIZADO!BW74="","",NORMALIZADO!BW74)</f>
        <v/>
      </c>
      <c r="Y74" t="str">
        <f>IF(NORMALIZADO!BX74="","",NORMALIZADO!BX74)</f>
        <v/>
      </c>
      <c r="Z74" t="str">
        <f>IF(NORMALIZADO!BY74="","",NORMALIZADO!BY74)</f>
        <v/>
      </c>
      <c r="AO74" t="str">
        <f t="shared" si="9"/>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dato",IF(AND(COUNT(NORMALIZADO!BV74:BY74)&gt;=3,AQ74=7),"completo","parcial · "&amp;AQ74&amp;"/7 · D12-D15 "&amp;COUNT(NORMALIZADO!BV74:BY74)&amp;"/4"))</f>
        <v>parcial · 2/7 · D12-D15 0/4</v>
      </c>
      <c r="AU74" t="str">
        <f>IF(CAPTURA!N74&lt;&gt;"",ISNUMBER(SEARCH("Rainforest",CAPTURA!N74))+ISNUMBER(SEARCH("Fairtrade",CAPTURA!N74))+ISNUMBER(SEARCH("Org",CAPTURA!N74))+ISNUMBER(SEARCH("UTZ",CAPTURA!N74))+ISNUMBER(SEARCH("Otr",CAPTURA!N74)),IF(AND(H74="",I74=""),"",IF(H74="SI",1,0)+IF(I74="SI",1,0)))</f>
        <v/>
      </c>
      <c r="AV74" t="str">
        <f t="shared" si="10"/>
        <v/>
      </c>
    </row>
    <row r="75" spans="1:48" ht="16.05" customHeight="1" x14ac:dyDescent="0.3">
      <c r="A75" t="s">
        <v>223</v>
      </c>
      <c r="B75" t="s">
        <v>224</v>
      </c>
      <c r="C75" t="s">
        <v>184</v>
      </c>
      <c r="D75" t="s">
        <v>65</v>
      </c>
      <c r="G75" t="s">
        <v>66</v>
      </c>
      <c r="J75" t="s">
        <v>59</v>
      </c>
      <c r="M75" t="str">
        <f t="shared" si="11"/>
        <v/>
      </c>
      <c r="N75" t="s">
        <v>60</v>
      </c>
      <c r="O75" t="str">
        <f t="shared" si="12"/>
        <v/>
      </c>
      <c r="P75" t="s">
        <v>60</v>
      </c>
      <c r="S75" t="str">
        <f t="shared" si="8"/>
        <v>—</v>
      </c>
      <c r="T75" t="str">
        <f>IF(NOT(ISNUMBER(S75)),"⬜  Sin dato PVE",IF(AND(COUNT(NORMALIZADO!BV75:BY75)&gt;=3,AQ75=7),IF(S75&lt;34,"🔴 Crítico",IF(S75&lt;67,"🟡 Vulnerable","🟢 Preparado")),"◐  Parcial · "&amp;AQ75&amp;"/7"))</f>
        <v>⬜  Sin dato PVE</v>
      </c>
      <c r="U75" s="53">
        <v>1</v>
      </c>
      <c r="V75" t="s">
        <v>61</v>
      </c>
      <c r="W75" t="str">
        <f>IF(NORMALIZADO!BV75="","",NORMALIZADO!BV75)</f>
        <v/>
      </c>
      <c r="X75" t="str">
        <f>IF(NORMALIZADO!BW75="","",NORMALIZADO!BW75)</f>
        <v/>
      </c>
      <c r="Y75" t="str">
        <f>IF(NORMALIZADO!BX75="","",NORMALIZADO!BX75)</f>
        <v/>
      </c>
      <c r="Z75" t="str">
        <f>IF(NORMALIZADO!BY75="","",NORMALIZADO!BY75)</f>
        <v/>
      </c>
      <c r="AO75" t="str">
        <f t="shared" si="9"/>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dato",IF(AND(COUNT(NORMALIZADO!BV75:BY75)&gt;=3,AQ75=7),"completo","parcial · "&amp;AQ75&amp;"/7 · D12-D15 "&amp;COUNT(NORMALIZADO!BV75:BY75)&amp;"/4"))</f>
        <v>sin dato</v>
      </c>
      <c r="AU75" t="str">
        <f>IF(CAPTURA!N75&lt;&gt;"",ISNUMBER(SEARCH("Rainforest",CAPTURA!N75))+ISNUMBER(SEARCH("Fairtrade",CAPTURA!N75))+ISNUMBER(SEARCH("Org",CAPTURA!N75))+ISNUMBER(SEARCH("UTZ",CAPTURA!N75))+ISNUMBER(SEARCH("Otr",CAPTURA!N75)),IF(AND(H75="",I75=""),"",IF(H75="SI",1,0)+IF(I75="SI",1,0)))</f>
        <v/>
      </c>
      <c r="AV75" t="str">
        <f t="shared" si="10"/>
        <v/>
      </c>
    </row>
    <row r="76" spans="1:48" ht="16.05" customHeight="1" x14ac:dyDescent="0.3">
      <c r="A76" t="s">
        <v>225</v>
      </c>
      <c r="B76" t="s">
        <v>226</v>
      </c>
      <c r="C76" t="s">
        <v>184</v>
      </c>
      <c r="D76" t="s">
        <v>65</v>
      </c>
      <c r="G76" t="s">
        <v>66</v>
      </c>
      <c r="J76" t="s">
        <v>59</v>
      </c>
      <c r="M76" t="str">
        <f t="shared" si="11"/>
        <v/>
      </c>
      <c r="N76" t="s">
        <v>60</v>
      </c>
      <c r="O76" t="str">
        <f t="shared" si="12"/>
        <v/>
      </c>
      <c r="P76" t="s">
        <v>60</v>
      </c>
      <c r="S76" t="str">
        <f t="shared" si="8"/>
        <v>—</v>
      </c>
      <c r="T76" t="str">
        <f>IF(NOT(ISNUMBER(S76)),"⬜  Sin dato PVE",IF(AND(COUNT(NORMALIZADO!BV76:BY76)&gt;=3,AQ76=7),IF(S76&lt;34,"🔴 Crítico",IF(S76&lt;67,"🟡 Vulnerable","🟢 Preparado")),"◐  Parcial · "&amp;AQ76&amp;"/7"))</f>
        <v>⬜  Sin dato PVE</v>
      </c>
      <c r="U76" s="53">
        <v>1</v>
      </c>
      <c r="V76" t="s">
        <v>61</v>
      </c>
      <c r="W76" t="str">
        <f>IF(NORMALIZADO!BV76="","",NORMALIZADO!BV76)</f>
        <v/>
      </c>
      <c r="X76" t="str">
        <f>IF(NORMALIZADO!BW76="","",NORMALIZADO!BW76)</f>
        <v/>
      </c>
      <c r="Y76" t="str">
        <f>IF(NORMALIZADO!BX76="","",NORMALIZADO!BX76)</f>
        <v/>
      </c>
      <c r="Z76" t="str">
        <f>IF(NORMALIZADO!BY76="","",NORMALIZADO!BY76)</f>
        <v/>
      </c>
      <c r="AO76" t="str">
        <f t="shared" si="9"/>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dato",IF(AND(COUNT(NORMALIZADO!BV76:BY76)&gt;=3,AQ76=7),"completo","parcial · "&amp;AQ76&amp;"/7 · D12-D15 "&amp;COUNT(NORMALIZADO!BV76:BY76)&amp;"/4"))</f>
        <v>sin dato</v>
      </c>
      <c r="AU76" t="str">
        <f>IF(CAPTURA!N76&lt;&gt;"",ISNUMBER(SEARCH("Rainforest",CAPTURA!N76))+ISNUMBER(SEARCH("Fairtrade",CAPTURA!N76))+ISNUMBER(SEARCH("Org",CAPTURA!N76))+ISNUMBER(SEARCH("UTZ",CAPTURA!N76))+ISNUMBER(SEARCH("Otr",CAPTURA!N76)),IF(AND(H76="",I76=""),"",IF(H76="SI",1,0)+IF(I76="SI",1,0)))</f>
        <v/>
      </c>
      <c r="AV76" t="str">
        <f t="shared" si="10"/>
        <v/>
      </c>
    </row>
    <row r="77" spans="1:48" ht="16.05" customHeight="1" x14ac:dyDescent="0.3">
      <c r="A77" t="s">
        <v>227</v>
      </c>
      <c r="B77" t="s">
        <v>228</v>
      </c>
      <c r="C77" t="s">
        <v>142</v>
      </c>
      <c r="D77" t="s">
        <v>57</v>
      </c>
      <c r="E77">
        <v>16891006.489999998</v>
      </c>
      <c r="F77">
        <v>81</v>
      </c>
      <c r="G77" t="s">
        <v>58</v>
      </c>
      <c r="J77" t="s">
        <v>59</v>
      </c>
      <c r="L77">
        <v>8445503.2400000002</v>
      </c>
      <c r="M77">
        <f t="shared" si="11"/>
        <v>50</v>
      </c>
      <c r="N77" t="s">
        <v>60</v>
      </c>
      <c r="O77" t="str">
        <f t="shared" si="12"/>
        <v/>
      </c>
      <c r="P77" t="s">
        <v>60</v>
      </c>
      <c r="S77">
        <f t="shared" si="8"/>
        <v>50</v>
      </c>
      <c r="T77" t="str">
        <f>IF(NOT(ISNUMBER(S77)),"⬜  Sin dato PVE",IF(AND(COUNT(NORMALIZADO!BV77:BY77)&gt;=3,AQ77=7),IF(S77&lt;34,"🔴 Crítico",IF(S77&lt;67,"🟡 Vulnerable","🟢 Preparado")),"◐  Parcial · "&amp;AQ77&amp;"/7"))</f>
        <v>◐  Parcial · 2/7</v>
      </c>
      <c r="U77" s="53">
        <v>1</v>
      </c>
      <c r="V77" t="s">
        <v>61</v>
      </c>
      <c r="W77">
        <f>IF(NORMALIZADO!BV77="",1,NORMALIZADO!BV77)</f>
        <v>1</v>
      </c>
      <c r="X77" t="str">
        <f>IF(NORMALIZADO!BW77="","",NORMALIZADO!BW77)</f>
        <v/>
      </c>
      <c r="Y77" t="str">
        <f>IF(NORMALIZADO!BX77="","",NORMALIZADO!BX77)</f>
        <v/>
      </c>
      <c r="Z77" t="str">
        <f>IF(NORMALIZADO!BY77="","",NORMALIZADO!BY77)</f>
        <v/>
      </c>
      <c r="AO77" t="str">
        <f t="shared" si="9"/>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dato",IF(AND(COUNT(NORMALIZADO!BV77:BY77)&gt;=3,AQ77=7),"completo","parcial · "&amp;AQ77&amp;"/7 · D12-D15 "&amp;COUNT(NORMALIZADO!BV77:BY77)&amp;"/4"))</f>
        <v>parcial · 2/7 · D12-D15 0/4</v>
      </c>
      <c r="AU77" t="str">
        <f>IF(CAPTURA!N77&lt;&gt;"",ISNUMBER(SEARCH("Rainforest",CAPTURA!N77))+ISNUMBER(SEARCH("Fairtrade",CAPTURA!N77))+ISNUMBER(SEARCH("Org",CAPTURA!N77))+ISNUMBER(SEARCH("UTZ",CAPTURA!N77))+ISNUMBER(SEARCH("Otr",CAPTURA!N77)),IF(AND(H77="",I77=""),"",IF(H77="SI",1,0)+IF(I77="SI",1,0)))</f>
        <v/>
      </c>
      <c r="AV77" t="str">
        <f t="shared" si="10"/>
        <v/>
      </c>
    </row>
    <row r="78" spans="1:48" ht="16.05" customHeight="1" x14ac:dyDescent="0.3">
      <c r="A78" t="s">
        <v>229</v>
      </c>
      <c r="B78" t="s">
        <v>230</v>
      </c>
      <c r="C78" t="s">
        <v>111</v>
      </c>
      <c r="D78" t="s">
        <v>65</v>
      </c>
      <c r="G78" t="s">
        <v>66</v>
      </c>
      <c r="J78" t="s">
        <v>98</v>
      </c>
      <c r="M78" t="str">
        <f t="shared" si="11"/>
        <v/>
      </c>
      <c r="N78" t="s">
        <v>60</v>
      </c>
      <c r="O78" t="str">
        <f t="shared" si="12"/>
        <v/>
      </c>
      <c r="P78" t="s">
        <v>60</v>
      </c>
      <c r="S78" t="str">
        <f t="shared" si="8"/>
        <v>—</v>
      </c>
      <c r="T78" t="str">
        <f>IF(NOT(ISNUMBER(S78)),"⬜  Sin dato PVE",IF(AND(COUNT(NORMALIZADO!BV78:BY78)&gt;=3,AQ78=7),IF(S78&lt;34,"🔴 Crítico",IF(S78&lt;67,"🟡 Vulnerable","🟢 Preparado")),"◐  Parcial · "&amp;AQ78&amp;"/7"))</f>
        <v>⬜  Sin dato PVE</v>
      </c>
      <c r="U78" s="53">
        <v>1</v>
      </c>
      <c r="V78" t="s">
        <v>61</v>
      </c>
      <c r="W78" t="str">
        <f>IF(NORMALIZADO!BV78="","",NORMALIZADO!BV78)</f>
        <v/>
      </c>
      <c r="X78" t="str">
        <f>IF(NORMALIZADO!BW78="","",NORMALIZADO!BW78)</f>
        <v/>
      </c>
      <c r="Y78" t="str">
        <f>IF(NORMALIZADO!BX78="","",NORMALIZADO!BX78)</f>
        <v/>
      </c>
      <c r="Z78" t="str">
        <f>IF(NORMALIZADO!BY78="","",NORMALIZADO!BY78)</f>
        <v/>
      </c>
      <c r="AO78" t="str">
        <f t="shared" si="9"/>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dato",IF(AND(COUNT(NORMALIZADO!BV78:BY78)&gt;=3,AQ78=7),"completo","parcial · "&amp;AQ78&amp;"/7 · D12-D15 "&amp;COUNT(NORMALIZADO!BV78:BY78)&amp;"/4"))</f>
        <v>sin dato</v>
      </c>
      <c r="AU78" t="str">
        <f>IF(CAPTURA!N78&lt;&gt;"",ISNUMBER(SEARCH("Rainforest",CAPTURA!N78))+ISNUMBER(SEARCH("Fairtrade",CAPTURA!N78))+ISNUMBER(SEARCH("Org",CAPTURA!N78))+ISNUMBER(SEARCH("UTZ",CAPTURA!N78))+ISNUMBER(SEARCH("Otr",CAPTURA!N78)),IF(AND(H78="",I78=""),"",IF(H78="SI",1,0)+IF(I78="SI",1,0)))</f>
        <v/>
      </c>
      <c r="AV78" t="str">
        <f t="shared" si="10"/>
        <v/>
      </c>
    </row>
    <row r="79" spans="1:48" ht="16.05" customHeight="1" x14ac:dyDescent="0.3">
      <c r="A79" t="s">
        <v>231</v>
      </c>
      <c r="B79" t="s">
        <v>232</v>
      </c>
      <c r="C79" t="s">
        <v>233</v>
      </c>
      <c r="D79" t="s">
        <v>65</v>
      </c>
      <c r="G79" t="s">
        <v>66</v>
      </c>
      <c r="J79" t="s">
        <v>59</v>
      </c>
      <c r="M79" t="str">
        <f t="shared" si="11"/>
        <v/>
      </c>
      <c r="N79" t="s">
        <v>60</v>
      </c>
      <c r="O79" t="str">
        <f t="shared" si="12"/>
        <v/>
      </c>
      <c r="P79" t="s">
        <v>60</v>
      </c>
      <c r="S79" t="str">
        <f t="shared" si="8"/>
        <v>—</v>
      </c>
      <c r="T79" t="str">
        <f>IF(NOT(ISNUMBER(S79)),"⬜  Sin dato PVE",IF(AND(COUNT(NORMALIZADO!BV79:BY79)&gt;=3,AQ79=7),IF(S79&lt;34,"🔴 Crítico",IF(S79&lt;67,"🟡 Vulnerable","🟢 Preparado")),"◐  Parcial · "&amp;AQ79&amp;"/7"))</f>
        <v>⬜  Sin dato PVE</v>
      </c>
      <c r="U79" s="53">
        <v>1</v>
      </c>
      <c r="V79" t="s">
        <v>61</v>
      </c>
      <c r="W79" t="str">
        <f>IF(NORMALIZADO!BV79="","",NORMALIZADO!BV79)</f>
        <v/>
      </c>
      <c r="X79" t="str">
        <f>IF(NORMALIZADO!BW79="","",NORMALIZADO!BW79)</f>
        <v/>
      </c>
      <c r="Y79" t="str">
        <f>IF(NORMALIZADO!BX79="","",NORMALIZADO!BX79)</f>
        <v/>
      </c>
      <c r="Z79" t="str">
        <f>IF(NORMALIZADO!BY79="","",NORMALIZADO!BY79)</f>
        <v/>
      </c>
      <c r="AO79" t="str">
        <f t="shared" si="9"/>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dato",IF(AND(COUNT(NORMALIZADO!BV79:BY79)&gt;=3,AQ79=7),"completo","parcial · "&amp;AQ79&amp;"/7 · D12-D15 "&amp;COUNT(NORMALIZADO!BV79:BY79)&amp;"/4"))</f>
        <v>sin dato</v>
      </c>
      <c r="AU79" t="str">
        <f>IF(CAPTURA!N79&lt;&gt;"",ISNUMBER(SEARCH("Rainforest",CAPTURA!N79))+ISNUMBER(SEARCH("Fairtrade",CAPTURA!N79))+ISNUMBER(SEARCH("Org",CAPTURA!N79))+ISNUMBER(SEARCH("UTZ",CAPTURA!N79))+ISNUMBER(SEARCH("Otr",CAPTURA!N79)),IF(AND(H79="",I79=""),"",IF(H79="SI",1,0)+IF(I79="SI",1,0)))</f>
        <v/>
      </c>
      <c r="AV79" t="str">
        <f t="shared" si="10"/>
        <v/>
      </c>
    </row>
    <row r="80" spans="1:48" ht="16.05" customHeight="1" x14ac:dyDescent="0.3">
      <c r="A80" t="s">
        <v>234</v>
      </c>
      <c r="B80" t="s">
        <v>235</v>
      </c>
      <c r="C80" t="s">
        <v>104</v>
      </c>
      <c r="D80" t="s">
        <v>57</v>
      </c>
      <c r="G80" t="s">
        <v>66</v>
      </c>
      <c r="H80" t="s">
        <v>58</v>
      </c>
      <c r="I80" t="s">
        <v>66</v>
      </c>
      <c r="J80" t="s">
        <v>98</v>
      </c>
      <c r="K80" t="s">
        <v>236</v>
      </c>
      <c r="M80" t="str">
        <f t="shared" si="11"/>
        <v/>
      </c>
      <c r="N80" t="s">
        <v>60</v>
      </c>
      <c r="O80">
        <f t="shared" si="12"/>
        <v>0.6</v>
      </c>
      <c r="P80" t="s">
        <v>60</v>
      </c>
      <c r="Q80">
        <v>351</v>
      </c>
      <c r="R80">
        <v>1045.5999999999999</v>
      </c>
      <c r="S80">
        <f t="shared" si="8"/>
        <v>52.9</v>
      </c>
      <c r="T80" t="str">
        <f>IF(NOT(ISNUMBER(S80)),"⬜  Sin dato PVE",IF(AND(COUNT(NORMALIZADO!BV80:BY80)&gt;=3,AQ80=7),IF(S80&lt;34,"🔴 Crítico",IF(S80&lt;67,"🟡 Vulnerable","🟢 Preparado")),"◐  Parcial · "&amp;AQ80&amp;"/7"))</f>
        <v>◐  Parcial · 2/7</v>
      </c>
      <c r="U80" s="53">
        <v>1</v>
      </c>
      <c r="V80" t="s">
        <v>61</v>
      </c>
      <c r="W80">
        <f>IF(NORMALIZADO!BV80="",1,NORMALIZADO!BV80)</f>
        <v>1</v>
      </c>
      <c r="X80" t="str">
        <f>IF(NORMALIZADO!BW80="","",NORMALIZADO!BW80)</f>
        <v/>
      </c>
      <c r="Y80" t="str">
        <f>IF(NORMALIZADO!BX80="","",NORMALIZADO!BX80)</f>
        <v/>
      </c>
      <c r="Z80" t="str">
        <f>IF(NORMALIZADO!BY80="","",NORMALIZADO!BY80)</f>
        <v/>
      </c>
      <c r="AO80" t="str">
        <f t="shared" si="9"/>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1521</v>
      </c>
      <c r="AS80" t="s">
        <v>66</v>
      </c>
      <c r="AT80" t="str">
        <f>IF(NOT(ISNUMBER(AP80)),"sin dato",IF(AND(COUNT(NORMALIZADO!BV80:BY80)&gt;=3,AQ80=7),"completo","parcial · "&amp;AQ80&amp;"/7 · D12-D15 "&amp;COUNT(NORMALIZADO!BV80:BY80)&amp;"/4"))</f>
        <v>parcial · 2/7 · D12-D15 0/4</v>
      </c>
      <c r="AU80">
        <f>IF(CAPTURA!N80&lt;&gt;"",ISNUMBER(SEARCH("Rainforest",CAPTURA!N80))+ISNUMBER(SEARCH("Fairtrade",CAPTURA!N80))+ISNUMBER(SEARCH("Org",CAPTURA!N80))+ISNUMBER(SEARCH("UTZ",CAPTURA!N80))+ISNUMBER(SEARCH("Otr",CAPTURA!N80)),IF(AND(H80="",I80=""),"",IF(H80="SI",1,0)+IF(I80="SI",1,0)))</f>
        <v>1</v>
      </c>
      <c r="AV80">
        <f t="shared" si="10"/>
        <v>33</v>
      </c>
    </row>
    <row r="81" spans="1:48" ht="16.05" customHeight="1" x14ac:dyDescent="0.3">
      <c r="A81" t="s">
        <v>237</v>
      </c>
      <c r="B81" t="s">
        <v>238</v>
      </c>
      <c r="C81" t="s">
        <v>72</v>
      </c>
      <c r="D81" t="s">
        <v>65</v>
      </c>
      <c r="G81" t="s">
        <v>66</v>
      </c>
      <c r="J81" t="s">
        <v>59</v>
      </c>
      <c r="M81" t="str">
        <f t="shared" si="11"/>
        <v/>
      </c>
      <c r="N81" t="s">
        <v>60</v>
      </c>
      <c r="O81" t="str">
        <f t="shared" si="12"/>
        <v/>
      </c>
      <c r="P81" t="s">
        <v>60</v>
      </c>
      <c r="S81" t="str">
        <f t="shared" si="8"/>
        <v>—</v>
      </c>
      <c r="T81" t="str">
        <f>IF(NOT(ISNUMBER(S81)),"⬜  Sin dato PVE",IF(AND(COUNT(NORMALIZADO!BV81:BY81)&gt;=3,AQ81=7),IF(S81&lt;34,"🔴 Crítico",IF(S81&lt;67,"🟡 Vulnerable","🟢 Preparado")),"◐  Parcial · "&amp;AQ81&amp;"/7"))</f>
        <v>⬜  Sin dato PVE</v>
      </c>
      <c r="U81" s="53">
        <v>1</v>
      </c>
      <c r="V81" t="s">
        <v>61</v>
      </c>
      <c r="W81" t="str">
        <f>IF(NORMALIZADO!BV81="","",NORMALIZADO!BV81)</f>
        <v/>
      </c>
      <c r="X81" t="str">
        <f>IF(NORMALIZADO!BW81="","",NORMALIZADO!BW81)</f>
        <v/>
      </c>
      <c r="Y81" t="str">
        <f>IF(NORMALIZADO!BX81="","",NORMALIZADO!BX81)</f>
        <v/>
      </c>
      <c r="Z81" t="str">
        <f>IF(NORMALIZADO!BY81="","",NORMALIZADO!BY81)</f>
        <v/>
      </c>
      <c r="AO81" t="str">
        <f t="shared" si="9"/>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dato",IF(AND(COUNT(NORMALIZADO!BV81:BY81)&gt;=3,AQ81=7),"completo","parcial · "&amp;AQ81&amp;"/7 · D12-D15 "&amp;COUNT(NORMALIZADO!BV81:BY81)&amp;"/4"))</f>
        <v>sin dato</v>
      </c>
      <c r="AU81" t="str">
        <f>IF(CAPTURA!N81&lt;&gt;"",ISNUMBER(SEARCH("Rainforest",CAPTURA!N81))+ISNUMBER(SEARCH("Fairtrade",CAPTURA!N81))+ISNUMBER(SEARCH("Org",CAPTURA!N81))+ISNUMBER(SEARCH("UTZ",CAPTURA!N81))+ISNUMBER(SEARCH("Otr",CAPTURA!N81)),IF(AND(H81="",I81=""),"",IF(H81="SI",1,0)+IF(I81="SI",1,0)))</f>
        <v/>
      </c>
      <c r="AV81" t="str">
        <f t="shared" si="10"/>
        <v/>
      </c>
    </row>
    <row r="82" spans="1:48" ht="16.05" customHeight="1" x14ac:dyDescent="0.3">
      <c r="A82" t="s">
        <v>239</v>
      </c>
      <c r="B82" t="s">
        <v>240</v>
      </c>
      <c r="C82" t="s">
        <v>241</v>
      </c>
      <c r="D82" t="s">
        <v>57</v>
      </c>
      <c r="E82">
        <v>1435723.71</v>
      </c>
      <c r="F82">
        <v>10</v>
      </c>
      <c r="G82" t="s">
        <v>58</v>
      </c>
      <c r="J82" t="s">
        <v>59</v>
      </c>
      <c r="L82">
        <v>717861.85</v>
      </c>
      <c r="M82">
        <f t="shared" si="11"/>
        <v>50</v>
      </c>
      <c r="N82" t="s">
        <v>60</v>
      </c>
      <c r="O82" t="str">
        <f t="shared" si="12"/>
        <v/>
      </c>
      <c r="P82" t="s">
        <v>60</v>
      </c>
      <c r="S82">
        <f t="shared" si="8"/>
        <v>50</v>
      </c>
      <c r="T82" t="str">
        <f>IF(NOT(ISNUMBER(S82)),"⬜  Sin dato PVE",IF(AND(COUNT(NORMALIZADO!BV82:BY82)&gt;=3,AQ82=7),IF(S82&lt;34,"🔴 Crítico",IF(S82&lt;67,"🟡 Vulnerable","🟢 Preparado")),"◐  Parcial · "&amp;AQ82&amp;"/7"))</f>
        <v>◐  Parcial · 2/7</v>
      </c>
      <c r="U82" s="53">
        <v>1</v>
      </c>
      <c r="V82" t="s">
        <v>61</v>
      </c>
      <c r="W82">
        <f>IF(NORMALIZADO!BV82="",1,NORMALIZADO!BV82)</f>
        <v>1</v>
      </c>
      <c r="X82" t="str">
        <f>IF(NORMALIZADO!BW82="","",NORMALIZADO!BW82)</f>
        <v/>
      </c>
      <c r="Y82" t="str">
        <f>IF(NORMALIZADO!BX82="","",NORMALIZADO!BX82)</f>
        <v/>
      </c>
      <c r="Z82" t="str">
        <f>IF(NORMALIZADO!BY82="","",NORMALIZADO!BY82)</f>
        <v/>
      </c>
      <c r="AO82" t="str">
        <f t="shared" si="9"/>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dato",IF(AND(COUNT(NORMALIZADO!BV82:BY82)&gt;=3,AQ82=7),"completo","parcial · "&amp;AQ82&amp;"/7 · D12-D15 "&amp;COUNT(NORMALIZADO!BV82:BY82)&amp;"/4"))</f>
        <v>parcial · 2/7 · D12-D15 0/4</v>
      </c>
      <c r="AU82" t="str">
        <f>IF(CAPTURA!N82&lt;&gt;"",ISNUMBER(SEARCH("Rainforest",CAPTURA!N82))+ISNUMBER(SEARCH("Fairtrade",CAPTURA!N82))+ISNUMBER(SEARCH("Org",CAPTURA!N82))+ISNUMBER(SEARCH("UTZ",CAPTURA!N82))+ISNUMBER(SEARCH("Otr",CAPTURA!N82)),IF(AND(H82="",I82=""),"",IF(H82="SI",1,0)+IF(I82="SI",1,0)))</f>
        <v/>
      </c>
      <c r="AV82" t="str">
        <f t="shared" si="10"/>
        <v/>
      </c>
    </row>
    <row r="83" spans="1:48" ht="16.05" customHeight="1" x14ac:dyDescent="0.3">
      <c r="A83" t="s">
        <v>242</v>
      </c>
      <c r="B83" t="s">
        <v>243</v>
      </c>
      <c r="C83" t="s">
        <v>241</v>
      </c>
      <c r="D83" t="s">
        <v>57</v>
      </c>
      <c r="G83" t="s">
        <v>66</v>
      </c>
      <c r="J83" t="s">
        <v>59</v>
      </c>
      <c r="M83" t="str">
        <f t="shared" si="11"/>
        <v/>
      </c>
      <c r="N83" t="s">
        <v>60</v>
      </c>
      <c r="O83" t="str">
        <f t="shared" si="12"/>
        <v/>
      </c>
      <c r="P83" t="s">
        <v>60</v>
      </c>
      <c r="S83" t="str">
        <f t="shared" si="8"/>
        <v>—</v>
      </c>
      <c r="T83" t="str">
        <f>IF(NOT(ISNUMBER(S83)),"⬜  Sin dato PVE",IF(AND(COUNT(NORMALIZADO!BV83:BY83)&gt;=3,AQ83=7),IF(S83&lt;34,"🔴 Crítico",IF(S83&lt;67,"🟡 Vulnerable","🟢 Preparado")),"◐  Parcial · "&amp;AQ83&amp;"/7"))</f>
        <v>⬜  Sin dato PVE</v>
      </c>
      <c r="U83" s="53">
        <v>1</v>
      </c>
      <c r="V83" t="s">
        <v>61</v>
      </c>
      <c r="W83" t="str">
        <f>IF(NORMALIZADO!BV83="","",NORMALIZADO!BV83)</f>
        <v/>
      </c>
      <c r="X83" t="str">
        <f>IF(NORMALIZADO!BW83="","",NORMALIZADO!BW83)</f>
        <v/>
      </c>
      <c r="Y83" t="str">
        <f>IF(NORMALIZADO!BX83="","",NORMALIZADO!BX83)</f>
        <v/>
      </c>
      <c r="Z83" t="str">
        <f>IF(NORMALIZADO!BY83="","",NORMALIZADO!BY83)</f>
        <v/>
      </c>
      <c r="AO83" t="str">
        <f t="shared" si="9"/>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dato",IF(AND(COUNT(NORMALIZADO!BV83:BY83)&gt;=3,AQ83=7),"completo","parcial · "&amp;AQ83&amp;"/7 · D12-D15 "&amp;COUNT(NORMALIZADO!BV83:BY83)&amp;"/4"))</f>
        <v>sin dato</v>
      </c>
      <c r="AU83" t="str">
        <f>IF(CAPTURA!N83&lt;&gt;"",ISNUMBER(SEARCH("Rainforest",CAPTURA!N83))+ISNUMBER(SEARCH("Fairtrade",CAPTURA!N83))+ISNUMBER(SEARCH("Org",CAPTURA!N83))+ISNUMBER(SEARCH("UTZ",CAPTURA!N83))+ISNUMBER(SEARCH("Otr",CAPTURA!N83)),IF(AND(H83="",I83=""),"",IF(H83="SI",1,0)+IF(I83="SI",1,0)))</f>
        <v/>
      </c>
      <c r="AV83" t="str">
        <f t="shared" si="10"/>
        <v/>
      </c>
    </row>
    <row r="84" spans="1:48" ht="16.05" customHeight="1" x14ac:dyDescent="0.3">
      <c r="A84" t="s">
        <v>244</v>
      </c>
      <c r="B84" t="s">
        <v>245</v>
      </c>
      <c r="C84" t="s">
        <v>69</v>
      </c>
      <c r="D84" t="s">
        <v>65</v>
      </c>
      <c r="E84">
        <v>113466.98</v>
      </c>
      <c r="F84">
        <v>10</v>
      </c>
      <c r="G84" t="s">
        <v>58</v>
      </c>
      <c r="J84" t="s">
        <v>59</v>
      </c>
      <c r="L84">
        <v>0</v>
      </c>
      <c r="M84">
        <f t="shared" si="11"/>
        <v>0</v>
      </c>
      <c r="N84" t="s">
        <v>60</v>
      </c>
      <c r="O84" t="str">
        <f t="shared" si="12"/>
        <v/>
      </c>
      <c r="P84" t="s">
        <v>60</v>
      </c>
      <c r="S84">
        <f t="shared" si="8"/>
        <v>0</v>
      </c>
      <c r="T84" t="str">
        <f>IF(NOT(ISNUMBER(S84)),"⬜  Sin dato PVE",IF(AND(COUNT(NORMALIZADO!BV84:BY84)&gt;=3,AQ84=7),IF(S84&lt;34,"🔴 Crítico",IF(S84&lt;67,"🟡 Vulnerable","🟢 Preparado")),"◐  Parcial · "&amp;AQ84&amp;"/7"))</f>
        <v>◐  Parcial · 1/7</v>
      </c>
      <c r="U84" s="53">
        <v>1</v>
      </c>
      <c r="V84" t="s">
        <v>61</v>
      </c>
      <c r="W84" t="str">
        <f>IF(NORMALIZADO!BV84="","",NORMALIZADO!BV84)</f>
        <v/>
      </c>
      <c r="X84" t="str">
        <f>IF(NORMALIZADO!BW84="","",NORMALIZADO!BW84)</f>
        <v/>
      </c>
      <c r="Y84" t="str">
        <f>IF(NORMALIZADO!BX84="","",NORMALIZADO!BX84)</f>
        <v/>
      </c>
      <c r="Z84" t="str">
        <f>IF(NORMALIZADO!BY84="","",NORMALIZADO!BY84)</f>
        <v/>
      </c>
      <c r="AO84" t="str">
        <f t="shared" si="9"/>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dato",IF(AND(COUNT(NORMALIZADO!BV84:BY84)&gt;=3,AQ84=7),"completo","parcial · "&amp;AQ84&amp;"/7 · D12-D15 "&amp;COUNT(NORMALIZADO!BV84:BY84)&amp;"/4"))</f>
        <v>parcial · 1/7 · D12-D15 0/4</v>
      </c>
      <c r="AU84" t="str">
        <f>IF(CAPTURA!N84&lt;&gt;"",ISNUMBER(SEARCH("Rainforest",CAPTURA!N84))+ISNUMBER(SEARCH("Fairtrade",CAPTURA!N84))+ISNUMBER(SEARCH("Org",CAPTURA!N84))+ISNUMBER(SEARCH("UTZ",CAPTURA!N84))+ISNUMBER(SEARCH("Otr",CAPTURA!N84)),IF(AND(H84="",I84=""),"",IF(H84="SI",1,0)+IF(I84="SI",1,0)))</f>
        <v/>
      </c>
      <c r="AV84" t="str">
        <f t="shared" si="10"/>
        <v/>
      </c>
    </row>
    <row r="85" spans="1:48" ht="16.05" customHeight="1" x14ac:dyDescent="0.3">
      <c r="A85" t="s">
        <v>246</v>
      </c>
      <c r="B85" t="s">
        <v>247</v>
      </c>
      <c r="C85" t="s">
        <v>69</v>
      </c>
      <c r="D85" t="s">
        <v>57</v>
      </c>
      <c r="E85">
        <v>5355025.2299999986</v>
      </c>
      <c r="F85">
        <v>27</v>
      </c>
      <c r="G85" t="s">
        <v>58</v>
      </c>
      <c r="J85" t="s">
        <v>59</v>
      </c>
      <c r="L85">
        <v>2677512.61</v>
      </c>
      <c r="M85">
        <f t="shared" si="11"/>
        <v>50</v>
      </c>
      <c r="N85" t="s">
        <v>60</v>
      </c>
      <c r="O85" t="str">
        <f t="shared" si="12"/>
        <v/>
      </c>
      <c r="P85" t="s">
        <v>60</v>
      </c>
      <c r="S85">
        <f t="shared" si="8"/>
        <v>50</v>
      </c>
      <c r="T85" t="str">
        <f>IF(NOT(ISNUMBER(S85)),"⬜  Sin dato PVE",IF(AND(COUNT(NORMALIZADO!BV85:BY85)&gt;=3,AQ85=7),IF(S85&lt;34,"🔴 Crítico",IF(S85&lt;67,"🟡 Vulnerable","🟢 Preparado")),"◐  Parcial · "&amp;AQ85&amp;"/7"))</f>
        <v>◐  Parcial · 2/7</v>
      </c>
      <c r="U85" s="53">
        <v>1</v>
      </c>
      <c r="V85" t="s">
        <v>61</v>
      </c>
      <c r="W85">
        <f>IF(NORMALIZADO!BV85="",1,NORMALIZADO!BV85)</f>
        <v>1</v>
      </c>
      <c r="X85" t="str">
        <f>IF(NORMALIZADO!BW85="","",NORMALIZADO!BW85)</f>
        <v/>
      </c>
      <c r="Y85" t="str">
        <f>IF(NORMALIZADO!BX85="","",NORMALIZADO!BX85)</f>
        <v/>
      </c>
      <c r="Z85" t="str">
        <f>IF(NORMALIZADO!BY85="","",NORMALIZADO!BY85)</f>
        <v/>
      </c>
      <c r="AO85" t="str">
        <f t="shared" si="9"/>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dato",IF(AND(COUNT(NORMALIZADO!BV85:BY85)&gt;=3,AQ85=7),"completo","parcial · "&amp;AQ85&amp;"/7 · D12-D15 "&amp;COUNT(NORMALIZADO!BV85:BY85)&amp;"/4"))</f>
        <v>parcial · 2/7 · D12-D15 0/4</v>
      </c>
      <c r="AU85" t="str">
        <f>IF(CAPTURA!N85&lt;&gt;"",ISNUMBER(SEARCH("Rainforest",CAPTURA!N85))+ISNUMBER(SEARCH("Fairtrade",CAPTURA!N85))+ISNUMBER(SEARCH("Org",CAPTURA!N85))+ISNUMBER(SEARCH("UTZ",CAPTURA!N85))+ISNUMBER(SEARCH("Otr",CAPTURA!N85)),IF(AND(H85="",I85=""),"",IF(H85="SI",1,0)+IF(I85="SI",1,0)))</f>
        <v/>
      </c>
      <c r="AV85" t="str">
        <f t="shared" si="10"/>
        <v/>
      </c>
    </row>
    <row r="86" spans="1:48" ht="16.05" customHeight="1" x14ac:dyDescent="0.3">
      <c r="A86" t="s">
        <v>248</v>
      </c>
      <c r="B86" t="s">
        <v>249</v>
      </c>
      <c r="C86" t="s">
        <v>241</v>
      </c>
      <c r="D86" t="s">
        <v>65</v>
      </c>
      <c r="G86" t="s">
        <v>66</v>
      </c>
      <c r="J86" t="s">
        <v>59</v>
      </c>
      <c r="M86" t="str">
        <f t="shared" si="11"/>
        <v/>
      </c>
      <c r="N86" t="s">
        <v>60</v>
      </c>
      <c r="O86" t="str">
        <f t="shared" si="12"/>
        <v/>
      </c>
      <c r="P86" t="s">
        <v>60</v>
      </c>
      <c r="S86" t="str">
        <f t="shared" si="8"/>
        <v>—</v>
      </c>
      <c r="T86" t="str">
        <f>IF(NOT(ISNUMBER(S86)),"⬜  Sin dato PVE",IF(AND(COUNT(NORMALIZADO!BV86:BY86)&gt;=3,AQ86=7),IF(S86&lt;34,"🔴 Crítico",IF(S86&lt;67,"🟡 Vulnerable","🟢 Preparado")),"◐  Parcial · "&amp;AQ86&amp;"/7"))</f>
        <v>⬜  Sin dato PVE</v>
      </c>
      <c r="U86" s="53">
        <v>1</v>
      </c>
      <c r="V86" t="s">
        <v>61</v>
      </c>
      <c r="W86" t="str">
        <f>IF(NORMALIZADO!BV86="","",NORMALIZADO!BV86)</f>
        <v/>
      </c>
      <c r="X86" t="str">
        <f>IF(NORMALIZADO!BW86="","",NORMALIZADO!BW86)</f>
        <v/>
      </c>
      <c r="Y86" t="str">
        <f>IF(NORMALIZADO!BX86="","",NORMALIZADO!BX86)</f>
        <v/>
      </c>
      <c r="Z86" t="str">
        <f>IF(NORMALIZADO!BY86="","",NORMALIZADO!BY86)</f>
        <v/>
      </c>
      <c r="AO86" t="str">
        <f t="shared" si="9"/>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dato",IF(AND(COUNT(NORMALIZADO!BV86:BY86)&gt;=3,AQ86=7),"completo","parcial · "&amp;AQ86&amp;"/7 · D12-D15 "&amp;COUNT(NORMALIZADO!BV86:BY86)&amp;"/4"))</f>
        <v>sin dato</v>
      </c>
      <c r="AU86" t="str">
        <f>IF(CAPTURA!N86&lt;&gt;"",ISNUMBER(SEARCH("Rainforest",CAPTURA!N86))+ISNUMBER(SEARCH("Fairtrade",CAPTURA!N86))+ISNUMBER(SEARCH("Org",CAPTURA!N86))+ISNUMBER(SEARCH("UTZ",CAPTURA!N86))+ISNUMBER(SEARCH("Otr",CAPTURA!N86)),IF(AND(H86="",I86=""),"",IF(H86="SI",1,0)+IF(I86="SI",1,0)))</f>
        <v/>
      </c>
      <c r="AV86" t="str">
        <f t="shared" si="10"/>
        <v/>
      </c>
    </row>
    <row r="87" spans="1:48" ht="16.05" customHeight="1" x14ac:dyDescent="0.3">
      <c r="A87" t="s">
        <v>250</v>
      </c>
      <c r="B87" t="s">
        <v>251</v>
      </c>
      <c r="C87" t="s">
        <v>241</v>
      </c>
      <c r="D87" t="s">
        <v>65</v>
      </c>
      <c r="G87" t="s">
        <v>66</v>
      </c>
      <c r="J87" t="s">
        <v>59</v>
      </c>
      <c r="M87" t="str">
        <f t="shared" si="11"/>
        <v/>
      </c>
      <c r="N87" t="s">
        <v>60</v>
      </c>
      <c r="O87" t="str">
        <f t="shared" si="12"/>
        <v/>
      </c>
      <c r="P87" t="s">
        <v>60</v>
      </c>
      <c r="S87" t="str">
        <f t="shared" si="8"/>
        <v>—</v>
      </c>
      <c r="T87" t="str">
        <f>IF(NOT(ISNUMBER(S87)),"⬜  Sin dato PVE",IF(AND(COUNT(NORMALIZADO!BV87:BY87)&gt;=3,AQ87=7),IF(S87&lt;34,"🔴 Crítico",IF(S87&lt;67,"🟡 Vulnerable","🟢 Preparado")),"◐  Parcial · "&amp;AQ87&amp;"/7"))</f>
        <v>⬜  Sin dato PVE</v>
      </c>
      <c r="U87" s="53">
        <v>1</v>
      </c>
      <c r="V87" t="s">
        <v>61</v>
      </c>
      <c r="W87" t="str">
        <f>IF(NORMALIZADO!BV87="","",NORMALIZADO!BV87)</f>
        <v/>
      </c>
      <c r="X87" t="str">
        <f>IF(NORMALIZADO!BW87="","",NORMALIZADO!BW87)</f>
        <v/>
      </c>
      <c r="Y87" t="str">
        <f>IF(NORMALIZADO!BX87="","",NORMALIZADO!BX87)</f>
        <v/>
      </c>
      <c r="Z87" t="str">
        <f>IF(NORMALIZADO!BY87="","",NORMALIZADO!BY87)</f>
        <v/>
      </c>
      <c r="AO87" t="str">
        <f t="shared" si="9"/>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dato",IF(AND(COUNT(NORMALIZADO!BV87:BY87)&gt;=3,AQ87=7),"completo","parcial · "&amp;AQ87&amp;"/7 · D12-D15 "&amp;COUNT(NORMALIZADO!BV87:BY87)&amp;"/4"))</f>
        <v>sin dato</v>
      </c>
      <c r="AU87" t="str">
        <f>IF(CAPTURA!N87&lt;&gt;"",ISNUMBER(SEARCH("Rainforest",CAPTURA!N87))+ISNUMBER(SEARCH("Fairtrade",CAPTURA!N87))+ISNUMBER(SEARCH("Org",CAPTURA!N87))+ISNUMBER(SEARCH("UTZ",CAPTURA!N87))+ISNUMBER(SEARCH("Otr",CAPTURA!N87)),IF(AND(H87="",I87=""),"",IF(H87="SI",1,0)+IF(I87="SI",1,0)))</f>
        <v/>
      </c>
      <c r="AV87" t="str">
        <f t="shared" si="10"/>
        <v/>
      </c>
    </row>
    <row r="88" spans="1:48" ht="16.05" customHeight="1" x14ac:dyDescent="0.3">
      <c r="A88" t="s">
        <v>252</v>
      </c>
      <c r="B88" t="s">
        <v>253</v>
      </c>
      <c r="C88" t="s">
        <v>241</v>
      </c>
      <c r="D88" t="s">
        <v>65</v>
      </c>
      <c r="G88" t="s">
        <v>66</v>
      </c>
      <c r="J88" t="s">
        <v>59</v>
      </c>
      <c r="M88" t="str">
        <f t="shared" si="11"/>
        <v/>
      </c>
      <c r="N88" t="s">
        <v>60</v>
      </c>
      <c r="O88" t="str">
        <f t="shared" si="12"/>
        <v/>
      </c>
      <c r="P88" t="s">
        <v>60</v>
      </c>
      <c r="S88" t="str">
        <f t="shared" si="8"/>
        <v>—</v>
      </c>
      <c r="T88" t="str">
        <f>IF(NOT(ISNUMBER(S88)),"⬜  Sin dato PVE",IF(AND(COUNT(NORMALIZADO!BV88:BY88)&gt;=3,AQ88=7),IF(S88&lt;34,"🔴 Crítico",IF(S88&lt;67,"🟡 Vulnerable","🟢 Preparado")),"◐  Parcial · "&amp;AQ88&amp;"/7"))</f>
        <v>⬜  Sin dato PVE</v>
      </c>
      <c r="U88" s="53">
        <v>1</v>
      </c>
      <c r="V88" t="s">
        <v>61</v>
      </c>
      <c r="W88" t="str">
        <f>IF(NORMALIZADO!BV88="","",NORMALIZADO!BV88)</f>
        <v/>
      </c>
      <c r="X88" t="str">
        <f>IF(NORMALIZADO!BW88="","",NORMALIZADO!BW88)</f>
        <v/>
      </c>
      <c r="Y88" t="str">
        <f>IF(NORMALIZADO!BX88="","",NORMALIZADO!BX88)</f>
        <v/>
      </c>
      <c r="Z88" t="str">
        <f>IF(NORMALIZADO!BY88="","",NORMALIZADO!BY88)</f>
        <v/>
      </c>
      <c r="AO88" t="str">
        <f t="shared" si="9"/>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dato",IF(AND(COUNT(NORMALIZADO!BV88:BY88)&gt;=3,AQ88=7),"completo","parcial · "&amp;AQ88&amp;"/7 · D12-D15 "&amp;COUNT(NORMALIZADO!BV88:BY88)&amp;"/4"))</f>
        <v>sin dato</v>
      </c>
      <c r="AU88" t="str">
        <f>IF(CAPTURA!N88&lt;&gt;"",ISNUMBER(SEARCH("Rainforest",CAPTURA!N88))+ISNUMBER(SEARCH("Fairtrade",CAPTURA!N88))+ISNUMBER(SEARCH("Org",CAPTURA!N88))+ISNUMBER(SEARCH("UTZ",CAPTURA!N88))+ISNUMBER(SEARCH("Otr",CAPTURA!N88)),IF(AND(H88="",I88=""),"",IF(H88="SI",1,0)+IF(I88="SI",1,0)))</f>
        <v/>
      </c>
      <c r="AV88" t="str">
        <f t="shared" si="10"/>
        <v/>
      </c>
    </row>
    <row r="89" spans="1:48" ht="16.05" customHeight="1" x14ac:dyDescent="0.3">
      <c r="A89" t="s">
        <v>254</v>
      </c>
      <c r="B89" t="s">
        <v>255</v>
      </c>
      <c r="C89" t="s">
        <v>241</v>
      </c>
      <c r="D89" t="s">
        <v>57</v>
      </c>
      <c r="G89" t="s">
        <v>66</v>
      </c>
      <c r="J89" t="s">
        <v>59</v>
      </c>
      <c r="M89" t="str">
        <f t="shared" si="11"/>
        <v/>
      </c>
      <c r="N89" t="s">
        <v>60</v>
      </c>
      <c r="O89" t="str">
        <f t="shared" si="12"/>
        <v/>
      </c>
      <c r="P89" t="s">
        <v>60</v>
      </c>
      <c r="S89" t="str">
        <f t="shared" si="8"/>
        <v>—</v>
      </c>
      <c r="T89" t="str">
        <f>IF(NOT(ISNUMBER(S89)),"⬜  Sin dato PVE",IF(AND(COUNT(NORMALIZADO!BV89:BY89)&gt;=3,AQ89=7),IF(S89&lt;34,"🔴 Crítico",IF(S89&lt;67,"🟡 Vulnerable","🟢 Preparado")),"◐  Parcial · "&amp;AQ89&amp;"/7"))</f>
        <v>⬜  Sin dato PVE</v>
      </c>
      <c r="U89" s="53">
        <v>1</v>
      </c>
      <c r="V89" t="s">
        <v>61</v>
      </c>
      <c r="W89" t="str">
        <f>IF(NORMALIZADO!BV89="","",NORMALIZADO!BV89)</f>
        <v/>
      </c>
      <c r="X89" t="str">
        <f>IF(NORMALIZADO!BW89="","",NORMALIZADO!BW89)</f>
        <v/>
      </c>
      <c r="Y89" t="str">
        <f>IF(NORMALIZADO!BX89="","",NORMALIZADO!BX89)</f>
        <v/>
      </c>
      <c r="Z89" t="str">
        <f>IF(NORMALIZADO!BY89="","",NORMALIZADO!BY89)</f>
        <v/>
      </c>
      <c r="AO89" t="str">
        <f t="shared" si="9"/>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dato",IF(AND(COUNT(NORMALIZADO!BV89:BY89)&gt;=3,AQ89=7),"completo","parcial · "&amp;AQ89&amp;"/7 · D12-D15 "&amp;COUNT(NORMALIZADO!BV89:BY89)&amp;"/4"))</f>
        <v>sin dato</v>
      </c>
      <c r="AU89" t="str">
        <f>IF(CAPTURA!N89&lt;&gt;"",ISNUMBER(SEARCH("Rainforest",CAPTURA!N89))+ISNUMBER(SEARCH("Fairtrade",CAPTURA!N89))+ISNUMBER(SEARCH("Org",CAPTURA!N89))+ISNUMBER(SEARCH("UTZ",CAPTURA!N89))+ISNUMBER(SEARCH("Otr",CAPTURA!N89)),IF(AND(H89="",I89=""),"",IF(H89="SI",1,0)+IF(I89="SI",1,0)))</f>
        <v/>
      </c>
      <c r="AV89" t="str">
        <f t="shared" si="10"/>
        <v/>
      </c>
    </row>
    <row r="90" spans="1:48" ht="16.05" customHeight="1" x14ac:dyDescent="0.3">
      <c r="A90" t="s">
        <v>256</v>
      </c>
      <c r="B90" t="s">
        <v>257</v>
      </c>
      <c r="C90" t="s">
        <v>69</v>
      </c>
      <c r="D90" t="s">
        <v>65</v>
      </c>
      <c r="G90" t="s">
        <v>66</v>
      </c>
      <c r="J90" t="s">
        <v>116</v>
      </c>
      <c r="M90" t="str">
        <f t="shared" si="11"/>
        <v/>
      </c>
      <c r="N90" t="s">
        <v>60</v>
      </c>
      <c r="O90" t="str">
        <f t="shared" si="12"/>
        <v/>
      </c>
      <c r="P90" t="s">
        <v>60</v>
      </c>
      <c r="S90" t="str">
        <f t="shared" si="8"/>
        <v>—</v>
      </c>
      <c r="T90" t="str">
        <f>IF(NOT(ISNUMBER(S90)),"⬜  Sin dato PVE",IF(AND(COUNT(NORMALIZADO!BV90:BY90)&gt;=3,AQ90=7),IF(S90&lt;34,"🔴 Crítico",IF(S90&lt;67,"🟡 Vulnerable","🟢 Preparado")),"◐  Parcial · "&amp;AQ90&amp;"/7"))</f>
        <v>⬜  Sin dato PVE</v>
      </c>
      <c r="U90" s="53">
        <v>1</v>
      </c>
      <c r="V90" t="s">
        <v>61</v>
      </c>
      <c r="W90" t="str">
        <f>IF(NORMALIZADO!BV90="","",NORMALIZADO!BV90)</f>
        <v/>
      </c>
      <c r="X90" t="str">
        <f>IF(NORMALIZADO!BW90="","",NORMALIZADO!BW90)</f>
        <v/>
      </c>
      <c r="Y90" t="str">
        <f>IF(NORMALIZADO!BX90="","",NORMALIZADO!BX90)</f>
        <v/>
      </c>
      <c r="Z90" t="str">
        <f>IF(NORMALIZADO!BY90="","",NORMALIZADO!BY90)</f>
        <v/>
      </c>
      <c r="AO90" t="str">
        <f t="shared" si="9"/>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dato",IF(AND(COUNT(NORMALIZADO!BV90:BY90)&gt;=3,AQ90=7),"completo","parcial · "&amp;AQ90&amp;"/7 · D12-D15 "&amp;COUNT(NORMALIZADO!BV90:BY90)&amp;"/4"))</f>
        <v>sin dato</v>
      </c>
      <c r="AU90" t="str">
        <f>IF(CAPTURA!N90&lt;&gt;"",ISNUMBER(SEARCH("Rainforest",CAPTURA!N90))+ISNUMBER(SEARCH("Fairtrade",CAPTURA!N90))+ISNUMBER(SEARCH("Org",CAPTURA!N90))+ISNUMBER(SEARCH("UTZ",CAPTURA!N90))+ISNUMBER(SEARCH("Otr",CAPTURA!N90)),IF(AND(H90="",I90=""),"",IF(H90="SI",1,0)+IF(I90="SI",1,0)))</f>
        <v/>
      </c>
      <c r="AV90" t="str">
        <f t="shared" si="10"/>
        <v/>
      </c>
    </row>
    <row r="91" spans="1:48" ht="16.05" customHeight="1" x14ac:dyDescent="0.3">
      <c r="A91" t="s">
        <v>258</v>
      </c>
      <c r="B91" t="s">
        <v>259</v>
      </c>
      <c r="C91" t="s">
        <v>69</v>
      </c>
      <c r="D91" t="s">
        <v>57</v>
      </c>
      <c r="G91" t="s">
        <v>66</v>
      </c>
      <c r="J91" t="s">
        <v>98</v>
      </c>
      <c r="M91" t="str">
        <f t="shared" si="11"/>
        <v/>
      </c>
      <c r="N91" t="s">
        <v>60</v>
      </c>
      <c r="O91" t="str">
        <f t="shared" si="12"/>
        <v/>
      </c>
      <c r="P91" t="s">
        <v>60</v>
      </c>
      <c r="S91" t="str">
        <f t="shared" si="8"/>
        <v>—</v>
      </c>
      <c r="T91" t="str">
        <f>IF(NOT(ISNUMBER(S91)),"⬜  Sin dato PVE",IF(AND(COUNT(NORMALIZADO!BV91:BY91)&gt;=3,AQ91=7),IF(S91&lt;34,"🔴 Crítico",IF(S91&lt;67,"🟡 Vulnerable","🟢 Preparado")),"◐  Parcial · "&amp;AQ91&amp;"/7"))</f>
        <v>⬜  Sin dato PVE</v>
      </c>
      <c r="U91" s="53">
        <v>1</v>
      </c>
      <c r="V91" t="s">
        <v>61</v>
      </c>
      <c r="W91" t="str">
        <f>IF(NORMALIZADO!BV91="","",NORMALIZADO!BV91)</f>
        <v/>
      </c>
      <c r="X91" t="str">
        <f>IF(NORMALIZADO!BW91="","",NORMALIZADO!BW91)</f>
        <v/>
      </c>
      <c r="Y91" t="str">
        <f>IF(NORMALIZADO!BX91="","",NORMALIZADO!BX91)</f>
        <v/>
      </c>
      <c r="Z91" t="str">
        <f>IF(NORMALIZADO!BY91="","",NORMALIZADO!BY91)</f>
        <v/>
      </c>
      <c r="AO91" t="str">
        <f t="shared" si="9"/>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dato",IF(AND(COUNT(NORMALIZADO!BV91:BY91)&gt;=3,AQ91=7),"completo","parcial · "&amp;AQ91&amp;"/7 · D12-D15 "&amp;COUNT(NORMALIZADO!BV91:BY91)&amp;"/4"))</f>
        <v>sin dato</v>
      </c>
      <c r="AU91" t="str">
        <f>IF(CAPTURA!N91&lt;&gt;"",ISNUMBER(SEARCH("Rainforest",CAPTURA!N91))+ISNUMBER(SEARCH("Fairtrade",CAPTURA!N91))+ISNUMBER(SEARCH("Org",CAPTURA!N91))+ISNUMBER(SEARCH("UTZ",CAPTURA!N91))+ISNUMBER(SEARCH("Otr",CAPTURA!N91)),IF(AND(H91="",I91=""),"",IF(H91="SI",1,0)+IF(I91="SI",1,0)))</f>
        <v/>
      </c>
      <c r="AV91" t="str">
        <f t="shared" si="10"/>
        <v/>
      </c>
    </row>
    <row r="92" spans="1:48" ht="16.05" customHeight="1" x14ac:dyDescent="0.3">
      <c r="A92" t="s">
        <v>260</v>
      </c>
      <c r="B92" t="s">
        <v>261</v>
      </c>
      <c r="C92" t="s">
        <v>142</v>
      </c>
      <c r="D92" t="s">
        <v>57</v>
      </c>
      <c r="E92">
        <v>9585341.8000000007</v>
      </c>
      <c r="F92">
        <v>58</v>
      </c>
      <c r="G92" t="s">
        <v>58</v>
      </c>
      <c r="J92" t="s">
        <v>59</v>
      </c>
      <c r="L92">
        <v>4792670.9000000004</v>
      </c>
      <c r="M92">
        <f t="shared" si="11"/>
        <v>50</v>
      </c>
      <c r="N92" t="s">
        <v>60</v>
      </c>
      <c r="O92" t="str">
        <f t="shared" si="12"/>
        <v/>
      </c>
      <c r="P92" t="s">
        <v>60</v>
      </c>
      <c r="S92">
        <f t="shared" si="8"/>
        <v>50</v>
      </c>
      <c r="T92" t="str">
        <f>IF(NOT(ISNUMBER(S92)),"⬜  Sin dato PVE",IF(AND(COUNT(NORMALIZADO!BV92:BY92)&gt;=3,AQ92=7),IF(S92&lt;34,"🔴 Crítico",IF(S92&lt;67,"🟡 Vulnerable","🟢 Preparado")),"◐  Parcial · "&amp;AQ92&amp;"/7"))</f>
        <v>◐  Parcial · 2/7</v>
      </c>
      <c r="U92" s="53">
        <v>1</v>
      </c>
      <c r="V92" t="s">
        <v>61</v>
      </c>
      <c r="W92">
        <f>IF(NORMALIZADO!BV92="",1,NORMALIZADO!BV92)</f>
        <v>1</v>
      </c>
      <c r="X92" t="str">
        <f>IF(NORMALIZADO!BW92="","",NORMALIZADO!BW92)</f>
        <v/>
      </c>
      <c r="Y92" t="str">
        <f>IF(NORMALIZADO!BX92="","",NORMALIZADO!BX92)</f>
        <v/>
      </c>
      <c r="Z92" t="str">
        <f>IF(NORMALIZADO!BY92="","",NORMALIZADO!BY92)</f>
        <v/>
      </c>
      <c r="AO92" t="str">
        <f t="shared" si="9"/>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dato",IF(AND(COUNT(NORMALIZADO!BV92:BY92)&gt;=3,AQ92=7),"completo","parcial · "&amp;AQ92&amp;"/7 · D12-D15 "&amp;COUNT(NORMALIZADO!BV92:BY92)&amp;"/4"))</f>
        <v>parcial · 2/7 · D12-D15 0/4</v>
      </c>
      <c r="AU92" t="str">
        <f>IF(CAPTURA!N92&lt;&gt;"",ISNUMBER(SEARCH("Rainforest",CAPTURA!N92))+ISNUMBER(SEARCH("Fairtrade",CAPTURA!N92))+ISNUMBER(SEARCH("Org",CAPTURA!N92))+ISNUMBER(SEARCH("UTZ",CAPTURA!N92))+ISNUMBER(SEARCH("Otr",CAPTURA!N92)),IF(AND(H92="",I92=""),"",IF(H92="SI",1,0)+IF(I92="SI",1,0)))</f>
        <v/>
      </c>
      <c r="AV92" t="str">
        <f t="shared" si="10"/>
        <v/>
      </c>
    </row>
    <row r="93" spans="1:48" ht="16.05" customHeight="1" x14ac:dyDescent="0.3">
      <c r="A93" t="s">
        <v>262</v>
      </c>
      <c r="B93" t="s">
        <v>263</v>
      </c>
      <c r="C93" t="s">
        <v>131</v>
      </c>
      <c r="G93" t="s">
        <v>66</v>
      </c>
      <c r="J93" t="s">
        <v>59</v>
      </c>
      <c r="M93" t="str">
        <f t="shared" si="11"/>
        <v/>
      </c>
      <c r="N93" t="s">
        <v>60</v>
      </c>
      <c r="O93" t="str">
        <f t="shared" si="12"/>
        <v/>
      </c>
      <c r="P93" t="s">
        <v>60</v>
      </c>
      <c r="S93" t="str">
        <f t="shared" si="8"/>
        <v>—</v>
      </c>
      <c r="T93" t="str">
        <f>IF(NOT(ISNUMBER(S93)),"⬜  Sin dato PVE",IF(AND(COUNT(NORMALIZADO!BV93:BY93)&gt;=3,AQ93=7),IF(S93&lt;34,"🔴 Crítico",IF(S93&lt;67,"🟡 Vulnerable","🟢 Preparado")),"◐  Parcial · "&amp;AQ93&amp;"/7"))</f>
        <v>⬜  Sin dato PVE</v>
      </c>
      <c r="U93" s="53">
        <v>1</v>
      </c>
      <c r="V93" t="s">
        <v>61</v>
      </c>
      <c r="W93" t="str">
        <f>IF(NORMALIZADO!BV93="","",NORMALIZADO!BV93)</f>
        <v/>
      </c>
      <c r="X93" t="str">
        <f>IF(NORMALIZADO!BW93="","",NORMALIZADO!BW93)</f>
        <v/>
      </c>
      <c r="Y93" t="str">
        <f>IF(NORMALIZADO!BX93="","",NORMALIZADO!BX93)</f>
        <v/>
      </c>
      <c r="Z93" t="str">
        <f>IF(NORMALIZADO!BY93="","",NORMALIZADO!BY93)</f>
        <v/>
      </c>
      <c r="AO93" t="str">
        <f t="shared" si="9"/>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dato",IF(AND(COUNT(NORMALIZADO!BV93:BY93)&gt;=3,AQ93=7),"completo","parcial · "&amp;AQ93&amp;"/7 · D12-D15 "&amp;COUNT(NORMALIZADO!BV93:BY93)&amp;"/4"))</f>
        <v>sin dato</v>
      </c>
      <c r="AU93" t="str">
        <f>IF(CAPTURA!N93&lt;&gt;"",ISNUMBER(SEARCH("Rainforest",CAPTURA!N93))+ISNUMBER(SEARCH("Fairtrade",CAPTURA!N93))+ISNUMBER(SEARCH("Org",CAPTURA!N93))+ISNUMBER(SEARCH("UTZ",CAPTURA!N93))+ISNUMBER(SEARCH("Otr",CAPTURA!N93)),IF(AND(H93="",I93=""),"",IF(H93="SI",1,0)+IF(I93="SI",1,0)))</f>
        <v/>
      </c>
      <c r="AV93" t="str">
        <f t="shared" si="10"/>
        <v/>
      </c>
    </row>
    <row r="94" spans="1:48" ht="16.05" customHeight="1" x14ac:dyDescent="0.3">
      <c r="A94" t="s">
        <v>264</v>
      </c>
      <c r="B94" t="s">
        <v>265</v>
      </c>
      <c r="C94" t="s">
        <v>131</v>
      </c>
      <c r="E94">
        <v>3777944.83</v>
      </c>
      <c r="F94">
        <v>14</v>
      </c>
      <c r="G94" t="s">
        <v>58</v>
      </c>
      <c r="J94" t="s">
        <v>59</v>
      </c>
      <c r="L94">
        <v>1888972.42</v>
      </c>
      <c r="M94">
        <f t="shared" si="11"/>
        <v>50</v>
      </c>
      <c r="N94" t="s">
        <v>60</v>
      </c>
      <c r="O94" t="str">
        <f t="shared" si="12"/>
        <v/>
      </c>
      <c r="P94" t="s">
        <v>60</v>
      </c>
      <c r="S94">
        <f t="shared" si="8"/>
        <v>50</v>
      </c>
      <c r="T94" t="str">
        <f>IF(NOT(ISNUMBER(S94)),"⬜  Sin dato PVE",IF(AND(COUNT(NORMALIZADO!BV94:BY94)&gt;=3,AQ94=7),IF(S94&lt;34,"🔴 Crítico",IF(S94&lt;67,"🟡 Vulnerable","🟢 Preparado")),"◐  Parcial · "&amp;AQ94&amp;"/7"))</f>
        <v>◐  Parcial · 2/7</v>
      </c>
      <c r="U94" s="53">
        <v>1</v>
      </c>
      <c r="V94" t="s">
        <v>61</v>
      </c>
      <c r="W94">
        <f>IF(NORMALIZADO!BV94="",1,NORMALIZADO!BV94)</f>
        <v>1</v>
      </c>
      <c r="X94" t="str">
        <f>IF(NORMALIZADO!BW94="","",NORMALIZADO!BW94)</f>
        <v/>
      </c>
      <c r="Y94" t="str">
        <f>IF(NORMALIZADO!BX94="","",NORMALIZADO!BX94)</f>
        <v/>
      </c>
      <c r="Z94" t="str">
        <f>IF(NORMALIZADO!BY94="","",NORMALIZADO!BY94)</f>
        <v/>
      </c>
      <c r="AO94" t="str">
        <f t="shared" si="9"/>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dato",IF(AND(COUNT(NORMALIZADO!BV94:BY94)&gt;=3,AQ94=7),"completo","parcial · "&amp;AQ94&amp;"/7 · D12-D15 "&amp;COUNT(NORMALIZADO!BV94:BY94)&amp;"/4"))</f>
        <v>parcial · 2/7 · D12-D15 0/4</v>
      </c>
      <c r="AU94" t="str">
        <f>IF(CAPTURA!N94&lt;&gt;"",ISNUMBER(SEARCH("Rainforest",CAPTURA!N94))+ISNUMBER(SEARCH("Fairtrade",CAPTURA!N94))+ISNUMBER(SEARCH("Org",CAPTURA!N94))+ISNUMBER(SEARCH("UTZ",CAPTURA!N94))+ISNUMBER(SEARCH("Otr",CAPTURA!N94)),IF(AND(H94="",I94=""),"",IF(H94="SI",1,0)+IF(I94="SI",1,0)))</f>
        <v/>
      </c>
      <c r="AV94" t="str">
        <f t="shared" si="10"/>
        <v/>
      </c>
    </row>
    <row r="95" spans="1:48" ht="16.05" customHeight="1" x14ac:dyDescent="0.3">
      <c r="A95" t="s">
        <v>266</v>
      </c>
      <c r="B95" t="s">
        <v>267</v>
      </c>
      <c r="C95" t="s">
        <v>111</v>
      </c>
      <c r="D95" t="s">
        <v>65</v>
      </c>
      <c r="G95" t="s">
        <v>66</v>
      </c>
      <c r="J95" t="s">
        <v>59</v>
      </c>
      <c r="M95" t="str">
        <f t="shared" si="11"/>
        <v/>
      </c>
      <c r="N95" t="s">
        <v>60</v>
      </c>
      <c r="O95" t="str">
        <f t="shared" si="12"/>
        <v/>
      </c>
      <c r="P95" t="s">
        <v>60</v>
      </c>
      <c r="S95" t="str">
        <f t="shared" si="8"/>
        <v>—</v>
      </c>
      <c r="T95" t="str">
        <f>IF(NOT(ISNUMBER(S95)),"⬜  Sin dato PVE",IF(AND(COUNT(NORMALIZADO!BV95:BY95)&gt;=3,AQ95=7),IF(S95&lt;34,"🔴 Crítico",IF(S95&lt;67,"🟡 Vulnerable","🟢 Preparado")),"◐  Parcial · "&amp;AQ95&amp;"/7"))</f>
        <v>⬜  Sin dato PVE</v>
      </c>
      <c r="U95" s="53">
        <v>1</v>
      </c>
      <c r="V95" t="s">
        <v>61</v>
      </c>
      <c r="W95" t="str">
        <f>IF(NORMALIZADO!BV95="","",NORMALIZADO!BV95)</f>
        <v/>
      </c>
      <c r="X95" t="str">
        <f>IF(NORMALIZADO!BW95="","",NORMALIZADO!BW95)</f>
        <v/>
      </c>
      <c r="Y95" t="str">
        <f>IF(NORMALIZADO!BX95="","",NORMALIZADO!BX95)</f>
        <v/>
      </c>
      <c r="Z95" t="str">
        <f>IF(NORMALIZADO!BY95="","",NORMALIZADO!BY95)</f>
        <v/>
      </c>
      <c r="AO95" t="str">
        <f t="shared" si="9"/>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dato",IF(AND(COUNT(NORMALIZADO!BV95:BY95)&gt;=3,AQ95=7),"completo","parcial · "&amp;AQ95&amp;"/7 · D12-D15 "&amp;COUNT(NORMALIZADO!BV95:BY95)&amp;"/4"))</f>
        <v>sin dato</v>
      </c>
      <c r="AU95" t="str">
        <f>IF(CAPTURA!N95&lt;&gt;"",ISNUMBER(SEARCH("Rainforest",CAPTURA!N95))+ISNUMBER(SEARCH("Fairtrade",CAPTURA!N95))+ISNUMBER(SEARCH("Org",CAPTURA!N95))+ISNUMBER(SEARCH("UTZ",CAPTURA!N95))+ISNUMBER(SEARCH("Otr",CAPTURA!N95)),IF(AND(H95="",I95=""),"",IF(H95="SI",1,0)+IF(I95="SI",1,0)))</f>
        <v/>
      </c>
      <c r="AV95" t="str">
        <f t="shared" si="10"/>
        <v/>
      </c>
    </row>
    <row r="96" spans="1:48" ht="16.05" customHeight="1" x14ac:dyDescent="0.3">
      <c r="A96" t="s">
        <v>268</v>
      </c>
      <c r="B96" t="s">
        <v>269</v>
      </c>
      <c r="C96" t="s">
        <v>111</v>
      </c>
      <c r="D96" t="s">
        <v>65</v>
      </c>
      <c r="G96" t="s">
        <v>66</v>
      </c>
      <c r="J96" t="s">
        <v>59</v>
      </c>
      <c r="M96" t="str">
        <f t="shared" si="11"/>
        <v/>
      </c>
      <c r="N96" t="s">
        <v>60</v>
      </c>
      <c r="O96" t="str">
        <f t="shared" si="12"/>
        <v/>
      </c>
      <c r="P96" t="s">
        <v>60</v>
      </c>
      <c r="S96" t="str">
        <f t="shared" si="8"/>
        <v>—</v>
      </c>
      <c r="T96" t="str">
        <f>IF(NOT(ISNUMBER(S96)),"⬜  Sin dato PVE",IF(AND(COUNT(NORMALIZADO!BV96:BY96)&gt;=3,AQ96=7),IF(S96&lt;34,"🔴 Crítico",IF(S96&lt;67,"🟡 Vulnerable","🟢 Preparado")),"◐  Parcial · "&amp;AQ96&amp;"/7"))</f>
        <v>⬜  Sin dato PVE</v>
      </c>
      <c r="U96" s="53">
        <v>1</v>
      </c>
      <c r="V96" t="s">
        <v>61</v>
      </c>
      <c r="W96" t="str">
        <f>IF(NORMALIZADO!BV96="","",NORMALIZADO!BV96)</f>
        <v/>
      </c>
      <c r="X96" t="str">
        <f>IF(NORMALIZADO!BW96="","",NORMALIZADO!BW96)</f>
        <v/>
      </c>
      <c r="Y96" t="str">
        <f>IF(NORMALIZADO!BX96="","",NORMALIZADO!BX96)</f>
        <v/>
      </c>
      <c r="Z96" t="str">
        <f>IF(NORMALIZADO!BY96="","",NORMALIZADO!BY96)</f>
        <v/>
      </c>
      <c r="AO96" t="str">
        <f t="shared" si="9"/>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dato",IF(AND(COUNT(NORMALIZADO!BV96:BY96)&gt;=3,AQ96=7),"completo","parcial · "&amp;AQ96&amp;"/7 · D12-D15 "&amp;COUNT(NORMALIZADO!BV96:BY96)&amp;"/4"))</f>
        <v>sin dato</v>
      </c>
      <c r="AU96" t="str">
        <f>IF(CAPTURA!N96&lt;&gt;"",ISNUMBER(SEARCH("Rainforest",CAPTURA!N96))+ISNUMBER(SEARCH("Fairtrade",CAPTURA!N96))+ISNUMBER(SEARCH("Org",CAPTURA!N96))+ISNUMBER(SEARCH("UTZ",CAPTURA!N96))+ISNUMBER(SEARCH("Otr",CAPTURA!N96)),IF(AND(H96="",I96=""),"",IF(H96="SI",1,0)+IF(I96="SI",1,0)))</f>
        <v/>
      </c>
      <c r="AV96" t="str">
        <f t="shared" si="10"/>
        <v/>
      </c>
    </row>
    <row r="97" spans="1:48" ht="16.05" customHeight="1" x14ac:dyDescent="0.3">
      <c r="A97" t="s">
        <v>270</v>
      </c>
      <c r="B97" t="s">
        <v>271</v>
      </c>
      <c r="C97" t="s">
        <v>111</v>
      </c>
      <c r="D97" t="s">
        <v>65</v>
      </c>
      <c r="G97" t="s">
        <v>66</v>
      </c>
      <c r="J97" t="s">
        <v>116</v>
      </c>
      <c r="M97" t="str">
        <f t="shared" si="11"/>
        <v/>
      </c>
      <c r="N97" t="s">
        <v>60</v>
      </c>
      <c r="O97" t="str">
        <f t="shared" si="12"/>
        <v/>
      </c>
      <c r="P97" t="s">
        <v>60</v>
      </c>
      <c r="S97" t="str">
        <f t="shared" si="8"/>
        <v>—</v>
      </c>
      <c r="T97" t="str">
        <f>IF(NOT(ISNUMBER(S97)),"⬜  Sin dato PVE",IF(AND(COUNT(NORMALIZADO!BV97:BY97)&gt;=3,AQ97=7),IF(S97&lt;34,"🔴 Crítico",IF(S97&lt;67,"🟡 Vulnerable","🟢 Preparado")),"◐  Parcial · "&amp;AQ97&amp;"/7"))</f>
        <v>⬜  Sin dato PVE</v>
      </c>
      <c r="U97" s="53">
        <v>1</v>
      </c>
      <c r="V97" t="s">
        <v>61</v>
      </c>
      <c r="W97" t="str">
        <f>IF(NORMALIZADO!BV97="","",NORMALIZADO!BV97)</f>
        <v/>
      </c>
      <c r="X97" t="str">
        <f>IF(NORMALIZADO!BW97="","",NORMALIZADO!BW97)</f>
        <v/>
      </c>
      <c r="Y97" t="str">
        <f>IF(NORMALIZADO!BX97="","",NORMALIZADO!BX97)</f>
        <v/>
      </c>
      <c r="Z97" t="str">
        <f>IF(NORMALIZADO!BY97="","",NORMALIZADO!BY97)</f>
        <v/>
      </c>
      <c r="AO97" t="str">
        <f t="shared" si="9"/>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dato",IF(AND(COUNT(NORMALIZADO!BV97:BY97)&gt;=3,AQ97=7),"completo","parcial · "&amp;AQ97&amp;"/7 · D12-D15 "&amp;COUNT(NORMALIZADO!BV97:BY97)&amp;"/4"))</f>
        <v>sin dato</v>
      </c>
      <c r="AU97" t="str">
        <f>IF(CAPTURA!N97&lt;&gt;"",ISNUMBER(SEARCH("Rainforest",CAPTURA!N97))+ISNUMBER(SEARCH("Fairtrade",CAPTURA!N97))+ISNUMBER(SEARCH("Org",CAPTURA!N97))+ISNUMBER(SEARCH("UTZ",CAPTURA!N97))+ISNUMBER(SEARCH("Otr",CAPTURA!N97)),IF(AND(H97="",I97=""),"",IF(H97="SI",1,0)+IF(I97="SI",1,0)))</f>
        <v/>
      </c>
      <c r="AV97" t="str">
        <f t="shared" si="10"/>
        <v/>
      </c>
    </row>
    <row r="98" spans="1:48" ht="16.05" customHeight="1" x14ac:dyDescent="0.3">
      <c r="A98" t="s">
        <v>272</v>
      </c>
      <c r="B98" t="s">
        <v>273</v>
      </c>
      <c r="C98" t="s">
        <v>111</v>
      </c>
      <c r="D98" t="s">
        <v>65</v>
      </c>
      <c r="G98" t="s">
        <v>66</v>
      </c>
      <c r="J98" t="s">
        <v>59</v>
      </c>
      <c r="M98" t="str">
        <f t="shared" si="11"/>
        <v/>
      </c>
      <c r="N98" t="s">
        <v>60</v>
      </c>
      <c r="O98" t="str">
        <f t="shared" si="12"/>
        <v/>
      </c>
      <c r="P98" t="s">
        <v>60</v>
      </c>
      <c r="S98" t="str">
        <f t="shared" si="8"/>
        <v>—</v>
      </c>
      <c r="T98" t="str">
        <f>IF(NOT(ISNUMBER(S98)),"⬜  Sin dato PVE",IF(AND(COUNT(NORMALIZADO!BV98:BY98)&gt;=3,AQ98=7),IF(S98&lt;34,"🔴 Crítico",IF(S98&lt;67,"🟡 Vulnerable","🟢 Preparado")),"◐  Parcial · "&amp;AQ98&amp;"/7"))</f>
        <v>⬜  Sin dato PVE</v>
      </c>
      <c r="U98" s="53">
        <v>1</v>
      </c>
      <c r="V98" t="s">
        <v>61</v>
      </c>
      <c r="W98" t="str">
        <f>IF(NORMALIZADO!BV98="","",NORMALIZADO!BV98)</f>
        <v/>
      </c>
      <c r="X98" t="str">
        <f>IF(NORMALIZADO!BW98="","",NORMALIZADO!BW98)</f>
        <v/>
      </c>
      <c r="Y98" t="str">
        <f>IF(NORMALIZADO!BX98="","",NORMALIZADO!BX98)</f>
        <v/>
      </c>
      <c r="Z98" t="str">
        <f>IF(NORMALIZADO!BY98="","",NORMALIZADO!BY98)</f>
        <v/>
      </c>
      <c r="AO98" t="str">
        <f t="shared" si="9"/>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dato",IF(AND(COUNT(NORMALIZADO!BV98:BY98)&gt;=3,AQ98=7),"completo","parcial · "&amp;AQ98&amp;"/7 · D12-D15 "&amp;COUNT(NORMALIZADO!BV98:BY98)&amp;"/4"))</f>
        <v>sin dato</v>
      </c>
      <c r="AU98" t="str">
        <f>IF(CAPTURA!N98&lt;&gt;"",ISNUMBER(SEARCH("Rainforest",CAPTURA!N98))+ISNUMBER(SEARCH("Fairtrade",CAPTURA!N98))+ISNUMBER(SEARCH("Org",CAPTURA!N98))+ISNUMBER(SEARCH("UTZ",CAPTURA!N98))+ISNUMBER(SEARCH("Otr",CAPTURA!N98)),IF(AND(H98="",I98=""),"",IF(H98="SI",1,0)+IF(I98="SI",1,0)))</f>
        <v/>
      </c>
      <c r="AV98" t="str">
        <f t="shared" si="10"/>
        <v/>
      </c>
    </row>
    <row r="99" spans="1:48" ht="16.05" customHeight="1" x14ac:dyDescent="0.3">
      <c r="A99" t="s">
        <v>274</v>
      </c>
      <c r="B99" t="s">
        <v>275</v>
      </c>
      <c r="C99" t="s">
        <v>111</v>
      </c>
      <c r="D99" t="s">
        <v>276</v>
      </c>
      <c r="G99" t="s">
        <v>66</v>
      </c>
      <c r="J99" t="s">
        <v>116</v>
      </c>
      <c r="M99" t="str">
        <f t="shared" si="11"/>
        <v/>
      </c>
      <c r="N99" t="s">
        <v>60</v>
      </c>
      <c r="O99" t="str">
        <f t="shared" si="12"/>
        <v/>
      </c>
      <c r="P99" t="s">
        <v>60</v>
      </c>
      <c r="S99" t="str">
        <f t="shared" ref="S99:S130" si="13">IFERROR(ROUND(AP99*100,1),"—")</f>
        <v>—</v>
      </c>
      <c r="T99" t="str">
        <f>IF(NOT(ISNUMBER(S99)),"⬜  Sin dato PVE",IF(AND(COUNT(NORMALIZADO!BV99:BY99)&gt;=3,AQ99=7),IF(S99&lt;34,"🔴 Crítico",IF(S99&lt;67,"🟡 Vulnerable","🟢 Preparado")),"◐  Parcial · "&amp;AQ99&amp;"/7"))</f>
        <v>⬜  Sin dato PVE</v>
      </c>
      <c r="U99" s="53">
        <v>1</v>
      </c>
      <c r="V99" t="s">
        <v>61</v>
      </c>
      <c r="W99" t="str">
        <f>IF(NORMALIZADO!BV99="","",NORMALIZADO!BV99)</f>
        <v/>
      </c>
      <c r="X99" t="str">
        <f>IF(NORMALIZADO!BW99="","",NORMALIZADO!BW99)</f>
        <v/>
      </c>
      <c r="Y99" t="str">
        <f>IF(NORMALIZADO!BX99="","",NORMALIZADO!BX99)</f>
        <v/>
      </c>
      <c r="Z99" t="str">
        <f>IF(NORMALIZADO!BY99="","",NORMALIZADO!BY99)</f>
        <v/>
      </c>
      <c r="AO99" t="str">
        <f t="shared" ref="AO99:AO130" si="14">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dato",IF(AND(COUNT(NORMALIZADO!BV99:BY99)&gt;=3,AQ99=7),"completo","parcial · "&amp;AQ99&amp;"/7 · D12-D15 "&amp;COUNT(NORMALIZADO!BV99:BY99)&amp;"/4"))</f>
        <v>sin dato</v>
      </c>
      <c r="AU99" t="str">
        <f>IF(CAPTURA!N99&lt;&gt;"",ISNUMBER(SEARCH("Rainforest",CAPTURA!N99))+ISNUMBER(SEARCH("Fairtrade",CAPTURA!N99))+ISNUMBER(SEARCH("Org",CAPTURA!N99))+ISNUMBER(SEARCH("UTZ",CAPTURA!N99))+ISNUMBER(SEARCH("Otr",CAPTURA!N99)),IF(AND(H99="",I99=""),"",IF(H99="SI",1,0)+IF(I99="SI",1,0)))</f>
        <v/>
      </c>
      <c r="AV99" t="str">
        <f t="shared" ref="AV99:AV130" si="15">IF(AU99="","",CHOOSE(MIN(3,AU99)+1,0,33,66,100))</f>
        <v/>
      </c>
    </row>
    <row r="100" spans="1:48" ht="16.05" customHeight="1" x14ac:dyDescent="0.3">
      <c r="A100" t="s">
        <v>277</v>
      </c>
      <c r="B100" t="s">
        <v>278</v>
      </c>
      <c r="C100" t="s">
        <v>72</v>
      </c>
      <c r="D100" t="s">
        <v>65</v>
      </c>
      <c r="G100" t="s">
        <v>66</v>
      </c>
      <c r="J100" t="s">
        <v>59</v>
      </c>
      <c r="M100" t="str">
        <f t="shared" si="11"/>
        <v/>
      </c>
      <c r="N100" t="s">
        <v>60</v>
      </c>
      <c r="O100" t="str">
        <f t="shared" si="12"/>
        <v/>
      </c>
      <c r="P100" t="s">
        <v>60</v>
      </c>
      <c r="S100" t="str">
        <f t="shared" si="13"/>
        <v>—</v>
      </c>
      <c r="T100" t="str">
        <f>IF(NOT(ISNUMBER(S100)),"⬜  Sin dato PVE",IF(AND(COUNT(NORMALIZADO!BV100:BY100)&gt;=3,AQ100=7),IF(S100&lt;34,"🔴 Crítico",IF(S100&lt;67,"🟡 Vulnerable","🟢 Preparado")),"◐  Parcial · "&amp;AQ100&amp;"/7"))</f>
        <v>⬜  Sin dato PVE</v>
      </c>
      <c r="U100" s="53">
        <v>1</v>
      </c>
      <c r="V100" t="s">
        <v>61</v>
      </c>
      <c r="W100" t="str">
        <f>IF(NORMALIZADO!BV100="","",NORMALIZADO!BV100)</f>
        <v/>
      </c>
      <c r="X100" t="str">
        <f>IF(NORMALIZADO!BW100="","",NORMALIZADO!BW100)</f>
        <v/>
      </c>
      <c r="Y100" t="str">
        <f>IF(NORMALIZADO!BX100="","",NORMALIZADO!BX100)</f>
        <v/>
      </c>
      <c r="Z100" t="str">
        <f>IF(NORMALIZADO!BY100="","",NORMALIZADO!BY100)</f>
        <v/>
      </c>
      <c r="AO100" t="str">
        <f t="shared" si="14"/>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dato",IF(AND(COUNT(NORMALIZADO!BV100:BY100)&gt;=3,AQ100=7),"completo","parcial · "&amp;AQ100&amp;"/7 · D12-D15 "&amp;COUNT(NORMALIZADO!BV100:BY100)&amp;"/4"))</f>
        <v>sin dato</v>
      </c>
      <c r="AU100" t="str">
        <f>IF(CAPTURA!N100&lt;&gt;"",ISNUMBER(SEARCH("Rainforest",CAPTURA!N100))+ISNUMBER(SEARCH("Fairtrade",CAPTURA!N100))+ISNUMBER(SEARCH("Org",CAPTURA!N100))+ISNUMBER(SEARCH("UTZ",CAPTURA!N100))+ISNUMBER(SEARCH("Otr",CAPTURA!N100)),IF(AND(H100="",I100=""),"",IF(H100="SI",1,0)+IF(I100="SI",1,0)))</f>
        <v/>
      </c>
      <c r="AV100" t="str">
        <f t="shared" si="15"/>
        <v/>
      </c>
    </row>
    <row r="101" spans="1:48" ht="16.05" customHeight="1" x14ac:dyDescent="0.3">
      <c r="A101" t="s">
        <v>279</v>
      </c>
      <c r="B101" t="s">
        <v>280</v>
      </c>
      <c r="C101" t="s">
        <v>104</v>
      </c>
      <c r="D101" t="s">
        <v>57</v>
      </c>
      <c r="G101" t="s">
        <v>66</v>
      </c>
      <c r="J101" t="s">
        <v>59</v>
      </c>
      <c r="M101" t="str">
        <f t="shared" si="11"/>
        <v/>
      </c>
      <c r="N101" t="s">
        <v>60</v>
      </c>
      <c r="O101" t="str">
        <f t="shared" si="12"/>
        <v/>
      </c>
      <c r="P101" t="s">
        <v>60</v>
      </c>
      <c r="S101" t="str">
        <f t="shared" si="13"/>
        <v>—</v>
      </c>
      <c r="T101" t="str">
        <f>IF(NOT(ISNUMBER(S101)),"⬜  Sin dato PVE",IF(AND(COUNT(NORMALIZADO!BV101:BY101)&gt;=3,AQ101=7),IF(S101&lt;34,"🔴 Crítico",IF(S101&lt;67,"🟡 Vulnerable","🟢 Preparado")),"◐  Parcial · "&amp;AQ101&amp;"/7"))</f>
        <v>⬜  Sin dato PVE</v>
      </c>
      <c r="U101" s="53">
        <v>1</v>
      </c>
      <c r="V101" t="s">
        <v>61</v>
      </c>
      <c r="W101" t="str">
        <f>IF(NORMALIZADO!BV101="","",NORMALIZADO!BV101)</f>
        <v/>
      </c>
      <c r="X101" t="str">
        <f>IF(NORMALIZADO!BW101="","",NORMALIZADO!BW101)</f>
        <v/>
      </c>
      <c r="Y101" t="str">
        <f>IF(NORMALIZADO!BX101="","",NORMALIZADO!BX101)</f>
        <v/>
      </c>
      <c r="Z101" t="str">
        <f>IF(NORMALIZADO!BY101="","",NORMALIZADO!BY101)</f>
        <v/>
      </c>
      <c r="AO101" t="str">
        <f t="shared" si="14"/>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dato",IF(AND(COUNT(NORMALIZADO!BV101:BY101)&gt;=3,AQ101=7),"completo","parcial · "&amp;AQ101&amp;"/7 · D12-D15 "&amp;COUNT(NORMALIZADO!BV101:BY101)&amp;"/4"))</f>
        <v>sin dato</v>
      </c>
      <c r="AU101" t="str">
        <f>IF(CAPTURA!N101&lt;&gt;"",ISNUMBER(SEARCH("Rainforest",CAPTURA!N101))+ISNUMBER(SEARCH("Fairtrade",CAPTURA!N101))+ISNUMBER(SEARCH("Org",CAPTURA!N101))+ISNUMBER(SEARCH("UTZ",CAPTURA!N101))+ISNUMBER(SEARCH("Otr",CAPTURA!N101)),IF(AND(H101="",I101=""),"",IF(H101="SI",1,0)+IF(I101="SI",1,0)))</f>
        <v/>
      </c>
      <c r="AV101" t="str">
        <f t="shared" si="15"/>
        <v/>
      </c>
    </row>
    <row r="102" spans="1:48" ht="16.05" customHeight="1" x14ac:dyDescent="0.3">
      <c r="A102" t="s">
        <v>281</v>
      </c>
      <c r="B102" t="s">
        <v>282</v>
      </c>
      <c r="C102" t="s">
        <v>111</v>
      </c>
      <c r="D102" t="s">
        <v>65</v>
      </c>
      <c r="G102" t="s">
        <v>66</v>
      </c>
      <c r="J102" t="s">
        <v>59</v>
      </c>
      <c r="M102" t="str">
        <f t="shared" si="11"/>
        <v/>
      </c>
      <c r="N102" t="s">
        <v>60</v>
      </c>
      <c r="O102" t="str">
        <f t="shared" si="12"/>
        <v/>
      </c>
      <c r="P102" t="s">
        <v>60</v>
      </c>
      <c r="S102" t="str">
        <f t="shared" si="13"/>
        <v>—</v>
      </c>
      <c r="T102" t="str">
        <f>IF(NOT(ISNUMBER(S102)),"⬜  Sin dato PVE",IF(AND(COUNT(NORMALIZADO!BV102:BY102)&gt;=3,AQ102=7),IF(S102&lt;34,"🔴 Crítico",IF(S102&lt;67,"🟡 Vulnerable","🟢 Preparado")),"◐  Parcial · "&amp;AQ102&amp;"/7"))</f>
        <v>⬜  Sin dato PVE</v>
      </c>
      <c r="U102" s="53">
        <v>1</v>
      </c>
      <c r="V102" t="s">
        <v>61</v>
      </c>
      <c r="W102" t="str">
        <f>IF(NORMALIZADO!BV102="","",NORMALIZADO!BV102)</f>
        <v/>
      </c>
      <c r="X102" t="str">
        <f>IF(NORMALIZADO!BW102="","",NORMALIZADO!BW102)</f>
        <v/>
      </c>
      <c r="Y102" t="str">
        <f>IF(NORMALIZADO!BX102="","",NORMALIZADO!BX102)</f>
        <v/>
      </c>
      <c r="Z102" t="str">
        <f>IF(NORMALIZADO!BY102="","",NORMALIZADO!BY102)</f>
        <v/>
      </c>
      <c r="AO102" t="str">
        <f t="shared" si="14"/>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dato",IF(AND(COUNT(NORMALIZADO!BV102:BY102)&gt;=3,AQ102=7),"completo","parcial · "&amp;AQ102&amp;"/7 · D12-D15 "&amp;COUNT(NORMALIZADO!BV102:BY102)&amp;"/4"))</f>
        <v>sin dato</v>
      </c>
      <c r="AU102" t="str">
        <f>IF(CAPTURA!N102&lt;&gt;"",ISNUMBER(SEARCH("Rainforest",CAPTURA!N102))+ISNUMBER(SEARCH("Fairtrade",CAPTURA!N102))+ISNUMBER(SEARCH("Org",CAPTURA!N102))+ISNUMBER(SEARCH("UTZ",CAPTURA!N102))+ISNUMBER(SEARCH("Otr",CAPTURA!N102)),IF(AND(H102="",I102=""),"",IF(H102="SI",1,0)+IF(I102="SI",1,0)))</f>
        <v/>
      </c>
      <c r="AV102" t="str">
        <f t="shared" si="15"/>
        <v/>
      </c>
    </row>
    <row r="103" spans="1:48" ht="16.05" customHeight="1" x14ac:dyDescent="0.3">
      <c r="A103" t="s">
        <v>283</v>
      </c>
      <c r="B103" t="s">
        <v>284</v>
      </c>
      <c r="C103" t="s">
        <v>184</v>
      </c>
      <c r="D103" t="s">
        <v>65</v>
      </c>
      <c r="G103" t="s">
        <v>66</v>
      </c>
      <c r="J103" t="s">
        <v>59</v>
      </c>
      <c r="M103" t="str">
        <f t="shared" si="11"/>
        <v/>
      </c>
      <c r="N103" t="s">
        <v>60</v>
      </c>
      <c r="O103" t="str">
        <f t="shared" si="12"/>
        <v/>
      </c>
      <c r="P103" t="s">
        <v>60</v>
      </c>
      <c r="S103" t="str">
        <f t="shared" si="13"/>
        <v>—</v>
      </c>
      <c r="T103" t="str">
        <f>IF(NOT(ISNUMBER(S103)),"⬜  Sin dato PVE",IF(AND(COUNT(NORMALIZADO!BV103:BY103)&gt;=3,AQ103=7),IF(S103&lt;34,"🔴 Crítico",IF(S103&lt;67,"🟡 Vulnerable","🟢 Preparado")),"◐  Parcial · "&amp;AQ103&amp;"/7"))</f>
        <v>⬜  Sin dato PVE</v>
      </c>
      <c r="U103" s="53">
        <v>1</v>
      </c>
      <c r="V103" t="s">
        <v>61</v>
      </c>
      <c r="W103" t="str">
        <f>IF(NORMALIZADO!BV103="","",NORMALIZADO!BV103)</f>
        <v/>
      </c>
      <c r="X103" t="str">
        <f>IF(NORMALIZADO!BW103="","",NORMALIZADO!BW103)</f>
        <v/>
      </c>
      <c r="Y103" t="str">
        <f>IF(NORMALIZADO!BX103="","",NORMALIZADO!BX103)</f>
        <v/>
      </c>
      <c r="Z103" t="str">
        <f>IF(NORMALIZADO!BY103="","",NORMALIZADO!BY103)</f>
        <v/>
      </c>
      <c r="AO103" t="str">
        <f t="shared" si="14"/>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dato",IF(AND(COUNT(NORMALIZADO!BV103:BY103)&gt;=3,AQ103=7),"completo","parcial · "&amp;AQ103&amp;"/7 · D12-D15 "&amp;COUNT(NORMALIZADO!BV103:BY103)&amp;"/4"))</f>
        <v>sin dato</v>
      </c>
      <c r="AU103" t="str">
        <f>IF(CAPTURA!N103&lt;&gt;"",ISNUMBER(SEARCH("Rainforest",CAPTURA!N103))+ISNUMBER(SEARCH("Fairtrade",CAPTURA!N103))+ISNUMBER(SEARCH("Org",CAPTURA!N103))+ISNUMBER(SEARCH("UTZ",CAPTURA!N103))+ISNUMBER(SEARCH("Otr",CAPTURA!N103)),IF(AND(H103="",I103=""),"",IF(H103="SI",1,0)+IF(I103="SI",1,0)))</f>
        <v/>
      </c>
      <c r="AV103" t="str">
        <f t="shared" si="15"/>
        <v/>
      </c>
    </row>
    <row r="104" spans="1:48" ht="16.05" customHeight="1" x14ac:dyDescent="0.3">
      <c r="A104" t="s">
        <v>285</v>
      </c>
      <c r="B104" t="s">
        <v>286</v>
      </c>
      <c r="C104" t="s">
        <v>233</v>
      </c>
      <c r="D104" t="s">
        <v>65</v>
      </c>
      <c r="G104" t="s">
        <v>66</v>
      </c>
      <c r="J104" t="s">
        <v>59</v>
      </c>
      <c r="M104" t="str">
        <f t="shared" si="11"/>
        <v/>
      </c>
      <c r="N104" t="s">
        <v>60</v>
      </c>
      <c r="O104" t="str">
        <f t="shared" si="12"/>
        <v/>
      </c>
      <c r="P104" t="s">
        <v>60</v>
      </c>
      <c r="S104" t="str">
        <f t="shared" si="13"/>
        <v>—</v>
      </c>
      <c r="T104" t="str">
        <f>IF(NOT(ISNUMBER(S104)),"⬜  Sin dato PVE",IF(AND(COUNT(NORMALIZADO!BV104:BY104)&gt;=3,AQ104=7),IF(S104&lt;34,"🔴 Crítico",IF(S104&lt;67,"🟡 Vulnerable","🟢 Preparado")),"◐  Parcial · "&amp;AQ104&amp;"/7"))</f>
        <v>⬜  Sin dato PVE</v>
      </c>
      <c r="U104" s="53">
        <v>1</v>
      </c>
      <c r="V104" t="s">
        <v>61</v>
      </c>
      <c r="W104" t="str">
        <f>IF(NORMALIZADO!BV104="","",NORMALIZADO!BV104)</f>
        <v/>
      </c>
      <c r="X104" t="str">
        <f>IF(NORMALIZADO!BW104="","",NORMALIZADO!BW104)</f>
        <v/>
      </c>
      <c r="Y104" t="str">
        <f>IF(NORMALIZADO!BX104="","",NORMALIZADO!BX104)</f>
        <v/>
      </c>
      <c r="Z104" t="str">
        <f>IF(NORMALIZADO!BY104="","",NORMALIZADO!BY104)</f>
        <v/>
      </c>
      <c r="AO104" t="str">
        <f t="shared" si="14"/>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dato",IF(AND(COUNT(NORMALIZADO!BV104:BY104)&gt;=3,AQ104=7),"completo","parcial · "&amp;AQ104&amp;"/7 · D12-D15 "&amp;COUNT(NORMALIZADO!BV104:BY104)&amp;"/4"))</f>
        <v>sin dato</v>
      </c>
      <c r="AU104" t="str">
        <f>IF(CAPTURA!N104&lt;&gt;"",ISNUMBER(SEARCH("Rainforest",CAPTURA!N104))+ISNUMBER(SEARCH("Fairtrade",CAPTURA!N104))+ISNUMBER(SEARCH("Org",CAPTURA!N104))+ISNUMBER(SEARCH("UTZ",CAPTURA!N104))+ISNUMBER(SEARCH("Otr",CAPTURA!N104)),IF(AND(H104="",I104=""),"",IF(H104="SI",1,0)+IF(I104="SI",1,0)))</f>
        <v/>
      </c>
      <c r="AV104" t="str">
        <f t="shared" si="15"/>
        <v/>
      </c>
    </row>
    <row r="105" spans="1:48" ht="16.05" customHeight="1" x14ac:dyDescent="0.3">
      <c r="A105" t="s">
        <v>287</v>
      </c>
      <c r="B105" t="s">
        <v>288</v>
      </c>
      <c r="C105" t="s">
        <v>104</v>
      </c>
      <c r="D105" t="s">
        <v>57</v>
      </c>
      <c r="G105" t="s">
        <v>66</v>
      </c>
      <c r="J105" t="s">
        <v>59</v>
      </c>
      <c r="M105" t="str">
        <f t="shared" si="11"/>
        <v/>
      </c>
      <c r="N105" t="s">
        <v>60</v>
      </c>
      <c r="O105" t="str">
        <f t="shared" si="12"/>
        <v/>
      </c>
      <c r="P105" t="s">
        <v>60</v>
      </c>
      <c r="S105" t="str">
        <f t="shared" si="13"/>
        <v>—</v>
      </c>
      <c r="T105" t="str">
        <f>IF(NOT(ISNUMBER(S105)),"⬜  Sin dato PVE",IF(AND(COUNT(NORMALIZADO!BV105:BY105)&gt;=3,AQ105=7),IF(S105&lt;34,"🔴 Crítico",IF(S105&lt;67,"🟡 Vulnerable","🟢 Preparado")),"◐  Parcial · "&amp;AQ105&amp;"/7"))</f>
        <v>⬜  Sin dato PVE</v>
      </c>
      <c r="U105" s="53">
        <v>1</v>
      </c>
      <c r="V105" t="s">
        <v>61</v>
      </c>
      <c r="W105" t="str">
        <f>IF(NORMALIZADO!BV105="","",NORMALIZADO!BV105)</f>
        <v/>
      </c>
      <c r="X105" t="str">
        <f>IF(NORMALIZADO!BW105="","",NORMALIZADO!BW105)</f>
        <v/>
      </c>
      <c r="Y105" t="str">
        <f>IF(NORMALIZADO!BX105="","",NORMALIZADO!BX105)</f>
        <v/>
      </c>
      <c r="Z105" t="str">
        <f>IF(NORMALIZADO!BY105="","",NORMALIZADO!BY105)</f>
        <v/>
      </c>
      <c r="AO105" t="str">
        <f t="shared" si="14"/>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dato",IF(AND(COUNT(NORMALIZADO!BV105:BY105)&gt;=3,AQ105=7),"completo","parcial · "&amp;AQ105&amp;"/7 · D12-D15 "&amp;COUNT(NORMALIZADO!BV105:BY105)&amp;"/4"))</f>
        <v>sin dato</v>
      </c>
      <c r="AU105" t="str">
        <f>IF(CAPTURA!N105&lt;&gt;"",ISNUMBER(SEARCH("Rainforest",CAPTURA!N105))+ISNUMBER(SEARCH("Fairtrade",CAPTURA!N105))+ISNUMBER(SEARCH("Org",CAPTURA!N105))+ISNUMBER(SEARCH("UTZ",CAPTURA!N105))+ISNUMBER(SEARCH("Otr",CAPTURA!N105)),IF(AND(H105="",I105=""),"",IF(H105="SI",1,0)+IF(I105="SI",1,0)))</f>
        <v/>
      </c>
      <c r="AV105" t="str">
        <f t="shared" si="15"/>
        <v/>
      </c>
    </row>
    <row r="106" spans="1:48" ht="16.05" customHeight="1" x14ac:dyDescent="0.3">
      <c r="A106" t="s">
        <v>289</v>
      </c>
      <c r="B106" t="s">
        <v>290</v>
      </c>
      <c r="C106" t="s">
        <v>131</v>
      </c>
      <c r="D106" t="s">
        <v>57</v>
      </c>
      <c r="E106">
        <v>4154567.790000001</v>
      </c>
      <c r="F106">
        <v>25</v>
      </c>
      <c r="G106" t="s">
        <v>58</v>
      </c>
      <c r="H106" t="s">
        <v>58</v>
      </c>
      <c r="I106" t="s">
        <v>58</v>
      </c>
      <c r="J106" t="s">
        <v>59</v>
      </c>
      <c r="K106" t="s">
        <v>214</v>
      </c>
      <c r="L106">
        <v>2059443.82</v>
      </c>
      <c r="M106">
        <f t="shared" si="11"/>
        <v>49.6</v>
      </c>
      <c r="N106" t="s">
        <v>60</v>
      </c>
      <c r="O106">
        <f t="shared" si="12"/>
        <v>1</v>
      </c>
      <c r="P106" t="s">
        <v>60</v>
      </c>
      <c r="Q106">
        <v>797</v>
      </c>
      <c r="R106">
        <v>2110</v>
      </c>
      <c r="S106">
        <f t="shared" si="13"/>
        <v>58.2</v>
      </c>
      <c r="T106" t="str">
        <f>IF(NOT(ISNUMBER(S106)),"⬜  Sin dato PVE",IF(AND(COUNT(NORMALIZADO!BV106:BY106)&gt;=3,AQ106=7),IF(S106&lt;34,"🔴 Crítico",IF(S106&lt;67,"🟡 Vulnerable","🟢 Preparado")),"◐  Parcial · "&amp;AQ106&amp;"/7"))</f>
        <v>◐  Parcial · 3/7</v>
      </c>
      <c r="U106" s="53">
        <v>1</v>
      </c>
      <c r="V106" t="s">
        <v>61</v>
      </c>
      <c r="W106">
        <f>IF(NORMALIZADO!BV106="",1,NORMALIZADO!BV106)</f>
        <v>1</v>
      </c>
      <c r="X106" t="str">
        <f>IF(NORMALIZADO!BW106="","",NORMALIZADO!BW106)</f>
        <v/>
      </c>
      <c r="Y106" t="str">
        <f>IF(NORMALIZADO!BX106="","",NORMALIZADO!BX106)</f>
        <v/>
      </c>
      <c r="Z106" t="str">
        <f>IF(NORMALIZADO!BY106="","",NORMALIZADO!BY106)</f>
        <v/>
      </c>
      <c r="AO106" t="str">
        <f t="shared" si="14"/>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1522</v>
      </c>
      <c r="AS106" t="s">
        <v>1523</v>
      </c>
      <c r="AT106" t="str">
        <f>IF(NOT(ISNUMBER(AP106)),"sin dato",IF(AND(COUNT(NORMALIZADO!BV106:BY106)&gt;=3,AQ106=7),"completo","parcial · "&amp;AQ106&amp;"/7 · D12-D15 "&amp;COUNT(NORMALIZADO!BV106:BY106)&amp;"/4"))</f>
        <v>parcial · 3/7 · D12-D15 0/4</v>
      </c>
      <c r="AU106">
        <f>IF(CAPTURA!N106&lt;&gt;"",ISNUMBER(SEARCH("Rainforest",CAPTURA!N106))+ISNUMBER(SEARCH("Fairtrade",CAPTURA!N106))+ISNUMBER(SEARCH("Org",CAPTURA!N106))+ISNUMBER(SEARCH("UTZ",CAPTURA!N106))+ISNUMBER(SEARCH("Otr",CAPTURA!N106)),IF(AND(H106="",I106=""),"",IF(H106="SI",1,0)+IF(I106="SI",1,0)))</f>
        <v>2</v>
      </c>
      <c r="AV106">
        <f t="shared" si="15"/>
        <v>66</v>
      </c>
    </row>
    <row r="107" spans="1:48" ht="16.05" customHeight="1" x14ac:dyDescent="0.3">
      <c r="A107" t="s">
        <v>291</v>
      </c>
      <c r="B107" t="s">
        <v>292</v>
      </c>
      <c r="C107" t="s">
        <v>101</v>
      </c>
      <c r="D107" t="s">
        <v>65</v>
      </c>
      <c r="G107" t="s">
        <v>66</v>
      </c>
      <c r="J107" t="s">
        <v>59</v>
      </c>
      <c r="M107" t="str">
        <f t="shared" si="11"/>
        <v/>
      </c>
      <c r="N107" t="s">
        <v>60</v>
      </c>
      <c r="O107" t="str">
        <f t="shared" si="12"/>
        <v/>
      </c>
      <c r="P107" t="s">
        <v>60</v>
      </c>
      <c r="S107" t="str">
        <f t="shared" si="13"/>
        <v>—</v>
      </c>
      <c r="T107" t="str">
        <f>IF(NOT(ISNUMBER(S107)),"⬜  Sin dato PVE",IF(AND(COUNT(NORMALIZADO!BV107:BY107)&gt;=3,AQ107=7),IF(S107&lt;34,"🔴 Crítico",IF(S107&lt;67,"🟡 Vulnerable","🟢 Preparado")),"◐  Parcial · "&amp;AQ107&amp;"/7"))</f>
        <v>⬜  Sin dato PVE</v>
      </c>
      <c r="U107" s="53">
        <v>1</v>
      </c>
      <c r="V107" t="s">
        <v>61</v>
      </c>
      <c r="W107" t="str">
        <f>IF(NORMALIZADO!BV107="","",NORMALIZADO!BV107)</f>
        <v/>
      </c>
      <c r="X107" t="str">
        <f>IF(NORMALIZADO!BW107="","",NORMALIZADO!BW107)</f>
        <v/>
      </c>
      <c r="Y107" t="str">
        <f>IF(NORMALIZADO!BX107="","",NORMALIZADO!BX107)</f>
        <v/>
      </c>
      <c r="Z107" t="str">
        <f>IF(NORMALIZADO!BY107="","",NORMALIZADO!BY107)</f>
        <v/>
      </c>
      <c r="AO107" t="str">
        <f t="shared" si="14"/>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dato",IF(AND(COUNT(NORMALIZADO!BV107:BY107)&gt;=3,AQ107=7),"completo","parcial · "&amp;AQ107&amp;"/7 · D12-D15 "&amp;COUNT(NORMALIZADO!BV107:BY107)&amp;"/4"))</f>
        <v>sin dato</v>
      </c>
      <c r="AU107" t="str">
        <f>IF(CAPTURA!N107&lt;&gt;"",ISNUMBER(SEARCH("Rainforest",CAPTURA!N107))+ISNUMBER(SEARCH("Fairtrade",CAPTURA!N107))+ISNUMBER(SEARCH("Org",CAPTURA!N107))+ISNUMBER(SEARCH("UTZ",CAPTURA!N107))+ISNUMBER(SEARCH("Otr",CAPTURA!N107)),IF(AND(H107="",I107=""),"",IF(H107="SI",1,0)+IF(I107="SI",1,0)))</f>
        <v/>
      </c>
      <c r="AV107" t="str">
        <f t="shared" si="15"/>
        <v/>
      </c>
    </row>
    <row r="108" spans="1:48" ht="16.05" customHeight="1" x14ac:dyDescent="0.3">
      <c r="A108" t="s">
        <v>293</v>
      </c>
      <c r="B108" t="s">
        <v>294</v>
      </c>
      <c r="C108" t="s">
        <v>101</v>
      </c>
      <c r="D108" t="s">
        <v>65</v>
      </c>
      <c r="E108">
        <v>21233720.820000011</v>
      </c>
      <c r="F108">
        <v>93</v>
      </c>
      <c r="G108" t="s">
        <v>58</v>
      </c>
      <c r="J108" t="s">
        <v>59</v>
      </c>
      <c r="L108">
        <v>10616860.41</v>
      </c>
      <c r="M108">
        <f t="shared" si="11"/>
        <v>50</v>
      </c>
      <c r="N108" t="s">
        <v>60</v>
      </c>
      <c r="O108" t="str">
        <f t="shared" si="12"/>
        <v/>
      </c>
      <c r="P108" t="s">
        <v>60</v>
      </c>
      <c r="S108">
        <f t="shared" si="13"/>
        <v>50</v>
      </c>
      <c r="T108" t="str">
        <f>IF(NOT(ISNUMBER(S108)),"⬜  Sin dato PVE",IF(AND(COUNT(NORMALIZADO!BV108:BY108)&gt;=3,AQ108=7),IF(S108&lt;34,"🔴 Crítico",IF(S108&lt;67,"🟡 Vulnerable","🟢 Preparado")),"◐  Parcial · "&amp;AQ108&amp;"/7"))</f>
        <v>◐  Parcial · 2/7</v>
      </c>
      <c r="U108" s="53">
        <v>1</v>
      </c>
      <c r="V108" t="s">
        <v>61</v>
      </c>
      <c r="W108">
        <f>IF(NORMALIZADO!BV108="",1,NORMALIZADO!BV108)</f>
        <v>1</v>
      </c>
      <c r="X108" t="str">
        <f>IF(NORMALIZADO!BW108="","",NORMALIZADO!BW108)</f>
        <v/>
      </c>
      <c r="Y108" t="str">
        <f>IF(NORMALIZADO!BX108="","",NORMALIZADO!BX108)</f>
        <v/>
      </c>
      <c r="Z108" t="str">
        <f>IF(NORMALIZADO!BY108="","",NORMALIZADO!BY108)</f>
        <v/>
      </c>
      <c r="AO108" t="str">
        <f t="shared" si="14"/>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dato",IF(AND(COUNT(NORMALIZADO!BV108:BY108)&gt;=3,AQ108=7),"completo","parcial · "&amp;AQ108&amp;"/7 · D12-D15 "&amp;COUNT(NORMALIZADO!BV108:BY108)&amp;"/4"))</f>
        <v>parcial · 2/7 · D12-D15 0/4</v>
      </c>
      <c r="AU108" t="str">
        <f>IF(CAPTURA!N108&lt;&gt;"",ISNUMBER(SEARCH("Rainforest",CAPTURA!N108))+ISNUMBER(SEARCH("Fairtrade",CAPTURA!N108))+ISNUMBER(SEARCH("Org",CAPTURA!N108))+ISNUMBER(SEARCH("UTZ",CAPTURA!N108))+ISNUMBER(SEARCH("Otr",CAPTURA!N108)),IF(AND(H108="",I108=""),"",IF(H108="SI",1,0)+IF(I108="SI",1,0)))</f>
        <v/>
      </c>
      <c r="AV108" t="str">
        <f t="shared" si="15"/>
        <v/>
      </c>
    </row>
    <row r="109" spans="1:48" ht="16.05" customHeight="1" x14ac:dyDescent="0.3">
      <c r="A109" t="s">
        <v>295</v>
      </c>
      <c r="B109" t="s">
        <v>296</v>
      </c>
      <c r="C109" t="s">
        <v>64</v>
      </c>
      <c r="D109" t="s">
        <v>65</v>
      </c>
      <c r="G109" t="s">
        <v>66</v>
      </c>
      <c r="J109" t="s">
        <v>116</v>
      </c>
      <c r="M109" t="str">
        <f t="shared" si="11"/>
        <v/>
      </c>
      <c r="N109" t="s">
        <v>60</v>
      </c>
      <c r="O109" t="str">
        <f t="shared" si="12"/>
        <v/>
      </c>
      <c r="P109" t="s">
        <v>60</v>
      </c>
      <c r="S109" t="str">
        <f t="shared" si="13"/>
        <v>—</v>
      </c>
      <c r="T109" t="str">
        <f>IF(NOT(ISNUMBER(S109)),"⬜  Sin dato PVE",IF(AND(COUNT(NORMALIZADO!BV109:BY109)&gt;=3,AQ109=7),IF(S109&lt;34,"🔴 Crítico",IF(S109&lt;67,"🟡 Vulnerable","🟢 Preparado")),"◐  Parcial · "&amp;AQ109&amp;"/7"))</f>
        <v>⬜  Sin dato PVE</v>
      </c>
      <c r="U109" s="53">
        <v>1</v>
      </c>
      <c r="V109" t="s">
        <v>61</v>
      </c>
      <c r="W109" t="str">
        <f>IF(NORMALIZADO!BV109="","",NORMALIZADO!BV109)</f>
        <v/>
      </c>
      <c r="X109" t="str">
        <f>IF(NORMALIZADO!BW109="","",NORMALIZADO!BW109)</f>
        <v/>
      </c>
      <c r="Y109" t="str">
        <f>IF(NORMALIZADO!BX109="","",NORMALIZADO!BX109)</f>
        <v/>
      </c>
      <c r="Z109" t="str">
        <f>IF(NORMALIZADO!BY109="","",NORMALIZADO!BY109)</f>
        <v/>
      </c>
      <c r="AO109" t="str">
        <f t="shared" si="14"/>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dato",IF(AND(COUNT(NORMALIZADO!BV109:BY109)&gt;=3,AQ109=7),"completo","parcial · "&amp;AQ109&amp;"/7 · D12-D15 "&amp;COUNT(NORMALIZADO!BV109:BY109)&amp;"/4"))</f>
        <v>sin dato</v>
      </c>
      <c r="AU109" t="str">
        <f>IF(CAPTURA!N109&lt;&gt;"",ISNUMBER(SEARCH("Rainforest",CAPTURA!N109))+ISNUMBER(SEARCH("Fairtrade",CAPTURA!N109))+ISNUMBER(SEARCH("Org",CAPTURA!N109))+ISNUMBER(SEARCH("UTZ",CAPTURA!N109))+ISNUMBER(SEARCH("Otr",CAPTURA!N109)),IF(AND(H109="",I109=""),"",IF(H109="SI",1,0)+IF(I109="SI",1,0)))</f>
        <v/>
      </c>
      <c r="AV109" t="str">
        <f t="shared" si="15"/>
        <v/>
      </c>
    </row>
    <row r="110" spans="1:48" ht="16.05" customHeight="1" x14ac:dyDescent="0.3">
      <c r="A110" t="s">
        <v>297</v>
      </c>
      <c r="B110" t="s">
        <v>298</v>
      </c>
      <c r="C110" t="s">
        <v>111</v>
      </c>
      <c r="D110" t="s">
        <v>65</v>
      </c>
      <c r="G110" t="s">
        <v>66</v>
      </c>
      <c r="J110" t="s">
        <v>59</v>
      </c>
      <c r="M110" t="str">
        <f t="shared" si="11"/>
        <v/>
      </c>
      <c r="N110" t="s">
        <v>60</v>
      </c>
      <c r="O110" t="str">
        <f t="shared" si="12"/>
        <v/>
      </c>
      <c r="P110" t="s">
        <v>60</v>
      </c>
      <c r="S110" t="str">
        <f t="shared" si="13"/>
        <v>—</v>
      </c>
      <c r="T110" t="str">
        <f>IF(NOT(ISNUMBER(S110)),"⬜  Sin dato PVE",IF(AND(COUNT(NORMALIZADO!BV110:BY110)&gt;=3,AQ110=7),IF(S110&lt;34,"🔴 Crítico",IF(S110&lt;67,"🟡 Vulnerable","🟢 Preparado")),"◐  Parcial · "&amp;AQ110&amp;"/7"))</f>
        <v>⬜  Sin dato PVE</v>
      </c>
      <c r="U110" s="53">
        <v>1</v>
      </c>
      <c r="V110" t="s">
        <v>61</v>
      </c>
      <c r="W110" t="str">
        <f>IF(NORMALIZADO!BV110="","",NORMALIZADO!BV110)</f>
        <v/>
      </c>
      <c r="X110" t="str">
        <f>IF(NORMALIZADO!BW110="","",NORMALIZADO!BW110)</f>
        <v/>
      </c>
      <c r="Y110" t="str">
        <f>IF(NORMALIZADO!BX110="","",NORMALIZADO!BX110)</f>
        <v/>
      </c>
      <c r="Z110" t="str">
        <f>IF(NORMALIZADO!BY110="","",NORMALIZADO!BY110)</f>
        <v/>
      </c>
      <c r="AO110" t="str">
        <f t="shared" si="14"/>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dato",IF(AND(COUNT(NORMALIZADO!BV110:BY110)&gt;=3,AQ110=7),"completo","parcial · "&amp;AQ110&amp;"/7 · D12-D15 "&amp;COUNT(NORMALIZADO!BV110:BY110)&amp;"/4"))</f>
        <v>sin dato</v>
      </c>
      <c r="AU110" t="str">
        <f>IF(CAPTURA!N110&lt;&gt;"",ISNUMBER(SEARCH("Rainforest",CAPTURA!N110))+ISNUMBER(SEARCH("Fairtrade",CAPTURA!N110))+ISNUMBER(SEARCH("Org",CAPTURA!N110))+ISNUMBER(SEARCH("UTZ",CAPTURA!N110))+ISNUMBER(SEARCH("Otr",CAPTURA!N110)),IF(AND(H110="",I110=""),"",IF(H110="SI",1,0)+IF(I110="SI",1,0)))</f>
        <v/>
      </c>
      <c r="AV110" t="str">
        <f t="shared" si="15"/>
        <v/>
      </c>
    </row>
    <row r="111" spans="1:48" ht="16.05" customHeight="1" x14ac:dyDescent="0.3">
      <c r="A111" t="s">
        <v>299</v>
      </c>
      <c r="B111" t="s">
        <v>300</v>
      </c>
      <c r="C111" t="s">
        <v>104</v>
      </c>
      <c r="D111" t="s">
        <v>57</v>
      </c>
      <c r="E111">
        <v>3887946.29</v>
      </c>
      <c r="F111">
        <v>16</v>
      </c>
      <c r="G111" t="s">
        <v>58</v>
      </c>
      <c r="J111" t="s">
        <v>59</v>
      </c>
      <c r="L111">
        <v>0</v>
      </c>
      <c r="M111">
        <f t="shared" si="11"/>
        <v>0</v>
      </c>
      <c r="N111" t="s">
        <v>60</v>
      </c>
      <c r="O111" t="str">
        <f t="shared" si="12"/>
        <v/>
      </c>
      <c r="P111" t="s">
        <v>60</v>
      </c>
      <c r="S111">
        <f t="shared" si="13"/>
        <v>0</v>
      </c>
      <c r="T111" t="str">
        <f>IF(NOT(ISNUMBER(S111)),"⬜  Sin dato PVE",IF(AND(COUNT(NORMALIZADO!BV111:BY111)&gt;=3,AQ111=7),IF(S111&lt;34,"🔴 Crítico",IF(S111&lt;67,"🟡 Vulnerable","🟢 Preparado")),"◐  Parcial · "&amp;AQ111&amp;"/7"))</f>
        <v>◐  Parcial · 1/7</v>
      </c>
      <c r="U111" s="53">
        <v>1</v>
      </c>
      <c r="V111" t="s">
        <v>61</v>
      </c>
      <c r="W111" t="str">
        <f>IF(NORMALIZADO!BV111="","",NORMALIZADO!BV111)</f>
        <v/>
      </c>
      <c r="X111" t="str">
        <f>IF(NORMALIZADO!BW111="","",NORMALIZADO!BW111)</f>
        <v/>
      </c>
      <c r="Y111" t="str">
        <f>IF(NORMALIZADO!BX111="","",NORMALIZADO!BX111)</f>
        <v/>
      </c>
      <c r="Z111" t="str">
        <f>IF(NORMALIZADO!BY111="","",NORMALIZADO!BY111)</f>
        <v/>
      </c>
      <c r="AO111" t="str">
        <f t="shared" si="14"/>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dato",IF(AND(COUNT(NORMALIZADO!BV111:BY111)&gt;=3,AQ111=7),"completo","parcial · "&amp;AQ111&amp;"/7 · D12-D15 "&amp;COUNT(NORMALIZADO!BV111:BY111)&amp;"/4"))</f>
        <v>parcial · 1/7 · D12-D15 0/4</v>
      </c>
      <c r="AU111" t="str">
        <f>IF(CAPTURA!N111&lt;&gt;"",ISNUMBER(SEARCH("Rainforest",CAPTURA!N111))+ISNUMBER(SEARCH("Fairtrade",CAPTURA!N111))+ISNUMBER(SEARCH("Org",CAPTURA!N111))+ISNUMBER(SEARCH("UTZ",CAPTURA!N111))+ISNUMBER(SEARCH("Otr",CAPTURA!N111)),IF(AND(H111="",I111=""),"",IF(H111="SI",1,0)+IF(I111="SI",1,0)))</f>
        <v/>
      </c>
      <c r="AV111" t="str">
        <f t="shared" si="15"/>
        <v/>
      </c>
    </row>
    <row r="112" spans="1:48" ht="16.05" customHeight="1" x14ac:dyDescent="0.3">
      <c r="A112" t="s">
        <v>301</v>
      </c>
      <c r="B112" t="s">
        <v>302</v>
      </c>
      <c r="C112" t="s">
        <v>111</v>
      </c>
      <c r="D112" t="s">
        <v>65</v>
      </c>
      <c r="G112" t="s">
        <v>66</v>
      </c>
      <c r="J112" t="s">
        <v>59</v>
      </c>
      <c r="M112" t="str">
        <f t="shared" si="11"/>
        <v/>
      </c>
      <c r="N112" t="s">
        <v>60</v>
      </c>
      <c r="O112" t="str">
        <f t="shared" si="12"/>
        <v/>
      </c>
      <c r="P112" t="s">
        <v>60</v>
      </c>
      <c r="S112" t="str">
        <f t="shared" si="13"/>
        <v>—</v>
      </c>
      <c r="T112" t="str">
        <f>IF(NOT(ISNUMBER(S112)),"⬜  Sin dato PVE",IF(AND(COUNT(NORMALIZADO!BV112:BY112)&gt;=3,AQ112=7),IF(S112&lt;34,"🔴 Crítico",IF(S112&lt;67,"🟡 Vulnerable","🟢 Preparado")),"◐  Parcial · "&amp;AQ112&amp;"/7"))</f>
        <v>⬜  Sin dato PVE</v>
      </c>
      <c r="U112" s="53">
        <v>1</v>
      </c>
      <c r="V112" t="s">
        <v>61</v>
      </c>
      <c r="W112" t="str">
        <f>IF(NORMALIZADO!BV112="","",NORMALIZADO!BV112)</f>
        <v/>
      </c>
      <c r="X112" t="str">
        <f>IF(NORMALIZADO!BW112="","",NORMALIZADO!BW112)</f>
        <v/>
      </c>
      <c r="Y112" t="str">
        <f>IF(NORMALIZADO!BX112="","",NORMALIZADO!BX112)</f>
        <v/>
      </c>
      <c r="Z112" t="str">
        <f>IF(NORMALIZADO!BY112="","",NORMALIZADO!BY112)</f>
        <v/>
      </c>
      <c r="AO112" t="str">
        <f t="shared" si="14"/>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dato",IF(AND(COUNT(NORMALIZADO!BV112:BY112)&gt;=3,AQ112=7),"completo","parcial · "&amp;AQ112&amp;"/7 · D12-D15 "&amp;COUNT(NORMALIZADO!BV112:BY112)&amp;"/4"))</f>
        <v>sin dato</v>
      </c>
      <c r="AU112" t="str">
        <f>IF(CAPTURA!N112&lt;&gt;"",ISNUMBER(SEARCH("Rainforest",CAPTURA!N112))+ISNUMBER(SEARCH("Fairtrade",CAPTURA!N112))+ISNUMBER(SEARCH("Org",CAPTURA!N112))+ISNUMBER(SEARCH("UTZ",CAPTURA!N112))+ISNUMBER(SEARCH("Otr",CAPTURA!N112)),IF(AND(H112="",I112=""),"",IF(H112="SI",1,0)+IF(I112="SI",1,0)))</f>
        <v/>
      </c>
      <c r="AV112" t="str">
        <f t="shared" si="15"/>
        <v/>
      </c>
    </row>
    <row r="113" spans="1:48" ht="16.05" customHeight="1" x14ac:dyDescent="0.3">
      <c r="A113" t="s">
        <v>303</v>
      </c>
      <c r="B113" t="s">
        <v>304</v>
      </c>
      <c r="C113" t="s">
        <v>142</v>
      </c>
      <c r="D113" t="s">
        <v>57</v>
      </c>
      <c r="E113">
        <v>464428.88</v>
      </c>
      <c r="F113">
        <v>3</v>
      </c>
      <c r="G113" t="s">
        <v>58</v>
      </c>
      <c r="J113" t="s">
        <v>59</v>
      </c>
      <c r="L113">
        <v>0</v>
      </c>
      <c r="M113">
        <f t="shared" si="11"/>
        <v>0</v>
      </c>
      <c r="N113" t="s">
        <v>60</v>
      </c>
      <c r="O113" t="str">
        <f t="shared" si="12"/>
        <v/>
      </c>
      <c r="P113" t="s">
        <v>60</v>
      </c>
      <c r="S113">
        <f t="shared" si="13"/>
        <v>0</v>
      </c>
      <c r="T113" t="str">
        <f>IF(NOT(ISNUMBER(S113)),"⬜  Sin dato PVE",IF(AND(COUNT(NORMALIZADO!BV113:BY113)&gt;=3,AQ113=7),IF(S113&lt;34,"🔴 Crítico",IF(S113&lt;67,"🟡 Vulnerable","🟢 Preparado")),"◐  Parcial · "&amp;AQ113&amp;"/7"))</f>
        <v>◐  Parcial · 1/7</v>
      </c>
      <c r="U113" s="53">
        <v>1</v>
      </c>
      <c r="V113" t="s">
        <v>61</v>
      </c>
      <c r="W113" t="str">
        <f>IF(NORMALIZADO!BV113="","",NORMALIZADO!BV113)</f>
        <v/>
      </c>
      <c r="X113" t="str">
        <f>IF(NORMALIZADO!BW113="","",NORMALIZADO!BW113)</f>
        <v/>
      </c>
      <c r="Y113" t="str">
        <f>IF(NORMALIZADO!BX113="","",NORMALIZADO!BX113)</f>
        <v/>
      </c>
      <c r="Z113" t="str">
        <f>IF(NORMALIZADO!BY113="","",NORMALIZADO!BY113)</f>
        <v/>
      </c>
      <c r="AO113" t="str">
        <f t="shared" si="14"/>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dato",IF(AND(COUNT(NORMALIZADO!BV113:BY113)&gt;=3,AQ113=7),"completo","parcial · "&amp;AQ113&amp;"/7 · D12-D15 "&amp;COUNT(NORMALIZADO!BV113:BY113)&amp;"/4"))</f>
        <v>parcial · 1/7 · D12-D15 0/4</v>
      </c>
      <c r="AU113" t="str">
        <f>IF(CAPTURA!N113&lt;&gt;"",ISNUMBER(SEARCH("Rainforest",CAPTURA!N113))+ISNUMBER(SEARCH("Fairtrade",CAPTURA!N113))+ISNUMBER(SEARCH("Org",CAPTURA!N113))+ISNUMBER(SEARCH("UTZ",CAPTURA!N113))+ISNUMBER(SEARCH("Otr",CAPTURA!N113)),IF(AND(H113="",I113=""),"",IF(H113="SI",1,0)+IF(I113="SI",1,0)))</f>
        <v/>
      </c>
      <c r="AV113" t="str">
        <f t="shared" si="15"/>
        <v/>
      </c>
    </row>
    <row r="114" spans="1:48" ht="16.05" customHeight="1" x14ac:dyDescent="0.3">
      <c r="A114" t="s">
        <v>305</v>
      </c>
      <c r="B114" t="s">
        <v>306</v>
      </c>
      <c r="C114" t="s">
        <v>233</v>
      </c>
      <c r="D114" t="s">
        <v>65</v>
      </c>
      <c r="G114" t="s">
        <v>66</v>
      </c>
      <c r="J114" t="s">
        <v>59</v>
      </c>
      <c r="M114" t="str">
        <f t="shared" si="11"/>
        <v/>
      </c>
      <c r="N114" t="s">
        <v>60</v>
      </c>
      <c r="O114" t="str">
        <f t="shared" si="12"/>
        <v/>
      </c>
      <c r="P114" t="s">
        <v>60</v>
      </c>
      <c r="S114" t="str">
        <f t="shared" si="13"/>
        <v>—</v>
      </c>
      <c r="T114" t="str">
        <f>IF(NOT(ISNUMBER(S114)),"⬜  Sin dato PVE",IF(AND(COUNT(NORMALIZADO!BV114:BY114)&gt;=3,AQ114=7),IF(S114&lt;34,"🔴 Crítico",IF(S114&lt;67,"🟡 Vulnerable","🟢 Preparado")),"◐  Parcial · "&amp;AQ114&amp;"/7"))</f>
        <v>⬜  Sin dato PVE</v>
      </c>
      <c r="U114" s="53">
        <v>1</v>
      </c>
      <c r="V114" t="s">
        <v>61</v>
      </c>
      <c r="W114" t="str">
        <f>IF(NORMALIZADO!BV114="","",NORMALIZADO!BV114)</f>
        <v/>
      </c>
      <c r="X114" t="str">
        <f>IF(NORMALIZADO!BW114="","",NORMALIZADO!BW114)</f>
        <v/>
      </c>
      <c r="Y114" t="str">
        <f>IF(NORMALIZADO!BX114="","",NORMALIZADO!BX114)</f>
        <v/>
      </c>
      <c r="Z114" t="str">
        <f>IF(NORMALIZADO!BY114="","",NORMALIZADO!BY114)</f>
        <v/>
      </c>
      <c r="AO114" t="str">
        <f t="shared" si="14"/>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dato",IF(AND(COUNT(NORMALIZADO!BV114:BY114)&gt;=3,AQ114=7),"completo","parcial · "&amp;AQ114&amp;"/7 · D12-D15 "&amp;COUNT(NORMALIZADO!BV114:BY114)&amp;"/4"))</f>
        <v>sin dato</v>
      </c>
      <c r="AU114" t="str">
        <f>IF(CAPTURA!N114&lt;&gt;"",ISNUMBER(SEARCH("Rainforest",CAPTURA!N114))+ISNUMBER(SEARCH("Fairtrade",CAPTURA!N114))+ISNUMBER(SEARCH("Org",CAPTURA!N114))+ISNUMBER(SEARCH("UTZ",CAPTURA!N114))+ISNUMBER(SEARCH("Otr",CAPTURA!N114)),IF(AND(H114="",I114=""),"",IF(H114="SI",1,0)+IF(I114="SI",1,0)))</f>
        <v/>
      </c>
      <c r="AV114" t="str">
        <f t="shared" si="15"/>
        <v/>
      </c>
    </row>
    <row r="115" spans="1:48" ht="16.05" customHeight="1" x14ac:dyDescent="0.3">
      <c r="A115" t="s">
        <v>307</v>
      </c>
      <c r="B115" t="s">
        <v>308</v>
      </c>
      <c r="C115" t="s">
        <v>131</v>
      </c>
      <c r="D115" t="s">
        <v>57</v>
      </c>
      <c r="E115">
        <v>1789601.59</v>
      </c>
      <c r="F115">
        <v>11</v>
      </c>
      <c r="G115" t="s">
        <v>58</v>
      </c>
      <c r="J115" t="s">
        <v>59</v>
      </c>
      <c r="L115">
        <v>0</v>
      </c>
      <c r="M115">
        <f t="shared" si="11"/>
        <v>0</v>
      </c>
      <c r="N115" t="s">
        <v>60</v>
      </c>
      <c r="O115" t="str">
        <f t="shared" si="12"/>
        <v/>
      </c>
      <c r="P115" t="s">
        <v>60</v>
      </c>
      <c r="S115">
        <f t="shared" si="13"/>
        <v>0</v>
      </c>
      <c r="T115" t="str">
        <f>IF(NOT(ISNUMBER(S115)),"⬜  Sin dato PVE",IF(AND(COUNT(NORMALIZADO!BV115:BY115)&gt;=3,AQ115=7),IF(S115&lt;34,"🔴 Crítico",IF(S115&lt;67,"🟡 Vulnerable","🟢 Preparado")),"◐  Parcial · "&amp;AQ115&amp;"/7"))</f>
        <v>◐  Parcial · 1/7</v>
      </c>
      <c r="U115" s="53">
        <v>1</v>
      </c>
      <c r="V115" t="s">
        <v>61</v>
      </c>
      <c r="W115" t="str">
        <f>IF(NORMALIZADO!BV115="","",NORMALIZADO!BV115)</f>
        <v/>
      </c>
      <c r="X115" t="str">
        <f>IF(NORMALIZADO!BW115="","",NORMALIZADO!BW115)</f>
        <v/>
      </c>
      <c r="Y115" t="str">
        <f>IF(NORMALIZADO!BX115="","",NORMALIZADO!BX115)</f>
        <v/>
      </c>
      <c r="Z115" t="str">
        <f>IF(NORMALIZADO!BY115="","",NORMALIZADO!BY115)</f>
        <v/>
      </c>
      <c r="AO115" t="str">
        <f t="shared" si="14"/>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dato",IF(AND(COUNT(NORMALIZADO!BV115:BY115)&gt;=3,AQ115=7),"completo","parcial · "&amp;AQ115&amp;"/7 · D12-D15 "&amp;COUNT(NORMALIZADO!BV115:BY115)&amp;"/4"))</f>
        <v>parcial · 1/7 · D12-D15 0/4</v>
      </c>
      <c r="AU115" t="str">
        <f>IF(CAPTURA!N115&lt;&gt;"",ISNUMBER(SEARCH("Rainforest",CAPTURA!N115))+ISNUMBER(SEARCH("Fairtrade",CAPTURA!N115))+ISNUMBER(SEARCH("Org",CAPTURA!N115))+ISNUMBER(SEARCH("UTZ",CAPTURA!N115))+ISNUMBER(SEARCH("Otr",CAPTURA!N115)),IF(AND(H115="",I115=""),"",IF(H115="SI",1,0)+IF(I115="SI",1,0)))</f>
        <v/>
      </c>
      <c r="AV115" t="str">
        <f t="shared" si="15"/>
        <v/>
      </c>
    </row>
    <row r="116" spans="1:48" ht="16.05" customHeight="1" x14ac:dyDescent="0.3">
      <c r="A116" t="s">
        <v>309</v>
      </c>
      <c r="B116" t="s">
        <v>310</v>
      </c>
      <c r="C116" t="s">
        <v>233</v>
      </c>
      <c r="D116" t="s">
        <v>65</v>
      </c>
      <c r="G116" t="s">
        <v>66</v>
      </c>
      <c r="J116" t="s">
        <v>59</v>
      </c>
      <c r="M116" t="str">
        <f t="shared" si="11"/>
        <v/>
      </c>
      <c r="N116" t="s">
        <v>60</v>
      </c>
      <c r="O116" t="str">
        <f t="shared" si="12"/>
        <v/>
      </c>
      <c r="P116" t="s">
        <v>60</v>
      </c>
      <c r="S116" t="str">
        <f t="shared" si="13"/>
        <v>—</v>
      </c>
      <c r="T116" t="str">
        <f>IF(NOT(ISNUMBER(S116)),"⬜  Sin dato PVE",IF(AND(COUNT(NORMALIZADO!BV116:BY116)&gt;=3,AQ116=7),IF(S116&lt;34,"🔴 Crítico",IF(S116&lt;67,"🟡 Vulnerable","🟢 Preparado")),"◐  Parcial · "&amp;AQ116&amp;"/7"))</f>
        <v>⬜  Sin dato PVE</v>
      </c>
      <c r="U116" s="53">
        <v>1</v>
      </c>
      <c r="V116" t="s">
        <v>61</v>
      </c>
      <c r="W116" t="str">
        <f>IF(NORMALIZADO!BV116="","",NORMALIZADO!BV116)</f>
        <v/>
      </c>
      <c r="X116" t="str">
        <f>IF(NORMALIZADO!BW116="","",NORMALIZADO!BW116)</f>
        <v/>
      </c>
      <c r="Y116" t="str">
        <f>IF(NORMALIZADO!BX116="","",NORMALIZADO!BX116)</f>
        <v/>
      </c>
      <c r="Z116" t="str">
        <f>IF(NORMALIZADO!BY116="","",NORMALIZADO!BY116)</f>
        <v/>
      </c>
      <c r="AO116" t="str">
        <f t="shared" si="14"/>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dato",IF(AND(COUNT(NORMALIZADO!BV116:BY116)&gt;=3,AQ116=7),"completo","parcial · "&amp;AQ116&amp;"/7 · D12-D15 "&amp;COUNT(NORMALIZADO!BV116:BY116)&amp;"/4"))</f>
        <v>sin dato</v>
      </c>
      <c r="AU116" t="str">
        <f>IF(CAPTURA!N116&lt;&gt;"",ISNUMBER(SEARCH("Rainforest",CAPTURA!N116))+ISNUMBER(SEARCH("Fairtrade",CAPTURA!N116))+ISNUMBER(SEARCH("Org",CAPTURA!N116))+ISNUMBER(SEARCH("UTZ",CAPTURA!N116))+ISNUMBER(SEARCH("Otr",CAPTURA!N116)),IF(AND(H116="",I116=""),"",IF(H116="SI",1,0)+IF(I116="SI",1,0)))</f>
        <v/>
      </c>
      <c r="AV116" t="str">
        <f t="shared" si="15"/>
        <v/>
      </c>
    </row>
    <row r="117" spans="1:48" ht="16.05" customHeight="1" x14ac:dyDescent="0.3">
      <c r="A117" t="s">
        <v>311</v>
      </c>
      <c r="B117" t="s">
        <v>312</v>
      </c>
      <c r="C117" t="s">
        <v>171</v>
      </c>
      <c r="D117" t="s">
        <v>57</v>
      </c>
      <c r="G117" t="s">
        <v>66</v>
      </c>
      <c r="J117" t="s">
        <v>59</v>
      </c>
      <c r="M117" t="str">
        <f t="shared" si="11"/>
        <v/>
      </c>
      <c r="N117" t="s">
        <v>60</v>
      </c>
      <c r="O117" t="str">
        <f t="shared" si="12"/>
        <v/>
      </c>
      <c r="P117" t="s">
        <v>60</v>
      </c>
      <c r="S117" t="str">
        <f t="shared" si="13"/>
        <v>—</v>
      </c>
      <c r="T117" t="str">
        <f>IF(NOT(ISNUMBER(S117)),"⬜  Sin dato PVE",IF(AND(COUNT(NORMALIZADO!BV117:BY117)&gt;=3,AQ117=7),IF(S117&lt;34,"🔴 Crítico",IF(S117&lt;67,"🟡 Vulnerable","🟢 Preparado")),"◐  Parcial · "&amp;AQ117&amp;"/7"))</f>
        <v>⬜  Sin dato PVE</v>
      </c>
      <c r="U117" s="53">
        <v>1</v>
      </c>
      <c r="V117" t="s">
        <v>61</v>
      </c>
      <c r="W117" t="str">
        <f>IF(NORMALIZADO!BV117="","",NORMALIZADO!BV117)</f>
        <v/>
      </c>
      <c r="X117" t="str">
        <f>IF(NORMALIZADO!BW117="","",NORMALIZADO!BW117)</f>
        <v/>
      </c>
      <c r="Y117" t="str">
        <f>IF(NORMALIZADO!BX117="","",NORMALIZADO!BX117)</f>
        <v/>
      </c>
      <c r="Z117" t="str">
        <f>IF(NORMALIZADO!BY117="","",NORMALIZADO!BY117)</f>
        <v/>
      </c>
      <c r="AO117" t="str">
        <f t="shared" si="14"/>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dato",IF(AND(COUNT(NORMALIZADO!BV117:BY117)&gt;=3,AQ117=7),"completo","parcial · "&amp;AQ117&amp;"/7 · D12-D15 "&amp;COUNT(NORMALIZADO!BV117:BY117)&amp;"/4"))</f>
        <v>sin dato</v>
      </c>
      <c r="AU117" t="str">
        <f>IF(CAPTURA!N117&lt;&gt;"",ISNUMBER(SEARCH("Rainforest",CAPTURA!N117))+ISNUMBER(SEARCH("Fairtrade",CAPTURA!N117))+ISNUMBER(SEARCH("Org",CAPTURA!N117))+ISNUMBER(SEARCH("UTZ",CAPTURA!N117))+ISNUMBER(SEARCH("Otr",CAPTURA!N117)),IF(AND(H117="",I117=""),"",IF(H117="SI",1,0)+IF(I117="SI",1,0)))</f>
        <v/>
      </c>
      <c r="AV117" t="str">
        <f t="shared" si="15"/>
        <v/>
      </c>
    </row>
    <row r="118" spans="1:48" ht="16.05" customHeight="1" x14ac:dyDescent="0.3">
      <c r="A118" t="s">
        <v>313</v>
      </c>
      <c r="B118" t="s">
        <v>314</v>
      </c>
      <c r="C118" t="s">
        <v>101</v>
      </c>
      <c r="D118" t="s">
        <v>65</v>
      </c>
      <c r="G118" t="s">
        <v>66</v>
      </c>
      <c r="J118" t="s">
        <v>98</v>
      </c>
      <c r="M118" t="str">
        <f t="shared" si="11"/>
        <v/>
      </c>
      <c r="N118" t="s">
        <v>60</v>
      </c>
      <c r="O118" t="str">
        <f t="shared" si="12"/>
        <v/>
      </c>
      <c r="P118" t="s">
        <v>60</v>
      </c>
      <c r="S118" t="str">
        <f t="shared" si="13"/>
        <v>—</v>
      </c>
      <c r="T118" t="str">
        <f>IF(NOT(ISNUMBER(S118)),"⬜  Sin dato PVE",IF(AND(COUNT(NORMALIZADO!BV118:BY118)&gt;=3,AQ118=7),IF(S118&lt;34,"🔴 Crítico",IF(S118&lt;67,"🟡 Vulnerable","🟢 Preparado")),"◐  Parcial · "&amp;AQ118&amp;"/7"))</f>
        <v>⬜  Sin dato PVE</v>
      </c>
      <c r="U118" s="53">
        <v>1</v>
      </c>
      <c r="V118" t="s">
        <v>61</v>
      </c>
      <c r="W118" t="str">
        <f>IF(NORMALIZADO!BV118="","",NORMALIZADO!BV118)</f>
        <v/>
      </c>
      <c r="X118" t="str">
        <f>IF(NORMALIZADO!BW118="","",NORMALIZADO!BW118)</f>
        <v/>
      </c>
      <c r="Y118" t="str">
        <f>IF(NORMALIZADO!BX118="","",NORMALIZADO!BX118)</f>
        <v/>
      </c>
      <c r="Z118" t="str">
        <f>IF(NORMALIZADO!BY118="","",NORMALIZADO!BY118)</f>
        <v/>
      </c>
      <c r="AO118" t="str">
        <f t="shared" si="14"/>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dato",IF(AND(COUNT(NORMALIZADO!BV118:BY118)&gt;=3,AQ118=7),"completo","parcial · "&amp;AQ118&amp;"/7 · D12-D15 "&amp;COUNT(NORMALIZADO!BV118:BY118)&amp;"/4"))</f>
        <v>sin dato</v>
      </c>
      <c r="AU118" t="str">
        <f>IF(CAPTURA!N118&lt;&gt;"",ISNUMBER(SEARCH("Rainforest",CAPTURA!N118))+ISNUMBER(SEARCH("Fairtrade",CAPTURA!N118))+ISNUMBER(SEARCH("Org",CAPTURA!N118))+ISNUMBER(SEARCH("UTZ",CAPTURA!N118))+ISNUMBER(SEARCH("Otr",CAPTURA!N118)),IF(AND(H118="",I118=""),"",IF(H118="SI",1,0)+IF(I118="SI",1,0)))</f>
        <v/>
      </c>
      <c r="AV118" t="str">
        <f t="shared" si="15"/>
        <v/>
      </c>
    </row>
    <row r="119" spans="1:48" ht="16.05" customHeight="1" x14ac:dyDescent="0.3">
      <c r="A119" t="s">
        <v>315</v>
      </c>
      <c r="B119" t="s">
        <v>316</v>
      </c>
      <c r="C119" t="s">
        <v>101</v>
      </c>
      <c r="D119" t="s">
        <v>65</v>
      </c>
      <c r="G119" t="s">
        <v>66</v>
      </c>
      <c r="J119" t="s">
        <v>59</v>
      </c>
      <c r="M119" t="str">
        <f t="shared" si="11"/>
        <v/>
      </c>
      <c r="N119" t="s">
        <v>60</v>
      </c>
      <c r="O119" t="str">
        <f t="shared" si="12"/>
        <v/>
      </c>
      <c r="P119" t="s">
        <v>60</v>
      </c>
      <c r="S119" t="str">
        <f t="shared" si="13"/>
        <v>—</v>
      </c>
      <c r="T119" t="str">
        <f>IF(NOT(ISNUMBER(S119)),"⬜  Sin dato PVE",IF(AND(COUNT(NORMALIZADO!BV119:BY119)&gt;=3,AQ119=7),IF(S119&lt;34,"🔴 Crítico",IF(S119&lt;67,"🟡 Vulnerable","🟢 Preparado")),"◐  Parcial · "&amp;AQ119&amp;"/7"))</f>
        <v>⬜  Sin dato PVE</v>
      </c>
      <c r="U119" s="53">
        <v>1</v>
      </c>
      <c r="V119" t="s">
        <v>61</v>
      </c>
      <c r="W119" t="str">
        <f>IF(NORMALIZADO!BV119="","",NORMALIZADO!BV119)</f>
        <v/>
      </c>
      <c r="X119" t="str">
        <f>IF(NORMALIZADO!BW119="","",NORMALIZADO!BW119)</f>
        <v/>
      </c>
      <c r="Y119" t="str">
        <f>IF(NORMALIZADO!BX119="","",NORMALIZADO!BX119)</f>
        <v/>
      </c>
      <c r="Z119" t="str">
        <f>IF(NORMALIZADO!BY119="","",NORMALIZADO!BY119)</f>
        <v/>
      </c>
      <c r="AO119" t="str">
        <f t="shared" si="14"/>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dato",IF(AND(COUNT(NORMALIZADO!BV119:BY119)&gt;=3,AQ119=7),"completo","parcial · "&amp;AQ119&amp;"/7 · D12-D15 "&amp;COUNT(NORMALIZADO!BV119:BY119)&amp;"/4"))</f>
        <v>sin dato</v>
      </c>
      <c r="AU119" t="str">
        <f>IF(CAPTURA!N119&lt;&gt;"",ISNUMBER(SEARCH("Rainforest",CAPTURA!N119))+ISNUMBER(SEARCH("Fairtrade",CAPTURA!N119))+ISNUMBER(SEARCH("Org",CAPTURA!N119))+ISNUMBER(SEARCH("UTZ",CAPTURA!N119))+ISNUMBER(SEARCH("Otr",CAPTURA!N119)),IF(AND(H119="",I119=""),"",IF(H119="SI",1,0)+IF(I119="SI",1,0)))</f>
        <v/>
      </c>
      <c r="AV119" t="str">
        <f t="shared" si="15"/>
        <v/>
      </c>
    </row>
    <row r="120" spans="1:48" ht="16.05" customHeight="1" x14ac:dyDescent="0.3">
      <c r="A120" t="s">
        <v>317</v>
      </c>
      <c r="B120" t="s">
        <v>318</v>
      </c>
      <c r="C120" t="s">
        <v>142</v>
      </c>
      <c r="D120" t="s">
        <v>57</v>
      </c>
      <c r="G120" t="s">
        <v>66</v>
      </c>
      <c r="J120" t="s">
        <v>59</v>
      </c>
      <c r="M120" t="str">
        <f t="shared" si="11"/>
        <v/>
      </c>
      <c r="N120" t="s">
        <v>60</v>
      </c>
      <c r="O120" t="str">
        <f t="shared" si="12"/>
        <v/>
      </c>
      <c r="P120" t="s">
        <v>60</v>
      </c>
      <c r="S120" t="str">
        <f t="shared" si="13"/>
        <v>—</v>
      </c>
      <c r="T120" t="str">
        <f>IF(NOT(ISNUMBER(S120)),"⬜  Sin dato PVE",IF(AND(COUNT(NORMALIZADO!BV120:BY120)&gt;=3,AQ120=7),IF(S120&lt;34,"🔴 Crítico",IF(S120&lt;67,"🟡 Vulnerable","🟢 Preparado")),"◐  Parcial · "&amp;AQ120&amp;"/7"))</f>
        <v>⬜  Sin dato PVE</v>
      </c>
      <c r="U120" s="53">
        <v>1</v>
      </c>
      <c r="V120" t="s">
        <v>61</v>
      </c>
      <c r="W120" t="str">
        <f>IF(NORMALIZADO!BV120="","",NORMALIZADO!BV120)</f>
        <v/>
      </c>
      <c r="X120" t="str">
        <f>IF(NORMALIZADO!BW120="","",NORMALIZADO!BW120)</f>
        <v/>
      </c>
      <c r="Y120" t="str">
        <f>IF(NORMALIZADO!BX120="","",NORMALIZADO!BX120)</f>
        <v/>
      </c>
      <c r="Z120" t="str">
        <f>IF(NORMALIZADO!BY120="","",NORMALIZADO!BY120)</f>
        <v/>
      </c>
      <c r="AO120" t="str">
        <f t="shared" si="14"/>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dato",IF(AND(COUNT(NORMALIZADO!BV120:BY120)&gt;=3,AQ120=7),"completo","parcial · "&amp;AQ120&amp;"/7 · D12-D15 "&amp;COUNT(NORMALIZADO!BV120:BY120)&amp;"/4"))</f>
        <v>sin dato</v>
      </c>
      <c r="AU120" t="str">
        <f>IF(CAPTURA!N120&lt;&gt;"",ISNUMBER(SEARCH("Rainforest",CAPTURA!N120))+ISNUMBER(SEARCH("Fairtrade",CAPTURA!N120))+ISNUMBER(SEARCH("Org",CAPTURA!N120))+ISNUMBER(SEARCH("UTZ",CAPTURA!N120))+ISNUMBER(SEARCH("Otr",CAPTURA!N120)),IF(AND(H120="",I120=""),"",IF(H120="SI",1,0)+IF(I120="SI",1,0)))</f>
        <v/>
      </c>
      <c r="AV120" t="str">
        <f t="shared" si="15"/>
        <v/>
      </c>
    </row>
    <row r="121" spans="1:48" ht="16.05" customHeight="1" x14ac:dyDescent="0.3">
      <c r="A121" t="s">
        <v>319</v>
      </c>
      <c r="B121" t="s">
        <v>320</v>
      </c>
      <c r="C121" t="s">
        <v>241</v>
      </c>
      <c r="D121" t="s">
        <v>57</v>
      </c>
      <c r="G121" t="s">
        <v>66</v>
      </c>
      <c r="J121" t="s">
        <v>59</v>
      </c>
      <c r="M121" t="str">
        <f t="shared" si="11"/>
        <v/>
      </c>
      <c r="N121" t="s">
        <v>60</v>
      </c>
      <c r="O121" t="str">
        <f t="shared" si="12"/>
        <v/>
      </c>
      <c r="P121" t="s">
        <v>60</v>
      </c>
      <c r="S121" t="str">
        <f t="shared" si="13"/>
        <v>—</v>
      </c>
      <c r="T121" t="str">
        <f>IF(NOT(ISNUMBER(S121)),"⬜  Sin dato PVE",IF(AND(COUNT(NORMALIZADO!BV121:BY121)&gt;=3,AQ121=7),IF(S121&lt;34,"🔴 Crítico",IF(S121&lt;67,"🟡 Vulnerable","🟢 Preparado")),"◐  Parcial · "&amp;AQ121&amp;"/7"))</f>
        <v>⬜  Sin dato PVE</v>
      </c>
      <c r="U121" s="53">
        <v>1</v>
      </c>
      <c r="V121" t="s">
        <v>61</v>
      </c>
      <c r="W121" t="str">
        <f>IF(NORMALIZADO!BV121="","",NORMALIZADO!BV121)</f>
        <v/>
      </c>
      <c r="X121" t="str">
        <f>IF(NORMALIZADO!BW121="","",NORMALIZADO!BW121)</f>
        <v/>
      </c>
      <c r="Y121" t="str">
        <f>IF(NORMALIZADO!BX121="","",NORMALIZADO!BX121)</f>
        <v/>
      </c>
      <c r="Z121" t="str">
        <f>IF(NORMALIZADO!BY121="","",NORMALIZADO!BY121)</f>
        <v/>
      </c>
      <c r="AO121" t="str">
        <f t="shared" si="14"/>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dato",IF(AND(COUNT(NORMALIZADO!BV121:BY121)&gt;=3,AQ121=7),"completo","parcial · "&amp;AQ121&amp;"/7 · D12-D15 "&amp;COUNT(NORMALIZADO!BV121:BY121)&amp;"/4"))</f>
        <v>sin dato</v>
      </c>
      <c r="AU121" t="str">
        <f>IF(CAPTURA!N121&lt;&gt;"",ISNUMBER(SEARCH("Rainforest",CAPTURA!N121))+ISNUMBER(SEARCH("Fairtrade",CAPTURA!N121))+ISNUMBER(SEARCH("Org",CAPTURA!N121))+ISNUMBER(SEARCH("UTZ",CAPTURA!N121))+ISNUMBER(SEARCH("Otr",CAPTURA!N121)),IF(AND(H121="",I121=""),"",IF(H121="SI",1,0)+IF(I121="SI",1,0)))</f>
        <v/>
      </c>
      <c r="AV121" t="str">
        <f t="shared" si="15"/>
        <v/>
      </c>
    </row>
    <row r="122" spans="1:48" ht="16.05" customHeight="1" x14ac:dyDescent="0.3">
      <c r="A122" t="s">
        <v>321</v>
      </c>
      <c r="B122" t="s">
        <v>322</v>
      </c>
      <c r="C122" t="s">
        <v>111</v>
      </c>
      <c r="D122" t="s">
        <v>57</v>
      </c>
      <c r="G122" t="s">
        <v>66</v>
      </c>
      <c r="J122" t="s">
        <v>59</v>
      </c>
      <c r="M122" t="str">
        <f t="shared" si="11"/>
        <v/>
      </c>
      <c r="N122" t="s">
        <v>60</v>
      </c>
      <c r="O122" t="str">
        <f t="shared" si="12"/>
        <v/>
      </c>
      <c r="P122" t="s">
        <v>60</v>
      </c>
      <c r="S122" t="str">
        <f t="shared" si="13"/>
        <v>—</v>
      </c>
      <c r="T122" t="str">
        <f>IF(NOT(ISNUMBER(S122)),"⬜  Sin dato PVE",IF(AND(COUNT(NORMALIZADO!BV122:BY122)&gt;=3,AQ122=7),IF(S122&lt;34,"🔴 Crítico",IF(S122&lt;67,"🟡 Vulnerable","🟢 Preparado")),"◐  Parcial · "&amp;AQ122&amp;"/7"))</f>
        <v>⬜  Sin dato PVE</v>
      </c>
      <c r="U122" s="53">
        <v>1</v>
      </c>
      <c r="V122" t="s">
        <v>61</v>
      </c>
      <c r="W122" t="str">
        <f>IF(NORMALIZADO!BV122="","",NORMALIZADO!BV122)</f>
        <v/>
      </c>
      <c r="X122" t="str">
        <f>IF(NORMALIZADO!BW122="","",NORMALIZADO!BW122)</f>
        <v/>
      </c>
      <c r="Y122" t="str">
        <f>IF(NORMALIZADO!BX122="","",NORMALIZADO!BX122)</f>
        <v/>
      </c>
      <c r="Z122" t="str">
        <f>IF(NORMALIZADO!BY122="","",NORMALIZADO!BY122)</f>
        <v/>
      </c>
      <c r="AO122" t="str">
        <f t="shared" si="14"/>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dato",IF(AND(COUNT(NORMALIZADO!BV122:BY122)&gt;=3,AQ122=7),"completo","parcial · "&amp;AQ122&amp;"/7 · D12-D15 "&amp;COUNT(NORMALIZADO!BV122:BY122)&amp;"/4"))</f>
        <v>sin dato</v>
      </c>
      <c r="AU122" t="str">
        <f>IF(CAPTURA!N122&lt;&gt;"",ISNUMBER(SEARCH("Rainforest",CAPTURA!N122))+ISNUMBER(SEARCH("Fairtrade",CAPTURA!N122))+ISNUMBER(SEARCH("Org",CAPTURA!N122))+ISNUMBER(SEARCH("UTZ",CAPTURA!N122))+ISNUMBER(SEARCH("Otr",CAPTURA!N122)),IF(AND(H122="",I122=""),"",IF(H122="SI",1,0)+IF(I122="SI",1,0)))</f>
        <v/>
      </c>
      <c r="AV122" t="str">
        <f t="shared" si="15"/>
        <v/>
      </c>
    </row>
    <row r="123" spans="1:48" ht="16.05" customHeight="1" x14ac:dyDescent="0.3">
      <c r="A123" t="s">
        <v>323</v>
      </c>
      <c r="B123" t="s">
        <v>324</v>
      </c>
      <c r="C123" t="s">
        <v>69</v>
      </c>
      <c r="D123" t="s">
        <v>57</v>
      </c>
      <c r="G123" t="s">
        <v>66</v>
      </c>
      <c r="J123" t="s">
        <v>116</v>
      </c>
      <c r="M123" t="str">
        <f t="shared" si="11"/>
        <v/>
      </c>
      <c r="N123" t="s">
        <v>60</v>
      </c>
      <c r="O123" t="str">
        <f t="shared" si="12"/>
        <v/>
      </c>
      <c r="P123" t="s">
        <v>60</v>
      </c>
      <c r="S123" t="str">
        <f t="shared" si="13"/>
        <v>—</v>
      </c>
      <c r="T123" t="str">
        <f>IF(NOT(ISNUMBER(S123)),"⬜  Sin dato PVE",IF(AND(COUNT(NORMALIZADO!BV123:BY123)&gt;=3,AQ123=7),IF(S123&lt;34,"🔴 Crítico",IF(S123&lt;67,"🟡 Vulnerable","🟢 Preparado")),"◐  Parcial · "&amp;AQ123&amp;"/7"))</f>
        <v>⬜  Sin dato PVE</v>
      </c>
      <c r="U123" s="53">
        <v>1</v>
      </c>
      <c r="V123" t="s">
        <v>61</v>
      </c>
      <c r="W123" t="str">
        <f>IF(NORMALIZADO!BV123="","",NORMALIZADO!BV123)</f>
        <v/>
      </c>
      <c r="X123" t="str">
        <f>IF(NORMALIZADO!BW123="","",NORMALIZADO!BW123)</f>
        <v/>
      </c>
      <c r="Y123" t="str">
        <f>IF(NORMALIZADO!BX123="","",NORMALIZADO!BX123)</f>
        <v/>
      </c>
      <c r="Z123" t="str">
        <f>IF(NORMALIZADO!BY123="","",NORMALIZADO!BY123)</f>
        <v/>
      </c>
      <c r="AO123" t="str">
        <f t="shared" si="14"/>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dato",IF(AND(COUNT(NORMALIZADO!BV123:BY123)&gt;=3,AQ123=7),"completo","parcial · "&amp;AQ123&amp;"/7 · D12-D15 "&amp;COUNT(NORMALIZADO!BV123:BY123)&amp;"/4"))</f>
        <v>sin dato</v>
      </c>
      <c r="AU123" t="str">
        <f>IF(CAPTURA!N123&lt;&gt;"",ISNUMBER(SEARCH("Rainforest",CAPTURA!N123))+ISNUMBER(SEARCH("Fairtrade",CAPTURA!N123))+ISNUMBER(SEARCH("Org",CAPTURA!N123))+ISNUMBER(SEARCH("UTZ",CAPTURA!N123))+ISNUMBER(SEARCH("Otr",CAPTURA!N123)),IF(AND(H123="",I123=""),"",IF(H123="SI",1,0)+IF(I123="SI",1,0)))</f>
        <v/>
      </c>
      <c r="AV123" t="str">
        <f t="shared" si="15"/>
        <v/>
      </c>
    </row>
    <row r="124" spans="1:48" ht="16.05" customHeight="1" x14ac:dyDescent="0.3">
      <c r="A124" t="s">
        <v>325</v>
      </c>
      <c r="B124" t="s">
        <v>326</v>
      </c>
      <c r="C124" t="s">
        <v>104</v>
      </c>
      <c r="D124" t="s">
        <v>57</v>
      </c>
      <c r="E124">
        <v>442439.35</v>
      </c>
      <c r="F124">
        <v>4</v>
      </c>
      <c r="G124" t="s">
        <v>58</v>
      </c>
      <c r="H124" t="s">
        <v>58</v>
      </c>
      <c r="I124" t="s">
        <v>58</v>
      </c>
      <c r="J124" t="s">
        <v>59</v>
      </c>
      <c r="K124" t="s">
        <v>327</v>
      </c>
      <c r="L124">
        <v>0</v>
      </c>
      <c r="M124">
        <f t="shared" si="11"/>
        <v>0</v>
      </c>
      <c r="N124" t="s">
        <v>60</v>
      </c>
      <c r="O124">
        <f t="shared" si="12"/>
        <v>1</v>
      </c>
      <c r="P124" t="s">
        <v>60</v>
      </c>
      <c r="Q124">
        <v>256</v>
      </c>
      <c r="R124">
        <v>685</v>
      </c>
      <c r="S124">
        <f t="shared" si="13"/>
        <v>37.5</v>
      </c>
      <c r="T124" t="str">
        <f>IF(NOT(ISNUMBER(S124)),"⬜  Sin dato PVE",IF(AND(COUNT(NORMALIZADO!BV124:BY124)&gt;=3,AQ124=7),IF(S124&lt;34,"🔴 Crítico",IF(S124&lt;67,"🟡 Vulnerable","🟢 Preparado")),"◐  Parcial · "&amp;AQ124&amp;"/7"))</f>
        <v>◐  Parcial · 3/7</v>
      </c>
      <c r="U124" s="53">
        <v>1</v>
      </c>
      <c r="V124" t="s">
        <v>61</v>
      </c>
      <c r="W124">
        <f>IF(NORMALIZADO!BV124="",1,NORMALIZADO!BV124)</f>
        <v>1</v>
      </c>
      <c r="X124" t="str">
        <f>IF(NORMALIZADO!BW124="","",NORMALIZADO!BW124)</f>
        <v/>
      </c>
      <c r="Y124" t="str">
        <f>IF(NORMALIZADO!BX124="","",NORMALIZADO!BX124)</f>
        <v/>
      </c>
      <c r="Z124" t="str">
        <f>IF(NORMALIZADO!BY124="","",NORMALIZADO!BY124)</f>
        <v/>
      </c>
      <c r="AO124" t="str">
        <f t="shared" si="14"/>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1524</v>
      </c>
      <c r="AS124" t="s">
        <v>1525</v>
      </c>
      <c r="AT124" t="str">
        <f>IF(NOT(ISNUMBER(AP124)),"sin dato",IF(AND(COUNT(NORMALIZADO!BV124:BY124)&gt;=3,AQ124=7),"completo","parcial · "&amp;AQ124&amp;"/7 · D12-D15 "&amp;COUNT(NORMALIZADO!BV124:BY124)&amp;"/4"))</f>
        <v>parcial · 3/7 · D12-D15 0/4</v>
      </c>
      <c r="AU124">
        <f>IF(CAPTURA!N124&lt;&gt;"",ISNUMBER(SEARCH("Rainforest",CAPTURA!N124))+ISNUMBER(SEARCH("Fairtrade",CAPTURA!N124))+ISNUMBER(SEARCH("Org",CAPTURA!N124))+ISNUMBER(SEARCH("UTZ",CAPTURA!N124))+ISNUMBER(SEARCH("Otr",CAPTURA!N124)),IF(AND(H124="",I124=""),"",IF(H124="SI",1,0)+IF(I124="SI",1,0)))</f>
        <v>2</v>
      </c>
      <c r="AV124">
        <f t="shared" si="15"/>
        <v>66</v>
      </c>
    </row>
    <row r="125" spans="1:48" ht="16.05" customHeight="1" x14ac:dyDescent="0.3">
      <c r="A125" t="s">
        <v>328</v>
      </c>
      <c r="B125" t="s">
        <v>329</v>
      </c>
      <c r="C125" t="s">
        <v>69</v>
      </c>
      <c r="D125" t="s">
        <v>65</v>
      </c>
      <c r="G125" t="s">
        <v>66</v>
      </c>
      <c r="J125" t="s">
        <v>59</v>
      </c>
      <c r="M125" t="str">
        <f t="shared" si="11"/>
        <v/>
      </c>
      <c r="N125" t="s">
        <v>60</v>
      </c>
      <c r="O125" t="str">
        <f t="shared" si="12"/>
        <v/>
      </c>
      <c r="P125" t="s">
        <v>60</v>
      </c>
      <c r="S125" t="str">
        <f t="shared" si="13"/>
        <v>—</v>
      </c>
      <c r="T125" t="str">
        <f>IF(NOT(ISNUMBER(S125)),"⬜  Sin dato PVE",IF(AND(COUNT(NORMALIZADO!BV125:BY125)&gt;=3,AQ125=7),IF(S125&lt;34,"🔴 Crítico",IF(S125&lt;67,"🟡 Vulnerable","🟢 Preparado")),"◐  Parcial · "&amp;AQ125&amp;"/7"))</f>
        <v>⬜  Sin dato PVE</v>
      </c>
      <c r="U125" s="53">
        <v>1</v>
      </c>
      <c r="V125" t="s">
        <v>61</v>
      </c>
      <c r="W125" t="str">
        <f>IF(NORMALIZADO!BV125="","",NORMALIZADO!BV125)</f>
        <v/>
      </c>
      <c r="X125" t="str">
        <f>IF(NORMALIZADO!BW125="","",NORMALIZADO!BW125)</f>
        <v/>
      </c>
      <c r="Y125" t="str">
        <f>IF(NORMALIZADO!BX125="","",NORMALIZADO!BX125)</f>
        <v/>
      </c>
      <c r="Z125" t="str">
        <f>IF(NORMALIZADO!BY125="","",NORMALIZADO!BY125)</f>
        <v/>
      </c>
      <c r="AO125" t="str">
        <f t="shared" si="14"/>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dato",IF(AND(COUNT(NORMALIZADO!BV125:BY125)&gt;=3,AQ125=7),"completo","parcial · "&amp;AQ125&amp;"/7 · D12-D15 "&amp;COUNT(NORMALIZADO!BV125:BY125)&amp;"/4"))</f>
        <v>sin dato</v>
      </c>
      <c r="AU125" t="str">
        <f>IF(CAPTURA!N125&lt;&gt;"",ISNUMBER(SEARCH("Rainforest",CAPTURA!N125))+ISNUMBER(SEARCH("Fairtrade",CAPTURA!N125))+ISNUMBER(SEARCH("Org",CAPTURA!N125))+ISNUMBER(SEARCH("UTZ",CAPTURA!N125))+ISNUMBER(SEARCH("Otr",CAPTURA!N125)),IF(AND(H125="",I125=""),"",IF(H125="SI",1,0)+IF(I125="SI",1,0)))</f>
        <v/>
      </c>
      <c r="AV125" t="str">
        <f t="shared" si="15"/>
        <v/>
      </c>
    </row>
    <row r="126" spans="1:48" ht="16.05" customHeight="1" x14ac:dyDescent="0.3">
      <c r="A126" t="s">
        <v>330</v>
      </c>
      <c r="B126" t="s">
        <v>331</v>
      </c>
      <c r="C126" t="s">
        <v>69</v>
      </c>
      <c r="D126" t="s">
        <v>65</v>
      </c>
      <c r="G126" t="s">
        <v>66</v>
      </c>
      <c r="J126" t="s">
        <v>59</v>
      </c>
      <c r="M126" t="str">
        <f t="shared" si="11"/>
        <v/>
      </c>
      <c r="N126" t="s">
        <v>60</v>
      </c>
      <c r="O126" t="str">
        <f t="shared" si="12"/>
        <v/>
      </c>
      <c r="P126" t="s">
        <v>60</v>
      </c>
      <c r="S126" t="str">
        <f t="shared" si="13"/>
        <v>—</v>
      </c>
      <c r="T126" t="str">
        <f>IF(NOT(ISNUMBER(S126)),"⬜  Sin dato PVE",IF(AND(COUNT(NORMALIZADO!BV126:BY126)&gt;=3,AQ126=7),IF(S126&lt;34,"🔴 Crítico",IF(S126&lt;67,"🟡 Vulnerable","🟢 Preparado")),"◐  Parcial · "&amp;AQ126&amp;"/7"))</f>
        <v>⬜  Sin dato PVE</v>
      </c>
      <c r="U126" s="53">
        <v>1</v>
      </c>
      <c r="V126" t="s">
        <v>61</v>
      </c>
      <c r="W126" t="str">
        <f>IF(NORMALIZADO!BV126="","",NORMALIZADO!BV126)</f>
        <v/>
      </c>
      <c r="X126" t="str">
        <f>IF(NORMALIZADO!BW126="","",NORMALIZADO!BW126)</f>
        <v/>
      </c>
      <c r="Y126" t="str">
        <f>IF(NORMALIZADO!BX126="","",NORMALIZADO!BX126)</f>
        <v/>
      </c>
      <c r="Z126" t="str">
        <f>IF(NORMALIZADO!BY126="","",NORMALIZADO!BY126)</f>
        <v/>
      </c>
      <c r="AO126" t="str">
        <f t="shared" si="14"/>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dato",IF(AND(COUNT(NORMALIZADO!BV126:BY126)&gt;=3,AQ126=7),"completo","parcial · "&amp;AQ126&amp;"/7 · D12-D15 "&amp;COUNT(NORMALIZADO!BV126:BY126)&amp;"/4"))</f>
        <v>sin dato</v>
      </c>
      <c r="AU126" t="str">
        <f>IF(CAPTURA!N126&lt;&gt;"",ISNUMBER(SEARCH("Rainforest",CAPTURA!N126))+ISNUMBER(SEARCH("Fairtrade",CAPTURA!N126))+ISNUMBER(SEARCH("Org",CAPTURA!N126))+ISNUMBER(SEARCH("UTZ",CAPTURA!N126))+ISNUMBER(SEARCH("Otr",CAPTURA!N126)),IF(AND(H126="",I126=""),"",IF(H126="SI",1,0)+IF(I126="SI",1,0)))</f>
        <v/>
      </c>
      <c r="AV126" t="str">
        <f t="shared" si="15"/>
        <v/>
      </c>
    </row>
    <row r="127" spans="1:48" ht="16.05" customHeight="1" x14ac:dyDescent="0.3">
      <c r="A127" t="s">
        <v>332</v>
      </c>
      <c r="B127" t="s">
        <v>333</v>
      </c>
      <c r="C127" t="s">
        <v>69</v>
      </c>
      <c r="D127" t="s">
        <v>65</v>
      </c>
      <c r="G127" t="s">
        <v>66</v>
      </c>
      <c r="J127" t="s">
        <v>59</v>
      </c>
      <c r="M127" t="str">
        <f t="shared" si="11"/>
        <v/>
      </c>
      <c r="N127" t="s">
        <v>60</v>
      </c>
      <c r="O127" t="str">
        <f t="shared" si="12"/>
        <v/>
      </c>
      <c r="P127" t="s">
        <v>60</v>
      </c>
      <c r="S127" t="str">
        <f t="shared" si="13"/>
        <v>—</v>
      </c>
      <c r="T127" t="str">
        <f>IF(NOT(ISNUMBER(S127)),"⬜  Sin dato PVE",IF(AND(COUNT(NORMALIZADO!BV127:BY127)&gt;=3,AQ127=7),IF(S127&lt;34,"🔴 Crítico",IF(S127&lt;67,"🟡 Vulnerable","🟢 Preparado")),"◐  Parcial · "&amp;AQ127&amp;"/7"))</f>
        <v>⬜  Sin dato PVE</v>
      </c>
      <c r="U127" s="53">
        <v>1</v>
      </c>
      <c r="V127" t="s">
        <v>61</v>
      </c>
      <c r="W127" t="str">
        <f>IF(NORMALIZADO!BV127="","",NORMALIZADO!BV127)</f>
        <v/>
      </c>
      <c r="X127" t="str">
        <f>IF(NORMALIZADO!BW127="","",NORMALIZADO!BW127)</f>
        <v/>
      </c>
      <c r="Y127" t="str">
        <f>IF(NORMALIZADO!BX127="","",NORMALIZADO!BX127)</f>
        <v/>
      </c>
      <c r="Z127" t="str">
        <f>IF(NORMALIZADO!BY127="","",NORMALIZADO!BY127)</f>
        <v/>
      </c>
      <c r="AO127" t="str">
        <f t="shared" si="14"/>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dato",IF(AND(COUNT(NORMALIZADO!BV127:BY127)&gt;=3,AQ127=7),"completo","parcial · "&amp;AQ127&amp;"/7 · D12-D15 "&amp;COUNT(NORMALIZADO!BV127:BY127)&amp;"/4"))</f>
        <v>sin dato</v>
      </c>
      <c r="AU127" t="str">
        <f>IF(CAPTURA!N127&lt;&gt;"",ISNUMBER(SEARCH("Rainforest",CAPTURA!N127))+ISNUMBER(SEARCH("Fairtrade",CAPTURA!N127))+ISNUMBER(SEARCH("Org",CAPTURA!N127))+ISNUMBER(SEARCH("UTZ",CAPTURA!N127))+ISNUMBER(SEARCH("Otr",CAPTURA!N127)),IF(AND(H127="",I127=""),"",IF(H127="SI",1,0)+IF(I127="SI",1,0)))</f>
        <v/>
      </c>
      <c r="AV127" t="str">
        <f t="shared" si="15"/>
        <v/>
      </c>
    </row>
    <row r="128" spans="1:48" ht="16.05" customHeight="1" x14ac:dyDescent="0.3">
      <c r="A128" t="s">
        <v>334</v>
      </c>
      <c r="B128" t="s">
        <v>335</v>
      </c>
      <c r="C128" t="s">
        <v>104</v>
      </c>
      <c r="D128" t="s">
        <v>57</v>
      </c>
      <c r="E128">
        <v>13966273.33</v>
      </c>
      <c r="F128">
        <v>80</v>
      </c>
      <c r="G128" t="s">
        <v>58</v>
      </c>
      <c r="J128" t="s">
        <v>59</v>
      </c>
      <c r="L128">
        <v>6983136.6699999999</v>
      </c>
      <c r="M128">
        <f t="shared" si="11"/>
        <v>50</v>
      </c>
      <c r="N128" t="s">
        <v>60</v>
      </c>
      <c r="O128" t="str">
        <f t="shared" si="12"/>
        <v/>
      </c>
      <c r="P128" t="s">
        <v>60</v>
      </c>
      <c r="S128">
        <f t="shared" si="13"/>
        <v>50</v>
      </c>
      <c r="T128" t="str">
        <f>IF(NOT(ISNUMBER(S128)),"⬜  Sin dato PVE",IF(AND(COUNT(NORMALIZADO!BV128:BY128)&gt;=3,AQ128=7),IF(S128&lt;34,"🔴 Crítico",IF(S128&lt;67,"🟡 Vulnerable","🟢 Preparado")),"◐  Parcial · "&amp;AQ128&amp;"/7"))</f>
        <v>◐  Parcial · 2/7</v>
      </c>
      <c r="U128" s="53">
        <v>1</v>
      </c>
      <c r="V128" t="s">
        <v>61</v>
      </c>
      <c r="W128">
        <f>IF(NORMALIZADO!BV128="",1,NORMALIZADO!BV128)</f>
        <v>1</v>
      </c>
      <c r="X128" t="str">
        <f>IF(NORMALIZADO!BW128="","",NORMALIZADO!BW128)</f>
        <v/>
      </c>
      <c r="Y128" t="str">
        <f>IF(NORMALIZADO!BX128="","",NORMALIZADO!BX128)</f>
        <v/>
      </c>
      <c r="Z128" t="str">
        <f>IF(NORMALIZADO!BY128="","",NORMALIZADO!BY128)</f>
        <v/>
      </c>
      <c r="AO128" t="str">
        <f t="shared" si="14"/>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dato",IF(AND(COUNT(NORMALIZADO!BV128:BY128)&gt;=3,AQ128=7),"completo","parcial · "&amp;AQ128&amp;"/7 · D12-D15 "&amp;COUNT(NORMALIZADO!BV128:BY128)&amp;"/4"))</f>
        <v>parcial · 2/7 · D12-D15 0/4</v>
      </c>
      <c r="AU128" t="str">
        <f>IF(CAPTURA!N128&lt;&gt;"",ISNUMBER(SEARCH("Rainforest",CAPTURA!N128))+ISNUMBER(SEARCH("Fairtrade",CAPTURA!N128))+ISNUMBER(SEARCH("Org",CAPTURA!N128))+ISNUMBER(SEARCH("UTZ",CAPTURA!N128))+ISNUMBER(SEARCH("Otr",CAPTURA!N128)),IF(AND(H128="",I128=""),"",IF(H128="SI",1,0)+IF(I128="SI",1,0)))</f>
        <v/>
      </c>
      <c r="AV128" t="str">
        <f t="shared" si="15"/>
        <v/>
      </c>
    </row>
    <row r="129" spans="1:48" ht="16.05" customHeight="1" x14ac:dyDescent="0.3">
      <c r="A129" t="s">
        <v>336</v>
      </c>
      <c r="B129" t="s">
        <v>337</v>
      </c>
      <c r="C129" t="s">
        <v>101</v>
      </c>
      <c r="D129" t="s">
        <v>65</v>
      </c>
      <c r="G129" t="s">
        <v>66</v>
      </c>
      <c r="J129" t="s">
        <v>59</v>
      </c>
      <c r="M129" t="str">
        <f t="shared" si="11"/>
        <v/>
      </c>
      <c r="N129" t="s">
        <v>60</v>
      </c>
      <c r="O129" t="str">
        <f t="shared" si="12"/>
        <v/>
      </c>
      <c r="P129" t="s">
        <v>60</v>
      </c>
      <c r="S129" t="str">
        <f t="shared" si="13"/>
        <v>—</v>
      </c>
      <c r="T129" t="str">
        <f>IF(NOT(ISNUMBER(S129)),"⬜  Sin dato PVE",IF(AND(COUNT(NORMALIZADO!BV129:BY129)&gt;=3,AQ129=7),IF(S129&lt;34,"🔴 Crítico",IF(S129&lt;67,"🟡 Vulnerable","🟢 Preparado")),"◐  Parcial · "&amp;AQ129&amp;"/7"))</f>
        <v>⬜  Sin dato PVE</v>
      </c>
      <c r="U129" s="53">
        <v>1</v>
      </c>
      <c r="V129" t="s">
        <v>61</v>
      </c>
      <c r="W129" t="str">
        <f>IF(NORMALIZADO!BV129="","",NORMALIZADO!BV129)</f>
        <v/>
      </c>
      <c r="X129" t="str">
        <f>IF(NORMALIZADO!BW129="","",NORMALIZADO!BW129)</f>
        <v/>
      </c>
      <c r="Y129" t="str">
        <f>IF(NORMALIZADO!BX129="","",NORMALIZADO!BX129)</f>
        <v/>
      </c>
      <c r="Z129" t="str">
        <f>IF(NORMALIZADO!BY129="","",NORMALIZADO!BY129)</f>
        <v/>
      </c>
      <c r="AO129" t="str">
        <f t="shared" si="14"/>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dato",IF(AND(COUNT(NORMALIZADO!BV129:BY129)&gt;=3,AQ129=7),"completo","parcial · "&amp;AQ129&amp;"/7 · D12-D15 "&amp;COUNT(NORMALIZADO!BV129:BY129)&amp;"/4"))</f>
        <v>sin dato</v>
      </c>
      <c r="AU129" t="str">
        <f>IF(CAPTURA!N129&lt;&gt;"",ISNUMBER(SEARCH("Rainforest",CAPTURA!N129))+ISNUMBER(SEARCH("Fairtrade",CAPTURA!N129))+ISNUMBER(SEARCH("Org",CAPTURA!N129))+ISNUMBER(SEARCH("UTZ",CAPTURA!N129))+ISNUMBER(SEARCH("Otr",CAPTURA!N129)),IF(AND(H129="",I129=""),"",IF(H129="SI",1,0)+IF(I129="SI",1,0)))</f>
        <v/>
      </c>
      <c r="AV129" t="str">
        <f t="shared" si="15"/>
        <v/>
      </c>
    </row>
    <row r="130" spans="1:48" ht="16.05" customHeight="1" x14ac:dyDescent="0.3">
      <c r="A130" t="s">
        <v>338</v>
      </c>
      <c r="B130" t="s">
        <v>339</v>
      </c>
      <c r="C130" t="s">
        <v>241</v>
      </c>
      <c r="D130" t="s">
        <v>57</v>
      </c>
      <c r="E130">
        <v>826100.75</v>
      </c>
      <c r="F130">
        <v>5</v>
      </c>
      <c r="G130" t="s">
        <v>58</v>
      </c>
      <c r="H130" t="s">
        <v>58</v>
      </c>
      <c r="I130" t="s">
        <v>58</v>
      </c>
      <c r="J130" t="s">
        <v>59</v>
      </c>
      <c r="K130" t="s">
        <v>340</v>
      </c>
      <c r="L130">
        <v>0</v>
      </c>
      <c r="M130">
        <f t="shared" si="11"/>
        <v>0</v>
      </c>
      <c r="N130" t="s">
        <v>60</v>
      </c>
      <c r="O130">
        <f t="shared" si="12"/>
        <v>1</v>
      </c>
      <c r="P130" t="s">
        <v>60</v>
      </c>
      <c r="Q130">
        <v>177</v>
      </c>
      <c r="R130">
        <v>213</v>
      </c>
      <c r="S130">
        <f t="shared" si="13"/>
        <v>37.5</v>
      </c>
      <c r="T130" t="str">
        <f>IF(NOT(ISNUMBER(S130)),"⬜  Sin dato PVE",IF(AND(COUNT(NORMALIZADO!BV130:BY130)&gt;=3,AQ130=7),IF(S130&lt;34,"🔴 Crítico",IF(S130&lt;67,"🟡 Vulnerable","🟢 Preparado")),"◐  Parcial · "&amp;AQ130&amp;"/7"))</f>
        <v>◐  Parcial · 3/7</v>
      </c>
      <c r="U130" s="53">
        <v>1</v>
      </c>
      <c r="V130" t="s">
        <v>61</v>
      </c>
      <c r="W130">
        <f>IF(NORMALIZADO!BV130="",1,NORMALIZADO!BV130)</f>
        <v>1</v>
      </c>
      <c r="X130" t="str">
        <f>IF(NORMALIZADO!BW130="","",NORMALIZADO!BW130)</f>
        <v/>
      </c>
      <c r="Y130" t="str">
        <f>IF(NORMALIZADO!BX130="","",NORMALIZADO!BX130)</f>
        <v/>
      </c>
      <c r="Z130" t="str">
        <f>IF(NORMALIZADO!BY130="","",NORMALIZADO!BY130)</f>
        <v/>
      </c>
      <c r="AO130" t="str">
        <f t="shared" si="14"/>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1526</v>
      </c>
      <c r="AS130" t="s">
        <v>1527</v>
      </c>
      <c r="AT130" t="str">
        <f>IF(NOT(ISNUMBER(AP130)),"sin dato",IF(AND(COUNT(NORMALIZADO!BV130:BY130)&gt;=3,AQ130=7),"completo","parcial · "&amp;AQ130&amp;"/7 · D12-D15 "&amp;COUNT(NORMALIZADO!BV130:BY130)&amp;"/4"))</f>
        <v>parcial · 3/7 · D12-D15 0/4</v>
      </c>
      <c r="AU130">
        <f>IF(CAPTURA!N130&lt;&gt;"",ISNUMBER(SEARCH("Rainforest",CAPTURA!N130))+ISNUMBER(SEARCH("Fairtrade",CAPTURA!N130))+ISNUMBER(SEARCH("Org",CAPTURA!N130))+ISNUMBER(SEARCH("UTZ",CAPTURA!N130))+ISNUMBER(SEARCH("Otr",CAPTURA!N130)),IF(AND(H130="",I130=""),"",IF(H130="SI",1,0)+IF(I130="SI",1,0)))</f>
        <v>2</v>
      </c>
      <c r="AV130">
        <f t="shared" si="15"/>
        <v>66</v>
      </c>
    </row>
    <row r="131" spans="1:48" ht="16.05" customHeight="1" x14ac:dyDescent="0.3">
      <c r="A131" t="s">
        <v>341</v>
      </c>
      <c r="B131" t="s">
        <v>342</v>
      </c>
      <c r="C131" t="s">
        <v>69</v>
      </c>
      <c r="D131" t="s">
        <v>57</v>
      </c>
      <c r="G131" t="s">
        <v>66</v>
      </c>
      <c r="J131" t="s">
        <v>116</v>
      </c>
      <c r="M131" t="str">
        <f t="shared" si="11"/>
        <v/>
      </c>
      <c r="N131" t="s">
        <v>60</v>
      </c>
      <c r="O131" t="str">
        <f t="shared" si="12"/>
        <v/>
      </c>
      <c r="P131" t="s">
        <v>60</v>
      </c>
      <c r="S131" t="str">
        <f t="shared" ref="S131:S162" si="16">IFERROR(ROUND(AP131*100,1),"—")</f>
        <v>—</v>
      </c>
      <c r="T131" t="str">
        <f>IF(NOT(ISNUMBER(S131)),"⬜  Sin dato PVE",IF(AND(COUNT(NORMALIZADO!BV131:BY131)&gt;=3,AQ131=7),IF(S131&lt;34,"🔴 Crítico",IF(S131&lt;67,"🟡 Vulnerable","🟢 Preparado")),"◐  Parcial · "&amp;AQ131&amp;"/7"))</f>
        <v>⬜  Sin dato PVE</v>
      </c>
      <c r="U131" s="53">
        <v>1</v>
      </c>
      <c r="V131" t="s">
        <v>61</v>
      </c>
      <c r="W131" t="str">
        <f>IF(NORMALIZADO!BV131="","",NORMALIZADO!BV131)</f>
        <v/>
      </c>
      <c r="X131" t="str">
        <f>IF(NORMALIZADO!BW131="","",NORMALIZADO!BW131)</f>
        <v/>
      </c>
      <c r="Y131" t="str">
        <f>IF(NORMALIZADO!BX131="","",NORMALIZADO!BX131)</f>
        <v/>
      </c>
      <c r="Z131" t="str">
        <f>IF(NORMALIZADO!BY131="","",NORMALIZADO!BY131)</f>
        <v/>
      </c>
      <c r="AO131" t="str">
        <f t="shared" ref="AO131:AO162" si="17">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dato",IF(AND(COUNT(NORMALIZADO!BV131:BY131)&gt;=3,AQ131=7),"completo","parcial · "&amp;AQ131&amp;"/7 · D12-D15 "&amp;COUNT(NORMALIZADO!BV131:BY131)&amp;"/4"))</f>
        <v>sin dato</v>
      </c>
      <c r="AU131" t="str">
        <f>IF(CAPTURA!N131&lt;&gt;"",ISNUMBER(SEARCH("Rainforest",CAPTURA!N131))+ISNUMBER(SEARCH("Fairtrade",CAPTURA!N131))+ISNUMBER(SEARCH("Org",CAPTURA!N131))+ISNUMBER(SEARCH("UTZ",CAPTURA!N131))+ISNUMBER(SEARCH("Otr",CAPTURA!N131)),IF(AND(H131="",I131=""),"",IF(H131="SI",1,0)+IF(I131="SI",1,0)))</f>
        <v/>
      </c>
      <c r="AV131" t="str">
        <f t="shared" ref="AV131:AV162" si="18">IF(AU131="","",CHOOSE(MIN(3,AU131)+1,0,33,66,100))</f>
        <v/>
      </c>
    </row>
    <row r="132" spans="1:48" ht="16.05" customHeight="1" x14ac:dyDescent="0.3">
      <c r="A132" t="s">
        <v>343</v>
      </c>
      <c r="B132" t="s">
        <v>344</v>
      </c>
      <c r="C132" t="s">
        <v>101</v>
      </c>
      <c r="D132" t="s">
        <v>65</v>
      </c>
      <c r="G132" t="s">
        <v>66</v>
      </c>
      <c r="J132" t="s">
        <v>116</v>
      </c>
      <c r="M132" t="str">
        <f t="shared" ref="M132:M176" si="19">IF(E132&gt;0,ROUND(L132/E132*100,1),"")</f>
        <v/>
      </c>
      <c r="N132" t="s">
        <v>60</v>
      </c>
      <c r="O132" t="str">
        <f t="shared" ref="O132:O176" si="20">IF(AND(H132="",I132=""),"",IF(H132="SI",1,0)*0.6+IF(I132="SI",1,0)*0.4)</f>
        <v/>
      </c>
      <c r="P132" t="s">
        <v>60</v>
      </c>
      <c r="S132" t="str">
        <f t="shared" si="16"/>
        <v>—</v>
      </c>
      <c r="T132" t="str">
        <f>IF(NOT(ISNUMBER(S132)),"⬜  Sin dato PVE",IF(AND(COUNT(NORMALIZADO!BV132:BY132)&gt;=3,AQ132=7),IF(S132&lt;34,"🔴 Crítico",IF(S132&lt;67,"🟡 Vulnerable","🟢 Preparado")),"◐  Parcial · "&amp;AQ132&amp;"/7"))</f>
        <v>⬜  Sin dato PVE</v>
      </c>
      <c r="U132" s="53">
        <v>1</v>
      </c>
      <c r="V132" t="s">
        <v>61</v>
      </c>
      <c r="W132" t="str">
        <f>IF(NORMALIZADO!BV132="","",NORMALIZADO!BV132)</f>
        <v/>
      </c>
      <c r="X132" t="str">
        <f>IF(NORMALIZADO!BW132="","",NORMALIZADO!BW132)</f>
        <v/>
      </c>
      <c r="Y132" t="str">
        <f>IF(NORMALIZADO!BX132="","",NORMALIZADO!BX132)</f>
        <v/>
      </c>
      <c r="Z132" t="str">
        <f>IF(NORMALIZADO!BY132="","",NORMALIZADO!BY132)</f>
        <v/>
      </c>
      <c r="AO132" t="str">
        <f t="shared" si="17"/>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dato",IF(AND(COUNT(NORMALIZADO!BV132:BY132)&gt;=3,AQ132=7),"completo","parcial · "&amp;AQ132&amp;"/7 · D12-D15 "&amp;COUNT(NORMALIZADO!BV132:BY132)&amp;"/4"))</f>
        <v>sin dato</v>
      </c>
      <c r="AU132" t="str">
        <f>IF(CAPTURA!N132&lt;&gt;"",ISNUMBER(SEARCH("Rainforest",CAPTURA!N132))+ISNUMBER(SEARCH("Fairtrade",CAPTURA!N132))+ISNUMBER(SEARCH("Org",CAPTURA!N132))+ISNUMBER(SEARCH("UTZ",CAPTURA!N132))+ISNUMBER(SEARCH("Otr",CAPTURA!N132)),IF(AND(H132="",I132=""),"",IF(H132="SI",1,0)+IF(I132="SI",1,0)))</f>
        <v/>
      </c>
      <c r="AV132" t="str">
        <f t="shared" si="18"/>
        <v/>
      </c>
    </row>
    <row r="133" spans="1:48" ht="16.05" customHeight="1" x14ac:dyDescent="0.3">
      <c r="A133" t="s">
        <v>345</v>
      </c>
      <c r="B133" t="s">
        <v>346</v>
      </c>
      <c r="C133" t="s">
        <v>95</v>
      </c>
      <c r="D133" t="s">
        <v>65</v>
      </c>
      <c r="G133" t="s">
        <v>66</v>
      </c>
      <c r="J133" t="s">
        <v>59</v>
      </c>
      <c r="M133" t="str">
        <f t="shared" si="19"/>
        <v/>
      </c>
      <c r="N133" t="s">
        <v>60</v>
      </c>
      <c r="O133" t="str">
        <f t="shared" si="20"/>
        <v/>
      </c>
      <c r="P133" t="s">
        <v>60</v>
      </c>
      <c r="S133" t="str">
        <f t="shared" si="16"/>
        <v>—</v>
      </c>
      <c r="T133" t="str">
        <f>IF(NOT(ISNUMBER(S133)),"⬜  Sin dato PVE",IF(AND(COUNT(NORMALIZADO!BV133:BY133)&gt;=3,AQ133=7),IF(S133&lt;34,"🔴 Crítico",IF(S133&lt;67,"🟡 Vulnerable","🟢 Preparado")),"◐  Parcial · "&amp;AQ133&amp;"/7"))</f>
        <v>⬜  Sin dato PVE</v>
      </c>
      <c r="U133" s="53">
        <v>1</v>
      </c>
      <c r="V133" t="s">
        <v>61</v>
      </c>
      <c r="W133" t="str">
        <f>IF(NORMALIZADO!BV133="","",NORMALIZADO!BV133)</f>
        <v/>
      </c>
      <c r="X133" t="str">
        <f>IF(NORMALIZADO!BW133="","",NORMALIZADO!BW133)</f>
        <v/>
      </c>
      <c r="Y133" t="str">
        <f>IF(NORMALIZADO!BX133="","",NORMALIZADO!BX133)</f>
        <v/>
      </c>
      <c r="Z133" t="str">
        <f>IF(NORMALIZADO!BY133="","",NORMALIZADO!BY133)</f>
        <v/>
      </c>
      <c r="AO133" t="str">
        <f t="shared" si="17"/>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dato",IF(AND(COUNT(NORMALIZADO!BV133:BY133)&gt;=3,AQ133=7),"completo","parcial · "&amp;AQ133&amp;"/7 · D12-D15 "&amp;COUNT(NORMALIZADO!BV133:BY133)&amp;"/4"))</f>
        <v>sin dato</v>
      </c>
      <c r="AU133" t="str">
        <f>IF(CAPTURA!N133&lt;&gt;"",ISNUMBER(SEARCH("Rainforest",CAPTURA!N133))+ISNUMBER(SEARCH("Fairtrade",CAPTURA!N133))+ISNUMBER(SEARCH("Org",CAPTURA!N133))+ISNUMBER(SEARCH("UTZ",CAPTURA!N133))+ISNUMBER(SEARCH("Otr",CAPTURA!N133)),IF(AND(H133="",I133=""),"",IF(H133="SI",1,0)+IF(I133="SI",1,0)))</f>
        <v/>
      </c>
      <c r="AV133" t="str">
        <f t="shared" si="18"/>
        <v/>
      </c>
    </row>
    <row r="134" spans="1:48" ht="16.05" customHeight="1" x14ac:dyDescent="0.3">
      <c r="A134" t="s">
        <v>347</v>
      </c>
      <c r="B134" t="s">
        <v>348</v>
      </c>
      <c r="C134" t="s">
        <v>69</v>
      </c>
      <c r="D134" t="s">
        <v>57</v>
      </c>
      <c r="G134" t="s">
        <v>66</v>
      </c>
      <c r="H134" t="s">
        <v>58</v>
      </c>
      <c r="I134" t="s">
        <v>58</v>
      </c>
      <c r="J134" t="s">
        <v>59</v>
      </c>
      <c r="K134" t="s">
        <v>349</v>
      </c>
      <c r="M134" t="str">
        <f t="shared" si="19"/>
        <v/>
      </c>
      <c r="N134" t="s">
        <v>60</v>
      </c>
      <c r="O134">
        <f t="shared" si="20"/>
        <v>1</v>
      </c>
      <c r="P134" t="s">
        <v>60</v>
      </c>
      <c r="Q134">
        <v>162</v>
      </c>
      <c r="R134">
        <v>454.5</v>
      </c>
      <c r="S134">
        <f t="shared" si="16"/>
        <v>64.3</v>
      </c>
      <c r="T134" t="str">
        <f>IF(NOT(ISNUMBER(S134)),"⬜  Sin dato PVE",IF(AND(COUNT(NORMALIZADO!BV134:BY134)&gt;=3,AQ134=7),IF(S134&lt;34,"🔴 Crítico",IF(S134&lt;67,"🟡 Vulnerable","🟢 Preparado")),"◐  Parcial · "&amp;AQ134&amp;"/7"))</f>
        <v>◐  Parcial · 2/7</v>
      </c>
      <c r="U134" s="53">
        <v>1</v>
      </c>
      <c r="V134" t="s">
        <v>61</v>
      </c>
      <c r="W134">
        <f>IF(NORMALIZADO!BV134="",1,NORMALIZADO!BV134)</f>
        <v>1</v>
      </c>
      <c r="X134" t="str">
        <f>IF(NORMALIZADO!BW134="","",NORMALIZADO!BW134)</f>
        <v/>
      </c>
      <c r="Y134" t="str">
        <f>IF(NORMALIZADO!BX134="","",NORMALIZADO!BX134)</f>
        <v/>
      </c>
      <c r="Z134" t="str">
        <f>IF(NORMALIZADO!BY134="","",NORMALIZADO!BY134)</f>
        <v/>
      </c>
      <c r="AO134" t="str">
        <f t="shared" si="17"/>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1528</v>
      </c>
      <c r="AS134" t="s">
        <v>1529</v>
      </c>
      <c r="AT134" t="str">
        <f>IF(NOT(ISNUMBER(AP134)),"sin dato",IF(AND(COUNT(NORMALIZADO!BV134:BY134)&gt;=3,AQ134=7),"completo","parcial · "&amp;AQ134&amp;"/7 · D12-D15 "&amp;COUNT(NORMALIZADO!BV134:BY134)&amp;"/4"))</f>
        <v>parcial · 2/7 · D12-D15 0/4</v>
      </c>
      <c r="AU134">
        <f>IF(CAPTURA!N134&lt;&gt;"",ISNUMBER(SEARCH("Rainforest",CAPTURA!N134))+ISNUMBER(SEARCH("Fairtrade",CAPTURA!N134))+ISNUMBER(SEARCH("Org",CAPTURA!N134))+ISNUMBER(SEARCH("UTZ",CAPTURA!N134))+ISNUMBER(SEARCH("Otr",CAPTURA!N134)),IF(AND(H134="",I134=""),"",IF(H134="SI",1,0)+IF(I134="SI",1,0)))</f>
        <v>2</v>
      </c>
      <c r="AV134">
        <f t="shared" si="18"/>
        <v>66</v>
      </c>
    </row>
    <row r="135" spans="1:48" ht="16.05" customHeight="1" x14ac:dyDescent="0.3">
      <c r="A135" t="s">
        <v>350</v>
      </c>
      <c r="B135" t="s">
        <v>351</v>
      </c>
      <c r="C135" t="s">
        <v>131</v>
      </c>
      <c r="D135" t="s">
        <v>57</v>
      </c>
      <c r="E135">
        <v>6836861.4500000002</v>
      </c>
      <c r="F135">
        <v>36</v>
      </c>
      <c r="G135" t="s">
        <v>58</v>
      </c>
      <c r="H135" t="s">
        <v>58</v>
      </c>
      <c r="I135" t="s">
        <v>58</v>
      </c>
      <c r="J135" t="s">
        <v>59</v>
      </c>
      <c r="K135" t="s">
        <v>352</v>
      </c>
      <c r="L135">
        <v>4575551.37</v>
      </c>
      <c r="M135">
        <f t="shared" si="19"/>
        <v>66.900000000000006</v>
      </c>
      <c r="N135" t="s">
        <v>60</v>
      </c>
      <c r="O135">
        <f t="shared" si="20"/>
        <v>1</v>
      </c>
      <c r="P135" t="s">
        <v>60</v>
      </c>
      <c r="Q135">
        <v>762</v>
      </c>
      <c r="R135">
        <v>1500</v>
      </c>
      <c r="S135">
        <f t="shared" si="16"/>
        <v>65.400000000000006</v>
      </c>
      <c r="T135" t="str">
        <f>IF(NOT(ISNUMBER(S135)),"⬜  Sin dato PVE",IF(AND(COUNT(NORMALIZADO!BV135:BY135)&gt;=3,AQ135=7),IF(S135&lt;34,"🔴 Crítico",IF(S135&lt;67,"🟡 Vulnerable","🟢 Preparado")),"◐  Parcial · "&amp;AQ135&amp;"/7"))</f>
        <v>◐  Parcial · 3/7</v>
      </c>
      <c r="U135" s="53">
        <v>1</v>
      </c>
      <c r="V135" t="s">
        <v>61</v>
      </c>
      <c r="W135">
        <f>IF(NORMALIZADO!BV135="",1,NORMALIZADO!BV135)</f>
        <v>1</v>
      </c>
      <c r="X135" t="str">
        <f>IF(NORMALIZADO!BW135="","",NORMALIZADO!BW135)</f>
        <v/>
      </c>
      <c r="Y135" t="str">
        <f>IF(NORMALIZADO!BX135="","",NORMALIZADO!BX135)</f>
        <v/>
      </c>
      <c r="Z135" t="str">
        <f>IF(NORMALIZADO!BY135="","",NORMALIZADO!BY135)</f>
        <v/>
      </c>
      <c r="AO135" t="str">
        <f t="shared" si="17"/>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1530</v>
      </c>
      <c r="AS135" t="s">
        <v>1531</v>
      </c>
      <c r="AT135" t="str">
        <f>IF(NOT(ISNUMBER(AP135)),"sin dato",IF(AND(COUNT(NORMALIZADO!BV135:BY135)&gt;=3,AQ135=7),"completo","parcial · "&amp;AQ135&amp;"/7 · D12-D15 "&amp;COUNT(NORMALIZADO!BV135:BY135)&amp;"/4"))</f>
        <v>parcial · 3/7 · D12-D15 0/4</v>
      </c>
      <c r="AU135">
        <f>IF(CAPTURA!N135&lt;&gt;"",ISNUMBER(SEARCH("Rainforest",CAPTURA!N135))+ISNUMBER(SEARCH("Fairtrade",CAPTURA!N135))+ISNUMBER(SEARCH("Org",CAPTURA!N135))+ISNUMBER(SEARCH("UTZ",CAPTURA!N135))+ISNUMBER(SEARCH("Otr",CAPTURA!N135)),IF(AND(H135="",I135=""),"",IF(H135="SI",1,0)+IF(I135="SI",1,0)))</f>
        <v>2</v>
      </c>
      <c r="AV135">
        <f t="shared" si="18"/>
        <v>66</v>
      </c>
    </row>
    <row r="136" spans="1:48" ht="16.05" customHeight="1" x14ac:dyDescent="0.3">
      <c r="A136" t="s">
        <v>353</v>
      </c>
      <c r="B136" t="s">
        <v>354</v>
      </c>
      <c r="C136" t="s">
        <v>69</v>
      </c>
      <c r="D136" t="s">
        <v>57</v>
      </c>
      <c r="G136" t="s">
        <v>66</v>
      </c>
      <c r="J136" t="s">
        <v>59</v>
      </c>
      <c r="M136" t="str">
        <f t="shared" si="19"/>
        <v/>
      </c>
      <c r="N136" t="s">
        <v>60</v>
      </c>
      <c r="O136" t="str">
        <f t="shared" si="20"/>
        <v/>
      </c>
      <c r="P136" t="s">
        <v>60</v>
      </c>
      <c r="S136" t="str">
        <f t="shared" si="16"/>
        <v>—</v>
      </c>
      <c r="T136" t="str">
        <f>IF(NOT(ISNUMBER(S136)),"⬜  Sin dato PVE",IF(AND(COUNT(NORMALIZADO!BV136:BY136)&gt;=3,AQ136=7),IF(S136&lt;34,"🔴 Crítico",IF(S136&lt;67,"🟡 Vulnerable","🟢 Preparado")),"◐  Parcial · "&amp;AQ136&amp;"/7"))</f>
        <v>⬜  Sin dato PVE</v>
      </c>
      <c r="U136" s="53">
        <v>1</v>
      </c>
      <c r="V136" t="s">
        <v>61</v>
      </c>
      <c r="W136" t="str">
        <f>IF(NORMALIZADO!BV136="","",NORMALIZADO!BV136)</f>
        <v/>
      </c>
      <c r="X136" t="str">
        <f>IF(NORMALIZADO!BW136="","",NORMALIZADO!BW136)</f>
        <v/>
      </c>
      <c r="Y136" t="str">
        <f>IF(NORMALIZADO!BX136="","",NORMALIZADO!BX136)</f>
        <v/>
      </c>
      <c r="Z136" t="str">
        <f>IF(NORMALIZADO!BY136="","",NORMALIZADO!BY136)</f>
        <v/>
      </c>
      <c r="AO136" t="str">
        <f t="shared" si="17"/>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dato",IF(AND(COUNT(NORMALIZADO!BV136:BY136)&gt;=3,AQ136=7),"completo","parcial · "&amp;AQ136&amp;"/7 · D12-D15 "&amp;COUNT(NORMALIZADO!BV136:BY136)&amp;"/4"))</f>
        <v>sin dato</v>
      </c>
      <c r="AU136" t="str">
        <f>IF(CAPTURA!N136&lt;&gt;"",ISNUMBER(SEARCH("Rainforest",CAPTURA!N136))+ISNUMBER(SEARCH("Fairtrade",CAPTURA!N136))+ISNUMBER(SEARCH("Org",CAPTURA!N136))+ISNUMBER(SEARCH("UTZ",CAPTURA!N136))+ISNUMBER(SEARCH("Otr",CAPTURA!N136)),IF(AND(H136="",I136=""),"",IF(H136="SI",1,0)+IF(I136="SI",1,0)))</f>
        <v/>
      </c>
      <c r="AV136" t="str">
        <f t="shared" si="18"/>
        <v/>
      </c>
    </row>
    <row r="137" spans="1:48" ht="16.05" customHeight="1" x14ac:dyDescent="0.3">
      <c r="A137" t="s">
        <v>355</v>
      </c>
      <c r="B137" t="s">
        <v>356</v>
      </c>
      <c r="C137" t="s">
        <v>72</v>
      </c>
      <c r="D137" t="s">
        <v>65</v>
      </c>
      <c r="G137" t="s">
        <v>66</v>
      </c>
      <c r="J137" t="s">
        <v>59</v>
      </c>
      <c r="M137" t="str">
        <f t="shared" si="19"/>
        <v/>
      </c>
      <c r="N137" t="s">
        <v>60</v>
      </c>
      <c r="O137" t="str">
        <f t="shared" si="20"/>
        <v/>
      </c>
      <c r="P137" t="s">
        <v>60</v>
      </c>
      <c r="S137" t="str">
        <f t="shared" si="16"/>
        <v>—</v>
      </c>
      <c r="T137" t="str">
        <f>IF(NOT(ISNUMBER(S137)),"⬜  Sin dato PVE",IF(AND(COUNT(NORMALIZADO!BV137:BY137)&gt;=3,AQ137=7),IF(S137&lt;34,"🔴 Crítico",IF(S137&lt;67,"🟡 Vulnerable","🟢 Preparado")),"◐  Parcial · "&amp;AQ137&amp;"/7"))</f>
        <v>⬜  Sin dato PVE</v>
      </c>
      <c r="U137" s="53">
        <v>1</v>
      </c>
      <c r="V137" t="s">
        <v>61</v>
      </c>
      <c r="W137" t="str">
        <f>IF(NORMALIZADO!BV137="","",NORMALIZADO!BV137)</f>
        <v/>
      </c>
      <c r="X137" t="str">
        <f>IF(NORMALIZADO!BW137="","",NORMALIZADO!BW137)</f>
        <v/>
      </c>
      <c r="Y137" t="str">
        <f>IF(NORMALIZADO!BX137="","",NORMALIZADO!BX137)</f>
        <v/>
      </c>
      <c r="Z137" t="str">
        <f>IF(NORMALIZADO!BY137="","",NORMALIZADO!BY137)</f>
        <v/>
      </c>
      <c r="AO137" t="str">
        <f t="shared" si="17"/>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dato",IF(AND(COUNT(NORMALIZADO!BV137:BY137)&gt;=3,AQ137=7),"completo","parcial · "&amp;AQ137&amp;"/7 · D12-D15 "&amp;COUNT(NORMALIZADO!BV137:BY137)&amp;"/4"))</f>
        <v>sin dato</v>
      </c>
      <c r="AU137" t="str">
        <f>IF(CAPTURA!N137&lt;&gt;"",ISNUMBER(SEARCH("Rainforest",CAPTURA!N137))+ISNUMBER(SEARCH("Fairtrade",CAPTURA!N137))+ISNUMBER(SEARCH("Org",CAPTURA!N137))+ISNUMBER(SEARCH("UTZ",CAPTURA!N137))+ISNUMBER(SEARCH("Otr",CAPTURA!N137)),IF(AND(H137="",I137=""),"",IF(H137="SI",1,0)+IF(I137="SI",1,0)))</f>
        <v/>
      </c>
      <c r="AV137" t="str">
        <f t="shared" si="18"/>
        <v/>
      </c>
    </row>
    <row r="138" spans="1:48" ht="16.05" customHeight="1" x14ac:dyDescent="0.3">
      <c r="A138" t="s">
        <v>357</v>
      </c>
      <c r="B138" t="s">
        <v>358</v>
      </c>
      <c r="C138" t="s">
        <v>104</v>
      </c>
      <c r="D138" t="s">
        <v>57</v>
      </c>
      <c r="E138">
        <v>161000</v>
      </c>
      <c r="F138">
        <v>1</v>
      </c>
      <c r="G138" t="s">
        <v>58</v>
      </c>
      <c r="J138" t="s">
        <v>59</v>
      </c>
      <c r="L138">
        <v>80500</v>
      </c>
      <c r="M138">
        <f t="shared" si="19"/>
        <v>50</v>
      </c>
      <c r="N138" t="s">
        <v>60</v>
      </c>
      <c r="O138" t="str">
        <f t="shared" si="20"/>
        <v/>
      </c>
      <c r="P138" t="s">
        <v>60</v>
      </c>
      <c r="S138">
        <f t="shared" si="16"/>
        <v>50</v>
      </c>
      <c r="T138" t="str">
        <f>IF(NOT(ISNUMBER(S138)),"⬜  Sin dato PVE",IF(AND(COUNT(NORMALIZADO!BV138:BY138)&gt;=3,AQ138=7),IF(S138&lt;34,"🔴 Crítico",IF(S138&lt;67,"🟡 Vulnerable","🟢 Preparado")),"◐  Parcial · "&amp;AQ138&amp;"/7"))</f>
        <v>◐  Parcial · 1/7</v>
      </c>
      <c r="U138" s="53">
        <v>1</v>
      </c>
      <c r="V138" t="s">
        <v>61</v>
      </c>
      <c r="W138" t="str">
        <f>IF(NORMALIZADO!BV138="","",NORMALIZADO!BV138)</f>
        <v/>
      </c>
      <c r="X138" t="str">
        <f>IF(NORMALIZADO!BW138="","",NORMALIZADO!BW138)</f>
        <v/>
      </c>
      <c r="Y138" t="str">
        <f>IF(NORMALIZADO!BX138="","",NORMALIZADO!BX138)</f>
        <v/>
      </c>
      <c r="Z138" t="str">
        <f>IF(NORMALIZADO!BY138="","",NORMALIZADO!BY138)</f>
        <v/>
      </c>
      <c r="AO138" t="str">
        <f t="shared" si="17"/>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dato",IF(AND(COUNT(NORMALIZADO!BV138:BY138)&gt;=3,AQ138=7),"completo","parcial · "&amp;AQ138&amp;"/7 · D12-D15 "&amp;COUNT(NORMALIZADO!BV138:BY138)&amp;"/4"))</f>
        <v>parcial · 1/7 · D12-D15 0/4</v>
      </c>
      <c r="AU138" t="str">
        <f>IF(CAPTURA!N138&lt;&gt;"",ISNUMBER(SEARCH("Rainforest",CAPTURA!N138))+ISNUMBER(SEARCH("Fairtrade",CAPTURA!N138))+ISNUMBER(SEARCH("Org",CAPTURA!N138))+ISNUMBER(SEARCH("UTZ",CAPTURA!N138))+ISNUMBER(SEARCH("Otr",CAPTURA!N138)),IF(AND(H138="",I138=""),"",IF(H138="SI",1,0)+IF(I138="SI",1,0)))</f>
        <v/>
      </c>
      <c r="AV138" t="str">
        <f t="shared" si="18"/>
        <v/>
      </c>
    </row>
    <row r="139" spans="1:48" ht="16.05" customHeight="1" x14ac:dyDescent="0.3">
      <c r="A139" t="s">
        <v>359</v>
      </c>
      <c r="B139" t="s">
        <v>360</v>
      </c>
      <c r="C139" t="s">
        <v>184</v>
      </c>
      <c r="D139" t="s">
        <v>65</v>
      </c>
      <c r="G139" t="s">
        <v>66</v>
      </c>
      <c r="J139" t="s">
        <v>59</v>
      </c>
      <c r="M139" t="str">
        <f t="shared" si="19"/>
        <v/>
      </c>
      <c r="N139" t="s">
        <v>60</v>
      </c>
      <c r="O139" t="str">
        <f t="shared" si="20"/>
        <v/>
      </c>
      <c r="P139" t="s">
        <v>60</v>
      </c>
      <c r="S139" t="str">
        <f t="shared" si="16"/>
        <v>—</v>
      </c>
      <c r="T139" t="str">
        <f>IF(NOT(ISNUMBER(S139)),"⬜  Sin dato PVE",IF(AND(COUNT(NORMALIZADO!BV139:BY139)&gt;=3,AQ139=7),IF(S139&lt;34,"🔴 Crítico",IF(S139&lt;67,"🟡 Vulnerable","🟢 Preparado")),"◐  Parcial · "&amp;AQ139&amp;"/7"))</f>
        <v>⬜  Sin dato PVE</v>
      </c>
      <c r="U139" s="53">
        <v>1</v>
      </c>
      <c r="V139" t="s">
        <v>61</v>
      </c>
      <c r="W139" t="str">
        <f>IF(NORMALIZADO!BV139="","",NORMALIZADO!BV139)</f>
        <v/>
      </c>
      <c r="X139" t="str">
        <f>IF(NORMALIZADO!BW139="","",NORMALIZADO!BW139)</f>
        <v/>
      </c>
      <c r="Y139" t="str">
        <f>IF(NORMALIZADO!BX139="","",NORMALIZADO!BX139)</f>
        <v/>
      </c>
      <c r="Z139" t="str">
        <f>IF(NORMALIZADO!BY139="","",NORMALIZADO!BY139)</f>
        <v/>
      </c>
      <c r="AO139" t="str">
        <f t="shared" si="17"/>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dato",IF(AND(COUNT(NORMALIZADO!BV139:BY139)&gt;=3,AQ139=7),"completo","parcial · "&amp;AQ139&amp;"/7 · D12-D15 "&amp;COUNT(NORMALIZADO!BV139:BY139)&amp;"/4"))</f>
        <v>sin dato</v>
      </c>
      <c r="AU139" t="str">
        <f>IF(CAPTURA!N139&lt;&gt;"",ISNUMBER(SEARCH("Rainforest",CAPTURA!N139))+ISNUMBER(SEARCH("Fairtrade",CAPTURA!N139))+ISNUMBER(SEARCH("Org",CAPTURA!N139))+ISNUMBER(SEARCH("UTZ",CAPTURA!N139))+ISNUMBER(SEARCH("Otr",CAPTURA!N139)),IF(AND(H139="",I139=""),"",IF(H139="SI",1,0)+IF(I139="SI",1,0)))</f>
        <v/>
      </c>
      <c r="AV139" t="str">
        <f t="shared" si="18"/>
        <v/>
      </c>
    </row>
    <row r="140" spans="1:48" ht="16.05" customHeight="1" x14ac:dyDescent="0.3">
      <c r="A140" t="s">
        <v>361</v>
      </c>
      <c r="B140" t="s">
        <v>362</v>
      </c>
      <c r="C140" t="s">
        <v>69</v>
      </c>
      <c r="D140" t="s">
        <v>57</v>
      </c>
      <c r="E140">
        <v>378122</v>
      </c>
      <c r="F140">
        <v>3</v>
      </c>
      <c r="G140" t="s">
        <v>58</v>
      </c>
      <c r="J140" t="s">
        <v>59</v>
      </c>
      <c r="L140">
        <v>0</v>
      </c>
      <c r="M140">
        <f t="shared" si="19"/>
        <v>0</v>
      </c>
      <c r="N140" t="s">
        <v>60</v>
      </c>
      <c r="O140" t="str">
        <f t="shared" si="20"/>
        <v/>
      </c>
      <c r="P140" t="s">
        <v>60</v>
      </c>
      <c r="S140">
        <f t="shared" si="16"/>
        <v>0</v>
      </c>
      <c r="T140" t="str">
        <f>IF(NOT(ISNUMBER(S140)),"⬜  Sin dato PVE",IF(AND(COUNT(NORMALIZADO!BV140:BY140)&gt;=3,AQ140=7),IF(S140&lt;34,"🔴 Crítico",IF(S140&lt;67,"🟡 Vulnerable","🟢 Preparado")),"◐  Parcial · "&amp;AQ140&amp;"/7"))</f>
        <v>◐  Parcial · 1/7</v>
      </c>
      <c r="U140" s="53">
        <v>1</v>
      </c>
      <c r="V140" t="s">
        <v>61</v>
      </c>
      <c r="W140" t="str">
        <f>IF(NORMALIZADO!BV140="","",NORMALIZADO!BV140)</f>
        <v/>
      </c>
      <c r="X140" t="str">
        <f>IF(NORMALIZADO!BW140="","",NORMALIZADO!BW140)</f>
        <v/>
      </c>
      <c r="Y140" t="str">
        <f>IF(NORMALIZADO!BX140="","",NORMALIZADO!BX140)</f>
        <v/>
      </c>
      <c r="Z140" t="str">
        <f>IF(NORMALIZADO!BY140="","",NORMALIZADO!BY140)</f>
        <v/>
      </c>
      <c r="AO140" t="str">
        <f t="shared" si="17"/>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dato",IF(AND(COUNT(NORMALIZADO!BV140:BY140)&gt;=3,AQ140=7),"completo","parcial · "&amp;AQ140&amp;"/7 · D12-D15 "&amp;COUNT(NORMALIZADO!BV140:BY140)&amp;"/4"))</f>
        <v>parcial · 1/7 · D12-D15 0/4</v>
      </c>
      <c r="AU140" t="str">
        <f>IF(CAPTURA!N140&lt;&gt;"",ISNUMBER(SEARCH("Rainforest",CAPTURA!N140))+ISNUMBER(SEARCH("Fairtrade",CAPTURA!N140))+ISNUMBER(SEARCH("Org",CAPTURA!N140))+ISNUMBER(SEARCH("UTZ",CAPTURA!N140))+ISNUMBER(SEARCH("Otr",CAPTURA!N140)),IF(AND(H140="",I140=""),"",IF(H140="SI",1,0)+IF(I140="SI",1,0)))</f>
        <v/>
      </c>
      <c r="AV140" t="str">
        <f t="shared" si="18"/>
        <v/>
      </c>
    </row>
    <row r="141" spans="1:48" ht="16.05" customHeight="1" x14ac:dyDescent="0.3">
      <c r="A141" t="s">
        <v>363</v>
      </c>
      <c r="B141" t="s">
        <v>364</v>
      </c>
      <c r="C141" t="s">
        <v>72</v>
      </c>
      <c r="D141" t="s">
        <v>65</v>
      </c>
      <c r="G141" t="s">
        <v>66</v>
      </c>
      <c r="J141" t="s">
        <v>59</v>
      </c>
      <c r="M141" t="str">
        <f t="shared" si="19"/>
        <v/>
      </c>
      <c r="N141" t="s">
        <v>60</v>
      </c>
      <c r="O141" t="str">
        <f t="shared" si="20"/>
        <v/>
      </c>
      <c r="P141" t="s">
        <v>60</v>
      </c>
      <c r="S141" t="str">
        <f t="shared" si="16"/>
        <v>—</v>
      </c>
      <c r="T141" t="str">
        <f>IF(NOT(ISNUMBER(S141)),"⬜  Sin dato PVE",IF(AND(COUNT(NORMALIZADO!BV141:BY141)&gt;=3,AQ141=7),IF(S141&lt;34,"🔴 Crítico",IF(S141&lt;67,"🟡 Vulnerable","🟢 Preparado")),"◐  Parcial · "&amp;AQ141&amp;"/7"))</f>
        <v>⬜  Sin dato PVE</v>
      </c>
      <c r="U141" s="53">
        <v>1</v>
      </c>
      <c r="V141" t="s">
        <v>61</v>
      </c>
      <c r="W141" t="str">
        <f>IF(NORMALIZADO!BV141="","",NORMALIZADO!BV141)</f>
        <v/>
      </c>
      <c r="X141" t="str">
        <f>IF(NORMALIZADO!BW141="","",NORMALIZADO!BW141)</f>
        <v/>
      </c>
      <c r="Y141" t="str">
        <f>IF(NORMALIZADO!BX141="","",NORMALIZADO!BX141)</f>
        <v/>
      </c>
      <c r="Z141" t="str">
        <f>IF(NORMALIZADO!BY141="","",NORMALIZADO!BY141)</f>
        <v/>
      </c>
      <c r="AO141" t="str">
        <f t="shared" si="17"/>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dato",IF(AND(COUNT(NORMALIZADO!BV141:BY141)&gt;=3,AQ141=7),"completo","parcial · "&amp;AQ141&amp;"/7 · D12-D15 "&amp;COUNT(NORMALIZADO!BV141:BY141)&amp;"/4"))</f>
        <v>sin dato</v>
      </c>
      <c r="AU141" t="str">
        <f>IF(CAPTURA!N141&lt;&gt;"",ISNUMBER(SEARCH("Rainforest",CAPTURA!N141))+ISNUMBER(SEARCH("Fairtrade",CAPTURA!N141))+ISNUMBER(SEARCH("Org",CAPTURA!N141))+ISNUMBER(SEARCH("UTZ",CAPTURA!N141))+ISNUMBER(SEARCH("Otr",CAPTURA!N141)),IF(AND(H141="",I141=""),"",IF(H141="SI",1,0)+IF(I141="SI",1,0)))</f>
        <v/>
      </c>
      <c r="AV141" t="str">
        <f t="shared" si="18"/>
        <v/>
      </c>
    </row>
    <row r="142" spans="1:48" ht="16.05" customHeight="1" x14ac:dyDescent="0.3">
      <c r="A142" t="s">
        <v>365</v>
      </c>
      <c r="B142" t="s">
        <v>366</v>
      </c>
      <c r="C142" t="s">
        <v>72</v>
      </c>
      <c r="D142" t="s">
        <v>65</v>
      </c>
      <c r="G142" t="s">
        <v>66</v>
      </c>
      <c r="J142" t="s">
        <v>59</v>
      </c>
      <c r="M142" t="str">
        <f t="shared" si="19"/>
        <v/>
      </c>
      <c r="N142" t="s">
        <v>60</v>
      </c>
      <c r="O142" t="str">
        <f t="shared" si="20"/>
        <v/>
      </c>
      <c r="P142" t="s">
        <v>60</v>
      </c>
      <c r="S142" t="str">
        <f t="shared" si="16"/>
        <v>—</v>
      </c>
      <c r="T142" t="str">
        <f>IF(NOT(ISNUMBER(S142)),"⬜  Sin dato PVE",IF(AND(COUNT(NORMALIZADO!BV142:BY142)&gt;=3,AQ142=7),IF(S142&lt;34,"🔴 Crítico",IF(S142&lt;67,"🟡 Vulnerable","🟢 Preparado")),"◐  Parcial · "&amp;AQ142&amp;"/7"))</f>
        <v>⬜  Sin dato PVE</v>
      </c>
      <c r="U142" s="53">
        <v>1</v>
      </c>
      <c r="V142" t="s">
        <v>61</v>
      </c>
      <c r="W142" t="str">
        <f>IF(NORMALIZADO!BV142="","",NORMALIZADO!BV142)</f>
        <v/>
      </c>
      <c r="X142" t="str">
        <f>IF(NORMALIZADO!BW142="","",NORMALIZADO!BW142)</f>
        <v/>
      </c>
      <c r="Y142" t="str">
        <f>IF(NORMALIZADO!BX142="","",NORMALIZADO!BX142)</f>
        <v/>
      </c>
      <c r="Z142" t="str">
        <f>IF(NORMALIZADO!BY142="","",NORMALIZADO!BY142)</f>
        <v/>
      </c>
      <c r="AO142" t="str">
        <f t="shared" si="17"/>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dato",IF(AND(COUNT(NORMALIZADO!BV142:BY142)&gt;=3,AQ142=7),"completo","parcial · "&amp;AQ142&amp;"/7 · D12-D15 "&amp;COUNT(NORMALIZADO!BV142:BY142)&amp;"/4"))</f>
        <v>sin dato</v>
      </c>
      <c r="AU142" t="str">
        <f>IF(CAPTURA!N142&lt;&gt;"",ISNUMBER(SEARCH("Rainforest",CAPTURA!N142))+ISNUMBER(SEARCH("Fairtrade",CAPTURA!N142))+ISNUMBER(SEARCH("Org",CAPTURA!N142))+ISNUMBER(SEARCH("UTZ",CAPTURA!N142))+ISNUMBER(SEARCH("Otr",CAPTURA!N142)),IF(AND(H142="",I142=""),"",IF(H142="SI",1,0)+IF(I142="SI",1,0)))</f>
        <v/>
      </c>
      <c r="AV142" t="str">
        <f t="shared" si="18"/>
        <v/>
      </c>
    </row>
    <row r="143" spans="1:48" ht="16.05" customHeight="1" x14ac:dyDescent="0.3">
      <c r="A143" t="s">
        <v>367</v>
      </c>
      <c r="B143" t="s">
        <v>368</v>
      </c>
      <c r="C143" t="s">
        <v>131</v>
      </c>
      <c r="D143" t="s">
        <v>57</v>
      </c>
      <c r="E143">
        <v>1201126.56</v>
      </c>
      <c r="F143">
        <v>8</v>
      </c>
      <c r="G143" t="s">
        <v>58</v>
      </c>
      <c r="H143" t="s">
        <v>58</v>
      </c>
      <c r="I143" t="s">
        <v>58</v>
      </c>
      <c r="J143" t="s">
        <v>59</v>
      </c>
      <c r="K143" t="s">
        <v>214</v>
      </c>
      <c r="L143">
        <v>852880.44</v>
      </c>
      <c r="M143">
        <f t="shared" si="19"/>
        <v>71</v>
      </c>
      <c r="N143" t="s">
        <v>60</v>
      </c>
      <c r="O143">
        <f t="shared" si="20"/>
        <v>1</v>
      </c>
      <c r="P143" t="s">
        <v>60</v>
      </c>
      <c r="Q143">
        <v>381</v>
      </c>
      <c r="R143">
        <v>1143</v>
      </c>
      <c r="S143">
        <f t="shared" si="16"/>
        <v>67.099999999999994</v>
      </c>
      <c r="T143" t="str">
        <f>IF(NOT(ISNUMBER(S143)),"⬜  Sin dato PVE",IF(AND(COUNT(NORMALIZADO!BV143:BY143)&gt;=3,AQ143=7),IF(S143&lt;34,"🔴 Crítico",IF(S143&lt;67,"🟡 Vulnerable","🟢 Preparado")),"◐  Parcial · "&amp;AQ143&amp;"/7"))</f>
        <v>◐  Parcial · 3/7</v>
      </c>
      <c r="U143" s="53">
        <v>1</v>
      </c>
      <c r="V143" t="s">
        <v>61</v>
      </c>
      <c r="W143">
        <f>IF(NORMALIZADO!BV143="",1,NORMALIZADO!BV143)</f>
        <v>1</v>
      </c>
      <c r="X143" t="str">
        <f>IF(NORMALIZADO!BW143="","",NORMALIZADO!BW143)</f>
        <v/>
      </c>
      <c r="Y143" t="str">
        <f>IF(NORMALIZADO!BX143="","",NORMALIZADO!BX143)</f>
        <v/>
      </c>
      <c r="Z143" t="str">
        <f>IF(NORMALIZADO!BY143="","",NORMALIZADO!BY143)</f>
        <v/>
      </c>
      <c r="AO143" t="str">
        <f t="shared" si="17"/>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1532</v>
      </c>
      <c r="AS143" t="s">
        <v>1533</v>
      </c>
      <c r="AT143" t="str">
        <f>IF(NOT(ISNUMBER(AP143)),"sin dato",IF(AND(COUNT(NORMALIZADO!BV143:BY143)&gt;=3,AQ143=7),"completo","parcial · "&amp;AQ143&amp;"/7 · D12-D15 "&amp;COUNT(NORMALIZADO!BV143:BY143)&amp;"/4"))</f>
        <v>parcial · 3/7 · D12-D15 0/4</v>
      </c>
      <c r="AU143">
        <f>IF(CAPTURA!N143&lt;&gt;"",ISNUMBER(SEARCH("Rainforest",CAPTURA!N143))+ISNUMBER(SEARCH("Fairtrade",CAPTURA!N143))+ISNUMBER(SEARCH("Org",CAPTURA!N143))+ISNUMBER(SEARCH("UTZ",CAPTURA!N143))+ISNUMBER(SEARCH("Otr",CAPTURA!N143)),IF(AND(H143="",I143=""),"",IF(H143="SI",1,0)+IF(I143="SI",1,0)))</f>
        <v>2</v>
      </c>
      <c r="AV143">
        <f t="shared" si="18"/>
        <v>66</v>
      </c>
    </row>
    <row r="144" spans="1:48" ht="16.05" customHeight="1" x14ac:dyDescent="0.3">
      <c r="A144" t="s">
        <v>369</v>
      </c>
      <c r="B144" t="s">
        <v>370</v>
      </c>
      <c r="C144" t="s">
        <v>72</v>
      </c>
      <c r="D144" t="s">
        <v>65</v>
      </c>
      <c r="G144" t="s">
        <v>66</v>
      </c>
      <c r="J144" t="s">
        <v>59</v>
      </c>
      <c r="M144" t="str">
        <f t="shared" si="19"/>
        <v/>
      </c>
      <c r="N144" t="s">
        <v>60</v>
      </c>
      <c r="O144" t="str">
        <f t="shared" si="20"/>
        <v/>
      </c>
      <c r="P144" t="s">
        <v>60</v>
      </c>
      <c r="S144" t="str">
        <f t="shared" si="16"/>
        <v>—</v>
      </c>
      <c r="T144" t="str">
        <f>IF(NOT(ISNUMBER(S144)),"⬜  Sin dato PVE",IF(AND(COUNT(NORMALIZADO!BV144:BY144)&gt;=3,AQ144=7),IF(S144&lt;34,"🔴 Crítico",IF(S144&lt;67,"🟡 Vulnerable","🟢 Preparado")),"◐  Parcial · "&amp;AQ144&amp;"/7"))</f>
        <v>⬜  Sin dato PVE</v>
      </c>
      <c r="U144" s="53">
        <v>1</v>
      </c>
      <c r="V144" t="s">
        <v>61</v>
      </c>
      <c r="W144" t="str">
        <f>IF(NORMALIZADO!BV144="","",NORMALIZADO!BV144)</f>
        <v/>
      </c>
      <c r="X144" t="str">
        <f>IF(NORMALIZADO!BW144="","",NORMALIZADO!BW144)</f>
        <v/>
      </c>
      <c r="Y144" t="str">
        <f>IF(NORMALIZADO!BX144="","",NORMALIZADO!BX144)</f>
        <v/>
      </c>
      <c r="Z144" t="str">
        <f>IF(NORMALIZADO!BY144="","",NORMALIZADO!BY144)</f>
        <v/>
      </c>
      <c r="AO144" t="str">
        <f t="shared" si="17"/>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dato",IF(AND(COUNT(NORMALIZADO!BV144:BY144)&gt;=3,AQ144=7),"completo","parcial · "&amp;AQ144&amp;"/7 · D12-D15 "&amp;COUNT(NORMALIZADO!BV144:BY144)&amp;"/4"))</f>
        <v>sin dato</v>
      </c>
      <c r="AU144" t="str">
        <f>IF(CAPTURA!N144&lt;&gt;"",ISNUMBER(SEARCH("Rainforest",CAPTURA!N144))+ISNUMBER(SEARCH("Fairtrade",CAPTURA!N144))+ISNUMBER(SEARCH("Org",CAPTURA!N144))+ISNUMBER(SEARCH("UTZ",CAPTURA!N144))+ISNUMBER(SEARCH("Otr",CAPTURA!N144)),IF(AND(H144="",I144=""),"",IF(H144="SI",1,0)+IF(I144="SI",1,0)))</f>
        <v/>
      </c>
      <c r="AV144" t="str">
        <f t="shared" si="18"/>
        <v/>
      </c>
    </row>
    <row r="145" spans="1:48" ht="16.05" customHeight="1" x14ac:dyDescent="0.3">
      <c r="A145" t="s">
        <v>371</v>
      </c>
      <c r="B145" t="s">
        <v>372</v>
      </c>
      <c r="C145" t="s">
        <v>72</v>
      </c>
      <c r="D145" t="s">
        <v>65</v>
      </c>
      <c r="G145" t="s">
        <v>66</v>
      </c>
      <c r="J145" t="s">
        <v>59</v>
      </c>
      <c r="M145" t="str">
        <f t="shared" si="19"/>
        <v/>
      </c>
      <c r="N145" t="s">
        <v>60</v>
      </c>
      <c r="O145" t="str">
        <f t="shared" si="20"/>
        <v/>
      </c>
      <c r="P145" t="s">
        <v>60</v>
      </c>
      <c r="S145" t="str">
        <f t="shared" si="16"/>
        <v>—</v>
      </c>
      <c r="T145" t="str">
        <f>IF(NOT(ISNUMBER(S145)),"⬜  Sin dato PVE",IF(AND(COUNT(NORMALIZADO!BV145:BY145)&gt;=3,AQ145=7),IF(S145&lt;34,"🔴 Crítico",IF(S145&lt;67,"🟡 Vulnerable","🟢 Preparado")),"◐  Parcial · "&amp;AQ145&amp;"/7"))</f>
        <v>⬜  Sin dato PVE</v>
      </c>
      <c r="U145" s="53">
        <v>1</v>
      </c>
      <c r="V145" t="s">
        <v>61</v>
      </c>
      <c r="W145" t="str">
        <f>IF(NORMALIZADO!BV145="","",NORMALIZADO!BV145)</f>
        <v/>
      </c>
      <c r="X145" t="str">
        <f>IF(NORMALIZADO!BW145="","",NORMALIZADO!BW145)</f>
        <v/>
      </c>
      <c r="Y145" t="str">
        <f>IF(NORMALIZADO!BX145="","",NORMALIZADO!BX145)</f>
        <v/>
      </c>
      <c r="Z145" t="str">
        <f>IF(NORMALIZADO!BY145="","",NORMALIZADO!BY145)</f>
        <v/>
      </c>
      <c r="AO145" t="str">
        <f t="shared" si="17"/>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dato",IF(AND(COUNT(NORMALIZADO!BV145:BY145)&gt;=3,AQ145=7),"completo","parcial · "&amp;AQ145&amp;"/7 · D12-D15 "&amp;COUNT(NORMALIZADO!BV145:BY145)&amp;"/4"))</f>
        <v>sin dato</v>
      </c>
      <c r="AU145" t="str">
        <f>IF(CAPTURA!N145&lt;&gt;"",ISNUMBER(SEARCH("Rainforest",CAPTURA!N145))+ISNUMBER(SEARCH("Fairtrade",CAPTURA!N145))+ISNUMBER(SEARCH("Org",CAPTURA!N145))+ISNUMBER(SEARCH("UTZ",CAPTURA!N145))+ISNUMBER(SEARCH("Otr",CAPTURA!N145)),IF(AND(H145="",I145=""),"",IF(H145="SI",1,0)+IF(I145="SI",1,0)))</f>
        <v/>
      </c>
      <c r="AV145" t="str">
        <f t="shared" si="18"/>
        <v/>
      </c>
    </row>
    <row r="146" spans="1:48" ht="16.05" customHeight="1" x14ac:dyDescent="0.3">
      <c r="A146" t="s">
        <v>373</v>
      </c>
      <c r="B146" t="s">
        <v>374</v>
      </c>
      <c r="C146" t="s">
        <v>69</v>
      </c>
      <c r="D146" t="s">
        <v>57</v>
      </c>
      <c r="E146">
        <v>332555.15999999997</v>
      </c>
      <c r="F146">
        <v>2</v>
      </c>
      <c r="G146" t="s">
        <v>58</v>
      </c>
      <c r="H146" t="s">
        <v>58</v>
      </c>
      <c r="I146" t="s">
        <v>58</v>
      </c>
      <c r="J146" t="s">
        <v>59</v>
      </c>
      <c r="K146" t="s">
        <v>75</v>
      </c>
      <c r="L146">
        <v>332555.15999999997</v>
      </c>
      <c r="M146">
        <f t="shared" si="19"/>
        <v>100</v>
      </c>
      <c r="N146" t="s">
        <v>60</v>
      </c>
      <c r="O146">
        <f t="shared" si="20"/>
        <v>1</v>
      </c>
      <c r="P146" t="s">
        <v>60</v>
      </c>
      <c r="Q146">
        <v>203</v>
      </c>
      <c r="R146">
        <v>609</v>
      </c>
      <c r="S146">
        <f t="shared" si="16"/>
        <v>79.2</v>
      </c>
      <c r="T146" t="str">
        <f>IF(NOT(ISNUMBER(S146)),"⬜  Sin dato PVE",IF(AND(COUNT(NORMALIZADO!BV146:BY146)&gt;=3,AQ146=7),IF(S146&lt;34,"🔴 Crítico",IF(S146&lt;67,"🟡 Vulnerable","🟢 Preparado")),"◐  Parcial · "&amp;AQ146&amp;"/7"))</f>
        <v>◐  Parcial · 3/7</v>
      </c>
      <c r="U146" s="53">
        <v>1</v>
      </c>
      <c r="V146" t="s">
        <v>61</v>
      </c>
      <c r="W146">
        <f>IF(NORMALIZADO!BV146="",1,NORMALIZADO!BV146)</f>
        <v>1</v>
      </c>
      <c r="X146" t="str">
        <f>IF(NORMALIZADO!BW146="","",NORMALIZADO!BW146)</f>
        <v/>
      </c>
      <c r="Y146" t="str">
        <f>IF(NORMALIZADO!BX146="","",NORMALIZADO!BX146)</f>
        <v/>
      </c>
      <c r="Z146" t="str">
        <f>IF(NORMALIZADO!BY146="","",NORMALIZADO!BY146)</f>
        <v/>
      </c>
      <c r="AO146" t="str">
        <f t="shared" si="17"/>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1534</v>
      </c>
      <c r="AS146" t="s">
        <v>1535</v>
      </c>
      <c r="AT146" t="str">
        <f>IF(NOT(ISNUMBER(AP146)),"sin dato",IF(AND(COUNT(NORMALIZADO!BV146:BY146)&gt;=3,AQ146=7),"completo","parcial · "&amp;AQ146&amp;"/7 · D12-D15 "&amp;COUNT(NORMALIZADO!BV146:BY146)&amp;"/4"))</f>
        <v>parcial · 3/7 · D12-D15 0/4</v>
      </c>
      <c r="AU146">
        <f>IF(CAPTURA!N146&lt;&gt;"",ISNUMBER(SEARCH("Rainforest",CAPTURA!N146))+ISNUMBER(SEARCH("Fairtrade",CAPTURA!N146))+ISNUMBER(SEARCH("Org",CAPTURA!N146))+ISNUMBER(SEARCH("UTZ",CAPTURA!N146))+ISNUMBER(SEARCH("Otr",CAPTURA!N146)),IF(AND(H146="",I146=""),"",IF(H146="SI",1,0)+IF(I146="SI",1,0)))</f>
        <v>2</v>
      </c>
      <c r="AV146">
        <f t="shared" si="18"/>
        <v>66</v>
      </c>
    </row>
    <row r="147" spans="1:48" ht="16.05" customHeight="1" x14ac:dyDescent="0.3">
      <c r="A147" t="s">
        <v>375</v>
      </c>
      <c r="B147" t="s">
        <v>376</v>
      </c>
      <c r="C147" t="s">
        <v>233</v>
      </c>
      <c r="D147" t="s">
        <v>65</v>
      </c>
      <c r="E147">
        <v>543961.38</v>
      </c>
      <c r="F147">
        <v>5</v>
      </c>
      <c r="G147" t="s">
        <v>58</v>
      </c>
      <c r="J147" t="s">
        <v>59</v>
      </c>
      <c r="L147">
        <v>271980.69</v>
      </c>
      <c r="M147">
        <f t="shared" si="19"/>
        <v>50</v>
      </c>
      <c r="N147" t="s">
        <v>60</v>
      </c>
      <c r="O147" t="str">
        <f t="shared" si="20"/>
        <v/>
      </c>
      <c r="P147" t="s">
        <v>60</v>
      </c>
      <c r="S147">
        <f t="shared" si="16"/>
        <v>50</v>
      </c>
      <c r="T147" t="str">
        <f>IF(NOT(ISNUMBER(S147)),"⬜  Sin dato PVE",IF(AND(COUNT(NORMALIZADO!BV147:BY147)&gt;=3,AQ147=7),IF(S147&lt;34,"🔴 Crítico",IF(S147&lt;67,"🟡 Vulnerable","🟢 Preparado")),"◐  Parcial · "&amp;AQ147&amp;"/7"))</f>
        <v>◐  Parcial · 1/7</v>
      </c>
      <c r="U147" s="53">
        <v>1</v>
      </c>
      <c r="V147" t="s">
        <v>61</v>
      </c>
      <c r="W147" t="str">
        <f>IF(NORMALIZADO!BV147="","",NORMALIZADO!BV147)</f>
        <v/>
      </c>
      <c r="X147" t="str">
        <f>IF(NORMALIZADO!BW147="","",NORMALIZADO!BW147)</f>
        <v/>
      </c>
      <c r="Y147" t="str">
        <f>IF(NORMALIZADO!BX147="","",NORMALIZADO!BX147)</f>
        <v/>
      </c>
      <c r="Z147" t="str">
        <f>IF(NORMALIZADO!BY147="","",NORMALIZADO!BY147)</f>
        <v/>
      </c>
      <c r="AO147" t="str">
        <f t="shared" si="17"/>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dato",IF(AND(COUNT(NORMALIZADO!BV147:BY147)&gt;=3,AQ147=7),"completo","parcial · "&amp;AQ147&amp;"/7 · D12-D15 "&amp;COUNT(NORMALIZADO!BV147:BY147)&amp;"/4"))</f>
        <v>parcial · 1/7 · D12-D15 0/4</v>
      </c>
      <c r="AU147" t="str">
        <f>IF(CAPTURA!N147&lt;&gt;"",ISNUMBER(SEARCH("Rainforest",CAPTURA!N147))+ISNUMBER(SEARCH("Fairtrade",CAPTURA!N147))+ISNUMBER(SEARCH("Org",CAPTURA!N147))+ISNUMBER(SEARCH("UTZ",CAPTURA!N147))+ISNUMBER(SEARCH("Otr",CAPTURA!N147)),IF(AND(H147="",I147=""),"",IF(H147="SI",1,0)+IF(I147="SI",1,0)))</f>
        <v/>
      </c>
      <c r="AV147" t="str">
        <f t="shared" si="18"/>
        <v/>
      </c>
    </row>
    <row r="148" spans="1:48" ht="16.05" customHeight="1" x14ac:dyDescent="0.3">
      <c r="A148" t="s">
        <v>377</v>
      </c>
      <c r="B148" t="s">
        <v>378</v>
      </c>
      <c r="C148" t="s">
        <v>72</v>
      </c>
      <c r="D148" t="s">
        <v>65</v>
      </c>
      <c r="G148" t="s">
        <v>66</v>
      </c>
      <c r="J148" t="s">
        <v>59</v>
      </c>
      <c r="M148" t="str">
        <f t="shared" si="19"/>
        <v/>
      </c>
      <c r="N148" t="s">
        <v>60</v>
      </c>
      <c r="O148" t="str">
        <f t="shared" si="20"/>
        <v/>
      </c>
      <c r="P148" t="s">
        <v>60</v>
      </c>
      <c r="S148" t="str">
        <f t="shared" si="16"/>
        <v>—</v>
      </c>
      <c r="T148" t="str">
        <f>IF(NOT(ISNUMBER(S148)),"⬜  Sin dato PVE",IF(AND(COUNT(NORMALIZADO!BV148:BY148)&gt;=3,AQ148=7),IF(S148&lt;34,"🔴 Crítico",IF(S148&lt;67,"🟡 Vulnerable","🟢 Preparado")),"◐  Parcial · "&amp;AQ148&amp;"/7"))</f>
        <v>⬜  Sin dato PVE</v>
      </c>
      <c r="U148" s="53">
        <v>1</v>
      </c>
      <c r="V148" t="s">
        <v>61</v>
      </c>
      <c r="W148" t="str">
        <f>IF(NORMALIZADO!BV148="","",NORMALIZADO!BV148)</f>
        <v/>
      </c>
      <c r="X148" t="str">
        <f>IF(NORMALIZADO!BW148="","",NORMALIZADO!BW148)</f>
        <v/>
      </c>
      <c r="Y148" t="str">
        <f>IF(NORMALIZADO!BX148="","",NORMALIZADO!BX148)</f>
        <v/>
      </c>
      <c r="Z148" t="str">
        <f>IF(NORMALIZADO!BY148="","",NORMALIZADO!BY148)</f>
        <v/>
      </c>
      <c r="AO148" t="str">
        <f t="shared" si="17"/>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dato",IF(AND(COUNT(NORMALIZADO!BV148:BY148)&gt;=3,AQ148=7),"completo","parcial · "&amp;AQ148&amp;"/7 · D12-D15 "&amp;COUNT(NORMALIZADO!BV148:BY148)&amp;"/4"))</f>
        <v>sin dato</v>
      </c>
      <c r="AU148" t="str">
        <f>IF(CAPTURA!N148&lt;&gt;"",ISNUMBER(SEARCH("Rainforest",CAPTURA!N148))+ISNUMBER(SEARCH("Fairtrade",CAPTURA!N148))+ISNUMBER(SEARCH("Org",CAPTURA!N148))+ISNUMBER(SEARCH("UTZ",CAPTURA!N148))+ISNUMBER(SEARCH("Otr",CAPTURA!N148)),IF(AND(H148="",I148=""),"",IF(H148="SI",1,0)+IF(I148="SI",1,0)))</f>
        <v/>
      </c>
      <c r="AV148" t="str">
        <f t="shared" si="18"/>
        <v/>
      </c>
    </row>
    <row r="149" spans="1:48" ht="16.05" customHeight="1" x14ac:dyDescent="0.3">
      <c r="A149" t="s">
        <v>379</v>
      </c>
      <c r="B149" t="s">
        <v>380</v>
      </c>
      <c r="C149" t="s">
        <v>142</v>
      </c>
      <c r="D149" t="s">
        <v>57</v>
      </c>
      <c r="E149">
        <v>7275.18</v>
      </c>
      <c r="F149">
        <v>1</v>
      </c>
      <c r="G149" t="s">
        <v>58</v>
      </c>
      <c r="H149" t="s">
        <v>58</v>
      </c>
      <c r="I149" t="s">
        <v>58</v>
      </c>
      <c r="J149" t="s">
        <v>59</v>
      </c>
      <c r="L149">
        <v>0</v>
      </c>
      <c r="M149">
        <f t="shared" si="19"/>
        <v>0</v>
      </c>
      <c r="N149" t="s">
        <v>60</v>
      </c>
      <c r="O149">
        <f t="shared" si="20"/>
        <v>1</v>
      </c>
      <c r="P149" t="s">
        <v>60</v>
      </c>
      <c r="Q149">
        <v>305</v>
      </c>
      <c r="R149">
        <v>699</v>
      </c>
      <c r="S149">
        <f t="shared" si="16"/>
        <v>37.5</v>
      </c>
      <c r="T149" t="str">
        <f>IF(NOT(ISNUMBER(S149)),"⬜  Sin dato PVE",IF(AND(COUNT(NORMALIZADO!BV149:BY149)&gt;=3,AQ149=7),IF(S149&lt;34,"🔴 Crítico",IF(S149&lt;67,"🟡 Vulnerable","🟢 Preparado")),"◐  Parcial · "&amp;AQ149&amp;"/7"))</f>
        <v>◐  Parcial · 3/7</v>
      </c>
      <c r="U149" s="53">
        <v>1</v>
      </c>
      <c r="V149" t="s">
        <v>61</v>
      </c>
      <c r="W149">
        <f>IF(NORMALIZADO!BV149="",1,NORMALIZADO!BV149)</f>
        <v>1</v>
      </c>
      <c r="X149" t="str">
        <f>IF(NORMALIZADO!BW149="","",NORMALIZADO!BW149)</f>
        <v/>
      </c>
      <c r="Y149" t="str">
        <f>IF(NORMALIZADO!BX149="","",NORMALIZADO!BX149)</f>
        <v/>
      </c>
      <c r="Z149" t="str">
        <f>IF(NORMALIZADO!BY149="","",NORMALIZADO!BY149)</f>
        <v/>
      </c>
      <c r="AO149" t="str">
        <f t="shared" si="17"/>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58</v>
      </c>
      <c r="AS149" t="s">
        <v>58</v>
      </c>
      <c r="AT149" t="str">
        <f>IF(NOT(ISNUMBER(AP149)),"sin dato",IF(AND(COUNT(NORMALIZADO!BV149:BY149)&gt;=3,AQ149=7),"completo","parcial · "&amp;AQ149&amp;"/7 · D12-D15 "&amp;COUNT(NORMALIZADO!BV149:BY149)&amp;"/4"))</f>
        <v>parcial · 3/7 · D12-D15 0/4</v>
      </c>
      <c r="AU149">
        <f>IF(CAPTURA!N149&lt;&gt;"",ISNUMBER(SEARCH("Rainforest",CAPTURA!N149))+ISNUMBER(SEARCH("Fairtrade",CAPTURA!N149))+ISNUMBER(SEARCH("Org",CAPTURA!N149))+ISNUMBER(SEARCH("UTZ",CAPTURA!N149))+ISNUMBER(SEARCH("Otr",CAPTURA!N149)),IF(AND(H149="",I149=""),"",IF(H149="SI",1,0)+IF(I149="SI",1,0)))</f>
        <v>2</v>
      </c>
      <c r="AV149">
        <f t="shared" si="18"/>
        <v>66</v>
      </c>
    </row>
    <row r="150" spans="1:48" ht="16.05" customHeight="1" x14ac:dyDescent="0.3">
      <c r="A150" t="s">
        <v>381</v>
      </c>
      <c r="B150" t="s">
        <v>382</v>
      </c>
      <c r="C150" t="s">
        <v>95</v>
      </c>
      <c r="D150" t="s">
        <v>57</v>
      </c>
      <c r="G150" t="s">
        <v>66</v>
      </c>
      <c r="J150" t="s">
        <v>116</v>
      </c>
      <c r="M150" t="str">
        <f t="shared" si="19"/>
        <v/>
      </c>
      <c r="N150" t="s">
        <v>60</v>
      </c>
      <c r="O150" t="str">
        <f t="shared" si="20"/>
        <v/>
      </c>
      <c r="P150" t="s">
        <v>60</v>
      </c>
      <c r="S150" t="str">
        <f t="shared" si="16"/>
        <v>—</v>
      </c>
      <c r="T150" t="str">
        <f>IF(NOT(ISNUMBER(S150)),"⬜  Sin dato PVE",IF(AND(COUNT(NORMALIZADO!BV150:BY150)&gt;=3,AQ150=7),IF(S150&lt;34,"🔴 Crítico",IF(S150&lt;67,"🟡 Vulnerable","🟢 Preparado")),"◐  Parcial · "&amp;AQ150&amp;"/7"))</f>
        <v>⬜  Sin dato PVE</v>
      </c>
      <c r="U150" s="53">
        <v>1</v>
      </c>
      <c r="V150" t="s">
        <v>61</v>
      </c>
      <c r="W150" t="str">
        <f>IF(NORMALIZADO!BV150="","",NORMALIZADO!BV150)</f>
        <v/>
      </c>
      <c r="X150" t="str">
        <f>IF(NORMALIZADO!BW150="","",NORMALIZADO!BW150)</f>
        <v/>
      </c>
      <c r="Y150" t="str">
        <f>IF(NORMALIZADO!BX150="","",NORMALIZADO!BX150)</f>
        <v/>
      </c>
      <c r="Z150" t="str">
        <f>IF(NORMALIZADO!BY150="","",NORMALIZADO!BY150)</f>
        <v/>
      </c>
      <c r="AO150" t="str">
        <f t="shared" si="17"/>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dato",IF(AND(COUNT(NORMALIZADO!BV150:BY150)&gt;=3,AQ150=7),"completo","parcial · "&amp;AQ150&amp;"/7 · D12-D15 "&amp;COUNT(NORMALIZADO!BV150:BY150)&amp;"/4"))</f>
        <v>sin dato</v>
      </c>
      <c r="AU150" t="str">
        <f>IF(CAPTURA!N150&lt;&gt;"",ISNUMBER(SEARCH("Rainforest",CAPTURA!N150))+ISNUMBER(SEARCH("Fairtrade",CAPTURA!N150))+ISNUMBER(SEARCH("Org",CAPTURA!N150))+ISNUMBER(SEARCH("UTZ",CAPTURA!N150))+ISNUMBER(SEARCH("Otr",CAPTURA!N150)),IF(AND(H150="",I150=""),"",IF(H150="SI",1,0)+IF(I150="SI",1,0)))</f>
        <v/>
      </c>
      <c r="AV150" t="str">
        <f t="shared" si="18"/>
        <v/>
      </c>
    </row>
    <row r="151" spans="1:48" ht="16.05" customHeight="1" x14ac:dyDescent="0.3">
      <c r="A151" t="s">
        <v>383</v>
      </c>
      <c r="B151" t="s">
        <v>384</v>
      </c>
      <c r="C151" t="s">
        <v>171</v>
      </c>
      <c r="D151" t="s">
        <v>57</v>
      </c>
      <c r="G151" t="s">
        <v>66</v>
      </c>
      <c r="J151" t="s">
        <v>59</v>
      </c>
      <c r="M151" t="str">
        <f t="shared" si="19"/>
        <v/>
      </c>
      <c r="N151" t="s">
        <v>60</v>
      </c>
      <c r="O151" t="str">
        <f t="shared" si="20"/>
        <v/>
      </c>
      <c r="P151" t="s">
        <v>60</v>
      </c>
      <c r="S151" t="str">
        <f t="shared" si="16"/>
        <v>—</v>
      </c>
      <c r="T151" t="str">
        <f>IF(NOT(ISNUMBER(S151)),"⬜  Sin dato PVE",IF(AND(COUNT(NORMALIZADO!BV151:BY151)&gt;=3,AQ151=7),IF(S151&lt;34,"🔴 Crítico",IF(S151&lt;67,"🟡 Vulnerable","🟢 Preparado")),"◐  Parcial · "&amp;AQ151&amp;"/7"))</f>
        <v>⬜  Sin dato PVE</v>
      </c>
      <c r="U151" s="53">
        <v>1</v>
      </c>
      <c r="V151" t="s">
        <v>61</v>
      </c>
      <c r="W151" t="str">
        <f>IF(NORMALIZADO!BV151="","",NORMALIZADO!BV151)</f>
        <v/>
      </c>
      <c r="X151" t="str">
        <f>IF(NORMALIZADO!BW151="","",NORMALIZADO!BW151)</f>
        <v/>
      </c>
      <c r="Y151" t="str">
        <f>IF(NORMALIZADO!BX151="","",NORMALIZADO!BX151)</f>
        <v/>
      </c>
      <c r="Z151" t="str">
        <f>IF(NORMALIZADO!BY151="","",NORMALIZADO!BY151)</f>
        <v/>
      </c>
      <c r="AO151" t="str">
        <f t="shared" si="17"/>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dato",IF(AND(COUNT(NORMALIZADO!BV151:BY151)&gt;=3,AQ151=7),"completo","parcial · "&amp;AQ151&amp;"/7 · D12-D15 "&amp;COUNT(NORMALIZADO!BV151:BY151)&amp;"/4"))</f>
        <v>sin dato</v>
      </c>
      <c r="AU151" t="str">
        <f>IF(CAPTURA!N151&lt;&gt;"",ISNUMBER(SEARCH("Rainforest",CAPTURA!N151))+ISNUMBER(SEARCH("Fairtrade",CAPTURA!N151))+ISNUMBER(SEARCH("Org",CAPTURA!N151))+ISNUMBER(SEARCH("UTZ",CAPTURA!N151))+ISNUMBER(SEARCH("Otr",CAPTURA!N151)),IF(AND(H151="",I151=""),"",IF(H151="SI",1,0)+IF(I151="SI",1,0)))</f>
        <v/>
      </c>
      <c r="AV151" t="str">
        <f t="shared" si="18"/>
        <v/>
      </c>
    </row>
    <row r="152" spans="1:48" ht="16.05" customHeight="1" x14ac:dyDescent="0.3">
      <c r="A152" t="s">
        <v>385</v>
      </c>
      <c r="B152" t="s">
        <v>386</v>
      </c>
      <c r="C152" t="s">
        <v>72</v>
      </c>
      <c r="D152" t="s">
        <v>65</v>
      </c>
      <c r="G152" t="s">
        <v>66</v>
      </c>
      <c r="J152" t="s">
        <v>59</v>
      </c>
      <c r="M152" t="str">
        <f t="shared" si="19"/>
        <v/>
      </c>
      <c r="N152" t="s">
        <v>60</v>
      </c>
      <c r="O152" t="str">
        <f t="shared" si="20"/>
        <v/>
      </c>
      <c r="P152" t="s">
        <v>60</v>
      </c>
      <c r="S152" t="str">
        <f t="shared" si="16"/>
        <v>—</v>
      </c>
      <c r="T152" t="str">
        <f>IF(NOT(ISNUMBER(S152)),"⬜  Sin dato PVE",IF(AND(COUNT(NORMALIZADO!BV152:BY152)&gt;=3,AQ152=7),IF(S152&lt;34,"🔴 Crítico",IF(S152&lt;67,"🟡 Vulnerable","🟢 Preparado")),"◐  Parcial · "&amp;AQ152&amp;"/7"))</f>
        <v>⬜  Sin dato PVE</v>
      </c>
      <c r="U152" s="53">
        <v>1</v>
      </c>
      <c r="V152" t="s">
        <v>61</v>
      </c>
      <c r="W152" t="str">
        <f>IF(NORMALIZADO!BV152="","",NORMALIZADO!BV152)</f>
        <v/>
      </c>
      <c r="X152" t="str">
        <f>IF(NORMALIZADO!BW152="","",NORMALIZADO!BW152)</f>
        <v/>
      </c>
      <c r="Y152" t="str">
        <f>IF(NORMALIZADO!BX152="","",NORMALIZADO!BX152)</f>
        <v/>
      </c>
      <c r="Z152" t="str">
        <f>IF(NORMALIZADO!BY152="","",NORMALIZADO!BY152)</f>
        <v/>
      </c>
      <c r="AO152" t="str">
        <f t="shared" si="17"/>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dato",IF(AND(COUNT(NORMALIZADO!BV152:BY152)&gt;=3,AQ152=7),"completo","parcial · "&amp;AQ152&amp;"/7 · D12-D15 "&amp;COUNT(NORMALIZADO!BV152:BY152)&amp;"/4"))</f>
        <v>sin dato</v>
      </c>
      <c r="AU152" t="str">
        <f>IF(CAPTURA!N152&lt;&gt;"",ISNUMBER(SEARCH("Rainforest",CAPTURA!N152))+ISNUMBER(SEARCH("Fairtrade",CAPTURA!N152))+ISNUMBER(SEARCH("Org",CAPTURA!N152))+ISNUMBER(SEARCH("UTZ",CAPTURA!N152))+ISNUMBER(SEARCH("Otr",CAPTURA!N152)),IF(AND(H152="",I152=""),"",IF(H152="SI",1,0)+IF(I152="SI",1,0)))</f>
        <v/>
      </c>
      <c r="AV152" t="str">
        <f t="shared" si="18"/>
        <v/>
      </c>
    </row>
    <row r="153" spans="1:48" ht="16.05" customHeight="1" x14ac:dyDescent="0.3">
      <c r="A153" t="s">
        <v>387</v>
      </c>
      <c r="B153" t="s">
        <v>388</v>
      </c>
      <c r="C153" t="s">
        <v>72</v>
      </c>
      <c r="D153" t="s">
        <v>65</v>
      </c>
      <c r="G153" t="s">
        <v>66</v>
      </c>
      <c r="J153" t="s">
        <v>59</v>
      </c>
      <c r="M153" t="str">
        <f t="shared" si="19"/>
        <v/>
      </c>
      <c r="N153" t="s">
        <v>60</v>
      </c>
      <c r="O153" t="str">
        <f t="shared" si="20"/>
        <v/>
      </c>
      <c r="P153" t="s">
        <v>60</v>
      </c>
      <c r="S153" t="str">
        <f t="shared" si="16"/>
        <v>—</v>
      </c>
      <c r="T153" t="str">
        <f>IF(NOT(ISNUMBER(S153)),"⬜  Sin dato PVE",IF(AND(COUNT(NORMALIZADO!BV153:BY153)&gt;=3,AQ153=7),IF(S153&lt;34,"🔴 Crítico",IF(S153&lt;67,"🟡 Vulnerable","🟢 Preparado")),"◐  Parcial · "&amp;AQ153&amp;"/7"))</f>
        <v>⬜  Sin dato PVE</v>
      </c>
      <c r="U153" s="53">
        <v>1</v>
      </c>
      <c r="V153" t="s">
        <v>61</v>
      </c>
      <c r="W153" t="str">
        <f>IF(NORMALIZADO!BV153="","",NORMALIZADO!BV153)</f>
        <v/>
      </c>
      <c r="X153" t="str">
        <f>IF(NORMALIZADO!BW153="","",NORMALIZADO!BW153)</f>
        <v/>
      </c>
      <c r="Y153" t="str">
        <f>IF(NORMALIZADO!BX153="","",NORMALIZADO!BX153)</f>
        <v/>
      </c>
      <c r="Z153" t="str">
        <f>IF(NORMALIZADO!BY153="","",NORMALIZADO!BY153)</f>
        <v/>
      </c>
      <c r="AO153" t="str">
        <f t="shared" si="17"/>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dato",IF(AND(COUNT(NORMALIZADO!BV153:BY153)&gt;=3,AQ153=7),"completo","parcial · "&amp;AQ153&amp;"/7 · D12-D15 "&amp;COUNT(NORMALIZADO!BV153:BY153)&amp;"/4"))</f>
        <v>sin dato</v>
      </c>
      <c r="AU153" t="str">
        <f>IF(CAPTURA!N153&lt;&gt;"",ISNUMBER(SEARCH("Rainforest",CAPTURA!N153))+ISNUMBER(SEARCH("Fairtrade",CAPTURA!N153))+ISNUMBER(SEARCH("Org",CAPTURA!N153))+ISNUMBER(SEARCH("UTZ",CAPTURA!N153))+ISNUMBER(SEARCH("Otr",CAPTURA!N153)),IF(AND(H153="",I153=""),"",IF(H153="SI",1,0)+IF(I153="SI",1,0)))</f>
        <v/>
      </c>
      <c r="AV153" t="str">
        <f t="shared" si="18"/>
        <v/>
      </c>
    </row>
    <row r="154" spans="1:48" ht="16.05" customHeight="1" x14ac:dyDescent="0.3">
      <c r="A154" t="s">
        <v>389</v>
      </c>
      <c r="B154" t="s">
        <v>390</v>
      </c>
      <c r="C154" t="s">
        <v>69</v>
      </c>
      <c r="D154" t="s">
        <v>57</v>
      </c>
      <c r="E154">
        <v>147669.48000000001</v>
      </c>
      <c r="F154">
        <v>1</v>
      </c>
      <c r="G154" t="s">
        <v>58</v>
      </c>
      <c r="I154" t="s">
        <v>58</v>
      </c>
      <c r="J154" t="s">
        <v>59</v>
      </c>
      <c r="K154" t="s">
        <v>75</v>
      </c>
      <c r="L154">
        <v>0</v>
      </c>
      <c r="M154">
        <f t="shared" si="19"/>
        <v>0</v>
      </c>
      <c r="N154" t="s">
        <v>60</v>
      </c>
      <c r="O154">
        <f t="shared" si="20"/>
        <v>0.4</v>
      </c>
      <c r="P154" t="s">
        <v>60</v>
      </c>
      <c r="Q154">
        <v>257</v>
      </c>
      <c r="R154">
        <v>771</v>
      </c>
      <c r="S154">
        <f t="shared" si="16"/>
        <v>27.5</v>
      </c>
      <c r="T154" t="str">
        <f>IF(NOT(ISNUMBER(S154)),"⬜  Sin dato PVE",IF(AND(COUNT(NORMALIZADO!BV154:BY154)&gt;=3,AQ154=7),IF(S154&lt;34,"🔴 Crítico",IF(S154&lt;67,"🟡 Vulnerable","🟢 Preparado")),"◐  Parcial · "&amp;AQ154&amp;"/7"))</f>
        <v>◐  Parcial · 3/7</v>
      </c>
      <c r="U154" s="53">
        <v>1</v>
      </c>
      <c r="V154" t="s">
        <v>61</v>
      </c>
      <c r="W154">
        <f>IF(NORMALIZADO!BV154="",1,NORMALIZADO!BV154)</f>
        <v>1</v>
      </c>
      <c r="X154" t="str">
        <f>IF(NORMALIZADO!BW154="","",NORMALIZADO!BW154)</f>
        <v/>
      </c>
      <c r="Y154" t="str">
        <f>IF(NORMALIZADO!BX154="","",NORMALIZADO!BX154)</f>
        <v/>
      </c>
      <c r="Z154" t="str">
        <f>IF(NORMALIZADO!BY154="","",NORMALIZADO!BY154)</f>
        <v/>
      </c>
      <c r="AO154" t="str">
        <f t="shared" si="17"/>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1536</v>
      </c>
      <c r="AT154" t="str">
        <f>IF(NOT(ISNUMBER(AP154)),"sin dato",IF(AND(COUNT(NORMALIZADO!BV154:BY154)&gt;=3,AQ154=7),"completo","parcial · "&amp;AQ154&amp;"/7 · D12-D15 "&amp;COUNT(NORMALIZADO!BV154:BY154)&amp;"/4"))</f>
        <v>parcial · 3/7 · D12-D15 0/4</v>
      </c>
      <c r="AU154">
        <f>IF(CAPTURA!N154&lt;&gt;"",ISNUMBER(SEARCH("Rainforest",CAPTURA!N154))+ISNUMBER(SEARCH("Fairtrade",CAPTURA!N154))+ISNUMBER(SEARCH("Org",CAPTURA!N154))+ISNUMBER(SEARCH("UTZ",CAPTURA!N154))+ISNUMBER(SEARCH("Otr",CAPTURA!N154)),IF(AND(H154="",I154=""),"",IF(H154="SI",1,0)+IF(I154="SI",1,0)))</f>
        <v>1</v>
      </c>
      <c r="AV154">
        <f t="shared" si="18"/>
        <v>33</v>
      </c>
    </row>
    <row r="155" spans="1:48" ht="16.05" customHeight="1" x14ac:dyDescent="0.3">
      <c r="A155" t="s">
        <v>391</v>
      </c>
      <c r="B155" t="s">
        <v>392</v>
      </c>
      <c r="C155" t="s">
        <v>101</v>
      </c>
      <c r="D155" t="s">
        <v>65</v>
      </c>
      <c r="G155" t="s">
        <v>66</v>
      </c>
      <c r="J155" t="s">
        <v>59</v>
      </c>
      <c r="M155" t="str">
        <f t="shared" si="19"/>
        <v/>
      </c>
      <c r="N155" t="s">
        <v>60</v>
      </c>
      <c r="O155" t="str">
        <f t="shared" si="20"/>
        <v/>
      </c>
      <c r="P155" t="s">
        <v>60</v>
      </c>
      <c r="S155" t="str">
        <f t="shared" si="16"/>
        <v>—</v>
      </c>
      <c r="T155" t="str">
        <f>IF(NOT(ISNUMBER(S155)),"⬜  Sin dato PVE",IF(AND(COUNT(NORMALIZADO!BV155:BY155)&gt;=3,AQ155=7),IF(S155&lt;34,"🔴 Crítico",IF(S155&lt;67,"🟡 Vulnerable","🟢 Preparado")),"◐  Parcial · "&amp;AQ155&amp;"/7"))</f>
        <v>⬜  Sin dato PVE</v>
      </c>
      <c r="U155" s="53">
        <v>1</v>
      </c>
      <c r="V155" t="s">
        <v>61</v>
      </c>
      <c r="W155" t="str">
        <f>IF(NORMALIZADO!BV155="","",NORMALIZADO!BV155)</f>
        <v/>
      </c>
      <c r="X155" t="str">
        <f>IF(NORMALIZADO!BW155="","",NORMALIZADO!BW155)</f>
        <v/>
      </c>
      <c r="Y155" t="str">
        <f>IF(NORMALIZADO!BX155="","",NORMALIZADO!BX155)</f>
        <v/>
      </c>
      <c r="Z155" t="str">
        <f>IF(NORMALIZADO!BY155="","",NORMALIZADO!BY155)</f>
        <v/>
      </c>
      <c r="AO155" t="str">
        <f t="shared" si="17"/>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dato",IF(AND(COUNT(NORMALIZADO!BV155:BY155)&gt;=3,AQ155=7),"completo","parcial · "&amp;AQ155&amp;"/7 · D12-D15 "&amp;COUNT(NORMALIZADO!BV155:BY155)&amp;"/4"))</f>
        <v>sin dato</v>
      </c>
      <c r="AU155" t="str">
        <f>IF(CAPTURA!N155&lt;&gt;"",ISNUMBER(SEARCH("Rainforest",CAPTURA!N155))+ISNUMBER(SEARCH("Fairtrade",CAPTURA!N155))+ISNUMBER(SEARCH("Org",CAPTURA!N155))+ISNUMBER(SEARCH("UTZ",CAPTURA!N155))+ISNUMBER(SEARCH("Otr",CAPTURA!N155)),IF(AND(H155="",I155=""),"",IF(H155="SI",1,0)+IF(I155="SI",1,0)))</f>
        <v/>
      </c>
      <c r="AV155" t="str">
        <f t="shared" si="18"/>
        <v/>
      </c>
    </row>
    <row r="156" spans="1:48" ht="16.05" customHeight="1" x14ac:dyDescent="0.3">
      <c r="A156" t="s">
        <v>393</v>
      </c>
      <c r="B156" t="s">
        <v>394</v>
      </c>
      <c r="C156" t="s">
        <v>171</v>
      </c>
      <c r="D156" t="s">
        <v>57</v>
      </c>
      <c r="G156" t="s">
        <v>66</v>
      </c>
      <c r="J156" t="s">
        <v>116</v>
      </c>
      <c r="M156" t="str">
        <f t="shared" si="19"/>
        <v/>
      </c>
      <c r="N156" t="s">
        <v>60</v>
      </c>
      <c r="O156" t="str">
        <f t="shared" si="20"/>
        <v/>
      </c>
      <c r="P156" t="s">
        <v>60</v>
      </c>
      <c r="S156" t="str">
        <f t="shared" si="16"/>
        <v>—</v>
      </c>
      <c r="T156" t="str">
        <f>IF(NOT(ISNUMBER(S156)),"⬜  Sin dato PVE",IF(AND(COUNT(NORMALIZADO!BV156:BY156)&gt;=3,AQ156=7),IF(S156&lt;34,"🔴 Crítico",IF(S156&lt;67,"🟡 Vulnerable","🟢 Preparado")),"◐  Parcial · "&amp;AQ156&amp;"/7"))</f>
        <v>⬜  Sin dato PVE</v>
      </c>
      <c r="U156" s="53">
        <v>1</v>
      </c>
      <c r="V156" t="s">
        <v>61</v>
      </c>
      <c r="W156" t="str">
        <f>IF(NORMALIZADO!BV156="","",NORMALIZADO!BV156)</f>
        <v/>
      </c>
      <c r="X156" t="str">
        <f>IF(NORMALIZADO!BW156="","",NORMALIZADO!BW156)</f>
        <v/>
      </c>
      <c r="Y156" t="str">
        <f>IF(NORMALIZADO!BX156="","",NORMALIZADO!BX156)</f>
        <v/>
      </c>
      <c r="Z156" t="str">
        <f>IF(NORMALIZADO!BY156="","",NORMALIZADO!BY156)</f>
        <v/>
      </c>
      <c r="AO156" t="str">
        <f t="shared" si="17"/>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dato",IF(AND(COUNT(NORMALIZADO!BV156:BY156)&gt;=3,AQ156=7),"completo","parcial · "&amp;AQ156&amp;"/7 · D12-D15 "&amp;COUNT(NORMALIZADO!BV156:BY156)&amp;"/4"))</f>
        <v>sin dato</v>
      </c>
      <c r="AU156" t="str">
        <f>IF(CAPTURA!N156&lt;&gt;"",ISNUMBER(SEARCH("Rainforest",CAPTURA!N156))+ISNUMBER(SEARCH("Fairtrade",CAPTURA!N156))+ISNUMBER(SEARCH("Org",CAPTURA!N156))+ISNUMBER(SEARCH("UTZ",CAPTURA!N156))+ISNUMBER(SEARCH("Otr",CAPTURA!N156)),IF(AND(H156="",I156=""),"",IF(H156="SI",1,0)+IF(I156="SI",1,0)))</f>
        <v/>
      </c>
      <c r="AV156" t="str">
        <f t="shared" si="18"/>
        <v/>
      </c>
    </row>
    <row r="157" spans="1:48" ht="16.05" customHeight="1" x14ac:dyDescent="0.3">
      <c r="A157" t="s">
        <v>395</v>
      </c>
      <c r="B157" t="s">
        <v>396</v>
      </c>
      <c r="C157" t="s">
        <v>131</v>
      </c>
      <c r="D157" t="s">
        <v>57</v>
      </c>
      <c r="E157">
        <v>940783.32</v>
      </c>
      <c r="F157">
        <v>7</v>
      </c>
      <c r="G157" t="s">
        <v>58</v>
      </c>
      <c r="H157" t="s">
        <v>58</v>
      </c>
      <c r="I157" t="s">
        <v>58</v>
      </c>
      <c r="J157" t="s">
        <v>59</v>
      </c>
      <c r="K157" t="s">
        <v>397</v>
      </c>
      <c r="L157">
        <v>76135.47</v>
      </c>
      <c r="M157">
        <f t="shared" si="19"/>
        <v>8.1</v>
      </c>
      <c r="N157" t="s">
        <v>60</v>
      </c>
      <c r="O157">
        <f t="shared" si="20"/>
        <v>1</v>
      </c>
      <c r="P157" t="s">
        <v>60</v>
      </c>
      <c r="Q157">
        <v>187</v>
      </c>
      <c r="R157">
        <v>600</v>
      </c>
      <c r="S157">
        <f t="shared" si="16"/>
        <v>40.9</v>
      </c>
      <c r="T157" t="str">
        <f>IF(NOT(ISNUMBER(S157)),"⬜  Sin dato PVE",IF(AND(COUNT(NORMALIZADO!BV157:BY157)&gt;=3,AQ157=7),IF(S157&lt;34,"🔴 Crítico",IF(S157&lt;67,"🟡 Vulnerable","🟢 Preparado")),"◐  Parcial · "&amp;AQ157&amp;"/7"))</f>
        <v>◐  Parcial · 3/7</v>
      </c>
      <c r="U157" s="53">
        <v>1</v>
      </c>
      <c r="V157" t="s">
        <v>61</v>
      </c>
      <c r="W157">
        <f>IF(NORMALIZADO!BV157="",1,NORMALIZADO!BV157)</f>
        <v>1</v>
      </c>
      <c r="X157" t="str">
        <f>IF(NORMALIZADO!BW157="","",NORMALIZADO!BW157)</f>
        <v/>
      </c>
      <c r="Y157" t="str">
        <f>IF(NORMALIZADO!BX157="","",NORMALIZADO!BX157)</f>
        <v/>
      </c>
      <c r="Z157" t="str">
        <f>IF(NORMALIZADO!BY157="","",NORMALIZADO!BY157)</f>
        <v/>
      </c>
      <c r="AO157" t="str">
        <f t="shared" si="17"/>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1537</v>
      </c>
      <c r="AS157" t="s">
        <v>1538</v>
      </c>
      <c r="AT157" t="str">
        <f>IF(NOT(ISNUMBER(AP157)),"sin dato",IF(AND(COUNT(NORMALIZADO!BV157:BY157)&gt;=3,AQ157=7),"completo","parcial · "&amp;AQ157&amp;"/7 · D12-D15 "&amp;COUNT(NORMALIZADO!BV157:BY157)&amp;"/4"))</f>
        <v>parcial · 3/7 · D12-D15 0/4</v>
      </c>
      <c r="AU157">
        <f>IF(CAPTURA!N157&lt;&gt;"",ISNUMBER(SEARCH("Rainforest",CAPTURA!N157))+ISNUMBER(SEARCH("Fairtrade",CAPTURA!N157))+ISNUMBER(SEARCH("Org",CAPTURA!N157))+ISNUMBER(SEARCH("UTZ",CAPTURA!N157))+ISNUMBER(SEARCH("Otr",CAPTURA!N157)),IF(AND(H157="",I157=""),"",IF(H157="SI",1,0)+IF(I157="SI",1,0)))</f>
        <v>2</v>
      </c>
      <c r="AV157">
        <f t="shared" si="18"/>
        <v>66</v>
      </c>
    </row>
    <row r="158" spans="1:48" ht="16.05" customHeight="1" x14ac:dyDescent="0.3">
      <c r="A158" t="s">
        <v>398</v>
      </c>
      <c r="B158" t="s">
        <v>399</v>
      </c>
      <c r="C158" t="s">
        <v>69</v>
      </c>
      <c r="G158" t="s">
        <v>66</v>
      </c>
      <c r="J158" t="s">
        <v>59</v>
      </c>
      <c r="M158" t="str">
        <f t="shared" si="19"/>
        <v/>
      </c>
      <c r="N158" t="s">
        <v>60</v>
      </c>
      <c r="O158" t="str">
        <f t="shared" si="20"/>
        <v/>
      </c>
      <c r="P158" t="s">
        <v>60</v>
      </c>
      <c r="S158" t="str">
        <f t="shared" si="16"/>
        <v>—</v>
      </c>
      <c r="T158" t="str">
        <f>IF(NOT(ISNUMBER(S158)),"⬜  Sin dato PVE",IF(AND(COUNT(NORMALIZADO!BV158:BY158)&gt;=3,AQ158=7),IF(S158&lt;34,"🔴 Crítico",IF(S158&lt;67,"🟡 Vulnerable","🟢 Preparado")),"◐  Parcial · "&amp;AQ158&amp;"/7"))</f>
        <v>⬜  Sin dato PVE</v>
      </c>
      <c r="U158" s="53">
        <v>1</v>
      </c>
      <c r="V158" t="s">
        <v>61</v>
      </c>
      <c r="W158" t="str">
        <f>IF(NORMALIZADO!BV158="","",NORMALIZADO!BV158)</f>
        <v/>
      </c>
      <c r="X158" t="str">
        <f>IF(NORMALIZADO!BW158="","",NORMALIZADO!BW158)</f>
        <v/>
      </c>
      <c r="Y158" t="str">
        <f>IF(NORMALIZADO!BX158="","",NORMALIZADO!BX158)</f>
        <v/>
      </c>
      <c r="Z158" t="str">
        <f>IF(NORMALIZADO!BY158="","",NORMALIZADO!BY158)</f>
        <v/>
      </c>
      <c r="AO158" t="str">
        <f t="shared" si="17"/>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dato",IF(AND(COUNT(NORMALIZADO!BV158:BY158)&gt;=3,AQ158=7),"completo","parcial · "&amp;AQ158&amp;"/7 · D12-D15 "&amp;COUNT(NORMALIZADO!BV158:BY158)&amp;"/4"))</f>
        <v>sin dato</v>
      </c>
      <c r="AU158" t="str">
        <f>IF(CAPTURA!N158&lt;&gt;"",ISNUMBER(SEARCH("Rainforest",CAPTURA!N158))+ISNUMBER(SEARCH("Fairtrade",CAPTURA!N158))+ISNUMBER(SEARCH("Org",CAPTURA!N158))+ISNUMBER(SEARCH("UTZ",CAPTURA!N158))+ISNUMBER(SEARCH("Otr",CAPTURA!N158)),IF(AND(H158="",I158=""),"",IF(H158="SI",1,0)+IF(I158="SI",1,0)))</f>
        <v/>
      </c>
      <c r="AV158" t="str">
        <f t="shared" si="18"/>
        <v/>
      </c>
    </row>
    <row r="159" spans="1:48" ht="16.05" customHeight="1" x14ac:dyDescent="0.3">
      <c r="A159" t="s">
        <v>400</v>
      </c>
      <c r="B159" t="s">
        <v>401</v>
      </c>
      <c r="C159" t="s">
        <v>131</v>
      </c>
      <c r="D159" t="s">
        <v>65</v>
      </c>
      <c r="G159" t="s">
        <v>66</v>
      </c>
      <c r="J159" t="s">
        <v>59</v>
      </c>
      <c r="M159" t="str">
        <f t="shared" si="19"/>
        <v/>
      </c>
      <c r="N159" t="s">
        <v>60</v>
      </c>
      <c r="O159" t="str">
        <f t="shared" si="20"/>
        <v/>
      </c>
      <c r="P159" t="s">
        <v>60</v>
      </c>
      <c r="S159" t="str">
        <f t="shared" si="16"/>
        <v>—</v>
      </c>
      <c r="T159" t="str">
        <f>IF(NOT(ISNUMBER(S159)),"⬜  Sin dato PVE",IF(AND(COUNT(NORMALIZADO!BV159:BY159)&gt;=3,AQ159=7),IF(S159&lt;34,"🔴 Crítico",IF(S159&lt;67,"🟡 Vulnerable","🟢 Preparado")),"◐  Parcial · "&amp;AQ159&amp;"/7"))</f>
        <v>⬜  Sin dato PVE</v>
      </c>
      <c r="U159" s="53">
        <v>1</v>
      </c>
      <c r="V159" t="s">
        <v>61</v>
      </c>
      <c r="W159" t="str">
        <f>IF(NORMALIZADO!BV159="","",NORMALIZADO!BV159)</f>
        <v/>
      </c>
      <c r="X159" t="str">
        <f>IF(NORMALIZADO!BW159="","",NORMALIZADO!BW159)</f>
        <v/>
      </c>
      <c r="Y159" t="str">
        <f>IF(NORMALIZADO!BX159="","",NORMALIZADO!BX159)</f>
        <v/>
      </c>
      <c r="Z159" t="str">
        <f>IF(NORMALIZADO!BY159="","",NORMALIZADO!BY159)</f>
        <v/>
      </c>
      <c r="AO159" t="str">
        <f t="shared" si="17"/>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dato",IF(AND(COUNT(NORMALIZADO!BV159:BY159)&gt;=3,AQ159=7),"completo","parcial · "&amp;AQ159&amp;"/7 · D12-D15 "&amp;COUNT(NORMALIZADO!BV159:BY159)&amp;"/4"))</f>
        <v>sin dato</v>
      </c>
      <c r="AU159" t="str">
        <f>IF(CAPTURA!N159&lt;&gt;"",ISNUMBER(SEARCH("Rainforest",CAPTURA!N159))+ISNUMBER(SEARCH("Fairtrade",CAPTURA!N159))+ISNUMBER(SEARCH("Org",CAPTURA!N159))+ISNUMBER(SEARCH("UTZ",CAPTURA!N159))+ISNUMBER(SEARCH("Otr",CAPTURA!N159)),IF(AND(H159="",I159=""),"",IF(H159="SI",1,0)+IF(I159="SI",1,0)))</f>
        <v/>
      </c>
      <c r="AV159" t="str">
        <f t="shared" si="18"/>
        <v/>
      </c>
    </row>
    <row r="160" spans="1:48" ht="16.05" customHeight="1" x14ac:dyDescent="0.3">
      <c r="A160" t="s">
        <v>402</v>
      </c>
      <c r="B160" t="s">
        <v>403</v>
      </c>
      <c r="C160" t="s">
        <v>95</v>
      </c>
      <c r="D160" t="s">
        <v>57</v>
      </c>
      <c r="G160" t="s">
        <v>66</v>
      </c>
      <c r="J160" t="s">
        <v>404</v>
      </c>
      <c r="M160" t="str">
        <f t="shared" si="19"/>
        <v/>
      </c>
      <c r="N160" t="s">
        <v>60</v>
      </c>
      <c r="O160" t="str">
        <f t="shared" si="20"/>
        <v/>
      </c>
      <c r="P160" t="s">
        <v>60</v>
      </c>
      <c r="S160" t="str">
        <f t="shared" si="16"/>
        <v>—</v>
      </c>
      <c r="T160" t="str">
        <f>IF(NOT(ISNUMBER(S160)),"⬜  Sin dato PVE",IF(AND(COUNT(NORMALIZADO!BV160:BY160)&gt;=3,AQ160=7),IF(S160&lt;34,"🔴 Crítico",IF(S160&lt;67,"🟡 Vulnerable","🟢 Preparado")),"◐  Parcial · "&amp;AQ160&amp;"/7"))</f>
        <v>⬜  Sin dato PVE</v>
      </c>
      <c r="U160" s="53">
        <v>1</v>
      </c>
      <c r="V160" t="s">
        <v>61</v>
      </c>
      <c r="W160" t="str">
        <f>IF(NORMALIZADO!BV160="","",NORMALIZADO!BV160)</f>
        <v/>
      </c>
      <c r="X160" t="str">
        <f>IF(NORMALIZADO!BW160="","",NORMALIZADO!BW160)</f>
        <v/>
      </c>
      <c r="Y160" t="str">
        <f>IF(NORMALIZADO!BX160="","",NORMALIZADO!BX160)</f>
        <v/>
      </c>
      <c r="Z160" t="str">
        <f>IF(NORMALIZADO!BY160="","",NORMALIZADO!BY160)</f>
        <v/>
      </c>
      <c r="AO160" t="str">
        <f t="shared" si="17"/>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dato",IF(AND(COUNT(NORMALIZADO!BV160:BY160)&gt;=3,AQ160=7),"completo","parcial · "&amp;AQ160&amp;"/7 · D12-D15 "&amp;COUNT(NORMALIZADO!BV160:BY160)&amp;"/4"))</f>
        <v>sin dato</v>
      </c>
      <c r="AU160" t="str">
        <f>IF(CAPTURA!N160&lt;&gt;"",ISNUMBER(SEARCH("Rainforest",CAPTURA!N160))+ISNUMBER(SEARCH("Fairtrade",CAPTURA!N160))+ISNUMBER(SEARCH("Org",CAPTURA!N160))+ISNUMBER(SEARCH("UTZ",CAPTURA!N160))+ISNUMBER(SEARCH("Otr",CAPTURA!N160)),IF(AND(H160="",I160=""),"",IF(H160="SI",1,0)+IF(I160="SI",1,0)))</f>
        <v/>
      </c>
      <c r="AV160" t="str">
        <f t="shared" si="18"/>
        <v/>
      </c>
    </row>
    <row r="161" spans="1:48" ht="16.05" customHeight="1" x14ac:dyDescent="0.3">
      <c r="A161" t="s">
        <v>405</v>
      </c>
      <c r="B161" t="s">
        <v>406</v>
      </c>
      <c r="C161" t="s">
        <v>171</v>
      </c>
      <c r="D161" t="s">
        <v>57</v>
      </c>
      <c r="G161" t="s">
        <v>66</v>
      </c>
      <c r="J161" t="s">
        <v>59</v>
      </c>
      <c r="M161" t="str">
        <f t="shared" si="19"/>
        <v/>
      </c>
      <c r="N161" t="s">
        <v>60</v>
      </c>
      <c r="O161" t="str">
        <f t="shared" si="20"/>
        <v/>
      </c>
      <c r="P161" t="s">
        <v>60</v>
      </c>
      <c r="S161" t="str">
        <f t="shared" si="16"/>
        <v>—</v>
      </c>
      <c r="T161" t="str">
        <f>IF(NOT(ISNUMBER(S161)),"⬜  Sin dato PVE",IF(AND(COUNT(NORMALIZADO!BV161:BY161)&gt;=3,AQ161=7),IF(S161&lt;34,"🔴 Crítico",IF(S161&lt;67,"🟡 Vulnerable","🟢 Preparado")),"◐  Parcial · "&amp;AQ161&amp;"/7"))</f>
        <v>⬜  Sin dato PVE</v>
      </c>
      <c r="U161" s="53">
        <v>1</v>
      </c>
      <c r="V161" t="s">
        <v>61</v>
      </c>
      <c r="W161" t="str">
        <f>IF(NORMALIZADO!BV161="","",NORMALIZADO!BV161)</f>
        <v/>
      </c>
      <c r="X161" t="str">
        <f>IF(NORMALIZADO!BW161="","",NORMALIZADO!BW161)</f>
        <v/>
      </c>
      <c r="Y161" t="str">
        <f>IF(NORMALIZADO!BX161="","",NORMALIZADO!BX161)</f>
        <v/>
      </c>
      <c r="Z161" t="str">
        <f>IF(NORMALIZADO!BY161="","",NORMALIZADO!BY161)</f>
        <v/>
      </c>
      <c r="AO161" t="str">
        <f t="shared" si="17"/>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dato",IF(AND(COUNT(NORMALIZADO!BV161:BY161)&gt;=3,AQ161=7),"completo","parcial · "&amp;AQ161&amp;"/7 · D12-D15 "&amp;COUNT(NORMALIZADO!BV161:BY161)&amp;"/4"))</f>
        <v>sin dato</v>
      </c>
      <c r="AU161" t="str">
        <f>IF(CAPTURA!N161&lt;&gt;"",ISNUMBER(SEARCH("Rainforest",CAPTURA!N161))+ISNUMBER(SEARCH("Fairtrade",CAPTURA!N161))+ISNUMBER(SEARCH("Org",CAPTURA!N161))+ISNUMBER(SEARCH("UTZ",CAPTURA!N161))+ISNUMBER(SEARCH("Otr",CAPTURA!N161)),IF(AND(H161="",I161=""),"",IF(H161="SI",1,0)+IF(I161="SI",1,0)))</f>
        <v/>
      </c>
      <c r="AV161" t="str">
        <f t="shared" si="18"/>
        <v/>
      </c>
    </row>
    <row r="162" spans="1:48" ht="16.05" customHeight="1" x14ac:dyDescent="0.3">
      <c r="A162" t="s">
        <v>407</v>
      </c>
      <c r="B162" t="s">
        <v>408</v>
      </c>
      <c r="C162" t="s">
        <v>95</v>
      </c>
      <c r="D162" t="s">
        <v>57</v>
      </c>
      <c r="G162" t="s">
        <v>66</v>
      </c>
      <c r="J162" t="s">
        <v>59</v>
      </c>
      <c r="M162" t="str">
        <f t="shared" si="19"/>
        <v/>
      </c>
      <c r="N162" t="s">
        <v>60</v>
      </c>
      <c r="O162" t="str">
        <f t="shared" si="20"/>
        <v/>
      </c>
      <c r="P162" t="s">
        <v>60</v>
      </c>
      <c r="S162" t="str">
        <f t="shared" si="16"/>
        <v>—</v>
      </c>
      <c r="T162" t="str">
        <f>IF(NOT(ISNUMBER(S162)),"⬜  Sin dato PVE",IF(AND(COUNT(NORMALIZADO!BV162:BY162)&gt;=3,AQ162=7),IF(S162&lt;34,"🔴 Crítico",IF(S162&lt;67,"🟡 Vulnerable","🟢 Preparado")),"◐  Parcial · "&amp;AQ162&amp;"/7"))</f>
        <v>⬜  Sin dato PVE</v>
      </c>
      <c r="U162" s="53">
        <v>1</v>
      </c>
      <c r="V162" t="s">
        <v>61</v>
      </c>
      <c r="W162" t="str">
        <f>IF(NORMALIZADO!BV162="","",NORMALIZADO!BV162)</f>
        <v/>
      </c>
      <c r="X162" t="str">
        <f>IF(NORMALIZADO!BW162="","",NORMALIZADO!BW162)</f>
        <v/>
      </c>
      <c r="Y162" t="str">
        <f>IF(NORMALIZADO!BX162="","",NORMALIZADO!BX162)</f>
        <v/>
      </c>
      <c r="Z162" t="str">
        <f>IF(NORMALIZADO!BY162="","",NORMALIZADO!BY162)</f>
        <v/>
      </c>
      <c r="AO162" t="str">
        <f t="shared" si="17"/>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dato",IF(AND(COUNT(NORMALIZADO!BV162:BY162)&gt;=3,AQ162=7),"completo","parcial · "&amp;AQ162&amp;"/7 · D12-D15 "&amp;COUNT(NORMALIZADO!BV162:BY162)&amp;"/4"))</f>
        <v>sin dato</v>
      </c>
      <c r="AU162" t="str">
        <f>IF(CAPTURA!N162&lt;&gt;"",ISNUMBER(SEARCH("Rainforest",CAPTURA!N162))+ISNUMBER(SEARCH("Fairtrade",CAPTURA!N162))+ISNUMBER(SEARCH("Org",CAPTURA!N162))+ISNUMBER(SEARCH("UTZ",CAPTURA!N162))+ISNUMBER(SEARCH("Otr",CAPTURA!N162)),IF(AND(H162="",I162=""),"",IF(H162="SI",1,0)+IF(I162="SI",1,0)))</f>
        <v/>
      </c>
      <c r="AV162" t="str">
        <f t="shared" si="18"/>
        <v/>
      </c>
    </row>
    <row r="163" spans="1:48" ht="16.05" customHeight="1" x14ac:dyDescent="0.3">
      <c r="A163" t="s">
        <v>409</v>
      </c>
      <c r="B163" t="s">
        <v>410</v>
      </c>
      <c r="C163" t="s">
        <v>142</v>
      </c>
      <c r="D163" t="s">
        <v>57</v>
      </c>
      <c r="E163">
        <v>3002219.02</v>
      </c>
      <c r="F163">
        <v>19</v>
      </c>
      <c r="G163" t="s">
        <v>58</v>
      </c>
      <c r="J163" t="s">
        <v>59</v>
      </c>
      <c r="L163">
        <v>1501109.51</v>
      </c>
      <c r="M163">
        <f t="shared" si="19"/>
        <v>50</v>
      </c>
      <c r="N163" t="s">
        <v>60</v>
      </c>
      <c r="O163" t="str">
        <f t="shared" si="20"/>
        <v/>
      </c>
      <c r="P163" t="s">
        <v>60</v>
      </c>
      <c r="S163">
        <f t="shared" ref="S163:S176" si="21">IFERROR(ROUND(AP163*100,1),"—")</f>
        <v>50</v>
      </c>
      <c r="T163" t="str">
        <f>IF(NOT(ISNUMBER(S163)),"⬜  Sin dato PVE",IF(AND(COUNT(NORMALIZADO!BV163:BY163)&gt;=3,AQ163=7),IF(S163&lt;34,"🔴 Crítico",IF(S163&lt;67,"🟡 Vulnerable","🟢 Preparado")),"◐  Parcial · "&amp;AQ163&amp;"/7"))</f>
        <v>◐  Parcial · 2/7</v>
      </c>
      <c r="U163" s="53">
        <v>1</v>
      </c>
      <c r="V163" t="s">
        <v>61</v>
      </c>
      <c r="W163">
        <f>IF(NORMALIZADO!BV163="",1,NORMALIZADO!BV163)</f>
        <v>1</v>
      </c>
      <c r="X163" t="str">
        <f>IF(NORMALIZADO!BW163="","",NORMALIZADO!BW163)</f>
        <v/>
      </c>
      <c r="Y163" t="str">
        <f>IF(NORMALIZADO!BX163="","",NORMALIZADO!BX163)</f>
        <v/>
      </c>
      <c r="Z163" t="str">
        <f>IF(NORMALIZADO!BY163="","",NORMALIZADO!BY163)</f>
        <v/>
      </c>
      <c r="AO163" t="str">
        <f t="shared" ref="AO163:AO176" si="22">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dato",IF(AND(COUNT(NORMALIZADO!BV163:BY163)&gt;=3,AQ163=7),"completo","parcial · "&amp;AQ163&amp;"/7 · D12-D15 "&amp;COUNT(NORMALIZADO!BV163:BY163)&amp;"/4"))</f>
        <v>parcial · 2/7 · D12-D15 0/4</v>
      </c>
      <c r="AU163" t="str">
        <f>IF(CAPTURA!N163&lt;&gt;"",ISNUMBER(SEARCH("Rainforest",CAPTURA!N163))+ISNUMBER(SEARCH("Fairtrade",CAPTURA!N163))+ISNUMBER(SEARCH("Org",CAPTURA!N163))+ISNUMBER(SEARCH("UTZ",CAPTURA!N163))+ISNUMBER(SEARCH("Otr",CAPTURA!N163)),IF(AND(H163="",I163=""),"",IF(H163="SI",1,0)+IF(I163="SI",1,0)))</f>
        <v/>
      </c>
      <c r="AV163" t="str">
        <f t="shared" ref="AV163:AV194" si="23">IF(AU163="","",CHOOSE(MIN(3,AU163)+1,0,33,66,100))</f>
        <v/>
      </c>
    </row>
    <row r="164" spans="1:48" ht="16.05" customHeight="1" x14ac:dyDescent="0.3">
      <c r="A164" t="s">
        <v>411</v>
      </c>
      <c r="B164" t="s">
        <v>412</v>
      </c>
      <c r="C164" t="s">
        <v>104</v>
      </c>
      <c r="D164" t="s">
        <v>65</v>
      </c>
      <c r="G164" t="s">
        <v>66</v>
      </c>
      <c r="J164" t="s">
        <v>59</v>
      </c>
      <c r="M164" t="str">
        <f t="shared" si="19"/>
        <v/>
      </c>
      <c r="N164" t="s">
        <v>60</v>
      </c>
      <c r="O164" t="str">
        <f t="shared" si="20"/>
        <v/>
      </c>
      <c r="P164" t="s">
        <v>60</v>
      </c>
      <c r="S164" t="str">
        <f t="shared" si="21"/>
        <v>—</v>
      </c>
      <c r="T164" t="str">
        <f>IF(NOT(ISNUMBER(S164)),"⬜  Sin dato PVE",IF(AND(COUNT(NORMALIZADO!BV164:BY164)&gt;=3,AQ164=7),IF(S164&lt;34,"🔴 Crítico",IF(S164&lt;67,"🟡 Vulnerable","🟢 Preparado")),"◐  Parcial · "&amp;AQ164&amp;"/7"))</f>
        <v>⬜  Sin dato PVE</v>
      </c>
      <c r="U164" s="53">
        <v>1</v>
      </c>
      <c r="V164" t="s">
        <v>61</v>
      </c>
      <c r="W164" t="str">
        <f>IF(NORMALIZADO!BV164="","",NORMALIZADO!BV164)</f>
        <v/>
      </c>
      <c r="X164" t="str">
        <f>IF(NORMALIZADO!BW164="","",NORMALIZADO!BW164)</f>
        <v/>
      </c>
      <c r="Y164" t="str">
        <f>IF(NORMALIZADO!BX164="","",NORMALIZADO!BX164)</f>
        <v/>
      </c>
      <c r="Z164" t="str">
        <f>IF(NORMALIZADO!BY164="","",NORMALIZADO!BY164)</f>
        <v/>
      </c>
      <c r="AO164" t="str">
        <f t="shared" si="22"/>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dato",IF(AND(COUNT(NORMALIZADO!BV164:BY164)&gt;=3,AQ164=7),"completo","parcial · "&amp;AQ164&amp;"/7 · D12-D15 "&amp;COUNT(NORMALIZADO!BV164:BY164)&amp;"/4"))</f>
        <v>sin dato</v>
      </c>
      <c r="AU164" t="str">
        <f>IF(CAPTURA!N164&lt;&gt;"",ISNUMBER(SEARCH("Rainforest",CAPTURA!N164))+ISNUMBER(SEARCH("Fairtrade",CAPTURA!N164))+ISNUMBER(SEARCH("Org",CAPTURA!N164))+ISNUMBER(SEARCH("UTZ",CAPTURA!N164))+ISNUMBER(SEARCH("Otr",CAPTURA!N164)),IF(AND(H164="",I164=""),"",IF(H164="SI",1,0)+IF(I164="SI",1,0)))</f>
        <v/>
      </c>
      <c r="AV164" t="str">
        <f t="shared" si="23"/>
        <v/>
      </c>
    </row>
    <row r="165" spans="1:48" ht="16.05" customHeight="1" x14ac:dyDescent="0.3">
      <c r="A165" t="s">
        <v>413</v>
      </c>
      <c r="B165" t="s">
        <v>414</v>
      </c>
      <c r="C165" t="s">
        <v>171</v>
      </c>
      <c r="D165" t="s">
        <v>57</v>
      </c>
      <c r="G165" t="s">
        <v>66</v>
      </c>
      <c r="J165" t="s">
        <v>116</v>
      </c>
      <c r="M165" t="str">
        <f t="shared" si="19"/>
        <v/>
      </c>
      <c r="N165" t="s">
        <v>60</v>
      </c>
      <c r="O165" t="str">
        <f t="shared" si="20"/>
        <v/>
      </c>
      <c r="P165" t="s">
        <v>60</v>
      </c>
      <c r="S165" t="str">
        <f t="shared" si="21"/>
        <v>—</v>
      </c>
      <c r="T165" t="str">
        <f>IF(NOT(ISNUMBER(S165)),"⬜  Sin dato PVE",IF(AND(COUNT(NORMALIZADO!BV165:BY165)&gt;=3,AQ165=7),IF(S165&lt;34,"🔴 Crítico",IF(S165&lt;67,"🟡 Vulnerable","🟢 Preparado")),"◐  Parcial · "&amp;AQ165&amp;"/7"))</f>
        <v>⬜  Sin dato PVE</v>
      </c>
      <c r="U165" s="53">
        <v>1</v>
      </c>
      <c r="V165" t="s">
        <v>61</v>
      </c>
      <c r="W165" t="str">
        <f>IF(NORMALIZADO!BV165="","",NORMALIZADO!BV165)</f>
        <v/>
      </c>
      <c r="X165" t="str">
        <f>IF(NORMALIZADO!BW165="","",NORMALIZADO!BW165)</f>
        <v/>
      </c>
      <c r="Y165" t="str">
        <f>IF(NORMALIZADO!BX165="","",NORMALIZADO!BX165)</f>
        <v/>
      </c>
      <c r="Z165" t="str">
        <f>IF(NORMALIZADO!BY165="","",NORMALIZADO!BY165)</f>
        <v/>
      </c>
      <c r="AO165" t="str">
        <f t="shared" si="22"/>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dato",IF(AND(COUNT(NORMALIZADO!BV165:BY165)&gt;=3,AQ165=7),"completo","parcial · "&amp;AQ165&amp;"/7 · D12-D15 "&amp;COUNT(NORMALIZADO!BV165:BY165)&amp;"/4"))</f>
        <v>sin dato</v>
      </c>
      <c r="AU165" t="str">
        <f>IF(CAPTURA!N165&lt;&gt;"",ISNUMBER(SEARCH("Rainforest",CAPTURA!N165))+ISNUMBER(SEARCH("Fairtrade",CAPTURA!N165))+ISNUMBER(SEARCH("Org",CAPTURA!N165))+ISNUMBER(SEARCH("UTZ",CAPTURA!N165))+ISNUMBER(SEARCH("Otr",CAPTURA!N165)),IF(AND(H165="",I165=""),"",IF(H165="SI",1,0)+IF(I165="SI",1,0)))</f>
        <v/>
      </c>
      <c r="AV165" t="str">
        <f t="shared" si="23"/>
        <v/>
      </c>
    </row>
    <row r="166" spans="1:48" ht="16.05" customHeight="1" x14ac:dyDescent="0.3">
      <c r="A166" t="s">
        <v>415</v>
      </c>
      <c r="B166" t="s">
        <v>416</v>
      </c>
      <c r="C166" t="s">
        <v>233</v>
      </c>
      <c r="D166" t="s">
        <v>65</v>
      </c>
      <c r="G166" t="s">
        <v>66</v>
      </c>
      <c r="J166" t="s">
        <v>59</v>
      </c>
      <c r="M166" t="str">
        <f t="shared" si="19"/>
        <v/>
      </c>
      <c r="N166" t="s">
        <v>60</v>
      </c>
      <c r="O166" t="str">
        <f t="shared" si="20"/>
        <v/>
      </c>
      <c r="P166" t="s">
        <v>60</v>
      </c>
      <c r="S166" t="str">
        <f t="shared" si="21"/>
        <v>—</v>
      </c>
      <c r="T166" t="str">
        <f>IF(NOT(ISNUMBER(S166)),"⬜  Sin dato PVE",IF(AND(COUNT(NORMALIZADO!BV166:BY166)&gt;=3,AQ166=7),IF(S166&lt;34,"🔴 Crítico",IF(S166&lt;67,"🟡 Vulnerable","🟢 Preparado")),"◐  Parcial · "&amp;AQ166&amp;"/7"))</f>
        <v>⬜  Sin dato PVE</v>
      </c>
      <c r="U166" s="53">
        <v>1</v>
      </c>
      <c r="V166" t="s">
        <v>61</v>
      </c>
      <c r="W166" t="str">
        <f>IF(NORMALIZADO!BV166="","",NORMALIZADO!BV166)</f>
        <v/>
      </c>
      <c r="X166" t="str">
        <f>IF(NORMALIZADO!BW166="","",NORMALIZADO!BW166)</f>
        <v/>
      </c>
      <c r="Y166" t="str">
        <f>IF(NORMALIZADO!BX166="","",NORMALIZADO!BX166)</f>
        <v/>
      </c>
      <c r="Z166" t="str">
        <f>IF(NORMALIZADO!BY166="","",NORMALIZADO!BY166)</f>
        <v/>
      </c>
      <c r="AO166" t="str">
        <f t="shared" si="22"/>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dato",IF(AND(COUNT(NORMALIZADO!BV166:BY166)&gt;=3,AQ166=7),"completo","parcial · "&amp;AQ166&amp;"/7 · D12-D15 "&amp;COUNT(NORMALIZADO!BV166:BY166)&amp;"/4"))</f>
        <v>sin dato</v>
      </c>
      <c r="AU166" t="str">
        <f>IF(CAPTURA!N166&lt;&gt;"",ISNUMBER(SEARCH("Rainforest",CAPTURA!N166))+ISNUMBER(SEARCH("Fairtrade",CAPTURA!N166))+ISNUMBER(SEARCH("Org",CAPTURA!N166))+ISNUMBER(SEARCH("UTZ",CAPTURA!N166))+ISNUMBER(SEARCH("Otr",CAPTURA!N166)),IF(AND(H166="",I166=""),"",IF(H166="SI",1,0)+IF(I166="SI",1,0)))</f>
        <v/>
      </c>
      <c r="AV166" t="str">
        <f t="shared" si="23"/>
        <v/>
      </c>
    </row>
    <row r="167" spans="1:48" ht="16.05" customHeight="1" x14ac:dyDescent="0.3">
      <c r="A167" t="s">
        <v>417</v>
      </c>
      <c r="B167" t="s">
        <v>418</v>
      </c>
      <c r="C167" t="s">
        <v>131</v>
      </c>
      <c r="D167" t="s">
        <v>65</v>
      </c>
      <c r="E167">
        <v>4097</v>
      </c>
      <c r="F167">
        <v>2</v>
      </c>
      <c r="G167" t="s">
        <v>58</v>
      </c>
      <c r="J167" t="s">
        <v>59</v>
      </c>
      <c r="L167">
        <v>0</v>
      </c>
      <c r="M167">
        <f t="shared" si="19"/>
        <v>0</v>
      </c>
      <c r="N167" t="s">
        <v>60</v>
      </c>
      <c r="O167" t="str">
        <f t="shared" si="20"/>
        <v/>
      </c>
      <c r="P167" t="s">
        <v>60</v>
      </c>
      <c r="S167">
        <f t="shared" si="21"/>
        <v>0</v>
      </c>
      <c r="T167" t="str">
        <f>IF(NOT(ISNUMBER(S167)),"⬜  Sin dato PVE",IF(AND(COUNT(NORMALIZADO!BV167:BY167)&gt;=3,AQ167=7),IF(S167&lt;34,"🔴 Crítico",IF(S167&lt;67,"🟡 Vulnerable","🟢 Preparado")),"◐  Parcial · "&amp;AQ167&amp;"/7"))</f>
        <v>◐  Parcial · 1/7</v>
      </c>
      <c r="U167" s="53">
        <v>1</v>
      </c>
      <c r="V167" t="s">
        <v>61</v>
      </c>
      <c r="W167" t="str">
        <f>IF(NORMALIZADO!BV167="","",NORMALIZADO!BV167)</f>
        <v/>
      </c>
      <c r="X167" t="str">
        <f>IF(NORMALIZADO!BW167="","",NORMALIZADO!BW167)</f>
        <v/>
      </c>
      <c r="Y167" t="str">
        <f>IF(NORMALIZADO!BX167="","",NORMALIZADO!BX167)</f>
        <v/>
      </c>
      <c r="Z167" t="str">
        <f>IF(NORMALIZADO!BY167="","",NORMALIZADO!BY167)</f>
        <v/>
      </c>
      <c r="AO167" t="str">
        <f t="shared" si="22"/>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dato",IF(AND(COUNT(NORMALIZADO!BV167:BY167)&gt;=3,AQ167=7),"completo","parcial · "&amp;AQ167&amp;"/7 · D12-D15 "&amp;COUNT(NORMALIZADO!BV167:BY167)&amp;"/4"))</f>
        <v>parcial · 1/7 · D12-D15 0/4</v>
      </c>
      <c r="AU167" t="str">
        <f>IF(CAPTURA!N167&lt;&gt;"",ISNUMBER(SEARCH("Rainforest",CAPTURA!N167))+ISNUMBER(SEARCH("Fairtrade",CAPTURA!N167))+ISNUMBER(SEARCH("Org",CAPTURA!N167))+ISNUMBER(SEARCH("UTZ",CAPTURA!N167))+ISNUMBER(SEARCH("Otr",CAPTURA!N167)),IF(AND(H167="",I167=""),"",IF(H167="SI",1,0)+IF(I167="SI",1,0)))</f>
        <v/>
      </c>
      <c r="AV167" t="str">
        <f t="shared" si="23"/>
        <v/>
      </c>
    </row>
    <row r="168" spans="1:48" ht="16.05" customHeight="1" x14ac:dyDescent="0.3">
      <c r="A168" t="s">
        <v>419</v>
      </c>
      <c r="B168" t="s">
        <v>420</v>
      </c>
      <c r="C168" t="s">
        <v>104</v>
      </c>
      <c r="D168" t="s">
        <v>65</v>
      </c>
      <c r="E168">
        <v>19111.5</v>
      </c>
      <c r="F168">
        <v>1</v>
      </c>
      <c r="G168" t="s">
        <v>58</v>
      </c>
      <c r="J168" t="s">
        <v>59</v>
      </c>
      <c r="L168">
        <v>0</v>
      </c>
      <c r="M168">
        <f t="shared" si="19"/>
        <v>0</v>
      </c>
      <c r="N168" t="s">
        <v>60</v>
      </c>
      <c r="O168" t="str">
        <f t="shared" si="20"/>
        <v/>
      </c>
      <c r="P168" t="s">
        <v>60</v>
      </c>
      <c r="S168">
        <f t="shared" si="21"/>
        <v>0</v>
      </c>
      <c r="T168" t="str">
        <f>IF(NOT(ISNUMBER(S168)),"⬜  Sin dato PVE",IF(AND(COUNT(NORMALIZADO!BV168:BY168)&gt;=3,AQ168=7),IF(S168&lt;34,"🔴 Crítico",IF(S168&lt;67,"🟡 Vulnerable","🟢 Preparado")),"◐  Parcial · "&amp;AQ168&amp;"/7"))</f>
        <v>◐  Parcial · 1/7</v>
      </c>
      <c r="U168" s="53">
        <v>1</v>
      </c>
      <c r="V168" t="s">
        <v>61</v>
      </c>
      <c r="W168" t="str">
        <f>IF(NORMALIZADO!BV168="","",NORMALIZADO!BV168)</f>
        <v/>
      </c>
      <c r="X168" t="str">
        <f>IF(NORMALIZADO!BW168="","",NORMALIZADO!BW168)</f>
        <v/>
      </c>
      <c r="Y168" t="str">
        <f>IF(NORMALIZADO!BX168="","",NORMALIZADO!BX168)</f>
        <v/>
      </c>
      <c r="Z168" t="str">
        <f>IF(NORMALIZADO!BY168="","",NORMALIZADO!BY168)</f>
        <v/>
      </c>
      <c r="AO168" t="str">
        <f t="shared" si="22"/>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dato",IF(AND(COUNT(NORMALIZADO!BV168:BY168)&gt;=3,AQ168=7),"completo","parcial · "&amp;AQ168&amp;"/7 · D12-D15 "&amp;COUNT(NORMALIZADO!BV168:BY168)&amp;"/4"))</f>
        <v>parcial · 1/7 · D12-D15 0/4</v>
      </c>
      <c r="AU168" t="str">
        <f>IF(CAPTURA!N168&lt;&gt;"",ISNUMBER(SEARCH("Rainforest",CAPTURA!N168))+ISNUMBER(SEARCH("Fairtrade",CAPTURA!N168))+ISNUMBER(SEARCH("Org",CAPTURA!N168))+ISNUMBER(SEARCH("UTZ",CAPTURA!N168))+ISNUMBER(SEARCH("Otr",CAPTURA!N168)),IF(AND(H168="",I168=""),"",IF(H168="SI",1,0)+IF(I168="SI",1,0)))</f>
        <v/>
      </c>
      <c r="AV168" t="str">
        <f t="shared" si="23"/>
        <v/>
      </c>
    </row>
    <row r="169" spans="1:48" ht="16.05" customHeight="1" x14ac:dyDescent="0.3">
      <c r="A169" t="s">
        <v>421</v>
      </c>
      <c r="B169" t="s">
        <v>422</v>
      </c>
      <c r="C169" t="s">
        <v>142</v>
      </c>
      <c r="D169" t="s">
        <v>57</v>
      </c>
      <c r="G169" t="s">
        <v>66</v>
      </c>
      <c r="J169" t="s">
        <v>59</v>
      </c>
      <c r="M169" t="str">
        <f t="shared" si="19"/>
        <v/>
      </c>
      <c r="N169" t="s">
        <v>60</v>
      </c>
      <c r="O169" t="str">
        <f t="shared" si="20"/>
        <v/>
      </c>
      <c r="P169" t="s">
        <v>60</v>
      </c>
      <c r="S169" t="str">
        <f t="shared" si="21"/>
        <v>—</v>
      </c>
      <c r="T169" t="str">
        <f>IF(NOT(ISNUMBER(S169)),"⬜  Sin dato PVE",IF(AND(COUNT(NORMALIZADO!BV169:BY169)&gt;=3,AQ169=7),IF(S169&lt;34,"🔴 Crítico",IF(S169&lt;67,"🟡 Vulnerable","🟢 Preparado")),"◐  Parcial · "&amp;AQ169&amp;"/7"))</f>
        <v>⬜  Sin dato PVE</v>
      </c>
      <c r="U169" s="53">
        <v>1</v>
      </c>
      <c r="V169" t="s">
        <v>61</v>
      </c>
      <c r="W169" t="str">
        <f>IF(NORMALIZADO!BV169="","",NORMALIZADO!BV169)</f>
        <v/>
      </c>
      <c r="X169" t="str">
        <f>IF(NORMALIZADO!BW169="","",NORMALIZADO!BW169)</f>
        <v/>
      </c>
      <c r="Y169" t="str">
        <f>IF(NORMALIZADO!BX169="","",NORMALIZADO!BX169)</f>
        <v/>
      </c>
      <c r="Z169" t="str">
        <f>IF(NORMALIZADO!BY169="","",NORMALIZADO!BY169)</f>
        <v/>
      </c>
      <c r="AO169" t="str">
        <f t="shared" si="22"/>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dato",IF(AND(COUNT(NORMALIZADO!BV169:BY169)&gt;=3,AQ169=7),"completo","parcial · "&amp;AQ169&amp;"/7 · D12-D15 "&amp;COUNT(NORMALIZADO!BV169:BY169)&amp;"/4"))</f>
        <v>sin dato</v>
      </c>
      <c r="AU169" t="str">
        <f>IF(CAPTURA!N169&lt;&gt;"",ISNUMBER(SEARCH("Rainforest",CAPTURA!N169))+ISNUMBER(SEARCH("Fairtrade",CAPTURA!N169))+ISNUMBER(SEARCH("Org",CAPTURA!N169))+ISNUMBER(SEARCH("UTZ",CAPTURA!N169))+ISNUMBER(SEARCH("Otr",CAPTURA!N169)),IF(AND(H169="",I169=""),"",IF(H169="SI",1,0)+IF(I169="SI",1,0)))</f>
        <v/>
      </c>
      <c r="AV169" t="str">
        <f t="shared" si="23"/>
        <v/>
      </c>
    </row>
    <row r="170" spans="1:48" ht="16.05" customHeight="1" x14ac:dyDescent="0.3">
      <c r="A170" t="s">
        <v>423</v>
      </c>
      <c r="B170" t="s">
        <v>424</v>
      </c>
      <c r="C170" t="s">
        <v>101</v>
      </c>
      <c r="D170" t="s">
        <v>65</v>
      </c>
      <c r="E170">
        <v>1265261.8999999999</v>
      </c>
      <c r="F170">
        <v>6</v>
      </c>
      <c r="G170" t="s">
        <v>58</v>
      </c>
      <c r="J170" t="s">
        <v>59</v>
      </c>
      <c r="L170">
        <v>0</v>
      </c>
      <c r="M170">
        <f t="shared" si="19"/>
        <v>0</v>
      </c>
      <c r="N170" t="s">
        <v>60</v>
      </c>
      <c r="O170" t="str">
        <f t="shared" si="20"/>
        <v/>
      </c>
      <c r="P170" t="s">
        <v>60</v>
      </c>
      <c r="S170">
        <f t="shared" si="21"/>
        <v>0</v>
      </c>
      <c r="T170" t="str">
        <f>IF(NOT(ISNUMBER(S170)),"⬜  Sin dato PVE",IF(AND(COUNT(NORMALIZADO!BV170:BY170)&gt;=3,AQ170=7),IF(S170&lt;34,"🔴 Crítico",IF(S170&lt;67,"🟡 Vulnerable","🟢 Preparado")),"◐  Parcial · "&amp;AQ170&amp;"/7"))</f>
        <v>◐  Parcial · 1/7</v>
      </c>
      <c r="U170" s="53">
        <v>1</v>
      </c>
      <c r="V170" t="s">
        <v>61</v>
      </c>
      <c r="W170" t="str">
        <f>IF(NORMALIZADO!BV170="","",NORMALIZADO!BV170)</f>
        <v/>
      </c>
      <c r="X170" t="str">
        <f>IF(NORMALIZADO!BW170="","",NORMALIZADO!BW170)</f>
        <v/>
      </c>
      <c r="Y170" t="str">
        <f>IF(NORMALIZADO!BX170="","",NORMALIZADO!BX170)</f>
        <v/>
      </c>
      <c r="Z170" t="str">
        <f>IF(NORMALIZADO!BY170="","",NORMALIZADO!BY170)</f>
        <v/>
      </c>
      <c r="AO170" t="str">
        <f t="shared" si="22"/>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dato",IF(AND(COUNT(NORMALIZADO!BV170:BY170)&gt;=3,AQ170=7),"completo","parcial · "&amp;AQ170&amp;"/7 · D12-D15 "&amp;COUNT(NORMALIZADO!BV170:BY170)&amp;"/4"))</f>
        <v>parcial · 1/7 · D12-D15 0/4</v>
      </c>
      <c r="AU170" t="str">
        <f>IF(CAPTURA!N170&lt;&gt;"",ISNUMBER(SEARCH("Rainforest",CAPTURA!N170))+ISNUMBER(SEARCH("Fairtrade",CAPTURA!N170))+ISNUMBER(SEARCH("Org",CAPTURA!N170))+ISNUMBER(SEARCH("UTZ",CAPTURA!N170))+ISNUMBER(SEARCH("Otr",CAPTURA!N170)),IF(AND(H170="",I170=""),"",IF(H170="SI",1,0)+IF(I170="SI",1,0)))</f>
        <v/>
      </c>
      <c r="AV170" t="str">
        <f t="shared" si="23"/>
        <v/>
      </c>
    </row>
    <row r="171" spans="1:48" ht="16.05" customHeight="1" x14ac:dyDescent="0.3">
      <c r="A171" t="s">
        <v>425</v>
      </c>
      <c r="B171" t="s">
        <v>426</v>
      </c>
      <c r="C171" t="s">
        <v>131</v>
      </c>
      <c r="D171" t="s">
        <v>57</v>
      </c>
      <c r="G171" t="s">
        <v>66</v>
      </c>
      <c r="H171" t="s">
        <v>58</v>
      </c>
      <c r="I171" t="s">
        <v>66</v>
      </c>
      <c r="J171" t="s">
        <v>59</v>
      </c>
      <c r="K171" t="s">
        <v>397</v>
      </c>
      <c r="M171" t="str">
        <f t="shared" si="19"/>
        <v/>
      </c>
      <c r="N171" t="s">
        <v>60</v>
      </c>
      <c r="O171">
        <f t="shared" si="20"/>
        <v>0.6</v>
      </c>
      <c r="P171" t="s">
        <v>60</v>
      </c>
      <c r="Q171">
        <v>698</v>
      </c>
      <c r="R171">
        <v>921.1</v>
      </c>
      <c r="S171">
        <f t="shared" si="21"/>
        <v>52.9</v>
      </c>
      <c r="T171" t="str">
        <f>IF(NOT(ISNUMBER(S171)),"⬜  Sin dato PVE",IF(AND(COUNT(NORMALIZADO!BV171:BY171)&gt;=3,AQ171=7),IF(S171&lt;34,"🔴 Crítico",IF(S171&lt;67,"🟡 Vulnerable","🟢 Preparado")),"◐  Parcial · "&amp;AQ171&amp;"/7"))</f>
        <v>◐  Parcial · 2/7</v>
      </c>
      <c r="U171" s="53">
        <v>1</v>
      </c>
      <c r="V171" t="s">
        <v>61</v>
      </c>
      <c r="W171">
        <f>IF(NORMALIZADO!BV171="",1,NORMALIZADO!BV171)</f>
        <v>1</v>
      </c>
      <c r="X171" t="str">
        <f>IF(NORMALIZADO!BW171="","",NORMALIZADO!BW171)</f>
        <v/>
      </c>
      <c r="Y171" t="str">
        <f>IF(NORMALIZADO!BX171="","",NORMALIZADO!BX171)</f>
        <v/>
      </c>
      <c r="Z171" t="str">
        <f>IF(NORMALIZADO!BY171="","",NORMALIZADO!BY171)</f>
        <v/>
      </c>
      <c r="AO171" t="str">
        <f t="shared" si="22"/>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1539</v>
      </c>
      <c r="AS171" t="s">
        <v>1269</v>
      </c>
      <c r="AT171" t="str">
        <f>IF(NOT(ISNUMBER(AP171)),"sin dato",IF(AND(COUNT(NORMALIZADO!BV171:BY171)&gt;=3,AQ171=7),"completo","parcial · "&amp;AQ171&amp;"/7 · D12-D15 "&amp;COUNT(NORMALIZADO!BV171:BY171)&amp;"/4"))</f>
        <v>parcial · 2/7 · D12-D15 0/4</v>
      </c>
      <c r="AU171">
        <f>IF(CAPTURA!N171&lt;&gt;"",ISNUMBER(SEARCH("Rainforest",CAPTURA!N171))+ISNUMBER(SEARCH("Fairtrade",CAPTURA!N171))+ISNUMBER(SEARCH("Org",CAPTURA!N171))+ISNUMBER(SEARCH("UTZ",CAPTURA!N171))+ISNUMBER(SEARCH("Otr",CAPTURA!N171)),IF(AND(H171="",I171=""),"",IF(H171="SI",1,0)+IF(I171="SI",1,0)))</f>
        <v>1</v>
      </c>
      <c r="AV171">
        <f t="shared" si="23"/>
        <v>33</v>
      </c>
    </row>
    <row r="172" spans="1:48" ht="16.05" customHeight="1" x14ac:dyDescent="0.3">
      <c r="A172" t="s">
        <v>427</v>
      </c>
      <c r="B172" t="s">
        <v>428</v>
      </c>
      <c r="C172" t="s">
        <v>104</v>
      </c>
      <c r="D172" t="s">
        <v>57</v>
      </c>
      <c r="G172" t="s">
        <v>66</v>
      </c>
      <c r="J172" t="s">
        <v>59</v>
      </c>
      <c r="M172" t="str">
        <f t="shared" si="19"/>
        <v/>
      </c>
      <c r="N172" t="s">
        <v>60</v>
      </c>
      <c r="O172" t="str">
        <f t="shared" si="20"/>
        <v/>
      </c>
      <c r="P172" t="s">
        <v>60</v>
      </c>
      <c r="S172" t="str">
        <f t="shared" si="21"/>
        <v>—</v>
      </c>
      <c r="T172" t="str">
        <f>IF(NOT(ISNUMBER(S172)),"⬜  Sin dato PVE",IF(AND(COUNT(NORMALIZADO!BV172:BY172)&gt;=3,AQ172=7),IF(S172&lt;34,"🔴 Crítico",IF(S172&lt;67,"🟡 Vulnerable","🟢 Preparado")),"◐  Parcial · "&amp;AQ172&amp;"/7"))</f>
        <v>⬜  Sin dato PVE</v>
      </c>
      <c r="U172" s="53">
        <v>1</v>
      </c>
      <c r="V172" t="s">
        <v>61</v>
      </c>
      <c r="W172" t="str">
        <f>IF(NORMALIZADO!BV172="","",NORMALIZADO!BV172)</f>
        <v/>
      </c>
      <c r="X172" t="str">
        <f>IF(NORMALIZADO!BW172="","",NORMALIZADO!BW172)</f>
        <v/>
      </c>
      <c r="Y172" t="str">
        <f>IF(NORMALIZADO!BX172="","",NORMALIZADO!BX172)</f>
        <v/>
      </c>
      <c r="Z172" t="str">
        <f>IF(NORMALIZADO!BY172="","",NORMALIZADO!BY172)</f>
        <v/>
      </c>
      <c r="AO172" t="str">
        <f t="shared" si="22"/>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dato",IF(AND(COUNT(NORMALIZADO!BV172:BY172)&gt;=3,AQ172=7),"completo","parcial · "&amp;AQ172&amp;"/7 · D12-D15 "&amp;COUNT(NORMALIZADO!BV172:BY172)&amp;"/4"))</f>
        <v>sin dato</v>
      </c>
      <c r="AU172" t="str">
        <f>IF(CAPTURA!N172&lt;&gt;"",ISNUMBER(SEARCH("Rainforest",CAPTURA!N172))+ISNUMBER(SEARCH("Fairtrade",CAPTURA!N172))+ISNUMBER(SEARCH("Org",CAPTURA!N172))+ISNUMBER(SEARCH("UTZ",CAPTURA!N172))+ISNUMBER(SEARCH("Otr",CAPTURA!N172)),IF(AND(H172="",I172=""),"",IF(H172="SI",1,0)+IF(I172="SI",1,0)))</f>
        <v/>
      </c>
      <c r="AV172" t="str">
        <f t="shared" si="23"/>
        <v/>
      </c>
    </row>
    <row r="173" spans="1:48" ht="16.05" customHeight="1" x14ac:dyDescent="0.3">
      <c r="A173" t="s">
        <v>429</v>
      </c>
      <c r="B173" t="s">
        <v>430</v>
      </c>
      <c r="C173" t="s">
        <v>171</v>
      </c>
      <c r="D173" t="s">
        <v>57</v>
      </c>
      <c r="G173" t="s">
        <v>66</v>
      </c>
      <c r="J173" t="s">
        <v>116</v>
      </c>
      <c r="M173" t="str">
        <f t="shared" si="19"/>
        <v/>
      </c>
      <c r="N173" t="s">
        <v>60</v>
      </c>
      <c r="O173" t="str">
        <f t="shared" si="20"/>
        <v/>
      </c>
      <c r="P173" t="s">
        <v>60</v>
      </c>
      <c r="S173" t="str">
        <f t="shared" si="21"/>
        <v>—</v>
      </c>
      <c r="T173" t="str">
        <f>IF(NOT(ISNUMBER(S173)),"⬜  Sin dato PVE",IF(AND(COUNT(NORMALIZADO!BV173:BY173)&gt;=3,AQ173=7),IF(S173&lt;34,"🔴 Crítico",IF(S173&lt;67,"🟡 Vulnerable","🟢 Preparado")),"◐  Parcial · "&amp;AQ173&amp;"/7"))</f>
        <v>⬜  Sin dato PVE</v>
      </c>
      <c r="U173" s="53">
        <v>1</v>
      </c>
      <c r="V173" t="s">
        <v>61</v>
      </c>
      <c r="W173" t="str">
        <f>IF(NORMALIZADO!BV173="","",NORMALIZADO!BV173)</f>
        <v/>
      </c>
      <c r="X173" t="str">
        <f>IF(NORMALIZADO!BW173="","",NORMALIZADO!BW173)</f>
        <v/>
      </c>
      <c r="Y173" t="str">
        <f>IF(NORMALIZADO!BX173="","",NORMALIZADO!BX173)</f>
        <v/>
      </c>
      <c r="Z173" t="str">
        <f>IF(NORMALIZADO!BY173="","",NORMALIZADO!BY173)</f>
        <v/>
      </c>
      <c r="AO173" t="str">
        <f t="shared" si="22"/>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dato",IF(AND(COUNT(NORMALIZADO!BV173:BY173)&gt;=3,AQ173=7),"completo","parcial · "&amp;AQ173&amp;"/7 · D12-D15 "&amp;COUNT(NORMALIZADO!BV173:BY173)&amp;"/4"))</f>
        <v>sin dato</v>
      </c>
      <c r="AU173" t="str">
        <f>IF(CAPTURA!N173&lt;&gt;"",ISNUMBER(SEARCH("Rainforest",CAPTURA!N173))+ISNUMBER(SEARCH("Fairtrade",CAPTURA!N173))+ISNUMBER(SEARCH("Org",CAPTURA!N173))+ISNUMBER(SEARCH("UTZ",CAPTURA!N173))+ISNUMBER(SEARCH("Otr",CAPTURA!N173)),IF(AND(H173="",I173=""),"",IF(H173="SI",1,0)+IF(I173="SI",1,0)))</f>
        <v/>
      </c>
      <c r="AV173" t="str">
        <f t="shared" si="23"/>
        <v/>
      </c>
    </row>
    <row r="174" spans="1:48" ht="16.05" customHeight="1" x14ac:dyDescent="0.3">
      <c r="A174" t="s">
        <v>431</v>
      </c>
      <c r="C174" t="s">
        <v>432</v>
      </c>
      <c r="M174" t="str">
        <f t="shared" si="19"/>
        <v/>
      </c>
      <c r="N174" t="s">
        <v>60</v>
      </c>
      <c r="O174" t="str">
        <f t="shared" si="20"/>
        <v/>
      </c>
      <c r="P174" t="s">
        <v>60</v>
      </c>
      <c r="S174" t="str">
        <f t="shared" si="21"/>
        <v>—</v>
      </c>
      <c r="T174" t="str">
        <f>IF(NOT(ISNUMBER(S174)),"⬜  Sin dato PVE",IF(AND(COUNT(NORMALIZADO!BV174:BY174)&gt;=3,AQ174=7),IF(S174&lt;34,"🔴 Crítico",IF(S174&lt;67,"🟡 Vulnerable","🟢 Preparado")),"◐  Parcial · "&amp;AQ174&amp;"/7"))</f>
        <v>⬜  Sin dato PVE</v>
      </c>
      <c r="U174" s="53">
        <v>1</v>
      </c>
      <c r="V174" t="s">
        <v>61</v>
      </c>
      <c r="W174" t="str">
        <f>IF(NORMALIZADO!BV174="","",NORMALIZADO!BV174)</f>
        <v/>
      </c>
      <c r="X174" t="str">
        <f>IF(NORMALIZADO!BW174="","",NORMALIZADO!BW174)</f>
        <v/>
      </c>
      <c r="Y174" t="str">
        <f>IF(NORMALIZADO!BX174="","",NORMALIZADO!BX174)</f>
        <v/>
      </c>
      <c r="Z174" t="str">
        <f>IF(NORMALIZADO!BY174="","",NORMALIZADO!BY174)</f>
        <v/>
      </c>
      <c r="AO174" t="str">
        <f t="shared" si="22"/>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dato",IF(AND(COUNT(NORMALIZADO!BV174:BY174)&gt;=3,AQ174=7),"completo","parcial · "&amp;AQ174&amp;"/7 · D12-D15 "&amp;COUNT(NORMALIZADO!BV174:BY174)&amp;"/4"))</f>
        <v>sin dato</v>
      </c>
      <c r="AU174" t="str">
        <f>IF(CAPTURA!N174&lt;&gt;"",ISNUMBER(SEARCH("Rainforest",CAPTURA!N174))+ISNUMBER(SEARCH("Fairtrade",CAPTURA!N174))+ISNUMBER(SEARCH("Org",CAPTURA!N174))+ISNUMBER(SEARCH("UTZ",CAPTURA!N174))+ISNUMBER(SEARCH("Otr",CAPTURA!N174)),IF(AND(H174="",I174=""),"",IF(H174="SI",1,0)+IF(I174="SI",1,0)))</f>
        <v/>
      </c>
      <c r="AV174" t="str">
        <f t="shared" si="23"/>
        <v/>
      </c>
    </row>
    <row r="175" spans="1:48" ht="16.05" customHeight="1" x14ac:dyDescent="0.3">
      <c r="A175" t="s">
        <v>433</v>
      </c>
      <c r="B175" t="s">
        <v>434</v>
      </c>
      <c r="C175" t="s">
        <v>101</v>
      </c>
      <c r="D175" t="s">
        <v>65</v>
      </c>
      <c r="E175">
        <v>7723335.0299999993</v>
      </c>
      <c r="F175">
        <v>17</v>
      </c>
      <c r="G175" t="s">
        <v>58</v>
      </c>
      <c r="J175" t="s">
        <v>59</v>
      </c>
      <c r="L175">
        <v>3861667.52</v>
      </c>
      <c r="M175">
        <f t="shared" si="19"/>
        <v>50</v>
      </c>
      <c r="N175" t="s">
        <v>60</v>
      </c>
      <c r="O175" t="str">
        <f t="shared" si="20"/>
        <v/>
      </c>
      <c r="P175" t="s">
        <v>60</v>
      </c>
      <c r="S175">
        <f t="shared" si="21"/>
        <v>50</v>
      </c>
      <c r="T175" t="str">
        <f>IF(NOT(ISNUMBER(S175)),"⬜  Sin dato PVE",IF(AND(COUNT(NORMALIZADO!BV175:BY175)&gt;=3,AQ175=7),IF(S175&lt;34,"🔴 Crítico",IF(S175&lt;67,"🟡 Vulnerable","🟢 Preparado")),"◐  Parcial · "&amp;AQ175&amp;"/7"))</f>
        <v>◐  Parcial · 2/7</v>
      </c>
      <c r="U175" s="53">
        <v>1</v>
      </c>
      <c r="V175" t="s">
        <v>61</v>
      </c>
      <c r="W175">
        <f>IF(NORMALIZADO!BV175="",1,NORMALIZADO!BV175)</f>
        <v>1</v>
      </c>
      <c r="X175" t="str">
        <f>IF(NORMALIZADO!BW175="","",NORMALIZADO!BW175)</f>
        <v/>
      </c>
      <c r="Y175" t="str">
        <f>IF(NORMALIZADO!BX175="","",NORMALIZADO!BX175)</f>
        <v/>
      </c>
      <c r="Z175" t="str">
        <f>IF(NORMALIZADO!BY175="","",NORMALIZADO!BY175)</f>
        <v/>
      </c>
      <c r="AO175" t="str">
        <f t="shared" si="22"/>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dato",IF(AND(COUNT(NORMALIZADO!BV175:BY175)&gt;=3,AQ175=7),"completo","parcial · "&amp;AQ175&amp;"/7 · D12-D15 "&amp;COUNT(NORMALIZADO!BV175:BY175)&amp;"/4"))</f>
        <v>parcial · 2/7 · D12-D15 0/4</v>
      </c>
      <c r="AU175" t="str">
        <f>IF(CAPTURA!N175&lt;&gt;"",ISNUMBER(SEARCH("Rainforest",CAPTURA!N175))+ISNUMBER(SEARCH("Fairtrade",CAPTURA!N175))+ISNUMBER(SEARCH("Org",CAPTURA!N175))+ISNUMBER(SEARCH("UTZ",CAPTURA!N175))+ISNUMBER(SEARCH("Otr",CAPTURA!N175)),IF(AND(H175="",I175=""),"",IF(H175="SI",1,0)+IF(I175="SI",1,0)))</f>
        <v/>
      </c>
      <c r="AV175" t="str">
        <f t="shared" si="23"/>
        <v/>
      </c>
    </row>
    <row r="176" spans="1:48" ht="16.05" customHeight="1" x14ac:dyDescent="0.3">
      <c r="A176" t="s">
        <v>435</v>
      </c>
      <c r="B176" t="s">
        <v>436</v>
      </c>
      <c r="C176" t="s">
        <v>104</v>
      </c>
      <c r="D176" t="s">
        <v>57</v>
      </c>
      <c r="E176">
        <v>300233.07</v>
      </c>
      <c r="F176">
        <v>2</v>
      </c>
      <c r="G176" t="s">
        <v>58</v>
      </c>
      <c r="J176" t="s">
        <v>59</v>
      </c>
      <c r="L176">
        <v>0</v>
      </c>
      <c r="M176">
        <f t="shared" si="19"/>
        <v>0</v>
      </c>
      <c r="N176" t="s">
        <v>60</v>
      </c>
      <c r="O176" t="str">
        <f t="shared" si="20"/>
        <v/>
      </c>
      <c r="P176" t="s">
        <v>60</v>
      </c>
      <c r="S176">
        <f t="shared" si="21"/>
        <v>0</v>
      </c>
      <c r="T176" t="str">
        <f>IF(NOT(ISNUMBER(S176)),"⬜  Sin dato PVE",IF(AND(COUNT(NORMALIZADO!BV176:BY176)&gt;=3,AQ176=7),IF(S176&lt;34,"🔴 Crítico",IF(S176&lt;67,"🟡 Vulnerable","🟢 Preparado")),"◐  Parcial · "&amp;AQ176&amp;"/7"))</f>
        <v>◐  Parcial · 1/7</v>
      </c>
      <c r="U176" s="53">
        <v>1</v>
      </c>
      <c r="V176" t="s">
        <v>61</v>
      </c>
      <c r="W176" t="str">
        <f>IF(NORMALIZADO!BV176="","",NORMALIZADO!BV176)</f>
        <v/>
      </c>
      <c r="X176" t="str">
        <f>IF(NORMALIZADO!BW176="","",NORMALIZADO!BW176)</f>
        <v/>
      </c>
      <c r="Y176" t="str">
        <f>IF(NORMALIZADO!BX176="","",NORMALIZADO!BX176)</f>
        <v/>
      </c>
      <c r="Z176" t="str">
        <f>IF(NORMALIZADO!BY176="","",NORMALIZADO!BY176)</f>
        <v/>
      </c>
      <c r="AO176" t="str">
        <f t="shared" si="22"/>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dato",IF(AND(COUNT(NORMALIZADO!BV176:BY176)&gt;=3,AQ176=7),"completo","parcial · "&amp;AQ176&amp;"/7 · D12-D15 "&amp;COUNT(NORMALIZADO!BV176:BY176)&amp;"/4"))</f>
        <v>parcial · 1/7 · D12-D15 0/4</v>
      </c>
      <c r="AU176" t="str">
        <f>IF(CAPTURA!N176&lt;&gt;"",ISNUMBER(SEARCH("Rainforest",CAPTURA!N176))+ISNUMBER(SEARCH("Fairtrade",CAPTURA!N176))+ISNUMBER(SEARCH("Org",CAPTURA!N176))+ISNUMBER(SEARCH("UTZ",CAPTURA!N176))+ISNUMBER(SEARCH("Otr",CAPTURA!N176)),IF(AND(H176="",I176=""),"",IF(H176="SI",1,0)+IF(I176="SI",1,0)))</f>
        <v/>
      </c>
      <c r="AV176" t="str">
        <f t="shared" si="23"/>
        <v/>
      </c>
    </row>
    <row r="179" spans="1:6" ht="16.05" customHeight="1" x14ac:dyDescent="0.3">
      <c r="A179" s="70" t="s">
        <v>1540</v>
      </c>
      <c r="B179" s="70"/>
      <c r="C179" s="70"/>
      <c r="D179" s="70"/>
      <c r="E179" s="70"/>
      <c r="F179" s="70"/>
    </row>
    <row r="180" spans="1:6" ht="46.05" customHeight="1" x14ac:dyDescent="0.3">
      <c r="A180" s="67" t="s">
        <v>1614</v>
      </c>
      <c r="B180" s="67"/>
      <c r="C180" s="67"/>
      <c r="D180" s="67"/>
      <c r="E180" s="67"/>
      <c r="F180" s="67"/>
    </row>
    <row r="182" spans="1:6" ht="16.05" customHeight="1" x14ac:dyDescent="0.3">
      <c r="A182" s="70" t="s">
        <v>1580</v>
      </c>
      <c r="B182" s="70"/>
      <c r="C182" s="70"/>
      <c r="D182" s="70"/>
      <c r="E182" s="70"/>
      <c r="F182" s="70"/>
    </row>
    <row r="183" spans="1:6" ht="46.05" customHeight="1" x14ac:dyDescent="0.3">
      <c r="A183" s="67" t="s">
        <v>1581</v>
      </c>
      <c r="B183" s="67"/>
      <c r="C183" s="67"/>
      <c r="D183" s="67"/>
      <c r="E183" s="67"/>
      <c r="F183" s="67"/>
    </row>
    <row r="185" spans="1:6" ht="16.05" customHeight="1" x14ac:dyDescent="0.3">
      <c r="A185" s="77" t="s">
        <v>1575</v>
      </c>
      <c r="B185" s="66"/>
      <c r="C185" s="66"/>
      <c r="D185" s="66"/>
    </row>
    <row r="186" spans="1:6" ht="78" customHeight="1" x14ac:dyDescent="0.3">
      <c r="A186" s="66" t="s">
        <v>1576</v>
      </c>
      <c r="B186" s="66"/>
      <c r="C186" s="66"/>
      <c r="D186" s="66"/>
    </row>
    <row r="188" spans="1:6" x14ac:dyDescent="0.3">
      <c r="A188" t="s">
        <v>1594</v>
      </c>
    </row>
    <row r="189" spans="1:6" x14ac:dyDescent="0.3">
      <c r="A189" t="s">
        <v>1595</v>
      </c>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1004</v>
      </c>
      <c r="B1" s="65"/>
      <c r="C1" s="65"/>
      <c r="D1" s="65"/>
      <c r="E1" s="65"/>
      <c r="F1" s="65"/>
      <c r="G1" s="65"/>
      <c r="H1" s="65"/>
      <c r="I1" s="65"/>
      <c r="J1" s="65"/>
      <c r="K1" s="65"/>
      <c r="L1" s="65"/>
      <c r="M1" s="65"/>
      <c r="N1" s="65"/>
      <c r="O1" s="65"/>
    </row>
    <row r="2" spans="1:16" ht="22.05" customHeight="1" x14ac:dyDescent="0.3">
      <c r="A2" t="s">
        <v>20</v>
      </c>
      <c r="B2" t="s">
        <v>885</v>
      </c>
      <c r="C2" t="s">
        <v>1005</v>
      </c>
      <c r="D2" t="s">
        <v>1006</v>
      </c>
      <c r="E2" t="s">
        <v>1615</v>
      </c>
      <c r="F2" t="s">
        <v>31</v>
      </c>
      <c r="G2" t="s">
        <v>32</v>
      </c>
      <c r="H2" t="s">
        <v>1007</v>
      </c>
      <c r="I2" t="s">
        <v>1008</v>
      </c>
      <c r="J2" t="s">
        <v>1009</v>
      </c>
      <c r="K2" t="s">
        <v>1010</v>
      </c>
      <c r="L2" t="s">
        <v>1011</v>
      </c>
      <c r="M2" t="s">
        <v>954</v>
      </c>
      <c r="N2" t="s">
        <v>1012</v>
      </c>
      <c r="O2" t="s">
        <v>1013</v>
      </c>
      <c r="P2" t="s">
        <v>1014</v>
      </c>
    </row>
    <row r="3" spans="1:16" ht="16.05" customHeight="1" x14ac:dyDescent="0.3">
      <c r="A3" t="s">
        <v>54</v>
      </c>
      <c r="B3" t="s">
        <v>55</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IF(MATRIZ_174!O3="","",MATRIZ_174!O3)</f>
        <v/>
      </c>
      <c r="N3" t="str">
        <f>IFERROR(ISCAM_Score!AC4,"")</f>
        <v>⬜  Pendiente de instrumento</v>
      </c>
      <c r="O3" t="s">
        <v>56</v>
      </c>
      <c r="P3" t="str">
        <f>IFERROR(INDEX(MATRIZ_174!$C:$C,MATCH(A3,MATRIZ_174!$A:$A,0)),"")</f>
        <v>PUNO</v>
      </c>
    </row>
    <row r="4" spans="1:16" ht="16.05" customHeight="1" x14ac:dyDescent="0.3">
      <c r="A4" t="s">
        <v>62</v>
      </c>
      <c r="B4" t="s">
        <v>63</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IF(MATRIZ_174!O4="","",MATRIZ_174!O4)</f>
        <v/>
      </c>
      <c r="N4" t="str">
        <f>IFERROR(ISCAM_Score!AC5,"")</f>
        <v>⬜  Pendiente de instrumento</v>
      </c>
      <c r="O4" t="s">
        <v>64</v>
      </c>
      <c r="P4" t="str">
        <f>IFERROR(INDEX(MATRIZ_174!$C:$C,MATCH(A4,MATRIZ_174!$A:$A,0)),"")</f>
        <v>AYACUCHO</v>
      </c>
    </row>
    <row r="5" spans="1:16" ht="16.05" customHeight="1" x14ac:dyDescent="0.3">
      <c r="A5" t="s">
        <v>67</v>
      </c>
      <c r="B5" t="s">
        <v>68</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IF(MATRIZ_174!O5="","",MATRIZ_174!O5)</f>
        <v/>
      </c>
      <c r="N5" t="str">
        <f>IFERROR(ISCAM_Score!AC6,"")</f>
        <v>⬜  Pendiente de instrumento</v>
      </c>
      <c r="O5" t="s">
        <v>69</v>
      </c>
      <c r="P5" t="str">
        <f>IFERROR(INDEX(MATRIZ_174!$C:$C,MATCH(A5,MATRIZ_174!$A:$A,0)),"")</f>
        <v>JUNIN</v>
      </c>
    </row>
    <row r="6" spans="1:16" ht="16.05" customHeight="1" x14ac:dyDescent="0.3">
      <c r="A6" t="s">
        <v>70</v>
      </c>
      <c r="B6" t="s">
        <v>71</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IF(MATRIZ_174!O6="","",MATRIZ_174!O6)</f>
        <v>0.6</v>
      </c>
      <c r="N6" t="str">
        <f>IFERROR(ISCAM_Score!AC7,"")</f>
        <v>⬜  Pendiente de instrumento</v>
      </c>
      <c r="O6" t="s">
        <v>72</v>
      </c>
      <c r="P6" t="str">
        <f>IFERROR(INDEX(MATRIZ_174!$C:$C,MATCH(A6,MATRIZ_174!$A:$A,0)),"")</f>
        <v>CUSCO</v>
      </c>
    </row>
    <row r="7" spans="1:16" ht="16.05" customHeight="1" x14ac:dyDescent="0.3">
      <c r="A7" t="s">
        <v>73</v>
      </c>
      <c r="B7" t="s">
        <v>74</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IF(MATRIZ_174!O7="","",MATRIZ_174!O7)</f>
        <v>1</v>
      </c>
      <c r="N7" t="str">
        <f>IFERROR(ISCAM_Score!AC8,"")</f>
        <v>⬜  Pendiente de instrumento</v>
      </c>
      <c r="O7" t="s">
        <v>72</v>
      </c>
      <c r="P7" t="str">
        <f>IFERROR(INDEX(MATRIZ_174!$C:$C,MATCH(A7,MATRIZ_174!$A:$A,0)),"")</f>
        <v>CUSCO</v>
      </c>
    </row>
    <row r="8" spans="1:16" ht="16.05" customHeight="1" x14ac:dyDescent="0.3">
      <c r="A8" t="s">
        <v>76</v>
      </c>
      <c r="B8" t="s">
        <v>77</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IF(MATRIZ_174!O8="","",MATRIZ_174!O8)</f>
        <v/>
      </c>
      <c r="N8" t="str">
        <f>IFERROR(ISCAM_Score!AC9,"")</f>
        <v>⬜  Pendiente de instrumento</v>
      </c>
      <c r="O8" t="s">
        <v>72</v>
      </c>
      <c r="P8" t="str">
        <f>IFERROR(INDEX(MATRIZ_174!$C:$C,MATCH(A8,MATRIZ_174!$A:$A,0)),"")</f>
        <v>CUSCO</v>
      </c>
    </row>
    <row r="9" spans="1:16" ht="16.05" customHeight="1" x14ac:dyDescent="0.3">
      <c r="A9" t="s">
        <v>78</v>
      </c>
      <c r="B9" t="s">
        <v>79</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IF(MATRIZ_174!O9="","",MATRIZ_174!O9)</f>
        <v/>
      </c>
      <c r="N9" t="str">
        <f>IFERROR(ISCAM_Score!AC10,"")</f>
        <v>⬜  Pendiente de instrumento</v>
      </c>
      <c r="O9" t="s">
        <v>72</v>
      </c>
      <c r="P9" t="str">
        <f>IFERROR(INDEX(MATRIZ_174!$C:$C,MATCH(A9,MATRIZ_174!$A:$A,0)),"")</f>
        <v>CUSCO</v>
      </c>
    </row>
    <row r="10" spans="1:16" ht="16.05" customHeight="1" x14ac:dyDescent="0.3">
      <c r="A10" t="s">
        <v>80</v>
      </c>
      <c r="B10" t="s">
        <v>81</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IF(MATRIZ_174!O10="","",MATRIZ_174!O10)</f>
        <v>1</v>
      </c>
      <c r="N10" t="str">
        <f>IFERROR(ISCAM_Score!AC11,"")</f>
        <v>⬜  Pendiente de instrumento</v>
      </c>
      <c r="O10" t="s">
        <v>72</v>
      </c>
      <c r="P10" t="str">
        <f>IFERROR(INDEX(MATRIZ_174!$C:$C,MATCH(A10,MATRIZ_174!$A:$A,0)),"")</f>
        <v>CUSCO</v>
      </c>
    </row>
    <row r="11" spans="1:16" ht="16.05" customHeight="1" x14ac:dyDescent="0.3">
      <c r="A11" t="s">
        <v>82</v>
      </c>
      <c r="B11" t="s">
        <v>83</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IF(MATRIZ_174!O11="","",MATRIZ_174!O11)</f>
        <v/>
      </c>
      <c r="N11" t="str">
        <f>IFERROR(ISCAM_Score!AC12,"")</f>
        <v>⬜  Pendiente de instrumento</v>
      </c>
      <c r="O11" t="s">
        <v>72</v>
      </c>
      <c r="P11" t="str">
        <f>IFERROR(INDEX(MATRIZ_174!$C:$C,MATCH(A11,MATRIZ_174!$A:$A,0)),"")</f>
        <v>CUSCO</v>
      </c>
    </row>
    <row r="12" spans="1:16" ht="16.05" customHeight="1" x14ac:dyDescent="0.3">
      <c r="A12" t="s">
        <v>84</v>
      </c>
      <c r="B12" t="s">
        <v>85</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IF(MATRIZ_174!O12="","",MATRIZ_174!O12)</f>
        <v>1</v>
      </c>
      <c r="N12" t="str">
        <f>IFERROR(ISCAM_Score!AC13,"")</f>
        <v>⬜  Pendiente de instrumento</v>
      </c>
      <c r="O12" t="s">
        <v>72</v>
      </c>
      <c r="P12" t="str">
        <f>IFERROR(INDEX(MATRIZ_174!$C:$C,MATCH(A12,MATRIZ_174!$A:$A,0)),"")</f>
        <v>CUSCO</v>
      </c>
    </row>
    <row r="13" spans="1:16" ht="16.05" customHeight="1" x14ac:dyDescent="0.3">
      <c r="A13" t="s">
        <v>87</v>
      </c>
      <c r="B13" t="s">
        <v>88</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IF(MATRIZ_174!O13="","",MATRIZ_174!O13)</f>
        <v>0.6</v>
      </c>
      <c r="N13" t="str">
        <f>IFERROR(ISCAM_Score!AC14,"")</f>
        <v>⬜  Pendiente de instrumento</v>
      </c>
      <c r="O13" t="s">
        <v>72</v>
      </c>
      <c r="P13" t="str">
        <f>IFERROR(INDEX(MATRIZ_174!$C:$C,MATCH(A13,MATRIZ_174!$A:$A,0)),"")</f>
        <v>CUSCO</v>
      </c>
    </row>
    <row r="14" spans="1:16" ht="16.05" customHeight="1" x14ac:dyDescent="0.3">
      <c r="A14" t="s">
        <v>89</v>
      </c>
      <c r="B14" t="s">
        <v>90</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IF(MATRIZ_174!O14="","",MATRIZ_174!O14)</f>
        <v/>
      </c>
      <c r="N14" t="str">
        <f>IFERROR(ISCAM_Score!AC15,"")</f>
        <v>⬜  Pendiente de instrumento</v>
      </c>
      <c r="O14" t="s">
        <v>64</v>
      </c>
      <c r="P14" t="str">
        <f>IFERROR(INDEX(MATRIZ_174!$C:$C,MATCH(A14,MATRIZ_174!$A:$A,0)),"")</f>
        <v>AYACUCHO</v>
      </c>
    </row>
    <row r="15" spans="1:16" ht="16.05" customHeight="1" x14ac:dyDescent="0.3">
      <c r="A15" t="s">
        <v>91</v>
      </c>
      <c r="B15" t="s">
        <v>92</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IF(MATRIZ_174!O15="","",MATRIZ_174!O15)</f>
        <v/>
      </c>
      <c r="N15" t="str">
        <f>IFERROR(ISCAM_Score!AC16,"")</f>
        <v>⬜  Pendiente de instrumento</v>
      </c>
      <c r="O15" t="s">
        <v>56</v>
      </c>
      <c r="P15" t="str">
        <f>IFERROR(INDEX(MATRIZ_174!$C:$C,MATCH(A15,MATRIZ_174!$A:$A,0)),"")</f>
        <v>PUNO</v>
      </c>
    </row>
    <row r="16" spans="1:16" ht="16.05" customHeight="1" x14ac:dyDescent="0.3">
      <c r="A16" t="s">
        <v>93</v>
      </c>
      <c r="B16" t="s">
        <v>94</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IF(MATRIZ_174!O16="","",MATRIZ_174!O16)</f>
        <v/>
      </c>
      <c r="N16" t="str">
        <f>IFERROR(ISCAM_Score!AC17,"")</f>
        <v>⬜  Pendiente de instrumento</v>
      </c>
      <c r="O16" t="s">
        <v>95</v>
      </c>
      <c r="P16" t="str">
        <f>IFERROR(INDEX(MATRIZ_174!$C:$C,MATCH(A16,MATRIZ_174!$A:$A,0)),"")</f>
        <v>PIURA</v>
      </c>
    </row>
    <row r="17" spans="1:16" ht="16.05" customHeight="1" x14ac:dyDescent="0.3">
      <c r="A17" t="s">
        <v>96</v>
      </c>
      <c r="B17" t="s">
        <v>97</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IF(MATRIZ_174!O17="","",MATRIZ_174!O17)</f>
        <v>0.6</v>
      </c>
      <c r="N17" t="str">
        <f>IFERROR(ISCAM_Score!AC18,"")</f>
        <v>⬜  Pendiente de instrumento</v>
      </c>
      <c r="O17" t="s">
        <v>72</v>
      </c>
      <c r="P17" t="str">
        <f>IFERROR(INDEX(MATRIZ_174!$C:$C,MATCH(A17,MATRIZ_174!$A:$A,0)),"")</f>
        <v>CUSCO</v>
      </c>
    </row>
    <row r="18" spans="1:16" ht="16.05" customHeight="1" x14ac:dyDescent="0.3">
      <c r="A18" t="s">
        <v>99</v>
      </c>
      <c r="B18" t="s">
        <v>100</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IF(MATRIZ_174!O18="","",MATRIZ_174!O18)</f>
        <v/>
      </c>
      <c r="N18" t="str">
        <f>IFERROR(ISCAM_Score!AC19,"")</f>
        <v>⬜  Pendiente de instrumento</v>
      </c>
      <c r="O18" t="s">
        <v>101</v>
      </c>
      <c r="P18" t="str">
        <f>IFERROR(INDEX(MATRIZ_174!$C:$C,MATCH(A18,MATRIZ_174!$A:$A,0)),"")</f>
        <v>UCAYALI</v>
      </c>
    </row>
    <row r="19" spans="1:16" ht="16.05" customHeight="1" x14ac:dyDescent="0.3">
      <c r="A19" t="s">
        <v>102</v>
      </c>
      <c r="B19" t="s">
        <v>103</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IF(MATRIZ_174!O19="","",MATRIZ_174!O19)</f>
        <v/>
      </c>
      <c r="N19" t="str">
        <f>IFERROR(ISCAM_Score!AC20,"")</f>
        <v>⬜  Pendiente de instrumento</v>
      </c>
      <c r="O19" t="s">
        <v>104</v>
      </c>
      <c r="P19" t="str">
        <f>IFERROR(INDEX(MATRIZ_174!$C:$C,MATCH(A19,MATRIZ_174!$A:$A,0)),"")</f>
        <v>AMAZONAS</v>
      </c>
    </row>
    <row r="20" spans="1:16" ht="16.05" customHeight="1" x14ac:dyDescent="0.3">
      <c r="A20" t="s">
        <v>105</v>
      </c>
      <c r="B20" t="s">
        <v>106</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IF(MATRIZ_174!O20="","",MATRIZ_174!O20)</f>
        <v>0.6</v>
      </c>
      <c r="N20" t="str">
        <f>IFERROR(ISCAM_Score!AC21,"")</f>
        <v>⬜  Pendiente de instrumento</v>
      </c>
      <c r="O20" t="s">
        <v>72</v>
      </c>
      <c r="P20" t="str">
        <f>IFERROR(INDEX(MATRIZ_174!$C:$C,MATCH(A20,MATRIZ_174!$A:$A,0)),"")</f>
        <v>CUSCO</v>
      </c>
    </row>
    <row r="21" spans="1:16" ht="16.05" customHeight="1" x14ac:dyDescent="0.3">
      <c r="A21" t="s">
        <v>107</v>
      </c>
      <c r="B21" t="s">
        <v>108</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IF(MATRIZ_174!O21="","",MATRIZ_174!O21)</f>
        <v/>
      </c>
      <c r="N21" t="str">
        <f>IFERROR(ISCAM_Score!AC22,"")</f>
        <v>⬜  Pendiente de instrumento</v>
      </c>
      <c r="O21" t="s">
        <v>101</v>
      </c>
      <c r="P21" t="str">
        <f>IFERROR(INDEX(MATRIZ_174!$C:$C,MATCH(A21,MATRIZ_174!$A:$A,0)),"")</f>
        <v>UCAYALI</v>
      </c>
    </row>
    <row r="22" spans="1:16" ht="16.05" customHeight="1" x14ac:dyDescent="0.3">
      <c r="A22" t="s">
        <v>109</v>
      </c>
      <c r="B22" t="s">
        <v>110</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IF(MATRIZ_174!O22="","",MATRIZ_174!O22)</f>
        <v/>
      </c>
      <c r="N22" t="str">
        <f>IFERROR(ISCAM_Score!AC23,"")</f>
        <v>⬜  Pendiente de instrumento</v>
      </c>
      <c r="O22" t="s">
        <v>111</v>
      </c>
      <c r="P22" t="str">
        <f>IFERROR(INDEX(MATRIZ_174!$C:$C,MATCH(A22,MATRIZ_174!$A:$A,0)),"")</f>
        <v>HUANUCO</v>
      </c>
    </row>
    <row r="23" spans="1:16" ht="16.05" customHeight="1" x14ac:dyDescent="0.3">
      <c r="A23" t="s">
        <v>112</v>
      </c>
      <c r="B23" t="s">
        <v>113</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IF(MATRIZ_174!O23="","",MATRIZ_174!O23)</f>
        <v/>
      </c>
      <c r="N23" t="str">
        <f>IFERROR(ISCAM_Score!AC24,"")</f>
        <v>⬜  Pendiente de instrumento</v>
      </c>
      <c r="O23" t="s">
        <v>101</v>
      </c>
      <c r="P23" t="str">
        <f>IFERROR(INDEX(MATRIZ_174!$C:$C,MATCH(A23,MATRIZ_174!$A:$A,0)),"")</f>
        <v>UCAYALI</v>
      </c>
    </row>
    <row r="24" spans="1:16" ht="16.05" customHeight="1" x14ac:dyDescent="0.3">
      <c r="A24" t="s">
        <v>114</v>
      </c>
      <c r="B24" t="s">
        <v>115</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IF(MATRIZ_174!O24="","",MATRIZ_174!O24)</f>
        <v/>
      </c>
      <c r="N24" t="str">
        <f>IFERROR(ISCAM_Score!AC25,"")</f>
        <v>⬜  Pendiente de instrumento</v>
      </c>
      <c r="O24" t="s">
        <v>101</v>
      </c>
      <c r="P24" t="str">
        <f>IFERROR(INDEX(MATRIZ_174!$C:$C,MATCH(A24,MATRIZ_174!$A:$A,0)),"")</f>
        <v>UCAYALI</v>
      </c>
    </row>
    <row r="25" spans="1:16" ht="16.05" customHeight="1" x14ac:dyDescent="0.3">
      <c r="A25" t="s">
        <v>117</v>
      </c>
      <c r="B25" t="s">
        <v>118</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IF(MATRIZ_174!O25="","",MATRIZ_174!O25)</f>
        <v/>
      </c>
      <c r="N25" t="str">
        <f>IFERROR(ISCAM_Score!AC26,"")</f>
        <v>⬜  Pendiente de instrumento</v>
      </c>
      <c r="O25" t="s">
        <v>101</v>
      </c>
      <c r="P25" t="str">
        <f>IFERROR(INDEX(MATRIZ_174!$C:$C,MATCH(A25,MATRIZ_174!$A:$A,0)),"")</f>
        <v>UCAYALI</v>
      </c>
    </row>
    <row r="26" spans="1:16" ht="16.05" customHeight="1" x14ac:dyDescent="0.3">
      <c r="A26" t="s">
        <v>119</v>
      </c>
      <c r="B26" t="s">
        <v>120</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IF(MATRIZ_174!O26="","",MATRIZ_174!O26)</f>
        <v/>
      </c>
      <c r="N26" t="str">
        <f>IFERROR(ISCAM_Score!AC27,"")</f>
        <v>⬜  Pendiente de instrumento</v>
      </c>
      <c r="O26" t="s">
        <v>101</v>
      </c>
      <c r="P26" t="str">
        <f>IFERROR(INDEX(MATRIZ_174!$C:$C,MATCH(A26,MATRIZ_174!$A:$A,0)),"")</f>
        <v>UCAYALI</v>
      </c>
    </row>
    <row r="27" spans="1:16" ht="16.05" customHeight="1" x14ac:dyDescent="0.3">
      <c r="A27" t="s">
        <v>121</v>
      </c>
      <c r="B27" t="s">
        <v>122</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IF(MATRIZ_174!O27="","",MATRIZ_174!O27)</f>
        <v/>
      </c>
      <c r="N27" t="str">
        <f>IFERROR(ISCAM_Score!AC28,"")</f>
        <v>⬜  Pendiente de instrumento</v>
      </c>
      <c r="O27" t="s">
        <v>101</v>
      </c>
      <c r="P27" t="str">
        <f>IFERROR(INDEX(MATRIZ_174!$C:$C,MATCH(A27,MATRIZ_174!$A:$A,0)),"")</f>
        <v>UCAYALI</v>
      </c>
    </row>
    <row r="28" spans="1:16" ht="16.05" customHeight="1" x14ac:dyDescent="0.3">
      <c r="A28" t="s">
        <v>123</v>
      </c>
      <c r="B28" t="s">
        <v>124</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IF(MATRIZ_174!O28="","",MATRIZ_174!O28)</f>
        <v/>
      </c>
      <c r="N28" t="str">
        <f>IFERROR(ISCAM_Score!AC29,"")</f>
        <v>⬜  Pendiente de instrumento</v>
      </c>
      <c r="O28" t="s">
        <v>101</v>
      </c>
      <c r="P28" t="str">
        <f>IFERROR(INDEX(MATRIZ_174!$C:$C,MATCH(A28,MATRIZ_174!$A:$A,0)),"")</f>
        <v>UCAYALI</v>
      </c>
    </row>
    <row r="29" spans="1:16" ht="16.05" customHeight="1" x14ac:dyDescent="0.3">
      <c r="A29" t="s">
        <v>125</v>
      </c>
      <c r="B29" t="s">
        <v>126</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IF(MATRIZ_174!O29="","",MATRIZ_174!O29)</f>
        <v/>
      </c>
      <c r="N29" t="str">
        <f>IFERROR(ISCAM_Score!AC30,"")</f>
        <v>⬜  Pendiente de instrumento</v>
      </c>
      <c r="O29" t="s">
        <v>101</v>
      </c>
      <c r="P29" t="str">
        <f>IFERROR(INDEX(MATRIZ_174!$C:$C,MATCH(A29,MATRIZ_174!$A:$A,0)),"")</f>
        <v>UCAYALI</v>
      </c>
    </row>
    <row r="30" spans="1:16" ht="16.05" customHeight="1" x14ac:dyDescent="0.3">
      <c r="A30" t="s">
        <v>127</v>
      </c>
      <c r="B30" t="s">
        <v>128</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IF(MATRIZ_174!O30="","",MATRIZ_174!O30)</f>
        <v/>
      </c>
      <c r="N30" t="str">
        <f>IFERROR(ISCAM_Score!AC31,"")</f>
        <v>⬜  Pendiente de instrumento</v>
      </c>
      <c r="O30" t="s">
        <v>56</v>
      </c>
      <c r="P30" t="str">
        <f>IFERROR(INDEX(MATRIZ_174!$C:$C,MATCH(A30,MATRIZ_174!$A:$A,0)),"")</f>
        <v>PUNO</v>
      </c>
    </row>
    <row r="31" spans="1:16" ht="16.05" customHeight="1" x14ac:dyDescent="0.3">
      <c r="A31" t="s">
        <v>129</v>
      </c>
      <c r="B31" t="s">
        <v>130</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IF(MATRIZ_174!O31="","",MATRIZ_174!O31)</f>
        <v/>
      </c>
      <c r="N31" t="str">
        <f>IFERROR(ISCAM_Score!AC32,"")</f>
        <v>⬜  Pendiente de instrumento</v>
      </c>
      <c r="O31" t="s">
        <v>131</v>
      </c>
      <c r="P31" t="str">
        <f>IFERROR(INDEX(MATRIZ_174!$C:$C,MATCH(A31,MATRIZ_174!$A:$A,0)),"")</f>
        <v>SAN MARTIN</v>
      </c>
    </row>
    <row r="32" spans="1:16" ht="16.05" customHeight="1" x14ac:dyDescent="0.3">
      <c r="A32" t="s">
        <v>132</v>
      </c>
      <c r="B32" t="s">
        <v>133</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IF(MATRIZ_174!O32="","",MATRIZ_174!O32)</f>
        <v/>
      </c>
      <c r="N32" t="str">
        <f>IFERROR(ISCAM_Score!AC33,"")</f>
        <v>⬜  Pendiente de instrumento</v>
      </c>
      <c r="O32" t="s">
        <v>131</v>
      </c>
      <c r="P32" t="str">
        <f>IFERROR(INDEX(MATRIZ_174!$C:$C,MATCH(A32,MATRIZ_174!$A:$A,0)),"")</f>
        <v>SAN MARTIN</v>
      </c>
    </row>
    <row r="33" spans="1:16" ht="16.05" customHeight="1" x14ac:dyDescent="0.3">
      <c r="A33" t="s">
        <v>134</v>
      </c>
      <c r="B33" t="s">
        <v>135</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IF(MATRIZ_174!O33="","",MATRIZ_174!O33)</f>
        <v/>
      </c>
      <c r="N33" t="str">
        <f>IFERROR(ISCAM_Score!AC34,"")</f>
        <v>⬜  Pendiente de instrumento</v>
      </c>
      <c r="O33" t="s">
        <v>131</v>
      </c>
      <c r="P33" t="str">
        <f>IFERROR(INDEX(MATRIZ_174!$C:$C,MATCH(A33,MATRIZ_174!$A:$A,0)),"")</f>
        <v>SAN MARTIN</v>
      </c>
    </row>
    <row r="34" spans="1:16" ht="16.05" customHeight="1" x14ac:dyDescent="0.3">
      <c r="A34" t="s">
        <v>136</v>
      </c>
      <c r="B34" t="s">
        <v>137</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IF(MATRIZ_174!O34="","",MATRIZ_174!O34)</f>
        <v/>
      </c>
      <c r="N34" t="str">
        <f>IFERROR(ISCAM_Score!AC35,"")</f>
        <v>⬜  Pendiente de instrumento</v>
      </c>
      <c r="O34" t="s">
        <v>131</v>
      </c>
      <c r="P34" t="str">
        <f>IFERROR(INDEX(MATRIZ_174!$C:$C,MATCH(A34,MATRIZ_174!$A:$A,0)),"")</f>
        <v>SAN MARTIN</v>
      </c>
    </row>
    <row r="35" spans="1:16" ht="16.05" customHeight="1" x14ac:dyDescent="0.3">
      <c r="A35" t="s">
        <v>138</v>
      </c>
      <c r="B35" t="s">
        <v>139</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IF(MATRIZ_174!O35="","",MATRIZ_174!O35)</f>
        <v/>
      </c>
      <c r="N35" t="str">
        <f>IFERROR(ISCAM_Score!AC36,"")</f>
        <v>⬜  Pendiente de instrumento</v>
      </c>
      <c r="O35" t="s">
        <v>72</v>
      </c>
      <c r="P35" t="str">
        <f>IFERROR(INDEX(MATRIZ_174!$C:$C,MATCH(A35,MATRIZ_174!$A:$A,0)),"")</f>
        <v>CUSCO</v>
      </c>
    </row>
    <row r="36" spans="1:16" ht="16.05" customHeight="1" x14ac:dyDescent="0.3">
      <c r="A36" t="s">
        <v>140</v>
      </c>
      <c r="B36" t="s">
        <v>141</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IF(MATRIZ_174!O36="","",MATRIZ_174!O36)</f>
        <v>1</v>
      </c>
      <c r="N36" t="str">
        <f>IFERROR(ISCAM_Score!AC37,"")</f>
        <v>⬜  Pendiente de instrumento</v>
      </c>
      <c r="O36" t="s">
        <v>142</v>
      </c>
      <c r="P36" t="str">
        <f>IFERROR(INDEX(MATRIZ_174!$C:$C,MATCH(A36,MATRIZ_174!$A:$A,0)),"")</f>
        <v>CAJAMARCA</v>
      </c>
    </row>
    <row r="37" spans="1:16" ht="16.05" customHeight="1" x14ac:dyDescent="0.3">
      <c r="A37" t="s">
        <v>143</v>
      </c>
      <c r="B37" t="s">
        <v>144</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IF(MATRIZ_174!O37="","",MATRIZ_174!O37)</f>
        <v/>
      </c>
      <c r="N37" t="str">
        <f>IFERROR(ISCAM_Score!AC38,"")</f>
        <v>⬜  Pendiente de instrumento</v>
      </c>
      <c r="O37" t="s">
        <v>104</v>
      </c>
      <c r="P37" t="str">
        <f>IFERROR(INDEX(MATRIZ_174!$C:$C,MATCH(A37,MATRIZ_174!$A:$A,0)),"")</f>
        <v>AMAZONAS</v>
      </c>
    </row>
    <row r="38" spans="1:16" ht="16.05" customHeight="1" x14ac:dyDescent="0.3">
      <c r="A38" t="s">
        <v>145</v>
      </c>
      <c r="B38" t="s">
        <v>146</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IF(MATRIZ_174!O38="","",MATRIZ_174!O38)</f>
        <v/>
      </c>
      <c r="N38" t="str">
        <f>IFERROR(ISCAM_Score!AC39,"")</f>
        <v>⬜  Pendiente de instrumento</v>
      </c>
      <c r="O38" t="s">
        <v>104</v>
      </c>
      <c r="P38" t="str">
        <f>IFERROR(INDEX(MATRIZ_174!$C:$C,MATCH(A38,MATRIZ_174!$A:$A,0)),"")</f>
        <v>AMAZONAS</v>
      </c>
    </row>
    <row r="39" spans="1:16" ht="16.05" customHeight="1" x14ac:dyDescent="0.3">
      <c r="A39" t="s">
        <v>147</v>
      </c>
      <c r="B39" t="s">
        <v>148</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IF(MATRIZ_174!O39="","",MATRIZ_174!O39)</f>
        <v/>
      </c>
      <c r="N39" t="str">
        <f>IFERROR(ISCAM_Score!AC40,"")</f>
        <v>⬜  Pendiente de instrumento</v>
      </c>
      <c r="O39" t="s">
        <v>104</v>
      </c>
      <c r="P39" t="str">
        <f>IFERROR(INDEX(MATRIZ_174!$C:$C,MATCH(A39,MATRIZ_174!$A:$A,0)),"")</f>
        <v>AMAZONAS</v>
      </c>
    </row>
    <row r="40" spans="1:16" ht="16.05" customHeight="1" x14ac:dyDescent="0.3">
      <c r="A40" t="s">
        <v>149</v>
      </c>
      <c r="B40" t="s">
        <v>150</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IF(MATRIZ_174!O40="","",MATRIZ_174!O40)</f>
        <v/>
      </c>
      <c r="N40" t="str">
        <f>IFERROR(ISCAM_Score!AC41,"")</f>
        <v>⬜  Pendiente de instrumento</v>
      </c>
      <c r="O40" t="s">
        <v>104</v>
      </c>
      <c r="P40" t="str">
        <f>IFERROR(INDEX(MATRIZ_174!$C:$C,MATCH(A40,MATRIZ_174!$A:$A,0)),"")</f>
        <v>AMAZONAS</v>
      </c>
    </row>
    <row r="41" spans="1:16" ht="16.05" customHeight="1" x14ac:dyDescent="0.3">
      <c r="A41" t="s">
        <v>151</v>
      </c>
      <c r="B41" t="s">
        <v>152</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IF(MATRIZ_174!O41="","",MATRIZ_174!O41)</f>
        <v/>
      </c>
      <c r="N41" t="str">
        <f>IFERROR(ISCAM_Score!AC42,"")</f>
        <v>⬜  Pendiente de instrumento</v>
      </c>
      <c r="O41" t="s">
        <v>104</v>
      </c>
      <c r="P41" t="str">
        <f>IFERROR(INDEX(MATRIZ_174!$C:$C,MATCH(A41,MATRIZ_174!$A:$A,0)),"")</f>
        <v>AMAZONAS</v>
      </c>
    </row>
    <row r="42" spans="1:16" ht="16.05" customHeight="1" x14ac:dyDescent="0.3">
      <c r="A42" t="s">
        <v>153</v>
      </c>
      <c r="B42" t="s">
        <v>154</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IF(MATRIZ_174!O42="","",MATRIZ_174!O42)</f>
        <v/>
      </c>
      <c r="N42" t="str">
        <f>IFERROR(ISCAM_Score!AC43,"")</f>
        <v>⬜  Pendiente de instrumento</v>
      </c>
      <c r="O42" t="s">
        <v>95</v>
      </c>
      <c r="P42" t="str">
        <f>IFERROR(INDEX(MATRIZ_174!$C:$C,MATCH(A42,MATRIZ_174!$A:$A,0)),"")</f>
        <v>PIURA</v>
      </c>
    </row>
    <row r="43" spans="1:16" ht="16.05" customHeight="1" x14ac:dyDescent="0.3">
      <c r="A43" t="s">
        <v>155</v>
      </c>
      <c r="B43" t="s">
        <v>156</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IF(MATRIZ_174!O43="","",MATRIZ_174!O43)</f>
        <v/>
      </c>
      <c r="N43" t="str">
        <f>IFERROR(ISCAM_Score!AC44,"")</f>
        <v>⬜  Pendiente de instrumento</v>
      </c>
      <c r="O43" t="s">
        <v>69</v>
      </c>
      <c r="P43" t="str">
        <f>IFERROR(INDEX(MATRIZ_174!$C:$C,MATCH(A43,MATRIZ_174!$A:$A,0)),"")</f>
        <v>JUNIN</v>
      </c>
    </row>
    <row r="44" spans="1:16" ht="16.05" customHeight="1" x14ac:dyDescent="0.3">
      <c r="A44" t="s">
        <v>157</v>
      </c>
      <c r="B44" t="s">
        <v>158</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IF(MATRIZ_174!O44="","",MATRIZ_174!O44)</f>
        <v/>
      </c>
      <c r="N44" t="str">
        <f>IFERROR(ISCAM_Score!AC45,"")</f>
        <v>⬜  Pendiente de instrumento</v>
      </c>
      <c r="O44" t="s">
        <v>69</v>
      </c>
      <c r="P44" t="str">
        <f>IFERROR(INDEX(MATRIZ_174!$C:$C,MATCH(A44,MATRIZ_174!$A:$A,0)),"")</f>
        <v>JUNIN</v>
      </c>
    </row>
    <row r="45" spans="1:16" ht="16.05" customHeight="1" x14ac:dyDescent="0.3">
      <c r="A45" t="s">
        <v>159</v>
      </c>
      <c r="B45" t="s">
        <v>160</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IF(MATRIZ_174!O45="","",MATRIZ_174!O45)</f>
        <v/>
      </c>
      <c r="N45" t="str">
        <f>IFERROR(ISCAM_Score!AC46,"")</f>
        <v>⬜  Pendiente de instrumento</v>
      </c>
      <c r="O45" t="s">
        <v>69</v>
      </c>
      <c r="P45" t="str">
        <f>IFERROR(INDEX(MATRIZ_174!$C:$C,MATCH(A45,MATRIZ_174!$A:$A,0)),"")</f>
        <v>JUNIN</v>
      </c>
    </row>
    <row r="46" spans="1:16" ht="16.05" customHeight="1" x14ac:dyDescent="0.3">
      <c r="A46" t="s">
        <v>161</v>
      </c>
      <c r="B46" t="s">
        <v>162</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IF(MATRIZ_174!O46="","",MATRIZ_174!O46)</f>
        <v/>
      </c>
      <c r="N46" t="str">
        <f>IFERROR(ISCAM_Score!AC47,"")</f>
        <v>⬜  Pendiente de instrumento</v>
      </c>
      <c r="O46" t="s">
        <v>69</v>
      </c>
      <c r="P46" t="str">
        <f>IFERROR(INDEX(MATRIZ_174!$C:$C,MATCH(A46,MATRIZ_174!$A:$A,0)),"")</f>
        <v>JUNIN</v>
      </c>
    </row>
    <row r="47" spans="1:16" ht="16.05" customHeight="1" x14ac:dyDescent="0.3">
      <c r="A47" t="s">
        <v>163</v>
      </c>
      <c r="B47" t="s">
        <v>164</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IF(MATRIZ_174!O47="","",MATRIZ_174!O47)</f>
        <v/>
      </c>
      <c r="N47" t="str">
        <f>IFERROR(ISCAM_Score!AC48,"")</f>
        <v>⬜  Pendiente de instrumento</v>
      </c>
      <c r="O47" t="s">
        <v>69</v>
      </c>
      <c r="P47" t="str">
        <f>IFERROR(INDEX(MATRIZ_174!$C:$C,MATCH(A47,MATRIZ_174!$A:$A,0)),"")</f>
        <v>JUNIN</v>
      </c>
    </row>
    <row r="48" spans="1:16" ht="16.05" customHeight="1" x14ac:dyDescent="0.3">
      <c r="A48" t="s">
        <v>165</v>
      </c>
      <c r="B48" t="s">
        <v>166</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IF(MATRIZ_174!O48="","",MATRIZ_174!O48)</f>
        <v/>
      </c>
      <c r="N48" t="str">
        <f>IFERROR(ISCAM_Score!AC49,"")</f>
        <v>⬜  Pendiente de instrumento</v>
      </c>
      <c r="O48" t="s">
        <v>69</v>
      </c>
      <c r="P48" t="str">
        <f>IFERROR(INDEX(MATRIZ_174!$C:$C,MATCH(A48,MATRIZ_174!$A:$A,0)),"")</f>
        <v>JUNIN</v>
      </c>
    </row>
    <row r="49" spans="1:16" ht="16.05" customHeight="1" x14ac:dyDescent="0.3">
      <c r="A49" t="s">
        <v>167</v>
      </c>
      <c r="B49" t="s">
        <v>168</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IF(MATRIZ_174!O49="","",MATRIZ_174!O49)</f>
        <v/>
      </c>
      <c r="N49" t="str">
        <f>IFERROR(ISCAM_Score!AC50,"")</f>
        <v>⬜  Pendiente de instrumento</v>
      </c>
      <c r="O49" t="s">
        <v>69</v>
      </c>
      <c r="P49" t="str">
        <f>IFERROR(INDEX(MATRIZ_174!$C:$C,MATCH(A49,MATRIZ_174!$A:$A,0)),"")</f>
        <v>JUNIN</v>
      </c>
    </row>
    <row r="50" spans="1:16" ht="16.05" customHeight="1" x14ac:dyDescent="0.3">
      <c r="A50" t="s">
        <v>169</v>
      </c>
      <c r="B50" t="s">
        <v>170</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IF(MATRIZ_174!O50="","",MATRIZ_174!O50)</f>
        <v/>
      </c>
      <c r="N50" t="str">
        <f>IFERROR(ISCAM_Score!AC51,"")</f>
        <v>⬜  Pendiente de instrumento</v>
      </c>
      <c r="O50" t="s">
        <v>171</v>
      </c>
      <c r="P50" t="str">
        <f>IFERROR(INDEX(MATRIZ_174!$C:$C,MATCH(A50,MATRIZ_174!$A:$A,0)),"")</f>
        <v>LAMBAYEQUE</v>
      </c>
    </row>
    <row r="51" spans="1:16" ht="16.05" customHeight="1" x14ac:dyDescent="0.3">
      <c r="A51" t="s">
        <v>172</v>
      </c>
      <c r="B51" t="s">
        <v>173</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IF(MATRIZ_174!O51="","",MATRIZ_174!O51)</f>
        <v/>
      </c>
      <c r="N51" t="str">
        <f>IFERROR(ISCAM_Score!AC52,"")</f>
        <v>⬜  Pendiente de instrumento</v>
      </c>
      <c r="O51" t="s">
        <v>142</v>
      </c>
      <c r="P51" t="str">
        <f>IFERROR(INDEX(MATRIZ_174!$C:$C,MATCH(A51,MATRIZ_174!$A:$A,0)),"")</f>
        <v>CAJAMARCA</v>
      </c>
    </row>
    <row r="52" spans="1:16" ht="16.05" customHeight="1" x14ac:dyDescent="0.3">
      <c r="A52" t="s">
        <v>174</v>
      </c>
      <c r="B52" t="s">
        <v>175</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IF(MATRIZ_174!O52="","",MATRIZ_174!O52)</f>
        <v/>
      </c>
      <c r="N52" t="str">
        <f>IFERROR(ISCAM_Score!AC53,"")</f>
        <v>⬜  Pendiente de instrumento</v>
      </c>
      <c r="O52" t="s">
        <v>72</v>
      </c>
      <c r="P52" t="str">
        <f>IFERROR(INDEX(MATRIZ_174!$C:$C,MATCH(A52,MATRIZ_174!$A:$A,0)),"")</f>
        <v>CUSCO</v>
      </c>
    </row>
    <row r="53" spans="1:16" ht="16.05" customHeight="1" x14ac:dyDescent="0.3">
      <c r="A53" t="s">
        <v>176</v>
      </c>
      <c r="B53" t="s">
        <v>177</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IF(MATRIZ_174!O53="","",MATRIZ_174!O53)</f>
        <v/>
      </c>
      <c r="N53" t="str">
        <f>IFERROR(ISCAM_Score!AC54,"")</f>
        <v>⬜  Pendiente de instrumento</v>
      </c>
      <c r="O53" t="s">
        <v>131</v>
      </c>
      <c r="P53" t="str">
        <f>IFERROR(INDEX(MATRIZ_174!$C:$C,MATCH(A53,MATRIZ_174!$A:$A,0)),"")</f>
        <v>SAN MARTIN</v>
      </c>
    </row>
    <row r="54" spans="1:16" ht="16.05" customHeight="1" x14ac:dyDescent="0.3">
      <c r="A54" t="s">
        <v>178</v>
      </c>
      <c r="B54" t="s">
        <v>179</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IF(MATRIZ_174!O54="","",MATRIZ_174!O54)</f>
        <v/>
      </c>
      <c r="N54" t="str">
        <f>IFERROR(ISCAM_Score!AC55,"")</f>
        <v>⬜  Pendiente de instrumento</v>
      </c>
      <c r="O54" t="s">
        <v>131</v>
      </c>
      <c r="P54" t="str">
        <f>IFERROR(INDEX(MATRIZ_174!$C:$C,MATCH(A54,MATRIZ_174!$A:$A,0)),"")</f>
        <v>SAN MARTIN</v>
      </c>
    </row>
    <row r="55" spans="1:16" ht="16.05" customHeight="1" x14ac:dyDescent="0.3">
      <c r="A55" t="s">
        <v>180</v>
      </c>
      <c r="B55" t="s">
        <v>181</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IF(MATRIZ_174!O55="","",MATRIZ_174!O55)</f>
        <v/>
      </c>
      <c r="N55" t="str">
        <f>IFERROR(ISCAM_Score!AC56,"")</f>
        <v>⬜  Pendiente de instrumento</v>
      </c>
      <c r="O55" t="s">
        <v>131</v>
      </c>
      <c r="P55" t="str">
        <f>IFERROR(INDEX(MATRIZ_174!$C:$C,MATCH(A55,MATRIZ_174!$A:$A,0)),"")</f>
        <v>SAN MARTIN</v>
      </c>
    </row>
    <row r="56" spans="1:16" ht="16.05" customHeight="1" x14ac:dyDescent="0.3">
      <c r="A56" t="s">
        <v>182</v>
      </c>
      <c r="B56" t="s">
        <v>183</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IF(MATRIZ_174!O56="","",MATRIZ_174!O56)</f>
        <v/>
      </c>
      <c r="N56" t="str">
        <f>IFERROR(ISCAM_Score!AC57,"")</f>
        <v>⬜  Pendiente de instrumento</v>
      </c>
      <c r="O56" t="s">
        <v>184</v>
      </c>
      <c r="P56" t="str">
        <f>IFERROR(INDEX(MATRIZ_174!$C:$C,MATCH(A56,MATRIZ_174!$A:$A,0)),"")</f>
        <v>LORETO</v>
      </c>
    </row>
    <row r="57" spans="1:16" ht="16.05" customHeight="1" x14ac:dyDescent="0.3">
      <c r="A57" t="s">
        <v>185</v>
      </c>
      <c r="B57" t="s">
        <v>186</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IF(MATRIZ_174!O57="","",MATRIZ_174!O57)</f>
        <v/>
      </c>
      <c r="N57" t="str">
        <f>IFERROR(ISCAM_Score!AC58,"")</f>
        <v>⬜  Pendiente de instrumento</v>
      </c>
      <c r="O57" t="s">
        <v>72</v>
      </c>
      <c r="P57" t="str">
        <f>IFERROR(INDEX(MATRIZ_174!$C:$C,MATCH(A57,MATRIZ_174!$A:$A,0)),"")</f>
        <v>CUSCO</v>
      </c>
    </row>
    <row r="58" spans="1:16" ht="16.05" customHeight="1" x14ac:dyDescent="0.3">
      <c r="A58" t="s">
        <v>187</v>
      </c>
      <c r="B58" t="s">
        <v>188</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IF(MATRIZ_174!O58="","",MATRIZ_174!O58)</f>
        <v/>
      </c>
      <c r="N58" t="str">
        <f>IFERROR(ISCAM_Score!AC59,"")</f>
        <v>⬜  Pendiente de instrumento</v>
      </c>
      <c r="O58" t="s">
        <v>95</v>
      </c>
      <c r="P58" t="str">
        <f>IFERROR(INDEX(MATRIZ_174!$C:$C,MATCH(A58,MATRIZ_174!$A:$A,0)),"")</f>
        <v>PIURA</v>
      </c>
    </row>
    <row r="59" spans="1:16" ht="16.05" customHeight="1" x14ac:dyDescent="0.3">
      <c r="A59" t="s">
        <v>189</v>
      </c>
      <c r="B59" t="s">
        <v>190</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IF(MATRIZ_174!O59="","",MATRIZ_174!O59)</f>
        <v/>
      </c>
      <c r="N59" t="str">
        <f>IFERROR(ISCAM_Score!AC60,"")</f>
        <v>⬜  Pendiente de instrumento</v>
      </c>
      <c r="O59" t="s">
        <v>95</v>
      </c>
      <c r="P59" t="str">
        <f>IFERROR(INDEX(MATRIZ_174!$C:$C,MATCH(A59,MATRIZ_174!$A:$A,0)),"")</f>
        <v>PIURA</v>
      </c>
    </row>
    <row r="60" spans="1:16" ht="16.05" customHeight="1" x14ac:dyDescent="0.3">
      <c r="A60" t="s">
        <v>191</v>
      </c>
      <c r="B60" t="s">
        <v>192</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IF(MATRIZ_174!O60="","",MATRIZ_174!O60)</f>
        <v/>
      </c>
      <c r="N60" t="str">
        <f>IFERROR(ISCAM_Score!AC61,"")</f>
        <v>⬜  Pendiente de instrumento</v>
      </c>
      <c r="O60" t="s">
        <v>193</v>
      </c>
      <c r="P60" t="str">
        <f>IFERROR(INDEX(MATRIZ_174!$C:$C,MATCH(A60,MATRIZ_174!$A:$A,0)),"")</f>
        <v>APURIMAC</v>
      </c>
    </row>
    <row r="61" spans="1:16" ht="16.05" customHeight="1" x14ac:dyDescent="0.3">
      <c r="A61" t="s">
        <v>194</v>
      </c>
      <c r="B61" t="s">
        <v>195</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IF(MATRIZ_174!O61="","",MATRIZ_174!O61)</f>
        <v/>
      </c>
      <c r="N61" t="str">
        <f>IFERROR(ISCAM_Score!AC62,"")</f>
        <v>⬜  Pendiente de instrumento</v>
      </c>
      <c r="O61" t="s">
        <v>111</v>
      </c>
      <c r="P61" t="str">
        <f>IFERROR(INDEX(MATRIZ_174!$C:$C,MATCH(A61,MATRIZ_174!$A:$A,0)),"")</f>
        <v>HUANUCO</v>
      </c>
    </row>
    <row r="62" spans="1:16" ht="16.05" customHeight="1" x14ac:dyDescent="0.3">
      <c r="A62" t="s">
        <v>196</v>
      </c>
      <c r="B62" t="s">
        <v>197</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IF(MATRIZ_174!O62="","",MATRIZ_174!O62)</f>
        <v/>
      </c>
      <c r="N62" t="str">
        <f>IFERROR(ISCAM_Score!AC63,"")</f>
        <v>⬜  Pendiente de instrumento</v>
      </c>
      <c r="O62" t="s">
        <v>95</v>
      </c>
      <c r="P62" t="str">
        <f>IFERROR(INDEX(MATRIZ_174!$C:$C,MATCH(A62,MATRIZ_174!$A:$A,0)),"")</f>
        <v>PIURA</v>
      </c>
    </row>
    <row r="63" spans="1:16" ht="16.05" customHeight="1" x14ac:dyDescent="0.3">
      <c r="A63" t="s">
        <v>198</v>
      </c>
      <c r="B63" t="s">
        <v>199</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IF(MATRIZ_174!O63="","",MATRIZ_174!O63)</f>
        <v/>
      </c>
      <c r="N63" t="str">
        <f>IFERROR(ISCAM_Score!AC64,"")</f>
        <v>⬜  Pendiente de instrumento</v>
      </c>
      <c r="O63" t="s">
        <v>95</v>
      </c>
      <c r="P63" t="str">
        <f>IFERROR(INDEX(MATRIZ_174!$C:$C,MATCH(A63,MATRIZ_174!$A:$A,0)),"")</f>
        <v>PIURA</v>
      </c>
    </row>
    <row r="64" spans="1:16" ht="16.05" customHeight="1" x14ac:dyDescent="0.3">
      <c r="A64" t="s">
        <v>200</v>
      </c>
      <c r="B64" t="s">
        <v>201</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IF(MATRIZ_174!O64="","",MATRIZ_174!O64)</f>
        <v/>
      </c>
      <c r="N64" t="str">
        <f>IFERROR(ISCAM_Score!AC65,"")</f>
        <v>⬜  Pendiente de instrumento</v>
      </c>
      <c r="O64" t="s">
        <v>131</v>
      </c>
      <c r="P64" t="str">
        <f>IFERROR(INDEX(MATRIZ_174!$C:$C,MATCH(A64,MATRIZ_174!$A:$A,0)),"")</f>
        <v>SAN MARTIN</v>
      </c>
    </row>
    <row r="65" spans="1:16" ht="16.05" customHeight="1" x14ac:dyDescent="0.3">
      <c r="A65" t="s">
        <v>202</v>
      </c>
      <c r="B65" t="s">
        <v>203</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IF(MATRIZ_174!O65="","",MATRIZ_174!O65)</f>
        <v/>
      </c>
      <c r="N65" t="str">
        <f>IFERROR(ISCAM_Score!AC66,"")</f>
        <v>⬜  Pendiente de instrumento</v>
      </c>
      <c r="O65" t="s">
        <v>131</v>
      </c>
      <c r="P65" t="str">
        <f>IFERROR(INDEX(MATRIZ_174!$C:$C,MATCH(A65,MATRIZ_174!$A:$A,0)),"")</f>
        <v>SAN MARTIN</v>
      </c>
    </row>
    <row r="66" spans="1:16" ht="16.05" customHeight="1" x14ac:dyDescent="0.3">
      <c r="A66" t="s">
        <v>204</v>
      </c>
      <c r="B66" t="s">
        <v>205</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IF(MATRIZ_174!O66="","",MATRIZ_174!O66)</f>
        <v/>
      </c>
      <c r="N66" t="str">
        <f>IFERROR(ISCAM_Score!AC67,"")</f>
        <v>⬜  Pendiente de instrumento</v>
      </c>
      <c r="O66" t="s">
        <v>72</v>
      </c>
      <c r="P66" t="str">
        <f>IFERROR(INDEX(MATRIZ_174!$C:$C,MATCH(A66,MATRIZ_174!$A:$A,0)),"")</f>
        <v>CUSCO</v>
      </c>
    </row>
    <row r="67" spans="1:16" ht="16.05" customHeight="1" x14ac:dyDescent="0.3">
      <c r="A67" t="s">
        <v>206</v>
      </c>
      <c r="B67" t="s">
        <v>207</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IF(MATRIZ_174!O67="","",MATRIZ_174!O67)</f>
        <v/>
      </c>
      <c r="N67" t="str">
        <f>IFERROR(ISCAM_Score!AC68,"")</f>
        <v>⬜  Pendiente de instrumento</v>
      </c>
      <c r="O67" t="s">
        <v>104</v>
      </c>
      <c r="P67" t="str">
        <f>IFERROR(INDEX(MATRIZ_174!$C:$C,MATCH(A67,MATRIZ_174!$A:$A,0)),"")</f>
        <v>AMAZONAS</v>
      </c>
    </row>
    <row r="68" spans="1:16" ht="16.05" customHeight="1" x14ac:dyDescent="0.3">
      <c r="A68" t="s">
        <v>208</v>
      </c>
      <c r="B68" t="s">
        <v>209</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IF(MATRIZ_174!O68="","",MATRIZ_174!O68)</f>
        <v/>
      </c>
      <c r="N68" t="str">
        <f>IFERROR(ISCAM_Score!AC69,"")</f>
        <v>⬜  Pendiente de instrumento</v>
      </c>
      <c r="O68" t="s">
        <v>104</v>
      </c>
      <c r="P68" t="str">
        <f>IFERROR(INDEX(MATRIZ_174!$C:$C,MATCH(A68,MATRIZ_174!$A:$A,0)),"")</f>
        <v>AMAZONAS</v>
      </c>
    </row>
    <row r="69" spans="1:16" ht="16.05" customHeight="1" x14ac:dyDescent="0.3">
      <c r="A69" t="s">
        <v>210</v>
      </c>
      <c r="B69" t="s">
        <v>211</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IF(MATRIZ_174!O69="","",MATRIZ_174!O69)</f>
        <v/>
      </c>
      <c r="N69" t="str">
        <f>IFERROR(ISCAM_Score!AC70,"")</f>
        <v>⬜  Pendiente de instrumento</v>
      </c>
      <c r="O69" t="s">
        <v>171</v>
      </c>
      <c r="P69" t="str">
        <f>IFERROR(INDEX(MATRIZ_174!$C:$C,MATCH(A69,MATRIZ_174!$A:$A,0)),"")</f>
        <v>LAMBAYEQUE</v>
      </c>
    </row>
    <row r="70" spans="1:16" ht="16.05" customHeight="1" x14ac:dyDescent="0.3">
      <c r="A70" t="s">
        <v>212</v>
      </c>
      <c r="B70" t="s">
        <v>213</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IF(MATRIZ_174!O70="","",MATRIZ_174!O70)</f>
        <v>1</v>
      </c>
      <c r="N70" t="str">
        <f>IFERROR(ISCAM_Score!AC71,"")</f>
        <v>⬜  Pendiente de instrumento</v>
      </c>
      <c r="O70" t="s">
        <v>131</v>
      </c>
      <c r="P70" t="str">
        <f>IFERROR(INDEX(MATRIZ_174!$C:$C,MATCH(A70,MATRIZ_174!$A:$A,0)),"")</f>
        <v>SAN MARTIN</v>
      </c>
    </row>
    <row r="71" spans="1:16" ht="16.05" customHeight="1" x14ac:dyDescent="0.3">
      <c r="A71" t="s">
        <v>215</v>
      </c>
      <c r="B71" t="s">
        <v>216</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IF(MATRIZ_174!O71="","",MATRIZ_174!O71)</f>
        <v/>
      </c>
      <c r="N71" t="str">
        <f>IFERROR(ISCAM_Score!AC72,"")</f>
        <v>⬜  Pendiente de instrumento</v>
      </c>
      <c r="O71" t="s">
        <v>131</v>
      </c>
      <c r="P71" t="str">
        <f>IFERROR(INDEX(MATRIZ_174!$C:$C,MATCH(A71,MATRIZ_174!$A:$A,0)),"")</f>
        <v>SAN MARTIN</v>
      </c>
    </row>
    <row r="72" spans="1:16" ht="16.05" customHeight="1" x14ac:dyDescent="0.3">
      <c r="A72" t="s">
        <v>217</v>
      </c>
      <c r="B72" t="s">
        <v>218</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IF(MATRIZ_174!O72="","",MATRIZ_174!O72)</f>
        <v/>
      </c>
      <c r="N72" t="str">
        <f>IFERROR(ISCAM_Score!AC73,"")</f>
        <v>⬜  Pendiente de instrumento</v>
      </c>
      <c r="O72" t="s">
        <v>131</v>
      </c>
      <c r="P72" t="str">
        <f>IFERROR(INDEX(MATRIZ_174!$C:$C,MATCH(A72,MATRIZ_174!$A:$A,0)),"")</f>
        <v>SAN MARTIN</v>
      </c>
    </row>
    <row r="73" spans="1:16" ht="16.05" customHeight="1" x14ac:dyDescent="0.3">
      <c r="A73" t="s">
        <v>219</v>
      </c>
      <c r="B73" t="s">
        <v>220</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IF(MATRIZ_174!O73="","",MATRIZ_174!O73)</f>
        <v>1</v>
      </c>
      <c r="N73" t="str">
        <f>IFERROR(ISCAM_Score!AC74,"")</f>
        <v>⬜  Pendiente de instrumento</v>
      </c>
      <c r="O73" t="s">
        <v>131</v>
      </c>
      <c r="P73" t="str">
        <f>IFERROR(INDEX(MATRIZ_174!$C:$C,MATCH(A73,MATRIZ_174!$A:$A,0)),"")</f>
        <v>SAN MARTIN</v>
      </c>
    </row>
    <row r="74" spans="1:16" ht="16.05" customHeight="1" x14ac:dyDescent="0.3">
      <c r="A74" t="s">
        <v>221</v>
      </c>
      <c r="B74" t="s">
        <v>222</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IF(MATRIZ_174!O74="","",MATRIZ_174!O74)</f>
        <v/>
      </c>
      <c r="N74" t="str">
        <f>IFERROR(ISCAM_Score!AC75,"")</f>
        <v>⬜  Pendiente de instrumento</v>
      </c>
      <c r="O74" t="s">
        <v>131</v>
      </c>
      <c r="P74" t="str">
        <f>IFERROR(INDEX(MATRIZ_174!$C:$C,MATCH(A74,MATRIZ_174!$A:$A,0)),"")</f>
        <v>SAN MARTIN</v>
      </c>
    </row>
    <row r="75" spans="1:16" ht="16.05" customHeight="1" x14ac:dyDescent="0.3">
      <c r="A75" t="s">
        <v>223</v>
      </c>
      <c r="B75" t="s">
        <v>224</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IF(MATRIZ_174!O75="","",MATRIZ_174!O75)</f>
        <v/>
      </c>
      <c r="N75" t="str">
        <f>IFERROR(ISCAM_Score!AC76,"")</f>
        <v>⬜  Pendiente de instrumento</v>
      </c>
      <c r="O75" t="s">
        <v>184</v>
      </c>
      <c r="P75" t="str">
        <f>IFERROR(INDEX(MATRIZ_174!$C:$C,MATCH(A75,MATRIZ_174!$A:$A,0)),"")</f>
        <v>LORETO</v>
      </c>
    </row>
    <row r="76" spans="1:16" ht="16.05" customHeight="1" x14ac:dyDescent="0.3">
      <c r="A76" t="s">
        <v>225</v>
      </c>
      <c r="B76" t="s">
        <v>226</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IF(MATRIZ_174!O76="","",MATRIZ_174!O76)</f>
        <v/>
      </c>
      <c r="N76" t="str">
        <f>IFERROR(ISCAM_Score!AC77,"")</f>
        <v>⬜  Pendiente de instrumento</v>
      </c>
      <c r="O76" t="s">
        <v>184</v>
      </c>
      <c r="P76" t="str">
        <f>IFERROR(INDEX(MATRIZ_174!$C:$C,MATCH(A76,MATRIZ_174!$A:$A,0)),"")</f>
        <v>LORETO</v>
      </c>
    </row>
    <row r="77" spans="1:16" ht="16.05" customHeight="1" x14ac:dyDescent="0.3">
      <c r="A77" t="s">
        <v>227</v>
      </c>
      <c r="B77" t="s">
        <v>228</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IF(MATRIZ_174!O77="","",MATRIZ_174!O77)</f>
        <v/>
      </c>
      <c r="N77" t="str">
        <f>IFERROR(ISCAM_Score!AC78,"")</f>
        <v>⬜  Pendiente de instrumento</v>
      </c>
      <c r="O77" t="s">
        <v>142</v>
      </c>
      <c r="P77" t="str">
        <f>IFERROR(INDEX(MATRIZ_174!$C:$C,MATCH(A77,MATRIZ_174!$A:$A,0)),"")</f>
        <v>CAJAMARCA</v>
      </c>
    </row>
    <row r="78" spans="1:16" ht="16.05" customHeight="1" x14ac:dyDescent="0.3">
      <c r="A78" t="s">
        <v>229</v>
      </c>
      <c r="B78" t="s">
        <v>230</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IF(MATRIZ_174!O78="","",MATRIZ_174!O78)</f>
        <v/>
      </c>
      <c r="N78" t="str">
        <f>IFERROR(ISCAM_Score!AC79,"")</f>
        <v>⬜  Pendiente de instrumento</v>
      </c>
      <c r="O78" t="s">
        <v>111</v>
      </c>
      <c r="P78" t="str">
        <f>IFERROR(INDEX(MATRIZ_174!$C:$C,MATCH(A78,MATRIZ_174!$A:$A,0)),"")</f>
        <v>HUANUCO</v>
      </c>
    </row>
    <row r="79" spans="1:16" ht="16.05" customHeight="1" x14ac:dyDescent="0.3">
      <c r="A79" t="s">
        <v>231</v>
      </c>
      <c r="B79" t="s">
        <v>232</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IF(MATRIZ_174!O79="","",MATRIZ_174!O79)</f>
        <v/>
      </c>
      <c r="N79" t="str">
        <f>IFERROR(ISCAM_Score!AC80,"")</f>
        <v>⬜  Pendiente de instrumento</v>
      </c>
      <c r="O79" t="s">
        <v>233</v>
      </c>
      <c r="P79" t="str">
        <f>IFERROR(INDEX(MATRIZ_174!$C:$C,MATCH(A79,MATRIZ_174!$A:$A,0)),"")</f>
        <v>MADRE DE DIOS</v>
      </c>
    </row>
    <row r="80" spans="1:16" ht="16.05" customHeight="1" x14ac:dyDescent="0.3">
      <c r="A80" t="s">
        <v>234</v>
      </c>
      <c r="B80" t="s">
        <v>235</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IF(MATRIZ_174!O80="","",MATRIZ_174!O80)</f>
        <v>0.6</v>
      </c>
      <c r="N80" t="str">
        <f>IFERROR(ISCAM_Score!AC81,"")</f>
        <v>⬜  Pendiente de instrumento</v>
      </c>
      <c r="O80" t="s">
        <v>104</v>
      </c>
      <c r="P80" t="str">
        <f>IFERROR(INDEX(MATRIZ_174!$C:$C,MATCH(A80,MATRIZ_174!$A:$A,0)),"")</f>
        <v>AMAZONAS</v>
      </c>
    </row>
    <row r="81" spans="1:16" ht="16.05" customHeight="1" x14ac:dyDescent="0.3">
      <c r="A81" t="s">
        <v>237</v>
      </c>
      <c r="B81" t="s">
        <v>238</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IF(MATRIZ_174!O81="","",MATRIZ_174!O81)</f>
        <v/>
      </c>
      <c r="N81" t="str">
        <f>IFERROR(ISCAM_Score!AC82,"")</f>
        <v>⬜  Pendiente de instrumento</v>
      </c>
      <c r="O81" t="s">
        <v>72</v>
      </c>
      <c r="P81" t="str">
        <f>IFERROR(INDEX(MATRIZ_174!$C:$C,MATCH(A81,MATRIZ_174!$A:$A,0)),"")</f>
        <v>CUSCO</v>
      </c>
    </row>
    <row r="82" spans="1:16" ht="16.05" customHeight="1" x14ac:dyDescent="0.3">
      <c r="A82" t="s">
        <v>239</v>
      </c>
      <c r="B82" t="s">
        <v>240</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IF(MATRIZ_174!O82="","",MATRIZ_174!O82)</f>
        <v/>
      </c>
      <c r="N82" t="str">
        <f>IFERROR(ISCAM_Score!AC83,"")</f>
        <v>⬜  Pendiente de instrumento</v>
      </c>
      <c r="O82" t="s">
        <v>241</v>
      </c>
      <c r="P82" t="str">
        <f>IFERROR(INDEX(MATRIZ_174!$C:$C,MATCH(A82,MATRIZ_174!$A:$A,0)),"")</f>
        <v>PASCO</v>
      </c>
    </row>
    <row r="83" spans="1:16" ht="16.05" customHeight="1" x14ac:dyDescent="0.3">
      <c r="A83" t="s">
        <v>242</v>
      </c>
      <c r="B83" t="s">
        <v>243</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IF(MATRIZ_174!O83="","",MATRIZ_174!O83)</f>
        <v/>
      </c>
      <c r="N83" t="str">
        <f>IFERROR(ISCAM_Score!AC84,"")</f>
        <v>⬜  Pendiente de instrumento</v>
      </c>
      <c r="O83" t="s">
        <v>241</v>
      </c>
      <c r="P83" t="str">
        <f>IFERROR(INDEX(MATRIZ_174!$C:$C,MATCH(A83,MATRIZ_174!$A:$A,0)),"")</f>
        <v>PASCO</v>
      </c>
    </row>
    <row r="84" spans="1:16" ht="16.05" customHeight="1" x14ac:dyDescent="0.3">
      <c r="A84" t="s">
        <v>244</v>
      </c>
      <c r="B84" t="s">
        <v>245</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IF(MATRIZ_174!O84="","",MATRIZ_174!O84)</f>
        <v/>
      </c>
      <c r="N84" t="str">
        <f>IFERROR(ISCAM_Score!AC85,"")</f>
        <v>⬜  Pendiente de instrumento</v>
      </c>
      <c r="O84" t="s">
        <v>69</v>
      </c>
      <c r="P84" t="str">
        <f>IFERROR(INDEX(MATRIZ_174!$C:$C,MATCH(A84,MATRIZ_174!$A:$A,0)),"")</f>
        <v>JUNIN</v>
      </c>
    </row>
    <row r="85" spans="1:16" ht="16.05" customHeight="1" x14ac:dyDescent="0.3">
      <c r="A85" t="s">
        <v>246</v>
      </c>
      <c r="B85" t="s">
        <v>247</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IF(MATRIZ_174!O85="","",MATRIZ_174!O85)</f>
        <v/>
      </c>
      <c r="N85" t="str">
        <f>IFERROR(ISCAM_Score!AC86,"")</f>
        <v>⬜  Pendiente de instrumento</v>
      </c>
      <c r="O85" t="s">
        <v>69</v>
      </c>
      <c r="P85" t="str">
        <f>IFERROR(INDEX(MATRIZ_174!$C:$C,MATCH(A85,MATRIZ_174!$A:$A,0)),"")</f>
        <v>JUNIN</v>
      </c>
    </row>
    <row r="86" spans="1:16" ht="16.05" customHeight="1" x14ac:dyDescent="0.3">
      <c r="A86" t="s">
        <v>248</v>
      </c>
      <c r="B86" t="s">
        <v>249</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IF(MATRIZ_174!O86="","",MATRIZ_174!O86)</f>
        <v/>
      </c>
      <c r="N86" t="str">
        <f>IFERROR(ISCAM_Score!AC87,"")</f>
        <v>⬜  Pendiente de instrumento</v>
      </c>
      <c r="O86" t="s">
        <v>241</v>
      </c>
      <c r="P86" t="str">
        <f>IFERROR(INDEX(MATRIZ_174!$C:$C,MATCH(A86,MATRIZ_174!$A:$A,0)),"")</f>
        <v>PASCO</v>
      </c>
    </row>
    <row r="87" spans="1:16" ht="16.05" customHeight="1" x14ac:dyDescent="0.3">
      <c r="A87" t="s">
        <v>250</v>
      </c>
      <c r="B87" t="s">
        <v>251</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IF(MATRIZ_174!O87="","",MATRIZ_174!O87)</f>
        <v/>
      </c>
      <c r="N87" t="str">
        <f>IFERROR(ISCAM_Score!AC88,"")</f>
        <v>⬜  Pendiente de instrumento</v>
      </c>
      <c r="O87" t="s">
        <v>241</v>
      </c>
      <c r="P87" t="str">
        <f>IFERROR(INDEX(MATRIZ_174!$C:$C,MATCH(A87,MATRIZ_174!$A:$A,0)),"")</f>
        <v>PASCO</v>
      </c>
    </row>
    <row r="88" spans="1:16" ht="16.05" customHeight="1" x14ac:dyDescent="0.3">
      <c r="A88" t="s">
        <v>252</v>
      </c>
      <c r="B88" t="s">
        <v>253</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IF(MATRIZ_174!O88="","",MATRIZ_174!O88)</f>
        <v/>
      </c>
      <c r="N88" t="str">
        <f>IFERROR(ISCAM_Score!AC89,"")</f>
        <v>⬜  Pendiente de instrumento</v>
      </c>
      <c r="O88" t="s">
        <v>241</v>
      </c>
      <c r="P88" t="str">
        <f>IFERROR(INDEX(MATRIZ_174!$C:$C,MATCH(A88,MATRIZ_174!$A:$A,0)),"")</f>
        <v>PASCO</v>
      </c>
    </row>
    <row r="89" spans="1:16" ht="16.05" customHeight="1" x14ac:dyDescent="0.3">
      <c r="A89" t="s">
        <v>254</v>
      </c>
      <c r="B89" t="s">
        <v>255</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IF(MATRIZ_174!O89="","",MATRIZ_174!O89)</f>
        <v/>
      </c>
      <c r="N89" t="str">
        <f>IFERROR(ISCAM_Score!AC90,"")</f>
        <v>⬜  Pendiente de instrumento</v>
      </c>
      <c r="O89" t="s">
        <v>241</v>
      </c>
      <c r="P89" t="str">
        <f>IFERROR(INDEX(MATRIZ_174!$C:$C,MATCH(A89,MATRIZ_174!$A:$A,0)),"")</f>
        <v>PASCO</v>
      </c>
    </row>
    <row r="90" spans="1:16" ht="16.05" customHeight="1" x14ac:dyDescent="0.3">
      <c r="A90" t="s">
        <v>256</v>
      </c>
      <c r="B90" t="s">
        <v>257</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IF(MATRIZ_174!O90="","",MATRIZ_174!O90)</f>
        <v/>
      </c>
      <c r="N90" t="str">
        <f>IFERROR(ISCAM_Score!AC91,"")</f>
        <v>⬜  Pendiente de instrumento</v>
      </c>
      <c r="O90" t="s">
        <v>69</v>
      </c>
      <c r="P90" t="str">
        <f>IFERROR(INDEX(MATRIZ_174!$C:$C,MATCH(A90,MATRIZ_174!$A:$A,0)),"")</f>
        <v>JUNIN</v>
      </c>
    </row>
    <row r="91" spans="1:16" ht="16.05" customHeight="1" x14ac:dyDescent="0.3">
      <c r="A91" t="s">
        <v>258</v>
      </c>
      <c r="B91" t="s">
        <v>259</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IF(MATRIZ_174!O91="","",MATRIZ_174!O91)</f>
        <v/>
      </c>
      <c r="N91" t="str">
        <f>IFERROR(ISCAM_Score!AC92,"")</f>
        <v>⬜  Pendiente de instrumento</v>
      </c>
      <c r="O91" t="s">
        <v>69</v>
      </c>
      <c r="P91" t="str">
        <f>IFERROR(INDEX(MATRIZ_174!$C:$C,MATCH(A91,MATRIZ_174!$A:$A,0)),"")</f>
        <v>JUNIN</v>
      </c>
    </row>
    <row r="92" spans="1:16" ht="16.05" customHeight="1" x14ac:dyDescent="0.3">
      <c r="A92" t="s">
        <v>260</v>
      </c>
      <c r="B92" t="s">
        <v>261</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IF(MATRIZ_174!O92="","",MATRIZ_174!O92)</f>
        <v/>
      </c>
      <c r="N92" t="str">
        <f>IFERROR(ISCAM_Score!AC93,"")</f>
        <v>⬜  Pendiente de instrumento</v>
      </c>
      <c r="O92" t="s">
        <v>142</v>
      </c>
      <c r="P92" t="str">
        <f>IFERROR(INDEX(MATRIZ_174!$C:$C,MATCH(A92,MATRIZ_174!$A:$A,0)),"")</f>
        <v>CAJAMARCA</v>
      </c>
    </row>
    <row r="93" spans="1:16" ht="16.05" customHeight="1" x14ac:dyDescent="0.3">
      <c r="A93" t="s">
        <v>262</v>
      </c>
      <c r="B93" t="s">
        <v>263</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IF(MATRIZ_174!O93="","",MATRIZ_174!O93)</f>
        <v/>
      </c>
      <c r="N93" t="str">
        <f>IFERROR(ISCAM_Score!AC94,"")</f>
        <v>⬜  Pendiente de instrumento</v>
      </c>
      <c r="O93" t="s">
        <v>131</v>
      </c>
      <c r="P93" t="str">
        <f>IFERROR(INDEX(MATRIZ_174!$C:$C,MATCH(A93,MATRIZ_174!$A:$A,0)),"")</f>
        <v>SAN MARTIN</v>
      </c>
    </row>
    <row r="94" spans="1:16" ht="16.05" customHeight="1" x14ac:dyDescent="0.3">
      <c r="A94" t="s">
        <v>264</v>
      </c>
      <c r="B94" t="s">
        <v>265</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IF(MATRIZ_174!O94="","",MATRIZ_174!O94)</f>
        <v/>
      </c>
      <c r="N94" t="str">
        <f>IFERROR(ISCAM_Score!AC95,"")</f>
        <v>⬜  Pendiente de instrumento</v>
      </c>
      <c r="O94" t="s">
        <v>131</v>
      </c>
      <c r="P94" t="str">
        <f>IFERROR(INDEX(MATRIZ_174!$C:$C,MATCH(A94,MATRIZ_174!$A:$A,0)),"")</f>
        <v>SAN MARTIN</v>
      </c>
    </row>
    <row r="95" spans="1:16" ht="16.05" customHeight="1" x14ac:dyDescent="0.3">
      <c r="A95" t="s">
        <v>266</v>
      </c>
      <c r="B95" t="s">
        <v>267</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IF(MATRIZ_174!O95="","",MATRIZ_174!O95)</f>
        <v/>
      </c>
      <c r="N95" t="str">
        <f>IFERROR(ISCAM_Score!AC96,"")</f>
        <v>⬜  Pendiente de instrumento</v>
      </c>
      <c r="O95" t="s">
        <v>111</v>
      </c>
      <c r="P95" t="str">
        <f>IFERROR(INDEX(MATRIZ_174!$C:$C,MATCH(A95,MATRIZ_174!$A:$A,0)),"")</f>
        <v>HUANUCO</v>
      </c>
    </row>
    <row r="96" spans="1:16" ht="16.05" customHeight="1" x14ac:dyDescent="0.3">
      <c r="A96" t="s">
        <v>268</v>
      </c>
      <c r="B96" t="s">
        <v>269</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IF(MATRIZ_174!O96="","",MATRIZ_174!O96)</f>
        <v/>
      </c>
      <c r="N96" t="str">
        <f>IFERROR(ISCAM_Score!AC97,"")</f>
        <v>⬜  Pendiente de instrumento</v>
      </c>
      <c r="O96" t="s">
        <v>111</v>
      </c>
      <c r="P96" t="str">
        <f>IFERROR(INDEX(MATRIZ_174!$C:$C,MATCH(A96,MATRIZ_174!$A:$A,0)),"")</f>
        <v>HUANUCO</v>
      </c>
    </row>
    <row r="97" spans="1:16" ht="16.05" customHeight="1" x14ac:dyDescent="0.3">
      <c r="A97" t="s">
        <v>270</v>
      </c>
      <c r="B97" t="s">
        <v>271</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IF(MATRIZ_174!O97="","",MATRIZ_174!O97)</f>
        <v/>
      </c>
      <c r="N97" t="str">
        <f>IFERROR(ISCAM_Score!AC98,"")</f>
        <v>⬜  Pendiente de instrumento</v>
      </c>
      <c r="O97" t="s">
        <v>111</v>
      </c>
      <c r="P97" t="str">
        <f>IFERROR(INDEX(MATRIZ_174!$C:$C,MATCH(A97,MATRIZ_174!$A:$A,0)),"")</f>
        <v>HUANUCO</v>
      </c>
    </row>
    <row r="98" spans="1:16" ht="16.05" customHeight="1" x14ac:dyDescent="0.3">
      <c r="A98" t="s">
        <v>272</v>
      </c>
      <c r="B98" t="s">
        <v>273</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IF(MATRIZ_174!O98="","",MATRIZ_174!O98)</f>
        <v/>
      </c>
      <c r="N98" t="str">
        <f>IFERROR(ISCAM_Score!AC99,"")</f>
        <v>⬜  Pendiente de instrumento</v>
      </c>
      <c r="O98" t="s">
        <v>111</v>
      </c>
      <c r="P98" t="str">
        <f>IFERROR(INDEX(MATRIZ_174!$C:$C,MATCH(A98,MATRIZ_174!$A:$A,0)),"")</f>
        <v>HUANUCO</v>
      </c>
    </row>
    <row r="99" spans="1:16" ht="16.05" customHeight="1" x14ac:dyDescent="0.3">
      <c r="A99" t="s">
        <v>274</v>
      </c>
      <c r="B99" t="s">
        <v>275</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IF(MATRIZ_174!O99="","",MATRIZ_174!O99)</f>
        <v/>
      </c>
      <c r="N99" t="str">
        <f>IFERROR(ISCAM_Score!AC100,"")</f>
        <v>⬜  Pendiente de instrumento</v>
      </c>
      <c r="O99" t="s">
        <v>111</v>
      </c>
      <c r="P99" t="str">
        <f>IFERROR(INDEX(MATRIZ_174!$C:$C,MATCH(A99,MATRIZ_174!$A:$A,0)),"")</f>
        <v>HUANUCO</v>
      </c>
    </row>
    <row r="100" spans="1:16" ht="16.05" customHeight="1" x14ac:dyDescent="0.3">
      <c r="A100" t="s">
        <v>277</v>
      </c>
      <c r="B100" t="s">
        <v>278</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IF(MATRIZ_174!O100="","",MATRIZ_174!O100)</f>
        <v/>
      </c>
      <c r="N100" t="str">
        <f>IFERROR(ISCAM_Score!AC101,"")</f>
        <v>⬜  Pendiente de instrumento</v>
      </c>
      <c r="O100" t="s">
        <v>72</v>
      </c>
      <c r="P100" t="str">
        <f>IFERROR(INDEX(MATRIZ_174!$C:$C,MATCH(A100,MATRIZ_174!$A:$A,0)),"")</f>
        <v>CUSCO</v>
      </c>
    </row>
    <row r="101" spans="1:16" ht="16.05" customHeight="1" x14ac:dyDescent="0.3">
      <c r="A101" t="s">
        <v>279</v>
      </c>
      <c r="B101" t="s">
        <v>280</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IF(MATRIZ_174!O101="","",MATRIZ_174!O101)</f>
        <v/>
      </c>
      <c r="N101" t="str">
        <f>IFERROR(ISCAM_Score!AC102,"")</f>
        <v>⬜  Pendiente de instrumento</v>
      </c>
      <c r="O101" t="s">
        <v>104</v>
      </c>
      <c r="P101" t="str">
        <f>IFERROR(INDEX(MATRIZ_174!$C:$C,MATCH(A101,MATRIZ_174!$A:$A,0)),"")</f>
        <v>AMAZONAS</v>
      </c>
    </row>
    <row r="102" spans="1:16" ht="16.05" customHeight="1" x14ac:dyDescent="0.3">
      <c r="A102" t="s">
        <v>281</v>
      </c>
      <c r="B102" t="s">
        <v>282</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IF(MATRIZ_174!O102="","",MATRIZ_174!O102)</f>
        <v/>
      </c>
      <c r="N102" t="str">
        <f>IFERROR(ISCAM_Score!AC103,"")</f>
        <v>⬜  Pendiente de instrumento</v>
      </c>
      <c r="O102" t="s">
        <v>111</v>
      </c>
      <c r="P102" t="str">
        <f>IFERROR(INDEX(MATRIZ_174!$C:$C,MATCH(A102,MATRIZ_174!$A:$A,0)),"")</f>
        <v>HUANUCO</v>
      </c>
    </row>
    <row r="103" spans="1:16" ht="16.05" customHeight="1" x14ac:dyDescent="0.3">
      <c r="A103" t="s">
        <v>283</v>
      </c>
      <c r="B103" t="s">
        <v>284</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IF(MATRIZ_174!O103="","",MATRIZ_174!O103)</f>
        <v/>
      </c>
      <c r="N103" t="str">
        <f>IFERROR(ISCAM_Score!AC104,"")</f>
        <v>⬜  Pendiente de instrumento</v>
      </c>
      <c r="O103" t="s">
        <v>184</v>
      </c>
      <c r="P103" t="str">
        <f>IFERROR(INDEX(MATRIZ_174!$C:$C,MATCH(A103,MATRIZ_174!$A:$A,0)),"")</f>
        <v>LORETO</v>
      </c>
    </row>
    <row r="104" spans="1:16" ht="16.05" customHeight="1" x14ac:dyDescent="0.3">
      <c r="A104" t="s">
        <v>285</v>
      </c>
      <c r="B104" t="s">
        <v>286</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IF(MATRIZ_174!O104="","",MATRIZ_174!O104)</f>
        <v/>
      </c>
      <c r="N104" t="str">
        <f>IFERROR(ISCAM_Score!AC105,"")</f>
        <v>⬜  Pendiente de instrumento</v>
      </c>
      <c r="O104" t="s">
        <v>233</v>
      </c>
      <c r="P104" t="str">
        <f>IFERROR(INDEX(MATRIZ_174!$C:$C,MATCH(A104,MATRIZ_174!$A:$A,0)),"")</f>
        <v>MADRE DE DIOS</v>
      </c>
    </row>
    <row r="105" spans="1:16" ht="16.05" customHeight="1" x14ac:dyDescent="0.3">
      <c r="A105" t="s">
        <v>287</v>
      </c>
      <c r="B105" t="s">
        <v>288</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IF(MATRIZ_174!O105="","",MATRIZ_174!O105)</f>
        <v/>
      </c>
      <c r="N105" t="str">
        <f>IFERROR(ISCAM_Score!AC106,"")</f>
        <v>⬜  Pendiente de instrumento</v>
      </c>
      <c r="O105" t="s">
        <v>104</v>
      </c>
      <c r="P105" t="str">
        <f>IFERROR(INDEX(MATRIZ_174!$C:$C,MATCH(A105,MATRIZ_174!$A:$A,0)),"")</f>
        <v>AMAZONAS</v>
      </c>
    </row>
    <row r="106" spans="1:16" ht="16.05" customHeight="1" x14ac:dyDescent="0.3">
      <c r="A106" t="s">
        <v>289</v>
      </c>
      <c r="B106" t="s">
        <v>290</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IF(MATRIZ_174!O106="","",MATRIZ_174!O106)</f>
        <v>1</v>
      </c>
      <c r="N106" t="str">
        <f>IFERROR(ISCAM_Score!AC107,"")</f>
        <v>⬜  Pendiente de instrumento</v>
      </c>
      <c r="O106" t="s">
        <v>131</v>
      </c>
      <c r="P106" t="str">
        <f>IFERROR(INDEX(MATRIZ_174!$C:$C,MATCH(A106,MATRIZ_174!$A:$A,0)),"")</f>
        <v>SAN MARTIN</v>
      </c>
    </row>
    <row r="107" spans="1:16" ht="16.05" customHeight="1" x14ac:dyDescent="0.3">
      <c r="A107" t="s">
        <v>291</v>
      </c>
      <c r="B107" t="s">
        <v>292</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IF(MATRIZ_174!O107="","",MATRIZ_174!O107)</f>
        <v/>
      </c>
      <c r="N107" t="str">
        <f>IFERROR(ISCAM_Score!AC108,"")</f>
        <v>⬜  Pendiente de instrumento</v>
      </c>
      <c r="O107" t="s">
        <v>101</v>
      </c>
      <c r="P107" t="str">
        <f>IFERROR(INDEX(MATRIZ_174!$C:$C,MATCH(A107,MATRIZ_174!$A:$A,0)),"")</f>
        <v>UCAYALI</v>
      </c>
    </row>
    <row r="108" spans="1:16" ht="16.05" customHeight="1" x14ac:dyDescent="0.3">
      <c r="A108" t="s">
        <v>293</v>
      </c>
      <c r="B108" t="s">
        <v>294</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IF(MATRIZ_174!O108="","",MATRIZ_174!O108)</f>
        <v/>
      </c>
      <c r="N108" t="str">
        <f>IFERROR(ISCAM_Score!AC109,"")</f>
        <v>⬜  Pendiente de instrumento</v>
      </c>
      <c r="O108" t="s">
        <v>101</v>
      </c>
      <c r="P108" t="str">
        <f>IFERROR(INDEX(MATRIZ_174!$C:$C,MATCH(A108,MATRIZ_174!$A:$A,0)),"")</f>
        <v>UCAYALI</v>
      </c>
    </row>
    <row r="109" spans="1:16" ht="16.05" customHeight="1" x14ac:dyDescent="0.3">
      <c r="A109" t="s">
        <v>295</v>
      </c>
      <c r="B109" t="s">
        <v>296</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IF(MATRIZ_174!O109="","",MATRIZ_174!O109)</f>
        <v/>
      </c>
      <c r="N109" t="str">
        <f>IFERROR(ISCAM_Score!AC110,"")</f>
        <v>⬜  Pendiente de instrumento</v>
      </c>
      <c r="O109" t="s">
        <v>64</v>
      </c>
      <c r="P109" t="str">
        <f>IFERROR(INDEX(MATRIZ_174!$C:$C,MATCH(A109,MATRIZ_174!$A:$A,0)),"")</f>
        <v>AYACUCHO</v>
      </c>
    </row>
    <row r="110" spans="1:16" ht="16.05" customHeight="1" x14ac:dyDescent="0.3">
      <c r="A110" t="s">
        <v>297</v>
      </c>
      <c r="B110" t="s">
        <v>298</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IF(MATRIZ_174!O110="","",MATRIZ_174!O110)</f>
        <v/>
      </c>
      <c r="N110" t="str">
        <f>IFERROR(ISCAM_Score!AC111,"")</f>
        <v>⬜  Pendiente de instrumento</v>
      </c>
      <c r="O110" t="s">
        <v>111</v>
      </c>
      <c r="P110" t="str">
        <f>IFERROR(INDEX(MATRIZ_174!$C:$C,MATCH(A110,MATRIZ_174!$A:$A,0)),"")</f>
        <v>HUANUCO</v>
      </c>
    </row>
    <row r="111" spans="1:16" ht="16.05" customHeight="1" x14ac:dyDescent="0.3">
      <c r="A111" t="s">
        <v>299</v>
      </c>
      <c r="B111" t="s">
        <v>300</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IF(MATRIZ_174!O111="","",MATRIZ_174!O111)</f>
        <v/>
      </c>
      <c r="N111" t="str">
        <f>IFERROR(ISCAM_Score!AC112,"")</f>
        <v>⬜  Pendiente de instrumento</v>
      </c>
      <c r="O111" t="s">
        <v>104</v>
      </c>
      <c r="P111" t="str">
        <f>IFERROR(INDEX(MATRIZ_174!$C:$C,MATCH(A111,MATRIZ_174!$A:$A,0)),"")</f>
        <v>AMAZONAS</v>
      </c>
    </row>
    <row r="112" spans="1:16" ht="16.05" customHeight="1" x14ac:dyDescent="0.3">
      <c r="A112" t="s">
        <v>301</v>
      </c>
      <c r="B112" t="s">
        <v>302</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IF(MATRIZ_174!O112="","",MATRIZ_174!O112)</f>
        <v/>
      </c>
      <c r="N112" t="str">
        <f>IFERROR(ISCAM_Score!AC113,"")</f>
        <v>⬜  Pendiente de instrumento</v>
      </c>
      <c r="O112" t="s">
        <v>111</v>
      </c>
      <c r="P112" t="str">
        <f>IFERROR(INDEX(MATRIZ_174!$C:$C,MATCH(A112,MATRIZ_174!$A:$A,0)),"")</f>
        <v>HUANUCO</v>
      </c>
    </row>
    <row r="113" spans="1:16" ht="16.05" customHeight="1" x14ac:dyDescent="0.3">
      <c r="A113" t="s">
        <v>303</v>
      </c>
      <c r="B113" t="s">
        <v>304</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IF(MATRIZ_174!O113="","",MATRIZ_174!O113)</f>
        <v/>
      </c>
      <c r="N113" t="str">
        <f>IFERROR(ISCAM_Score!AC114,"")</f>
        <v>⬜  Pendiente de instrumento</v>
      </c>
      <c r="O113" t="s">
        <v>142</v>
      </c>
      <c r="P113" t="str">
        <f>IFERROR(INDEX(MATRIZ_174!$C:$C,MATCH(A113,MATRIZ_174!$A:$A,0)),"")</f>
        <v>CAJAMARCA</v>
      </c>
    </row>
    <row r="114" spans="1:16" ht="16.05" customHeight="1" x14ac:dyDescent="0.3">
      <c r="A114" t="s">
        <v>305</v>
      </c>
      <c r="B114" t="s">
        <v>306</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IF(MATRIZ_174!O114="","",MATRIZ_174!O114)</f>
        <v/>
      </c>
      <c r="N114" t="str">
        <f>IFERROR(ISCAM_Score!AC115,"")</f>
        <v>⬜  Pendiente de instrumento</v>
      </c>
      <c r="O114" t="s">
        <v>233</v>
      </c>
      <c r="P114" t="str">
        <f>IFERROR(INDEX(MATRIZ_174!$C:$C,MATCH(A114,MATRIZ_174!$A:$A,0)),"")</f>
        <v>MADRE DE DIOS</v>
      </c>
    </row>
    <row r="115" spans="1:16" ht="16.05" customHeight="1" x14ac:dyDescent="0.3">
      <c r="A115" t="s">
        <v>307</v>
      </c>
      <c r="B115" t="s">
        <v>308</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IF(MATRIZ_174!O115="","",MATRIZ_174!O115)</f>
        <v/>
      </c>
      <c r="N115" t="str">
        <f>IFERROR(ISCAM_Score!AC116,"")</f>
        <v>⬜  Pendiente de instrumento</v>
      </c>
      <c r="O115" t="s">
        <v>131</v>
      </c>
      <c r="P115" t="str">
        <f>IFERROR(INDEX(MATRIZ_174!$C:$C,MATCH(A115,MATRIZ_174!$A:$A,0)),"")</f>
        <v>SAN MARTIN</v>
      </c>
    </row>
    <row r="116" spans="1:16" ht="16.05" customHeight="1" x14ac:dyDescent="0.3">
      <c r="A116" t="s">
        <v>309</v>
      </c>
      <c r="B116" t="s">
        <v>310</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IF(MATRIZ_174!O116="","",MATRIZ_174!O116)</f>
        <v/>
      </c>
      <c r="N116" t="str">
        <f>IFERROR(ISCAM_Score!AC117,"")</f>
        <v>⬜  Pendiente de instrumento</v>
      </c>
      <c r="O116" t="s">
        <v>233</v>
      </c>
      <c r="P116" t="str">
        <f>IFERROR(INDEX(MATRIZ_174!$C:$C,MATCH(A116,MATRIZ_174!$A:$A,0)),"")</f>
        <v>MADRE DE DIOS</v>
      </c>
    </row>
    <row r="117" spans="1:16" ht="16.05" customHeight="1" x14ac:dyDescent="0.3">
      <c r="A117" t="s">
        <v>311</v>
      </c>
      <c r="B117" t="s">
        <v>312</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IF(MATRIZ_174!O117="","",MATRIZ_174!O117)</f>
        <v/>
      </c>
      <c r="N117" t="str">
        <f>IFERROR(ISCAM_Score!AC118,"")</f>
        <v>⬜  Pendiente de instrumento</v>
      </c>
      <c r="O117" t="s">
        <v>171</v>
      </c>
      <c r="P117" t="str">
        <f>IFERROR(INDEX(MATRIZ_174!$C:$C,MATCH(A117,MATRIZ_174!$A:$A,0)),"")</f>
        <v>LAMBAYEQUE</v>
      </c>
    </row>
    <row r="118" spans="1:16" ht="16.05" customHeight="1" x14ac:dyDescent="0.3">
      <c r="A118" t="s">
        <v>313</v>
      </c>
      <c r="B118" t="s">
        <v>314</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IF(MATRIZ_174!O118="","",MATRIZ_174!O118)</f>
        <v/>
      </c>
      <c r="N118" t="str">
        <f>IFERROR(ISCAM_Score!AC119,"")</f>
        <v>⬜  Pendiente de instrumento</v>
      </c>
      <c r="O118" t="s">
        <v>101</v>
      </c>
      <c r="P118" t="str">
        <f>IFERROR(INDEX(MATRIZ_174!$C:$C,MATCH(A118,MATRIZ_174!$A:$A,0)),"")</f>
        <v>UCAYALI</v>
      </c>
    </row>
    <row r="119" spans="1:16" ht="16.05" customHeight="1" x14ac:dyDescent="0.3">
      <c r="A119" t="s">
        <v>315</v>
      </c>
      <c r="B119" t="s">
        <v>316</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IF(MATRIZ_174!O119="","",MATRIZ_174!O119)</f>
        <v/>
      </c>
      <c r="N119" t="str">
        <f>IFERROR(ISCAM_Score!AC120,"")</f>
        <v>⬜  Pendiente de instrumento</v>
      </c>
      <c r="O119" t="s">
        <v>101</v>
      </c>
      <c r="P119" t="str">
        <f>IFERROR(INDEX(MATRIZ_174!$C:$C,MATCH(A119,MATRIZ_174!$A:$A,0)),"")</f>
        <v>UCAYALI</v>
      </c>
    </row>
    <row r="120" spans="1:16" ht="16.05" customHeight="1" x14ac:dyDescent="0.3">
      <c r="A120" t="s">
        <v>317</v>
      </c>
      <c r="B120" t="s">
        <v>318</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IF(MATRIZ_174!O120="","",MATRIZ_174!O120)</f>
        <v/>
      </c>
      <c r="N120" t="str">
        <f>IFERROR(ISCAM_Score!AC121,"")</f>
        <v>⬜  Pendiente de instrumento</v>
      </c>
      <c r="O120" t="s">
        <v>142</v>
      </c>
      <c r="P120" t="str">
        <f>IFERROR(INDEX(MATRIZ_174!$C:$C,MATCH(A120,MATRIZ_174!$A:$A,0)),"")</f>
        <v>CAJAMARCA</v>
      </c>
    </row>
    <row r="121" spans="1:16" ht="16.05" customHeight="1" x14ac:dyDescent="0.3">
      <c r="A121" t="s">
        <v>319</v>
      </c>
      <c r="B121" t="s">
        <v>320</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IF(MATRIZ_174!O121="","",MATRIZ_174!O121)</f>
        <v/>
      </c>
      <c r="N121" t="str">
        <f>IFERROR(ISCAM_Score!AC122,"")</f>
        <v>⬜  Pendiente de instrumento</v>
      </c>
      <c r="O121" t="s">
        <v>241</v>
      </c>
      <c r="P121" t="str">
        <f>IFERROR(INDEX(MATRIZ_174!$C:$C,MATCH(A121,MATRIZ_174!$A:$A,0)),"")</f>
        <v>PASCO</v>
      </c>
    </row>
    <row r="122" spans="1:16" ht="16.05" customHeight="1" x14ac:dyDescent="0.3">
      <c r="A122" t="s">
        <v>321</v>
      </c>
      <c r="B122" t="s">
        <v>322</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IF(MATRIZ_174!O122="","",MATRIZ_174!O122)</f>
        <v/>
      </c>
      <c r="N122" t="str">
        <f>IFERROR(ISCAM_Score!AC123,"")</f>
        <v>⬜  Pendiente de instrumento</v>
      </c>
      <c r="O122" t="s">
        <v>111</v>
      </c>
      <c r="P122" t="str">
        <f>IFERROR(INDEX(MATRIZ_174!$C:$C,MATCH(A122,MATRIZ_174!$A:$A,0)),"")</f>
        <v>HUANUCO</v>
      </c>
    </row>
    <row r="123" spans="1:16" ht="16.05" customHeight="1" x14ac:dyDescent="0.3">
      <c r="A123" t="s">
        <v>323</v>
      </c>
      <c r="B123" t="s">
        <v>324</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IF(MATRIZ_174!O123="","",MATRIZ_174!O123)</f>
        <v/>
      </c>
      <c r="N123" t="str">
        <f>IFERROR(ISCAM_Score!AC124,"")</f>
        <v>⬜  Pendiente de instrumento</v>
      </c>
      <c r="O123" t="s">
        <v>69</v>
      </c>
      <c r="P123" t="str">
        <f>IFERROR(INDEX(MATRIZ_174!$C:$C,MATCH(A123,MATRIZ_174!$A:$A,0)),"")</f>
        <v>JUNIN</v>
      </c>
    </row>
    <row r="124" spans="1:16" ht="16.05" customHeight="1" x14ac:dyDescent="0.3">
      <c r="A124" t="s">
        <v>325</v>
      </c>
      <c r="B124" t="s">
        <v>326</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IF(MATRIZ_174!O124="","",MATRIZ_174!O124)</f>
        <v>1</v>
      </c>
      <c r="N124" t="str">
        <f>IFERROR(ISCAM_Score!AC125,"")</f>
        <v>⬜  Pendiente de instrumento</v>
      </c>
      <c r="O124" t="s">
        <v>104</v>
      </c>
      <c r="P124" t="str">
        <f>IFERROR(INDEX(MATRIZ_174!$C:$C,MATCH(A124,MATRIZ_174!$A:$A,0)),"")</f>
        <v>AMAZONAS</v>
      </c>
    </row>
    <row r="125" spans="1:16" ht="16.05" customHeight="1" x14ac:dyDescent="0.3">
      <c r="A125" t="s">
        <v>328</v>
      </c>
      <c r="B125" t="s">
        <v>329</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IF(MATRIZ_174!O125="","",MATRIZ_174!O125)</f>
        <v/>
      </c>
      <c r="N125" t="str">
        <f>IFERROR(ISCAM_Score!AC126,"")</f>
        <v>⬜  Pendiente de instrumento</v>
      </c>
      <c r="O125" t="s">
        <v>69</v>
      </c>
      <c r="P125" t="str">
        <f>IFERROR(INDEX(MATRIZ_174!$C:$C,MATCH(A125,MATRIZ_174!$A:$A,0)),"")</f>
        <v>JUNIN</v>
      </c>
    </row>
    <row r="126" spans="1:16" ht="16.05" customHeight="1" x14ac:dyDescent="0.3">
      <c r="A126" t="s">
        <v>330</v>
      </c>
      <c r="B126" t="s">
        <v>331</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IF(MATRIZ_174!O126="","",MATRIZ_174!O126)</f>
        <v/>
      </c>
      <c r="N126" t="str">
        <f>IFERROR(ISCAM_Score!AC127,"")</f>
        <v>⬜  Pendiente de instrumento</v>
      </c>
      <c r="O126" t="s">
        <v>69</v>
      </c>
      <c r="P126" t="str">
        <f>IFERROR(INDEX(MATRIZ_174!$C:$C,MATCH(A126,MATRIZ_174!$A:$A,0)),"")</f>
        <v>JUNIN</v>
      </c>
    </row>
    <row r="127" spans="1:16" ht="16.05" customHeight="1" x14ac:dyDescent="0.3">
      <c r="A127" t="s">
        <v>332</v>
      </c>
      <c r="B127" t="s">
        <v>333</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IF(MATRIZ_174!O127="","",MATRIZ_174!O127)</f>
        <v/>
      </c>
      <c r="N127" t="str">
        <f>IFERROR(ISCAM_Score!AC128,"")</f>
        <v>⬜  Pendiente de instrumento</v>
      </c>
      <c r="O127" t="s">
        <v>69</v>
      </c>
      <c r="P127" t="str">
        <f>IFERROR(INDEX(MATRIZ_174!$C:$C,MATCH(A127,MATRIZ_174!$A:$A,0)),"")</f>
        <v>JUNIN</v>
      </c>
    </row>
    <row r="128" spans="1:16" ht="16.05" customHeight="1" x14ac:dyDescent="0.3">
      <c r="A128" t="s">
        <v>334</v>
      </c>
      <c r="B128" t="s">
        <v>335</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IF(MATRIZ_174!O128="","",MATRIZ_174!O128)</f>
        <v/>
      </c>
      <c r="N128" t="str">
        <f>IFERROR(ISCAM_Score!AC129,"")</f>
        <v>⬜  Pendiente de instrumento</v>
      </c>
      <c r="O128" t="s">
        <v>104</v>
      </c>
      <c r="P128" t="str">
        <f>IFERROR(INDEX(MATRIZ_174!$C:$C,MATCH(A128,MATRIZ_174!$A:$A,0)),"")</f>
        <v>AMAZONAS</v>
      </c>
    </row>
    <row r="129" spans="1:16" ht="16.05" customHeight="1" x14ac:dyDescent="0.3">
      <c r="A129" t="s">
        <v>336</v>
      </c>
      <c r="B129" t="s">
        <v>337</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IF(MATRIZ_174!O129="","",MATRIZ_174!O129)</f>
        <v/>
      </c>
      <c r="N129" t="str">
        <f>IFERROR(ISCAM_Score!AC130,"")</f>
        <v>⬜  Pendiente de instrumento</v>
      </c>
      <c r="O129" t="s">
        <v>101</v>
      </c>
      <c r="P129" t="str">
        <f>IFERROR(INDEX(MATRIZ_174!$C:$C,MATCH(A129,MATRIZ_174!$A:$A,0)),"")</f>
        <v>UCAYALI</v>
      </c>
    </row>
    <row r="130" spans="1:16" ht="16.05" customHeight="1" x14ac:dyDescent="0.3">
      <c r="A130" t="s">
        <v>338</v>
      </c>
      <c r="B130" t="s">
        <v>339</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IF(MATRIZ_174!O130="","",MATRIZ_174!O130)</f>
        <v>1</v>
      </c>
      <c r="N130" t="str">
        <f>IFERROR(ISCAM_Score!AC131,"")</f>
        <v>⬜  Pendiente de instrumento</v>
      </c>
      <c r="O130" t="s">
        <v>241</v>
      </c>
      <c r="P130" t="str">
        <f>IFERROR(INDEX(MATRIZ_174!$C:$C,MATCH(A130,MATRIZ_174!$A:$A,0)),"")</f>
        <v>PASCO</v>
      </c>
    </row>
    <row r="131" spans="1:16" ht="16.05" customHeight="1" x14ac:dyDescent="0.3">
      <c r="A131" t="s">
        <v>341</v>
      </c>
      <c r="B131" t="s">
        <v>342</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IF(MATRIZ_174!O131="","",MATRIZ_174!O131)</f>
        <v/>
      </c>
      <c r="N131" t="str">
        <f>IFERROR(ISCAM_Score!AC132,"")</f>
        <v>⬜  Pendiente de instrumento</v>
      </c>
      <c r="O131" t="s">
        <v>69</v>
      </c>
      <c r="P131" t="str">
        <f>IFERROR(INDEX(MATRIZ_174!$C:$C,MATCH(A131,MATRIZ_174!$A:$A,0)),"")</f>
        <v>JUNIN</v>
      </c>
    </row>
    <row r="132" spans="1:16" ht="16.05" customHeight="1" x14ac:dyDescent="0.3">
      <c r="A132" t="s">
        <v>343</v>
      </c>
      <c r="B132" t="s">
        <v>344</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IF(MATRIZ_174!O132="","",MATRIZ_174!O132)</f>
        <v/>
      </c>
      <c r="N132" t="str">
        <f>IFERROR(ISCAM_Score!AC133,"")</f>
        <v>⬜  Pendiente de instrumento</v>
      </c>
      <c r="O132" t="s">
        <v>101</v>
      </c>
      <c r="P132" t="str">
        <f>IFERROR(INDEX(MATRIZ_174!$C:$C,MATCH(A132,MATRIZ_174!$A:$A,0)),"")</f>
        <v>UCAYALI</v>
      </c>
    </row>
    <row r="133" spans="1:16" ht="16.05" customHeight="1" x14ac:dyDescent="0.3">
      <c r="A133" t="s">
        <v>345</v>
      </c>
      <c r="B133" t="s">
        <v>346</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IF(MATRIZ_174!O133="","",MATRIZ_174!O133)</f>
        <v/>
      </c>
      <c r="N133" t="str">
        <f>IFERROR(ISCAM_Score!AC134,"")</f>
        <v>⬜  Pendiente de instrumento</v>
      </c>
      <c r="O133" t="s">
        <v>95</v>
      </c>
      <c r="P133" t="str">
        <f>IFERROR(INDEX(MATRIZ_174!$C:$C,MATCH(A133,MATRIZ_174!$A:$A,0)),"")</f>
        <v>PIURA</v>
      </c>
    </row>
    <row r="134" spans="1:16" ht="16.05" customHeight="1" x14ac:dyDescent="0.3">
      <c r="A134" t="s">
        <v>347</v>
      </c>
      <c r="B134" t="s">
        <v>348</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IF(MATRIZ_174!O134="","",MATRIZ_174!O134)</f>
        <v>1</v>
      </c>
      <c r="N134" t="str">
        <f>IFERROR(ISCAM_Score!AC135,"")</f>
        <v>⬜  Pendiente de instrumento</v>
      </c>
      <c r="O134" t="s">
        <v>69</v>
      </c>
      <c r="P134" t="str">
        <f>IFERROR(INDEX(MATRIZ_174!$C:$C,MATCH(A134,MATRIZ_174!$A:$A,0)),"")</f>
        <v>JUNIN</v>
      </c>
    </row>
    <row r="135" spans="1:16" ht="16.05" customHeight="1" x14ac:dyDescent="0.3">
      <c r="A135" t="s">
        <v>350</v>
      </c>
      <c r="B135" t="s">
        <v>351</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IF(MATRIZ_174!O135="","",MATRIZ_174!O135)</f>
        <v>1</v>
      </c>
      <c r="N135" t="str">
        <f>IFERROR(ISCAM_Score!AC136,"")</f>
        <v>⬜  Pendiente de instrumento</v>
      </c>
      <c r="O135" t="s">
        <v>131</v>
      </c>
      <c r="P135" t="str">
        <f>IFERROR(INDEX(MATRIZ_174!$C:$C,MATCH(A135,MATRIZ_174!$A:$A,0)),"")</f>
        <v>SAN MARTIN</v>
      </c>
    </row>
    <row r="136" spans="1:16" ht="16.05" customHeight="1" x14ac:dyDescent="0.3">
      <c r="A136" t="s">
        <v>353</v>
      </c>
      <c r="B136" t="s">
        <v>354</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IF(MATRIZ_174!O136="","",MATRIZ_174!O136)</f>
        <v/>
      </c>
      <c r="N136" t="str">
        <f>IFERROR(ISCAM_Score!AC137,"")</f>
        <v>⬜  Pendiente de instrumento</v>
      </c>
      <c r="O136" t="s">
        <v>69</v>
      </c>
      <c r="P136" t="str">
        <f>IFERROR(INDEX(MATRIZ_174!$C:$C,MATCH(A136,MATRIZ_174!$A:$A,0)),"")</f>
        <v>JUNIN</v>
      </c>
    </row>
    <row r="137" spans="1:16" ht="16.05" customHeight="1" x14ac:dyDescent="0.3">
      <c r="A137" t="s">
        <v>355</v>
      </c>
      <c r="B137" t="s">
        <v>356</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IF(MATRIZ_174!O137="","",MATRIZ_174!O137)</f>
        <v/>
      </c>
      <c r="N137" t="str">
        <f>IFERROR(ISCAM_Score!AC138,"")</f>
        <v>⬜  Pendiente de instrumento</v>
      </c>
      <c r="O137" t="s">
        <v>72</v>
      </c>
      <c r="P137" t="str">
        <f>IFERROR(INDEX(MATRIZ_174!$C:$C,MATCH(A137,MATRIZ_174!$A:$A,0)),"")</f>
        <v>CUSCO</v>
      </c>
    </row>
    <row r="138" spans="1:16" ht="16.05" customHeight="1" x14ac:dyDescent="0.3">
      <c r="A138" t="s">
        <v>357</v>
      </c>
      <c r="B138" t="s">
        <v>358</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IF(MATRIZ_174!O138="","",MATRIZ_174!O138)</f>
        <v/>
      </c>
      <c r="N138" t="str">
        <f>IFERROR(ISCAM_Score!AC139,"")</f>
        <v>⬜  Pendiente de instrumento</v>
      </c>
      <c r="O138" t="s">
        <v>104</v>
      </c>
      <c r="P138" t="str">
        <f>IFERROR(INDEX(MATRIZ_174!$C:$C,MATCH(A138,MATRIZ_174!$A:$A,0)),"")</f>
        <v>AMAZONAS</v>
      </c>
    </row>
    <row r="139" spans="1:16" ht="16.05" customHeight="1" x14ac:dyDescent="0.3">
      <c r="A139" t="s">
        <v>359</v>
      </c>
      <c r="B139" t="s">
        <v>360</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IF(MATRIZ_174!O139="","",MATRIZ_174!O139)</f>
        <v/>
      </c>
      <c r="N139" t="str">
        <f>IFERROR(ISCAM_Score!AC140,"")</f>
        <v>⬜  Pendiente de instrumento</v>
      </c>
      <c r="O139" t="s">
        <v>184</v>
      </c>
      <c r="P139" t="str">
        <f>IFERROR(INDEX(MATRIZ_174!$C:$C,MATCH(A139,MATRIZ_174!$A:$A,0)),"")</f>
        <v>LORETO</v>
      </c>
    </row>
    <row r="140" spans="1:16" ht="16.05" customHeight="1" x14ac:dyDescent="0.3">
      <c r="A140" t="s">
        <v>361</v>
      </c>
      <c r="B140" t="s">
        <v>362</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IF(MATRIZ_174!O140="","",MATRIZ_174!O140)</f>
        <v/>
      </c>
      <c r="N140" t="str">
        <f>IFERROR(ISCAM_Score!AC141,"")</f>
        <v>⬜  Pendiente de instrumento</v>
      </c>
      <c r="O140" t="s">
        <v>69</v>
      </c>
      <c r="P140" t="str">
        <f>IFERROR(INDEX(MATRIZ_174!$C:$C,MATCH(A140,MATRIZ_174!$A:$A,0)),"")</f>
        <v>JUNIN</v>
      </c>
    </row>
    <row r="141" spans="1:16" ht="16.05" customHeight="1" x14ac:dyDescent="0.3">
      <c r="A141" t="s">
        <v>363</v>
      </c>
      <c r="B141" t="s">
        <v>364</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IF(MATRIZ_174!O141="","",MATRIZ_174!O141)</f>
        <v/>
      </c>
      <c r="N141" t="str">
        <f>IFERROR(ISCAM_Score!AC142,"")</f>
        <v>⬜  Pendiente de instrumento</v>
      </c>
      <c r="O141" t="s">
        <v>72</v>
      </c>
      <c r="P141" t="str">
        <f>IFERROR(INDEX(MATRIZ_174!$C:$C,MATCH(A141,MATRIZ_174!$A:$A,0)),"")</f>
        <v>CUSCO</v>
      </c>
    </row>
    <row r="142" spans="1:16" ht="16.05" customHeight="1" x14ac:dyDescent="0.3">
      <c r="A142" t="s">
        <v>365</v>
      </c>
      <c r="B142" t="s">
        <v>366</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IF(MATRIZ_174!O142="","",MATRIZ_174!O142)</f>
        <v/>
      </c>
      <c r="N142" t="str">
        <f>IFERROR(ISCAM_Score!AC143,"")</f>
        <v>⬜  Pendiente de instrumento</v>
      </c>
      <c r="O142" t="s">
        <v>72</v>
      </c>
      <c r="P142" t="str">
        <f>IFERROR(INDEX(MATRIZ_174!$C:$C,MATCH(A142,MATRIZ_174!$A:$A,0)),"")</f>
        <v>CUSCO</v>
      </c>
    </row>
    <row r="143" spans="1:16" ht="16.05" customHeight="1" x14ac:dyDescent="0.3">
      <c r="A143" t="s">
        <v>367</v>
      </c>
      <c r="B143" t="s">
        <v>368</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IF(MATRIZ_174!O143="","",MATRIZ_174!O143)</f>
        <v>1</v>
      </c>
      <c r="N143" t="str">
        <f>IFERROR(ISCAM_Score!AC144,"")</f>
        <v>⬜  Pendiente de instrumento</v>
      </c>
      <c r="O143" t="s">
        <v>131</v>
      </c>
      <c r="P143" t="str">
        <f>IFERROR(INDEX(MATRIZ_174!$C:$C,MATCH(A143,MATRIZ_174!$A:$A,0)),"")</f>
        <v>SAN MARTIN</v>
      </c>
    </row>
    <row r="144" spans="1:16" ht="16.05" customHeight="1" x14ac:dyDescent="0.3">
      <c r="A144" t="s">
        <v>369</v>
      </c>
      <c r="B144" t="s">
        <v>370</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IF(MATRIZ_174!O144="","",MATRIZ_174!O144)</f>
        <v/>
      </c>
      <c r="N144" t="str">
        <f>IFERROR(ISCAM_Score!AC145,"")</f>
        <v>⬜  Pendiente de instrumento</v>
      </c>
      <c r="O144" t="s">
        <v>72</v>
      </c>
      <c r="P144" t="str">
        <f>IFERROR(INDEX(MATRIZ_174!$C:$C,MATCH(A144,MATRIZ_174!$A:$A,0)),"")</f>
        <v>CUSCO</v>
      </c>
    </row>
    <row r="145" spans="1:16" ht="16.05" customHeight="1" x14ac:dyDescent="0.3">
      <c r="A145" t="s">
        <v>371</v>
      </c>
      <c r="B145" t="s">
        <v>372</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IF(MATRIZ_174!O145="","",MATRIZ_174!O145)</f>
        <v/>
      </c>
      <c r="N145" t="str">
        <f>IFERROR(ISCAM_Score!AC146,"")</f>
        <v>⬜  Pendiente de instrumento</v>
      </c>
      <c r="O145" t="s">
        <v>72</v>
      </c>
      <c r="P145" t="str">
        <f>IFERROR(INDEX(MATRIZ_174!$C:$C,MATCH(A145,MATRIZ_174!$A:$A,0)),"")</f>
        <v>CUSCO</v>
      </c>
    </row>
    <row r="146" spans="1:16" ht="16.05" customHeight="1" x14ac:dyDescent="0.3">
      <c r="A146" t="s">
        <v>373</v>
      </c>
      <c r="B146" t="s">
        <v>374</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IF(MATRIZ_174!O146="","",MATRIZ_174!O146)</f>
        <v>1</v>
      </c>
      <c r="N146" t="str">
        <f>IFERROR(ISCAM_Score!AC147,"")</f>
        <v>⬜  Pendiente de instrumento</v>
      </c>
      <c r="O146" t="s">
        <v>69</v>
      </c>
      <c r="P146" t="str">
        <f>IFERROR(INDEX(MATRIZ_174!$C:$C,MATCH(A146,MATRIZ_174!$A:$A,0)),"")</f>
        <v>JUNIN</v>
      </c>
    </row>
    <row r="147" spans="1:16" ht="16.05" customHeight="1" x14ac:dyDescent="0.3">
      <c r="A147" t="s">
        <v>375</v>
      </c>
      <c r="B147" t="s">
        <v>376</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IF(MATRIZ_174!O147="","",MATRIZ_174!O147)</f>
        <v/>
      </c>
      <c r="N147" t="str">
        <f>IFERROR(ISCAM_Score!AC148,"")</f>
        <v>⬜  Pendiente de instrumento</v>
      </c>
      <c r="O147" t="s">
        <v>233</v>
      </c>
      <c r="P147" t="str">
        <f>IFERROR(INDEX(MATRIZ_174!$C:$C,MATCH(A147,MATRIZ_174!$A:$A,0)),"")</f>
        <v>MADRE DE DIOS</v>
      </c>
    </row>
    <row r="148" spans="1:16" ht="16.05" customHeight="1" x14ac:dyDescent="0.3">
      <c r="A148" t="s">
        <v>377</v>
      </c>
      <c r="B148" t="s">
        <v>378</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IF(MATRIZ_174!O148="","",MATRIZ_174!O148)</f>
        <v/>
      </c>
      <c r="N148" t="str">
        <f>IFERROR(ISCAM_Score!AC149,"")</f>
        <v>⬜  Pendiente de instrumento</v>
      </c>
      <c r="O148" t="s">
        <v>72</v>
      </c>
      <c r="P148" t="str">
        <f>IFERROR(INDEX(MATRIZ_174!$C:$C,MATCH(A148,MATRIZ_174!$A:$A,0)),"")</f>
        <v>CUSCO</v>
      </c>
    </row>
    <row r="149" spans="1:16" ht="16.05" customHeight="1" x14ac:dyDescent="0.3">
      <c r="A149" t="s">
        <v>379</v>
      </c>
      <c r="B149" t="s">
        <v>380</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IF(MATRIZ_174!O149="","",MATRIZ_174!O149)</f>
        <v>1</v>
      </c>
      <c r="N149" t="str">
        <f>IFERROR(ISCAM_Score!AC150,"")</f>
        <v>⬜  Pendiente de instrumento</v>
      </c>
      <c r="O149" t="s">
        <v>142</v>
      </c>
      <c r="P149" t="str">
        <f>IFERROR(INDEX(MATRIZ_174!$C:$C,MATCH(A149,MATRIZ_174!$A:$A,0)),"")</f>
        <v>CAJAMARCA</v>
      </c>
    </row>
    <row r="150" spans="1:16" ht="16.05" customHeight="1" x14ac:dyDescent="0.3">
      <c r="A150" t="s">
        <v>381</v>
      </c>
      <c r="B150" t="s">
        <v>382</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IF(MATRIZ_174!O150="","",MATRIZ_174!O150)</f>
        <v/>
      </c>
      <c r="N150" t="str">
        <f>IFERROR(ISCAM_Score!AC151,"")</f>
        <v>⬜  Pendiente de instrumento</v>
      </c>
      <c r="O150" t="s">
        <v>95</v>
      </c>
      <c r="P150" t="str">
        <f>IFERROR(INDEX(MATRIZ_174!$C:$C,MATCH(A150,MATRIZ_174!$A:$A,0)),"")</f>
        <v>PIURA</v>
      </c>
    </row>
    <row r="151" spans="1:16" ht="16.05" customHeight="1" x14ac:dyDescent="0.3">
      <c r="A151" t="s">
        <v>383</v>
      </c>
      <c r="B151" t="s">
        <v>384</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IF(MATRIZ_174!O151="","",MATRIZ_174!O151)</f>
        <v/>
      </c>
      <c r="N151" t="str">
        <f>IFERROR(ISCAM_Score!AC152,"")</f>
        <v>⬜  Pendiente de instrumento</v>
      </c>
      <c r="O151" t="s">
        <v>171</v>
      </c>
      <c r="P151" t="str">
        <f>IFERROR(INDEX(MATRIZ_174!$C:$C,MATCH(A151,MATRIZ_174!$A:$A,0)),"")</f>
        <v>LAMBAYEQUE</v>
      </c>
    </row>
    <row r="152" spans="1:16" ht="16.05" customHeight="1" x14ac:dyDescent="0.3">
      <c r="A152" t="s">
        <v>385</v>
      </c>
      <c r="B152" t="s">
        <v>386</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IF(MATRIZ_174!O152="","",MATRIZ_174!O152)</f>
        <v/>
      </c>
      <c r="N152" t="str">
        <f>IFERROR(ISCAM_Score!AC153,"")</f>
        <v>⬜  Pendiente de instrumento</v>
      </c>
      <c r="O152" t="s">
        <v>72</v>
      </c>
      <c r="P152" t="str">
        <f>IFERROR(INDEX(MATRIZ_174!$C:$C,MATCH(A152,MATRIZ_174!$A:$A,0)),"")</f>
        <v>CUSCO</v>
      </c>
    </row>
    <row r="153" spans="1:16" ht="16.05" customHeight="1" x14ac:dyDescent="0.3">
      <c r="A153" t="s">
        <v>387</v>
      </c>
      <c r="B153" t="s">
        <v>388</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IF(MATRIZ_174!O153="","",MATRIZ_174!O153)</f>
        <v/>
      </c>
      <c r="N153" t="str">
        <f>IFERROR(ISCAM_Score!AC154,"")</f>
        <v>⬜  Pendiente de instrumento</v>
      </c>
      <c r="O153" t="s">
        <v>72</v>
      </c>
      <c r="P153" t="str">
        <f>IFERROR(INDEX(MATRIZ_174!$C:$C,MATCH(A153,MATRIZ_174!$A:$A,0)),"")</f>
        <v>CUSCO</v>
      </c>
    </row>
    <row r="154" spans="1:16" ht="16.05" customHeight="1" x14ac:dyDescent="0.3">
      <c r="A154" t="s">
        <v>389</v>
      </c>
      <c r="B154" t="s">
        <v>390</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IF(MATRIZ_174!O154="","",MATRIZ_174!O154)</f>
        <v>0.4</v>
      </c>
      <c r="N154" t="str">
        <f>IFERROR(ISCAM_Score!AC155,"")</f>
        <v>⬜  Pendiente de instrumento</v>
      </c>
      <c r="O154" t="s">
        <v>69</v>
      </c>
      <c r="P154" t="str">
        <f>IFERROR(INDEX(MATRIZ_174!$C:$C,MATCH(A154,MATRIZ_174!$A:$A,0)),"")</f>
        <v>JUNIN</v>
      </c>
    </row>
    <row r="155" spans="1:16" ht="16.05" customHeight="1" x14ac:dyDescent="0.3">
      <c r="A155" t="s">
        <v>391</v>
      </c>
      <c r="B155" t="s">
        <v>392</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IF(MATRIZ_174!O155="","",MATRIZ_174!O155)</f>
        <v/>
      </c>
      <c r="N155" t="str">
        <f>IFERROR(ISCAM_Score!AC156,"")</f>
        <v>⬜  Pendiente de instrumento</v>
      </c>
      <c r="O155" t="s">
        <v>101</v>
      </c>
      <c r="P155" t="str">
        <f>IFERROR(INDEX(MATRIZ_174!$C:$C,MATCH(A155,MATRIZ_174!$A:$A,0)),"")</f>
        <v>UCAYALI</v>
      </c>
    </row>
    <row r="156" spans="1:16" ht="16.05" customHeight="1" x14ac:dyDescent="0.3">
      <c r="A156" t="s">
        <v>393</v>
      </c>
      <c r="B156" t="s">
        <v>394</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IF(MATRIZ_174!O156="","",MATRIZ_174!O156)</f>
        <v/>
      </c>
      <c r="N156" t="str">
        <f>IFERROR(ISCAM_Score!AC157,"")</f>
        <v>⬜  Pendiente de instrumento</v>
      </c>
      <c r="O156" t="s">
        <v>171</v>
      </c>
      <c r="P156" t="str">
        <f>IFERROR(INDEX(MATRIZ_174!$C:$C,MATCH(A156,MATRIZ_174!$A:$A,0)),"")</f>
        <v>LAMBAYEQUE</v>
      </c>
    </row>
    <row r="157" spans="1:16" ht="16.05" customHeight="1" x14ac:dyDescent="0.3">
      <c r="A157" t="s">
        <v>395</v>
      </c>
      <c r="B157" t="s">
        <v>396</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IF(MATRIZ_174!O157="","",MATRIZ_174!O157)</f>
        <v>1</v>
      </c>
      <c r="N157" t="str">
        <f>IFERROR(ISCAM_Score!AC158,"")</f>
        <v>⬜  Pendiente de instrumento</v>
      </c>
      <c r="O157" t="s">
        <v>131</v>
      </c>
      <c r="P157" t="str">
        <f>IFERROR(INDEX(MATRIZ_174!$C:$C,MATCH(A157,MATRIZ_174!$A:$A,0)),"")</f>
        <v>SAN MARTIN</v>
      </c>
    </row>
    <row r="158" spans="1:16" ht="16.05" customHeight="1" x14ac:dyDescent="0.3">
      <c r="A158" t="s">
        <v>398</v>
      </c>
      <c r="B158" t="s">
        <v>399</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IF(MATRIZ_174!O158="","",MATRIZ_174!O158)</f>
        <v/>
      </c>
      <c r="N158" t="str">
        <f>IFERROR(ISCAM_Score!AC159,"")</f>
        <v>⬜  Pendiente de instrumento</v>
      </c>
      <c r="O158" t="s">
        <v>69</v>
      </c>
      <c r="P158" t="str">
        <f>IFERROR(INDEX(MATRIZ_174!$C:$C,MATCH(A158,MATRIZ_174!$A:$A,0)),"")</f>
        <v>JUNIN</v>
      </c>
    </row>
    <row r="159" spans="1:16" ht="16.05" customHeight="1" x14ac:dyDescent="0.3">
      <c r="A159" t="s">
        <v>400</v>
      </c>
      <c r="B159" t="s">
        <v>401</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IF(MATRIZ_174!O159="","",MATRIZ_174!O159)</f>
        <v/>
      </c>
      <c r="N159" t="str">
        <f>IFERROR(ISCAM_Score!AC160,"")</f>
        <v>⬜  Pendiente de instrumento</v>
      </c>
      <c r="O159" t="s">
        <v>131</v>
      </c>
      <c r="P159" t="str">
        <f>IFERROR(INDEX(MATRIZ_174!$C:$C,MATCH(A159,MATRIZ_174!$A:$A,0)),"")</f>
        <v>SAN MARTIN</v>
      </c>
    </row>
    <row r="160" spans="1:16" ht="16.05" customHeight="1" x14ac:dyDescent="0.3">
      <c r="A160" t="s">
        <v>402</v>
      </c>
      <c r="B160" t="s">
        <v>403</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IF(MATRIZ_174!O160="","",MATRIZ_174!O160)</f>
        <v/>
      </c>
      <c r="N160" t="str">
        <f>IFERROR(ISCAM_Score!AC161,"")</f>
        <v>⬜  Pendiente de instrumento</v>
      </c>
      <c r="O160" t="s">
        <v>95</v>
      </c>
      <c r="P160" t="str">
        <f>IFERROR(INDEX(MATRIZ_174!$C:$C,MATCH(A160,MATRIZ_174!$A:$A,0)),"")</f>
        <v>PIURA</v>
      </c>
    </row>
    <row r="161" spans="1:16" ht="16.05" customHeight="1" x14ac:dyDescent="0.3">
      <c r="A161" t="s">
        <v>405</v>
      </c>
      <c r="B161" t="s">
        <v>406</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IF(MATRIZ_174!O161="","",MATRIZ_174!O161)</f>
        <v/>
      </c>
      <c r="N161" t="str">
        <f>IFERROR(ISCAM_Score!AC162,"")</f>
        <v>⬜  Pendiente de instrumento</v>
      </c>
      <c r="O161" t="s">
        <v>171</v>
      </c>
      <c r="P161" t="str">
        <f>IFERROR(INDEX(MATRIZ_174!$C:$C,MATCH(A161,MATRIZ_174!$A:$A,0)),"")</f>
        <v>LAMBAYEQUE</v>
      </c>
    </row>
    <row r="162" spans="1:16" ht="16.05" customHeight="1" x14ac:dyDescent="0.3">
      <c r="A162" t="s">
        <v>407</v>
      </c>
      <c r="B162" t="s">
        <v>408</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IF(MATRIZ_174!O162="","",MATRIZ_174!O162)</f>
        <v/>
      </c>
      <c r="N162" t="str">
        <f>IFERROR(ISCAM_Score!AC163,"")</f>
        <v>⬜  Pendiente de instrumento</v>
      </c>
      <c r="O162" t="s">
        <v>95</v>
      </c>
      <c r="P162" t="str">
        <f>IFERROR(INDEX(MATRIZ_174!$C:$C,MATCH(A162,MATRIZ_174!$A:$A,0)),"")</f>
        <v>PIURA</v>
      </c>
    </row>
    <row r="163" spans="1:16" ht="16.05" customHeight="1" x14ac:dyDescent="0.3">
      <c r="A163" t="s">
        <v>409</v>
      </c>
      <c r="B163" t="s">
        <v>410</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IF(MATRIZ_174!O163="","",MATRIZ_174!O163)</f>
        <v/>
      </c>
      <c r="N163" t="str">
        <f>IFERROR(ISCAM_Score!AC164,"")</f>
        <v>⬜  Pendiente de instrumento</v>
      </c>
      <c r="O163" t="s">
        <v>142</v>
      </c>
      <c r="P163" t="str">
        <f>IFERROR(INDEX(MATRIZ_174!$C:$C,MATCH(A163,MATRIZ_174!$A:$A,0)),"")</f>
        <v>CAJAMARCA</v>
      </c>
    </row>
    <row r="164" spans="1:16" ht="16.05" customHeight="1" x14ac:dyDescent="0.3">
      <c r="A164" t="s">
        <v>411</v>
      </c>
      <c r="B164" t="s">
        <v>412</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IF(MATRIZ_174!O164="","",MATRIZ_174!O164)</f>
        <v/>
      </c>
      <c r="N164" t="str">
        <f>IFERROR(ISCAM_Score!AC165,"")</f>
        <v>⬜  Pendiente de instrumento</v>
      </c>
      <c r="O164" t="s">
        <v>104</v>
      </c>
      <c r="P164" t="str">
        <f>IFERROR(INDEX(MATRIZ_174!$C:$C,MATCH(A164,MATRIZ_174!$A:$A,0)),"")</f>
        <v>AMAZONAS</v>
      </c>
    </row>
    <row r="165" spans="1:16" ht="16.05" customHeight="1" x14ac:dyDescent="0.3">
      <c r="A165" t="s">
        <v>413</v>
      </c>
      <c r="B165" t="s">
        <v>414</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IF(MATRIZ_174!O165="","",MATRIZ_174!O165)</f>
        <v/>
      </c>
      <c r="N165" t="str">
        <f>IFERROR(ISCAM_Score!AC166,"")</f>
        <v>⬜  Pendiente de instrumento</v>
      </c>
      <c r="O165" t="s">
        <v>171</v>
      </c>
      <c r="P165" t="str">
        <f>IFERROR(INDEX(MATRIZ_174!$C:$C,MATCH(A165,MATRIZ_174!$A:$A,0)),"")</f>
        <v>LAMBAYEQUE</v>
      </c>
    </row>
    <row r="166" spans="1:16" ht="16.05" customHeight="1" x14ac:dyDescent="0.3">
      <c r="A166" t="s">
        <v>415</v>
      </c>
      <c r="B166" t="s">
        <v>416</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IF(MATRIZ_174!O166="","",MATRIZ_174!O166)</f>
        <v/>
      </c>
      <c r="N166" t="str">
        <f>IFERROR(ISCAM_Score!AC167,"")</f>
        <v>⬜  Pendiente de instrumento</v>
      </c>
      <c r="O166" t="s">
        <v>233</v>
      </c>
      <c r="P166" t="str">
        <f>IFERROR(INDEX(MATRIZ_174!$C:$C,MATCH(A166,MATRIZ_174!$A:$A,0)),"")</f>
        <v>MADRE DE DIOS</v>
      </c>
    </row>
    <row r="167" spans="1:16" ht="16.05" customHeight="1" x14ac:dyDescent="0.3">
      <c r="A167" t="s">
        <v>417</v>
      </c>
      <c r="B167" t="s">
        <v>418</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IF(MATRIZ_174!O167="","",MATRIZ_174!O167)</f>
        <v/>
      </c>
      <c r="N167" t="str">
        <f>IFERROR(ISCAM_Score!AC168,"")</f>
        <v>⬜  Pendiente de instrumento</v>
      </c>
      <c r="O167" t="s">
        <v>131</v>
      </c>
      <c r="P167" t="str">
        <f>IFERROR(INDEX(MATRIZ_174!$C:$C,MATCH(A167,MATRIZ_174!$A:$A,0)),"")</f>
        <v>SAN MARTIN</v>
      </c>
    </row>
    <row r="168" spans="1:16" ht="16.05" customHeight="1" x14ac:dyDescent="0.3">
      <c r="A168" t="s">
        <v>419</v>
      </c>
      <c r="B168" t="s">
        <v>420</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IF(MATRIZ_174!O168="","",MATRIZ_174!O168)</f>
        <v/>
      </c>
      <c r="N168" t="str">
        <f>IFERROR(ISCAM_Score!AC169,"")</f>
        <v>⬜  Pendiente de instrumento</v>
      </c>
      <c r="O168" t="s">
        <v>104</v>
      </c>
      <c r="P168" t="str">
        <f>IFERROR(INDEX(MATRIZ_174!$C:$C,MATCH(A168,MATRIZ_174!$A:$A,0)),"")</f>
        <v>AMAZONAS</v>
      </c>
    </row>
    <row r="169" spans="1:16" ht="16.05" customHeight="1" x14ac:dyDescent="0.3">
      <c r="A169" t="s">
        <v>421</v>
      </c>
      <c r="B169" t="s">
        <v>422</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IF(MATRIZ_174!O169="","",MATRIZ_174!O169)</f>
        <v/>
      </c>
      <c r="N169" t="str">
        <f>IFERROR(ISCAM_Score!AC170,"")</f>
        <v>⬜  Pendiente de instrumento</v>
      </c>
      <c r="O169" t="s">
        <v>142</v>
      </c>
      <c r="P169" t="str">
        <f>IFERROR(INDEX(MATRIZ_174!$C:$C,MATCH(A169,MATRIZ_174!$A:$A,0)),"")</f>
        <v>CAJAMARCA</v>
      </c>
    </row>
    <row r="170" spans="1:16" ht="16.05" customHeight="1" x14ac:dyDescent="0.3">
      <c r="A170" t="s">
        <v>423</v>
      </c>
      <c r="B170" t="s">
        <v>424</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IF(MATRIZ_174!O170="","",MATRIZ_174!O170)</f>
        <v/>
      </c>
      <c r="N170" t="str">
        <f>IFERROR(ISCAM_Score!AC171,"")</f>
        <v>⬜  Pendiente de instrumento</v>
      </c>
      <c r="O170" t="s">
        <v>101</v>
      </c>
      <c r="P170" t="str">
        <f>IFERROR(INDEX(MATRIZ_174!$C:$C,MATCH(A170,MATRIZ_174!$A:$A,0)),"")</f>
        <v>UCAYALI</v>
      </c>
    </row>
    <row r="171" spans="1:16" ht="16.05" customHeight="1" x14ac:dyDescent="0.3">
      <c r="A171" t="s">
        <v>425</v>
      </c>
      <c r="B171" t="s">
        <v>426</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IF(MATRIZ_174!O171="","",MATRIZ_174!O171)</f>
        <v>0.6</v>
      </c>
      <c r="N171" t="str">
        <f>IFERROR(ISCAM_Score!AC172,"")</f>
        <v>⬜  Pendiente de instrumento</v>
      </c>
      <c r="O171" t="s">
        <v>131</v>
      </c>
      <c r="P171" t="str">
        <f>IFERROR(INDEX(MATRIZ_174!$C:$C,MATCH(A171,MATRIZ_174!$A:$A,0)),"")</f>
        <v>SAN MARTIN</v>
      </c>
    </row>
    <row r="172" spans="1:16" ht="16.05" customHeight="1" x14ac:dyDescent="0.3">
      <c r="A172" t="s">
        <v>427</v>
      </c>
      <c r="B172" t="s">
        <v>428</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IF(MATRIZ_174!O172="","",MATRIZ_174!O172)</f>
        <v/>
      </c>
      <c r="N172" t="str">
        <f>IFERROR(ISCAM_Score!AC173,"")</f>
        <v>⬜  Pendiente de instrumento</v>
      </c>
      <c r="O172" t="s">
        <v>104</v>
      </c>
      <c r="P172" t="str">
        <f>IFERROR(INDEX(MATRIZ_174!$C:$C,MATCH(A172,MATRIZ_174!$A:$A,0)),"")</f>
        <v>AMAZONAS</v>
      </c>
    </row>
    <row r="173" spans="1:16" ht="16.05" customHeight="1" x14ac:dyDescent="0.3">
      <c r="A173" t="s">
        <v>429</v>
      </c>
      <c r="B173" t="s">
        <v>430</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IF(MATRIZ_174!O173="","",MATRIZ_174!O173)</f>
        <v/>
      </c>
      <c r="N173" t="str">
        <f>IFERROR(ISCAM_Score!AC174,"")</f>
        <v>⬜  Pendiente de instrumento</v>
      </c>
      <c r="O173" t="s">
        <v>171</v>
      </c>
      <c r="P173" t="str">
        <f>IFERROR(INDEX(MATRIZ_174!$C:$C,MATCH(A173,MATRIZ_174!$A:$A,0)),"")</f>
        <v>LAMBAYEQUE</v>
      </c>
    </row>
    <row r="174" spans="1:16" ht="16.05" customHeight="1" x14ac:dyDescent="0.3">
      <c r="A174" t="s">
        <v>431</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IF(MATRIZ_174!O174="","",MATRIZ_174!O174)</f>
        <v/>
      </c>
      <c r="N174" t="str">
        <f>IFERROR(ISCAM_Score!AC175,"")</f>
        <v>⬜  Pendiente de instrumento</v>
      </c>
      <c r="P174" t="str">
        <f>IFERROR(INDEX(MATRIZ_174!$C:$C,MATCH(A174,MATRIZ_174!$A:$A,0)),"")</f>
        <v>OTROS</v>
      </c>
    </row>
    <row r="175" spans="1:16" ht="16.05" customHeight="1" x14ac:dyDescent="0.3">
      <c r="A175" t="s">
        <v>433</v>
      </c>
      <c r="B175" t="s">
        <v>434</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IF(MATRIZ_174!O175="","",MATRIZ_174!O175)</f>
        <v/>
      </c>
      <c r="N175" t="str">
        <f>IFERROR(ISCAM_Score!AC176,"")</f>
        <v>⬜  Pendiente de instrumento</v>
      </c>
      <c r="O175" t="s">
        <v>101</v>
      </c>
      <c r="P175" t="str">
        <f>IFERROR(INDEX(MATRIZ_174!$C:$C,MATCH(A175,MATRIZ_174!$A:$A,0)),"")</f>
        <v>UCAYALI</v>
      </c>
    </row>
    <row r="176" spans="1:16" ht="16.05" customHeight="1" x14ac:dyDescent="0.3">
      <c r="A176" t="s">
        <v>435</v>
      </c>
      <c r="B176" t="s">
        <v>436</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IF(MATRIZ_174!O176="","",MATRIZ_174!O176)</f>
        <v/>
      </c>
      <c r="N176" t="str">
        <f>IFERROR(ISCAM_Score!AC177,"")</f>
        <v>⬜  Pendiente de instrumento</v>
      </c>
      <c r="O176" t="s">
        <v>104</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1015</v>
      </c>
      <c r="B179" s="65"/>
      <c r="C179" s="65"/>
      <c r="D179" s="65"/>
      <c r="E179" s="65"/>
      <c r="F179" s="65"/>
      <c r="G179" s="65"/>
      <c r="K179" t="str">
        <f>IFERROR(INDEX(MATRIZ_174!$U:$U,MATCH(A179,MATRIZ_174!$A:$A,0)),"")</f>
        <v/>
      </c>
    </row>
    <row r="180" spans="1:11" ht="18" customHeight="1" x14ac:dyDescent="0.3">
      <c r="A180" t="s">
        <v>1016</v>
      </c>
      <c r="B180" s="65">
        <f>COUNTA(A3:A176)</f>
        <v>174</v>
      </c>
      <c r="C180" s="65"/>
      <c r="D180" s="65"/>
      <c r="K180" t="str">
        <f>IFERROR(INDEX(MATRIZ_174!$U:$U,MATCH(A180,MATRIZ_174!$A:$A,0)),"")</f>
        <v/>
      </c>
    </row>
    <row r="181" spans="1:11" ht="18" customHeight="1" x14ac:dyDescent="0.3">
      <c r="A181" t="s">
        <v>1017</v>
      </c>
      <c r="B181" s="65">
        <f>COUNTIF(F3:F176,"&gt;0")</f>
        <v>36</v>
      </c>
      <c r="C181" s="65"/>
      <c r="D181" s="65"/>
      <c r="K181" t="str">
        <f>IFERROR(INDEX(MATRIZ_174!$U:$U,MATCH(A181,MATRIZ_174!$A:$A,0)),"")</f>
        <v/>
      </c>
    </row>
    <row r="182" spans="1:11" ht="18" customHeight="1" x14ac:dyDescent="0.3">
      <c r="A182" t="s">
        <v>1018</v>
      </c>
      <c r="B182" s="65">
        <f>COUNTIF(C3:C176,"&lt;34")-COUNTIF(C3:C176,0)</f>
        <v>0</v>
      </c>
      <c r="C182" s="65"/>
      <c r="D182" s="65"/>
      <c r="K182" t="str">
        <f>IFERROR(INDEX(MATRIZ_174!$U:$U,MATCH(A182,MATRIZ_174!$A:$A,0)),"")</f>
        <v/>
      </c>
    </row>
    <row r="183" spans="1:11" ht="18" customHeight="1" x14ac:dyDescent="0.3">
      <c r="A183" t="s">
        <v>1019</v>
      </c>
      <c r="B183" s="65">
        <f>COUNTIFS(C3:C176,"&gt;=34",C3:C176,"&lt;67")</f>
        <v>0</v>
      </c>
      <c r="C183" s="65"/>
      <c r="D183" s="65"/>
      <c r="K183" t="str">
        <f>IFERROR(INDEX(MATRIZ_174!$U:$U,MATCH(A183,MATRIZ_174!$A:$A,0)),"")</f>
        <v/>
      </c>
    </row>
    <row r="184" spans="1:11" ht="18" customHeight="1" x14ac:dyDescent="0.3">
      <c r="A184" t="s">
        <v>1020</v>
      </c>
      <c r="B184" s="65">
        <f>COUNTIF(C3:C176,"&gt;=67")</f>
        <v>0</v>
      </c>
      <c r="C184" s="65"/>
      <c r="D184" s="65"/>
      <c r="K184" t="str">
        <f>IFERROR(INDEX(MATRIZ_174!$U:$U,MATCH(A184,MATRIZ_174!$A:$A,0)),"")</f>
        <v/>
      </c>
    </row>
    <row r="185" spans="1:11" ht="18" customHeight="1" x14ac:dyDescent="0.3">
      <c r="A185" t="s">
        <v>1052</v>
      </c>
      <c r="B185" s="65">
        <f>COUNTIF(C3:C176,"—")</f>
        <v>174</v>
      </c>
      <c r="C185" s="65"/>
      <c r="D185" s="65"/>
      <c r="K185" t="str">
        <f>IFERROR(INDEX(MATRIZ_174!$U:$U,MATCH(A185,MATRIZ_174!$A:$A,0)),"")</f>
        <v/>
      </c>
    </row>
    <row r="186" spans="1:11" ht="18" customHeight="1" x14ac:dyDescent="0.3">
      <c r="A186" t="s">
        <v>1583</v>
      </c>
      <c r="B186" s="65">
        <f>IFERROR(ROUND(AVERAGE(MATRIZ_174!S3:S176),1),"—")</f>
        <v>41.7</v>
      </c>
      <c r="C186" s="65"/>
      <c r="D186" s="65"/>
      <c r="K186" t="str">
        <f>IFERROR(INDEX(MATRIZ_174!$U:$U,MATCH(A186,MATRIZ_174!$A:$A,0)),"")</f>
        <v/>
      </c>
    </row>
    <row r="187" spans="1:11" ht="18" customHeight="1" x14ac:dyDescent="0.3">
      <c r="A187" t="s">
        <v>1021</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1616</v>
      </c>
      <c r="B1" s="65"/>
      <c r="C1" s="65"/>
      <c r="D1" s="65"/>
      <c r="E1" s="65"/>
      <c r="F1" s="65"/>
      <c r="G1" s="65"/>
      <c r="H1" s="65"/>
      <c r="I1" s="65"/>
      <c r="J1" s="65"/>
    </row>
    <row r="2" spans="1:13" ht="28.8" x14ac:dyDescent="0.3">
      <c r="A2" t="s">
        <v>1022</v>
      </c>
      <c r="B2" t="s">
        <v>1023</v>
      </c>
      <c r="C2" t="s">
        <v>1024</v>
      </c>
      <c r="D2" t="s">
        <v>1025</v>
      </c>
      <c r="E2" t="s">
        <v>1026</v>
      </c>
      <c r="F2" t="s">
        <v>1027</v>
      </c>
      <c r="G2" t="s">
        <v>1028</v>
      </c>
      <c r="H2" t="s">
        <v>1029</v>
      </c>
      <c r="I2" t="s">
        <v>1030</v>
      </c>
      <c r="J2" t="s">
        <v>1031</v>
      </c>
      <c r="K2" s="56" t="s">
        <v>1590</v>
      </c>
      <c r="L2" s="56" t="s">
        <v>1591</v>
      </c>
      <c r="M2" t="s">
        <v>1048</v>
      </c>
    </row>
    <row r="3" spans="1:13" ht="18" customHeight="1" x14ac:dyDescent="0.3">
      <c r="A3" t="s">
        <v>131</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69</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104</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142</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72</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101</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241</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95</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64</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56</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193</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233</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184</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171</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432</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1034</v>
      </c>
      <c r="B20" s="65"/>
      <c r="C20" s="65"/>
      <c r="D20" s="65"/>
      <c r="E20" s="65"/>
      <c r="F20" s="65"/>
      <c r="G20" s="65"/>
    </row>
    <row r="21" spans="1:13" ht="18" customHeight="1" x14ac:dyDescent="0.3">
      <c r="A21" s="65" t="s">
        <v>1035</v>
      </c>
      <c r="B21" s="65"/>
      <c r="C21" s="65"/>
      <c r="D21" s="65"/>
      <c r="E21" s="65"/>
      <c r="F21" s="65"/>
      <c r="G21" s="65"/>
    </row>
    <row r="22" spans="1:13" ht="18" customHeight="1" x14ac:dyDescent="0.3">
      <c r="A22" s="65" t="s">
        <v>1036</v>
      </c>
      <c r="B22" s="65"/>
      <c r="C22" s="65"/>
      <c r="D22" s="65"/>
      <c r="E22" s="65"/>
      <c r="F22" s="65"/>
      <c r="G22" s="65"/>
    </row>
    <row r="23" spans="1:13" ht="18" customHeight="1" x14ac:dyDescent="0.3">
      <c r="A23" s="65" t="s">
        <v>1037</v>
      </c>
      <c r="B23" s="65"/>
      <c r="C23" s="65"/>
      <c r="D23" s="65"/>
      <c r="E23" s="65"/>
      <c r="F23" s="65"/>
      <c r="G23" s="65"/>
    </row>
    <row r="24" spans="1:13" ht="18" customHeight="1" x14ac:dyDescent="0.3">
      <c r="A24" s="65" t="s">
        <v>1066</v>
      </c>
      <c r="B24" s="65"/>
      <c r="C24" s="65"/>
      <c r="D24" s="65"/>
      <c r="E24" s="65"/>
      <c r="F24" s="65"/>
      <c r="G24" s="65"/>
    </row>
    <row r="26" spans="1:13" x14ac:dyDescent="0.3">
      <c r="A26" s="65" t="s">
        <v>1065</v>
      </c>
      <c r="B26" s="65"/>
      <c r="C26" s="65"/>
      <c r="D26" s="65"/>
      <c r="E26" s="65"/>
      <c r="F26" s="65"/>
      <c r="G26" s="65"/>
    </row>
    <row r="28" spans="1:13" x14ac:dyDescent="0.3">
      <c r="A28" s="44" t="s">
        <v>1038</v>
      </c>
    </row>
    <row r="29" spans="1:13" x14ac:dyDescent="0.3">
      <c r="A29" s="45" t="s">
        <v>23</v>
      </c>
      <c r="B29" s="45" t="s">
        <v>1039</v>
      </c>
      <c r="C29" s="45" t="s">
        <v>966</v>
      </c>
      <c r="D29" s="45" t="s">
        <v>1040</v>
      </c>
      <c r="E29" s="45" t="s">
        <v>970</v>
      </c>
      <c r="F29" s="45" t="s">
        <v>1041</v>
      </c>
      <c r="G29" s="45" t="s">
        <v>1042</v>
      </c>
      <c r="H29" s="45" t="s">
        <v>996</v>
      </c>
    </row>
    <row r="30" spans="1:13" x14ac:dyDescent="0.3">
      <c r="A30" s="46" t="s">
        <v>57</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65</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1043</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1044</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1045</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2026-10-15T21:05:23Z</dcterms:modified>
</cp:coreProperties>
</file>