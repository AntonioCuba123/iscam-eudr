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B50C2182-677C-42F8-9B2B-CE67B96A3339}"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3" i="16" l="1"/>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X151" i="5" s="1"/>
  <c r="AF152" i="3" s="1"/>
  <c r="BW152" i="16"/>
  <c r="X152" i="5" s="1"/>
  <c r="AF153" i="3" s="1"/>
  <c r="BW153" i="16"/>
  <c r="X153" i="5" s="1"/>
  <c r="AF154" i="3" s="1"/>
  <c r="BW154" i="16"/>
  <c r="X154" i="5" s="1"/>
  <c r="AF155" i="3" s="1"/>
  <c r="BW155" i="16"/>
  <c r="X155" i="5" s="1"/>
  <c r="AF156" i="3" s="1"/>
  <c r="BW156" i="16"/>
  <c r="X156" i="5" s="1"/>
  <c r="AF157" i="3" s="1"/>
  <c r="BW157" i="16"/>
  <c r="X157" i="5" s="1"/>
  <c r="AF158" i="3" s="1"/>
  <c r="BW158" i="16"/>
  <c r="X158" i="5" s="1"/>
  <c r="AF159" i="3" s="1"/>
  <c r="BW159" i="16"/>
  <c r="X159" i="5" s="1"/>
  <c r="AF160" i="3" s="1"/>
  <c r="BW160" i="16"/>
  <c r="X160" i="5" s="1"/>
  <c r="AF161" i="3" s="1"/>
  <c r="BW161" i="16"/>
  <c r="X161" i="5" s="1"/>
  <c r="AF162" i="3" s="1"/>
  <c r="BW162" i="16"/>
  <c r="X162" i="5" s="1"/>
  <c r="AF163" i="3" s="1"/>
  <c r="BW163" i="16"/>
  <c r="X163" i="5" s="1"/>
  <c r="AF164" i="3" s="1"/>
  <c r="BW164" i="16"/>
  <c r="X164" i="5" s="1"/>
  <c r="AF165" i="3" s="1"/>
  <c r="BW165" i="16"/>
  <c r="X165" i="5" s="1"/>
  <c r="AF166" i="3" s="1"/>
  <c r="BW166" i="16"/>
  <c r="X166" i="5" s="1"/>
  <c r="AF167" i="3" s="1"/>
  <c r="BW167" i="16"/>
  <c r="X167" i="5" s="1"/>
  <c r="AF168" i="3" s="1"/>
  <c r="BW168" i="16"/>
  <c r="X168" i="5" s="1"/>
  <c r="AF169" i="3" s="1"/>
  <c r="BW169" i="16"/>
  <c r="X169" i="5" s="1"/>
  <c r="AF170" i="3" s="1"/>
  <c r="BW170" i="16"/>
  <c r="X170" i="5" s="1"/>
  <c r="AF171" i="3" s="1"/>
  <c r="BW171" i="16"/>
  <c r="X171" i="5" s="1"/>
  <c r="AF172" i="3" s="1"/>
  <c r="BW172" i="16"/>
  <c r="X172" i="5" s="1"/>
  <c r="AF173" i="3" s="1"/>
  <c r="BW173" i="16"/>
  <c r="X173" i="5" s="1"/>
  <c r="AF174" i="3" s="1"/>
  <c r="BW174" i="16"/>
  <c r="X174" i="5" s="1"/>
  <c r="AF175" i="3" s="1"/>
  <c r="BW175" i="16"/>
  <c r="X175" i="5" s="1"/>
  <c r="AF176" i="3" s="1"/>
  <c r="BW176" i="16"/>
  <c r="X176" i="5" s="1"/>
  <c r="AF177" i="3" s="1"/>
  <c r="BV3" i="16"/>
  <c r="BV4" i="16"/>
  <c r="W4" i="5" s="1"/>
  <c r="AE5" i="3" s="1"/>
  <c r="BV5" i="16"/>
  <c r="W5" i="5" s="1"/>
  <c r="AE6" i="3" s="1"/>
  <c r="BV6" i="16"/>
  <c r="W6" i="5" s="1"/>
  <c r="AE7" i="3" s="1"/>
  <c r="BV7" i="16"/>
  <c r="W7" i="5" s="1"/>
  <c r="AE8" i="3" s="1"/>
  <c r="BV8" i="16"/>
  <c r="W8" i="5" s="1"/>
  <c r="AE9" i="3" s="1"/>
  <c r="BV9" i="16"/>
  <c r="W9" i="5" s="1"/>
  <c r="AE10" i="3" s="1"/>
  <c r="BV10" i="16"/>
  <c r="W10" i="5" s="1"/>
  <c r="AE11" i="3" s="1"/>
  <c r="BV11" i="16"/>
  <c r="W11" i="5" s="1"/>
  <c r="AE12" i="3" s="1"/>
  <c r="BV12" i="16"/>
  <c r="W12" i="5" s="1"/>
  <c r="AE13" i="3" s="1"/>
  <c r="BV13" i="16"/>
  <c r="W13" i="5" s="1"/>
  <c r="AE14" i="3" s="1"/>
  <c r="BV14" i="16"/>
  <c r="W14" i="5" s="1"/>
  <c r="AE15" i="3" s="1"/>
  <c r="BV15" i="16"/>
  <c r="W15" i="5" s="1"/>
  <c r="AE16" i="3" s="1"/>
  <c r="BV16" i="16"/>
  <c r="W16" i="5" s="1"/>
  <c r="AE17" i="3" s="1"/>
  <c r="BV17" i="16"/>
  <c r="W17" i="5" s="1"/>
  <c r="AE18" i="3" s="1"/>
  <c r="BV18" i="16"/>
  <c r="W18" i="5" s="1"/>
  <c r="AE19" i="3" s="1"/>
  <c r="BV19" i="16"/>
  <c r="W19" i="5" s="1"/>
  <c r="AE20" i="3" s="1"/>
  <c r="BV20" i="16"/>
  <c r="W20" i="5" s="1"/>
  <c r="AE21" i="3" s="1"/>
  <c r="BV21" i="16"/>
  <c r="W21" i="5" s="1"/>
  <c r="AE22" i="3" s="1"/>
  <c r="BV22" i="16"/>
  <c r="W22" i="5" s="1"/>
  <c r="AE23" i="3" s="1"/>
  <c r="BV23" i="16"/>
  <c r="W23" i="5" s="1"/>
  <c r="AE24" i="3" s="1"/>
  <c r="BV24" i="16"/>
  <c r="W24" i="5" s="1"/>
  <c r="AE25" i="3" s="1"/>
  <c r="BV25" i="16"/>
  <c r="W25" i="5" s="1"/>
  <c r="AE26" i="3" s="1"/>
  <c r="BV26" i="16"/>
  <c r="W26" i="5" s="1"/>
  <c r="AE27" i="3" s="1"/>
  <c r="BV27" i="16"/>
  <c r="W27" i="5" s="1"/>
  <c r="AE28" i="3" s="1"/>
  <c r="BV28" i="16"/>
  <c r="W28" i="5" s="1"/>
  <c r="AE29" i="3" s="1"/>
  <c r="BV29" i="16"/>
  <c r="W29" i="5" s="1"/>
  <c r="AE30" i="3" s="1"/>
  <c r="BV30" i="16"/>
  <c r="W30" i="5" s="1"/>
  <c r="AE31" i="3" s="1"/>
  <c r="BV31" i="16"/>
  <c r="W31" i="5" s="1"/>
  <c r="AE32" i="3" s="1"/>
  <c r="BV32" i="16"/>
  <c r="W32" i="5" s="1"/>
  <c r="AE33" i="3" s="1"/>
  <c r="BV33" i="16"/>
  <c r="W33" i="5" s="1"/>
  <c r="AE34" i="3" s="1"/>
  <c r="BV34" i="16"/>
  <c r="W34" i="5" s="1"/>
  <c r="AE35" i="3" s="1"/>
  <c r="BV35" i="16"/>
  <c r="W35" i="5" s="1"/>
  <c r="AE36" i="3" s="1"/>
  <c r="BV36" i="16"/>
  <c r="W36" i="5" s="1"/>
  <c r="AE37" i="3" s="1"/>
  <c r="BV37" i="16"/>
  <c r="W37" i="5" s="1"/>
  <c r="AE38" i="3" s="1"/>
  <c r="BV38" i="16"/>
  <c r="W38" i="5" s="1"/>
  <c r="AE39" i="3" s="1"/>
  <c r="BV39" i="16"/>
  <c r="W39" i="5" s="1"/>
  <c r="AE40" i="3" s="1"/>
  <c r="BV40" i="16"/>
  <c r="W40" i="5" s="1"/>
  <c r="AE41" i="3" s="1"/>
  <c r="BV41" i="16"/>
  <c r="W41" i="5" s="1"/>
  <c r="AE42" i="3" s="1"/>
  <c r="BV42" i="16"/>
  <c r="W42" i="5" s="1"/>
  <c r="AE43" i="3" s="1"/>
  <c r="BV43" i="16"/>
  <c r="W43" i="5" s="1"/>
  <c r="AE44" i="3" s="1"/>
  <c r="BV44" i="16"/>
  <c r="W44" i="5" s="1"/>
  <c r="AE45" i="3" s="1"/>
  <c r="BV45" i="16"/>
  <c r="W45" i="5" s="1"/>
  <c r="AE46" i="3" s="1"/>
  <c r="BV46" i="16"/>
  <c r="W46" i="5" s="1"/>
  <c r="AE47" i="3" s="1"/>
  <c r="BV47" i="16"/>
  <c r="W47" i="5" s="1"/>
  <c r="AE48" i="3" s="1"/>
  <c r="BV48" i="16"/>
  <c r="W48" i="5" s="1"/>
  <c r="AE49" i="3" s="1"/>
  <c r="BV49" i="16"/>
  <c r="W49" i="5" s="1"/>
  <c r="AE50" i="3" s="1"/>
  <c r="BV50" i="16"/>
  <c r="W50" i="5" s="1"/>
  <c r="AE51" i="3" s="1"/>
  <c r="BV51" i="16"/>
  <c r="W51" i="5" s="1"/>
  <c r="AE52" i="3" s="1"/>
  <c r="BV52" i="16"/>
  <c r="W52" i="5" s="1"/>
  <c r="AE53" i="3" s="1"/>
  <c r="BV53" i="16"/>
  <c r="W53" i="5" s="1"/>
  <c r="AE54" i="3" s="1"/>
  <c r="BV54" i="16"/>
  <c r="W54" i="5" s="1"/>
  <c r="AE55" i="3" s="1"/>
  <c r="BV55" i="16"/>
  <c r="W55" i="5" s="1"/>
  <c r="AE56" i="3" s="1"/>
  <c r="BV56" i="16"/>
  <c r="W56" i="5" s="1"/>
  <c r="AE57" i="3" s="1"/>
  <c r="BV57" i="16"/>
  <c r="W57" i="5" s="1"/>
  <c r="AE58" i="3" s="1"/>
  <c r="BV58" i="16"/>
  <c r="W58" i="5" s="1"/>
  <c r="AE59" i="3" s="1"/>
  <c r="BV59" i="16"/>
  <c r="W59" i="5" s="1"/>
  <c r="AE60" i="3" s="1"/>
  <c r="BV60" i="16"/>
  <c r="W60" i="5" s="1"/>
  <c r="AE61" i="3" s="1"/>
  <c r="BV61" i="16"/>
  <c r="W61" i="5" s="1"/>
  <c r="AE62" i="3" s="1"/>
  <c r="BV62" i="16"/>
  <c r="W62" i="5" s="1"/>
  <c r="AE63" i="3" s="1"/>
  <c r="BV63" i="16"/>
  <c r="W63" i="5" s="1"/>
  <c r="AE64" i="3" s="1"/>
  <c r="BV64" i="16"/>
  <c r="W64" i="5" s="1"/>
  <c r="AE65" i="3" s="1"/>
  <c r="BV65" i="16"/>
  <c r="W65" i="5" s="1"/>
  <c r="AE66" i="3" s="1"/>
  <c r="BV66" i="16"/>
  <c r="W66" i="5" s="1"/>
  <c r="AE67" i="3" s="1"/>
  <c r="BV67" i="16"/>
  <c r="W67" i="5" s="1"/>
  <c r="AE68" i="3" s="1"/>
  <c r="BV68" i="16"/>
  <c r="W68" i="5" s="1"/>
  <c r="AE69" i="3" s="1"/>
  <c r="BV69" i="16"/>
  <c r="W69" i="5" s="1"/>
  <c r="AE70" i="3" s="1"/>
  <c r="BV70" i="16"/>
  <c r="W70" i="5" s="1"/>
  <c r="AE71" i="3" s="1"/>
  <c r="BV71" i="16"/>
  <c r="W71" i="5" s="1"/>
  <c r="AE72" i="3" s="1"/>
  <c r="BV72" i="16"/>
  <c r="W72" i="5" s="1"/>
  <c r="AE73" i="3" s="1"/>
  <c r="BV73" i="16"/>
  <c r="W73" i="5" s="1"/>
  <c r="AE74" i="3" s="1"/>
  <c r="BV74" i="16"/>
  <c r="W74" i="5" s="1"/>
  <c r="AE75" i="3" s="1"/>
  <c r="BV75" i="16"/>
  <c r="W75" i="5" s="1"/>
  <c r="AE76" i="3" s="1"/>
  <c r="BV76" i="16"/>
  <c r="W76" i="5" s="1"/>
  <c r="AE77" i="3" s="1"/>
  <c r="BV77" i="16"/>
  <c r="W77" i="5" s="1"/>
  <c r="AE78" i="3" s="1"/>
  <c r="BV78" i="16"/>
  <c r="W78" i="5" s="1"/>
  <c r="AE79" i="3" s="1"/>
  <c r="BV79" i="16"/>
  <c r="W79" i="5" s="1"/>
  <c r="AE80" i="3" s="1"/>
  <c r="BV80" i="16"/>
  <c r="W80" i="5" s="1"/>
  <c r="AE81" i="3" s="1"/>
  <c r="BV81" i="16"/>
  <c r="W81" i="5" s="1"/>
  <c r="AE82" i="3" s="1"/>
  <c r="BV82" i="16"/>
  <c r="W82" i="5" s="1"/>
  <c r="AE83" i="3" s="1"/>
  <c r="BV83" i="16"/>
  <c r="W83" i="5" s="1"/>
  <c r="AE84" i="3" s="1"/>
  <c r="BV84" i="16"/>
  <c r="W84" i="5" s="1"/>
  <c r="AE85" i="3" s="1"/>
  <c r="BV85" i="16"/>
  <c r="W85" i="5" s="1"/>
  <c r="AE86" i="3" s="1"/>
  <c r="BV86" i="16"/>
  <c r="W86" i="5" s="1"/>
  <c r="AE87" i="3" s="1"/>
  <c r="BV87" i="16"/>
  <c r="W87" i="5" s="1"/>
  <c r="AE88" i="3" s="1"/>
  <c r="BV88" i="16"/>
  <c r="W88" i="5" s="1"/>
  <c r="AE89" i="3" s="1"/>
  <c r="BV89" i="16"/>
  <c r="W89" i="5" s="1"/>
  <c r="AE90" i="3" s="1"/>
  <c r="BV90" i="16"/>
  <c r="W90" i="5" s="1"/>
  <c r="AE91" i="3" s="1"/>
  <c r="BV91" i="16"/>
  <c r="W91" i="5" s="1"/>
  <c r="AE92" i="3" s="1"/>
  <c r="BV92" i="16"/>
  <c r="W92" i="5" s="1"/>
  <c r="AE93" i="3" s="1"/>
  <c r="BV93" i="16"/>
  <c r="W93" i="5" s="1"/>
  <c r="AE94" i="3" s="1"/>
  <c r="BV94" i="16"/>
  <c r="W94" i="5" s="1"/>
  <c r="AE95" i="3" s="1"/>
  <c r="BV95" i="16"/>
  <c r="W95" i="5" s="1"/>
  <c r="AE96" i="3" s="1"/>
  <c r="BV96" i="16"/>
  <c r="W96" i="5" s="1"/>
  <c r="AE97" i="3" s="1"/>
  <c r="BV97" i="16"/>
  <c r="W97" i="5" s="1"/>
  <c r="AE98" i="3" s="1"/>
  <c r="BV98" i="16"/>
  <c r="W98" i="5" s="1"/>
  <c r="AE99" i="3" s="1"/>
  <c r="BV99" i="16"/>
  <c r="W99" i="5" s="1"/>
  <c r="AE100" i="3" s="1"/>
  <c r="BV100" i="16"/>
  <c r="W100" i="5" s="1"/>
  <c r="AE101" i="3" s="1"/>
  <c r="BV101" i="16"/>
  <c r="W101" i="5" s="1"/>
  <c r="AE102" i="3" s="1"/>
  <c r="BV102" i="16"/>
  <c r="W102" i="5" s="1"/>
  <c r="AE103" i="3" s="1"/>
  <c r="BV103" i="16"/>
  <c r="W103" i="5" s="1"/>
  <c r="AE104" i="3" s="1"/>
  <c r="BV104" i="16"/>
  <c r="W104" i="5" s="1"/>
  <c r="AE105" i="3" s="1"/>
  <c r="BV105" i="16"/>
  <c r="W105" i="5" s="1"/>
  <c r="AE106" i="3" s="1"/>
  <c r="BV106" i="16"/>
  <c r="W106" i="5" s="1"/>
  <c r="AE107" i="3" s="1"/>
  <c r="BV107" i="16"/>
  <c r="W107" i="5" s="1"/>
  <c r="AE108" i="3" s="1"/>
  <c r="BV108" i="16"/>
  <c r="W108" i="5" s="1"/>
  <c r="AE109" i="3" s="1"/>
  <c r="BV109" i="16"/>
  <c r="W109" i="5" s="1"/>
  <c r="AE110" i="3" s="1"/>
  <c r="BV110" i="16"/>
  <c r="W110" i="5" s="1"/>
  <c r="AE111" i="3" s="1"/>
  <c r="BV111" i="16"/>
  <c r="W111" i="5" s="1"/>
  <c r="AE112" i="3" s="1"/>
  <c r="BV112" i="16"/>
  <c r="W112" i="5" s="1"/>
  <c r="AE113" i="3" s="1"/>
  <c r="BV113" i="16"/>
  <c r="W113" i="5" s="1"/>
  <c r="AE114" i="3" s="1"/>
  <c r="BV114" i="16"/>
  <c r="W114" i="5" s="1"/>
  <c r="AE115" i="3" s="1"/>
  <c r="BV115" i="16"/>
  <c r="W115" i="5" s="1"/>
  <c r="AE116" i="3" s="1"/>
  <c r="BV116" i="16"/>
  <c r="W116" i="5" s="1"/>
  <c r="AE117" i="3" s="1"/>
  <c r="BV117" i="16"/>
  <c r="W117" i="5" s="1"/>
  <c r="AE118" i="3" s="1"/>
  <c r="BV118" i="16"/>
  <c r="W118" i="5" s="1"/>
  <c r="AE119" i="3" s="1"/>
  <c r="BV119" i="16"/>
  <c r="W119" i="5" s="1"/>
  <c r="AE120" i="3" s="1"/>
  <c r="BV120" i="16"/>
  <c r="W120" i="5" s="1"/>
  <c r="AE121" i="3" s="1"/>
  <c r="BV121" i="16"/>
  <c r="W121" i="5" s="1"/>
  <c r="AE122" i="3" s="1"/>
  <c r="BV122" i="16"/>
  <c r="W122" i="5" s="1"/>
  <c r="AE123" i="3" s="1"/>
  <c r="BV123" i="16"/>
  <c r="W123" i="5" s="1"/>
  <c r="AE124" i="3" s="1"/>
  <c r="BV124" i="16"/>
  <c r="W124" i="5" s="1"/>
  <c r="AE125" i="3" s="1"/>
  <c r="BV125" i="16"/>
  <c r="W125" i="5" s="1"/>
  <c r="AE126" i="3" s="1"/>
  <c r="BV126" i="16"/>
  <c r="W126" i="5" s="1"/>
  <c r="AE127" i="3" s="1"/>
  <c r="BV127" i="16"/>
  <c r="W127" i="5" s="1"/>
  <c r="AE128" i="3" s="1"/>
  <c r="BV128" i="16"/>
  <c r="W128" i="5" s="1"/>
  <c r="AE129" i="3" s="1"/>
  <c r="BV129" i="16"/>
  <c r="W129" i="5" s="1"/>
  <c r="AE130" i="3" s="1"/>
  <c r="BV130" i="16"/>
  <c r="W130" i="5" s="1"/>
  <c r="AE131" i="3" s="1"/>
  <c r="BV131" i="16"/>
  <c r="W131" i="5" s="1"/>
  <c r="AE132" i="3" s="1"/>
  <c r="BV132" i="16"/>
  <c r="W132" i="5" s="1"/>
  <c r="AE133" i="3" s="1"/>
  <c r="BV133" i="16"/>
  <c r="W133" i="5" s="1"/>
  <c r="AE134" i="3" s="1"/>
  <c r="BV134" i="16"/>
  <c r="W134" i="5" s="1"/>
  <c r="AE135" i="3" s="1"/>
  <c r="BV135" i="16"/>
  <c r="W135" i="5" s="1"/>
  <c r="AE136" i="3" s="1"/>
  <c r="BV136" i="16"/>
  <c r="W136" i="5" s="1"/>
  <c r="AE137" i="3" s="1"/>
  <c r="BV137" i="16"/>
  <c r="W137" i="5" s="1"/>
  <c r="AE138" i="3" s="1"/>
  <c r="BV138" i="16"/>
  <c r="W138" i="5" s="1"/>
  <c r="AE139" i="3" s="1"/>
  <c r="BV139" i="16"/>
  <c r="W139" i="5" s="1"/>
  <c r="AE140" i="3" s="1"/>
  <c r="BV140" i="16"/>
  <c r="W140" i="5" s="1"/>
  <c r="AE141" i="3" s="1"/>
  <c r="BV141" i="16"/>
  <c r="W141" i="5" s="1"/>
  <c r="AE142" i="3" s="1"/>
  <c r="BV142" i="16"/>
  <c r="W142" i="5" s="1"/>
  <c r="AE143" i="3" s="1"/>
  <c r="BV143" i="16"/>
  <c r="W143" i="5" s="1"/>
  <c r="AE144" i="3" s="1"/>
  <c r="BV144" i="16"/>
  <c r="W144" i="5" s="1"/>
  <c r="AE145" i="3" s="1"/>
  <c r="BV145" i="16"/>
  <c r="W145" i="5" s="1"/>
  <c r="AE146" i="3" s="1"/>
  <c r="BV146" i="16"/>
  <c r="W146" i="5" s="1"/>
  <c r="AE147" i="3" s="1"/>
  <c r="BV147" i="16"/>
  <c r="W147" i="5" s="1"/>
  <c r="AE148" i="3" s="1"/>
  <c r="BV148" i="16"/>
  <c r="W148" i="5" s="1"/>
  <c r="AE149" i="3" s="1"/>
  <c r="BV149" i="16"/>
  <c r="W149" i="5" s="1"/>
  <c r="AE150" i="3" s="1"/>
  <c r="BV150" i="16"/>
  <c r="W150" i="5" s="1"/>
  <c r="AE151" i="3" s="1"/>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CL134" i="16" s="1"/>
  <c r="O135" i="3" s="1"/>
  <c r="BT135" i="16"/>
  <c r="CL135" i="16" s="1"/>
  <c r="O136" i="3" s="1"/>
  <c r="BT136" i="16"/>
  <c r="CL136" i="16" s="1"/>
  <c r="O137" i="3" s="1"/>
  <c r="BT137" i="16"/>
  <c r="CL137" i="16" s="1"/>
  <c r="O138" i="3" s="1"/>
  <c r="BT138" i="16"/>
  <c r="CL138" i="16" s="1"/>
  <c r="O139" i="3" s="1"/>
  <c r="BT139" i="16"/>
  <c r="CL139" i="16" s="1"/>
  <c r="O140" i="3" s="1"/>
  <c r="BT140" i="16"/>
  <c r="CL140" i="16" s="1"/>
  <c r="O141" i="3" s="1"/>
  <c r="BT141" i="16"/>
  <c r="CL141" i="16" s="1"/>
  <c r="O142" i="3" s="1"/>
  <c r="BT142" i="16"/>
  <c r="CL142" i="16" s="1"/>
  <c r="O143" i="3" s="1"/>
  <c r="BT143" i="16"/>
  <c r="CL143" i="16" s="1"/>
  <c r="O144" i="3" s="1"/>
  <c r="BT144" i="16"/>
  <c r="CL144" i="16" s="1"/>
  <c r="O145" i="3" s="1"/>
  <c r="BT145" i="16"/>
  <c r="CL145" i="16" s="1"/>
  <c r="O146" i="3" s="1"/>
  <c r="BT146" i="16"/>
  <c r="CL146" i="16" s="1"/>
  <c r="O147" i="3" s="1"/>
  <c r="BT147" i="16"/>
  <c r="CL147" i="16" s="1"/>
  <c r="O148" i="3" s="1"/>
  <c r="BT148" i="16"/>
  <c r="CL148" i="16" s="1"/>
  <c r="O149" i="3" s="1"/>
  <c r="BT149" i="16"/>
  <c r="CL149" i="16" s="1"/>
  <c r="O150" i="3" s="1"/>
  <c r="BT150" i="16"/>
  <c r="CL150" i="16" s="1"/>
  <c r="O151" i="3" s="1"/>
  <c r="BT151" i="16"/>
  <c r="CL151" i="16" s="1"/>
  <c r="O152" i="3" s="1"/>
  <c r="BT152" i="16"/>
  <c r="CL152" i="16" s="1"/>
  <c r="O153" i="3" s="1"/>
  <c r="BT153" i="16"/>
  <c r="CL153" i="16" s="1"/>
  <c r="O154" i="3" s="1"/>
  <c r="BT154" i="16"/>
  <c r="CL154" i="16" s="1"/>
  <c r="O155" i="3" s="1"/>
  <c r="BT155" i="16"/>
  <c r="CL155" i="16" s="1"/>
  <c r="O156" i="3" s="1"/>
  <c r="BT156" i="16"/>
  <c r="CL156" i="16" s="1"/>
  <c r="O157" i="3" s="1"/>
  <c r="BT157" i="16"/>
  <c r="CL157" i="16" s="1"/>
  <c r="O158" i="3" s="1"/>
  <c r="BT158" i="16"/>
  <c r="CL158" i="16" s="1"/>
  <c r="O159" i="3" s="1"/>
  <c r="BT159" i="16"/>
  <c r="CL159" i="16" s="1"/>
  <c r="O160" i="3" s="1"/>
  <c r="BT160" i="16"/>
  <c r="CL160" i="16" s="1"/>
  <c r="O161" i="3" s="1"/>
  <c r="BT161" i="16"/>
  <c r="CL161" i="16" s="1"/>
  <c r="O162" i="3" s="1"/>
  <c r="BT162" i="16"/>
  <c r="CL162" i="16" s="1"/>
  <c r="O163" i="3" s="1"/>
  <c r="BT163" i="16"/>
  <c r="CL163" i="16" s="1"/>
  <c r="O164" i="3" s="1"/>
  <c r="BT164" i="16"/>
  <c r="CL164" i="16" s="1"/>
  <c r="O165" i="3" s="1"/>
  <c r="BT165" i="16"/>
  <c r="CL165" i="16" s="1"/>
  <c r="O166" i="3" s="1"/>
  <c r="BT166" i="16"/>
  <c r="CL166" i="16" s="1"/>
  <c r="O167" i="3" s="1"/>
  <c r="BT167" i="16"/>
  <c r="CL167" i="16" s="1"/>
  <c r="O168" i="3" s="1"/>
  <c r="BT168" i="16"/>
  <c r="CL168" i="16" s="1"/>
  <c r="O169" i="3" s="1"/>
  <c r="BT169" i="16"/>
  <c r="CL169" i="16" s="1"/>
  <c r="O170" i="3" s="1"/>
  <c r="BT170" i="16"/>
  <c r="CL170" i="16" s="1"/>
  <c r="O171" i="3" s="1"/>
  <c r="BT171" i="16"/>
  <c r="CL171" i="16" s="1"/>
  <c r="O172" i="3" s="1"/>
  <c r="BT172" i="16"/>
  <c r="CL172" i="16" s="1"/>
  <c r="O173" i="3" s="1"/>
  <c r="BT173" i="16"/>
  <c r="CL173" i="16" s="1"/>
  <c r="O174" i="3" s="1"/>
  <c r="BT174" i="16"/>
  <c r="CL174" i="16" s="1"/>
  <c r="O175" i="3" s="1"/>
  <c r="BT175" i="16"/>
  <c r="CL175" i="16" s="1"/>
  <c r="O176" i="3" s="1"/>
  <c r="BT176" i="16"/>
  <c r="CL176" i="16" s="1"/>
  <c r="O177" i="3" s="1"/>
  <c r="BS3" i="16"/>
  <c r="BS4" i="16"/>
  <c r="BS5" i="16"/>
  <c r="BS6" i="16"/>
  <c r="BS7" i="16"/>
  <c r="BS8" i="16"/>
  <c r="BS9" i="16"/>
  <c r="BS10" i="16"/>
  <c r="BS11" i="16"/>
  <c r="BS12" i="16"/>
  <c r="BS13" i="16"/>
  <c r="BS14" i="16"/>
  <c r="BS15" i="16"/>
  <c r="BS16" i="16"/>
  <c r="BS17" i="16"/>
  <c r="BS18" i="16"/>
  <c r="BS19" i="16"/>
  <c r="BS20" i="16"/>
  <c r="BS21" i="16"/>
  <c r="BS22" i="16"/>
  <c r="BS23" i="16"/>
  <c r="BS24" i="16"/>
  <c r="BS25" i="16"/>
  <c r="BS26" i="16"/>
  <c r="BS27" i="16"/>
  <c r="BS28" i="16"/>
  <c r="BS29" i="16"/>
  <c r="BS30" i="16"/>
  <c r="BS31" i="16"/>
  <c r="BS32" i="16"/>
  <c r="BS33" i="16"/>
  <c r="BS34" i="16"/>
  <c r="BS35" i="16"/>
  <c r="BS36" i="16"/>
  <c r="BS37" i="16"/>
  <c r="BS38" i="16"/>
  <c r="BS39" i="16"/>
  <c r="BS40" i="16"/>
  <c r="BS41" i="16"/>
  <c r="BS42" i="16"/>
  <c r="BS43" i="16"/>
  <c r="BS44" i="16"/>
  <c r="BS45" i="16"/>
  <c r="BS46" i="16"/>
  <c r="BS47" i="16"/>
  <c r="BS48" i="16"/>
  <c r="BS49" i="16"/>
  <c r="BS50" i="16"/>
  <c r="BS51" i="16"/>
  <c r="BS52" i="16"/>
  <c r="BS53" i="16"/>
  <c r="BS54" i="16"/>
  <c r="BS55" i="16"/>
  <c r="BS56" i="16"/>
  <c r="BS57" i="16"/>
  <c r="BS58" i="16"/>
  <c r="BS59" i="16"/>
  <c r="BS60" i="16"/>
  <c r="BS61" i="16"/>
  <c r="BS62" i="16"/>
  <c r="BS63" i="16"/>
  <c r="BS64" i="16"/>
  <c r="BS65"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90" i="16"/>
  <c r="BS91" i="16"/>
  <c r="BS92" i="16"/>
  <c r="BS93" i="16"/>
  <c r="BS94" i="16"/>
  <c r="BS95" i="16"/>
  <c r="BS96" i="16"/>
  <c r="BS97" i="16"/>
  <c r="BS98" i="16"/>
  <c r="BS99" i="16"/>
  <c r="BS100" i="16"/>
  <c r="BS101" i="16"/>
  <c r="BS102" i="16"/>
  <c r="BS103" i="16"/>
  <c r="BS104" i="16"/>
  <c r="BS105" i="16"/>
  <c r="BS106" i="16"/>
  <c r="BS107" i="16"/>
  <c r="BS108" i="16"/>
  <c r="BS109" i="16"/>
  <c r="BS110" i="16"/>
  <c r="BS111" i="16"/>
  <c r="BS112" i="16"/>
  <c r="BS113" i="16"/>
  <c r="BS114" i="16"/>
  <c r="BS115" i="16"/>
  <c r="BS116" i="16"/>
  <c r="BS117" i="16"/>
  <c r="BS118" i="16"/>
  <c r="BS119" i="16"/>
  <c r="BS120" i="16"/>
  <c r="BS121" i="16"/>
  <c r="BS122" i="16"/>
  <c r="BS123" i="16"/>
  <c r="BS124" i="16"/>
  <c r="BS125"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62" i="16"/>
  <c r="BS163" i="16"/>
  <c r="BS164" i="16"/>
  <c r="BS165" i="16"/>
  <c r="BS166" i="16"/>
  <c r="BS167" i="16"/>
  <c r="BS168" i="16"/>
  <c r="BS169" i="16"/>
  <c r="BS170" i="16"/>
  <c r="BS171" i="16"/>
  <c r="BS172" i="16"/>
  <c r="BS173" i="16"/>
  <c r="BS174" i="16"/>
  <c r="BS175" i="16"/>
  <c r="BS176" i="16"/>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CK3" i="16" s="1"/>
  <c r="N4" i="3" s="1"/>
  <c r="BQ4" i="16"/>
  <c r="CK4" i="16" s="1"/>
  <c r="N5" i="3" s="1"/>
  <c r="BQ5" i="16"/>
  <c r="CK5" i="16" s="1"/>
  <c r="N6" i="3" s="1"/>
  <c r="BQ6" i="16"/>
  <c r="CK6" i="16" s="1"/>
  <c r="N7" i="3" s="1"/>
  <c r="BQ7" i="16"/>
  <c r="CK7" i="16" s="1"/>
  <c r="N8" i="3" s="1"/>
  <c r="BQ8" i="16"/>
  <c r="CK8" i="16" s="1"/>
  <c r="N9" i="3" s="1"/>
  <c r="BQ9" i="16"/>
  <c r="CK9" i="16" s="1"/>
  <c r="N10" i="3" s="1"/>
  <c r="BQ10" i="16"/>
  <c r="CK10" i="16" s="1"/>
  <c r="N11" i="3" s="1"/>
  <c r="BQ11" i="16"/>
  <c r="CK11" i="16" s="1"/>
  <c r="N12" i="3" s="1"/>
  <c r="BQ12" i="16"/>
  <c r="CK12" i="16" s="1"/>
  <c r="N13" i="3" s="1"/>
  <c r="BQ13" i="16"/>
  <c r="CK13" i="16" s="1"/>
  <c r="N14" i="3" s="1"/>
  <c r="BQ14" i="16"/>
  <c r="CK14" i="16" s="1"/>
  <c r="N15" i="3" s="1"/>
  <c r="BQ15" i="16"/>
  <c r="CK15" i="16" s="1"/>
  <c r="N16" i="3" s="1"/>
  <c r="BQ16" i="16"/>
  <c r="CK16" i="16" s="1"/>
  <c r="N17" i="3" s="1"/>
  <c r="BQ17" i="16"/>
  <c r="CK17" i="16" s="1"/>
  <c r="N18" i="3" s="1"/>
  <c r="BQ18" i="16"/>
  <c r="CK18" i="16" s="1"/>
  <c r="N19" i="3" s="1"/>
  <c r="BQ19" i="16"/>
  <c r="CK19" i="16" s="1"/>
  <c r="N20" i="3" s="1"/>
  <c r="BQ20" i="16"/>
  <c r="CK20" i="16" s="1"/>
  <c r="N21" i="3" s="1"/>
  <c r="BQ21" i="16"/>
  <c r="CK21" i="16" s="1"/>
  <c r="N22" i="3" s="1"/>
  <c r="BQ22" i="16"/>
  <c r="CK22" i="16" s="1"/>
  <c r="N23" i="3" s="1"/>
  <c r="BQ23" i="16"/>
  <c r="CK23" i="16" s="1"/>
  <c r="N24" i="3" s="1"/>
  <c r="BQ24" i="16"/>
  <c r="CK24" i="16" s="1"/>
  <c r="N25" i="3" s="1"/>
  <c r="BQ25" i="16"/>
  <c r="CK25" i="16" s="1"/>
  <c r="N26" i="3" s="1"/>
  <c r="BQ26" i="16"/>
  <c r="CK26" i="16" s="1"/>
  <c r="N27" i="3" s="1"/>
  <c r="BQ27" i="16"/>
  <c r="CK27" i="16" s="1"/>
  <c r="N28" i="3" s="1"/>
  <c r="BQ28" i="16"/>
  <c r="CK28" i="16" s="1"/>
  <c r="N29" i="3" s="1"/>
  <c r="BQ29" i="16"/>
  <c r="CK29" i="16" s="1"/>
  <c r="N30" i="3" s="1"/>
  <c r="BQ30" i="16"/>
  <c r="CK30" i="16" s="1"/>
  <c r="N31" i="3" s="1"/>
  <c r="BQ31" i="16"/>
  <c r="CK31" i="16" s="1"/>
  <c r="N32" i="3" s="1"/>
  <c r="BQ32" i="16"/>
  <c r="CK32" i="16" s="1"/>
  <c r="N33" i="3" s="1"/>
  <c r="BQ33" i="16"/>
  <c r="CK33" i="16" s="1"/>
  <c r="N34" i="3" s="1"/>
  <c r="BQ34" i="16"/>
  <c r="CK34" i="16" s="1"/>
  <c r="N35" i="3" s="1"/>
  <c r="BQ35" i="16"/>
  <c r="CK35" i="16" s="1"/>
  <c r="N36" i="3" s="1"/>
  <c r="BQ36" i="16"/>
  <c r="CK36" i="16" s="1"/>
  <c r="N37" i="3" s="1"/>
  <c r="BQ37" i="16"/>
  <c r="CK37" i="16" s="1"/>
  <c r="N38" i="3" s="1"/>
  <c r="BQ38" i="16"/>
  <c r="CK38" i="16" s="1"/>
  <c r="N39" i="3" s="1"/>
  <c r="BQ39" i="16"/>
  <c r="CK39" i="16" s="1"/>
  <c r="N40" i="3" s="1"/>
  <c r="BQ40" i="16"/>
  <c r="CK40" i="16" s="1"/>
  <c r="N41" i="3" s="1"/>
  <c r="BQ41" i="16"/>
  <c r="CK41" i="16" s="1"/>
  <c r="N42" i="3" s="1"/>
  <c r="BQ42" i="16"/>
  <c r="CK42" i="16" s="1"/>
  <c r="N43" i="3" s="1"/>
  <c r="BQ43" i="16"/>
  <c r="CK43" i="16" s="1"/>
  <c r="N44" i="3" s="1"/>
  <c r="BQ44" i="16"/>
  <c r="CK44" i="16" s="1"/>
  <c r="N45" i="3" s="1"/>
  <c r="BQ45" i="16"/>
  <c r="CK45" i="16" s="1"/>
  <c r="N46" i="3" s="1"/>
  <c r="BQ46" i="16"/>
  <c r="CK46" i="16" s="1"/>
  <c r="N47" i="3" s="1"/>
  <c r="BQ47" i="16"/>
  <c r="CK47" i="16" s="1"/>
  <c r="N48" i="3" s="1"/>
  <c r="BQ48" i="16"/>
  <c r="CK48" i="16" s="1"/>
  <c r="N49" i="3" s="1"/>
  <c r="BQ49" i="16"/>
  <c r="CK49" i="16" s="1"/>
  <c r="N50" i="3" s="1"/>
  <c r="BQ50" i="16"/>
  <c r="CK50" i="16" s="1"/>
  <c r="N51" i="3" s="1"/>
  <c r="BQ51" i="16"/>
  <c r="CK51" i="16" s="1"/>
  <c r="N52" i="3" s="1"/>
  <c r="BQ52" i="16"/>
  <c r="CK52" i="16" s="1"/>
  <c r="N53" i="3" s="1"/>
  <c r="BQ53" i="16"/>
  <c r="CK53" i="16" s="1"/>
  <c r="N54" i="3" s="1"/>
  <c r="BQ54" i="16"/>
  <c r="CK54" i="16" s="1"/>
  <c r="N55" i="3" s="1"/>
  <c r="BQ55" i="16"/>
  <c r="CK55" i="16" s="1"/>
  <c r="N56" i="3" s="1"/>
  <c r="BQ56" i="16"/>
  <c r="CK56" i="16" s="1"/>
  <c r="N57" i="3" s="1"/>
  <c r="BQ57" i="16"/>
  <c r="CK57" i="16" s="1"/>
  <c r="N58" i="3" s="1"/>
  <c r="BQ58" i="16"/>
  <c r="CK58" i="16" s="1"/>
  <c r="N59" i="3" s="1"/>
  <c r="BQ59" i="16"/>
  <c r="CK59" i="16" s="1"/>
  <c r="N60" i="3" s="1"/>
  <c r="BQ60" i="16"/>
  <c r="CK60" i="16" s="1"/>
  <c r="N61" i="3" s="1"/>
  <c r="BQ61" i="16"/>
  <c r="CK61" i="16" s="1"/>
  <c r="N62" i="3" s="1"/>
  <c r="BQ62" i="16"/>
  <c r="CK62" i="16" s="1"/>
  <c r="N63" i="3" s="1"/>
  <c r="BQ63" i="16"/>
  <c r="CK63" i="16" s="1"/>
  <c r="N64" i="3" s="1"/>
  <c r="BQ64" i="16"/>
  <c r="CK64" i="16" s="1"/>
  <c r="N65" i="3" s="1"/>
  <c r="BQ65" i="16"/>
  <c r="CK65" i="16" s="1"/>
  <c r="N66" i="3" s="1"/>
  <c r="BQ66" i="16"/>
  <c r="CK66" i="16" s="1"/>
  <c r="N67" i="3" s="1"/>
  <c r="BQ67" i="16"/>
  <c r="CK67" i="16" s="1"/>
  <c r="N68" i="3" s="1"/>
  <c r="BQ68" i="16"/>
  <c r="CK68" i="16" s="1"/>
  <c r="N69" i="3" s="1"/>
  <c r="BQ69" i="16"/>
  <c r="CK69" i="16" s="1"/>
  <c r="N70" i="3" s="1"/>
  <c r="BQ70" i="16"/>
  <c r="CK70" i="16" s="1"/>
  <c r="N71" i="3" s="1"/>
  <c r="BQ71" i="16"/>
  <c r="CK71" i="16" s="1"/>
  <c r="N72" i="3" s="1"/>
  <c r="BQ72" i="16"/>
  <c r="CK72" i="16" s="1"/>
  <c r="N73" i="3" s="1"/>
  <c r="BQ73" i="16"/>
  <c r="CK73" i="16" s="1"/>
  <c r="N74" i="3" s="1"/>
  <c r="BQ74" i="16"/>
  <c r="CK74" i="16" s="1"/>
  <c r="N75" i="3" s="1"/>
  <c r="BQ75" i="16"/>
  <c r="CK75" i="16" s="1"/>
  <c r="N76" i="3" s="1"/>
  <c r="BQ76" i="16"/>
  <c r="CK76" i="16" s="1"/>
  <c r="N77" i="3" s="1"/>
  <c r="BQ77" i="16"/>
  <c r="CK77" i="16" s="1"/>
  <c r="N78" i="3" s="1"/>
  <c r="BQ78" i="16"/>
  <c r="CK78" i="16" s="1"/>
  <c r="N79" i="3" s="1"/>
  <c r="BQ79" i="16"/>
  <c r="CK79" i="16" s="1"/>
  <c r="N80" i="3" s="1"/>
  <c r="BQ80" i="16"/>
  <c r="CK80" i="16" s="1"/>
  <c r="N81" i="3" s="1"/>
  <c r="BQ81" i="16"/>
  <c r="CK81" i="16" s="1"/>
  <c r="N82" i="3" s="1"/>
  <c r="BQ82" i="16"/>
  <c r="CK82" i="16" s="1"/>
  <c r="N83" i="3" s="1"/>
  <c r="BQ83" i="16"/>
  <c r="CK83" i="16" s="1"/>
  <c r="N84" i="3" s="1"/>
  <c r="BQ84" i="16"/>
  <c r="CK84" i="16" s="1"/>
  <c r="N85" i="3" s="1"/>
  <c r="BQ85" i="16"/>
  <c r="CK85" i="16" s="1"/>
  <c r="N86" i="3" s="1"/>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BN4" i="16"/>
  <c r="BN5" i="16"/>
  <c r="BN6" i="16"/>
  <c r="BN7" i="16"/>
  <c r="BN8" i="16"/>
  <c r="BN9" i="16"/>
  <c r="BN10" i="16"/>
  <c r="BN11" i="16"/>
  <c r="BN12" i="16"/>
  <c r="BN13" i="16"/>
  <c r="BN14" i="16"/>
  <c r="BN15" i="16"/>
  <c r="BN16" i="16"/>
  <c r="BN17" i="16"/>
  <c r="BN18" i="16"/>
  <c r="BN19" i="16"/>
  <c r="BN20" i="16"/>
  <c r="BN21" i="16"/>
  <c r="BN22" i="16"/>
  <c r="BN23" i="16"/>
  <c r="BN24" i="16"/>
  <c r="BN25" i="16"/>
  <c r="BN26" i="16"/>
  <c r="BN27" i="16"/>
  <c r="BN28" i="16"/>
  <c r="BN29" i="16"/>
  <c r="BN30" i="16"/>
  <c r="BN31" i="16"/>
  <c r="BN32" i="16"/>
  <c r="BN33" i="16"/>
  <c r="BN34" i="16"/>
  <c r="BN35" i="16"/>
  <c r="BN36" i="16"/>
  <c r="BN37" i="16"/>
  <c r="BN38" i="16"/>
  <c r="BN39" i="16"/>
  <c r="BN40" i="16"/>
  <c r="BN41" i="16"/>
  <c r="BN42" i="16"/>
  <c r="BN43" i="16"/>
  <c r="BN44" i="16"/>
  <c r="BN45" i="16"/>
  <c r="BN46" i="16"/>
  <c r="BN47" i="16"/>
  <c r="BN48" i="16"/>
  <c r="BN49" i="16"/>
  <c r="BN50" i="16"/>
  <c r="BN51" i="16"/>
  <c r="BN52" i="16"/>
  <c r="BN53" i="16"/>
  <c r="BN54" i="16"/>
  <c r="BN55" i="16"/>
  <c r="BN56" i="16"/>
  <c r="BN57" i="16"/>
  <c r="BN58" i="16"/>
  <c r="BN59" i="16"/>
  <c r="BN60" i="16"/>
  <c r="BN61" i="16"/>
  <c r="BN62" i="16"/>
  <c r="BN63" i="16"/>
  <c r="BN64" i="16"/>
  <c r="BN65" i="16"/>
  <c r="BN6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90" i="16"/>
  <c r="BN91" i="16"/>
  <c r="BN92" i="16"/>
  <c r="BN93" i="16"/>
  <c r="BN94" i="16"/>
  <c r="BN95" i="16"/>
  <c r="BN96" i="16"/>
  <c r="BN97" i="16"/>
  <c r="BN98" i="16"/>
  <c r="BN99" i="16"/>
  <c r="BN100" i="16"/>
  <c r="BN101" i="16"/>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BJ54" i="16"/>
  <c r="BJ55" i="16"/>
  <c r="BJ56" i="16"/>
  <c r="BJ57" i="16"/>
  <c r="BJ58" i="16"/>
  <c r="BJ59" i="16"/>
  <c r="BJ60" i="16"/>
  <c r="BJ61" i="16"/>
  <c r="BJ62" i="16"/>
  <c r="BJ63" i="16"/>
  <c r="BJ64" i="16"/>
  <c r="BJ65" i="16"/>
  <c r="BJ66" i="16"/>
  <c r="BJ67" i="16"/>
  <c r="BJ68" i="16"/>
  <c r="BJ69" i="16"/>
  <c r="BJ70" i="16"/>
  <c r="BJ71" i="16"/>
  <c r="BJ72" i="16"/>
  <c r="BJ73" i="16"/>
  <c r="BJ74" i="16"/>
  <c r="BJ75" i="16"/>
  <c r="BJ76" i="16"/>
  <c r="BJ77" i="16"/>
  <c r="BJ78" i="16"/>
  <c r="BJ79" i="16"/>
  <c r="BJ80" i="16"/>
  <c r="BJ81" i="16"/>
  <c r="BJ82" i="16"/>
  <c r="BJ83" i="16"/>
  <c r="BJ84" i="16"/>
  <c r="BJ85" i="16"/>
  <c r="BJ86" i="16"/>
  <c r="BJ87" i="16"/>
  <c r="BJ88" i="16"/>
  <c r="BJ89" i="16"/>
  <c r="BJ90" i="16"/>
  <c r="BJ91" i="16"/>
  <c r="BJ92" i="16"/>
  <c r="BJ93" i="16"/>
  <c r="BJ94" i="16"/>
  <c r="BJ95" i="16"/>
  <c r="BJ96" i="16"/>
  <c r="BJ97" i="16"/>
  <c r="BJ98" i="16"/>
  <c r="BJ99" i="16"/>
  <c r="BJ100" i="16"/>
  <c r="BJ101" i="16"/>
  <c r="BJ102" i="16"/>
  <c r="BJ103" i="16"/>
  <c r="BJ104" i="16"/>
  <c r="BJ105" i="16"/>
  <c r="BJ106" i="16"/>
  <c r="BJ107" i="16"/>
  <c r="BJ108" i="16"/>
  <c r="BJ109" i="16"/>
  <c r="BJ110" i="16"/>
  <c r="BJ111" i="16"/>
  <c r="BJ112" i="16"/>
  <c r="BJ113" i="16"/>
  <c r="BJ114" i="16"/>
  <c r="BJ115" i="16"/>
  <c r="BJ116" i="16"/>
  <c r="BJ117" i="16"/>
  <c r="BJ118" i="16"/>
  <c r="BJ119" i="16"/>
  <c r="BJ120" i="16"/>
  <c r="BJ121" i="16"/>
  <c r="BJ122" i="16"/>
  <c r="BJ123" i="16"/>
  <c r="BJ124" i="16"/>
  <c r="BJ125"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62" i="16"/>
  <c r="BJ163" i="16"/>
  <c r="BJ164" i="16"/>
  <c r="BJ165" i="16"/>
  <c r="BJ166" i="16"/>
  <c r="BJ167" i="16"/>
  <c r="BJ168" i="16"/>
  <c r="BJ169" i="16"/>
  <c r="BJ170" i="16"/>
  <c r="BJ171" i="16"/>
  <c r="BJ172" i="16"/>
  <c r="BJ173" i="16"/>
  <c r="BJ174" i="16"/>
  <c r="BJ175" i="16"/>
  <c r="BJ176" i="16"/>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AK161" i="16"/>
  <c r="AK162" i="16"/>
  <c r="AK163" i="16"/>
  <c r="AK164" i="16"/>
  <c r="AK165" i="16"/>
  <c r="AK166" i="16"/>
  <c r="AK167" i="16"/>
  <c r="AK168" i="16"/>
  <c r="AK169" i="16"/>
  <c r="AK170" i="16"/>
  <c r="AK171" i="16"/>
  <c r="AK172" i="16"/>
  <c r="AK173" i="16"/>
  <c r="AK174" i="16"/>
  <c r="AK175" i="16"/>
  <c r="AK176" i="16"/>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H4" i="3" s="1"/>
  <c r="AG4" i="16"/>
  <c r="CE4" i="16" s="1"/>
  <c r="H5" i="3" s="1"/>
  <c r="AG5" i="16"/>
  <c r="CE5" i="16" s="1"/>
  <c r="H6" i="3" s="1"/>
  <c r="AG6" i="16"/>
  <c r="CE6" i="16" s="1"/>
  <c r="H7" i="3" s="1"/>
  <c r="AG7" i="16"/>
  <c r="CE7" i="16" s="1"/>
  <c r="H8" i="3" s="1"/>
  <c r="AG8" i="16"/>
  <c r="CE8" i="16" s="1"/>
  <c r="H9" i="3" s="1"/>
  <c r="AG9" i="16"/>
  <c r="CE9" i="16" s="1"/>
  <c r="H10" i="3" s="1"/>
  <c r="AG10" i="16"/>
  <c r="CE10" i="16" s="1"/>
  <c r="H11" i="3" s="1"/>
  <c r="AG11" i="16"/>
  <c r="CE11" i="16" s="1"/>
  <c r="H12" i="3" s="1"/>
  <c r="AG12" i="16"/>
  <c r="CE12" i="16" s="1"/>
  <c r="H13" i="3" s="1"/>
  <c r="AG13" i="16"/>
  <c r="CE13" i="16" s="1"/>
  <c r="H14" i="3" s="1"/>
  <c r="AG14" i="16"/>
  <c r="CE14" i="16" s="1"/>
  <c r="H15" i="3" s="1"/>
  <c r="AG15" i="16"/>
  <c r="CE15" i="16" s="1"/>
  <c r="H16" i="3" s="1"/>
  <c r="AG16" i="16"/>
  <c r="CE16" i="16" s="1"/>
  <c r="H17" i="3" s="1"/>
  <c r="AG17" i="16"/>
  <c r="CE17" i="16" s="1"/>
  <c r="H18" i="3" s="1"/>
  <c r="AG18" i="16"/>
  <c r="CE18" i="16" s="1"/>
  <c r="H19" i="3" s="1"/>
  <c r="AG19" i="16"/>
  <c r="CE19" i="16" s="1"/>
  <c r="H20" i="3" s="1"/>
  <c r="AG20" i="16"/>
  <c r="CE20" i="16" s="1"/>
  <c r="H21" i="3" s="1"/>
  <c r="AG21" i="16"/>
  <c r="CE21" i="16" s="1"/>
  <c r="H22" i="3" s="1"/>
  <c r="AG22" i="16"/>
  <c r="CE22" i="16" s="1"/>
  <c r="H23" i="3" s="1"/>
  <c r="AG23" i="16"/>
  <c r="CE23" i="16" s="1"/>
  <c r="H24" i="3" s="1"/>
  <c r="AG24" i="16"/>
  <c r="CE24" i="16" s="1"/>
  <c r="H25" i="3" s="1"/>
  <c r="AG25" i="16"/>
  <c r="CE25" i="16" s="1"/>
  <c r="H26" i="3" s="1"/>
  <c r="AG26" i="16"/>
  <c r="CE26" i="16" s="1"/>
  <c r="H27" i="3" s="1"/>
  <c r="AG27" i="16"/>
  <c r="CE27" i="16" s="1"/>
  <c r="H28" i="3" s="1"/>
  <c r="AG28" i="16"/>
  <c r="CE28" i="16" s="1"/>
  <c r="H29" i="3" s="1"/>
  <c r="AG29" i="16"/>
  <c r="CE29" i="16" s="1"/>
  <c r="H30" i="3" s="1"/>
  <c r="AG30" i="16"/>
  <c r="CE30" i="16" s="1"/>
  <c r="H31" i="3" s="1"/>
  <c r="AG31" i="16"/>
  <c r="CE31" i="16" s="1"/>
  <c r="H32" i="3" s="1"/>
  <c r="AG32" i="16"/>
  <c r="CE32" i="16" s="1"/>
  <c r="H33" i="3" s="1"/>
  <c r="AG33" i="16"/>
  <c r="CE33" i="16" s="1"/>
  <c r="H34" i="3" s="1"/>
  <c r="AG34" i="16"/>
  <c r="CE34" i="16" s="1"/>
  <c r="H35" i="3" s="1"/>
  <c r="AG35" i="16"/>
  <c r="CE35" i="16" s="1"/>
  <c r="H36" i="3" s="1"/>
  <c r="AG36" i="16"/>
  <c r="CE36" i="16" s="1"/>
  <c r="H37" i="3" s="1"/>
  <c r="AG37" i="16"/>
  <c r="CE37" i="16" s="1"/>
  <c r="H38" i="3" s="1"/>
  <c r="AG38" i="16"/>
  <c r="CE38" i="16" s="1"/>
  <c r="H39" i="3" s="1"/>
  <c r="AG39" i="16"/>
  <c r="CE39" i="16" s="1"/>
  <c r="H40" i="3" s="1"/>
  <c r="AG40" i="16"/>
  <c r="CE40" i="16" s="1"/>
  <c r="H41" i="3" s="1"/>
  <c r="AG41" i="16"/>
  <c r="CE41" i="16" s="1"/>
  <c r="H42" i="3" s="1"/>
  <c r="AG42" i="16"/>
  <c r="CE42" i="16" s="1"/>
  <c r="H43" i="3" s="1"/>
  <c r="AG43" i="16"/>
  <c r="CE43" i="16" s="1"/>
  <c r="H44" i="3" s="1"/>
  <c r="AG44" i="16"/>
  <c r="CE44" i="16" s="1"/>
  <c r="H45" i="3" s="1"/>
  <c r="AG45" i="16"/>
  <c r="CE45" i="16" s="1"/>
  <c r="H46" i="3" s="1"/>
  <c r="AG46" i="16"/>
  <c r="CE46" i="16" s="1"/>
  <c r="H47" i="3" s="1"/>
  <c r="AG47" i="16"/>
  <c r="CE47" i="16" s="1"/>
  <c r="H48" i="3" s="1"/>
  <c r="AG48" i="16"/>
  <c r="CE48" i="16" s="1"/>
  <c r="H49" i="3" s="1"/>
  <c r="AG49" i="16"/>
  <c r="CE49" i="16" s="1"/>
  <c r="H50" i="3" s="1"/>
  <c r="AG50" i="16"/>
  <c r="CE50" i="16" s="1"/>
  <c r="H51" i="3" s="1"/>
  <c r="AG51" i="16"/>
  <c r="CE51" i="16" s="1"/>
  <c r="H52" i="3" s="1"/>
  <c r="AG52" i="16"/>
  <c r="CE52" i="16" s="1"/>
  <c r="H53" i="3" s="1"/>
  <c r="AG53" i="16"/>
  <c r="CE53" i="16" s="1"/>
  <c r="H54" i="3" s="1"/>
  <c r="AG54" i="16"/>
  <c r="CE54" i="16" s="1"/>
  <c r="H55" i="3" s="1"/>
  <c r="AG55" i="16"/>
  <c r="CE55" i="16" s="1"/>
  <c r="H56" i="3" s="1"/>
  <c r="AG56" i="16"/>
  <c r="CE56" i="16" s="1"/>
  <c r="H57" i="3" s="1"/>
  <c r="AG57" i="16"/>
  <c r="CE57" i="16" s="1"/>
  <c r="H58" i="3" s="1"/>
  <c r="AG58" i="16"/>
  <c r="CE58" i="16" s="1"/>
  <c r="H59" i="3" s="1"/>
  <c r="AG59" i="16"/>
  <c r="CE59" i="16" s="1"/>
  <c r="H60" i="3" s="1"/>
  <c r="AG60" i="16"/>
  <c r="CE60" i="16" s="1"/>
  <c r="H61" i="3" s="1"/>
  <c r="AG61" i="16"/>
  <c r="CE61" i="16" s="1"/>
  <c r="H62" i="3" s="1"/>
  <c r="AG62" i="16"/>
  <c r="CE62" i="16" s="1"/>
  <c r="H63" i="3" s="1"/>
  <c r="AG63" i="16"/>
  <c r="CE63" i="16" s="1"/>
  <c r="H64" i="3" s="1"/>
  <c r="AG64" i="16"/>
  <c r="CE64" i="16" s="1"/>
  <c r="H65" i="3" s="1"/>
  <c r="AG65" i="16"/>
  <c r="CE65" i="16" s="1"/>
  <c r="H66" i="3" s="1"/>
  <c r="AG66" i="16"/>
  <c r="CE66" i="16" s="1"/>
  <c r="H67" i="3" s="1"/>
  <c r="AG67" i="16"/>
  <c r="CE67" i="16" s="1"/>
  <c r="H68" i="3" s="1"/>
  <c r="AG68" i="16"/>
  <c r="CE68" i="16" s="1"/>
  <c r="H69" i="3" s="1"/>
  <c r="AG69" i="16"/>
  <c r="CE69" i="16" s="1"/>
  <c r="H70" i="3" s="1"/>
  <c r="AG70" i="16"/>
  <c r="CE70" i="16" s="1"/>
  <c r="H71" i="3" s="1"/>
  <c r="AG71" i="16"/>
  <c r="CE71" i="16" s="1"/>
  <c r="H72" i="3" s="1"/>
  <c r="AG72" i="16"/>
  <c r="CE72" i="16" s="1"/>
  <c r="H73" i="3" s="1"/>
  <c r="AG73" i="16"/>
  <c r="CE73" i="16" s="1"/>
  <c r="H74" i="3" s="1"/>
  <c r="AG74" i="16"/>
  <c r="CE74" i="16" s="1"/>
  <c r="H75" i="3" s="1"/>
  <c r="AG75" i="16"/>
  <c r="CE75" i="16" s="1"/>
  <c r="H76" i="3" s="1"/>
  <c r="AG76" i="16"/>
  <c r="CE76" i="16" s="1"/>
  <c r="H77" i="3" s="1"/>
  <c r="AG77" i="16"/>
  <c r="CE77" i="16" s="1"/>
  <c r="H78" i="3" s="1"/>
  <c r="AG78" i="16"/>
  <c r="CE78" i="16" s="1"/>
  <c r="H79" i="3" s="1"/>
  <c r="AG79" i="16"/>
  <c r="CE79" i="16" s="1"/>
  <c r="H80" i="3" s="1"/>
  <c r="AG80" i="16"/>
  <c r="CE80" i="16" s="1"/>
  <c r="H81" i="3" s="1"/>
  <c r="AG81" i="16"/>
  <c r="CE81" i="16" s="1"/>
  <c r="H82" i="3" s="1"/>
  <c r="AG82" i="16"/>
  <c r="CE82" i="16" s="1"/>
  <c r="H83" i="3" s="1"/>
  <c r="AG83" i="16"/>
  <c r="CE83" i="16" s="1"/>
  <c r="H84" i="3" s="1"/>
  <c r="AG84" i="16"/>
  <c r="CE84" i="16" s="1"/>
  <c r="H85" i="3" s="1"/>
  <c r="AG85" i="16"/>
  <c r="CE85" i="16" s="1"/>
  <c r="H86" i="3" s="1"/>
  <c r="AG86" i="16"/>
  <c r="CE86" i="16" s="1"/>
  <c r="H87" i="3" s="1"/>
  <c r="AG87" i="16"/>
  <c r="CE87" i="16" s="1"/>
  <c r="H88" i="3" s="1"/>
  <c r="AG88" i="16"/>
  <c r="CE88" i="16" s="1"/>
  <c r="H89" i="3" s="1"/>
  <c r="AG89" i="16"/>
  <c r="CE89" i="16" s="1"/>
  <c r="H90" i="3" s="1"/>
  <c r="AG90" i="16"/>
  <c r="CE90" i="16" s="1"/>
  <c r="H91" i="3" s="1"/>
  <c r="AG91" i="16"/>
  <c r="CE91" i="16" s="1"/>
  <c r="H92" i="3" s="1"/>
  <c r="AG92" i="16"/>
  <c r="CE92" i="16" s="1"/>
  <c r="H93" i="3" s="1"/>
  <c r="AG93" i="16"/>
  <c r="CE93" i="16" s="1"/>
  <c r="H94" i="3" s="1"/>
  <c r="AG94" i="16"/>
  <c r="CE94" i="16" s="1"/>
  <c r="H95" i="3" s="1"/>
  <c r="AG95" i="16"/>
  <c r="CE95" i="16" s="1"/>
  <c r="H96" i="3" s="1"/>
  <c r="AG96" i="16"/>
  <c r="CE96" i="16" s="1"/>
  <c r="H97" i="3" s="1"/>
  <c r="AG97" i="16"/>
  <c r="CE97" i="16" s="1"/>
  <c r="H98" i="3" s="1"/>
  <c r="AG98" i="16"/>
  <c r="CE98" i="16" s="1"/>
  <c r="H99" i="3" s="1"/>
  <c r="AG99" i="16"/>
  <c r="CE99" i="16" s="1"/>
  <c r="H100" i="3" s="1"/>
  <c r="AG100" i="16"/>
  <c r="CE100" i="16" s="1"/>
  <c r="H101" i="3" s="1"/>
  <c r="AG101" i="16"/>
  <c r="CE101" i="16" s="1"/>
  <c r="H102" i="3" s="1"/>
  <c r="AG102" i="16"/>
  <c r="CE102" i="16" s="1"/>
  <c r="H103" i="3" s="1"/>
  <c r="AG103" i="16"/>
  <c r="CE103" i="16" s="1"/>
  <c r="H104" i="3" s="1"/>
  <c r="AG104" i="16"/>
  <c r="CE104" i="16" s="1"/>
  <c r="H105" i="3" s="1"/>
  <c r="AG105" i="16"/>
  <c r="CE105" i="16" s="1"/>
  <c r="H106" i="3" s="1"/>
  <c r="AG106" i="16"/>
  <c r="CE106" i="16" s="1"/>
  <c r="H107" i="3" s="1"/>
  <c r="AG107" i="16"/>
  <c r="CE107" i="16" s="1"/>
  <c r="H108" i="3" s="1"/>
  <c r="AG108" i="16"/>
  <c r="CE108" i="16" s="1"/>
  <c r="H109" i="3" s="1"/>
  <c r="AG109" i="16"/>
  <c r="CE109" i="16" s="1"/>
  <c r="H110" i="3" s="1"/>
  <c r="AG110" i="16"/>
  <c r="CE110" i="16" s="1"/>
  <c r="H111" i="3" s="1"/>
  <c r="AG111" i="16"/>
  <c r="CE111" i="16" s="1"/>
  <c r="H112" i="3" s="1"/>
  <c r="AG112" i="16"/>
  <c r="CE112" i="16" s="1"/>
  <c r="H113" i="3" s="1"/>
  <c r="AG113" i="16"/>
  <c r="CE113" i="16" s="1"/>
  <c r="H114" i="3" s="1"/>
  <c r="AG114" i="16"/>
  <c r="CE114" i="16" s="1"/>
  <c r="H115" i="3" s="1"/>
  <c r="AG115" i="16"/>
  <c r="CE115" i="16" s="1"/>
  <c r="H116" i="3" s="1"/>
  <c r="AG116" i="16"/>
  <c r="CE116" i="16" s="1"/>
  <c r="H117" i="3" s="1"/>
  <c r="AG117" i="16"/>
  <c r="CE117" i="16" s="1"/>
  <c r="H118" i="3" s="1"/>
  <c r="AG118" i="16"/>
  <c r="CE118" i="16" s="1"/>
  <c r="H119" i="3" s="1"/>
  <c r="AG119" i="16"/>
  <c r="CE119" i="16" s="1"/>
  <c r="H120" i="3" s="1"/>
  <c r="AG120" i="16"/>
  <c r="CE120" i="16" s="1"/>
  <c r="H121" i="3" s="1"/>
  <c r="AG121" i="16"/>
  <c r="CE121" i="16" s="1"/>
  <c r="H122" i="3" s="1"/>
  <c r="AG122" i="16"/>
  <c r="CE122" i="16" s="1"/>
  <c r="H123" i="3" s="1"/>
  <c r="AG123" i="16"/>
  <c r="CE123" i="16" s="1"/>
  <c r="H124" i="3" s="1"/>
  <c r="AG124" i="16"/>
  <c r="CE124" i="16" s="1"/>
  <c r="H125" i="3" s="1"/>
  <c r="AG125" i="16"/>
  <c r="CE125" i="16" s="1"/>
  <c r="H126" i="3" s="1"/>
  <c r="AG126" i="16"/>
  <c r="CE126" i="16" s="1"/>
  <c r="H127" i="3" s="1"/>
  <c r="AG127" i="16"/>
  <c r="CE127" i="16" s="1"/>
  <c r="H128" i="3" s="1"/>
  <c r="AG128" i="16"/>
  <c r="CE128" i="16" s="1"/>
  <c r="H129" i="3" s="1"/>
  <c r="AG129" i="16"/>
  <c r="CE129" i="16" s="1"/>
  <c r="H130" i="3" s="1"/>
  <c r="AG130" i="16"/>
  <c r="CE130" i="16" s="1"/>
  <c r="H131" i="3" s="1"/>
  <c r="AG131" i="16"/>
  <c r="CE131" i="16" s="1"/>
  <c r="H132" i="3" s="1"/>
  <c r="AG132" i="16"/>
  <c r="CE132" i="16" s="1"/>
  <c r="H133" i="3" s="1"/>
  <c r="AG133" i="16"/>
  <c r="CE133" i="16" s="1"/>
  <c r="H134" i="3" s="1"/>
  <c r="AG134" i="16"/>
  <c r="CE134" i="16" s="1"/>
  <c r="H135" i="3" s="1"/>
  <c r="AG135" i="16"/>
  <c r="CE135" i="16" s="1"/>
  <c r="H136" i="3" s="1"/>
  <c r="AG136" i="16"/>
  <c r="CE136" i="16" s="1"/>
  <c r="H137" i="3" s="1"/>
  <c r="AG137" i="16"/>
  <c r="CE137" i="16" s="1"/>
  <c r="H138" i="3" s="1"/>
  <c r="AG138" i="16"/>
  <c r="CE138" i="16" s="1"/>
  <c r="H139" i="3" s="1"/>
  <c r="AG139" i="16"/>
  <c r="CE139" i="16" s="1"/>
  <c r="H140" i="3" s="1"/>
  <c r="AG140" i="16"/>
  <c r="CE140" i="16" s="1"/>
  <c r="H141" i="3" s="1"/>
  <c r="AG141" i="16"/>
  <c r="CE141" i="16" s="1"/>
  <c r="H142" i="3" s="1"/>
  <c r="AG142" i="16"/>
  <c r="CE142" i="16" s="1"/>
  <c r="H143" i="3" s="1"/>
  <c r="AG143" i="16"/>
  <c r="CE143" i="16" s="1"/>
  <c r="H144" i="3" s="1"/>
  <c r="AG144" i="16"/>
  <c r="CE144" i="16" s="1"/>
  <c r="H145" i="3" s="1"/>
  <c r="AG145" i="16"/>
  <c r="CE145" i="16" s="1"/>
  <c r="H146" i="3" s="1"/>
  <c r="AG146" i="16"/>
  <c r="CE146" i="16" s="1"/>
  <c r="H147" i="3" s="1"/>
  <c r="AG147" i="16"/>
  <c r="CE147" i="16" s="1"/>
  <c r="H148" i="3" s="1"/>
  <c r="AG148" i="16"/>
  <c r="CE148" i="16" s="1"/>
  <c r="H149" i="3" s="1"/>
  <c r="AG149" i="16"/>
  <c r="CE149" i="16" s="1"/>
  <c r="H150" i="3" s="1"/>
  <c r="AG150" i="16"/>
  <c r="CE150" i="16" s="1"/>
  <c r="H151" i="3" s="1"/>
  <c r="AG151" i="16"/>
  <c r="CE151" i="16" s="1"/>
  <c r="H152" i="3" s="1"/>
  <c r="AG152" i="16"/>
  <c r="CE152" i="16" s="1"/>
  <c r="H153" i="3" s="1"/>
  <c r="AG153" i="16"/>
  <c r="CE153" i="16" s="1"/>
  <c r="H154" i="3" s="1"/>
  <c r="AG154" i="16"/>
  <c r="CE154" i="16" s="1"/>
  <c r="H155" i="3" s="1"/>
  <c r="AG155" i="16"/>
  <c r="CE155" i="16" s="1"/>
  <c r="H156" i="3" s="1"/>
  <c r="AG156" i="16"/>
  <c r="CE156" i="16" s="1"/>
  <c r="H157" i="3" s="1"/>
  <c r="AG157" i="16"/>
  <c r="CE157" i="16" s="1"/>
  <c r="H158" i="3" s="1"/>
  <c r="AG158" i="16"/>
  <c r="CE158" i="16" s="1"/>
  <c r="H159" i="3" s="1"/>
  <c r="AG159" i="16"/>
  <c r="CE159" i="16" s="1"/>
  <c r="H160" i="3" s="1"/>
  <c r="AG160" i="16"/>
  <c r="CE160" i="16" s="1"/>
  <c r="H161" i="3" s="1"/>
  <c r="AG161" i="16"/>
  <c r="CE161" i="16" s="1"/>
  <c r="H162" i="3" s="1"/>
  <c r="AG162" i="16"/>
  <c r="CE162" i="16" s="1"/>
  <c r="H163" i="3" s="1"/>
  <c r="AG163" i="16"/>
  <c r="CE163" i="16" s="1"/>
  <c r="H164" i="3" s="1"/>
  <c r="AG164" i="16"/>
  <c r="CE164" i="16" s="1"/>
  <c r="H165" i="3" s="1"/>
  <c r="AG165" i="16"/>
  <c r="CE165" i="16" s="1"/>
  <c r="H166" i="3" s="1"/>
  <c r="AG166" i="16"/>
  <c r="CE166" i="16" s="1"/>
  <c r="H167" i="3" s="1"/>
  <c r="AG167" i="16"/>
  <c r="CE167" i="16" s="1"/>
  <c r="H168" i="3" s="1"/>
  <c r="AG168" i="16"/>
  <c r="CE168" i="16" s="1"/>
  <c r="H169" i="3" s="1"/>
  <c r="AG169" i="16"/>
  <c r="CE169" i="16" s="1"/>
  <c r="H170" i="3" s="1"/>
  <c r="AG170" i="16"/>
  <c r="CE170" i="16" s="1"/>
  <c r="H171" i="3" s="1"/>
  <c r="AG171" i="16"/>
  <c r="CE171" i="16" s="1"/>
  <c r="H172" i="3" s="1"/>
  <c r="AG172" i="16"/>
  <c r="CE172" i="16" s="1"/>
  <c r="H173" i="3" s="1"/>
  <c r="AG173" i="16"/>
  <c r="CE173" i="16" s="1"/>
  <c r="H174" i="3" s="1"/>
  <c r="AG174" i="16"/>
  <c r="CE174" i="16" s="1"/>
  <c r="H175" i="3" s="1"/>
  <c r="AG175" i="16"/>
  <c r="CE175" i="16" s="1"/>
  <c r="H176" i="3" s="1"/>
  <c r="AG176" i="16"/>
  <c r="CE176" i="16" s="1"/>
  <c r="H177" i="3" s="1"/>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E4" i="3" s="1"/>
  <c r="H4" i="16"/>
  <c r="CB4" i="16" s="1"/>
  <c r="E5" i="3" s="1"/>
  <c r="H5" i="16"/>
  <c r="CB5" i="16" s="1"/>
  <c r="E6" i="3" s="1"/>
  <c r="H6" i="16"/>
  <c r="CB6" i="16" s="1"/>
  <c r="E7" i="3" s="1"/>
  <c r="H7" i="16"/>
  <c r="CB7" i="16" s="1"/>
  <c r="E8" i="3" s="1"/>
  <c r="H8" i="16"/>
  <c r="CB8" i="16" s="1"/>
  <c r="E9" i="3" s="1"/>
  <c r="H9" i="16"/>
  <c r="CB9" i="16" s="1"/>
  <c r="E10" i="3" s="1"/>
  <c r="H10" i="16"/>
  <c r="CB10" i="16" s="1"/>
  <c r="E11" i="3" s="1"/>
  <c r="H11" i="16"/>
  <c r="CB11" i="16" s="1"/>
  <c r="E12" i="3" s="1"/>
  <c r="H12" i="16"/>
  <c r="CB12" i="16" s="1"/>
  <c r="E13" i="3" s="1"/>
  <c r="H13" i="16"/>
  <c r="CB13" i="16" s="1"/>
  <c r="E14" i="3" s="1"/>
  <c r="H14" i="16"/>
  <c r="CB14" i="16" s="1"/>
  <c r="E15" i="3" s="1"/>
  <c r="H15" i="16"/>
  <c r="CB15" i="16" s="1"/>
  <c r="E16" i="3" s="1"/>
  <c r="H16" i="16"/>
  <c r="CB16" i="16" s="1"/>
  <c r="E17" i="3" s="1"/>
  <c r="H17" i="16"/>
  <c r="CB17" i="16" s="1"/>
  <c r="E18" i="3" s="1"/>
  <c r="H18" i="16"/>
  <c r="CB18" i="16" s="1"/>
  <c r="E19" i="3" s="1"/>
  <c r="H19" i="16"/>
  <c r="CB19" i="16" s="1"/>
  <c r="E20" i="3" s="1"/>
  <c r="H20" i="16"/>
  <c r="CB20" i="16" s="1"/>
  <c r="E21" i="3" s="1"/>
  <c r="H21" i="16"/>
  <c r="CB21" i="16" s="1"/>
  <c r="E22" i="3" s="1"/>
  <c r="H22" i="16"/>
  <c r="CB22" i="16" s="1"/>
  <c r="E23" i="3" s="1"/>
  <c r="H23" i="16"/>
  <c r="CB23" i="16" s="1"/>
  <c r="E24" i="3" s="1"/>
  <c r="H24" i="16"/>
  <c r="CB24" i="16" s="1"/>
  <c r="E25" i="3" s="1"/>
  <c r="H25" i="16"/>
  <c r="CB25" i="16" s="1"/>
  <c r="E26" i="3" s="1"/>
  <c r="H26" i="16"/>
  <c r="CB26" i="16" s="1"/>
  <c r="E27" i="3" s="1"/>
  <c r="H27" i="16"/>
  <c r="CB27" i="16" s="1"/>
  <c r="E28" i="3" s="1"/>
  <c r="H28" i="16"/>
  <c r="CB28" i="16" s="1"/>
  <c r="E29" i="3" s="1"/>
  <c r="H29" i="16"/>
  <c r="CB29" i="16" s="1"/>
  <c r="E30" i="3" s="1"/>
  <c r="H30" i="16"/>
  <c r="CB30" i="16" s="1"/>
  <c r="E31" i="3" s="1"/>
  <c r="H31" i="16"/>
  <c r="CB31" i="16" s="1"/>
  <c r="E32" i="3" s="1"/>
  <c r="H32" i="16"/>
  <c r="CB32" i="16" s="1"/>
  <c r="E33" i="3" s="1"/>
  <c r="H33" i="16"/>
  <c r="CB33" i="16" s="1"/>
  <c r="E34" i="3" s="1"/>
  <c r="H34" i="16"/>
  <c r="CB34" i="16" s="1"/>
  <c r="E35" i="3" s="1"/>
  <c r="H35" i="16"/>
  <c r="CB35" i="16" s="1"/>
  <c r="E36" i="3" s="1"/>
  <c r="H36" i="16"/>
  <c r="CB36" i="16" s="1"/>
  <c r="E37" i="3" s="1"/>
  <c r="H37" i="16"/>
  <c r="CB37" i="16" s="1"/>
  <c r="E38" i="3" s="1"/>
  <c r="H38" i="16"/>
  <c r="CB38" i="16" s="1"/>
  <c r="E39" i="3" s="1"/>
  <c r="H39" i="16"/>
  <c r="CB39" i="16" s="1"/>
  <c r="E40" i="3" s="1"/>
  <c r="H40" i="16"/>
  <c r="CB40" i="16" s="1"/>
  <c r="E41" i="3" s="1"/>
  <c r="H41" i="16"/>
  <c r="CB41" i="16" s="1"/>
  <c r="E42" i="3" s="1"/>
  <c r="H42" i="16"/>
  <c r="CB42" i="16" s="1"/>
  <c r="E43" i="3" s="1"/>
  <c r="H43" i="16"/>
  <c r="CB43" i="16" s="1"/>
  <c r="E44" i="3" s="1"/>
  <c r="H44" i="16"/>
  <c r="CB44" i="16" s="1"/>
  <c r="E45" i="3" s="1"/>
  <c r="H45" i="16"/>
  <c r="CB45" i="16" s="1"/>
  <c r="E46" i="3" s="1"/>
  <c r="H46" i="16"/>
  <c r="CB46" i="16" s="1"/>
  <c r="E47" i="3" s="1"/>
  <c r="H47" i="16"/>
  <c r="CB47" i="16" s="1"/>
  <c r="E48" i="3" s="1"/>
  <c r="H48" i="16"/>
  <c r="CB48" i="16" s="1"/>
  <c r="E49" i="3" s="1"/>
  <c r="H49" i="16"/>
  <c r="CB49" i="16" s="1"/>
  <c r="E50" i="3" s="1"/>
  <c r="H50" i="16"/>
  <c r="CB50" i="16" s="1"/>
  <c r="E51" i="3" s="1"/>
  <c r="H51" i="16"/>
  <c r="CB51" i="16" s="1"/>
  <c r="E52" i="3" s="1"/>
  <c r="H52" i="16"/>
  <c r="CB52" i="16" s="1"/>
  <c r="E53" i="3" s="1"/>
  <c r="H53" i="16"/>
  <c r="CB53" i="16" s="1"/>
  <c r="E54" i="3" s="1"/>
  <c r="H54" i="16"/>
  <c r="CB54" i="16" s="1"/>
  <c r="E55" i="3" s="1"/>
  <c r="H55" i="16"/>
  <c r="CB55" i="16" s="1"/>
  <c r="E56" i="3" s="1"/>
  <c r="H56" i="16"/>
  <c r="CB56" i="16" s="1"/>
  <c r="E57" i="3" s="1"/>
  <c r="H57" i="16"/>
  <c r="CB57" i="16" s="1"/>
  <c r="E58" i="3" s="1"/>
  <c r="H58" i="16"/>
  <c r="CB58" i="16" s="1"/>
  <c r="E59" i="3" s="1"/>
  <c r="H59" i="16"/>
  <c r="CB59" i="16" s="1"/>
  <c r="E60" i="3" s="1"/>
  <c r="H60" i="16"/>
  <c r="CB60" i="16" s="1"/>
  <c r="E61" i="3" s="1"/>
  <c r="H61" i="16"/>
  <c r="CB61" i="16" s="1"/>
  <c r="E62" i="3" s="1"/>
  <c r="H62" i="16"/>
  <c r="CB62" i="16" s="1"/>
  <c r="E63" i="3" s="1"/>
  <c r="H63" i="16"/>
  <c r="CB63" i="16" s="1"/>
  <c r="E64" i="3" s="1"/>
  <c r="H64" i="16"/>
  <c r="CB64" i="16" s="1"/>
  <c r="E65" i="3" s="1"/>
  <c r="H65" i="16"/>
  <c r="CB65" i="16" s="1"/>
  <c r="E66" i="3" s="1"/>
  <c r="H66" i="16"/>
  <c r="CB66" i="16" s="1"/>
  <c r="E67" i="3" s="1"/>
  <c r="H67" i="16"/>
  <c r="CB67" i="16" s="1"/>
  <c r="E68" i="3" s="1"/>
  <c r="H68" i="16"/>
  <c r="CB68" i="16" s="1"/>
  <c r="E69" i="3" s="1"/>
  <c r="H69" i="16"/>
  <c r="CB69" i="16" s="1"/>
  <c r="E70" i="3" s="1"/>
  <c r="H70" i="16"/>
  <c r="CB70" i="16" s="1"/>
  <c r="E71" i="3" s="1"/>
  <c r="H71" i="16"/>
  <c r="CB71" i="16" s="1"/>
  <c r="E72" i="3" s="1"/>
  <c r="H72" i="16"/>
  <c r="CB72" i="16" s="1"/>
  <c r="E73" i="3" s="1"/>
  <c r="H73" i="16"/>
  <c r="CB73" i="16" s="1"/>
  <c r="E74" i="3" s="1"/>
  <c r="H74" i="16"/>
  <c r="CB74" i="16" s="1"/>
  <c r="E75" i="3" s="1"/>
  <c r="H75" i="16"/>
  <c r="CB75" i="16" s="1"/>
  <c r="E76" i="3" s="1"/>
  <c r="H76" i="16"/>
  <c r="CB76" i="16" s="1"/>
  <c r="E77" i="3" s="1"/>
  <c r="H77" i="16"/>
  <c r="CB77" i="16" s="1"/>
  <c r="E78" i="3" s="1"/>
  <c r="H78" i="16"/>
  <c r="CB78" i="16" s="1"/>
  <c r="E79" i="3" s="1"/>
  <c r="H79" i="16"/>
  <c r="CB79" i="16" s="1"/>
  <c r="E80" i="3" s="1"/>
  <c r="H80" i="16"/>
  <c r="CB80" i="16" s="1"/>
  <c r="E81" i="3" s="1"/>
  <c r="H81" i="16"/>
  <c r="CB81" i="16" s="1"/>
  <c r="E82" i="3" s="1"/>
  <c r="H82" i="16"/>
  <c r="CB82" i="16" s="1"/>
  <c r="E83" i="3" s="1"/>
  <c r="H83" i="16"/>
  <c r="CB83" i="16" s="1"/>
  <c r="E84" i="3" s="1"/>
  <c r="H84" i="16"/>
  <c r="CB84" i="16" s="1"/>
  <c r="E85" i="3" s="1"/>
  <c r="H85" i="16"/>
  <c r="CB85" i="16" s="1"/>
  <c r="E86" i="3" s="1"/>
  <c r="H86" i="16"/>
  <c r="CB86" i="16" s="1"/>
  <c r="E87" i="3" s="1"/>
  <c r="H87" i="16"/>
  <c r="CB87" i="16" s="1"/>
  <c r="E88" i="3" s="1"/>
  <c r="H88" i="16"/>
  <c r="CB88" i="16" s="1"/>
  <c r="E89" i="3" s="1"/>
  <c r="H89" i="16"/>
  <c r="CB89" i="16" s="1"/>
  <c r="E90" i="3" s="1"/>
  <c r="H90" i="16"/>
  <c r="CB90" i="16" s="1"/>
  <c r="E91" i="3" s="1"/>
  <c r="H91" i="16"/>
  <c r="CB91" i="16" s="1"/>
  <c r="E92" i="3" s="1"/>
  <c r="H92" i="16"/>
  <c r="CB92" i="16" s="1"/>
  <c r="E93" i="3" s="1"/>
  <c r="H93" i="16"/>
  <c r="CB93" i="16" s="1"/>
  <c r="E94" i="3" s="1"/>
  <c r="H94" i="16"/>
  <c r="CB94" i="16" s="1"/>
  <c r="E95" i="3" s="1"/>
  <c r="H95" i="16"/>
  <c r="CB95" i="16" s="1"/>
  <c r="E96" i="3" s="1"/>
  <c r="H96" i="16"/>
  <c r="CB96" i="16" s="1"/>
  <c r="E97" i="3" s="1"/>
  <c r="H97" i="16"/>
  <c r="CB97" i="16" s="1"/>
  <c r="E98" i="3" s="1"/>
  <c r="H98" i="16"/>
  <c r="CB98" i="16" s="1"/>
  <c r="E99" i="3" s="1"/>
  <c r="H99" i="16"/>
  <c r="CB99" i="16" s="1"/>
  <c r="E100" i="3" s="1"/>
  <c r="H100" i="16"/>
  <c r="CB100" i="16" s="1"/>
  <c r="E101" i="3" s="1"/>
  <c r="H101" i="16"/>
  <c r="CB101" i="16" s="1"/>
  <c r="E102" i="3" s="1"/>
  <c r="H102" i="16"/>
  <c r="CB102" i="16" s="1"/>
  <c r="E103" i="3" s="1"/>
  <c r="H103" i="16"/>
  <c r="CB103" i="16" s="1"/>
  <c r="E104" i="3" s="1"/>
  <c r="H104" i="16"/>
  <c r="CB104" i="16" s="1"/>
  <c r="E105" i="3" s="1"/>
  <c r="H105" i="16"/>
  <c r="CB105" i="16" s="1"/>
  <c r="E106" i="3" s="1"/>
  <c r="H106" i="16"/>
  <c r="CB106" i="16" s="1"/>
  <c r="E107" i="3" s="1"/>
  <c r="H107" i="16"/>
  <c r="CB107" i="16" s="1"/>
  <c r="E108" i="3" s="1"/>
  <c r="H108" i="16"/>
  <c r="CB108" i="16" s="1"/>
  <c r="E109" i="3" s="1"/>
  <c r="H109" i="16"/>
  <c r="CB109" i="16" s="1"/>
  <c r="E110" i="3" s="1"/>
  <c r="H110" i="16"/>
  <c r="CB110" i="16" s="1"/>
  <c r="E111" i="3" s="1"/>
  <c r="H111" i="16"/>
  <c r="CB111" i="16" s="1"/>
  <c r="E112" i="3" s="1"/>
  <c r="H112" i="16"/>
  <c r="CB112" i="16" s="1"/>
  <c r="E113" i="3" s="1"/>
  <c r="H113" i="16"/>
  <c r="CB113" i="16" s="1"/>
  <c r="E114" i="3" s="1"/>
  <c r="H114" i="16"/>
  <c r="CB114" i="16" s="1"/>
  <c r="E115" i="3" s="1"/>
  <c r="H115" i="16"/>
  <c r="CB115" i="16" s="1"/>
  <c r="E116" i="3" s="1"/>
  <c r="H116" i="16"/>
  <c r="CB116" i="16" s="1"/>
  <c r="E117" i="3" s="1"/>
  <c r="H117" i="16"/>
  <c r="CB117" i="16" s="1"/>
  <c r="E118" i="3" s="1"/>
  <c r="H118" i="16"/>
  <c r="CB118" i="16" s="1"/>
  <c r="E119" i="3" s="1"/>
  <c r="H119" i="16"/>
  <c r="CB119" i="16" s="1"/>
  <c r="E120" i="3" s="1"/>
  <c r="H120" i="16"/>
  <c r="CB120" i="16" s="1"/>
  <c r="E121" i="3" s="1"/>
  <c r="H121" i="16"/>
  <c r="CB121" i="16" s="1"/>
  <c r="E122" i="3" s="1"/>
  <c r="H122" i="16"/>
  <c r="CB122" i="16" s="1"/>
  <c r="E123" i="3" s="1"/>
  <c r="H123" i="16"/>
  <c r="CB123" i="16" s="1"/>
  <c r="E124" i="3" s="1"/>
  <c r="H124" i="16"/>
  <c r="CB124" i="16" s="1"/>
  <c r="E125" i="3" s="1"/>
  <c r="H125" i="16"/>
  <c r="CB125" i="16" s="1"/>
  <c r="E126" i="3" s="1"/>
  <c r="H126" i="16"/>
  <c r="CB126" i="16" s="1"/>
  <c r="E127" i="3" s="1"/>
  <c r="H127" i="16"/>
  <c r="CB127" i="16" s="1"/>
  <c r="E128" i="3" s="1"/>
  <c r="H128" i="16"/>
  <c r="CB128" i="16" s="1"/>
  <c r="E129" i="3" s="1"/>
  <c r="H129" i="16"/>
  <c r="H130" i="16"/>
  <c r="CB130" i="16" s="1"/>
  <c r="E131" i="3" s="1"/>
  <c r="H131" i="16"/>
  <c r="CB131" i="16" s="1"/>
  <c r="E132" i="3" s="1"/>
  <c r="H132" i="16"/>
  <c r="CB132" i="16" s="1"/>
  <c r="E133" i="3" s="1"/>
  <c r="H133" i="16"/>
  <c r="CB133" i="16" s="1"/>
  <c r="E134" i="3" s="1"/>
  <c r="H134" i="16"/>
  <c r="CB134" i="16" s="1"/>
  <c r="E135" i="3" s="1"/>
  <c r="H135" i="16"/>
  <c r="CB135" i="16" s="1"/>
  <c r="E136" i="3" s="1"/>
  <c r="H136" i="16"/>
  <c r="CB136" i="16" s="1"/>
  <c r="E137" i="3" s="1"/>
  <c r="H137" i="16"/>
  <c r="CB137" i="16" s="1"/>
  <c r="E138" i="3" s="1"/>
  <c r="H138" i="16"/>
  <c r="CB138" i="16" s="1"/>
  <c r="E139" i="3" s="1"/>
  <c r="H139" i="16"/>
  <c r="CB139" i="16" s="1"/>
  <c r="E140" i="3" s="1"/>
  <c r="H140" i="16"/>
  <c r="CB140" i="16" s="1"/>
  <c r="E141" i="3" s="1"/>
  <c r="H141" i="16"/>
  <c r="CB141" i="16" s="1"/>
  <c r="E142" i="3" s="1"/>
  <c r="H142" i="16"/>
  <c r="CB142" i="16" s="1"/>
  <c r="E143" i="3" s="1"/>
  <c r="H143" i="16"/>
  <c r="CB143" i="16" s="1"/>
  <c r="E144" i="3" s="1"/>
  <c r="H144" i="16"/>
  <c r="CB144" i="16" s="1"/>
  <c r="E145" i="3" s="1"/>
  <c r="H145" i="16"/>
  <c r="CB145" i="16" s="1"/>
  <c r="E146" i="3" s="1"/>
  <c r="H146" i="16"/>
  <c r="CB146" i="16" s="1"/>
  <c r="E147" i="3" s="1"/>
  <c r="H147" i="16"/>
  <c r="CB147" i="16" s="1"/>
  <c r="E148" i="3" s="1"/>
  <c r="H148" i="16"/>
  <c r="CB148" i="16" s="1"/>
  <c r="E149" i="3" s="1"/>
  <c r="H149" i="16"/>
  <c r="CB149" i="16" s="1"/>
  <c r="E150" i="3" s="1"/>
  <c r="H150" i="16"/>
  <c r="CB150" i="16" s="1"/>
  <c r="E151" i="3" s="1"/>
  <c r="H151" i="16"/>
  <c r="CB151" i="16" s="1"/>
  <c r="E152" i="3" s="1"/>
  <c r="H152" i="16"/>
  <c r="CB152" i="16" s="1"/>
  <c r="E153" i="3" s="1"/>
  <c r="H153" i="16"/>
  <c r="CB153" i="16" s="1"/>
  <c r="E154" i="3" s="1"/>
  <c r="H154" i="16"/>
  <c r="CB154" i="16" s="1"/>
  <c r="E155" i="3" s="1"/>
  <c r="H155" i="16"/>
  <c r="CB155" i="16" s="1"/>
  <c r="E156" i="3" s="1"/>
  <c r="H156" i="16"/>
  <c r="CB156" i="16" s="1"/>
  <c r="E157" i="3" s="1"/>
  <c r="H157" i="16"/>
  <c r="CB157" i="16" s="1"/>
  <c r="E158" i="3" s="1"/>
  <c r="H158" i="16"/>
  <c r="CB158" i="16" s="1"/>
  <c r="E159" i="3" s="1"/>
  <c r="H159" i="16"/>
  <c r="CB159" i="16" s="1"/>
  <c r="E160" i="3" s="1"/>
  <c r="H160" i="16"/>
  <c r="CB160" i="16" s="1"/>
  <c r="E161" i="3" s="1"/>
  <c r="H161" i="16"/>
  <c r="CB161" i="16" s="1"/>
  <c r="E162" i="3" s="1"/>
  <c r="H162" i="16"/>
  <c r="CB162" i="16" s="1"/>
  <c r="E163" i="3" s="1"/>
  <c r="H163" i="16"/>
  <c r="CB163" i="16" s="1"/>
  <c r="E164" i="3" s="1"/>
  <c r="H164" i="16"/>
  <c r="CB164" i="16" s="1"/>
  <c r="E165" i="3" s="1"/>
  <c r="H165" i="16"/>
  <c r="CB165" i="16" s="1"/>
  <c r="E166" i="3" s="1"/>
  <c r="H166" i="16"/>
  <c r="CB166" i="16" s="1"/>
  <c r="E167" i="3" s="1"/>
  <c r="H167" i="16"/>
  <c r="CB167" i="16" s="1"/>
  <c r="E168" i="3" s="1"/>
  <c r="H168" i="16"/>
  <c r="CB168" i="16" s="1"/>
  <c r="E169" i="3" s="1"/>
  <c r="H169" i="16"/>
  <c r="CB169" i="16" s="1"/>
  <c r="E170" i="3" s="1"/>
  <c r="H170" i="16"/>
  <c r="CB170" i="16" s="1"/>
  <c r="E171" i="3" s="1"/>
  <c r="H171" i="16"/>
  <c r="CB171" i="16" s="1"/>
  <c r="E172" i="3" s="1"/>
  <c r="H172" i="16"/>
  <c r="CB172" i="16" s="1"/>
  <c r="E173" i="3" s="1"/>
  <c r="H173" i="16"/>
  <c r="CB173" i="16" s="1"/>
  <c r="E174" i="3" s="1"/>
  <c r="H174" i="16"/>
  <c r="CB174" i="16" s="1"/>
  <c r="E175" i="3" s="1"/>
  <c r="H175" i="16"/>
  <c r="CB175" i="16" s="1"/>
  <c r="E176" i="3" s="1"/>
  <c r="H176" i="16"/>
  <c r="CB176" i="16" s="1"/>
  <c r="E177" i="3" s="1"/>
  <c r="G3" i="16"/>
  <c r="CJ3" i="16" s="1"/>
  <c r="M4" i="3" s="1"/>
  <c r="G4" i="16"/>
  <c r="CJ4" i="16" s="1"/>
  <c r="M5" i="3" s="1"/>
  <c r="G5" i="16"/>
  <c r="CJ5" i="16" s="1"/>
  <c r="M6" i="3" s="1"/>
  <c r="G6" i="16"/>
  <c r="CJ6" i="16" s="1"/>
  <c r="M7" i="3" s="1"/>
  <c r="G7" i="16"/>
  <c r="CJ7" i="16" s="1"/>
  <c r="M8" i="3" s="1"/>
  <c r="G8" i="16"/>
  <c r="CJ8" i="16" s="1"/>
  <c r="M9" i="3" s="1"/>
  <c r="G9" i="16"/>
  <c r="CJ9" i="16" s="1"/>
  <c r="M10" i="3" s="1"/>
  <c r="G10" i="16"/>
  <c r="CJ10" i="16" s="1"/>
  <c r="M11" i="3" s="1"/>
  <c r="G11" i="16"/>
  <c r="CJ11" i="16" s="1"/>
  <c r="M12" i="3" s="1"/>
  <c r="G12" i="16"/>
  <c r="CJ12" i="16" s="1"/>
  <c r="M13" i="3" s="1"/>
  <c r="G13" i="16"/>
  <c r="CJ13" i="16" s="1"/>
  <c r="M14" i="3" s="1"/>
  <c r="G14" i="16"/>
  <c r="CJ14" i="16" s="1"/>
  <c r="M15" i="3" s="1"/>
  <c r="G15" i="16"/>
  <c r="CJ15" i="16" s="1"/>
  <c r="M16" i="3" s="1"/>
  <c r="G16" i="16"/>
  <c r="CJ16" i="16" s="1"/>
  <c r="M17" i="3" s="1"/>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CJ108" i="16" s="1"/>
  <c r="M109" i="3" s="1"/>
  <c r="G109" i="16"/>
  <c r="CJ109" i="16" s="1"/>
  <c r="M110" i="3" s="1"/>
  <c r="G110" i="16"/>
  <c r="CJ110" i="16" s="1"/>
  <c r="M111" i="3" s="1"/>
  <c r="G111" i="16"/>
  <c r="CJ111" i="16" s="1"/>
  <c r="M112" i="3" s="1"/>
  <c r="G112" i="16"/>
  <c r="CJ112" i="16" s="1"/>
  <c r="M113" i="3" s="1"/>
  <c r="G113" i="16"/>
  <c r="CJ113" i="16" s="1"/>
  <c r="M114" i="3" s="1"/>
  <c r="G114" i="16"/>
  <c r="CJ114" i="16" s="1"/>
  <c r="M115" i="3" s="1"/>
  <c r="G115" i="16"/>
  <c r="CJ115" i="16" s="1"/>
  <c r="M116" i="3" s="1"/>
  <c r="G116" i="16"/>
  <c r="CJ116" i="16" s="1"/>
  <c r="M117" i="3" s="1"/>
  <c r="G117" i="16"/>
  <c r="CJ117" i="16" s="1"/>
  <c r="M118" i="3" s="1"/>
  <c r="G118" i="16"/>
  <c r="CJ118" i="16" s="1"/>
  <c r="M119" i="3" s="1"/>
  <c r="G119" i="16"/>
  <c r="CJ119" i="16" s="1"/>
  <c r="M120" i="3" s="1"/>
  <c r="G120" i="16"/>
  <c r="CJ120" i="16" s="1"/>
  <c r="M121" i="3" s="1"/>
  <c r="G121" i="16"/>
  <c r="CJ121" i="16" s="1"/>
  <c r="M122" i="3" s="1"/>
  <c r="G122" i="16"/>
  <c r="CJ122" i="16" s="1"/>
  <c r="M123" i="3" s="1"/>
  <c r="G123" i="16"/>
  <c r="CJ123" i="16" s="1"/>
  <c r="M124" i="3" s="1"/>
  <c r="G124" i="16"/>
  <c r="CJ124" i="16" s="1"/>
  <c r="M125" i="3" s="1"/>
  <c r="G125" i="16"/>
  <c r="CJ125" i="16" s="1"/>
  <c r="M126" i="3" s="1"/>
  <c r="G126" i="16"/>
  <c r="CJ126" i="16" s="1"/>
  <c r="M127" i="3" s="1"/>
  <c r="G127" i="16"/>
  <c r="CJ127" i="16" s="1"/>
  <c r="M128" i="3" s="1"/>
  <c r="G128" i="16"/>
  <c r="CJ128" i="16" s="1"/>
  <c r="M129" i="3" s="1"/>
  <c r="G129" i="16"/>
  <c r="CJ129" i="16" s="1"/>
  <c r="M130" i="3" s="1"/>
  <c r="G130" i="16"/>
  <c r="CJ130" i="16" s="1"/>
  <c r="M131" i="3" s="1"/>
  <c r="G131" i="16"/>
  <c r="CJ131" i="16" s="1"/>
  <c r="M132" i="3" s="1"/>
  <c r="G132" i="16"/>
  <c r="CJ132" i="16" s="1"/>
  <c r="M133" i="3" s="1"/>
  <c r="G133" i="16"/>
  <c r="CJ133" i="16" s="1"/>
  <c r="M134" i="3" s="1"/>
  <c r="G134" i="16"/>
  <c r="CJ134" i="16" s="1"/>
  <c r="M135" i="3" s="1"/>
  <c r="G135" i="16"/>
  <c r="CJ135" i="16" s="1"/>
  <c r="M136" i="3" s="1"/>
  <c r="G136" i="16"/>
  <c r="CJ136" i="16" s="1"/>
  <c r="M137" i="3" s="1"/>
  <c r="G137" i="16"/>
  <c r="CJ137" i="16" s="1"/>
  <c r="M138" i="3" s="1"/>
  <c r="G138" i="16"/>
  <c r="CJ138" i="16" s="1"/>
  <c r="M139" i="3" s="1"/>
  <c r="G139" i="16"/>
  <c r="CJ139" i="16" s="1"/>
  <c r="M140" i="3" s="1"/>
  <c r="G140" i="16"/>
  <c r="CJ140" i="16" s="1"/>
  <c r="M141" i="3" s="1"/>
  <c r="G141" i="16"/>
  <c r="CJ141" i="16" s="1"/>
  <c r="M142" i="3" s="1"/>
  <c r="G142" i="16"/>
  <c r="CJ142" i="16" s="1"/>
  <c r="M143" i="3" s="1"/>
  <c r="G143" i="16"/>
  <c r="CJ143" i="16" s="1"/>
  <c r="M144" i="3" s="1"/>
  <c r="G144" i="16"/>
  <c r="CJ144" i="16" s="1"/>
  <c r="M145" i="3" s="1"/>
  <c r="G145" i="16"/>
  <c r="CJ145" i="16" s="1"/>
  <c r="M146" i="3" s="1"/>
  <c r="G146" i="16"/>
  <c r="CJ146" i="16" s="1"/>
  <c r="M147" i="3" s="1"/>
  <c r="G147" i="16"/>
  <c r="CJ147" i="16" s="1"/>
  <c r="M148" i="3" s="1"/>
  <c r="G148" i="16"/>
  <c r="CJ148" i="16" s="1"/>
  <c r="M149" i="3" s="1"/>
  <c r="G149" i="16"/>
  <c r="CJ149" i="16" s="1"/>
  <c r="M150" i="3" s="1"/>
  <c r="G150" i="16"/>
  <c r="CJ150" i="16" s="1"/>
  <c r="M151" i="3" s="1"/>
  <c r="G151" i="16"/>
  <c r="CJ151" i="16" s="1"/>
  <c r="M152" i="3" s="1"/>
  <c r="G152" i="16"/>
  <c r="CJ152" i="16" s="1"/>
  <c r="M153" i="3" s="1"/>
  <c r="G153" i="16"/>
  <c r="CJ153" i="16" s="1"/>
  <c r="M154" i="3" s="1"/>
  <c r="G154" i="16"/>
  <c r="CJ154" i="16" s="1"/>
  <c r="M155" i="3" s="1"/>
  <c r="G155" i="16"/>
  <c r="CJ155" i="16" s="1"/>
  <c r="M156" i="3" s="1"/>
  <c r="G156" i="16"/>
  <c r="CJ156" i="16" s="1"/>
  <c r="M157" i="3" s="1"/>
  <c r="G157" i="16"/>
  <c r="CJ157" i="16" s="1"/>
  <c r="M158" i="3" s="1"/>
  <c r="G158" i="16"/>
  <c r="CJ158" i="16" s="1"/>
  <c r="M159" i="3" s="1"/>
  <c r="G159" i="16"/>
  <c r="CJ159" i="16" s="1"/>
  <c r="M160" i="3" s="1"/>
  <c r="G160" i="16"/>
  <c r="CJ160" i="16" s="1"/>
  <c r="M161" i="3" s="1"/>
  <c r="G161" i="16"/>
  <c r="CJ161" i="16" s="1"/>
  <c r="M162" i="3" s="1"/>
  <c r="G162" i="16"/>
  <c r="CJ162" i="16" s="1"/>
  <c r="M163" i="3" s="1"/>
  <c r="G163" i="16"/>
  <c r="CJ163" i="16" s="1"/>
  <c r="M164" i="3" s="1"/>
  <c r="G164" i="16"/>
  <c r="CJ164" i="16" s="1"/>
  <c r="M165" i="3" s="1"/>
  <c r="G165" i="16"/>
  <c r="CJ165" i="16" s="1"/>
  <c r="M166" i="3" s="1"/>
  <c r="G166" i="16"/>
  <c r="CJ166" i="16" s="1"/>
  <c r="M167" i="3" s="1"/>
  <c r="G167" i="16"/>
  <c r="CJ167" i="16" s="1"/>
  <c r="M168" i="3" s="1"/>
  <c r="G168" i="16"/>
  <c r="CJ168" i="16" s="1"/>
  <c r="M169" i="3" s="1"/>
  <c r="G169" i="16"/>
  <c r="CJ169" i="16" s="1"/>
  <c r="M170" i="3" s="1"/>
  <c r="G170" i="16"/>
  <c r="CJ170" i="16" s="1"/>
  <c r="M171" i="3" s="1"/>
  <c r="G171" i="16"/>
  <c r="CJ171" i="16" s="1"/>
  <c r="M172" i="3" s="1"/>
  <c r="G172" i="16"/>
  <c r="CJ172" i="16" s="1"/>
  <c r="M173" i="3" s="1"/>
  <c r="G173" i="16"/>
  <c r="CJ173" i="16" s="1"/>
  <c r="M174" i="3" s="1"/>
  <c r="G174" i="16"/>
  <c r="CJ174" i="16" s="1"/>
  <c r="M175" i="3" s="1"/>
  <c r="G175" i="16"/>
  <c r="CJ175" i="16" s="1"/>
  <c r="M176" i="3" s="1"/>
  <c r="G176" i="16"/>
  <c r="CJ176" i="16" s="1"/>
  <c r="M177" i="3" s="1"/>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H3" i="16" s="1"/>
  <c r="K4" i="3" s="1"/>
  <c r="C4" i="16"/>
  <c r="CH4" i="16" s="1"/>
  <c r="K5" i="3" s="1"/>
  <c r="C5" i="16"/>
  <c r="CH5" i="16" s="1"/>
  <c r="K6" i="3" s="1"/>
  <c r="C6" i="16"/>
  <c r="CH6" i="16" s="1"/>
  <c r="K7" i="3" s="1"/>
  <c r="C7" i="16"/>
  <c r="C8" i="16"/>
  <c r="CH8" i="16" s="1"/>
  <c r="K9" i="3" s="1"/>
  <c r="C9" i="16"/>
  <c r="CH9" i="16" s="1"/>
  <c r="K10" i="3" s="1"/>
  <c r="C10" i="16"/>
  <c r="CH10" i="16" s="1"/>
  <c r="K11" i="3" s="1"/>
  <c r="C11" i="16"/>
  <c r="CH11" i="16" s="1"/>
  <c r="K12" i="3" s="1"/>
  <c r="C12" i="16"/>
  <c r="CH12" i="16" s="1"/>
  <c r="K13" i="3" s="1"/>
  <c r="C13" i="16"/>
  <c r="CH13" i="16" s="1"/>
  <c r="K14" i="3" s="1"/>
  <c r="C14" i="16"/>
  <c r="CH14" i="16" s="1"/>
  <c r="K15" i="3" s="1"/>
  <c r="C15" i="16"/>
  <c r="CH15" i="16" s="1"/>
  <c r="K16" i="3" s="1"/>
  <c r="C16" i="16"/>
  <c r="CH16" i="16" s="1"/>
  <c r="K17" i="3" s="1"/>
  <c r="C17" i="16"/>
  <c r="CH17" i="16" s="1"/>
  <c r="K18" i="3" s="1"/>
  <c r="C18" i="16"/>
  <c r="CH18" i="16" s="1"/>
  <c r="K19" i="3" s="1"/>
  <c r="C19" i="16"/>
  <c r="CH19" i="16" s="1"/>
  <c r="K20" i="3" s="1"/>
  <c r="C20" i="16"/>
  <c r="CH20" i="16" s="1"/>
  <c r="K21" i="3" s="1"/>
  <c r="C21" i="16"/>
  <c r="CH21" i="16" s="1"/>
  <c r="K22" i="3" s="1"/>
  <c r="C22" i="16"/>
  <c r="CH22" i="16" s="1"/>
  <c r="K23" i="3" s="1"/>
  <c r="C23" i="16"/>
  <c r="CH23" i="16" s="1"/>
  <c r="K24" i="3" s="1"/>
  <c r="C24" i="16"/>
  <c r="CH24" i="16" s="1"/>
  <c r="K25" i="3" s="1"/>
  <c r="C25" i="16"/>
  <c r="CH25" i="16" s="1"/>
  <c r="K26" i="3" s="1"/>
  <c r="C26" i="16"/>
  <c r="CH26" i="16" s="1"/>
  <c r="K27" i="3" s="1"/>
  <c r="C27" i="16"/>
  <c r="CH27" i="16" s="1"/>
  <c r="K28" i="3" s="1"/>
  <c r="C28" i="16"/>
  <c r="CH28" i="16" s="1"/>
  <c r="K29" i="3" s="1"/>
  <c r="C29" i="16"/>
  <c r="CH29" i="16" s="1"/>
  <c r="K30" i="3" s="1"/>
  <c r="C30" i="16"/>
  <c r="CH30" i="16" s="1"/>
  <c r="K31" i="3" s="1"/>
  <c r="C31" i="16"/>
  <c r="CH31" i="16" s="1"/>
  <c r="K32" i="3" s="1"/>
  <c r="C32" i="16"/>
  <c r="CH32" i="16" s="1"/>
  <c r="K33" i="3" s="1"/>
  <c r="C33" i="16"/>
  <c r="CH33" i="16" s="1"/>
  <c r="K34" i="3" s="1"/>
  <c r="C34" i="16"/>
  <c r="CH34" i="16" s="1"/>
  <c r="K35" i="3" s="1"/>
  <c r="C35" i="16"/>
  <c r="CH35" i="16" s="1"/>
  <c r="K36" i="3" s="1"/>
  <c r="C36" i="16"/>
  <c r="CH36" i="16" s="1"/>
  <c r="K37" i="3" s="1"/>
  <c r="C37" i="16"/>
  <c r="CH37" i="16" s="1"/>
  <c r="K38" i="3" s="1"/>
  <c r="C38" i="16"/>
  <c r="CH38" i="16" s="1"/>
  <c r="K39" i="3" s="1"/>
  <c r="C39" i="16"/>
  <c r="CH39" i="16" s="1"/>
  <c r="K40" i="3" s="1"/>
  <c r="C40" i="16"/>
  <c r="CH40" i="16" s="1"/>
  <c r="K41" i="3" s="1"/>
  <c r="C41" i="16"/>
  <c r="CH41" i="16" s="1"/>
  <c r="K42" i="3" s="1"/>
  <c r="C42" i="16"/>
  <c r="CH42" i="16" s="1"/>
  <c r="K43" i="3" s="1"/>
  <c r="C43" i="16"/>
  <c r="CH43" i="16" s="1"/>
  <c r="K44" i="3" s="1"/>
  <c r="C44" i="16"/>
  <c r="CH44" i="16" s="1"/>
  <c r="K45" i="3" s="1"/>
  <c r="C45" i="16"/>
  <c r="CH45" i="16" s="1"/>
  <c r="K46" i="3" s="1"/>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F176" i="6"/>
  <c r="P175" i="6"/>
  <c r="F175" i="6"/>
  <c r="P174" i="6"/>
  <c r="F174" i="6"/>
  <c r="P173" i="6"/>
  <c r="F173" i="6"/>
  <c r="P172" i="6"/>
  <c r="F172" i="6"/>
  <c r="P171" i="6"/>
  <c r="F171" i="6"/>
  <c r="P170" i="6"/>
  <c r="F170" i="6"/>
  <c r="P169" i="6"/>
  <c r="F169" i="6"/>
  <c r="P168" i="6"/>
  <c r="F168" i="6"/>
  <c r="P167" i="6"/>
  <c r="F167" i="6"/>
  <c r="P166" i="6"/>
  <c r="F166" i="6"/>
  <c r="P165" i="6"/>
  <c r="L165" i="6"/>
  <c r="G165" i="6"/>
  <c r="F165" i="6"/>
  <c r="P164" i="6"/>
  <c r="L164" i="6"/>
  <c r="G164" i="6"/>
  <c r="F164" i="6"/>
  <c r="P163" i="6"/>
  <c r="L163" i="6"/>
  <c r="G163" i="6"/>
  <c r="F163" i="6"/>
  <c r="P162" i="6"/>
  <c r="L162" i="6"/>
  <c r="G162" i="6"/>
  <c r="F162" i="6"/>
  <c r="P161" i="6"/>
  <c r="L161" i="6"/>
  <c r="G161" i="6"/>
  <c r="F161" i="6"/>
  <c r="P160" i="6"/>
  <c r="F160" i="6"/>
  <c r="P159" i="6"/>
  <c r="F159" i="6"/>
  <c r="P158" i="6"/>
  <c r="F158" i="6"/>
  <c r="P157" i="6"/>
  <c r="F157" i="6"/>
  <c r="P156" i="6"/>
  <c r="F156" i="6"/>
  <c r="P155" i="6"/>
  <c r="F155" i="6"/>
  <c r="P154" i="6"/>
  <c r="F154" i="6"/>
  <c r="P153" i="6"/>
  <c r="F153" i="6"/>
  <c r="P152" i="6"/>
  <c r="F152" i="6"/>
  <c r="P151" i="6"/>
  <c r="F151" i="6"/>
  <c r="P150" i="6"/>
  <c r="F150" i="6"/>
  <c r="P149" i="6"/>
  <c r="F149" i="6"/>
  <c r="P148" i="6"/>
  <c r="F148" i="6"/>
  <c r="P147" i="6"/>
  <c r="F147" i="6"/>
  <c r="P146" i="6"/>
  <c r="F146" i="6"/>
  <c r="P145" i="6"/>
  <c r="F145" i="6"/>
  <c r="P144" i="6"/>
  <c r="F144" i="6"/>
  <c r="P143" i="6"/>
  <c r="F143" i="6"/>
  <c r="P142" i="6"/>
  <c r="F142" i="6"/>
  <c r="P141" i="6"/>
  <c r="F141" i="6"/>
  <c r="P140" i="6"/>
  <c r="F140" i="6"/>
  <c r="P139" i="6"/>
  <c r="F139" i="6"/>
  <c r="P138" i="6"/>
  <c r="F138" i="6"/>
  <c r="P137" i="6"/>
  <c r="F137" i="6"/>
  <c r="P136" i="6"/>
  <c r="F136" i="6"/>
  <c r="P135" i="6"/>
  <c r="F135" i="6"/>
  <c r="P134" i="6"/>
  <c r="F134" i="6"/>
  <c r="P133" i="6"/>
  <c r="F133" i="6"/>
  <c r="P132" i="6"/>
  <c r="F132" i="6"/>
  <c r="P131" i="6"/>
  <c r="F131" i="6"/>
  <c r="P130" i="6"/>
  <c r="F130" i="6"/>
  <c r="P129" i="6"/>
  <c r="F129" i="6"/>
  <c r="P128" i="6"/>
  <c r="F128" i="6"/>
  <c r="P127" i="6"/>
  <c r="F127" i="6"/>
  <c r="P126" i="6"/>
  <c r="F126" i="6"/>
  <c r="P125" i="6"/>
  <c r="F125" i="6"/>
  <c r="P124" i="6"/>
  <c r="F124" i="6"/>
  <c r="P123" i="6"/>
  <c r="F123" i="6"/>
  <c r="P122" i="6"/>
  <c r="F122" i="6"/>
  <c r="P121" i="6"/>
  <c r="F121" i="6"/>
  <c r="P120" i="6"/>
  <c r="F120" i="6"/>
  <c r="P119" i="6"/>
  <c r="F119" i="6"/>
  <c r="P118" i="6"/>
  <c r="F118" i="6"/>
  <c r="P117" i="6"/>
  <c r="F117" i="6"/>
  <c r="P116" i="6"/>
  <c r="F116" i="6"/>
  <c r="P115" i="6"/>
  <c r="F115" i="6"/>
  <c r="P114" i="6"/>
  <c r="F114" i="6"/>
  <c r="P113" i="6"/>
  <c r="F113" i="6"/>
  <c r="P112" i="6"/>
  <c r="F112" i="6"/>
  <c r="P111" i="6"/>
  <c r="F111" i="6"/>
  <c r="P110" i="6"/>
  <c r="F110" i="6"/>
  <c r="P109" i="6"/>
  <c r="F109" i="6"/>
  <c r="P108" i="6"/>
  <c r="F108" i="6"/>
  <c r="P107" i="6"/>
  <c r="F107" i="6"/>
  <c r="P106" i="6"/>
  <c r="F106" i="6"/>
  <c r="P105" i="6"/>
  <c r="F105" i="6"/>
  <c r="P104" i="6"/>
  <c r="F104" i="6"/>
  <c r="P103" i="6"/>
  <c r="F103" i="6"/>
  <c r="P102" i="6"/>
  <c r="F102" i="6"/>
  <c r="P101" i="6"/>
  <c r="F101" i="6"/>
  <c r="P100" i="6"/>
  <c r="F100" i="6"/>
  <c r="P99" i="6"/>
  <c r="F99" i="6"/>
  <c r="P98" i="6"/>
  <c r="F98" i="6"/>
  <c r="P97" i="6"/>
  <c r="F97" i="6"/>
  <c r="P96" i="6"/>
  <c r="F96" i="6"/>
  <c r="P95" i="6"/>
  <c r="F95" i="6"/>
  <c r="P94" i="6"/>
  <c r="F94" i="6"/>
  <c r="P93" i="6"/>
  <c r="F93" i="6"/>
  <c r="P92" i="6"/>
  <c r="F92" i="6"/>
  <c r="P91" i="6"/>
  <c r="F91" i="6"/>
  <c r="P90" i="6"/>
  <c r="F90" i="6"/>
  <c r="P89" i="6"/>
  <c r="F89" i="6"/>
  <c r="P88" i="6"/>
  <c r="F88" i="6"/>
  <c r="P87" i="6"/>
  <c r="F87" i="6"/>
  <c r="P86" i="6"/>
  <c r="F86" i="6"/>
  <c r="P85" i="6"/>
  <c r="F85" i="6"/>
  <c r="P84" i="6"/>
  <c r="F84" i="6"/>
  <c r="P83" i="6"/>
  <c r="F83" i="6"/>
  <c r="P82" i="6"/>
  <c r="F82" i="6"/>
  <c r="P81" i="6"/>
  <c r="F81" i="6"/>
  <c r="P80" i="6"/>
  <c r="F80" i="6"/>
  <c r="P79" i="6"/>
  <c r="F79" i="6"/>
  <c r="P78" i="6"/>
  <c r="F78" i="6"/>
  <c r="P77" i="6"/>
  <c r="F77" i="6"/>
  <c r="P76" i="6"/>
  <c r="F76" i="6"/>
  <c r="P75" i="6"/>
  <c r="F75" i="6"/>
  <c r="P74" i="6"/>
  <c r="F74" i="6"/>
  <c r="P73" i="6"/>
  <c r="F73" i="6"/>
  <c r="P72" i="6"/>
  <c r="F72" i="6"/>
  <c r="P71" i="6"/>
  <c r="F71" i="6"/>
  <c r="P70" i="6"/>
  <c r="F70" i="6"/>
  <c r="P69" i="6"/>
  <c r="F69" i="6"/>
  <c r="P68" i="6"/>
  <c r="F68" i="6"/>
  <c r="P67" i="6"/>
  <c r="F67" i="6"/>
  <c r="P66" i="6"/>
  <c r="F66" i="6"/>
  <c r="P65" i="6"/>
  <c r="F65" i="6"/>
  <c r="P64" i="6"/>
  <c r="F64" i="6"/>
  <c r="P63" i="6"/>
  <c r="F63" i="6"/>
  <c r="P62" i="6"/>
  <c r="F62" i="6"/>
  <c r="P61" i="6"/>
  <c r="F61" i="6"/>
  <c r="P60" i="6"/>
  <c r="F60" i="6"/>
  <c r="P59" i="6"/>
  <c r="F59" i="6"/>
  <c r="P58" i="6"/>
  <c r="F58" i="6"/>
  <c r="P57" i="6"/>
  <c r="F57" i="6"/>
  <c r="P56" i="6"/>
  <c r="F56" i="6"/>
  <c r="P55" i="6"/>
  <c r="F55" i="6"/>
  <c r="P54" i="6"/>
  <c r="F54" i="6"/>
  <c r="P53" i="6"/>
  <c r="F53" i="6"/>
  <c r="P52" i="6"/>
  <c r="F52" i="6"/>
  <c r="P51" i="6"/>
  <c r="F51" i="6"/>
  <c r="P50" i="6"/>
  <c r="F50" i="6"/>
  <c r="P49" i="6"/>
  <c r="F49" i="6"/>
  <c r="P48" i="6"/>
  <c r="F48" i="6"/>
  <c r="P47" i="6"/>
  <c r="F47" i="6"/>
  <c r="P46" i="6"/>
  <c r="F46" i="6"/>
  <c r="P45" i="6"/>
  <c r="F45" i="6"/>
  <c r="P44" i="6"/>
  <c r="F44" i="6"/>
  <c r="P43" i="6"/>
  <c r="F43" i="6"/>
  <c r="P42" i="6"/>
  <c r="F42" i="6"/>
  <c r="P41" i="6"/>
  <c r="F41" i="6"/>
  <c r="P40" i="6"/>
  <c r="F40" i="6"/>
  <c r="P39" i="6"/>
  <c r="F39" i="6"/>
  <c r="P38" i="6"/>
  <c r="F38" i="6"/>
  <c r="P37" i="6"/>
  <c r="F37" i="6"/>
  <c r="P36" i="6"/>
  <c r="F36" i="6"/>
  <c r="P35" i="6"/>
  <c r="F35" i="6"/>
  <c r="P34" i="6"/>
  <c r="F34" i="6"/>
  <c r="P33" i="6"/>
  <c r="F33" i="6"/>
  <c r="P32" i="6"/>
  <c r="F32" i="6"/>
  <c r="P31" i="6"/>
  <c r="F31" i="6"/>
  <c r="P30" i="6"/>
  <c r="F30" i="6"/>
  <c r="P29" i="6"/>
  <c r="F29" i="6"/>
  <c r="P28" i="6"/>
  <c r="F28" i="6"/>
  <c r="P27" i="6"/>
  <c r="F27" i="6"/>
  <c r="P26" i="6"/>
  <c r="F26" i="6"/>
  <c r="P25" i="6"/>
  <c r="F25" i="6"/>
  <c r="P24" i="6"/>
  <c r="F24" i="6"/>
  <c r="P23" i="6"/>
  <c r="F23" i="6"/>
  <c r="P22" i="6"/>
  <c r="F22" i="6"/>
  <c r="P21" i="6"/>
  <c r="F21" i="6"/>
  <c r="P20" i="6"/>
  <c r="F20" i="6"/>
  <c r="P19" i="6"/>
  <c r="F19" i="6"/>
  <c r="P18" i="6"/>
  <c r="F18" i="6"/>
  <c r="P17" i="6"/>
  <c r="F17" i="6"/>
  <c r="P16" i="6"/>
  <c r="F16" i="6"/>
  <c r="P15" i="6"/>
  <c r="F15" i="6"/>
  <c r="P14" i="6"/>
  <c r="F14" i="6"/>
  <c r="P13" i="6"/>
  <c r="F13" i="6"/>
  <c r="P12" i="6"/>
  <c r="F12" i="6"/>
  <c r="P11" i="6"/>
  <c r="F11" i="6"/>
  <c r="P10" i="6"/>
  <c r="F10" i="6"/>
  <c r="P9" i="6"/>
  <c r="F9" i="6"/>
  <c r="P8" i="6"/>
  <c r="F8" i="6"/>
  <c r="P7" i="6"/>
  <c r="F7" i="6"/>
  <c r="P6" i="6"/>
  <c r="F6" i="6"/>
  <c r="P5" i="6"/>
  <c r="F5" i="6"/>
  <c r="P4" i="6"/>
  <c r="F4" i="6"/>
  <c r="P3" i="6"/>
  <c r="F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O176" i="5"/>
  <c r="X177" i="3" s="1"/>
  <c r="M176" i="5"/>
  <c r="AO175" i="5"/>
  <c r="AJ176" i="3" s="1"/>
  <c r="O175" i="5"/>
  <c r="X176" i="3" s="1"/>
  <c r="M175" i="5"/>
  <c r="AO174" i="5"/>
  <c r="AJ175" i="3" s="1"/>
  <c r="O174" i="5"/>
  <c r="X175" i="3" s="1"/>
  <c r="M174" i="5"/>
  <c r="AO173" i="5"/>
  <c r="AJ174" i="3" s="1"/>
  <c r="O173" i="5"/>
  <c r="X174" i="3" s="1"/>
  <c r="M173" i="5"/>
  <c r="AO172" i="5"/>
  <c r="AJ173" i="3" s="1"/>
  <c r="O172" i="5"/>
  <c r="X173" i="3" s="1"/>
  <c r="M172" i="5"/>
  <c r="AO171" i="5"/>
  <c r="AJ172" i="3" s="1"/>
  <c r="O171" i="5"/>
  <c r="X172" i="3" s="1"/>
  <c r="M171" i="5"/>
  <c r="AO170" i="5"/>
  <c r="AJ171" i="3" s="1"/>
  <c r="O170" i="5"/>
  <c r="X171" i="3" s="1"/>
  <c r="M170" i="5"/>
  <c r="AO169" i="5"/>
  <c r="AJ170" i="3" s="1"/>
  <c r="O169" i="5"/>
  <c r="X170" i="3" s="1"/>
  <c r="M169" i="5"/>
  <c r="AO168" i="5"/>
  <c r="AJ169" i="3" s="1"/>
  <c r="O168" i="5"/>
  <c r="X169" i="3" s="1"/>
  <c r="M168" i="5"/>
  <c r="AO167" i="5"/>
  <c r="AJ168" i="3" s="1"/>
  <c r="O167" i="5"/>
  <c r="X168" i="3" s="1"/>
  <c r="M167" i="5"/>
  <c r="AO166" i="5"/>
  <c r="AJ167" i="3" s="1"/>
  <c r="O166" i="5"/>
  <c r="X167" i="3" s="1"/>
  <c r="M166" i="5"/>
  <c r="AO165" i="5"/>
  <c r="AJ166" i="3" s="1"/>
  <c r="O165" i="5"/>
  <c r="X166" i="3" s="1"/>
  <c r="M165" i="5"/>
  <c r="AO164" i="5"/>
  <c r="AJ165" i="3" s="1"/>
  <c r="O164" i="5"/>
  <c r="X165" i="3" s="1"/>
  <c r="M164" i="5"/>
  <c r="AO163" i="5"/>
  <c r="AJ164" i="3" s="1"/>
  <c r="O163" i="5"/>
  <c r="X164" i="3" s="1"/>
  <c r="M163" i="5"/>
  <c r="AO162" i="5"/>
  <c r="AJ163" i="3" s="1"/>
  <c r="O162" i="5"/>
  <c r="X163" i="3" s="1"/>
  <c r="M162" i="5"/>
  <c r="AO161" i="5"/>
  <c r="AJ162" i="3" s="1"/>
  <c r="O161" i="5"/>
  <c r="X162" i="3" s="1"/>
  <c r="M161" i="5"/>
  <c r="AO160" i="5"/>
  <c r="AJ161" i="3" s="1"/>
  <c r="O160" i="5"/>
  <c r="M160" i="5"/>
  <c r="AO159" i="5"/>
  <c r="AJ160" i="3" s="1"/>
  <c r="O159" i="5"/>
  <c r="M159" i="5"/>
  <c r="AO158" i="5"/>
  <c r="AJ159" i="3" s="1"/>
  <c r="O158" i="5"/>
  <c r="M158" i="5"/>
  <c r="AO157" i="5"/>
  <c r="AJ158" i="3" s="1"/>
  <c r="O157" i="5"/>
  <c r="M157" i="5"/>
  <c r="AO156" i="5"/>
  <c r="AJ157" i="3" s="1"/>
  <c r="O156" i="5"/>
  <c r="M156" i="5"/>
  <c r="AO155" i="5"/>
  <c r="AJ156" i="3" s="1"/>
  <c r="O155" i="5"/>
  <c r="X156" i="3" s="1"/>
  <c r="M155" i="5"/>
  <c r="AO154" i="5"/>
  <c r="AJ155" i="3" s="1"/>
  <c r="O154" i="5"/>
  <c r="X155" i="3" s="1"/>
  <c r="M154" i="5"/>
  <c r="AO153" i="5"/>
  <c r="AJ154" i="3" s="1"/>
  <c r="O153" i="5"/>
  <c r="M153" i="5"/>
  <c r="AO152" i="5"/>
  <c r="AJ153" i="3" s="1"/>
  <c r="O152" i="5"/>
  <c r="M152" i="5"/>
  <c r="AO151" i="5"/>
  <c r="AJ152" i="3" s="1"/>
  <c r="O151" i="5"/>
  <c r="M151" i="5"/>
  <c r="AO150" i="5"/>
  <c r="AJ151" i="3" s="1"/>
  <c r="O150" i="5"/>
  <c r="M150" i="5"/>
  <c r="AO149" i="5"/>
  <c r="AJ150" i="3" s="1"/>
  <c r="O149" i="5"/>
  <c r="M149" i="5"/>
  <c r="AO148" i="5"/>
  <c r="AJ149" i="3" s="1"/>
  <c r="O148" i="5"/>
  <c r="X149" i="3" s="1"/>
  <c r="M148" i="5"/>
  <c r="AO147" i="5"/>
  <c r="AJ148" i="3" s="1"/>
  <c r="O147" i="5"/>
  <c r="X148" i="3" s="1"/>
  <c r="M147" i="5"/>
  <c r="AO146" i="5"/>
  <c r="AJ147" i="3" s="1"/>
  <c r="O146" i="5"/>
  <c r="X147" i="3" s="1"/>
  <c r="M146" i="5"/>
  <c r="AO145" i="5"/>
  <c r="AJ146" i="3" s="1"/>
  <c r="O145" i="5"/>
  <c r="X146" i="3" s="1"/>
  <c r="M145" i="5"/>
  <c r="AO144" i="5"/>
  <c r="AJ145" i="3" s="1"/>
  <c r="O144" i="5"/>
  <c r="X145" i="3" s="1"/>
  <c r="M144" i="5"/>
  <c r="AO143" i="5"/>
  <c r="AJ144" i="3" s="1"/>
  <c r="O143" i="5"/>
  <c r="X144" i="3" s="1"/>
  <c r="M143" i="5"/>
  <c r="AO142" i="5"/>
  <c r="AJ143" i="3" s="1"/>
  <c r="O142" i="5"/>
  <c r="X143" i="3" s="1"/>
  <c r="M142" i="5"/>
  <c r="AO141" i="5"/>
  <c r="AJ142" i="3" s="1"/>
  <c r="O141" i="5"/>
  <c r="X142" i="3" s="1"/>
  <c r="M141" i="5"/>
  <c r="AO140" i="5"/>
  <c r="AJ141" i="3" s="1"/>
  <c r="O140" i="5"/>
  <c r="X141" i="3" s="1"/>
  <c r="M140" i="5"/>
  <c r="AO139" i="5"/>
  <c r="AJ140" i="3" s="1"/>
  <c r="O139" i="5"/>
  <c r="X140" i="3" s="1"/>
  <c r="M139" i="5"/>
  <c r="AO138" i="5"/>
  <c r="AJ139" i="3" s="1"/>
  <c r="O138" i="5"/>
  <c r="X139" i="3" s="1"/>
  <c r="M138" i="5"/>
  <c r="AO137" i="5"/>
  <c r="AJ138" i="3" s="1"/>
  <c r="O137" i="5"/>
  <c r="M137" i="5"/>
  <c r="AO136" i="5"/>
  <c r="AJ137" i="3" s="1"/>
  <c r="O136" i="5"/>
  <c r="M136" i="5"/>
  <c r="AO135" i="5"/>
  <c r="AJ136" i="3" s="1"/>
  <c r="O135" i="5"/>
  <c r="M135" i="5"/>
  <c r="AO134" i="5"/>
  <c r="AJ135" i="3" s="1"/>
  <c r="O134" i="5"/>
  <c r="M134" i="5"/>
  <c r="AO133" i="5"/>
  <c r="AJ134" i="3" s="1"/>
  <c r="O133" i="5"/>
  <c r="M133" i="5"/>
  <c r="AO132" i="5"/>
  <c r="AJ133" i="3" s="1"/>
  <c r="O132" i="5"/>
  <c r="M132" i="5"/>
  <c r="AO131" i="5"/>
  <c r="AJ132" i="3" s="1"/>
  <c r="O131" i="5"/>
  <c r="M131" i="5"/>
  <c r="AO130" i="5"/>
  <c r="AJ131" i="3" s="1"/>
  <c r="O130" i="5"/>
  <c r="M130" i="5"/>
  <c r="AO129" i="5"/>
  <c r="AJ130" i="3" s="1"/>
  <c r="O129" i="5"/>
  <c r="M129" i="5"/>
  <c r="AO128" i="5"/>
  <c r="AJ129" i="3" s="1"/>
  <c r="O128" i="5"/>
  <c r="M128" i="5"/>
  <c r="AO127" i="5"/>
  <c r="AJ128" i="3" s="1"/>
  <c r="O127" i="5"/>
  <c r="M127" i="5"/>
  <c r="AO126" i="5"/>
  <c r="AJ127" i="3" s="1"/>
  <c r="O126" i="5"/>
  <c r="M126" i="5"/>
  <c r="AO125" i="5"/>
  <c r="AJ126" i="3" s="1"/>
  <c r="O125" i="5"/>
  <c r="M125" i="5"/>
  <c r="AO124" i="5"/>
  <c r="AJ125" i="3" s="1"/>
  <c r="O124" i="5"/>
  <c r="M124" i="5"/>
  <c r="AO123" i="5"/>
  <c r="AJ124" i="3" s="1"/>
  <c r="O123" i="5"/>
  <c r="M123" i="5"/>
  <c r="AO122" i="5"/>
  <c r="AJ123" i="3" s="1"/>
  <c r="O122" i="5"/>
  <c r="M122" i="5"/>
  <c r="AO121" i="5"/>
  <c r="AJ122" i="3" s="1"/>
  <c r="O121" i="5"/>
  <c r="M121" i="5"/>
  <c r="AO120" i="5"/>
  <c r="AJ121" i="3" s="1"/>
  <c r="O120" i="5"/>
  <c r="M120" i="5"/>
  <c r="AO119" i="5"/>
  <c r="AJ120" i="3" s="1"/>
  <c r="O119" i="5"/>
  <c r="M119" i="5"/>
  <c r="AO118" i="5"/>
  <c r="AJ119" i="3" s="1"/>
  <c r="O118" i="5"/>
  <c r="M118" i="5"/>
  <c r="AO117" i="5"/>
  <c r="AJ118" i="3" s="1"/>
  <c r="O117" i="5"/>
  <c r="X118" i="3" s="1"/>
  <c r="M117" i="5"/>
  <c r="AO116" i="5"/>
  <c r="AJ117" i="3" s="1"/>
  <c r="O116" i="5"/>
  <c r="X117" i="3" s="1"/>
  <c r="M116" i="5"/>
  <c r="AO115" i="5"/>
  <c r="AJ116" i="3" s="1"/>
  <c r="O115" i="5"/>
  <c r="X116" i="3" s="1"/>
  <c r="M115" i="5"/>
  <c r="AO114" i="5"/>
  <c r="AJ115" i="3" s="1"/>
  <c r="O114" i="5"/>
  <c r="X115" i="3" s="1"/>
  <c r="M114" i="5"/>
  <c r="AO113" i="5"/>
  <c r="AJ114" i="3" s="1"/>
  <c r="O113" i="5"/>
  <c r="X114" i="3" s="1"/>
  <c r="M113" i="5"/>
  <c r="AO112" i="5"/>
  <c r="AJ113" i="3" s="1"/>
  <c r="O112" i="5"/>
  <c r="X113" i="3" s="1"/>
  <c r="M112" i="5"/>
  <c r="AO111" i="5"/>
  <c r="AJ112" i="3" s="1"/>
  <c r="O111" i="5"/>
  <c r="X112" i="3" s="1"/>
  <c r="M111" i="5"/>
  <c r="AO110" i="5"/>
  <c r="AJ111" i="3" s="1"/>
  <c r="O110" i="5"/>
  <c r="M110" i="5"/>
  <c r="AO109" i="5"/>
  <c r="AJ110" i="3" s="1"/>
  <c r="O109" i="5"/>
  <c r="M109" i="5"/>
  <c r="AO108" i="5"/>
  <c r="AJ109" i="3" s="1"/>
  <c r="O108" i="5"/>
  <c r="M108" i="5"/>
  <c r="AO107" i="5"/>
  <c r="AJ108" i="3" s="1"/>
  <c r="O107" i="5"/>
  <c r="M107" i="5"/>
  <c r="AO106" i="5"/>
  <c r="AJ107" i="3" s="1"/>
  <c r="O106" i="5"/>
  <c r="M106" i="5"/>
  <c r="AO105" i="5"/>
  <c r="AJ106" i="3" s="1"/>
  <c r="O105" i="5"/>
  <c r="X106" i="3" s="1"/>
  <c r="M105" i="5"/>
  <c r="AO104" i="5"/>
  <c r="AJ105" i="3" s="1"/>
  <c r="O104" i="5"/>
  <c r="X105" i="3" s="1"/>
  <c r="M104" i="5"/>
  <c r="AO103" i="5"/>
  <c r="AJ104" i="3" s="1"/>
  <c r="O103" i="5"/>
  <c r="X104" i="3" s="1"/>
  <c r="M103" i="5"/>
  <c r="AO102" i="5"/>
  <c r="AJ103" i="3" s="1"/>
  <c r="O102" i="5"/>
  <c r="X103" i="3" s="1"/>
  <c r="M102" i="5"/>
  <c r="AO101" i="5"/>
  <c r="AJ102" i="3" s="1"/>
  <c r="O101" i="5"/>
  <c r="X102" i="3" s="1"/>
  <c r="M101" i="5"/>
  <c r="AO100" i="5"/>
  <c r="AJ101" i="3" s="1"/>
  <c r="O100" i="5"/>
  <c r="X101" i="3" s="1"/>
  <c r="M100" i="5"/>
  <c r="AO99" i="5"/>
  <c r="AJ100" i="3" s="1"/>
  <c r="O99" i="5"/>
  <c r="X100" i="3" s="1"/>
  <c r="M99" i="5"/>
  <c r="AO98" i="5"/>
  <c r="AJ99" i="3" s="1"/>
  <c r="O98" i="5"/>
  <c r="X99" i="3" s="1"/>
  <c r="M98" i="5"/>
  <c r="AO97" i="5"/>
  <c r="AJ98" i="3" s="1"/>
  <c r="O97" i="5"/>
  <c r="X98" i="3" s="1"/>
  <c r="M97" i="5"/>
  <c r="AO96" i="5"/>
  <c r="AJ97" i="3" s="1"/>
  <c r="O96" i="5"/>
  <c r="X97" i="3" s="1"/>
  <c r="M96" i="5"/>
  <c r="AO95" i="5"/>
  <c r="AJ96" i="3" s="1"/>
  <c r="O95" i="5"/>
  <c r="X96" i="3" s="1"/>
  <c r="M95" i="5"/>
  <c r="AO94" i="5"/>
  <c r="AJ95" i="3" s="1"/>
  <c r="O94" i="5"/>
  <c r="X95" i="3" s="1"/>
  <c r="M94" i="5"/>
  <c r="AO93" i="5"/>
  <c r="AJ94" i="3" s="1"/>
  <c r="O93" i="5"/>
  <c r="X94" i="3" s="1"/>
  <c r="M93" i="5"/>
  <c r="AO92" i="5"/>
  <c r="AJ93" i="3" s="1"/>
  <c r="O92" i="5"/>
  <c r="X93" i="3" s="1"/>
  <c r="M92" i="5"/>
  <c r="AO91" i="5"/>
  <c r="AJ92" i="3" s="1"/>
  <c r="O91" i="5"/>
  <c r="X92" i="3" s="1"/>
  <c r="M91" i="5"/>
  <c r="AO90" i="5"/>
  <c r="AJ91" i="3" s="1"/>
  <c r="O90" i="5"/>
  <c r="X91" i="3" s="1"/>
  <c r="M90" i="5"/>
  <c r="AO89" i="5"/>
  <c r="AJ90" i="3" s="1"/>
  <c r="O89" i="5"/>
  <c r="X90" i="3" s="1"/>
  <c r="M89" i="5"/>
  <c r="AO88" i="5"/>
  <c r="AJ89" i="3" s="1"/>
  <c r="O88" i="5"/>
  <c r="X89" i="3" s="1"/>
  <c r="M88" i="5"/>
  <c r="AO87" i="5"/>
  <c r="AJ88" i="3" s="1"/>
  <c r="O87" i="5"/>
  <c r="X88" i="3" s="1"/>
  <c r="M87" i="5"/>
  <c r="AO86" i="5"/>
  <c r="AJ87" i="3" s="1"/>
  <c r="O86" i="5"/>
  <c r="X87" i="3" s="1"/>
  <c r="M86" i="5"/>
  <c r="AO85" i="5"/>
  <c r="AJ86" i="3" s="1"/>
  <c r="O85" i="5"/>
  <c r="X86" i="3" s="1"/>
  <c r="M85" i="5"/>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M78" i="5"/>
  <c r="AO77" i="5"/>
  <c r="AJ78" i="3" s="1"/>
  <c r="O77" i="5"/>
  <c r="M77" i="5"/>
  <c r="AO76" i="5"/>
  <c r="AJ77" i="3" s="1"/>
  <c r="O76" i="5"/>
  <c r="M76" i="5"/>
  <c r="AO75" i="5"/>
  <c r="AJ76" i="3" s="1"/>
  <c r="O75" i="5"/>
  <c r="M75" i="5"/>
  <c r="AO74" i="5"/>
  <c r="AJ75" i="3" s="1"/>
  <c r="O74" i="5"/>
  <c r="M74" i="5"/>
  <c r="AO73" i="5"/>
  <c r="AJ74" i="3" s="1"/>
  <c r="O73" i="5"/>
  <c r="M73" i="5"/>
  <c r="AO72" i="5"/>
  <c r="AJ73" i="3" s="1"/>
  <c r="O72" i="5"/>
  <c r="M72" i="5"/>
  <c r="AO71" i="5"/>
  <c r="AJ72" i="3" s="1"/>
  <c r="O71" i="5"/>
  <c r="M71" i="5"/>
  <c r="AO70" i="5"/>
  <c r="AJ71" i="3" s="1"/>
  <c r="O70" i="5"/>
  <c r="M70" i="5"/>
  <c r="AO69" i="5"/>
  <c r="AJ70" i="3" s="1"/>
  <c r="O69" i="5"/>
  <c r="M69" i="5"/>
  <c r="AO68" i="5"/>
  <c r="AJ69" i="3" s="1"/>
  <c r="O68" i="5"/>
  <c r="M68" i="5"/>
  <c r="AO67" i="5"/>
  <c r="AJ68" i="3" s="1"/>
  <c r="O67" i="5"/>
  <c r="M67" i="5"/>
  <c r="AO66" i="5"/>
  <c r="AJ67" i="3" s="1"/>
  <c r="O66" i="5"/>
  <c r="M66" i="5"/>
  <c r="AO65" i="5"/>
  <c r="AJ66" i="3" s="1"/>
  <c r="O65" i="5"/>
  <c r="M65" i="5"/>
  <c r="AO64" i="5"/>
  <c r="AJ65" i="3" s="1"/>
  <c r="O64" i="5"/>
  <c r="M64" i="5"/>
  <c r="AO63" i="5"/>
  <c r="AJ64" i="3" s="1"/>
  <c r="O63" i="5"/>
  <c r="M63" i="5"/>
  <c r="AO62" i="5"/>
  <c r="AJ63" i="3" s="1"/>
  <c r="O62" i="5"/>
  <c r="M62" i="5"/>
  <c r="AO61" i="5"/>
  <c r="AJ62" i="3" s="1"/>
  <c r="O61" i="5"/>
  <c r="M61" i="5"/>
  <c r="AO60" i="5"/>
  <c r="AJ61" i="3" s="1"/>
  <c r="O60" i="5"/>
  <c r="M60" i="5"/>
  <c r="AO59" i="5"/>
  <c r="AJ60" i="3" s="1"/>
  <c r="O59" i="5"/>
  <c r="M59" i="5"/>
  <c r="AO58" i="5"/>
  <c r="AJ59" i="3" s="1"/>
  <c r="O58" i="5"/>
  <c r="X59" i="3" s="1"/>
  <c r="M58" i="5"/>
  <c r="AO57" i="5"/>
  <c r="AJ58" i="3" s="1"/>
  <c r="O57" i="5"/>
  <c r="X58" i="3" s="1"/>
  <c r="M57" i="5"/>
  <c r="AO56" i="5"/>
  <c r="AJ57" i="3" s="1"/>
  <c r="O56" i="5"/>
  <c r="X57" i="3" s="1"/>
  <c r="M56" i="5"/>
  <c r="AO55" i="5"/>
  <c r="AJ56" i="3" s="1"/>
  <c r="O55" i="5"/>
  <c r="X56" i="3" s="1"/>
  <c r="M55" i="5"/>
  <c r="AO54" i="5"/>
  <c r="AJ55" i="3" s="1"/>
  <c r="O54" i="5"/>
  <c r="X55" i="3" s="1"/>
  <c r="M54" i="5"/>
  <c r="AO53" i="5"/>
  <c r="AJ54" i="3" s="1"/>
  <c r="O53" i="5"/>
  <c r="X54" i="3" s="1"/>
  <c r="M53" i="5"/>
  <c r="AO52" i="5"/>
  <c r="AJ53" i="3" s="1"/>
  <c r="O52" i="5"/>
  <c r="X53" i="3" s="1"/>
  <c r="M52" i="5"/>
  <c r="AO51" i="5"/>
  <c r="AJ52" i="3" s="1"/>
  <c r="O51" i="5"/>
  <c r="X52" i="3" s="1"/>
  <c r="M51" i="5"/>
  <c r="AO50" i="5"/>
  <c r="AJ51" i="3" s="1"/>
  <c r="O50" i="5"/>
  <c r="X51" i="3" s="1"/>
  <c r="M50" i="5"/>
  <c r="AO49" i="5"/>
  <c r="AJ50" i="3" s="1"/>
  <c r="O49" i="5"/>
  <c r="X50" i="3" s="1"/>
  <c r="M49" i="5"/>
  <c r="AO48" i="5"/>
  <c r="AJ49" i="3" s="1"/>
  <c r="O48" i="5"/>
  <c r="X49" i="3" s="1"/>
  <c r="M48" i="5"/>
  <c r="AO47" i="5"/>
  <c r="AJ48" i="3" s="1"/>
  <c r="O47" i="5"/>
  <c r="X48" i="3" s="1"/>
  <c r="M47" i="5"/>
  <c r="AO46" i="5"/>
  <c r="AJ47" i="3" s="1"/>
  <c r="O46" i="5"/>
  <c r="X47" i="3" s="1"/>
  <c r="M46" i="5"/>
  <c r="AO45" i="5"/>
  <c r="AJ46" i="3" s="1"/>
  <c r="O45" i="5"/>
  <c r="X46" i="3" s="1"/>
  <c r="M45" i="5"/>
  <c r="AO44" i="5"/>
  <c r="AJ45" i="3" s="1"/>
  <c r="O44" i="5"/>
  <c r="X45" i="3" s="1"/>
  <c r="M44" i="5"/>
  <c r="AO43" i="5"/>
  <c r="AJ44" i="3" s="1"/>
  <c r="O43" i="5"/>
  <c r="X44" i="3" s="1"/>
  <c r="M43" i="5"/>
  <c r="AO42" i="5"/>
  <c r="AJ43" i="3" s="1"/>
  <c r="O42" i="5"/>
  <c r="X43" i="3" s="1"/>
  <c r="M42" i="5"/>
  <c r="AO41" i="5"/>
  <c r="AJ42" i="3" s="1"/>
  <c r="O41" i="5"/>
  <c r="X42" i="3" s="1"/>
  <c r="M41" i="5"/>
  <c r="AO40" i="5"/>
  <c r="AJ41" i="3" s="1"/>
  <c r="O40" i="5"/>
  <c r="X41" i="3" s="1"/>
  <c r="M40" i="5"/>
  <c r="AO39" i="5"/>
  <c r="AJ40" i="3" s="1"/>
  <c r="O39" i="5"/>
  <c r="X40" i="3" s="1"/>
  <c r="M39" i="5"/>
  <c r="AO38" i="5"/>
  <c r="AJ39" i="3" s="1"/>
  <c r="O38" i="5"/>
  <c r="X39" i="3" s="1"/>
  <c r="M38" i="5"/>
  <c r="AO37" i="5"/>
  <c r="AJ38" i="3" s="1"/>
  <c r="O37" i="5"/>
  <c r="X38" i="3" s="1"/>
  <c r="M37" i="5"/>
  <c r="AO36" i="5"/>
  <c r="AJ37" i="3" s="1"/>
  <c r="O36" i="5"/>
  <c r="X37" i="3" s="1"/>
  <c r="M36" i="5"/>
  <c r="AO35" i="5"/>
  <c r="AJ36" i="3" s="1"/>
  <c r="O35" i="5"/>
  <c r="X36" i="3" s="1"/>
  <c r="M35" i="5"/>
  <c r="AO34" i="5"/>
  <c r="AJ35" i="3" s="1"/>
  <c r="O34" i="5"/>
  <c r="X35" i="3" s="1"/>
  <c r="M34" i="5"/>
  <c r="AO33" i="5"/>
  <c r="AJ34" i="3" s="1"/>
  <c r="O33" i="5"/>
  <c r="X34" i="3" s="1"/>
  <c r="M33" i="5"/>
  <c r="AO32" i="5"/>
  <c r="AJ33" i="3" s="1"/>
  <c r="O32" i="5"/>
  <c r="X33" i="3" s="1"/>
  <c r="M32" i="5"/>
  <c r="AO31" i="5"/>
  <c r="AJ32" i="3" s="1"/>
  <c r="O31" i="5"/>
  <c r="X32" i="3" s="1"/>
  <c r="M31" i="5"/>
  <c r="AO30" i="5"/>
  <c r="AJ31" i="3" s="1"/>
  <c r="O30" i="5"/>
  <c r="X31" i="3" s="1"/>
  <c r="M30" i="5"/>
  <c r="AO29" i="5"/>
  <c r="AJ30" i="3" s="1"/>
  <c r="O29" i="5"/>
  <c r="X30" i="3" s="1"/>
  <c r="M29" i="5"/>
  <c r="AO28" i="5"/>
  <c r="AJ29" i="3" s="1"/>
  <c r="O28" i="5"/>
  <c r="X29" i="3" s="1"/>
  <c r="M28" i="5"/>
  <c r="AO27" i="5"/>
  <c r="AJ28" i="3" s="1"/>
  <c r="O27" i="5"/>
  <c r="X28" i="3" s="1"/>
  <c r="M27" i="5"/>
  <c r="AO26" i="5"/>
  <c r="AJ27" i="3" s="1"/>
  <c r="O26" i="5"/>
  <c r="X27" i="3" s="1"/>
  <c r="M26" i="5"/>
  <c r="AO25" i="5"/>
  <c r="AJ26" i="3" s="1"/>
  <c r="O25" i="5"/>
  <c r="X26" i="3" s="1"/>
  <c r="M25" i="5"/>
  <c r="AO24" i="5"/>
  <c r="AJ25" i="3" s="1"/>
  <c r="O24" i="5"/>
  <c r="X25" i="3" s="1"/>
  <c r="M24" i="5"/>
  <c r="AO23" i="5"/>
  <c r="AJ24" i="3" s="1"/>
  <c r="O23" i="5"/>
  <c r="X24" i="3" s="1"/>
  <c r="M23" i="5"/>
  <c r="AO22" i="5"/>
  <c r="AJ23" i="3" s="1"/>
  <c r="O22" i="5"/>
  <c r="X23" i="3" s="1"/>
  <c r="M22" i="5"/>
  <c r="AO21" i="5"/>
  <c r="AJ22" i="3" s="1"/>
  <c r="O21" i="5"/>
  <c r="X22" i="3" s="1"/>
  <c r="M21" i="5"/>
  <c r="AO20" i="5"/>
  <c r="AJ21" i="3" s="1"/>
  <c r="O20" i="5"/>
  <c r="X21" i="3" s="1"/>
  <c r="M20" i="5"/>
  <c r="AO19" i="5"/>
  <c r="AJ20" i="3" s="1"/>
  <c r="O19" i="5"/>
  <c r="X20" i="3" s="1"/>
  <c r="M19" i="5"/>
  <c r="AO18" i="5"/>
  <c r="AJ19" i="3" s="1"/>
  <c r="O18" i="5"/>
  <c r="X19" i="3" s="1"/>
  <c r="M18" i="5"/>
  <c r="AO17" i="5"/>
  <c r="AJ18" i="3" s="1"/>
  <c r="O17" i="5"/>
  <c r="X18" i="3" s="1"/>
  <c r="M17" i="5"/>
  <c r="AO16" i="5"/>
  <c r="AJ17" i="3" s="1"/>
  <c r="O16" i="5"/>
  <c r="X17" i="3" s="1"/>
  <c r="M16" i="5"/>
  <c r="AO15" i="5"/>
  <c r="AJ16" i="3" s="1"/>
  <c r="O15" i="5"/>
  <c r="X16" i="3" s="1"/>
  <c r="M15" i="5"/>
  <c r="AO14" i="5"/>
  <c r="AJ15" i="3" s="1"/>
  <c r="O14" i="5"/>
  <c r="X15" i="3" s="1"/>
  <c r="M14" i="5"/>
  <c r="AO13" i="5"/>
  <c r="AJ14" i="3" s="1"/>
  <c r="O13" i="5"/>
  <c r="X14" i="3" s="1"/>
  <c r="M13" i="5"/>
  <c r="AO12" i="5"/>
  <c r="AJ13" i="3" s="1"/>
  <c r="O12" i="5"/>
  <c r="X13" i="3" s="1"/>
  <c r="M12" i="5"/>
  <c r="AO11" i="5"/>
  <c r="AJ12" i="3" s="1"/>
  <c r="O11" i="5"/>
  <c r="X12" i="3" s="1"/>
  <c r="M11" i="5"/>
  <c r="AO10" i="5"/>
  <c r="AJ11" i="3" s="1"/>
  <c r="O10" i="5"/>
  <c r="X11" i="3" s="1"/>
  <c r="M10" i="5"/>
  <c r="AO9" i="5"/>
  <c r="AJ10" i="3" s="1"/>
  <c r="O9" i="5"/>
  <c r="X10" i="3" s="1"/>
  <c r="M9" i="5"/>
  <c r="AO8" i="5"/>
  <c r="AJ9" i="3" s="1"/>
  <c r="O8" i="5"/>
  <c r="X9" i="3" s="1"/>
  <c r="M8" i="5"/>
  <c r="AO7" i="5"/>
  <c r="AJ8" i="3" s="1"/>
  <c r="O7" i="5"/>
  <c r="X8" i="3" s="1"/>
  <c r="M7" i="5"/>
  <c r="AO6" i="5"/>
  <c r="AJ7" i="3" s="1"/>
  <c r="O6" i="5"/>
  <c r="X7" i="3" s="1"/>
  <c r="M6" i="5"/>
  <c r="AO5" i="5"/>
  <c r="AJ6" i="3" s="1"/>
  <c r="O5" i="5"/>
  <c r="X6" i="3" s="1"/>
  <c r="M5" i="5"/>
  <c r="AO4" i="5"/>
  <c r="AJ5" i="3" s="1"/>
  <c r="O4" i="5"/>
  <c r="X5" i="3" s="1"/>
  <c r="M4" i="5"/>
  <c r="AO3" i="5"/>
  <c r="AJ4" i="3" s="1"/>
  <c r="O3" i="5"/>
  <c r="M3" i="5"/>
  <c r="CG3" i="16" l="1"/>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4" i="16"/>
  <c r="CG65" i="16"/>
  <c r="CG66" i="16"/>
  <c r="CG67" i="16"/>
  <c r="CG68" i="16"/>
  <c r="CG69"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J17" i="16"/>
  <c r="M18" i="3" s="1"/>
  <c r="CJ18" i="16"/>
  <c r="M19" i="3" s="1"/>
  <c r="CJ19" i="16"/>
  <c r="M20" i="3" s="1"/>
  <c r="CJ20" i="16"/>
  <c r="M21" i="3" s="1"/>
  <c r="CJ21" i="16"/>
  <c r="M22" i="3" s="1"/>
  <c r="CJ22" i="16"/>
  <c r="M23" i="3" s="1"/>
  <c r="CJ23" i="16"/>
  <c r="M24" i="3" s="1"/>
  <c r="CJ24" i="16"/>
  <c r="M25" i="3" s="1"/>
  <c r="CJ25" i="16"/>
  <c r="M26" i="3" s="1"/>
  <c r="CJ26" i="16"/>
  <c r="M27" i="3" s="1"/>
  <c r="CJ27" i="16"/>
  <c r="M28" i="3" s="1"/>
  <c r="CJ28" i="16"/>
  <c r="M29" i="3" s="1"/>
  <c r="CJ38" i="16"/>
  <c r="M39" i="3" s="1"/>
  <c r="CJ39" i="16"/>
  <c r="M40" i="3" s="1"/>
  <c r="CJ40" i="16"/>
  <c r="M41" i="3" s="1"/>
  <c r="CJ41" i="16"/>
  <c r="M42" i="3" s="1"/>
  <c r="CJ42" i="16"/>
  <c r="M43" i="3" s="1"/>
  <c r="CJ43" i="16"/>
  <c r="M44" i="3" s="1"/>
  <c r="CJ44" i="16"/>
  <c r="M45" i="3" s="1"/>
  <c r="CJ45" i="16"/>
  <c r="M46" i="3" s="1"/>
  <c r="CJ46" i="16"/>
  <c r="M47" i="3" s="1"/>
  <c r="CJ47" i="16"/>
  <c r="M48" i="3" s="1"/>
  <c r="CJ48" i="16"/>
  <c r="M49" i="3" s="1"/>
  <c r="CJ49" i="16"/>
  <c r="M50" i="3" s="1"/>
  <c r="CJ50" i="16"/>
  <c r="M51" i="3" s="1"/>
  <c r="CJ51" i="16"/>
  <c r="M52" i="3" s="1"/>
  <c r="CJ52" i="16"/>
  <c r="M53" i="3" s="1"/>
  <c r="CJ53" i="16"/>
  <c r="M54" i="3" s="1"/>
  <c r="CJ54" i="16"/>
  <c r="M55" i="3" s="1"/>
  <c r="CJ55" i="16"/>
  <c r="M56" i="3" s="1"/>
  <c r="CJ56" i="16"/>
  <c r="M57" i="3" s="1"/>
  <c r="CJ57" i="16"/>
  <c r="M58" i="3" s="1"/>
  <c r="CJ58" i="16"/>
  <c r="M59" i="3" s="1"/>
  <c r="CJ59" i="16"/>
  <c r="M60" i="3" s="1"/>
  <c r="CJ60" i="16"/>
  <c r="M61" i="3" s="1"/>
  <c r="CJ61" i="16"/>
  <c r="M62" i="3" s="1"/>
  <c r="CJ62" i="16"/>
  <c r="M63" i="3" s="1"/>
  <c r="CJ63" i="16"/>
  <c r="M64" i="3" s="1"/>
  <c r="CJ64" i="16"/>
  <c r="M65" i="3" s="1"/>
  <c r="CJ65" i="16"/>
  <c r="M66" i="3" s="1"/>
  <c r="CJ66" i="16"/>
  <c r="M67" i="3" s="1"/>
  <c r="CJ67" i="16"/>
  <c r="M68" i="3" s="1"/>
  <c r="CJ68" i="16"/>
  <c r="M69" i="3" s="1"/>
  <c r="CJ69" i="16"/>
  <c r="M70" i="3" s="1"/>
  <c r="CJ70" i="16"/>
  <c r="M71" i="3" s="1"/>
  <c r="CJ71" i="16"/>
  <c r="M72" i="3" s="1"/>
  <c r="CJ72" i="16"/>
  <c r="M73" i="3" s="1"/>
  <c r="CJ73" i="16"/>
  <c r="M74" i="3" s="1"/>
  <c r="CJ74" i="16"/>
  <c r="M75" i="3" s="1"/>
  <c r="CJ75" i="16"/>
  <c r="M76" i="3" s="1"/>
  <c r="CJ76" i="16"/>
  <c r="M77" i="3" s="1"/>
  <c r="CJ77" i="16"/>
  <c r="M78" i="3" s="1"/>
  <c r="CJ78" i="16"/>
  <c r="M79" i="3" s="1"/>
  <c r="CJ79" i="16"/>
  <c r="M80" i="3" s="1"/>
  <c r="CJ80" i="16"/>
  <c r="M81" i="3" s="1"/>
  <c r="CJ81" i="16"/>
  <c r="M82" i="3" s="1"/>
  <c r="CJ82" i="16"/>
  <c r="M83" i="3" s="1"/>
  <c r="CJ83" i="16"/>
  <c r="M84" i="3" s="1"/>
  <c r="CJ84" i="16"/>
  <c r="M85" i="3" s="1"/>
  <c r="CJ85" i="16"/>
  <c r="M86" i="3" s="1"/>
  <c r="CJ86" i="16"/>
  <c r="M87" i="3" s="1"/>
  <c r="CJ87" i="16"/>
  <c r="M88" i="3" s="1"/>
  <c r="CJ88" i="16"/>
  <c r="M89" i="3" s="1"/>
  <c r="CJ89" i="16"/>
  <c r="M90" i="3" s="1"/>
  <c r="CJ90" i="16"/>
  <c r="M91" i="3" s="1"/>
  <c r="CJ91" i="16"/>
  <c r="M92" i="3" s="1"/>
  <c r="CJ92" i="16"/>
  <c r="M93" i="3" s="1"/>
  <c r="CJ93" i="16"/>
  <c r="M94" i="3" s="1"/>
  <c r="CJ94" i="16"/>
  <c r="M95" i="3" s="1"/>
  <c r="CJ95" i="16"/>
  <c r="M96" i="3" s="1"/>
  <c r="CJ96" i="16"/>
  <c r="M97" i="3" s="1"/>
  <c r="CJ97" i="16"/>
  <c r="M98" i="3" s="1"/>
  <c r="CJ98" i="16"/>
  <c r="M99" i="3" s="1"/>
  <c r="CJ99" i="16"/>
  <c r="M100" i="3" s="1"/>
  <c r="CJ100" i="16"/>
  <c r="M101" i="3" s="1"/>
  <c r="CJ101" i="16"/>
  <c r="M102" i="3" s="1"/>
  <c r="CJ102" i="16"/>
  <c r="M103" i="3" s="1"/>
  <c r="CJ103" i="16"/>
  <c r="M104" i="3" s="1"/>
  <c r="CJ104" i="16"/>
  <c r="M105" i="3" s="1"/>
  <c r="CJ105" i="16"/>
  <c r="M106" i="3" s="1"/>
  <c r="CJ106" i="16"/>
  <c r="M107" i="3" s="1"/>
  <c r="CJ107" i="16"/>
  <c r="M108" i="3" s="1"/>
  <c r="CH7" i="16"/>
  <c r="K8" i="3" s="1"/>
  <c r="CK86" i="16"/>
  <c r="N87" i="3" s="1"/>
  <c r="CK87" i="16"/>
  <c r="N88" i="3" s="1"/>
  <c r="CK88" i="16"/>
  <c r="N89" i="3" s="1"/>
  <c r="CK89" i="16"/>
  <c r="N90" i="3" s="1"/>
  <c r="CK90" i="16"/>
  <c r="N91" i="3" s="1"/>
  <c r="CK91" i="16"/>
  <c r="N92" i="3" s="1"/>
  <c r="CK92" i="16"/>
  <c r="N93" i="3" s="1"/>
  <c r="CK93" i="16"/>
  <c r="N94" i="3" s="1"/>
  <c r="CK94" i="16"/>
  <c r="N95" i="3" s="1"/>
  <c r="CK95" i="16"/>
  <c r="N96" i="3" s="1"/>
  <c r="CK96" i="16"/>
  <c r="N97" i="3" s="1"/>
  <c r="CK97" i="16"/>
  <c r="N98" i="3" s="1"/>
  <c r="CK98" i="16"/>
  <c r="N99" i="3" s="1"/>
  <c r="CK99" i="16"/>
  <c r="N100" i="3" s="1"/>
  <c r="CK100" i="16"/>
  <c r="N101" i="3" s="1"/>
  <c r="CK101" i="16"/>
  <c r="N102" i="3" s="1"/>
  <c r="CK102" i="16"/>
  <c r="N103" i="3" s="1"/>
  <c r="CK103" i="16"/>
  <c r="N104" i="3" s="1"/>
  <c r="CK104" i="16"/>
  <c r="N105" i="3" s="1"/>
  <c r="CK105" i="16"/>
  <c r="N106" i="3" s="1"/>
  <c r="CK106" i="16"/>
  <c r="N107" i="3" s="1"/>
  <c r="CK107" i="16"/>
  <c r="N108" i="3" s="1"/>
  <c r="CK108" i="16"/>
  <c r="N109" i="3" s="1"/>
  <c r="CK109" i="16"/>
  <c r="N110" i="3" s="1"/>
  <c r="CK110" i="16"/>
  <c r="N111" i="3" s="1"/>
  <c r="CK111" i="16"/>
  <c r="N112" i="3" s="1"/>
  <c r="CK112" i="16"/>
  <c r="N113" i="3" s="1"/>
  <c r="CK113" i="16"/>
  <c r="N114" i="3" s="1"/>
  <c r="CK114" i="16"/>
  <c r="N115" i="3" s="1"/>
  <c r="CK115" i="16"/>
  <c r="N116" i="3" s="1"/>
  <c r="CK116" i="16"/>
  <c r="N117" i="3" s="1"/>
  <c r="CK117" i="16"/>
  <c r="N118" i="3" s="1"/>
  <c r="CK118" i="16"/>
  <c r="N119" i="3" s="1"/>
  <c r="CK119" i="16"/>
  <c r="N120" i="3" s="1"/>
  <c r="CK120" i="16"/>
  <c r="N121" i="3" s="1"/>
  <c r="CK121" i="16"/>
  <c r="N122" i="3" s="1"/>
  <c r="CK122" i="16"/>
  <c r="N123" i="3" s="1"/>
  <c r="CK123" i="16"/>
  <c r="N124" i="3" s="1"/>
  <c r="CK124" i="16"/>
  <c r="N125" i="3" s="1"/>
  <c r="CK125" i="16"/>
  <c r="N126" i="3" s="1"/>
  <c r="CK126" i="16"/>
  <c r="N127" i="3" s="1"/>
  <c r="CK127" i="16"/>
  <c r="N128" i="3" s="1"/>
  <c r="CK128" i="16"/>
  <c r="N129" i="3" s="1"/>
  <c r="CK129" i="16"/>
  <c r="N130" i="3" s="1"/>
  <c r="CK130" i="16"/>
  <c r="N131" i="3" s="1"/>
  <c r="CK131" i="16"/>
  <c r="N132" i="3" s="1"/>
  <c r="CK132" i="16"/>
  <c r="N133" i="3" s="1"/>
  <c r="CK133" i="16"/>
  <c r="N134" i="3" s="1"/>
  <c r="CK134" i="16"/>
  <c r="N135" i="3" s="1"/>
  <c r="CK135" i="16"/>
  <c r="N136" i="3" s="1"/>
  <c r="CK136" i="16"/>
  <c r="N137" i="3" s="1"/>
  <c r="CK137" i="16"/>
  <c r="N138" i="3" s="1"/>
  <c r="CK138" i="16"/>
  <c r="N139" i="3" s="1"/>
  <c r="CK139" i="16"/>
  <c r="N140" i="3" s="1"/>
  <c r="CK140" i="16"/>
  <c r="N141" i="3" s="1"/>
  <c r="CK141" i="16"/>
  <c r="N142" i="3" s="1"/>
  <c r="CK142" i="16"/>
  <c r="N143" i="3" s="1"/>
  <c r="CK143" i="16"/>
  <c r="N144" i="3" s="1"/>
  <c r="CK144" i="16"/>
  <c r="N145" i="3" s="1"/>
  <c r="CK145" i="16"/>
  <c r="N146" i="3" s="1"/>
  <c r="CK146" i="16"/>
  <c r="N147" i="3" s="1"/>
  <c r="CK147" i="16"/>
  <c r="N148" i="3" s="1"/>
  <c r="CK148" i="16"/>
  <c r="N149" i="3" s="1"/>
  <c r="CK149" i="16"/>
  <c r="N150" i="3" s="1"/>
  <c r="CK150" i="16"/>
  <c r="N151" i="3" s="1"/>
  <c r="CK151" i="16"/>
  <c r="N152" i="3" s="1"/>
  <c r="CK152" i="16"/>
  <c r="N153" i="3" s="1"/>
  <c r="CK153" i="16"/>
  <c r="N154" i="3" s="1"/>
  <c r="CK154" i="16"/>
  <c r="N155" i="3" s="1"/>
  <c r="CK155" i="16"/>
  <c r="N156" i="3" s="1"/>
  <c r="CK156" i="16"/>
  <c r="N157" i="3" s="1"/>
  <c r="CK157" i="16"/>
  <c r="N158" i="3" s="1"/>
  <c r="CK158" i="16"/>
  <c r="N159" i="3" s="1"/>
  <c r="CK159" i="16"/>
  <c r="N160" i="3" s="1"/>
  <c r="CK160" i="16"/>
  <c r="N161" i="3" s="1"/>
  <c r="CK161" i="16"/>
  <c r="N162" i="3" s="1"/>
  <c r="CK162" i="16"/>
  <c r="N163" i="3" s="1"/>
  <c r="CK163" i="16"/>
  <c r="N164" i="3" s="1"/>
  <c r="CK164" i="16"/>
  <c r="N165" i="3" s="1"/>
  <c r="CK165" i="16"/>
  <c r="N166" i="3" s="1"/>
  <c r="CK166" i="16"/>
  <c r="N167" i="3" s="1"/>
  <c r="CK167" i="16"/>
  <c r="N168" i="3" s="1"/>
  <c r="CK168" i="16"/>
  <c r="N169" i="3" s="1"/>
  <c r="CK169" i="16"/>
  <c r="N170" i="3" s="1"/>
  <c r="CK170" i="16"/>
  <c r="N171" i="3" s="1"/>
  <c r="CK171" i="16"/>
  <c r="N172" i="3" s="1"/>
  <c r="CK172" i="16"/>
  <c r="N173" i="3" s="1"/>
  <c r="CK173" i="16"/>
  <c r="N174" i="3" s="1"/>
  <c r="CK174" i="16"/>
  <c r="N175" i="3" s="1"/>
  <c r="CK175" i="16"/>
  <c r="N176" i="3" s="1"/>
  <c r="CK176" i="16"/>
  <c r="N177" i="3" s="1"/>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I53" i="16"/>
  <c r="L54" i="3" s="1"/>
  <c r="CI54" i="16"/>
  <c r="L55" i="3" s="1"/>
  <c r="CI55" i="16"/>
  <c r="L56" i="3" s="1"/>
  <c r="CI56" i="16"/>
  <c r="L57" i="3" s="1"/>
  <c r="CI57" i="16"/>
  <c r="L58" i="3" s="1"/>
  <c r="CI58" i="16"/>
  <c r="L59" i="3" s="1"/>
  <c r="CI59" i="16"/>
  <c r="L60" i="3" s="1"/>
  <c r="CI60" i="16"/>
  <c r="L61" i="3" s="1"/>
  <c r="CI61" i="16"/>
  <c r="L62" i="3" s="1"/>
  <c r="CI62" i="16"/>
  <c r="L63" i="3" s="1"/>
  <c r="CI63" i="16"/>
  <c r="L64" i="3" s="1"/>
  <c r="CI64" i="16"/>
  <c r="L65" i="3" s="1"/>
  <c r="CI65" i="16"/>
  <c r="L66" i="3" s="1"/>
  <c r="CI66" i="16"/>
  <c r="L67" i="3" s="1"/>
  <c r="CI67" i="16"/>
  <c r="L68" i="3" s="1"/>
  <c r="CI68" i="16"/>
  <c r="L69" i="3" s="1"/>
  <c r="CI69" i="16"/>
  <c r="L70" i="3" s="1"/>
  <c r="CI70" i="16"/>
  <c r="L71" i="3" s="1"/>
  <c r="CI71" i="16"/>
  <c r="L72" i="3" s="1"/>
  <c r="CI72" i="16"/>
  <c r="L73" i="3" s="1"/>
  <c r="CI73" i="16"/>
  <c r="L74" i="3" s="1"/>
  <c r="CI74" i="16"/>
  <c r="L75" i="3" s="1"/>
  <c r="CI75" i="16"/>
  <c r="L76" i="3" s="1"/>
  <c r="CI76" i="16"/>
  <c r="L77" i="3" s="1"/>
  <c r="CI77" i="16"/>
  <c r="L78" i="3" s="1"/>
  <c r="CI78" i="16"/>
  <c r="L79" i="3" s="1"/>
  <c r="CI79" i="16"/>
  <c r="L80" i="3" s="1"/>
  <c r="CI80" i="16"/>
  <c r="L81" i="3" s="1"/>
  <c r="CI81" i="16"/>
  <c r="L82" i="3" s="1"/>
  <c r="CI82" i="16"/>
  <c r="L83" i="3" s="1"/>
  <c r="CI83" i="16"/>
  <c r="L84" i="3" s="1"/>
  <c r="CI84" i="16"/>
  <c r="L85" i="3" s="1"/>
  <c r="CI85" i="16"/>
  <c r="L86" i="3" s="1"/>
  <c r="CI86" i="16"/>
  <c r="L87" i="3" s="1"/>
  <c r="CI87" i="16"/>
  <c r="L88" i="3" s="1"/>
  <c r="CI88" i="16"/>
  <c r="L89" i="3" s="1"/>
  <c r="CI89" i="16"/>
  <c r="L90" i="3" s="1"/>
  <c r="CI90" i="16"/>
  <c r="L91" i="3" s="1"/>
  <c r="CI91" i="16"/>
  <c r="L92" i="3" s="1"/>
  <c r="CI92" i="16"/>
  <c r="L93" i="3" s="1"/>
  <c r="CI93" i="16"/>
  <c r="L94" i="3" s="1"/>
  <c r="CI94" i="16"/>
  <c r="L95" i="3" s="1"/>
  <c r="CI95" i="16"/>
  <c r="L96" i="3" s="1"/>
  <c r="CI96" i="16"/>
  <c r="L97" i="3" s="1"/>
  <c r="CI97" i="16"/>
  <c r="L98" i="3" s="1"/>
  <c r="CI98" i="16"/>
  <c r="L99" i="3" s="1"/>
  <c r="CI99" i="16"/>
  <c r="L100" i="3" s="1"/>
  <c r="CI100" i="16"/>
  <c r="L101" i="3" s="1"/>
  <c r="CI101" i="16"/>
  <c r="L102" i="3" s="1"/>
  <c r="CI102" i="16"/>
  <c r="L103" i="3" s="1"/>
  <c r="CI103" i="16"/>
  <c r="L104" i="3" s="1"/>
  <c r="CI104" i="16"/>
  <c r="L105" i="3" s="1"/>
  <c r="CI105" i="16"/>
  <c r="L106" i="3" s="1"/>
  <c r="CI106" i="16"/>
  <c r="L107" i="3" s="1"/>
  <c r="CI107" i="16"/>
  <c r="L108" i="3" s="1"/>
  <c r="CI108" i="16"/>
  <c r="L109" i="3" s="1"/>
  <c r="CI109" i="16"/>
  <c r="L110" i="3" s="1"/>
  <c r="CI110" i="16"/>
  <c r="L111" i="3" s="1"/>
  <c r="CI111" i="16"/>
  <c r="L112" i="3" s="1"/>
  <c r="CI112" i="16"/>
  <c r="L113" i="3" s="1"/>
  <c r="CI113" i="16"/>
  <c r="L114" i="3" s="1"/>
  <c r="CI114" i="16"/>
  <c r="L115" i="3" s="1"/>
  <c r="CI115" i="16"/>
  <c r="L116" i="3" s="1"/>
  <c r="CI116" i="16"/>
  <c r="L117" i="3" s="1"/>
  <c r="CI117" i="16"/>
  <c r="L118" i="3" s="1"/>
  <c r="CI118" i="16"/>
  <c r="L119" i="3" s="1"/>
  <c r="CI119" i="16"/>
  <c r="L120" i="3" s="1"/>
  <c r="CI120" i="16"/>
  <c r="L121" i="3" s="1"/>
  <c r="CI121" i="16"/>
  <c r="L122" i="3" s="1"/>
  <c r="CI122" i="16"/>
  <c r="L123" i="3" s="1"/>
  <c r="CI123" i="16"/>
  <c r="L124" i="3" s="1"/>
  <c r="CI124" i="16"/>
  <c r="L125" i="3" s="1"/>
  <c r="CI125" i="16"/>
  <c r="L126" i="3" s="1"/>
  <c r="CI126" i="16"/>
  <c r="L127" i="3" s="1"/>
  <c r="CI127" i="16"/>
  <c r="L128" i="3" s="1"/>
  <c r="CI128" i="16"/>
  <c r="L129" i="3" s="1"/>
  <c r="CI129" i="16"/>
  <c r="L130" i="3" s="1"/>
  <c r="CI130" i="16"/>
  <c r="L131" i="3" s="1"/>
  <c r="CI131" i="16"/>
  <c r="L132" i="3" s="1"/>
  <c r="CI132" i="16"/>
  <c r="L133" i="3" s="1"/>
  <c r="CI133" i="16"/>
  <c r="L134" i="3" s="1"/>
  <c r="CI134" i="16"/>
  <c r="L135" i="3" s="1"/>
  <c r="CI135" i="16"/>
  <c r="L136" i="3" s="1"/>
  <c r="CI136" i="16"/>
  <c r="L137" i="3" s="1"/>
  <c r="CI137" i="16"/>
  <c r="L138" i="3" s="1"/>
  <c r="CI138" i="16"/>
  <c r="L139" i="3" s="1"/>
  <c r="CI139" i="16"/>
  <c r="L140" i="3" s="1"/>
  <c r="CI140" i="16"/>
  <c r="L141" i="3" s="1"/>
  <c r="CI141" i="16"/>
  <c r="L142" i="3" s="1"/>
  <c r="CI142" i="16"/>
  <c r="L143" i="3" s="1"/>
  <c r="CI143" i="16"/>
  <c r="L144" i="3" s="1"/>
  <c r="CI144" i="16"/>
  <c r="L145" i="3" s="1"/>
  <c r="CI145" i="16"/>
  <c r="L146" i="3" s="1"/>
  <c r="CI146" i="16"/>
  <c r="L147" i="3" s="1"/>
  <c r="CI147" i="16"/>
  <c r="L148" i="3" s="1"/>
  <c r="CI148" i="16"/>
  <c r="L149" i="3" s="1"/>
  <c r="CI149" i="16"/>
  <c r="L150" i="3" s="1"/>
  <c r="CI150" i="16"/>
  <c r="L151" i="3" s="1"/>
  <c r="CI151" i="16"/>
  <c r="L152" i="3" s="1"/>
  <c r="CI152" i="16"/>
  <c r="L153" i="3" s="1"/>
  <c r="CI153" i="16"/>
  <c r="L154" i="3" s="1"/>
  <c r="CI154" i="16"/>
  <c r="L155" i="3" s="1"/>
  <c r="CI155" i="16"/>
  <c r="L156" i="3" s="1"/>
  <c r="CI156" i="16"/>
  <c r="L157" i="3" s="1"/>
  <c r="CI157" i="16"/>
  <c r="L158" i="3" s="1"/>
  <c r="CI158" i="16"/>
  <c r="L159" i="3" s="1"/>
  <c r="CI159" i="16"/>
  <c r="L160" i="3" s="1"/>
  <c r="CI160" i="16"/>
  <c r="L161" i="3" s="1"/>
  <c r="CI161" i="16"/>
  <c r="L162" i="3" s="1"/>
  <c r="CI162" i="16"/>
  <c r="L163" i="3" s="1"/>
  <c r="CI163" i="16"/>
  <c r="L164" i="3" s="1"/>
  <c r="CI164" i="16"/>
  <c r="L165" i="3" s="1"/>
  <c r="CI165" i="16"/>
  <c r="L166" i="3" s="1"/>
  <c r="CI166" i="16"/>
  <c r="L167" i="3" s="1"/>
  <c r="CI167" i="16"/>
  <c r="L168" i="3" s="1"/>
  <c r="CI168" i="16"/>
  <c r="L169" i="3" s="1"/>
  <c r="CI169" i="16"/>
  <c r="L170" i="3" s="1"/>
  <c r="CI170" i="16"/>
  <c r="L171" i="3" s="1"/>
  <c r="CI171" i="16"/>
  <c r="L172" i="3" s="1"/>
  <c r="CI172" i="16"/>
  <c r="L173" i="3" s="1"/>
  <c r="CI173" i="16"/>
  <c r="L174" i="3" s="1"/>
  <c r="CI174" i="16"/>
  <c r="L175" i="3" s="1"/>
  <c r="CI175" i="16"/>
  <c r="L176" i="3" s="1"/>
  <c r="CI176" i="16"/>
  <c r="L177" i="3" s="1"/>
  <c r="CD3" i="16"/>
  <c r="G4" i="3" s="1"/>
  <c r="CD4" i="16"/>
  <c r="G5" i="3" s="1"/>
  <c r="CD5" i="16"/>
  <c r="G6" i="3" s="1"/>
  <c r="CD6" i="16"/>
  <c r="G7" i="3" s="1"/>
  <c r="CD7" i="16"/>
  <c r="G8" i="3" s="1"/>
  <c r="CD8" i="16"/>
  <c r="G9" i="3" s="1"/>
  <c r="CD9" i="16"/>
  <c r="G10" i="3" s="1"/>
  <c r="CD10" i="16"/>
  <c r="G11" i="3" s="1"/>
  <c r="CD11" i="16"/>
  <c r="G12" i="3" s="1"/>
  <c r="CD12" i="16"/>
  <c r="G13" i="3" s="1"/>
  <c r="CD13" i="16"/>
  <c r="G14" i="3" s="1"/>
  <c r="CD14" i="16"/>
  <c r="G15" i="3" s="1"/>
  <c r="CD15" i="16"/>
  <c r="G16" i="3" s="1"/>
  <c r="CD16" i="16"/>
  <c r="G17" i="3" s="1"/>
  <c r="CD17" i="16"/>
  <c r="G18" i="3" s="1"/>
  <c r="CD18" i="16"/>
  <c r="G19" i="3" s="1"/>
  <c r="CD19" i="16"/>
  <c r="G20" i="3" s="1"/>
  <c r="CD20" i="16"/>
  <c r="G21" i="3" s="1"/>
  <c r="CD21" i="16"/>
  <c r="G22" i="3" s="1"/>
  <c r="CD22" i="16"/>
  <c r="G23" i="3" s="1"/>
  <c r="CD23" i="16"/>
  <c r="G24" i="3" s="1"/>
  <c r="CD24" i="16"/>
  <c r="G25" i="3" s="1"/>
  <c r="CD25" i="16"/>
  <c r="G26" i="3" s="1"/>
  <c r="CD26" i="16"/>
  <c r="G27" i="3" s="1"/>
  <c r="CD27" i="16"/>
  <c r="G28" i="3" s="1"/>
  <c r="CD28" i="16"/>
  <c r="G29" i="3" s="1"/>
  <c r="CD29" i="16"/>
  <c r="G30" i="3" s="1"/>
  <c r="CD30" i="16"/>
  <c r="G31" i="3" s="1"/>
  <c r="CD31" i="16"/>
  <c r="G32" i="3" s="1"/>
  <c r="CD32" i="16"/>
  <c r="G33" i="3" s="1"/>
  <c r="CD33" i="16"/>
  <c r="G34" i="3" s="1"/>
  <c r="CD34" i="16"/>
  <c r="G35" i="3" s="1"/>
  <c r="CD35" i="16"/>
  <c r="G36" i="3" s="1"/>
  <c r="CD36" i="16"/>
  <c r="G37" i="3" s="1"/>
  <c r="CD37" i="16"/>
  <c r="G38" i="3" s="1"/>
  <c r="CD38" i="16"/>
  <c r="G39" i="3" s="1"/>
  <c r="CD39" i="16"/>
  <c r="G40" i="3" s="1"/>
  <c r="CD40" i="16"/>
  <c r="G41" i="3" s="1"/>
  <c r="CD41" i="16"/>
  <c r="G42" i="3" s="1"/>
  <c r="CD42" i="16"/>
  <c r="G43" i="3" s="1"/>
  <c r="CD43" i="16"/>
  <c r="G44" i="3" s="1"/>
  <c r="CD44" i="16"/>
  <c r="G45" i="3" s="1"/>
  <c r="CD45" i="16"/>
  <c r="G46" i="3" s="1"/>
  <c r="CD46" i="16"/>
  <c r="G47" i="3" s="1"/>
  <c r="CD47" i="16"/>
  <c r="G48" i="3" s="1"/>
  <c r="CD48" i="16"/>
  <c r="G49" i="3" s="1"/>
  <c r="CD49" i="16"/>
  <c r="G50" i="3" s="1"/>
  <c r="CD51" i="16"/>
  <c r="G52" i="3" s="1"/>
  <c r="CD52" i="16"/>
  <c r="G53" i="3" s="1"/>
  <c r="CD53" i="16"/>
  <c r="G54" i="3" s="1"/>
  <c r="CD54" i="16"/>
  <c r="G55" i="3" s="1"/>
  <c r="CD55" i="16"/>
  <c r="G56" i="3" s="1"/>
  <c r="CD56" i="16"/>
  <c r="G57" i="3" s="1"/>
  <c r="CD57" i="16"/>
  <c r="G58" i="3" s="1"/>
  <c r="CD58" i="16"/>
  <c r="G59" i="3" s="1"/>
  <c r="CD59" i="16"/>
  <c r="G60" i="3" s="1"/>
  <c r="CD60" i="16"/>
  <c r="G61" i="3" s="1"/>
  <c r="CD61" i="16"/>
  <c r="G62" i="3" s="1"/>
  <c r="CD62" i="16"/>
  <c r="G63" i="3" s="1"/>
  <c r="CD63" i="16"/>
  <c r="G64" i="3" s="1"/>
  <c r="CD64" i="16"/>
  <c r="G65" i="3" s="1"/>
  <c r="CD65" i="16"/>
  <c r="G66" i="3" s="1"/>
  <c r="CD68" i="16"/>
  <c r="G69" i="3" s="1"/>
  <c r="CD69" i="16"/>
  <c r="G70" i="3" s="1"/>
  <c r="CD71" i="16"/>
  <c r="G72" i="3" s="1"/>
  <c r="CD72" i="16"/>
  <c r="G73" i="3" s="1"/>
  <c r="CD73" i="16"/>
  <c r="G74" i="3" s="1"/>
  <c r="CD74" i="16"/>
  <c r="G75" i="3" s="1"/>
  <c r="CD75" i="16"/>
  <c r="G76" i="3" s="1"/>
  <c r="CD76" i="16"/>
  <c r="G77" i="3" s="1"/>
  <c r="CD77" i="16"/>
  <c r="G78" i="3" s="1"/>
  <c r="CD78" i="16"/>
  <c r="G79" i="3" s="1"/>
  <c r="CD79" i="16"/>
  <c r="G80" i="3" s="1"/>
  <c r="CD80" i="16"/>
  <c r="G81" i="3" s="1"/>
  <c r="CD81" i="16"/>
  <c r="G82" i="3" s="1"/>
  <c r="CD82" i="16"/>
  <c r="G83" i="3" s="1"/>
  <c r="CD83" i="16"/>
  <c r="G84" i="3" s="1"/>
  <c r="CD84" i="16"/>
  <c r="G85" i="3" s="1"/>
  <c r="CD85" i="16"/>
  <c r="G86" i="3" s="1"/>
  <c r="CD86" i="16"/>
  <c r="G87" i="3" s="1"/>
  <c r="CD87" i="16"/>
  <c r="G88" i="3" s="1"/>
  <c r="CD88" i="16"/>
  <c r="G89" i="3" s="1"/>
  <c r="CD89" i="16"/>
  <c r="G90" i="3" s="1"/>
  <c r="CD90" i="16"/>
  <c r="G91" i="3" s="1"/>
  <c r="CD91" i="16"/>
  <c r="G92" i="3" s="1"/>
  <c r="CD92" i="16"/>
  <c r="G93" i="3" s="1"/>
  <c r="CD93" i="16"/>
  <c r="G94" i="3" s="1"/>
  <c r="CD94" i="16"/>
  <c r="G95" i="3" s="1"/>
  <c r="CD95" i="16"/>
  <c r="G96" i="3" s="1"/>
  <c r="CD96" i="16"/>
  <c r="G97" i="3" s="1"/>
  <c r="CD97" i="16"/>
  <c r="G98" i="3" s="1"/>
  <c r="CD98" i="16"/>
  <c r="G99" i="3" s="1"/>
  <c r="CD99" i="16"/>
  <c r="G100" i="3" s="1"/>
  <c r="CD100" i="16"/>
  <c r="G101" i="3" s="1"/>
  <c r="CD101" i="16"/>
  <c r="G102" i="3" s="1"/>
  <c r="CD102" i="16"/>
  <c r="G103" i="3" s="1"/>
  <c r="CD103" i="16"/>
  <c r="G104" i="3" s="1"/>
  <c r="CD104" i="16"/>
  <c r="G105" i="3" s="1"/>
  <c r="CD105" i="16"/>
  <c r="G106" i="3" s="1"/>
  <c r="CD106" i="16"/>
  <c r="G107" i="3" s="1"/>
  <c r="CD107" i="16"/>
  <c r="G108" i="3" s="1"/>
  <c r="CD108" i="16"/>
  <c r="G109" i="3" s="1"/>
  <c r="CD109" i="16"/>
  <c r="G110" i="3" s="1"/>
  <c r="CD110" i="16"/>
  <c r="G111" i="3" s="1"/>
  <c r="CD111" i="16"/>
  <c r="G112" i="3" s="1"/>
  <c r="CD112" i="16"/>
  <c r="G113" i="3" s="1"/>
  <c r="CD113" i="16"/>
  <c r="G114" i="3" s="1"/>
  <c r="CD114" i="16"/>
  <c r="G115" i="3" s="1"/>
  <c r="CD115" i="16"/>
  <c r="G116" i="3" s="1"/>
  <c r="CD116" i="16"/>
  <c r="G117" i="3" s="1"/>
  <c r="CD117" i="16"/>
  <c r="G118" i="3" s="1"/>
  <c r="CD118" i="16"/>
  <c r="G119" i="3" s="1"/>
  <c r="CD119" i="16"/>
  <c r="G120" i="3" s="1"/>
  <c r="CD120" i="16"/>
  <c r="G121" i="3" s="1"/>
  <c r="CD121" i="16"/>
  <c r="G122" i="3" s="1"/>
  <c r="CD122" i="16"/>
  <c r="G123" i="3" s="1"/>
  <c r="CD123" i="16"/>
  <c r="G124" i="3" s="1"/>
  <c r="CD124" i="16"/>
  <c r="G125" i="3" s="1"/>
  <c r="CD125" i="16"/>
  <c r="G126" i="3" s="1"/>
  <c r="CD126" i="16"/>
  <c r="G127" i="3" s="1"/>
  <c r="CD127" i="16"/>
  <c r="G128" i="3" s="1"/>
  <c r="CD128" i="16"/>
  <c r="G129" i="3" s="1"/>
  <c r="CD129" i="16"/>
  <c r="G130" i="3" s="1"/>
  <c r="CD130" i="16"/>
  <c r="G131" i="3" s="1"/>
  <c r="CD131" i="16"/>
  <c r="G132" i="3" s="1"/>
  <c r="CD132" i="16"/>
  <c r="G133" i="3" s="1"/>
  <c r="CD133" i="16"/>
  <c r="G134" i="3" s="1"/>
  <c r="CD134" i="16"/>
  <c r="G135" i="3" s="1"/>
  <c r="CD135" i="16"/>
  <c r="G136" i="3" s="1"/>
  <c r="CD136" i="16"/>
  <c r="G137" i="3" s="1"/>
  <c r="CD137" i="16"/>
  <c r="G138" i="3" s="1"/>
  <c r="CD138" i="16"/>
  <c r="G139" i="3" s="1"/>
  <c r="CD139" i="16"/>
  <c r="G140" i="3" s="1"/>
  <c r="CD140" i="16"/>
  <c r="G141" i="3" s="1"/>
  <c r="CD141" i="16"/>
  <c r="G142" i="3" s="1"/>
  <c r="CD142" i="16"/>
  <c r="G143" i="3" s="1"/>
  <c r="CD143" i="16"/>
  <c r="G144" i="3" s="1"/>
  <c r="CD144" i="16"/>
  <c r="G145" i="3" s="1"/>
  <c r="CD145" i="16"/>
  <c r="G146" i="3" s="1"/>
  <c r="CD146" i="16"/>
  <c r="G147" i="3" s="1"/>
  <c r="CD147" i="16"/>
  <c r="G148" i="3" s="1"/>
  <c r="CD148" i="16"/>
  <c r="G149" i="3" s="1"/>
  <c r="CD149" i="16"/>
  <c r="G150" i="3" s="1"/>
  <c r="CD150" i="16"/>
  <c r="G151" i="3" s="1"/>
  <c r="CD151" i="16"/>
  <c r="G152" i="3" s="1"/>
  <c r="CD152" i="16"/>
  <c r="G153" i="3" s="1"/>
  <c r="CD153" i="16"/>
  <c r="G154" i="3" s="1"/>
  <c r="CD154" i="16"/>
  <c r="G155" i="3" s="1"/>
  <c r="CD155" i="16"/>
  <c r="G156" i="3" s="1"/>
  <c r="CD156" i="16"/>
  <c r="G157" i="3" s="1"/>
  <c r="CD157" i="16"/>
  <c r="G158" i="3" s="1"/>
  <c r="CD158" i="16"/>
  <c r="G159" i="3" s="1"/>
  <c r="CD159" i="16"/>
  <c r="G160" i="3" s="1"/>
  <c r="CD160" i="16"/>
  <c r="G161" i="3" s="1"/>
  <c r="CD161" i="16"/>
  <c r="G162" i="3" s="1"/>
  <c r="CD162" i="16"/>
  <c r="G163" i="3" s="1"/>
  <c r="CD163" i="16"/>
  <c r="G164" i="3" s="1"/>
  <c r="CD164" i="16"/>
  <c r="G165" i="3" s="1"/>
  <c r="CD165" i="16"/>
  <c r="G166" i="3" s="1"/>
  <c r="CD166" i="16"/>
  <c r="G167" i="3" s="1"/>
  <c r="CD167" i="16"/>
  <c r="G168" i="3" s="1"/>
  <c r="CD168" i="16"/>
  <c r="G169" i="3" s="1"/>
  <c r="CD169" i="16"/>
  <c r="G170" i="3" s="1"/>
  <c r="CD170" i="16"/>
  <c r="G171" i="3" s="1"/>
  <c r="CD171" i="16"/>
  <c r="G172" i="3" s="1"/>
  <c r="CD172" i="16"/>
  <c r="G173" i="3" s="1"/>
  <c r="CD173" i="16"/>
  <c r="G174" i="3" s="1"/>
  <c r="CD174" i="16"/>
  <c r="G175" i="3" s="1"/>
  <c r="CD175" i="16"/>
  <c r="G176" i="3" s="1"/>
  <c r="CD176" i="16"/>
  <c r="G177" i="3" s="1"/>
  <c r="CF4" i="16"/>
  <c r="CF8" i="16"/>
  <c r="CF11" i="16"/>
  <c r="CF16" i="16"/>
  <c r="CF18" i="16"/>
  <c r="CF33" i="16"/>
  <c r="CF36" i="16"/>
  <c r="CF49" i="16"/>
  <c r="CF53" i="16"/>
  <c r="CF56" i="16"/>
  <c r="CF58" i="16"/>
  <c r="CF60" i="16"/>
  <c r="CF62" i="16"/>
  <c r="CF64" i="16"/>
  <c r="CF66" i="16"/>
  <c r="CF68" i="16"/>
  <c r="CF70" i="16"/>
  <c r="CF71" i="16"/>
  <c r="CF73" i="16"/>
  <c r="CF75" i="16"/>
  <c r="CF77" i="16"/>
  <c r="CF79" i="16"/>
  <c r="CF81" i="16"/>
  <c r="CF84" i="16"/>
  <c r="CF86" i="16"/>
  <c r="CF87" i="16"/>
  <c r="CF90" i="16"/>
  <c r="CF92" i="16"/>
  <c r="CF94" i="16"/>
  <c r="CF97" i="16"/>
  <c r="CF100" i="16"/>
  <c r="CF102" i="16"/>
  <c r="CF105" i="16"/>
  <c r="CF108" i="16"/>
  <c r="CF111" i="16"/>
  <c r="CF114" i="16"/>
  <c r="CF117" i="16"/>
  <c r="CF120" i="16"/>
  <c r="CF124" i="16"/>
  <c r="CF127" i="16"/>
  <c r="CF131" i="16"/>
  <c r="CF134" i="16"/>
  <c r="CF137" i="16"/>
  <c r="CF141" i="16"/>
  <c r="CF145" i="16"/>
  <c r="CF148" i="16"/>
  <c r="CF152" i="16"/>
  <c r="CF156" i="16"/>
  <c r="CF160" i="16"/>
  <c r="CF164" i="16"/>
  <c r="CF167" i="16"/>
  <c r="CF171" i="16"/>
  <c r="CF176" i="16"/>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2"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CC99" i="16"/>
  <c r="CC100" i="16"/>
  <c r="CC101" i="16"/>
  <c r="CB129" i="16"/>
  <c r="E130" i="3" s="1"/>
  <c r="B183" i="3" s="1"/>
  <c r="C183" i="3" s="1"/>
  <c r="CF3" i="16"/>
  <c r="CF6" i="16"/>
  <c r="CF7" i="16"/>
  <c r="CF10" i="16"/>
  <c r="CF13" i="16"/>
  <c r="CF14" i="16"/>
  <c r="CF17" i="16"/>
  <c r="CF19" i="16"/>
  <c r="CF22" i="16"/>
  <c r="CF24" i="16"/>
  <c r="CF25" i="16"/>
  <c r="CF27" i="16"/>
  <c r="CF29" i="16"/>
  <c r="CF30" i="16"/>
  <c r="CF31" i="16"/>
  <c r="CF32" i="16"/>
  <c r="CF34" i="16"/>
  <c r="CF35" i="16"/>
  <c r="CF37" i="16"/>
  <c r="CF38" i="16"/>
  <c r="CF39" i="16"/>
  <c r="CF40" i="16"/>
  <c r="CF41" i="16"/>
  <c r="CF42" i="16"/>
  <c r="CF43" i="16"/>
  <c r="CF44" i="16"/>
  <c r="CF45" i="16"/>
  <c r="CF46" i="16"/>
  <c r="CF47" i="16"/>
  <c r="CF48" i="16"/>
  <c r="CF50" i="16"/>
  <c r="CF51" i="16"/>
  <c r="CF52" i="16"/>
  <c r="CF54" i="16"/>
  <c r="CF55" i="16"/>
  <c r="CF57" i="16"/>
  <c r="CF59" i="16"/>
  <c r="CF61" i="16"/>
  <c r="CF63" i="16"/>
  <c r="CF65" i="16"/>
  <c r="CF67" i="16"/>
  <c r="CF69" i="16"/>
  <c r="CF96" i="16"/>
  <c r="CF99" i="16"/>
  <c r="CF101" i="16"/>
  <c r="CF104" i="16"/>
  <c r="CF107" i="16"/>
  <c r="CF110" i="16"/>
  <c r="CF113" i="16"/>
  <c r="CF116" i="16"/>
  <c r="CF119" i="16"/>
  <c r="CF122" i="16"/>
  <c r="CF125" i="16"/>
  <c r="CF128" i="16"/>
  <c r="CF132" i="16"/>
  <c r="CF135" i="16"/>
  <c r="CF139" i="16"/>
  <c r="CF143" i="16"/>
  <c r="CF147" i="16"/>
  <c r="CF151" i="16"/>
  <c r="CF154" i="16"/>
  <c r="CF158" i="16"/>
  <c r="CF161" i="16"/>
  <c r="CF165" i="16"/>
  <c r="CF169" i="16"/>
  <c r="CF173"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CF129" i="16"/>
  <c r="CF136" i="16"/>
  <c r="CF140" i="16"/>
  <c r="CF144" i="16"/>
  <c r="CF149" i="16"/>
  <c r="CF153" i="16"/>
  <c r="CF157" i="16"/>
  <c r="CF162" i="16"/>
  <c r="CF166" i="16"/>
  <c r="CF170" i="16"/>
  <c r="CF174" i="16"/>
  <c r="CJ29" i="16"/>
  <c r="M30" i="3" s="1"/>
  <c r="CJ30" i="16"/>
  <c r="M31" i="3" s="1"/>
  <c r="CJ31" i="16"/>
  <c r="M32" i="3" s="1"/>
  <c r="CJ32" i="16"/>
  <c r="M33" i="3" s="1"/>
  <c r="CJ33" i="16"/>
  <c r="M34" i="3" s="1"/>
  <c r="CJ34" i="16"/>
  <c r="M35" i="3" s="1"/>
  <c r="CJ35" i="16"/>
  <c r="M36" i="3" s="1"/>
  <c r="CJ36" i="16"/>
  <c r="M37" i="3" s="1"/>
  <c r="CJ37" i="16"/>
  <c r="M38" i="3" s="1"/>
  <c r="CF5" i="16"/>
  <c r="CF9" i="16"/>
  <c r="CF12" i="16"/>
  <c r="CF15" i="16"/>
  <c r="CF20" i="16"/>
  <c r="CF21" i="16"/>
  <c r="CF23" i="16"/>
  <c r="CF26" i="16"/>
  <c r="CF28" i="16"/>
  <c r="CF72" i="16"/>
  <c r="CF74" i="16"/>
  <c r="CF76" i="16"/>
  <c r="CF78" i="16"/>
  <c r="CF80" i="16"/>
  <c r="CF82" i="16"/>
  <c r="CF83" i="16"/>
  <c r="CF85" i="16"/>
  <c r="CF88" i="16"/>
  <c r="CF89" i="16"/>
  <c r="CF91" i="16"/>
  <c r="CF93" i="16"/>
  <c r="CF95" i="16"/>
  <c r="CF98" i="16"/>
  <c r="CF103" i="16"/>
  <c r="CF106" i="16"/>
  <c r="CF109" i="16"/>
  <c r="CF112" i="16"/>
  <c r="CF115" i="16"/>
  <c r="CF118" i="16"/>
  <c r="CF121" i="16"/>
  <c r="CF123" i="16"/>
  <c r="CF126" i="16"/>
  <c r="CF130" i="16"/>
  <c r="CF133" i="16"/>
  <c r="CF138" i="16"/>
  <c r="CF142" i="16"/>
  <c r="CF146" i="16"/>
  <c r="CF150" i="16"/>
  <c r="CF155" i="16"/>
  <c r="CF159" i="16"/>
  <c r="CF163" i="16"/>
  <c r="CF168" i="16"/>
  <c r="CF172" i="16"/>
  <c r="CF175" i="16"/>
  <c r="CH46" i="16"/>
  <c r="K47" i="3" s="1"/>
  <c r="CH47" i="16"/>
  <c r="K48" i="3" s="1"/>
  <c r="CH48" i="16"/>
  <c r="K49" i="3" s="1"/>
  <c r="CH49" i="16"/>
  <c r="K5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CH71" i="16"/>
  <c r="K72" i="3" s="1"/>
  <c r="CH72" i="16"/>
  <c r="K73" i="3" s="1"/>
  <c r="CH73" i="16"/>
  <c r="K74" i="3" s="1"/>
  <c r="CH74" i="16"/>
  <c r="K75" i="3" s="1"/>
  <c r="CH75" i="16"/>
  <c r="K76" i="3" s="1"/>
  <c r="CH76" i="16"/>
  <c r="K77" i="3" s="1"/>
  <c r="CH77" i="16"/>
  <c r="K78" i="3" s="1"/>
  <c r="CH78" i="16"/>
  <c r="K79" i="3" s="1"/>
  <c r="CH79" i="16"/>
  <c r="K80" i="3" s="1"/>
  <c r="CH80" i="16"/>
  <c r="K81" i="3" s="1"/>
  <c r="CH81" i="16"/>
  <c r="K82" i="3" s="1"/>
  <c r="CH82" i="16"/>
  <c r="K83" i="3" s="1"/>
  <c r="CH83" i="16"/>
  <c r="K84" i="3" s="1"/>
  <c r="CH84" i="16"/>
  <c r="K85" i="3" s="1"/>
  <c r="CH85" i="16"/>
  <c r="K86" i="3" s="1"/>
  <c r="CH86" i="16"/>
  <c r="K87" i="3" s="1"/>
  <c r="CH87" i="16"/>
  <c r="K88" i="3" s="1"/>
  <c r="CH88" i="16"/>
  <c r="K89" i="3" s="1"/>
  <c r="CH89" i="16"/>
  <c r="K90" i="3" s="1"/>
  <c r="CH90" i="16"/>
  <c r="K91" i="3" s="1"/>
  <c r="CH91" i="16"/>
  <c r="K92" i="3" s="1"/>
  <c r="CH92" i="16"/>
  <c r="K93" i="3" s="1"/>
  <c r="CH93" i="16"/>
  <c r="K94" i="3" s="1"/>
  <c r="CH94" i="16"/>
  <c r="K95" i="3" s="1"/>
  <c r="CH95" i="16"/>
  <c r="K96" i="3" s="1"/>
  <c r="CH96" i="16"/>
  <c r="K97" i="3" s="1"/>
  <c r="CH97" i="16"/>
  <c r="K98" i="3" s="1"/>
  <c r="CH98" i="16"/>
  <c r="K99" i="3" s="1"/>
  <c r="CH99" i="16"/>
  <c r="K100" i="3" s="1"/>
  <c r="CH100" i="16"/>
  <c r="K101" i="3" s="1"/>
  <c r="CH101" i="16"/>
  <c r="K102" i="3" s="1"/>
  <c r="CH102" i="16"/>
  <c r="K103" i="3" s="1"/>
  <c r="CH103" i="16"/>
  <c r="K104" i="3" s="1"/>
  <c r="CH104" i="16"/>
  <c r="K105" i="3" s="1"/>
  <c r="CH105" i="16"/>
  <c r="K106" i="3" s="1"/>
  <c r="CH106" i="16"/>
  <c r="K107"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CG63" i="16"/>
  <c r="CG70" i="16"/>
  <c r="CD67" i="16"/>
  <c r="G68" i="3" s="1"/>
  <c r="CD70" i="16"/>
  <c r="G71" i="3" s="1"/>
  <c r="CD66" i="16"/>
  <c r="G67" i="3" s="1"/>
  <c r="CC149" i="16"/>
  <c r="CC151" i="16"/>
  <c r="CC150" i="16"/>
  <c r="CH107" i="16"/>
  <c r="K108" i="3" s="1"/>
  <c r="CH108" i="16"/>
  <c r="K109" i="3" s="1"/>
  <c r="CH109" i="16"/>
  <c r="K110" i="3" s="1"/>
  <c r="CH110" i="16"/>
  <c r="K111" i="3" s="1"/>
  <c r="CH111" i="16"/>
  <c r="K112" i="3" s="1"/>
  <c r="CH112" i="16"/>
  <c r="K113" i="3" s="1"/>
  <c r="CH113" i="16"/>
  <c r="K114" i="3" s="1"/>
  <c r="CH114" i="16"/>
  <c r="K115" i="3" s="1"/>
  <c r="CH115" i="16"/>
  <c r="K116" i="3" s="1"/>
  <c r="CH116" i="16"/>
  <c r="K117" i="3" s="1"/>
  <c r="CH117" i="16"/>
  <c r="K118" i="3" s="1"/>
  <c r="CH118" i="16"/>
  <c r="K119" i="3" s="1"/>
  <c r="CH119" i="16"/>
  <c r="K120" i="3" s="1"/>
  <c r="CH120" i="16"/>
  <c r="K121" i="3" s="1"/>
  <c r="CH121" i="16"/>
  <c r="K122" i="3" s="1"/>
  <c r="CH122" i="16"/>
  <c r="K123" i="3" s="1"/>
  <c r="CH123" i="16"/>
  <c r="K124" i="3" s="1"/>
  <c r="CH124" i="16"/>
  <c r="K125" i="3" s="1"/>
  <c r="CH125" i="16"/>
  <c r="K126" i="3" s="1"/>
  <c r="CH126" i="16"/>
  <c r="K127" i="3" s="1"/>
  <c r="CH127" i="16"/>
  <c r="K128" i="3" s="1"/>
  <c r="CH128" i="16"/>
  <c r="K129" i="3" s="1"/>
  <c r="CH129" i="16"/>
  <c r="K130" i="3" s="1"/>
  <c r="CH130" i="16"/>
  <c r="K131" i="3" s="1"/>
  <c r="CH131" i="16"/>
  <c r="K132" i="3" s="1"/>
  <c r="CH132" i="16"/>
  <c r="K133" i="3" s="1"/>
  <c r="CH133" i="16"/>
  <c r="K134" i="3" s="1"/>
  <c r="CH134" i="16"/>
  <c r="K135" i="3" s="1"/>
  <c r="CH135" i="16"/>
  <c r="K136" i="3" s="1"/>
  <c r="CH136" i="16"/>
  <c r="K137" i="3" s="1"/>
  <c r="CH137" i="16"/>
  <c r="K138" i="3" s="1"/>
  <c r="CH138" i="16"/>
  <c r="K139" i="3" s="1"/>
  <c r="CH139" i="16"/>
  <c r="K140" i="3" s="1"/>
  <c r="CH140" i="16"/>
  <c r="K141" i="3" s="1"/>
  <c r="CH141" i="16"/>
  <c r="K142" i="3" s="1"/>
  <c r="CH142" i="16"/>
  <c r="K143" i="3" s="1"/>
  <c r="CH143" i="16"/>
  <c r="K144" i="3" s="1"/>
  <c r="CH144" i="16"/>
  <c r="K145" i="3" s="1"/>
  <c r="CH145" i="16"/>
  <c r="K146" i="3" s="1"/>
  <c r="CH146" i="16"/>
  <c r="K147" i="3" s="1"/>
  <c r="CH147" i="16"/>
  <c r="K148" i="3" s="1"/>
  <c r="CH148" i="16"/>
  <c r="K149" i="3" s="1"/>
  <c r="CH149" i="16"/>
  <c r="K150" i="3" s="1"/>
  <c r="CH150" i="16"/>
  <c r="K151" i="3" s="1"/>
  <c r="CH151" i="16"/>
  <c r="K152" i="3" s="1"/>
  <c r="CH152" i="16"/>
  <c r="K153" i="3" s="1"/>
  <c r="CH153" i="16"/>
  <c r="K154" i="3" s="1"/>
  <c r="CH154" i="16"/>
  <c r="K155" i="3" s="1"/>
  <c r="CH155" i="16"/>
  <c r="K156" i="3" s="1"/>
  <c r="CH156" i="16"/>
  <c r="K157" i="3" s="1"/>
  <c r="CH157" i="16"/>
  <c r="K158" i="3" s="1"/>
  <c r="CH158" i="16"/>
  <c r="K159" i="3" s="1"/>
  <c r="CH159" i="16"/>
  <c r="K160" i="3" s="1"/>
  <c r="CH160" i="16"/>
  <c r="K161" i="3" s="1"/>
  <c r="CH161" i="16"/>
  <c r="K162" i="3" s="1"/>
  <c r="CH162" i="16"/>
  <c r="K163" i="3" s="1"/>
  <c r="CH163" i="16"/>
  <c r="K164" i="3" s="1"/>
  <c r="CH164" i="16"/>
  <c r="K165" i="3" s="1"/>
  <c r="CH165" i="16"/>
  <c r="K166" i="3" s="1"/>
  <c r="CH166" i="16"/>
  <c r="K167" i="3" s="1"/>
  <c r="CH167" i="16"/>
  <c r="K168" i="3" s="1"/>
  <c r="CH168" i="16"/>
  <c r="K169" i="3" s="1"/>
  <c r="CH169" i="16"/>
  <c r="K170" i="3" s="1"/>
  <c r="CH170" i="16"/>
  <c r="K171" i="3" s="1"/>
  <c r="CH171" i="16"/>
  <c r="K172" i="3" s="1"/>
  <c r="CH172" i="16"/>
  <c r="K173" i="3" s="1"/>
  <c r="CH173" i="16"/>
  <c r="K174" i="3" s="1"/>
  <c r="CH174" i="16"/>
  <c r="K175" i="3" s="1"/>
  <c r="CH175" i="16"/>
  <c r="K176" i="3" s="1"/>
  <c r="CH176" i="16"/>
  <c r="K177" i="3" s="1"/>
  <c r="X161" i="3"/>
  <c r="L160" i="6"/>
  <c r="X160" i="3"/>
  <c r="L159" i="6"/>
  <c r="X159" i="3"/>
  <c r="L158" i="6"/>
  <c r="X158" i="3"/>
  <c r="L157" i="6"/>
  <c r="X157" i="3"/>
  <c r="L156" i="6"/>
  <c r="X154" i="3"/>
  <c r="L153" i="6"/>
  <c r="X153" i="3"/>
  <c r="L152" i="6"/>
  <c r="X152" i="3"/>
  <c r="L151" i="6"/>
  <c r="X151" i="3"/>
  <c r="L150" i="6"/>
  <c r="X150" i="3"/>
  <c r="L149" i="6"/>
  <c r="CL3" i="16"/>
  <c r="O4" i="3" s="1"/>
  <c r="CL4" i="16"/>
  <c r="O5" i="3" s="1"/>
  <c r="CL5" i="16"/>
  <c r="O6" i="3" s="1"/>
  <c r="CL6" i="16"/>
  <c r="O7" i="3" s="1"/>
  <c r="CL7" i="16"/>
  <c r="O8" i="3" s="1"/>
  <c r="CL8" i="16"/>
  <c r="O9" i="3" s="1"/>
  <c r="CL9" i="16"/>
  <c r="O10" i="3" s="1"/>
  <c r="CL10" i="16"/>
  <c r="O11" i="3" s="1"/>
  <c r="CL11" i="16"/>
  <c r="O12" i="3" s="1"/>
  <c r="CL12" i="16"/>
  <c r="O13" i="3" s="1"/>
  <c r="CL13" i="16"/>
  <c r="O14" i="3" s="1"/>
  <c r="CL14" i="16"/>
  <c r="O15" i="3" s="1"/>
  <c r="CL15" i="16"/>
  <c r="O16" i="3" s="1"/>
  <c r="CL16" i="16"/>
  <c r="O17" i="3" s="1"/>
  <c r="CL17" i="16"/>
  <c r="O18" i="3" s="1"/>
  <c r="CL18" i="16"/>
  <c r="O19" i="3" s="1"/>
  <c r="CL19" i="16"/>
  <c r="O20" i="3" s="1"/>
  <c r="CL20" i="16"/>
  <c r="O21" i="3" s="1"/>
  <c r="CL21" i="16"/>
  <c r="O22" i="3" s="1"/>
  <c r="CL22" i="16"/>
  <c r="O23" i="3" s="1"/>
  <c r="CL23" i="16"/>
  <c r="O24" i="3" s="1"/>
  <c r="CL24" i="16"/>
  <c r="O25" i="3" s="1"/>
  <c r="CL25" i="16"/>
  <c r="O26" i="3" s="1"/>
  <c r="CL26" i="16"/>
  <c r="O27" i="3" s="1"/>
  <c r="CL27" i="16"/>
  <c r="O28" i="3" s="1"/>
  <c r="CL28" i="16"/>
  <c r="O29" i="3" s="1"/>
  <c r="CL29" i="16"/>
  <c r="O30" i="3" s="1"/>
  <c r="CL30" i="16"/>
  <c r="O31" i="3" s="1"/>
  <c r="CL31" i="16"/>
  <c r="O32" i="3" s="1"/>
  <c r="CL32" i="16"/>
  <c r="O33" i="3" s="1"/>
  <c r="CL33" i="16"/>
  <c r="O34" i="3" s="1"/>
  <c r="CL34" i="16"/>
  <c r="O35" i="3" s="1"/>
  <c r="CL35" i="16"/>
  <c r="O36" i="3" s="1"/>
  <c r="CL36" i="16"/>
  <c r="O37" i="3" s="1"/>
  <c r="CL37" i="16"/>
  <c r="O38" i="3" s="1"/>
  <c r="CL38" i="16"/>
  <c r="O39" i="3" s="1"/>
  <c r="CL39" i="16"/>
  <c r="O40" i="3" s="1"/>
  <c r="CL40" i="16"/>
  <c r="O41" i="3" s="1"/>
  <c r="CL41" i="16"/>
  <c r="O42" i="3" s="1"/>
  <c r="CL42" i="16"/>
  <c r="O43" i="3" s="1"/>
  <c r="CL43" i="16"/>
  <c r="O44" i="3" s="1"/>
  <c r="CL44" i="16"/>
  <c r="O45" i="3" s="1"/>
  <c r="CL45" i="16"/>
  <c r="O46" i="3" s="1"/>
  <c r="CL46" i="16"/>
  <c r="O47" i="3" s="1"/>
  <c r="CL47" i="16"/>
  <c r="O48" i="3" s="1"/>
  <c r="CL48" i="16"/>
  <c r="O49" i="3" s="1"/>
  <c r="CL49" i="16"/>
  <c r="O50" i="3" s="1"/>
  <c r="CL50" i="16"/>
  <c r="O51" i="3" s="1"/>
  <c r="CL51" i="16"/>
  <c r="O52" i="3" s="1"/>
  <c r="CL52" i="16"/>
  <c r="O53" i="3" s="1"/>
  <c r="CL53" i="16"/>
  <c r="O54" i="3" s="1"/>
  <c r="CL54" i="16"/>
  <c r="O55" i="3" s="1"/>
  <c r="CL55" i="16"/>
  <c r="O56" i="3" s="1"/>
  <c r="CL56" i="16"/>
  <c r="O57" i="3" s="1"/>
  <c r="CL57" i="16"/>
  <c r="O58" i="3" s="1"/>
  <c r="CL58" i="16"/>
  <c r="O59" i="3" s="1"/>
  <c r="CL59" i="16"/>
  <c r="O60" i="3" s="1"/>
  <c r="CL60" i="16"/>
  <c r="O61" i="3" s="1"/>
  <c r="L13" i="7" s="1"/>
  <c r="CL61" i="16"/>
  <c r="O62" i="3" s="1"/>
  <c r="CL62" i="16"/>
  <c r="O63" i="3" s="1"/>
  <c r="CL63" i="16"/>
  <c r="O64" i="3" s="1"/>
  <c r="CL64" i="16"/>
  <c r="O65" i="3" s="1"/>
  <c r="CL65" i="16"/>
  <c r="O66" i="3" s="1"/>
  <c r="CL66" i="16"/>
  <c r="O67" i="3" s="1"/>
  <c r="CL67" i="16"/>
  <c r="O68" i="3" s="1"/>
  <c r="CL68" i="16"/>
  <c r="O69" i="3" s="1"/>
  <c r="CL69" i="16"/>
  <c r="O70" i="3" s="1"/>
  <c r="CL70" i="16"/>
  <c r="O71" i="3" s="1"/>
  <c r="CL71" i="16"/>
  <c r="O72" i="3" s="1"/>
  <c r="CL72" i="16"/>
  <c r="O73" i="3" s="1"/>
  <c r="CL73" i="16"/>
  <c r="O74" i="3" s="1"/>
  <c r="CL74" i="16"/>
  <c r="O75" i="3" s="1"/>
  <c r="CL75" i="16"/>
  <c r="O76" i="3" s="1"/>
  <c r="CL76" i="16"/>
  <c r="O77" i="3" s="1"/>
  <c r="CL77" i="16"/>
  <c r="O78" i="3" s="1"/>
  <c r="CL78" i="16"/>
  <c r="O79" i="3" s="1"/>
  <c r="CL79" i="16"/>
  <c r="O80" i="3" s="1"/>
  <c r="CL80" i="16"/>
  <c r="O81" i="3" s="1"/>
  <c r="CL81" i="16"/>
  <c r="O82" i="3" s="1"/>
  <c r="CL82" i="16"/>
  <c r="O83" i="3" s="1"/>
  <c r="CL83" i="16"/>
  <c r="O84" i="3" s="1"/>
  <c r="CL84" i="16"/>
  <c r="O85" i="3" s="1"/>
  <c r="CL85" i="16"/>
  <c r="O86" i="3" s="1"/>
  <c r="CL86" i="16"/>
  <c r="O87" i="3" s="1"/>
  <c r="CL87" i="16"/>
  <c r="O88" i="3" s="1"/>
  <c r="CL88" i="16"/>
  <c r="O89" i="3" s="1"/>
  <c r="CL89" i="16"/>
  <c r="O90" i="3" s="1"/>
  <c r="CL90" i="16"/>
  <c r="O91" i="3" s="1"/>
  <c r="CL91" i="16"/>
  <c r="O92" i="3" s="1"/>
  <c r="CL92" i="16"/>
  <c r="O93" i="3" s="1"/>
  <c r="CL93" i="16"/>
  <c r="O94" i="3" s="1"/>
  <c r="CL94" i="16"/>
  <c r="O95" i="3" s="1"/>
  <c r="CL95" i="16"/>
  <c r="O96" i="3" s="1"/>
  <c r="CL96" i="16"/>
  <c r="O97" i="3" s="1"/>
  <c r="CL97" i="16"/>
  <c r="O98" i="3" s="1"/>
  <c r="CL98" i="16"/>
  <c r="O99" i="3" s="1"/>
  <c r="CL99" i="16"/>
  <c r="O100" i="3" s="1"/>
  <c r="CL100" i="16"/>
  <c r="O101" i="3" s="1"/>
  <c r="CL101" i="16"/>
  <c r="O102" i="3" s="1"/>
  <c r="CL102" i="16"/>
  <c r="O103" i="3" s="1"/>
  <c r="CL103" i="16"/>
  <c r="O104" i="3" s="1"/>
  <c r="CL104" i="16"/>
  <c r="O105" i="3" s="1"/>
  <c r="CL105" i="16"/>
  <c r="O106" i="3" s="1"/>
  <c r="CL106" i="16"/>
  <c r="O107" i="3" s="1"/>
  <c r="CL107" i="16"/>
  <c r="O108" i="3" s="1"/>
  <c r="CL108" i="16"/>
  <c r="O109" i="3" s="1"/>
  <c r="CL109" i="16"/>
  <c r="O110" i="3" s="1"/>
  <c r="CL110" i="16"/>
  <c r="O111" i="3" s="1"/>
  <c r="CL111" i="16"/>
  <c r="O112" i="3" s="1"/>
  <c r="CL112" i="16"/>
  <c r="O113" i="3" s="1"/>
  <c r="CL113" i="16"/>
  <c r="O114" i="3" s="1"/>
  <c r="CL114" i="16"/>
  <c r="O115" i="3" s="1"/>
  <c r="CL115" i="16"/>
  <c r="O116" i="3" s="1"/>
  <c r="CL116" i="16"/>
  <c r="O117" i="3" s="1"/>
  <c r="CL117" i="16"/>
  <c r="O118" i="3" s="1"/>
  <c r="CL118" i="16"/>
  <c r="O119" i="3" s="1"/>
  <c r="CL119" i="16"/>
  <c r="O120" i="3" s="1"/>
  <c r="CL120" i="16"/>
  <c r="O121" i="3" s="1"/>
  <c r="CL121" i="16"/>
  <c r="O122" i="3" s="1"/>
  <c r="CL122" i="16"/>
  <c r="O123" i="3" s="1"/>
  <c r="CL123" i="16"/>
  <c r="O124" i="3" s="1"/>
  <c r="CL124" i="16"/>
  <c r="O125" i="3" s="1"/>
  <c r="CL125" i="16"/>
  <c r="O126" i="3" s="1"/>
  <c r="CL126" i="16"/>
  <c r="O127" i="3" s="1"/>
  <c r="CL127" i="16"/>
  <c r="O128" i="3" s="1"/>
  <c r="CL128" i="16"/>
  <c r="O129" i="3" s="1"/>
  <c r="CL129" i="16"/>
  <c r="O130" i="3" s="1"/>
  <c r="CL130" i="16"/>
  <c r="O131" i="3" s="1"/>
  <c r="CL131" i="16"/>
  <c r="O132" i="3" s="1"/>
  <c r="CL132" i="16"/>
  <c r="O133" i="3" s="1"/>
  <c r="CL133" i="16"/>
  <c r="O134" i="3" s="1"/>
  <c r="CG103" i="16"/>
  <c r="CG131" i="16"/>
  <c r="CD50" i="16"/>
  <c r="G51" i="3" s="1"/>
  <c r="X138" i="3"/>
  <c r="L137" i="6"/>
  <c r="X137" i="3"/>
  <c r="L136" i="6"/>
  <c r="X136" i="3"/>
  <c r="L135" i="6"/>
  <c r="X135" i="3"/>
  <c r="L134" i="6"/>
  <c r="X134" i="3"/>
  <c r="L133" i="6"/>
  <c r="X133" i="3"/>
  <c r="L132" i="6"/>
  <c r="X132" i="3"/>
  <c r="L131" i="6"/>
  <c r="X129" i="3"/>
  <c r="L128" i="6"/>
  <c r="X128" i="3"/>
  <c r="L127" i="6"/>
  <c r="X127" i="3"/>
  <c r="L126" i="6"/>
  <c r="X126" i="3"/>
  <c r="L125" i="6"/>
  <c r="X125" i="3"/>
  <c r="L124" i="6"/>
  <c r="X124" i="3"/>
  <c r="L123" i="6"/>
  <c r="X123" i="3"/>
  <c r="L122" i="6"/>
  <c r="X122" i="3"/>
  <c r="L121" i="6"/>
  <c r="X121" i="3"/>
  <c r="L120" i="6"/>
  <c r="X120" i="3"/>
  <c r="L119" i="6"/>
  <c r="X110" i="3"/>
  <c r="L109" i="6"/>
  <c r="X109" i="3"/>
  <c r="L108" i="6"/>
  <c r="X108" i="3"/>
  <c r="L107" i="6"/>
  <c r="X107" i="3"/>
  <c r="L106" i="6"/>
  <c r="X79" i="3"/>
  <c r="L78" i="6"/>
  <c r="X78" i="3"/>
  <c r="L77" i="6"/>
  <c r="X77" i="3"/>
  <c r="L76" i="6"/>
  <c r="X76" i="3"/>
  <c r="L75" i="6"/>
  <c r="X75" i="3"/>
  <c r="L74" i="6"/>
  <c r="X74" i="3"/>
  <c r="L73" i="6"/>
  <c r="X73" i="3"/>
  <c r="L72" i="6"/>
  <c r="X72" i="3"/>
  <c r="L71" i="6"/>
  <c r="X71" i="3"/>
  <c r="L70" i="6"/>
  <c r="X70" i="3"/>
  <c r="L69" i="6"/>
  <c r="X69" i="3"/>
  <c r="L68" i="6"/>
  <c r="X68" i="3"/>
  <c r="L67" i="6"/>
  <c r="X67" i="3"/>
  <c r="L66" i="6"/>
  <c r="X66" i="3"/>
  <c r="L65" i="6"/>
  <c r="X65" i="3"/>
  <c r="L64" i="6"/>
  <c r="X64" i="3"/>
  <c r="L63" i="6"/>
  <c r="X63" i="3"/>
  <c r="L62" i="6"/>
  <c r="X62" i="3"/>
  <c r="L61" i="6"/>
  <c r="X61" i="3"/>
  <c r="L60" i="6"/>
  <c r="X60" i="3"/>
  <c r="L59" i="6"/>
  <c r="B197" i="3"/>
  <c r="C197" i="3" s="1"/>
  <c r="Z3" i="5"/>
  <c r="AH4" i="3" s="1"/>
  <c r="B196" i="3"/>
  <c r="C196" i="3" s="1"/>
  <c r="Y3" i="5"/>
  <c r="AG4" i="3" s="1"/>
  <c r="B195" i="3"/>
  <c r="C195" i="3" s="1"/>
  <c r="X3" i="5"/>
  <c r="AF4" i="3" s="1"/>
  <c r="B194" i="3"/>
  <c r="C194" i="3" s="1"/>
  <c r="W3" i="5"/>
  <c r="AE4" i="3" s="1"/>
  <c r="J4" i="3"/>
  <c r="J3" i="6"/>
  <c r="J5" i="3"/>
  <c r="J4" i="6"/>
  <c r="J5" i="6"/>
  <c r="J6" i="3"/>
  <c r="J7" i="3"/>
  <c r="J6" i="6"/>
  <c r="J8" i="3"/>
  <c r="J7" i="6"/>
  <c r="J9" i="3"/>
  <c r="J8" i="6"/>
  <c r="J10" i="3"/>
  <c r="J9" i="6"/>
  <c r="J10" i="6"/>
  <c r="J11" i="3"/>
  <c r="J12" i="3"/>
  <c r="J11" i="6"/>
  <c r="J13" i="3"/>
  <c r="J12" i="6"/>
  <c r="J13" i="6"/>
  <c r="J14" i="3"/>
  <c r="J15" i="3"/>
  <c r="J14" i="6"/>
  <c r="J16" i="3"/>
  <c r="J15" i="6"/>
  <c r="J17" i="3"/>
  <c r="J16" i="6"/>
  <c r="J18" i="3"/>
  <c r="J17" i="6"/>
  <c r="J18" i="6"/>
  <c r="J19" i="3"/>
  <c r="J20" i="3"/>
  <c r="J19" i="6"/>
  <c r="J21" i="3"/>
  <c r="J20" i="6"/>
  <c r="J21" i="6"/>
  <c r="J22" i="3"/>
  <c r="J23" i="3"/>
  <c r="J22" i="6"/>
  <c r="J24" i="3"/>
  <c r="J23" i="6"/>
  <c r="J25" i="3"/>
  <c r="J24" i="6"/>
  <c r="J25" i="6"/>
  <c r="J26" i="3"/>
  <c r="J27" i="3"/>
  <c r="J26" i="6"/>
  <c r="J28" i="3"/>
  <c r="J27" i="6"/>
  <c r="J29" i="3"/>
  <c r="J28" i="6"/>
  <c r="J29" i="6"/>
  <c r="J30" i="3"/>
  <c r="J31" i="3"/>
  <c r="J30" i="6"/>
  <c r="J32" i="3"/>
  <c r="J31" i="6"/>
  <c r="J33" i="3"/>
  <c r="J32" i="6"/>
  <c r="J33" i="6"/>
  <c r="J34" i="3"/>
  <c r="J35" i="3"/>
  <c r="J34" i="6"/>
  <c r="J36" i="3"/>
  <c r="J35" i="6"/>
  <c r="J37" i="3"/>
  <c r="J36" i="6"/>
  <c r="J37" i="6"/>
  <c r="J38" i="3"/>
  <c r="J39" i="3"/>
  <c r="J38" i="6"/>
  <c r="J40" i="3"/>
  <c r="J39" i="6"/>
  <c r="J41" i="3"/>
  <c r="J40" i="6"/>
  <c r="J41" i="6"/>
  <c r="J42" i="3"/>
  <c r="J43" i="3"/>
  <c r="J42" i="6"/>
  <c r="J44" i="3"/>
  <c r="J43" i="6"/>
  <c r="J45" i="3"/>
  <c r="J44" i="6"/>
  <c r="J45" i="6"/>
  <c r="J46" i="3"/>
  <c r="J47" i="3"/>
  <c r="J46" i="6"/>
  <c r="J48" i="3"/>
  <c r="J47" i="6"/>
  <c r="J49" i="3"/>
  <c r="J48" i="6"/>
  <c r="J49" i="6"/>
  <c r="J50" i="3"/>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86" i="3"/>
  <c r="C186" i="3" s="1"/>
  <c r="K13" i="7"/>
  <c r="I13" i="7"/>
  <c r="E13" i="7"/>
  <c r="J13" i="7"/>
  <c r="X131" i="3"/>
  <c r="L130" i="6"/>
  <c r="X130" i="3"/>
  <c r="L129" i="6"/>
  <c r="G129" i="6"/>
  <c r="X119" i="3"/>
  <c r="L118" i="6"/>
  <c r="X111" i="3"/>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X85" i="3"/>
  <c r="L84" i="6"/>
  <c r="G84" i="6"/>
  <c r="X84" i="3"/>
  <c r="L83" i="6"/>
  <c r="G83" i="6"/>
  <c r="X83" i="3"/>
  <c r="L82" i="6"/>
  <c r="G82" i="6"/>
  <c r="X82" i="3"/>
  <c r="L81" i="6"/>
  <c r="G81" i="6"/>
  <c r="X81" i="3"/>
  <c r="L80" i="6"/>
  <c r="G80" i="6"/>
  <c r="X80" i="3"/>
  <c r="L79" i="6"/>
  <c r="G79" i="6"/>
  <c r="G58" i="6"/>
  <c r="G57" i="6"/>
  <c r="G56" i="6"/>
  <c r="G55" i="6"/>
  <c r="G54" i="6"/>
  <c r="G53" i="6"/>
  <c r="G52" i="6"/>
  <c r="G51" i="6"/>
  <c r="G50" i="6"/>
  <c r="G49" i="6"/>
  <c r="G48" i="6"/>
  <c r="G47" i="6"/>
  <c r="G46" i="6"/>
  <c r="G45" i="6"/>
  <c r="X4" i="3"/>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L148" i="6"/>
  <c r="G148" i="6"/>
  <c r="U149" i="3"/>
  <c r="L147" i="6"/>
  <c r="U148" i="3"/>
  <c r="G147" i="6"/>
  <c r="L146" i="6"/>
  <c r="G146" i="6"/>
  <c r="U147" i="3"/>
  <c r="L145" i="6"/>
  <c r="U146" i="3"/>
  <c r="G145" i="6"/>
  <c r="L144" i="6"/>
  <c r="U145" i="3"/>
  <c r="G144" i="6"/>
  <c r="L143" i="6"/>
  <c r="U144" i="3"/>
  <c r="G143" i="6"/>
  <c r="L142" i="6"/>
  <c r="U143" i="3"/>
  <c r="G142" i="6"/>
  <c r="L141" i="6"/>
  <c r="U142" i="3"/>
  <c r="G141" i="6"/>
  <c r="L140" i="6"/>
  <c r="U141" i="3"/>
  <c r="G140" i="6"/>
  <c r="L139" i="6"/>
  <c r="G139" i="6"/>
  <c r="U140" i="3"/>
  <c r="L138" i="6"/>
  <c r="G138" i="6"/>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G44" i="6"/>
  <c r="L43" i="6"/>
  <c r="G43" i="6"/>
  <c r="U44" i="3"/>
  <c r="L42" i="6"/>
  <c r="G42" i="6"/>
  <c r="U43" i="3"/>
  <c r="L41" i="6"/>
  <c r="U42" i="3"/>
  <c r="G41" i="6"/>
  <c r="L40" i="6"/>
  <c r="U41" i="3"/>
  <c r="G40" i="6"/>
  <c r="L39" i="6"/>
  <c r="G39" i="6"/>
  <c r="U40" i="3"/>
  <c r="L38" i="6"/>
  <c r="U39" i="3"/>
  <c r="G38" i="6"/>
  <c r="L37" i="6"/>
  <c r="U38" i="3"/>
  <c r="G37" i="6"/>
  <c r="L36" i="6"/>
  <c r="U37" i="3"/>
  <c r="G36" i="6"/>
  <c r="L35" i="6"/>
  <c r="G35" i="6"/>
  <c r="U36" i="3"/>
  <c r="L34" i="6"/>
  <c r="G34" i="6"/>
  <c r="U35" i="3"/>
  <c r="L33" i="6"/>
  <c r="G33" i="6"/>
  <c r="U34" i="3"/>
  <c r="L32" i="6"/>
  <c r="G32" i="6"/>
  <c r="U33" i="3"/>
  <c r="L31" i="6"/>
  <c r="G31" i="6"/>
  <c r="U32" i="3"/>
  <c r="L30" i="6"/>
  <c r="U31" i="3"/>
  <c r="G30" i="6"/>
  <c r="L29" i="6"/>
  <c r="U30" i="3"/>
  <c r="G29" i="6"/>
  <c r="L28" i="6"/>
  <c r="G28" i="6"/>
  <c r="U29" i="3"/>
  <c r="L27" i="6"/>
  <c r="G27" i="6"/>
  <c r="U28" i="3"/>
  <c r="L26" i="6"/>
  <c r="U27" i="3"/>
  <c r="G26" i="6"/>
  <c r="L25" i="6"/>
  <c r="G25" i="6"/>
  <c r="U26" i="3"/>
  <c r="L24" i="6"/>
  <c r="U25" i="3"/>
  <c r="G24" i="6"/>
  <c r="L23" i="6"/>
  <c r="U24" i="3"/>
  <c r="G23" i="6"/>
  <c r="L22" i="6"/>
  <c r="U23" i="3"/>
  <c r="G22" i="6"/>
  <c r="L21" i="6"/>
  <c r="U22" i="3"/>
  <c r="G21" i="6"/>
  <c r="L20" i="6"/>
  <c r="U21" i="3"/>
  <c r="G20" i="6"/>
  <c r="L19" i="6"/>
  <c r="U20" i="3"/>
  <c r="G19" i="6"/>
  <c r="L18" i="6"/>
  <c r="U19" i="3"/>
  <c r="G18" i="6"/>
  <c r="L17" i="6"/>
  <c r="U18" i="3"/>
  <c r="G17" i="6"/>
  <c r="L16" i="6"/>
  <c r="U17" i="3"/>
  <c r="G16" i="6"/>
  <c r="L15" i="6"/>
  <c r="U16" i="3"/>
  <c r="G15" i="6"/>
  <c r="L14" i="6"/>
  <c r="U15" i="3"/>
  <c r="G14" i="6"/>
  <c r="L13" i="6"/>
  <c r="U14" i="3"/>
  <c r="G13" i="6"/>
  <c r="L12" i="6"/>
  <c r="G12" i="6"/>
  <c r="U13" i="3"/>
  <c r="L11" i="6"/>
  <c r="G11" i="6"/>
  <c r="U12" i="3"/>
  <c r="L10" i="6"/>
  <c r="G10" i="6"/>
  <c r="U11" i="3"/>
  <c r="L9" i="6"/>
  <c r="G9" i="6"/>
  <c r="U10" i="3"/>
  <c r="L8" i="6"/>
  <c r="G8" i="6"/>
  <c r="U9" i="3"/>
  <c r="L7" i="6"/>
  <c r="U8" i="3"/>
  <c r="G7" i="6"/>
  <c r="L6" i="6"/>
  <c r="G6" i="6"/>
  <c r="U7" i="3"/>
  <c r="L5" i="6"/>
  <c r="U6" i="3"/>
  <c r="G5" i="6"/>
  <c r="L4" i="6"/>
  <c r="U5" i="3"/>
  <c r="G4" i="6"/>
  <c r="L3" i="6"/>
  <c r="U4" i="3"/>
  <c r="G3" i="6"/>
  <c r="B192" i="3" l="1"/>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F67" i="3"/>
  <c r="V67" i="3" s="1"/>
  <c r="H66" i="6"/>
  <c r="F68" i="3"/>
  <c r="V68" i="3" s="1"/>
  <c r="H67" i="6"/>
  <c r="H68" i="6"/>
  <c r="F69" i="3"/>
  <c r="V69" i="3" s="1"/>
  <c r="H69" i="6"/>
  <c r="F70" i="3"/>
  <c r="V70" i="3" s="1"/>
  <c r="F71" i="3"/>
  <c r="V71" i="3" s="1"/>
  <c r="H70" i="6"/>
  <c r="F72" i="3"/>
  <c r="V72" i="3" s="1"/>
  <c r="H71" i="6"/>
  <c r="F73" i="3"/>
  <c r="V73" i="3" s="1"/>
  <c r="H72" i="6"/>
  <c r="H73" i="6"/>
  <c r="F74" i="3"/>
  <c r="V74" i="3" s="1"/>
  <c r="F75" i="3"/>
  <c r="V75" i="3" s="1"/>
  <c r="H74" i="6"/>
  <c r="F76" i="3"/>
  <c r="V76" i="3" s="1"/>
  <c r="H75" i="6"/>
  <c r="F77" i="3"/>
  <c r="V77" i="3" s="1"/>
  <c r="H76" i="6"/>
  <c r="H77" i="6"/>
  <c r="F78" i="3"/>
  <c r="V78" i="3" s="1"/>
  <c r="F79" i="3"/>
  <c r="V79" i="3" s="1"/>
  <c r="H78" i="6"/>
  <c r="F80" i="3"/>
  <c r="V80" i="3" s="1"/>
  <c r="H79" i="6"/>
  <c r="F81" i="3"/>
  <c r="V81" i="3" s="1"/>
  <c r="H80" i="6"/>
  <c r="H81" i="6"/>
  <c r="F82" i="3"/>
  <c r="V82" i="3" s="1"/>
  <c r="F83" i="3"/>
  <c r="V83" i="3" s="1"/>
  <c r="H82" i="6"/>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H92" i="6"/>
  <c r="F93" i="3"/>
  <c r="V93" i="3" s="1"/>
  <c r="F94" i="3"/>
  <c r="V94" i="3" s="1"/>
  <c r="H93" i="6"/>
  <c r="F95" i="3"/>
  <c r="V95" i="3" s="1"/>
  <c r="H94" i="6"/>
  <c r="F96" i="3"/>
  <c r="V96" i="3" s="1"/>
  <c r="H95" i="6"/>
  <c r="H96" i="6"/>
  <c r="F97" i="3"/>
  <c r="V97" i="3" s="1"/>
  <c r="F98" i="3"/>
  <c r="V98" i="3" s="1"/>
  <c r="H97" i="6"/>
  <c r="F99" i="3"/>
  <c r="V99" i="3" s="1"/>
  <c r="H98" i="6"/>
  <c r="F100" i="3"/>
  <c r="V100" i="3" s="1"/>
  <c r="H99" i="6"/>
  <c r="H100" i="6"/>
  <c r="F101" i="3"/>
  <c r="V101" i="3" s="1"/>
  <c r="F102" i="3"/>
  <c r="V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F3" i="7" s="1"/>
  <c r="I34" i="3"/>
  <c r="I36" i="6"/>
  <c r="I37" i="3"/>
  <c r="I50" i="3"/>
  <c r="I49" i="6"/>
  <c r="I54" i="3"/>
  <c r="I53" i="6"/>
  <c r="I56" i="6"/>
  <c r="I57" i="3"/>
  <c r="I59" i="3"/>
  <c r="I58" i="6"/>
  <c r="I60" i="6"/>
  <c r="F13" i="7" s="1"/>
  <c r="I61" i="3"/>
  <c r="I63" i="3"/>
  <c r="I62" i="6"/>
  <c r="I65" i="3"/>
  <c r="I64" i="6"/>
  <c r="I66" i="6"/>
  <c r="I67" i="3"/>
  <c r="I69" i="3"/>
  <c r="I68" i="6"/>
  <c r="I70" i="6"/>
  <c r="I71" i="3"/>
  <c r="I71" i="6"/>
  <c r="I72" i="3"/>
  <c r="I73" i="6"/>
  <c r="I74" i="3"/>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H4" i="6"/>
  <c r="F5" i="3"/>
  <c r="V5" i="3" s="1"/>
  <c r="F6" i="3"/>
  <c r="V6" i="3" s="1"/>
  <c r="H5" i="6"/>
  <c r="H6" i="6"/>
  <c r="F7" i="3"/>
  <c r="V7" i="3" s="1"/>
  <c r="H7" i="6"/>
  <c r="F8" i="3"/>
  <c r="V8" i="3" s="1"/>
  <c r="H8" i="6"/>
  <c r="F9" i="3"/>
  <c r="V9" i="3" s="1"/>
  <c r="F10" i="3"/>
  <c r="V10" i="3" s="1"/>
  <c r="H9" i="6"/>
  <c r="F11" i="3"/>
  <c r="V11" i="3" s="1"/>
  <c r="H10" i="6"/>
  <c r="H11" i="6"/>
  <c r="F12" i="3"/>
  <c r="V12" i="3" s="1"/>
  <c r="H12" i="6"/>
  <c r="F13" i="3"/>
  <c r="V13" i="3" s="1"/>
  <c r="F14" i="3"/>
  <c r="V14" i="3" s="1"/>
  <c r="H13" i="6"/>
  <c r="H14" i="6"/>
  <c r="F15" i="3"/>
  <c r="V15" i="3" s="1"/>
  <c r="F16" i="3"/>
  <c r="V16" i="3" s="1"/>
  <c r="H15" i="6"/>
  <c r="H16" i="6"/>
  <c r="F17" i="3"/>
  <c r="V17" i="3" s="1"/>
  <c r="F18" i="3"/>
  <c r="V18" i="3" s="1"/>
  <c r="H17" i="6"/>
  <c r="H18" i="6"/>
  <c r="F19" i="3"/>
  <c r="V19" i="3" s="1"/>
  <c r="F20" i="3"/>
  <c r="V20" i="3" s="1"/>
  <c r="H19" i="6"/>
  <c r="H20" i="6"/>
  <c r="F21" i="3"/>
  <c r="V21" i="3" s="1"/>
  <c r="F22" i="3"/>
  <c r="V22" i="3" s="1"/>
  <c r="H21" i="6"/>
  <c r="F23" i="3"/>
  <c r="V23" i="3" s="1"/>
  <c r="H22" i="6"/>
  <c r="H23" i="6"/>
  <c r="F24" i="3"/>
  <c r="V24" i="3" s="1"/>
  <c r="F25" i="3"/>
  <c r="V25" i="3" s="1"/>
  <c r="H24" i="6"/>
  <c r="F26" i="3"/>
  <c r="V26" i="3" s="1"/>
  <c r="H25" i="6"/>
  <c r="F27" i="3"/>
  <c r="V27" i="3" s="1"/>
  <c r="H26" i="6"/>
  <c r="F28" i="3"/>
  <c r="V28" i="3" s="1"/>
  <c r="H27" i="6"/>
  <c r="H28" i="6"/>
  <c r="F29" i="3"/>
  <c r="V29" i="3" s="1"/>
  <c r="F30" i="3"/>
  <c r="V30" i="3" s="1"/>
  <c r="H29" i="6"/>
  <c r="F31" i="3"/>
  <c r="V31" i="3" s="1"/>
  <c r="H30" i="6"/>
  <c r="H31" i="6"/>
  <c r="F32" i="3"/>
  <c r="V32" i="3" s="1"/>
  <c r="F33" i="3"/>
  <c r="V33" i="3" s="1"/>
  <c r="H32" i="6"/>
  <c r="F34" i="3"/>
  <c r="V34" i="3" s="1"/>
  <c r="H33" i="6"/>
  <c r="H34" i="6"/>
  <c r="F35" i="3"/>
  <c r="V35" i="3" s="1"/>
  <c r="H35" i="6"/>
  <c r="F36" i="3"/>
  <c r="V36" i="3" s="1"/>
  <c r="F37" i="3"/>
  <c r="V37" i="3" s="1"/>
  <c r="H36" i="6"/>
  <c r="F38" i="3"/>
  <c r="H37" i="6"/>
  <c r="F39" i="3"/>
  <c r="V39" i="3" s="1"/>
  <c r="H38" i="6"/>
  <c r="H39" i="6"/>
  <c r="F40" i="3"/>
  <c r="V40" i="3" s="1"/>
  <c r="F41" i="3"/>
  <c r="V41" i="3" s="1"/>
  <c r="H40" i="6"/>
  <c r="H41" i="6"/>
  <c r="F42" i="3"/>
  <c r="V42" i="3" s="1"/>
  <c r="H42" i="6"/>
  <c r="F43" i="3"/>
  <c r="V43" i="3" s="1"/>
  <c r="H43" i="6"/>
  <c r="F44" i="3"/>
  <c r="V44" i="3" s="1"/>
  <c r="H44" i="6"/>
  <c r="F45" i="3"/>
  <c r="V45" i="3" s="1"/>
  <c r="F46" i="3"/>
  <c r="V46" i="3" s="1"/>
  <c r="H45" i="6"/>
  <c r="H46" i="6"/>
  <c r="F47" i="3"/>
  <c r="V47" i="3" s="1"/>
  <c r="H47" i="6"/>
  <c r="F48" i="3"/>
  <c r="V48" i="3" s="1"/>
  <c r="F49" i="3"/>
  <c r="V49" i="3" s="1"/>
  <c r="H48" i="6"/>
  <c r="F50" i="3"/>
  <c r="V50" i="3" s="1"/>
  <c r="H49" i="6"/>
  <c r="F51" i="3"/>
  <c r="V51" i="3" s="1"/>
  <c r="H50" i="6"/>
  <c r="F52" i="3"/>
  <c r="V52" i="3" s="1"/>
  <c r="H51" i="6"/>
  <c r="F53" i="3"/>
  <c r="V53" i="3" s="1"/>
  <c r="H52" i="6"/>
  <c r="H53" i="6"/>
  <c r="F54" i="3"/>
  <c r="V54" i="3" s="1"/>
  <c r="F55" i="3"/>
  <c r="V55" i="3" s="1"/>
  <c r="H54" i="6"/>
  <c r="F56" i="3"/>
  <c r="V56" i="3" s="1"/>
  <c r="H55" i="6"/>
  <c r="F57" i="3"/>
  <c r="V57" i="3" s="1"/>
  <c r="H56" i="6"/>
  <c r="H57" i="6"/>
  <c r="F58" i="3"/>
  <c r="V58" i="3" s="1"/>
  <c r="F59" i="3"/>
  <c r="V59" i="3" s="1"/>
  <c r="H58" i="6"/>
  <c r="F60" i="3"/>
  <c r="V60" i="3" s="1"/>
  <c r="H59" i="6"/>
  <c r="F61" i="3"/>
  <c r="V61" i="3" s="1"/>
  <c r="H60" i="6"/>
  <c r="H61" i="6"/>
  <c r="F62" i="3"/>
  <c r="V62" i="3" s="1"/>
  <c r="F63" i="3"/>
  <c r="V63" i="3" s="1"/>
  <c r="H62" i="6"/>
  <c r="F64" i="3"/>
  <c r="V64" i="3" s="1"/>
  <c r="H63" i="6"/>
  <c r="F65" i="3"/>
  <c r="V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F104" i="3"/>
  <c r="V104" i="3" s="1"/>
  <c r="H103" i="6"/>
  <c r="H104" i="6"/>
  <c r="F105" i="3"/>
  <c r="V105" i="3" s="1"/>
  <c r="F106" i="3"/>
  <c r="V106" i="3" s="1"/>
  <c r="H105" i="6"/>
  <c r="H106" i="6"/>
  <c r="F107" i="3"/>
  <c r="V107" i="3" s="1"/>
  <c r="F108" i="3"/>
  <c r="V108" i="3" s="1"/>
  <c r="H107" i="6"/>
  <c r="H108" i="6"/>
  <c r="F109" i="3"/>
  <c r="V109" i="3" s="1"/>
  <c r="F110" i="3"/>
  <c r="V110" i="3" s="1"/>
  <c r="H109" i="6"/>
  <c r="F111" i="3"/>
  <c r="V111" i="3" s="1"/>
  <c r="H110" i="6"/>
  <c r="F112" i="3"/>
  <c r="V112" i="3" s="1"/>
  <c r="H111" i="6"/>
  <c r="F113" i="3"/>
  <c r="V113" i="3" s="1"/>
  <c r="H112" i="6"/>
  <c r="H113" i="6"/>
  <c r="F114" i="3"/>
  <c r="V114" i="3" s="1"/>
  <c r="F115" i="3"/>
  <c r="V115" i="3" s="1"/>
  <c r="H114" i="6"/>
  <c r="F116" i="3"/>
  <c r="V116" i="3" s="1"/>
  <c r="H115" i="6"/>
  <c r="F117" i="3"/>
  <c r="V117" i="3" s="1"/>
  <c r="H116" i="6"/>
  <c r="H117" i="6"/>
  <c r="F118" i="3"/>
  <c r="V118" i="3" s="1"/>
  <c r="F119" i="3"/>
  <c r="V119" i="3" s="1"/>
  <c r="H118" i="6"/>
  <c r="H119" i="6"/>
  <c r="F120" i="3"/>
  <c r="V120" i="3" s="1"/>
  <c r="F121" i="3"/>
  <c r="V121" i="3" s="1"/>
  <c r="H120" i="6"/>
  <c r="F122" i="3"/>
  <c r="V122" i="3" s="1"/>
  <c r="H121" i="6"/>
  <c r="H122" i="6"/>
  <c r="F123" i="3"/>
  <c r="V123" i="3" s="1"/>
  <c r="F124" i="3"/>
  <c r="V124" i="3" s="1"/>
  <c r="H123" i="6"/>
  <c r="F125" i="3"/>
  <c r="V125" i="3" s="1"/>
  <c r="H124" i="6"/>
  <c r="F126" i="3"/>
  <c r="V126" i="3" s="1"/>
  <c r="H125" i="6"/>
  <c r="H126" i="6"/>
  <c r="F127" i="3"/>
  <c r="V127" i="3" s="1"/>
  <c r="F128" i="3"/>
  <c r="V128" i="3" s="1"/>
  <c r="H127" i="6"/>
  <c r="H128" i="6"/>
  <c r="F129" i="3"/>
  <c r="V129" i="3" s="1"/>
  <c r="F130" i="3"/>
  <c r="V130" i="3" s="1"/>
  <c r="H129" i="6"/>
  <c r="F131" i="3"/>
  <c r="V131" i="3" s="1"/>
  <c r="H130" i="6"/>
  <c r="H131" i="6"/>
  <c r="F132" i="3"/>
  <c r="V132" i="3" s="1"/>
  <c r="H132" i="6"/>
  <c r="F133" i="3"/>
  <c r="V133" i="3" s="1"/>
  <c r="F134" i="3"/>
  <c r="V134" i="3" s="1"/>
  <c r="H133" i="6"/>
  <c r="F135" i="3"/>
  <c r="V135" i="3" s="1"/>
  <c r="H134" i="6"/>
  <c r="F136" i="3"/>
  <c r="V136" i="3" s="1"/>
  <c r="H135" i="6"/>
  <c r="H136" i="6"/>
  <c r="F137" i="3"/>
  <c r="V137" i="3" s="1"/>
  <c r="F138" i="3"/>
  <c r="V138" i="3" s="1"/>
  <c r="H137" i="6"/>
  <c r="F139" i="3"/>
  <c r="V139" i="3" s="1"/>
  <c r="H138" i="6"/>
  <c r="F140" i="3"/>
  <c r="V140" i="3" s="1"/>
  <c r="H139" i="6"/>
  <c r="F141" i="3"/>
  <c r="V141" i="3" s="1"/>
  <c r="H140" i="6"/>
  <c r="H141" i="6"/>
  <c r="F142" i="3"/>
  <c r="V142" i="3" s="1"/>
  <c r="H142" i="6"/>
  <c r="F143" i="3"/>
  <c r="V143" i="3" s="1"/>
  <c r="H143" i="6"/>
  <c r="F144" i="3"/>
  <c r="V144" i="3" s="1"/>
  <c r="F145" i="3"/>
  <c r="V145" i="3" s="1"/>
  <c r="H144" i="6"/>
  <c r="F146" i="3"/>
  <c r="V146" i="3" s="1"/>
  <c r="H145" i="6"/>
  <c r="H146" i="6"/>
  <c r="F147" i="3"/>
  <c r="V147" i="3" s="1"/>
  <c r="F148" i="3"/>
  <c r="V148" i="3" s="1"/>
  <c r="H147" i="6"/>
  <c r="H148" i="6"/>
  <c r="F149" i="3"/>
  <c r="V149" i="3" s="1"/>
  <c r="H152" i="6"/>
  <c r="F153" i="3"/>
  <c r="V153" i="3" s="1"/>
  <c r="F154" i="3"/>
  <c r="V154" i="3" s="1"/>
  <c r="H153" i="6"/>
  <c r="H154" i="6"/>
  <c r="F155" i="3"/>
  <c r="V155" i="3" s="1"/>
  <c r="F156" i="3"/>
  <c r="V156" i="3" s="1"/>
  <c r="H155" i="6"/>
  <c r="F157" i="3"/>
  <c r="V157" i="3" s="1"/>
  <c r="H156" i="6"/>
  <c r="H157" i="6"/>
  <c r="F158" i="3"/>
  <c r="V158" i="3" s="1"/>
  <c r="H158" i="6"/>
  <c r="F159" i="3"/>
  <c r="V159" i="3" s="1"/>
  <c r="F160" i="3"/>
  <c r="V160" i="3" s="1"/>
  <c r="H159" i="6"/>
  <c r="F161" i="3"/>
  <c r="V161" i="3" s="1"/>
  <c r="H160" i="6"/>
  <c r="H161" i="6"/>
  <c r="F162" i="3"/>
  <c r="V162" i="3" s="1"/>
  <c r="H162" i="6"/>
  <c r="F163" i="3"/>
  <c r="V163" i="3" s="1"/>
  <c r="H163" i="6"/>
  <c r="F164" i="3"/>
  <c r="V164" i="3" s="1"/>
  <c r="H164" i="6"/>
  <c r="F165" i="3"/>
  <c r="V165" i="3" s="1"/>
  <c r="H165" i="6"/>
  <c r="F166" i="3"/>
  <c r="V166" i="3" s="1"/>
  <c r="H166" i="6"/>
  <c r="F167" i="3"/>
  <c r="V167" i="3" s="1"/>
  <c r="F168" i="3"/>
  <c r="V168" i="3" s="1"/>
  <c r="H167" i="6"/>
  <c r="H168" i="6"/>
  <c r="F169" i="3"/>
  <c r="V169" i="3" s="1"/>
  <c r="F170" i="3"/>
  <c r="V170" i="3" s="1"/>
  <c r="H169" i="6"/>
  <c r="F171" i="3"/>
  <c r="V171" i="3" s="1"/>
  <c r="H170" i="6"/>
  <c r="H171" i="6"/>
  <c r="F172" i="3"/>
  <c r="V172" i="3" s="1"/>
  <c r="H172" i="6"/>
  <c r="F173" i="3"/>
  <c r="V173" i="3" s="1"/>
  <c r="H173" i="6"/>
  <c r="F174" i="3"/>
  <c r="V174" i="3" s="1"/>
  <c r="F175" i="3"/>
  <c r="V175" i="3" s="1"/>
  <c r="H174" i="6"/>
  <c r="H175" i="6"/>
  <c r="F176" i="3"/>
  <c r="V176" i="3" s="1"/>
  <c r="F177" i="3"/>
  <c r="V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H149" i="6"/>
  <c r="H151" i="6"/>
  <c r="F152" i="3"/>
  <c r="V152" i="3" s="1"/>
  <c r="F151" i="3"/>
  <c r="V151" i="3" s="1"/>
  <c r="H150" i="6"/>
  <c r="V4" i="3"/>
  <c r="B188" i="3"/>
  <c r="C188" i="3" s="1"/>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187" i="3" l="1"/>
  <c r="C187" i="3" s="1"/>
  <c r="F6" i="7"/>
  <c r="F15" i="7"/>
  <c r="F10" i="7"/>
  <c r="F4" i="7"/>
  <c r="F7" i="7"/>
  <c r="F8" i="7"/>
  <c r="F11" i="7"/>
  <c r="V38" i="3"/>
  <c r="B184" i="3"/>
  <c r="C184" i="3" s="1"/>
  <c r="AQ65" i="5"/>
  <c r="AP65" i="5"/>
  <c r="AQ67" i="5"/>
  <c r="AP67" i="5"/>
  <c r="AQ69" i="5"/>
  <c r="AP69" i="5"/>
  <c r="F16" i="7"/>
  <c r="AP96" i="5"/>
  <c r="AQ96" i="5"/>
  <c r="AP99" i="5"/>
  <c r="AQ99" i="5"/>
  <c r="AQ101" i="5"/>
  <c r="AP101" i="5"/>
  <c r="AP3" i="5"/>
  <c r="AQ3" i="5"/>
  <c r="AP4" i="5"/>
  <c r="AQ4" i="5"/>
  <c r="AQ5" i="5"/>
  <c r="AP5" i="5"/>
  <c r="AQ6" i="5"/>
  <c r="AP6" i="5"/>
  <c r="AQ7" i="5"/>
  <c r="AP7" i="5"/>
  <c r="AQ8" i="5"/>
  <c r="AP8" i="5"/>
  <c r="AQ9" i="5"/>
  <c r="AP9" i="5"/>
  <c r="AQ10" i="5"/>
  <c r="AP10" i="5"/>
  <c r="AQ11" i="5"/>
  <c r="AP11" i="5"/>
  <c r="AQ12" i="5"/>
  <c r="AP12" i="5"/>
  <c r="AQ13" i="5"/>
  <c r="AP13" i="5"/>
  <c r="AQ14" i="5"/>
  <c r="AP14" i="5"/>
  <c r="AQ15" i="5"/>
  <c r="AP15" i="5"/>
  <c r="AQ16" i="5"/>
  <c r="AP16" i="5"/>
  <c r="AQ17" i="5"/>
  <c r="AP17" i="5"/>
  <c r="AQ18" i="5"/>
  <c r="AP18" i="5"/>
  <c r="AQ19" i="5"/>
  <c r="AP19" i="5"/>
  <c r="AQ20" i="5"/>
  <c r="AP20" i="5"/>
  <c r="AQ21" i="5"/>
  <c r="AP21" i="5"/>
  <c r="AQ22" i="5"/>
  <c r="AP22" i="5"/>
  <c r="AQ23" i="5"/>
  <c r="AP23" i="5"/>
  <c r="AQ24" i="5"/>
  <c r="AP24" i="5"/>
  <c r="AQ25" i="5"/>
  <c r="AP25" i="5"/>
  <c r="AQ26" i="5"/>
  <c r="AP26" i="5"/>
  <c r="AQ27" i="5"/>
  <c r="AP27" i="5"/>
  <c r="AQ28" i="5"/>
  <c r="AP28" i="5"/>
  <c r="AQ29" i="5"/>
  <c r="AP29" i="5"/>
  <c r="AQ30" i="5"/>
  <c r="AP30" i="5"/>
  <c r="AQ31" i="5"/>
  <c r="AP31" i="5"/>
  <c r="AQ32" i="5"/>
  <c r="AP32" i="5"/>
  <c r="AP33" i="5"/>
  <c r="AQ33" i="5"/>
  <c r="AP34" i="5"/>
  <c r="AQ34" i="5"/>
  <c r="AP35" i="5"/>
  <c r="AQ35" i="5"/>
  <c r="AP36" i="5"/>
  <c r="AQ36" i="5"/>
  <c r="AP37" i="5"/>
  <c r="AQ37" i="5"/>
  <c r="AP38" i="5"/>
  <c r="AQ38" i="5"/>
  <c r="AP39" i="5"/>
  <c r="AQ39" i="5"/>
  <c r="AQ40" i="5"/>
  <c r="AP40" i="5"/>
  <c r="AQ41" i="5"/>
  <c r="AP41" i="5"/>
  <c r="AP42" i="5"/>
  <c r="AQ42" i="5"/>
  <c r="AQ43" i="5"/>
  <c r="AP43" i="5"/>
  <c r="AP44" i="5"/>
  <c r="AQ44" i="5"/>
  <c r="AP45" i="5"/>
  <c r="AQ45" i="5"/>
  <c r="AQ46" i="5"/>
  <c r="AP46" i="5"/>
  <c r="AQ47" i="5"/>
  <c r="AP47" i="5"/>
  <c r="AQ48" i="5"/>
  <c r="AP48" i="5"/>
  <c r="AQ49" i="5"/>
  <c r="AP49" i="5"/>
  <c r="AQ50" i="5"/>
  <c r="AP50" i="5"/>
  <c r="AQ51" i="5"/>
  <c r="AP51" i="5"/>
  <c r="AQ52" i="5"/>
  <c r="AP52" i="5"/>
  <c r="AP53" i="5"/>
  <c r="AQ53" i="5"/>
  <c r="AP54" i="5"/>
  <c r="AQ54" i="5"/>
  <c r="AP55" i="5"/>
  <c r="AQ55" i="5"/>
  <c r="AP56" i="5"/>
  <c r="AQ56" i="5"/>
  <c r="AP57" i="5"/>
  <c r="AQ57" i="5"/>
  <c r="AP58" i="5"/>
  <c r="AQ58" i="5"/>
  <c r="AP59" i="5"/>
  <c r="AQ59" i="5"/>
  <c r="AQ60" i="5"/>
  <c r="AP60" i="5"/>
  <c r="AQ61" i="5"/>
  <c r="AP61" i="5"/>
  <c r="AQ62" i="5"/>
  <c r="AP62" i="5"/>
  <c r="AQ63" i="5"/>
  <c r="AP63" i="5"/>
  <c r="AP64" i="5"/>
  <c r="AQ64" i="5"/>
  <c r="AP102" i="5"/>
  <c r="AQ102" i="5"/>
  <c r="AP103" i="5"/>
  <c r="AQ103" i="5"/>
  <c r="AP104" i="5"/>
  <c r="AQ104" i="5"/>
  <c r="AP105" i="5"/>
  <c r="AQ105" i="5"/>
  <c r="AP106" i="5"/>
  <c r="AQ106" i="5"/>
  <c r="AP107" i="5"/>
  <c r="AQ107" i="5"/>
  <c r="AP108" i="5"/>
  <c r="AQ108" i="5"/>
  <c r="AP109" i="5"/>
  <c r="AQ109" i="5"/>
  <c r="AP110" i="5"/>
  <c r="AQ110" i="5"/>
  <c r="AQ111" i="5"/>
  <c r="AP111" i="5"/>
  <c r="AP112" i="5"/>
  <c r="AQ112" i="5"/>
  <c r="AP113" i="5"/>
  <c r="AQ113" i="5"/>
  <c r="AP114" i="5"/>
  <c r="AQ114" i="5"/>
  <c r="AP115" i="5"/>
  <c r="AQ115" i="5"/>
  <c r="AQ116" i="5"/>
  <c r="AP116" i="5"/>
  <c r="AP117" i="5"/>
  <c r="AQ117" i="5"/>
  <c r="AP118" i="5"/>
  <c r="AQ118" i="5"/>
  <c r="AQ119" i="5"/>
  <c r="AP119" i="5"/>
  <c r="AQ120" i="5"/>
  <c r="AP120" i="5"/>
  <c r="AQ121" i="5"/>
  <c r="AP121" i="5"/>
  <c r="AQ122" i="5"/>
  <c r="AP122" i="5"/>
  <c r="AQ123" i="5"/>
  <c r="AP123" i="5"/>
  <c r="AQ124" i="5"/>
  <c r="AP124" i="5"/>
  <c r="AQ125" i="5"/>
  <c r="AP125" i="5"/>
  <c r="AQ126" i="5"/>
  <c r="AP126" i="5"/>
  <c r="AP127" i="5"/>
  <c r="AQ127" i="5"/>
  <c r="AP128" i="5"/>
  <c r="AQ128" i="5"/>
  <c r="AQ129" i="5"/>
  <c r="AP129" i="5"/>
  <c r="AQ130" i="5"/>
  <c r="AP130" i="5"/>
  <c r="AQ131" i="5"/>
  <c r="AP131" i="5"/>
  <c r="AQ132" i="5"/>
  <c r="AP132" i="5"/>
  <c r="AP133" i="5"/>
  <c r="AQ133" i="5"/>
  <c r="AQ134" i="5"/>
  <c r="AP134" i="5"/>
  <c r="AQ135" i="5"/>
  <c r="AP135" i="5"/>
  <c r="AQ136" i="5"/>
  <c r="AP136" i="5"/>
  <c r="AQ137" i="5"/>
  <c r="AP137" i="5"/>
  <c r="AQ138" i="5"/>
  <c r="AP138" i="5"/>
  <c r="AQ139" i="5"/>
  <c r="AP139" i="5"/>
  <c r="AQ140" i="5"/>
  <c r="AP140" i="5"/>
  <c r="AQ141" i="5"/>
  <c r="AP141" i="5"/>
  <c r="AQ142" i="5"/>
  <c r="AP142" i="5"/>
  <c r="AQ143" i="5"/>
  <c r="AP143" i="5"/>
  <c r="AQ144" i="5"/>
  <c r="AP144" i="5"/>
  <c r="AQ145" i="5"/>
  <c r="AP145" i="5"/>
  <c r="AQ146" i="5"/>
  <c r="AP146" i="5"/>
  <c r="AQ147" i="5"/>
  <c r="AP147" i="5"/>
  <c r="AQ148" i="5"/>
  <c r="AP148" i="5"/>
  <c r="AQ152" i="5"/>
  <c r="AP152" i="5"/>
  <c r="AQ153" i="5"/>
  <c r="AP153" i="5"/>
  <c r="AQ154" i="5"/>
  <c r="AP154" i="5"/>
  <c r="AQ155" i="5"/>
  <c r="AP155" i="5"/>
  <c r="AQ156" i="5"/>
  <c r="AP156" i="5"/>
  <c r="AQ157" i="5"/>
  <c r="AP157" i="5"/>
  <c r="AP158" i="5"/>
  <c r="AQ158" i="5"/>
  <c r="AP159" i="5"/>
  <c r="AQ159" i="5"/>
  <c r="AQ160" i="5"/>
  <c r="AP160" i="5"/>
  <c r="AQ161" i="5"/>
  <c r="AP161" i="5"/>
  <c r="AQ162" i="5"/>
  <c r="AP162" i="5"/>
  <c r="AQ163" i="5"/>
  <c r="AP163" i="5"/>
  <c r="AQ164" i="5"/>
  <c r="AP164" i="5"/>
  <c r="AP165" i="5"/>
  <c r="AQ165" i="5"/>
  <c r="AQ166" i="5"/>
  <c r="AP166" i="5"/>
  <c r="AQ167" i="5"/>
  <c r="AP167" i="5"/>
  <c r="AQ168" i="5"/>
  <c r="AP168" i="5"/>
  <c r="AQ169" i="5"/>
  <c r="AP169" i="5"/>
  <c r="AQ170" i="5"/>
  <c r="AP170" i="5"/>
  <c r="AQ171" i="5"/>
  <c r="AP171" i="5"/>
  <c r="AQ172" i="5"/>
  <c r="AP172" i="5"/>
  <c r="AQ173" i="5"/>
  <c r="AP173" i="5"/>
  <c r="AQ174" i="5"/>
  <c r="AP174" i="5"/>
  <c r="AQ175" i="5"/>
  <c r="AP175" i="5"/>
  <c r="AP176" i="5"/>
  <c r="AQ176" i="5"/>
  <c r="AP66" i="5"/>
  <c r="AQ66" i="5"/>
  <c r="AP68" i="5"/>
  <c r="AQ68" i="5"/>
  <c r="F5" i="7"/>
  <c r="AP70" i="5"/>
  <c r="AQ70" i="5"/>
  <c r="AQ71" i="5"/>
  <c r="AP71" i="5"/>
  <c r="AQ73" i="5"/>
  <c r="AP73" i="5"/>
  <c r="AP75" i="5"/>
  <c r="AQ75" i="5"/>
  <c r="AP77" i="5"/>
  <c r="AQ77" i="5"/>
  <c r="F14" i="7"/>
  <c r="AP79" i="5"/>
  <c r="AQ79" i="5"/>
  <c r="AQ81" i="5"/>
  <c r="AP81" i="5"/>
  <c r="AP84" i="5"/>
  <c r="AQ84" i="5"/>
  <c r="F9" i="7"/>
  <c r="AP86" i="5"/>
  <c r="AQ86" i="5"/>
  <c r="AQ87" i="5"/>
  <c r="AP87" i="5"/>
  <c r="AQ90" i="5"/>
  <c r="AP90" i="5"/>
  <c r="AP92" i="5"/>
  <c r="AQ92" i="5"/>
  <c r="AQ94" i="5"/>
  <c r="AP94" i="5"/>
  <c r="AQ97" i="5"/>
  <c r="AP97" i="5"/>
  <c r="AP100" i="5"/>
  <c r="AQ100" i="5"/>
  <c r="AQ72" i="5"/>
  <c r="AP72" i="5"/>
  <c r="AQ74" i="5"/>
  <c r="AP74" i="5"/>
  <c r="AP76" i="5"/>
  <c r="AQ76" i="5"/>
  <c r="AP78" i="5"/>
  <c r="AQ78" i="5"/>
  <c r="AQ80" i="5"/>
  <c r="AP80" i="5"/>
  <c r="AP82" i="5"/>
  <c r="AQ82" i="5"/>
  <c r="AP83" i="5"/>
  <c r="AQ83" i="5"/>
  <c r="AP85" i="5"/>
  <c r="AQ85" i="5"/>
  <c r="AQ88" i="5"/>
  <c r="AP88" i="5"/>
  <c r="AQ89" i="5"/>
  <c r="AP89" i="5"/>
  <c r="AQ91" i="5"/>
  <c r="AP91" i="5"/>
  <c r="AQ93" i="5"/>
  <c r="AP93" i="5"/>
  <c r="AQ95" i="5"/>
  <c r="AP95" i="5"/>
  <c r="AP98" i="5"/>
  <c r="AQ98" i="5"/>
  <c r="AP149" i="5"/>
  <c r="AQ149" i="5"/>
  <c r="AP151" i="5"/>
  <c r="AQ151" i="5"/>
  <c r="AP150" i="5"/>
  <c r="AQ150" i="5"/>
  <c r="B3" i="7"/>
  <c r="D13" i="7" l="1"/>
  <c r="Q166" i="3"/>
  <c r="Z133" i="3"/>
  <c r="AB133" i="3" s="1"/>
  <c r="H3" i="7"/>
  <c r="Z130" i="3"/>
  <c r="AB130" i="3" s="1"/>
  <c r="Z61" i="3"/>
  <c r="AB61" i="3" s="1"/>
  <c r="S172" i="3"/>
  <c r="S40" i="3"/>
  <c r="S23" i="3"/>
  <c r="S7" i="3"/>
  <c r="Q130" i="3"/>
  <c r="Q99" i="3"/>
  <c r="Q26" i="3"/>
  <c r="Q8" i="3"/>
  <c r="AA163" i="3"/>
  <c r="AA160" i="3"/>
  <c r="AA158" i="3"/>
  <c r="AA146" i="3"/>
  <c r="T140" i="3"/>
  <c r="AA135" i="3"/>
  <c r="AI125" i="3"/>
  <c r="T123" i="3"/>
  <c r="T121" i="3"/>
  <c r="T119" i="3"/>
  <c r="T118" i="3"/>
  <c r="T114" i="3"/>
  <c r="T111" i="3"/>
  <c r="T110" i="3"/>
  <c r="T105" i="3"/>
  <c r="T86" i="3"/>
  <c r="T59" i="3"/>
  <c r="AA40" i="3"/>
  <c r="T35" i="3"/>
  <c r="AA32" i="3"/>
  <c r="AA24" i="3"/>
  <c r="AA17" i="3"/>
  <c r="Q61" i="3"/>
  <c r="Q37" i="3"/>
  <c r="Q25" i="3"/>
  <c r="Q5" i="3"/>
  <c r="T154" i="3"/>
  <c r="AA147" i="3"/>
  <c r="AA138" i="3"/>
  <c r="S130" i="5"/>
  <c r="T128" i="3"/>
  <c r="T124" i="3"/>
  <c r="AA120" i="3"/>
  <c r="T112" i="3"/>
  <c r="T108" i="3"/>
  <c r="AA108" i="3"/>
  <c r="T103" i="3"/>
  <c r="T98" i="3"/>
  <c r="R48" i="3"/>
  <c r="R56" i="3"/>
  <c r="R75" i="3"/>
  <c r="Z30" i="3"/>
  <c r="AB30" i="3"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Z4" i="3"/>
  <c r="R67" i="3"/>
  <c r="Z32" i="3"/>
  <c r="Z46" i="3"/>
  <c r="Z99" i="3"/>
  <c r="Z123" i="3"/>
  <c r="Z166" i="3"/>
  <c r="P88" i="3"/>
  <c r="Q77" i="3"/>
  <c r="P69" i="3"/>
  <c r="G11" i="7"/>
  <c r="R110" i="3"/>
  <c r="R156" i="3"/>
  <c r="AK147" i="3"/>
  <c r="Z9" i="3"/>
  <c r="AB9" i="3" s="1"/>
  <c r="AK142" i="3"/>
  <c r="AK131" i="3"/>
  <c r="Q9" i="3"/>
  <c r="T168" i="3"/>
  <c r="T165" i="3"/>
  <c r="T161" i="3"/>
  <c r="AA150" i="3"/>
  <c r="T145" i="3"/>
  <c r="AA144" i="3"/>
  <c r="T142" i="3"/>
  <c r="AA142" i="3"/>
  <c r="AA139" i="3"/>
  <c r="AA131" i="3"/>
  <c r="T127" i="3"/>
  <c r="T102" i="3"/>
  <c r="AA78" i="3"/>
  <c r="AA63" i="3"/>
  <c r="T43" i="3"/>
  <c r="Q66" i="3"/>
  <c r="P43" i="3"/>
  <c r="AI129" i="3"/>
  <c r="S128" i="5"/>
  <c r="S124" i="5"/>
  <c r="AK124" i="3"/>
  <c r="S107" i="5"/>
  <c r="T107" i="5" s="1"/>
  <c r="AI108" i="3"/>
  <c r="AI89" i="3"/>
  <c r="S88" i="5"/>
  <c r="Z116" i="3"/>
  <c r="Z26" i="3"/>
  <c r="Z102" i="3"/>
  <c r="Z106" i="3"/>
  <c r="Z120" i="3"/>
  <c r="AB120" i="3" s="1"/>
  <c r="Z126" i="3"/>
  <c r="Z140" i="3"/>
  <c r="AB140" i="3" s="1"/>
  <c r="S167" i="5"/>
  <c r="AK116" i="3"/>
  <c r="AK93" i="3"/>
  <c r="Z143" i="3"/>
  <c r="Z128" i="3"/>
  <c r="AB128" i="3" s="1"/>
  <c r="Z10" i="3"/>
  <c r="AB10" i="3" s="1"/>
  <c r="AK6" i="3"/>
  <c r="AK130" i="3"/>
  <c r="AK134" i="3"/>
  <c r="AK157" i="3"/>
  <c r="AK14" i="3"/>
  <c r="AK15" i="3"/>
  <c r="Z83" i="3"/>
  <c r="Z147" i="3"/>
  <c r="AA47" i="3"/>
  <c r="AK29" i="3"/>
  <c r="P134" i="3"/>
  <c r="Q80" i="3"/>
  <c r="P37" i="3"/>
  <c r="AB166" i="3"/>
  <c r="AI61" i="3"/>
  <c r="AI17" i="3"/>
  <c r="S16" i="5"/>
  <c r="R64" i="3"/>
  <c r="R104" i="3"/>
  <c r="Z40" i="3"/>
  <c r="AA37" i="3"/>
  <c r="T32" i="3"/>
  <c r="AA18" i="3"/>
  <c r="S60" i="5"/>
  <c r="T60" i="5" s="1"/>
  <c r="AI11" i="3"/>
  <c r="AK10" i="3"/>
  <c r="AA83" i="3"/>
  <c r="Z27" i="3"/>
  <c r="AB27" i="3" s="1"/>
  <c r="Z148" i="3"/>
  <c r="AB148" i="3" s="1"/>
  <c r="Z161" i="3"/>
  <c r="AB161" i="3" s="1"/>
  <c r="AA93" i="3"/>
  <c r="AK165" i="3"/>
  <c r="AA33" i="3"/>
  <c r="AA55" i="3"/>
  <c r="H13" i="7"/>
  <c r="AA89" i="3"/>
  <c r="Z8" i="3"/>
  <c r="AK43" i="3"/>
  <c r="AK33" i="3"/>
  <c r="Z127" i="3"/>
  <c r="S111" i="3"/>
  <c r="Q49" i="3"/>
  <c r="P17" i="3"/>
  <c r="AK26" i="3"/>
  <c r="C3" i="7"/>
  <c r="Z121" i="3"/>
  <c r="Z145" i="3"/>
  <c r="R78" i="3"/>
  <c r="R86" i="3"/>
  <c r="R113" i="3"/>
  <c r="AK162" i="3"/>
  <c r="AK160" i="3"/>
  <c r="AK159" i="3"/>
  <c r="S158" i="5"/>
  <c r="AK158" i="3"/>
  <c r="AK153" i="3"/>
  <c r="AA52" i="3"/>
  <c r="AK95" i="3"/>
  <c r="AI60" i="3"/>
  <c r="S59" i="5"/>
  <c r="AK30" i="3"/>
  <c r="AK19" i="3"/>
  <c r="H4" i="7"/>
  <c r="H6" i="7"/>
  <c r="R45" i="3"/>
  <c r="Z51" i="3"/>
  <c r="Z71" i="3"/>
  <c r="Z108" i="3"/>
  <c r="AB108" i="3" s="1"/>
  <c r="Z131" i="3"/>
  <c r="Z157" i="3"/>
  <c r="R105" i="3"/>
  <c r="AK25" i="3"/>
  <c r="G6" i="7"/>
  <c r="G12" i="7"/>
  <c r="R76" i="3"/>
  <c r="Z15" i="3"/>
  <c r="Z52" i="3"/>
  <c r="Z70" i="3"/>
  <c r="Z88" i="3"/>
  <c r="Z118" i="3"/>
  <c r="R148" i="3"/>
  <c r="S161" i="3"/>
  <c r="AK150" i="3"/>
  <c r="AK149" i="3"/>
  <c r="AI147" i="3"/>
  <c r="Z18" i="3"/>
  <c r="AB71" i="3"/>
  <c r="Z87" i="3"/>
  <c r="AB87" i="3" s="1"/>
  <c r="AA50" i="3"/>
  <c r="AK139" i="3"/>
  <c r="Q14" i="3"/>
  <c r="Q10" i="3"/>
  <c r="T174" i="3"/>
  <c r="AA165" i="3"/>
  <c r="AA129" i="3"/>
  <c r="AI107" i="3"/>
  <c r="AA69" i="3"/>
  <c r="T48" i="3"/>
  <c r="T25" i="3"/>
  <c r="P54" i="3"/>
  <c r="Q32" i="3"/>
  <c r="D11" i="7"/>
  <c r="G8" i="7"/>
  <c r="R44" i="3"/>
  <c r="R63" i="3"/>
  <c r="Z12" i="3"/>
  <c r="Z42" i="3"/>
  <c r="Z67" i="3"/>
  <c r="Z100" i="3"/>
  <c r="Z115" i="3"/>
  <c r="Z158" i="3"/>
  <c r="S106" i="5"/>
  <c r="AK96" i="3"/>
  <c r="AK88" i="3"/>
  <c r="AK82" i="3"/>
  <c r="AK80" i="3"/>
  <c r="AK7" i="3"/>
  <c r="Z17" i="3"/>
  <c r="AB17" i="3" s="1"/>
  <c r="Z29" i="3"/>
  <c r="AB42" i="3"/>
  <c r="AB51" i="3"/>
  <c r="Z66" i="3"/>
  <c r="Z77" i="3"/>
  <c r="AB77" i="3" s="1"/>
  <c r="Z86" i="3"/>
  <c r="AB86" i="3" s="1"/>
  <c r="Z95" i="3"/>
  <c r="Z124" i="3"/>
  <c r="Z139" i="3"/>
  <c r="AB158" i="3"/>
  <c r="AA88" i="3"/>
  <c r="AA132" i="3"/>
  <c r="AK136" i="3"/>
  <c r="AK90" i="3"/>
  <c r="AK65" i="3"/>
  <c r="AK37" i="3"/>
  <c r="AK174" i="3"/>
  <c r="Z122" i="3"/>
  <c r="AB122" i="3" s="1"/>
  <c r="Z105" i="3"/>
  <c r="Z74" i="3"/>
  <c r="Z49" i="3"/>
  <c r="Z28" i="3"/>
  <c r="Z39" i="3"/>
  <c r="AB39" i="3" s="1"/>
  <c r="AA6" i="3"/>
  <c r="AK146" i="3"/>
  <c r="AK50" i="3"/>
  <c r="AK126" i="3"/>
  <c r="AK122" i="3"/>
  <c r="AK133" i="3"/>
  <c r="AK68" i="3"/>
  <c r="H7" i="7"/>
  <c r="AI159" i="3"/>
  <c r="Z50" i="3"/>
  <c r="AA110" i="3"/>
  <c r="Z101" i="3"/>
  <c r="AB101" i="3" s="1"/>
  <c r="S61" i="5"/>
  <c r="AI62" i="3"/>
  <c r="AK79" i="3"/>
  <c r="AK54" i="3"/>
  <c r="AK52" i="3"/>
  <c r="T37" i="3"/>
  <c r="T13" i="3"/>
  <c r="T11" i="3"/>
  <c r="AA9" i="3"/>
  <c r="R23" i="3"/>
  <c r="R25" i="3"/>
  <c r="C11" i="7"/>
  <c r="G7" i="7"/>
  <c r="C7" i="7"/>
  <c r="C13" i="7"/>
  <c r="S66" i="5"/>
  <c r="AI67" i="3"/>
  <c r="AL67" i="3" s="1"/>
  <c r="C66" i="6" s="1"/>
  <c r="S36" i="5"/>
  <c r="AI37" i="3"/>
  <c r="AK73" i="3"/>
  <c r="S10" i="5"/>
  <c r="AK11" i="3"/>
  <c r="AI6" i="3"/>
  <c r="S5" i="5"/>
  <c r="T5" i="5" s="1"/>
  <c r="AI5" i="3"/>
  <c r="S4" i="5"/>
  <c r="T4" i="5" s="1"/>
  <c r="Z54" i="3"/>
  <c r="C17" i="7"/>
  <c r="M17" i="7" s="1"/>
  <c r="Z82" i="3"/>
  <c r="AB82" i="3" s="1"/>
  <c r="Z16" i="3"/>
  <c r="AB16" i="3"/>
  <c r="Z36" i="3"/>
  <c r="Z63" i="3"/>
  <c r="AB63" i="3" s="1"/>
  <c r="Z68" i="3"/>
  <c r="Z75" i="3"/>
  <c r="AB75" i="3" s="1"/>
  <c r="Z110" i="3"/>
  <c r="AC110" i="3" s="1"/>
  <c r="N109" i="6" s="1"/>
  <c r="AB110" i="3"/>
  <c r="Z137" i="3"/>
  <c r="Z142" i="3"/>
  <c r="AB142" i="3" s="1"/>
  <c r="Z164" i="3"/>
  <c r="AB164" i="3" s="1"/>
  <c r="Z176" i="3"/>
  <c r="AA102" i="3"/>
  <c r="AA53" i="3"/>
  <c r="AI165" i="3"/>
  <c r="S164" i="5"/>
  <c r="Z22" i="3"/>
  <c r="AK48" i="3"/>
  <c r="AK118" i="3"/>
  <c r="AK108" i="3"/>
  <c r="AK100" i="3"/>
  <c r="AK99" i="3"/>
  <c r="AK89" i="3"/>
  <c r="AK85" i="3"/>
  <c r="AI79" i="3"/>
  <c r="AL79" i="3" s="1"/>
  <c r="C78" i="6" s="1"/>
  <c r="S78" i="5"/>
  <c r="T78" i="5" s="1"/>
  <c r="AK61" i="3"/>
  <c r="AK59" i="3"/>
  <c r="S50" i="5"/>
  <c r="S43" i="5"/>
  <c r="AI41" i="3"/>
  <c r="AL41" i="3" s="1"/>
  <c r="C40" i="6" s="1"/>
  <c r="S40" i="5"/>
  <c r="AK38" i="3"/>
  <c r="AK35" i="3"/>
  <c r="AK32" i="3"/>
  <c r="S30" i="5"/>
  <c r="T30" i="5" s="1"/>
  <c r="S25" i="5"/>
  <c r="AK23" i="3"/>
  <c r="AI22" i="3"/>
  <c r="S21" i="5"/>
  <c r="AK18" i="3"/>
  <c r="AK17" i="3"/>
  <c r="AK40" i="3"/>
  <c r="AK62" i="3"/>
  <c r="AK71" i="3"/>
  <c r="AK104" i="3"/>
  <c r="AK132" i="3"/>
  <c r="AK173" i="3"/>
  <c r="C8" i="7"/>
  <c r="C15" i="7"/>
  <c r="Z159" i="3"/>
  <c r="AB159" i="3" s="1"/>
  <c r="Z172" i="3"/>
  <c r="R99" i="3"/>
  <c r="R131" i="3"/>
  <c r="R163" i="3"/>
  <c r="S176" i="3"/>
  <c r="S106" i="3"/>
  <c r="S99" i="3"/>
  <c r="S103" i="3"/>
  <c r="AK8" i="3"/>
  <c r="AK12" i="3"/>
  <c r="AK34" i="3"/>
  <c r="AK42" i="3"/>
  <c r="AK56" i="3"/>
  <c r="AK66" i="3"/>
  <c r="AK69" i="3"/>
  <c r="AK92" i="3"/>
  <c r="AK117" i="3"/>
  <c r="AK121" i="3"/>
  <c r="AK127" i="3"/>
  <c r="AK145" i="3"/>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T177" i="3"/>
  <c r="T170" i="3"/>
  <c r="T158" i="3"/>
  <c r="T149" i="3"/>
  <c r="T96" i="3"/>
  <c r="T92" i="3"/>
  <c r="S73" i="5"/>
  <c r="AA66" i="3"/>
  <c r="T51" i="3"/>
  <c r="T45" i="3"/>
  <c r="T21" i="3"/>
  <c r="P65" i="3"/>
  <c r="Q56" i="3"/>
  <c r="D5" i="7"/>
  <c r="R38" i="3"/>
  <c r="Z173" i="3"/>
  <c r="AB173" i="3" s="1"/>
  <c r="R83" i="3"/>
  <c r="R70" i="3"/>
  <c r="R40" i="3"/>
  <c r="S90" i="3"/>
  <c r="S134" i="5"/>
  <c r="S132" i="5"/>
  <c r="S125" i="5"/>
  <c r="AI126" i="3"/>
  <c r="S119" i="5"/>
  <c r="T119" i="5" s="1"/>
  <c r="AI111" i="3"/>
  <c r="S101" i="5"/>
  <c r="AI102" i="3"/>
  <c r="AK86" i="3"/>
  <c r="S63" i="5"/>
  <c r="AK60" i="3"/>
  <c r="AI56" i="3"/>
  <c r="AL56" i="3" s="1"/>
  <c r="C55" i="6" s="1"/>
  <c r="AI7" i="3"/>
  <c r="S6" i="5"/>
  <c r="Z20" i="3"/>
  <c r="AB20" i="3" s="1"/>
  <c r="Z62" i="3"/>
  <c r="AB62" i="3" s="1"/>
  <c r="Z69" i="3"/>
  <c r="AB69" i="3" s="1"/>
  <c r="Z80" i="3"/>
  <c r="AB80" i="3"/>
  <c r="Z92" i="3"/>
  <c r="Z114" i="3"/>
  <c r="AB114" i="3"/>
  <c r="Z125" i="3"/>
  <c r="AB125" i="3"/>
  <c r="Z153" i="3"/>
  <c r="AB153" i="3" s="1"/>
  <c r="Z174" i="3"/>
  <c r="AA168" i="3"/>
  <c r="Z90" i="3"/>
  <c r="AB90" i="3" s="1"/>
  <c r="S168" i="5"/>
  <c r="AI169" i="3"/>
  <c r="AK76" i="3"/>
  <c r="AK58" i="3"/>
  <c r="AK177" i="3"/>
  <c r="Z14" i="3"/>
  <c r="AB14" i="3" s="1"/>
  <c r="Z25" i="3"/>
  <c r="AB25" i="3" s="1"/>
  <c r="AA4" i="3"/>
  <c r="AK151" i="3"/>
  <c r="Z73" i="3"/>
  <c r="AB73" i="3" s="1"/>
  <c r="Z89" i="3"/>
  <c r="Z129" i="3"/>
  <c r="AB129" i="3"/>
  <c r="Z59" i="3"/>
  <c r="S64" i="5"/>
  <c r="AI65" i="3"/>
  <c r="AK53" i="3"/>
  <c r="S42" i="5"/>
  <c r="S26" i="5"/>
  <c r="P72" i="3"/>
  <c r="S158" i="3"/>
  <c r="AI146" i="3"/>
  <c r="AB59" i="3"/>
  <c r="Z117" i="3"/>
  <c r="AB117" i="3" s="1"/>
  <c r="AA115" i="3"/>
  <c r="S54" i="5"/>
  <c r="T54" i="5" s="1"/>
  <c r="AI36" i="3"/>
  <c r="S14" i="5"/>
  <c r="T14" i="5" s="1"/>
  <c r="S154" i="5"/>
  <c r="AI155" i="3"/>
  <c r="AI137" i="3"/>
  <c r="AI81" i="3"/>
  <c r="S68" i="5"/>
  <c r="AI69" i="3"/>
  <c r="AK75" i="3"/>
  <c r="AK47" i="3"/>
  <c r="T34" i="3"/>
  <c r="AA15" i="3"/>
  <c r="T9" i="3"/>
  <c r="AA7" i="3"/>
  <c r="D6" i="7"/>
  <c r="R6" i="3"/>
  <c r="R7" i="3"/>
  <c r="R8" i="3"/>
  <c r="R11" i="3"/>
  <c r="R12" i="3"/>
  <c r="R13" i="3"/>
  <c r="R14" i="3"/>
  <c r="R19" i="3"/>
  <c r="R20" i="3"/>
  <c r="R22" i="3"/>
  <c r="R24" i="3"/>
  <c r="R27" i="3"/>
  <c r="S142" i="5"/>
  <c r="T142" i="5" s="1"/>
  <c r="AK70" i="3"/>
  <c r="AK83" i="3"/>
  <c r="AI12" i="3"/>
  <c r="Z119" i="3"/>
  <c r="AB119" i="3" s="1"/>
  <c r="Z170" i="3"/>
  <c r="AB170" i="3"/>
  <c r="AA174" i="3"/>
  <c r="AK176" i="3"/>
  <c r="S173" i="5"/>
  <c r="AI174" i="3"/>
  <c r="S171" i="5"/>
  <c r="T171" i="5" s="1"/>
  <c r="T67" i="3"/>
  <c r="T55" i="3"/>
  <c r="Z72" i="3"/>
  <c r="AB72" i="3" s="1"/>
  <c r="Z155" i="3"/>
  <c r="AB155" i="3" s="1"/>
  <c r="S144" i="5"/>
  <c r="Z175" i="3"/>
  <c r="AB175" i="3" s="1"/>
  <c r="Z64" i="3"/>
  <c r="S148" i="3"/>
  <c r="AK167" i="3"/>
  <c r="P18" i="3"/>
  <c r="P10" i="3"/>
  <c r="Q7" i="3"/>
  <c r="AI177" i="3"/>
  <c r="AL177" i="3" s="1"/>
  <c r="C176" i="6" s="1"/>
  <c r="T175" i="3"/>
  <c r="T173" i="3"/>
  <c r="T171" i="3"/>
  <c r="T169" i="3"/>
  <c r="T167" i="3"/>
  <c r="AA161" i="3"/>
  <c r="T153" i="3"/>
  <c r="AI151" i="3"/>
  <c r="AA145" i="3"/>
  <c r="T144" i="3"/>
  <c r="AA143" i="3"/>
  <c r="T139" i="3"/>
  <c r="AI136" i="3"/>
  <c r="AA127" i="3"/>
  <c r="AI114" i="3"/>
  <c r="T109" i="3"/>
  <c r="AI54" i="3"/>
  <c r="T52" i="3"/>
  <c r="T49" i="3"/>
  <c r="AA44" i="3"/>
  <c r="T41" i="3"/>
  <c r="AA38" i="3"/>
  <c r="AI35" i="3"/>
  <c r="T31" i="3"/>
  <c r="AA28" i="3"/>
  <c r="AA27" i="3"/>
  <c r="T24" i="3"/>
  <c r="T23" i="3"/>
  <c r="T22" i="3"/>
  <c r="AA21" i="3"/>
  <c r="AI19" i="3"/>
  <c r="AA14" i="3"/>
  <c r="AA13" i="3"/>
  <c r="AA8" i="3"/>
  <c r="T5" i="3"/>
  <c r="T4" i="3"/>
  <c r="D4" i="7"/>
  <c r="AK164" i="3"/>
  <c r="AK144" i="3"/>
  <c r="AK20" i="3"/>
  <c r="C9" i="7"/>
  <c r="R17" i="3"/>
  <c r="S174" i="3"/>
  <c r="S119" i="3"/>
  <c r="AK135" i="3"/>
  <c r="S133" i="5"/>
  <c r="AK129" i="3"/>
  <c r="AK128" i="3"/>
  <c r="S127" i="5"/>
  <c r="T127" i="5" s="1"/>
  <c r="AI127" i="3"/>
  <c r="AK125" i="3"/>
  <c r="S120" i="5"/>
  <c r="T120" i="5" s="1"/>
  <c r="AK120" i="3"/>
  <c r="AK119" i="3"/>
  <c r="S118" i="5"/>
  <c r="S116" i="5"/>
  <c r="AI117" i="3"/>
  <c r="AI115" i="3"/>
  <c r="S114" i="5"/>
  <c r="T114" i="5" s="1"/>
  <c r="AK115" i="3"/>
  <c r="AK113" i="3"/>
  <c r="AI110" i="3"/>
  <c r="S109" i="5"/>
  <c r="T109" i="5" s="1"/>
  <c r="AK106" i="3"/>
  <c r="AK103" i="3"/>
  <c r="S100" i="5"/>
  <c r="T100" i="5" s="1"/>
  <c r="AI100" i="3"/>
  <c r="AK97" i="3"/>
  <c r="S95" i="5"/>
  <c r="T95" i="5" s="1"/>
  <c r="AK94" i="3"/>
  <c r="AI92" i="3"/>
  <c r="AK91" i="3"/>
  <c r="AI88" i="3"/>
  <c r="S87" i="5"/>
  <c r="AK87" i="3"/>
  <c r="AI86" i="3"/>
  <c r="S85" i="5"/>
  <c r="T85" i="5" s="1"/>
  <c r="AK84" i="3"/>
  <c r="AK78" i="3"/>
  <c r="AK74" i="3"/>
  <c r="AK57" i="3"/>
  <c r="AK55" i="3"/>
  <c r="S13" i="5"/>
  <c r="AI13" i="3"/>
  <c r="Z81" i="3"/>
  <c r="AB81" i="3" s="1"/>
  <c r="Z7" i="3"/>
  <c r="AC7" i="3" s="1"/>
  <c r="N6" i="6" s="1"/>
  <c r="AB7" i="3"/>
  <c r="Z13" i="3"/>
  <c r="AB13" i="3" s="1"/>
  <c r="Z34" i="3"/>
  <c r="AB34" i="3" s="1"/>
  <c r="Z37" i="3"/>
  <c r="AB37" i="3" s="1"/>
  <c r="Z48" i="3"/>
  <c r="Z53" i="3"/>
  <c r="AB53" i="3" s="1"/>
  <c r="Z60" i="3"/>
  <c r="AB60" i="3" s="1"/>
  <c r="Z76" i="3"/>
  <c r="AB76" i="3" s="1"/>
  <c r="Z79" i="3"/>
  <c r="AB79" i="3"/>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AA176" i="3"/>
  <c r="AA105" i="3"/>
  <c r="AA96" i="3"/>
  <c r="AA114" i="3"/>
  <c r="AA100" i="3"/>
  <c r="Z97" i="3"/>
  <c r="AB97" i="3" s="1"/>
  <c r="Z93" i="3"/>
  <c r="AB93" i="3" s="1"/>
  <c r="AA90" i="3"/>
  <c r="AA48" i="3"/>
  <c r="AA45" i="3"/>
  <c r="AI171" i="3"/>
  <c r="S170" i="5"/>
  <c r="S166" i="5"/>
  <c r="T166" i="5"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c r="Z78" i="3"/>
  <c r="AB78" i="3" s="1"/>
  <c r="AB94" i="3"/>
  <c r="Z132" i="3"/>
  <c r="AB132" i="3"/>
  <c r="S77" i="5"/>
  <c r="T77" i="5" s="1"/>
  <c r="AI76" i="3"/>
  <c r="S75" i="5"/>
  <c r="T75" i="5" s="1"/>
  <c r="S72" i="5"/>
  <c r="S62" i="5"/>
  <c r="AI59" i="3"/>
  <c r="S52" i="5"/>
  <c r="T52" i="5" s="1"/>
  <c r="AK51" i="3"/>
  <c r="S49" i="5"/>
  <c r="T49" i="5" s="1"/>
  <c r="AK49" i="3"/>
  <c r="AI45" i="3"/>
  <c r="AK44" i="3"/>
  <c r="S38" i="5"/>
  <c r="T38" i="5" s="1"/>
  <c r="AI30" i="3"/>
  <c r="S125" i="3"/>
  <c r="S82" i="3"/>
  <c r="S46" i="3"/>
  <c r="S33" i="3"/>
  <c r="P176" i="3"/>
  <c r="P173" i="3"/>
  <c r="Q139" i="3"/>
  <c r="P133" i="3"/>
  <c r="Q118" i="3"/>
  <c r="P90" i="3"/>
  <c r="P70" i="3"/>
  <c r="P52" i="3"/>
  <c r="P34" i="3"/>
  <c r="P25" i="3"/>
  <c r="R62" i="3"/>
  <c r="S163" i="3"/>
  <c r="S117" i="3"/>
  <c r="AI162" i="3"/>
  <c r="S161" i="5"/>
  <c r="T161" i="5" s="1"/>
  <c r="S159" i="5"/>
  <c r="T159" i="5" s="1"/>
  <c r="S155" i="5"/>
  <c r="S153" i="5"/>
  <c r="T153" i="5" s="1"/>
  <c r="S148" i="5"/>
  <c r="T148" i="5" s="1"/>
  <c r="S147" i="5"/>
  <c r="AI148" i="3"/>
  <c r="S145" i="5"/>
  <c r="T145" i="5" s="1"/>
  <c r="AI144" i="3"/>
  <c r="S143" i="5"/>
  <c r="AI135" i="3"/>
  <c r="S129" i="5"/>
  <c r="AI130" i="3"/>
  <c r="AI120" i="3"/>
  <c r="S110" i="5"/>
  <c r="T110" i="5" s="1"/>
  <c r="S104" i="5"/>
  <c r="T104" i="5" s="1"/>
  <c r="AI101" i="3"/>
  <c r="AI96" i="3"/>
  <c r="AI75" i="3"/>
  <c r="S74" i="5"/>
  <c r="AI70" i="3"/>
  <c r="AI63" i="3"/>
  <c r="AI57" i="3"/>
  <c r="AI55" i="3"/>
  <c r="AI47" i="3"/>
  <c r="AI46" i="3"/>
  <c r="AI32" i="3"/>
  <c r="AI18" i="3"/>
  <c r="AI16" i="3"/>
  <c r="S15" i="5"/>
  <c r="T15" i="5" s="1"/>
  <c r="R122" i="3"/>
  <c r="AI156" i="3"/>
  <c r="AI149" i="3"/>
  <c r="AI128" i="3"/>
  <c r="AI105" i="3"/>
  <c r="S80" i="5"/>
  <c r="S44" i="5"/>
  <c r="S12" i="5"/>
  <c r="AA111" i="3"/>
  <c r="AA81" i="3"/>
  <c r="Z21" i="3"/>
  <c r="AB21" i="3" s="1"/>
  <c r="Z38" i="3"/>
  <c r="AB38" i="3" s="1"/>
  <c r="Z56" i="3"/>
  <c r="AB56" i="3" s="1"/>
  <c r="Z65" i="3"/>
  <c r="AB65" i="3"/>
  <c r="AK114" i="3"/>
  <c r="AK105" i="3"/>
  <c r="AL105" i="3" s="1"/>
  <c r="C104" i="6" s="1"/>
  <c r="AA94" i="3"/>
  <c r="R36" i="3"/>
  <c r="Q63" i="3"/>
  <c r="R127" i="3"/>
  <c r="S122" i="3"/>
  <c r="AA98" i="3"/>
  <c r="AK102" i="3"/>
  <c r="AK101" i="3"/>
  <c r="AL101" i="3" s="1"/>
  <c r="C100" i="6" s="1"/>
  <c r="AK98" i="3"/>
  <c r="AK81" i="3"/>
  <c r="AK72" i="3"/>
  <c r="AK67" i="3"/>
  <c r="AK46" i="3"/>
  <c r="AK27" i="3"/>
  <c r="AK24" i="3"/>
  <c r="Z45" i="3"/>
  <c r="AB45" i="3" s="1"/>
  <c r="AK21" i="3"/>
  <c r="AK9" i="3"/>
  <c r="Z162" i="3"/>
  <c r="Z144" i="3"/>
  <c r="AB144" i="3" s="1"/>
  <c r="Z109" i="3"/>
  <c r="AB109" i="3" s="1"/>
  <c r="Z98" i="3"/>
  <c r="Z96" i="3"/>
  <c r="Z6" i="3"/>
  <c r="Z31" i="3"/>
  <c r="Z47" i="3"/>
  <c r="AB47" i="3" s="1"/>
  <c r="Z24" i="3"/>
  <c r="AB24" i="3" s="1"/>
  <c r="Z11" i="3"/>
  <c r="AB6" i="3"/>
  <c r="AA5" i="3"/>
  <c r="AK5" i="3"/>
  <c r="AI4" i="3"/>
  <c r="Z146" i="3"/>
  <c r="AB146" i="3" s="1"/>
  <c r="AK172" i="3"/>
  <c r="AK143" i="3"/>
  <c r="AK141" i="3"/>
  <c r="AK138" i="3"/>
  <c r="AK107" i="3"/>
  <c r="AK111" i="3"/>
  <c r="AK112" i="3"/>
  <c r="AK13" i="3"/>
  <c r="C5" i="7"/>
  <c r="AA84" i="3"/>
  <c r="AA118" i="3"/>
  <c r="Z91" i="3"/>
  <c r="AB91" i="3" s="1"/>
  <c r="AA61" i="3"/>
  <c r="AK77" i="3"/>
  <c r="AI74" i="3"/>
  <c r="S69" i="5"/>
  <c r="T69" i="5" s="1"/>
  <c r="AI68" i="3"/>
  <c r="S67" i="5"/>
  <c r="T67" i="5" s="1"/>
  <c r="AK64" i="3"/>
  <c r="S56" i="5"/>
  <c r="AI51" i="3"/>
  <c r="AL51" i="3" s="1"/>
  <c r="C50" i="6" s="1"/>
  <c r="AI50" i="3"/>
  <c r="S45" i="5"/>
  <c r="T45" i="5" s="1"/>
  <c r="AI44" i="3"/>
  <c r="AI43" i="3"/>
  <c r="AI39" i="3"/>
  <c r="S35" i="5"/>
  <c r="T35" i="5" s="1"/>
  <c r="S34" i="5"/>
  <c r="S31" i="5"/>
  <c r="T31" i="5" s="1"/>
  <c r="AK31" i="3"/>
  <c r="S29" i="5"/>
  <c r="AI26" i="3"/>
  <c r="S23" i="5"/>
  <c r="AI21" i="3"/>
  <c r="S18" i="5"/>
  <c r="T18" i="5" s="1"/>
  <c r="AI14" i="3"/>
  <c r="R130" i="3"/>
  <c r="S57" i="3"/>
  <c r="S35" i="3"/>
  <c r="Q157" i="3"/>
  <c r="P175" i="3"/>
  <c r="Q170" i="3"/>
  <c r="P169" i="3"/>
  <c r="Q159" i="3"/>
  <c r="P155" i="3"/>
  <c r="P153" i="3"/>
  <c r="Q148" i="3"/>
  <c r="Q136" i="3"/>
  <c r="Q128" i="3"/>
  <c r="Q86" i="3"/>
  <c r="Q76" i="3"/>
  <c r="Q64" i="3"/>
  <c r="Q59" i="3"/>
  <c r="Q54" i="3"/>
  <c r="Q29" i="3"/>
  <c r="P20" i="3"/>
  <c r="R123" i="3"/>
  <c r="R160" i="3"/>
  <c r="R161" i="3"/>
  <c r="S165" i="3"/>
  <c r="S141" i="3"/>
  <c r="AI163" i="3"/>
  <c r="AI160" i="3"/>
  <c r="AI154" i="3"/>
  <c r="S150" i="5"/>
  <c r="T150" i="5" s="1"/>
  <c r="AA99" i="3"/>
  <c r="AI172" i="3"/>
  <c r="AI143" i="3"/>
  <c r="AI138" i="3"/>
  <c r="S137" i="5"/>
  <c r="T137" i="5" s="1"/>
  <c r="S135" i="5"/>
  <c r="T135" i="5" s="1"/>
  <c r="AI134" i="3"/>
  <c r="AI133" i="3"/>
  <c r="S126" i="5"/>
  <c r="AI121" i="3"/>
  <c r="AI119" i="3"/>
  <c r="AI106" i="3"/>
  <c r="S105" i="5"/>
  <c r="T105" i="5" s="1"/>
  <c r="S99" i="5"/>
  <c r="T99" i="5" s="1"/>
  <c r="AI95" i="3"/>
  <c r="S94" i="5"/>
  <c r="AI78" i="3"/>
  <c r="AI73" i="3"/>
  <c r="AI66" i="3"/>
  <c r="S65" i="5"/>
  <c r="T65" i="5" s="1"/>
  <c r="AI64" i="3"/>
  <c r="S58" i="5"/>
  <c r="S55" i="5"/>
  <c r="AI53" i="3"/>
  <c r="S46" i="5"/>
  <c r="S20" i="5"/>
  <c r="T20" i="5" s="1"/>
  <c r="R34" i="3"/>
  <c r="R95" i="3"/>
  <c r="R151" i="3"/>
  <c r="R15" i="3"/>
  <c r="S98" i="3"/>
  <c r="AA87" i="3"/>
  <c r="AI167" i="3"/>
  <c r="AI139" i="3"/>
  <c r="S138" i="5"/>
  <c r="T138" i="5" s="1"/>
  <c r="P57" i="3"/>
  <c r="P15" i="3"/>
  <c r="AA175" i="3"/>
  <c r="G13" i="7"/>
  <c r="Z33" i="3"/>
  <c r="Z5" i="3"/>
  <c r="AB5" i="3" s="1"/>
  <c r="AB33" i="3"/>
  <c r="AI77" i="3"/>
  <c r="S76" i="5"/>
  <c r="T76" i="5" s="1"/>
  <c r="Q146" i="3"/>
  <c r="Q78" i="3"/>
  <c r="R141" i="3"/>
  <c r="Z19" i="3"/>
  <c r="AB19" i="3" s="1"/>
  <c r="Z168" i="3"/>
  <c r="AA86" i="3"/>
  <c r="S176" i="5"/>
  <c r="T176" i="5" s="1"/>
  <c r="Z171" i="3"/>
  <c r="AB171" i="3" s="1"/>
  <c r="S3" i="5"/>
  <c r="AA170" i="3"/>
  <c r="S53" i="5"/>
  <c r="T53" i="5" s="1"/>
  <c r="Q143" i="3"/>
  <c r="Q67" i="3"/>
  <c r="Q31" i="3"/>
  <c r="Z57" i="3"/>
  <c r="AB57" i="3" s="1"/>
  <c r="H11" i="7"/>
  <c r="AI150" i="3"/>
  <c r="R57" i="3"/>
  <c r="P53" i="3"/>
  <c r="G9" i="7"/>
  <c r="AA57" i="3"/>
  <c r="AC57" i="3" s="1"/>
  <c r="N56" i="6" s="1"/>
  <c r="AK41" i="3"/>
  <c r="Z43" i="3"/>
  <c r="AB43" i="3" s="1"/>
  <c r="R134" i="3"/>
  <c r="R149" i="3"/>
  <c r="P139" i="3"/>
  <c r="P111" i="3"/>
  <c r="P31" i="3"/>
  <c r="P6" i="3"/>
  <c r="AA151" i="3"/>
  <c r="T82" i="3"/>
  <c r="AI93" i="3"/>
  <c r="T71" i="3"/>
  <c r="AA68" i="3"/>
  <c r="G17" i="7"/>
  <c r="AI141" i="3"/>
  <c r="AL141" i="3" s="1"/>
  <c r="C140" i="6" s="1"/>
  <c r="S140" i="5"/>
  <c r="S136" i="5"/>
  <c r="H8" i="7"/>
  <c r="AK161" i="3"/>
  <c r="AA103" i="3"/>
  <c r="T62" i="5"/>
  <c r="Q74" i="3"/>
  <c r="Q55" i="3"/>
  <c r="P24" i="3"/>
  <c r="AB96" i="3"/>
  <c r="AA101" i="3"/>
  <c r="AK36" i="3"/>
  <c r="S17" i="5"/>
  <c r="S149" i="3"/>
  <c r="AK63" i="3"/>
  <c r="R121" i="3"/>
  <c r="R147" i="3"/>
  <c r="S167" i="3"/>
  <c r="S92" i="3"/>
  <c r="AI175" i="3"/>
  <c r="AI131" i="3"/>
  <c r="S113" i="5"/>
  <c r="T113" i="5" s="1"/>
  <c r="T72" i="5"/>
  <c r="AI52" i="3"/>
  <c r="AI31" i="3"/>
  <c r="AI27" i="3"/>
  <c r="AL27" i="3" s="1"/>
  <c r="C26" i="6" s="1"/>
  <c r="AI15" i="3"/>
  <c r="AL63" i="3"/>
  <c r="C62" i="6" s="1"/>
  <c r="H12" i="7"/>
  <c r="Q126" i="3"/>
  <c r="P120" i="3"/>
  <c r="Q85" i="3"/>
  <c r="Q83" i="3"/>
  <c r="Q41" i="3"/>
  <c r="H16" i="7"/>
  <c r="D14" i="7"/>
  <c r="R33" i="3"/>
  <c r="R37" i="3"/>
  <c r="R74" i="3"/>
  <c r="R46" i="3"/>
  <c r="R87" i="3"/>
  <c r="Q81" i="3"/>
  <c r="P61" i="3"/>
  <c r="P58" i="3"/>
  <c r="P46" i="3"/>
  <c r="Q43" i="3"/>
  <c r="P33" i="3"/>
  <c r="P26" i="3"/>
  <c r="P21" i="3"/>
  <c r="Q18" i="3"/>
  <c r="R135" i="3"/>
  <c r="R5" i="3"/>
  <c r="S162" i="5"/>
  <c r="S146" i="5"/>
  <c r="S91" i="5"/>
  <c r="T91" i="5" s="1"/>
  <c r="S51" i="5"/>
  <c r="T51" i="5" s="1"/>
  <c r="AI48" i="3"/>
  <c r="S47" i="5"/>
  <c r="T47" i="5" s="1"/>
  <c r="T46" i="5"/>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T146" i="3"/>
  <c r="T134" i="3"/>
  <c r="AA134" i="3"/>
  <c r="T132" i="3"/>
  <c r="T131" i="3"/>
  <c r="AA130" i="3"/>
  <c r="T125" i="3"/>
  <c r="T107" i="3"/>
  <c r="T99" i="3"/>
  <c r="T94" i="3"/>
  <c r="T93" i="3"/>
  <c r="T90" i="3"/>
  <c r="T65" i="3"/>
  <c r="AA43" i="3"/>
  <c r="T40" i="3"/>
  <c r="T30" i="3"/>
  <c r="AA19" i="3"/>
  <c r="T18" i="3"/>
  <c r="T14" i="3"/>
  <c r="P66" i="3"/>
  <c r="Q51" i="3"/>
  <c r="Q50" i="3"/>
  <c r="Q24" i="3"/>
  <c r="P22" i="3"/>
  <c r="Q16" i="3"/>
  <c r="Q15" i="3"/>
  <c r="Q13" i="3"/>
  <c r="Q11" i="3"/>
  <c r="Q6" i="3"/>
  <c r="P4" i="3"/>
  <c r="T159" i="3"/>
  <c r="T157" i="3"/>
  <c r="AA157" i="3"/>
  <c r="T156" i="3"/>
  <c r="T155" i="3"/>
  <c r="T152" i="3"/>
  <c r="AA152" i="3"/>
  <c r="T151" i="3"/>
  <c r="T150" i="3"/>
  <c r="T148" i="3"/>
  <c r="T147" i="3"/>
  <c r="AA141" i="3"/>
  <c r="T135" i="3"/>
  <c r="AA128" i="3"/>
  <c r="AA124" i="3"/>
  <c r="AA121" i="3"/>
  <c r="AA107" i="3"/>
  <c r="T106" i="3"/>
  <c r="T100" i="3"/>
  <c r="T91" i="3"/>
  <c r="T87" i="3"/>
  <c r="T85" i="3"/>
  <c r="T81" i="3"/>
  <c r="T80" i="3"/>
  <c r="AA74" i="3"/>
  <c r="AA73" i="3"/>
  <c r="T72" i="3"/>
  <c r="T66" i="3"/>
  <c r="AA65" i="3"/>
  <c r="T63" i="3"/>
  <c r="AA62" i="3"/>
  <c r="T61" i="3"/>
  <c r="T60" i="3"/>
  <c r="T56" i="3"/>
  <c r="T50" i="3"/>
  <c r="T47" i="3"/>
  <c r="T46" i="3"/>
  <c r="T36" i="3"/>
  <c r="AA36" i="3"/>
  <c r="T33" i="3"/>
  <c r="T29" i="3"/>
  <c r="AA29" i="3"/>
  <c r="T27" i="3"/>
  <c r="T12" i="3"/>
  <c r="AA12" i="3"/>
  <c r="T7" i="3"/>
  <c r="T6" i="3"/>
  <c r="R32" i="3"/>
  <c r="D12" i="7"/>
  <c r="D8" i="7"/>
  <c r="D7" i="7"/>
  <c r="D3" i="7"/>
  <c r="R51" i="3"/>
  <c r="R52" i="3"/>
  <c r="R129" i="3"/>
  <c r="S138" i="3"/>
  <c r="AI168" i="3"/>
  <c r="AI145" i="3"/>
  <c r="AL145" i="3" s="1"/>
  <c r="C144" i="6" s="1"/>
  <c r="Q75" i="3"/>
  <c r="Q62" i="3"/>
  <c r="P27" i="3"/>
  <c r="AA85" i="3"/>
  <c r="AA155" i="3"/>
  <c r="R98" i="3"/>
  <c r="AI103" i="3"/>
  <c r="S102" i="5"/>
  <c r="T102" i="5" s="1"/>
  <c r="S92" i="5"/>
  <c r="T92" i="5" s="1"/>
  <c r="S7" i="5"/>
  <c r="T7" i="5" s="1"/>
  <c r="AI8" i="3"/>
  <c r="AA39" i="3"/>
  <c r="AA156" i="3"/>
  <c r="AA92" i="3"/>
  <c r="AA97" i="3"/>
  <c r="AA58" i="3"/>
  <c r="AA51" i="3"/>
  <c r="S174" i="5"/>
  <c r="T174" i="5" s="1"/>
  <c r="Z136" i="3"/>
  <c r="AC5" i="3"/>
  <c r="N4" i="6" s="1"/>
  <c r="Z154" i="3"/>
  <c r="AK170" i="3"/>
  <c r="AA177" i="3"/>
  <c r="Q22" i="3"/>
  <c r="T74" i="5"/>
  <c r="T23" i="5"/>
  <c r="S11" i="5"/>
  <c r="AA171" i="3"/>
  <c r="AC171" i="3" s="1"/>
  <c r="N170" i="6" s="1"/>
  <c r="AA56" i="3"/>
  <c r="AC56" i="3" s="1"/>
  <c r="N55" i="6" s="1"/>
  <c r="Z156" i="3"/>
  <c r="Z177" i="3"/>
  <c r="H5" i="7"/>
  <c r="T143" i="5"/>
  <c r="G14" i="7"/>
  <c r="AI158" i="3"/>
  <c r="S157" i="5"/>
  <c r="T157" i="5" s="1"/>
  <c r="AK156" i="3"/>
  <c r="AL156" i="3" s="1"/>
  <c r="C155" i="6" s="1"/>
  <c r="AK152" i="3"/>
  <c r="S149" i="5"/>
  <c r="T149" i="5" s="1"/>
  <c r="AA59" i="3"/>
  <c r="T12" i="5"/>
  <c r="P74" i="3"/>
  <c r="Q65" i="3"/>
  <c r="P28" i="3"/>
  <c r="C10" i="7"/>
  <c r="AA117" i="3"/>
  <c r="S72" i="3"/>
  <c r="S126" i="3"/>
  <c r="S105" i="3"/>
  <c r="S68" i="3"/>
  <c r="S36" i="3"/>
  <c r="P170" i="3"/>
  <c r="Q168" i="3"/>
  <c r="Q152" i="3"/>
  <c r="P136" i="3"/>
  <c r="P110" i="3"/>
  <c r="P35" i="3"/>
  <c r="Q17" i="3"/>
  <c r="AA149" i="3"/>
  <c r="AA122" i="3"/>
  <c r="T77" i="3"/>
  <c r="AA76" i="3"/>
  <c r="AA23" i="3"/>
  <c r="AA16" i="3"/>
  <c r="P36" i="3"/>
  <c r="T164" i="3"/>
  <c r="AA164" i="3"/>
  <c r="T133" i="3"/>
  <c r="T89" i="3"/>
  <c r="T83" i="3"/>
  <c r="T76" i="3"/>
  <c r="T74" i="3"/>
  <c r="T64" i="3"/>
  <c r="T54" i="3"/>
  <c r="G5" i="7"/>
  <c r="AA173" i="3"/>
  <c r="P47" i="3"/>
  <c r="G15" i="7"/>
  <c r="H14" i="7"/>
  <c r="Z111" i="3"/>
  <c r="T155" i="5"/>
  <c r="R119" i="3"/>
  <c r="G10" i="7"/>
  <c r="S134" i="3"/>
  <c r="S128" i="3"/>
  <c r="R55" i="3"/>
  <c r="R125" i="3"/>
  <c r="Q82" i="3"/>
  <c r="Q79" i="3"/>
  <c r="Q71" i="3"/>
  <c r="P51" i="3"/>
  <c r="P40" i="3"/>
  <c r="Q30" i="3"/>
  <c r="P14" i="3"/>
  <c r="R71" i="3"/>
  <c r="R53" i="3"/>
  <c r="R97" i="3"/>
  <c r="AA91" i="3"/>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T176" i="3"/>
  <c r="T172" i="3"/>
  <c r="T163" i="3"/>
  <c r="AA148" i="3"/>
  <c r="T143" i="3"/>
  <c r="AA137" i="3"/>
  <c r="T136" i="3"/>
  <c r="AA133" i="3"/>
  <c r="AA126" i="3"/>
  <c r="T116" i="3"/>
  <c r="T113" i="3"/>
  <c r="AA109" i="3"/>
  <c r="AC109" i="3" s="1"/>
  <c r="N108" i="6" s="1"/>
  <c r="T104" i="3"/>
  <c r="T88" i="3"/>
  <c r="T84" i="3"/>
  <c r="T79" i="3"/>
  <c r="T78" i="3"/>
  <c r="T73" i="3"/>
  <c r="AA72" i="3"/>
  <c r="T70" i="3"/>
  <c r="AA70" i="3"/>
  <c r="T68" i="3"/>
  <c r="AA67" i="3"/>
  <c r="T58" i="3"/>
  <c r="T53" i="3"/>
  <c r="T44" i="3"/>
  <c r="AA42" i="3"/>
  <c r="T28" i="3"/>
  <c r="T26" i="3"/>
  <c r="AA26" i="3"/>
  <c r="AA20" i="3"/>
  <c r="Q58" i="3"/>
  <c r="Q46" i="3"/>
  <c r="Q44" i="3"/>
  <c r="P42" i="3"/>
  <c r="Q34" i="3"/>
  <c r="P29" i="3"/>
  <c r="Q19" i="3"/>
  <c r="Q12" i="3"/>
  <c r="P5" i="3"/>
  <c r="T160" i="3"/>
  <c r="AA153" i="3"/>
  <c r="T130" i="3"/>
  <c r="T126" i="3"/>
  <c r="T122" i="3"/>
  <c r="T120" i="3"/>
  <c r="T117" i="3"/>
  <c r="T115" i="3"/>
  <c r="AA11" i="3"/>
  <c r="AA10" i="3"/>
  <c r="G16" i="7"/>
  <c r="H10" i="7"/>
  <c r="Q176" i="3"/>
  <c r="P114" i="3"/>
  <c r="P91" i="3"/>
  <c r="P82" i="3"/>
  <c r="AA162" i="3"/>
  <c r="P9" i="3"/>
  <c r="AA125" i="3"/>
  <c r="AC125" i="3" s="1"/>
  <c r="N124" i="6" s="1"/>
  <c r="T8" i="3"/>
  <c r="H15" i="7"/>
  <c r="R93" i="3"/>
  <c r="G3" i="7"/>
  <c r="H9" i="7"/>
  <c r="R109" i="3"/>
  <c r="S124" i="3"/>
  <c r="S112" i="3"/>
  <c r="S45" i="3"/>
  <c r="Q175" i="3"/>
  <c r="P171" i="3"/>
  <c r="Q150" i="3"/>
  <c r="Q134" i="3"/>
  <c r="P127" i="3"/>
  <c r="Q114" i="3"/>
  <c r="Q112" i="3"/>
  <c r="Q108" i="3"/>
  <c r="P105" i="3"/>
  <c r="P103" i="3"/>
  <c r="Q101" i="3"/>
  <c r="P94" i="3"/>
  <c r="P85" i="3"/>
  <c r="P75" i="3"/>
  <c r="P63" i="3"/>
  <c r="Q57" i="3"/>
  <c r="P38" i="3"/>
  <c r="P13" i="3"/>
  <c r="P11" i="3"/>
  <c r="T129" i="3"/>
  <c r="AA123" i="3"/>
  <c r="T75" i="3"/>
  <c r="AA75" i="3"/>
  <c r="T62" i="3"/>
  <c r="AA35" i="3"/>
  <c r="P68" i="3"/>
  <c r="P48" i="3"/>
  <c r="T101" i="3"/>
  <c r="T97" i="3"/>
  <c r="P167" i="3"/>
  <c r="P164" i="3"/>
  <c r="P162" i="3"/>
  <c r="P161" i="3"/>
  <c r="P125" i="3"/>
  <c r="P122" i="3"/>
  <c r="R35" i="3"/>
  <c r="R66" i="3"/>
  <c r="R82" i="3"/>
  <c r="R89" i="3"/>
  <c r="AA167" i="3"/>
  <c r="AA77" i="3"/>
  <c r="AA41" i="3"/>
  <c r="AA34" i="3"/>
  <c r="AA31" i="3"/>
  <c r="AA25" i="3"/>
  <c r="P73" i="3"/>
  <c r="P60" i="3"/>
  <c r="Q40" i="3"/>
  <c r="D10" i="7"/>
  <c r="AA54" i="3"/>
  <c r="AA119" i="3"/>
  <c r="AA172" i="3"/>
  <c r="AA104" i="3"/>
  <c r="AA113" i="3"/>
  <c r="P156" i="3"/>
  <c r="P89" i="3"/>
  <c r="P45" i="3"/>
  <c r="R49" i="3"/>
  <c r="S127" i="3"/>
  <c r="R88" i="3"/>
  <c r="AA30" i="3"/>
  <c r="T19" i="3"/>
  <c r="T15" i="3"/>
  <c r="S123" i="3"/>
  <c r="AA116" i="3"/>
  <c r="C6" i="7"/>
  <c r="C4" i="7"/>
  <c r="AA82" i="3"/>
  <c r="AA80" i="3"/>
  <c r="AA106" i="3"/>
  <c r="AA112" i="3"/>
  <c r="AA46" i="3"/>
  <c r="P39" i="3"/>
  <c r="AA79" i="3"/>
  <c r="T69" i="3"/>
  <c r="AA64" i="3"/>
  <c r="AA60" i="3"/>
  <c r="R128" i="3"/>
  <c r="R77" i="3"/>
  <c r="Q84" i="3"/>
  <c r="T166" i="3"/>
  <c r="T141" i="3"/>
  <c r="T138" i="3"/>
  <c r="AA136" i="3"/>
  <c r="T57" i="3"/>
  <c r="AA22" i="3"/>
  <c r="R60" i="3"/>
  <c r="R73" i="3"/>
  <c r="S150" i="3"/>
  <c r="S133" i="3"/>
  <c r="AI24" i="3"/>
  <c r="R30" i="3"/>
  <c r="T16" i="3"/>
  <c r="T10" i="3"/>
  <c r="D9" i="7"/>
  <c r="R26" i="3"/>
  <c r="R116" i="3"/>
  <c r="C14" i="7"/>
  <c r="AA154" i="3"/>
  <c r="T42" i="3"/>
  <c r="T17" i="3"/>
  <c r="R47" i="3"/>
  <c r="R166" i="3"/>
  <c r="D15" i="7"/>
  <c r="S132" i="3"/>
  <c r="S109" i="3"/>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R16" i="3"/>
  <c r="Q141" i="3"/>
  <c r="S136" i="3"/>
  <c r="T39" i="3"/>
  <c r="R21" i="3"/>
  <c r="T162" i="3"/>
  <c r="T20" i="3"/>
  <c r="AA95" i="3"/>
  <c r="R124" i="3"/>
  <c r="Q27" i="3"/>
  <c r="P23" i="3"/>
  <c r="T137" i="3"/>
  <c r="T38" i="3"/>
  <c r="S120" i="3"/>
  <c r="Q177" i="3"/>
  <c r="Q171" i="3"/>
  <c r="P154" i="3"/>
  <c r="P152" i="3"/>
  <c r="S169" i="3"/>
  <c r="R72" i="3"/>
  <c r="S89" i="3"/>
  <c r="P177" i="3"/>
  <c r="P151" i="3"/>
  <c r="Q116" i="3"/>
  <c r="Q38" i="3"/>
  <c r="AA49" i="3"/>
  <c r="D16" i="7"/>
  <c r="Q48" i="3"/>
  <c r="Q35" i="3"/>
  <c r="S118" i="3"/>
  <c r="P98" i="3"/>
  <c r="AA140" i="3"/>
  <c r="AA166" i="3"/>
  <c r="T95" i="3"/>
  <c r="AA71" i="3"/>
  <c r="R140" i="3"/>
  <c r="S140" i="3"/>
  <c r="G4" i="7"/>
  <c r="R120" i="3"/>
  <c r="AA169" i="3"/>
  <c r="R108" i="3"/>
  <c r="S162" i="3"/>
  <c r="S115" i="3"/>
  <c r="P141" i="3"/>
  <c r="P96" i="3"/>
  <c r="P84" i="3"/>
  <c r="P76" i="3"/>
  <c r="P55" i="3"/>
  <c r="R115" i="3"/>
  <c r="AL151" i="3" l="1"/>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T21" i="5"/>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T6" i="5"/>
  <c r="AC94" i="3"/>
  <c r="N93" i="6" s="1"/>
  <c r="AL102" i="3"/>
  <c r="C101" i="6" s="1"/>
  <c r="AL81" i="3"/>
  <c r="C80" i="6" s="1"/>
  <c r="AL154" i="3"/>
  <c r="C153" i="6" s="1"/>
  <c r="AL121" i="3"/>
  <c r="C120" i="6" s="1"/>
  <c r="AL106" i="3"/>
  <c r="C105" i="6" s="1"/>
  <c r="AL78" i="3"/>
  <c r="C77" i="6" s="1"/>
  <c r="AL53" i="3"/>
  <c r="C52" i="6" s="1"/>
  <c r="T132" i="5"/>
  <c r="T118" i="5"/>
  <c r="AC151" i="3"/>
  <c r="N150" i="6" s="1"/>
  <c r="AC103" i="3"/>
  <c r="N102" i="6" s="1"/>
  <c r="AL175" i="3"/>
  <c r="C174" i="6" s="1"/>
  <c r="AL168" i="3"/>
  <c r="C167" i="6" s="1"/>
  <c r="AC85" i="3"/>
  <c r="N84" i="6" s="1"/>
  <c r="AC58" i="3"/>
  <c r="N57" i="6" s="1"/>
  <c r="AC117" i="3"/>
  <c r="N116" i="6" s="1"/>
  <c r="T158" i="5"/>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T59" i="5"/>
  <c r="T167" i="5"/>
  <c r="T106" i="5"/>
  <c r="T61" i="5"/>
  <c r="M13" i="7"/>
  <c r="T66" i="5"/>
  <c r="T36" i="5"/>
  <c r="T10" i="5"/>
  <c r="AC63" i="3"/>
  <c r="N62" i="6" s="1"/>
  <c r="AC142" i="3"/>
  <c r="N141" i="6" s="1"/>
  <c r="AL165" i="3"/>
  <c r="C164" i="6" s="1"/>
  <c r="T164" i="5"/>
  <c r="T50" i="5"/>
  <c r="T43" i="5"/>
  <c r="T40" i="5"/>
  <c r="T25" i="5"/>
  <c r="T11" i="5"/>
  <c r="AC148" i="3"/>
  <c r="N147" i="6" s="1"/>
  <c r="T134" i="5"/>
  <c r="T101" i="5"/>
  <c r="T63" i="5"/>
  <c r="T168" i="5"/>
  <c r="AC4" i="3"/>
  <c r="N3" i="6" s="1"/>
  <c r="T64" i="5"/>
  <c r="T42" i="5"/>
  <c r="T26" i="5"/>
  <c r="T154" i="5"/>
  <c r="T144" i="5"/>
  <c r="AC161" i="3"/>
  <c r="N160" i="6" s="1"/>
  <c r="AL136" i="3"/>
  <c r="C135" i="6" s="1"/>
  <c r="AC27" i="3"/>
  <c r="N26" i="6" s="1"/>
  <c r="AL19" i="3"/>
  <c r="C18" i="6" s="1"/>
  <c r="T133" i="5"/>
  <c r="T87" i="5"/>
  <c r="T13" i="5"/>
  <c r="T170" i="5"/>
  <c r="B198" i="3"/>
  <c r="C198" i="3" s="1"/>
  <c r="AL30" i="3"/>
  <c r="C29" i="6" s="1"/>
  <c r="AL162" i="3"/>
  <c r="C161" i="6" s="1"/>
  <c r="T147" i="5"/>
  <c r="T129" i="5"/>
  <c r="AL130" i="3"/>
  <c r="C129" i="6" s="1"/>
  <c r="T80" i="5"/>
  <c r="T44" i="5"/>
  <c r="AL50" i="3"/>
  <c r="C49" i="6" s="1"/>
  <c r="AL43" i="3"/>
  <c r="C42" i="6" s="1"/>
  <c r="T29" i="5"/>
  <c r="AL14" i="3"/>
  <c r="C13" i="6" s="1"/>
  <c r="AL160" i="3"/>
  <c r="C159" i="6" s="1"/>
  <c r="AL134" i="3"/>
  <c r="C133" i="6" s="1"/>
  <c r="T126" i="5"/>
  <c r="AL95" i="3"/>
  <c r="C94" i="6" s="1"/>
  <c r="T94" i="5"/>
  <c r="T58" i="5"/>
  <c r="T55" i="5"/>
  <c r="AC87" i="3"/>
  <c r="N86" i="6" s="1"/>
  <c r="AC86" i="3"/>
  <c r="N85" i="6" s="1"/>
  <c r="T140" i="5"/>
  <c r="T17" i="5"/>
  <c r="AL52" i="3"/>
  <c r="C51" i="6" s="1"/>
  <c r="T162" i="5"/>
  <c r="T146" i="5"/>
  <c r="T128" i="5"/>
  <c r="M10" i="7"/>
  <c r="T88" i="5"/>
  <c r="AC133" i="3"/>
  <c r="N132" i="6" s="1"/>
  <c r="T16" i="5"/>
  <c r="B199" i="3"/>
  <c r="C199" i="3" s="1"/>
  <c r="AB83" i="3"/>
  <c r="AC83" i="3"/>
  <c r="N82" i="6" s="1"/>
  <c r="AB40" i="3"/>
  <c r="AC40" i="3"/>
  <c r="N39" i="6" s="1"/>
  <c r="AC158" i="3"/>
  <c r="N157" i="6" s="1"/>
  <c r="AL125" i="3"/>
  <c r="C124" i="6" s="1"/>
  <c r="AC17" i="3"/>
  <c r="N16" i="6" s="1"/>
  <c r="AC138" i="3"/>
  <c r="N137" i="6" s="1"/>
  <c r="T130" i="5"/>
  <c r="AC30" i="3"/>
  <c r="N29" i="6" s="1"/>
  <c r="AL131" i="3"/>
  <c r="C130" i="6" s="1"/>
  <c r="AC150" i="3"/>
  <c r="N149" i="6" s="1"/>
  <c r="AC144" i="3"/>
  <c r="N143" i="6" s="1"/>
  <c r="AC78" i="3"/>
  <c r="N77" i="6" s="1"/>
  <c r="AL129" i="3"/>
  <c r="C128" i="6" s="1"/>
  <c r="T124" i="5"/>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T73" i="5"/>
  <c r="T125" i="5"/>
  <c r="AL7" i="3"/>
  <c r="C6" i="6" s="1"/>
  <c r="AC90" i="3"/>
  <c r="N89" i="6" s="1"/>
  <c r="AL146" i="3"/>
  <c r="C145" i="6" s="1"/>
  <c r="T68" i="5"/>
  <c r="T173" i="5"/>
  <c r="AL54" i="3"/>
  <c r="C53" i="6" s="1"/>
  <c r="AL171" i="3"/>
  <c r="C170" i="6" s="1"/>
  <c r="T136" i="5"/>
  <c r="T116" i="5"/>
  <c r="AL115" i="3"/>
  <c r="C114" i="6" s="1"/>
  <c r="AL110" i="3"/>
  <c r="C109" i="6" s="1"/>
  <c r="T3" i="5"/>
  <c r="T56" i="5"/>
  <c r="T34" i="5"/>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D101" i="6"/>
  <c r="E101" i="6"/>
  <c r="E100" i="6"/>
  <c r="D100" i="6"/>
  <c r="D80" i="6"/>
  <c r="E8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S27" i="5"/>
  <c r="T27" i="5" s="1"/>
  <c r="AI28" i="3"/>
  <c r="AL28" i="3" s="1"/>
  <c r="C27" i="6" s="1"/>
  <c r="S98" i="5"/>
  <c r="T98" i="5" s="1"/>
  <c r="AI99" i="3"/>
  <c r="AL99" i="3" s="1"/>
  <c r="C98" i="6" s="1"/>
  <c r="AC26" i="3"/>
  <c r="N25" i="6" s="1"/>
  <c r="AB26" i="3"/>
  <c r="AC102" i="3"/>
  <c r="N101" i="6" s="1"/>
  <c r="AB102" i="3"/>
  <c r="AB143" i="3"/>
  <c r="AC143" i="3"/>
  <c r="N142" i="6" s="1"/>
  <c r="S86" i="5"/>
  <c r="T86" i="5" s="1"/>
  <c r="AI87" i="3"/>
  <c r="AL87" i="3" s="1"/>
  <c r="C86" i="6" s="1"/>
  <c r="D78" i="6"/>
  <c r="E78" i="6"/>
  <c r="AC172" i="3"/>
  <c r="N171" i="6" s="1"/>
  <c r="AB172" i="3"/>
  <c r="AI166" i="3"/>
  <c r="AL166" i="3" s="1"/>
  <c r="C165" i="6" s="1"/>
  <c r="S165" i="5"/>
  <c r="T165" i="5" s="1"/>
  <c r="S103" i="5"/>
  <c r="T103" i="5" s="1"/>
  <c r="AI104" i="3"/>
  <c r="AL104" i="3" s="1"/>
  <c r="C103" i="6" s="1"/>
  <c r="S115" i="5"/>
  <c r="T115" i="5" s="1"/>
  <c r="AI116" i="3"/>
  <c r="AL116" i="3" s="1"/>
  <c r="C115" i="6" s="1"/>
  <c r="S97" i="5"/>
  <c r="T97" i="5" s="1"/>
  <c r="AI98" i="3"/>
  <c r="AL98" i="3" s="1"/>
  <c r="C97" i="6" s="1"/>
  <c r="S175" i="5"/>
  <c r="T175" i="5" s="1"/>
  <c r="AI176" i="3"/>
  <c r="AL176" i="3" s="1"/>
  <c r="C175" i="6" s="1"/>
  <c r="AC89" i="3"/>
  <c r="N88" i="6" s="1"/>
  <c r="AB89" i="3"/>
  <c r="AC64" i="3"/>
  <c r="N63" i="6" s="1"/>
  <c r="AB64" i="3"/>
  <c r="S24" i="5"/>
  <c r="T24" i="5" s="1"/>
  <c r="AI25" i="3"/>
  <c r="AL25" i="3" s="1"/>
  <c r="C24" i="6" s="1"/>
  <c r="S39" i="5"/>
  <c r="T39" i="5" s="1"/>
  <c r="AI40" i="3"/>
  <c r="AL40" i="3" s="1"/>
  <c r="C39" i="6" s="1"/>
  <c r="S48" i="5"/>
  <c r="T48" i="5" s="1"/>
  <c r="AI49" i="3"/>
  <c r="AL49" i="3" s="1"/>
  <c r="C48" i="6" s="1"/>
  <c r="S41" i="5"/>
  <c r="T41" i="5" s="1"/>
  <c r="AI42" i="3"/>
  <c r="AL42" i="3" s="1"/>
  <c r="C41" i="6" s="1"/>
  <c r="S160" i="5"/>
  <c r="T160" i="5" s="1"/>
  <c r="AI161" i="3"/>
  <c r="AL161" i="3" s="1"/>
  <c r="C160" i="6" s="1"/>
  <c r="S152" i="5"/>
  <c r="T152" i="5" s="1"/>
  <c r="AI153" i="3"/>
  <c r="AL153" i="3" s="1"/>
  <c r="C152" i="6" s="1"/>
  <c r="S156" i="5"/>
  <c r="T156" i="5" s="1"/>
  <c r="AI157" i="3"/>
  <c r="AL157" i="3" s="1"/>
  <c r="C156" i="6" s="1"/>
  <c r="AC136" i="3"/>
  <c r="N135" i="6" s="1"/>
  <c r="AB136" i="3"/>
  <c r="AC154" i="3"/>
  <c r="N153" i="6" s="1"/>
  <c r="AB154" i="3"/>
  <c r="AB156" i="3"/>
  <c r="AC156" i="3"/>
  <c r="N155" i="6" s="1"/>
  <c r="AB177" i="3"/>
  <c r="AC177" i="3"/>
  <c r="N176" i="6" s="1"/>
  <c r="E155" i="6"/>
  <c r="D155" i="6"/>
  <c r="S123" i="5"/>
  <c r="T123" i="5" s="1"/>
  <c r="AI124" i="3"/>
  <c r="AL124" i="3" s="1"/>
  <c r="C123" i="6" s="1"/>
  <c r="S163" i="5"/>
  <c r="T163" i="5" s="1"/>
  <c r="AI164" i="3"/>
  <c r="AL164" i="3" s="1"/>
  <c r="C163" i="6" s="1"/>
  <c r="S139" i="5"/>
  <c r="T139" i="5" s="1"/>
  <c r="AI140" i="3"/>
  <c r="AL140" i="3" s="1"/>
  <c r="C139" i="6" s="1"/>
  <c r="AC111" i="3"/>
  <c r="N110" i="6" s="1"/>
  <c r="AB111" i="3"/>
  <c r="S131" i="5"/>
  <c r="T131" i="5" s="1"/>
  <c r="AI132" i="3"/>
  <c r="AL132" i="3" s="1"/>
  <c r="C131" i="6" s="1"/>
  <c r="S112" i="5"/>
  <c r="T112" i="5" s="1"/>
  <c r="AI113" i="3"/>
  <c r="AL113" i="3" s="1"/>
  <c r="C112" i="6" s="1"/>
  <c r="AI84" i="3"/>
  <c r="AL84" i="3" s="1"/>
  <c r="C83" i="6" s="1"/>
  <c r="S83" i="5"/>
  <c r="T83" i="5" s="1"/>
  <c r="Z178" i="3"/>
  <c r="AB4" i="3"/>
  <c r="F30" i="7"/>
  <c r="AB32" i="3"/>
  <c r="AC32" i="3"/>
  <c r="N31" i="6" s="1"/>
  <c r="AB46" i="3"/>
  <c r="AC46" i="3"/>
  <c r="N45" i="6" s="1"/>
  <c r="AC99" i="3"/>
  <c r="N98" i="6" s="1"/>
  <c r="AB99" i="3"/>
  <c r="AB123" i="3"/>
  <c r="AC123" i="3"/>
  <c r="N122" i="6" s="1"/>
  <c r="S70" i="5"/>
  <c r="T70" i="5" s="1"/>
  <c r="AI71" i="3"/>
  <c r="AL71" i="3" s="1"/>
  <c r="C70" i="6" s="1"/>
  <c r="S111" i="5"/>
  <c r="T111" i="5" s="1"/>
  <c r="AI112" i="3"/>
  <c r="AL112" i="3" s="1"/>
  <c r="C111" i="6" s="1"/>
  <c r="AI82" i="3"/>
  <c r="AL82" i="3" s="1"/>
  <c r="C81" i="6" s="1"/>
  <c r="S81" i="5"/>
  <c r="T81" i="5" s="1"/>
  <c r="AC116" i="3"/>
  <c r="N115" i="6" s="1"/>
  <c r="AB116" i="3"/>
  <c r="AC106" i="3"/>
  <c r="N105" i="6" s="1"/>
  <c r="AB106" i="3"/>
  <c r="AB126" i="3"/>
  <c r="AC126" i="3"/>
  <c r="N125" i="6" s="1"/>
  <c r="AC147" i="3"/>
  <c r="N146" i="6" s="1"/>
  <c r="AB147" i="3"/>
  <c r="AI34" i="3"/>
  <c r="AL34" i="3" s="1"/>
  <c r="C33" i="6" s="1"/>
  <c r="S33" i="5"/>
  <c r="T33" i="5" s="1"/>
  <c r="AI29" i="3"/>
  <c r="S28" i="5"/>
  <c r="T28" i="5"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S121" i="5"/>
  <c r="T121" i="5" s="1"/>
  <c r="AI122" i="3"/>
  <c r="AL122" i="3" s="1"/>
  <c r="C121" i="6" s="1"/>
  <c r="S151" i="5"/>
  <c r="T151" i="5" s="1"/>
  <c r="AI152" i="3"/>
  <c r="AL152" i="3" s="1"/>
  <c r="C151" i="6" s="1"/>
  <c r="AI38" i="3"/>
  <c r="AL38" i="3" s="1"/>
  <c r="C37" i="6" s="1"/>
  <c r="S37" i="5"/>
  <c r="T37" i="5" s="1"/>
  <c r="AB12" i="3"/>
  <c r="AC12" i="3"/>
  <c r="N11" i="6" s="1"/>
  <c r="AC67" i="3"/>
  <c r="N66" i="6" s="1"/>
  <c r="AB67" i="3"/>
  <c r="AC100" i="3"/>
  <c r="N99" i="6" s="1"/>
  <c r="AB100" i="3"/>
  <c r="S93" i="5"/>
  <c r="T93" i="5" s="1"/>
  <c r="AI94" i="3"/>
  <c r="S90" i="5"/>
  <c r="T90" i="5" s="1"/>
  <c r="AI91" i="3"/>
  <c r="AL91" i="3" s="1"/>
  <c r="C90" i="6" s="1"/>
  <c r="AI85" i="3"/>
  <c r="AL85" i="3" s="1"/>
  <c r="C84" i="6" s="1"/>
  <c r="S84" i="5"/>
  <c r="T84" i="5" s="1"/>
  <c r="AI72" i="3"/>
  <c r="AL72" i="3" s="1"/>
  <c r="C71" i="6" s="1"/>
  <c r="S71" i="5"/>
  <c r="T71" i="5" s="1"/>
  <c r="S9" i="5"/>
  <c r="T9" i="5" s="1"/>
  <c r="AI10" i="3"/>
  <c r="AL10" i="3" s="1"/>
  <c r="C9" i="6" s="1"/>
  <c r="S8" i="5"/>
  <c r="AI9" i="3"/>
  <c r="AC29" i="3"/>
  <c r="N28" i="6" s="1"/>
  <c r="AB29" i="3"/>
  <c r="AC66" i="3"/>
  <c r="N65" i="6" s="1"/>
  <c r="AB66" i="3"/>
  <c r="AC95" i="3"/>
  <c r="N94" i="6" s="1"/>
  <c r="AB95" i="3"/>
  <c r="AC124" i="3"/>
  <c r="N123" i="6" s="1"/>
  <c r="AB124" i="3"/>
  <c r="AC139" i="3"/>
  <c r="N138" i="6" s="1"/>
  <c r="AB139" i="3"/>
  <c r="AI170" i="3"/>
  <c r="AL170" i="3" s="1"/>
  <c r="C169" i="6" s="1"/>
  <c r="S169" i="5"/>
  <c r="T169" i="5" s="1"/>
  <c r="AC105" i="3"/>
  <c r="N104" i="6" s="1"/>
  <c r="AB105" i="3"/>
  <c r="AB74" i="3"/>
  <c r="AC74" i="3"/>
  <c r="N73" i="6" s="1"/>
  <c r="AC49" i="3"/>
  <c r="N48" i="6" s="1"/>
  <c r="AB49" i="3"/>
  <c r="AB28" i="3"/>
  <c r="AC28" i="3"/>
  <c r="N27" i="6" s="1"/>
  <c r="G32" i="7"/>
  <c r="AA178" i="3"/>
  <c r="AC6" i="3"/>
  <c r="N5" i="6" s="1"/>
  <c r="AI20" i="3"/>
  <c r="AL20" i="3" s="1"/>
  <c r="C19" i="6" s="1"/>
  <c r="S19" i="5"/>
  <c r="T19" i="5" s="1"/>
  <c r="AB50" i="3"/>
  <c r="AC50" i="3"/>
  <c r="N49" i="6" s="1"/>
  <c r="AI23" i="3"/>
  <c r="AL23" i="3" s="1"/>
  <c r="C22" i="6" s="1"/>
  <c r="S22" i="5"/>
  <c r="T22" i="5" s="1"/>
  <c r="E66" i="6"/>
  <c r="D66" i="6"/>
  <c r="S57" i="5"/>
  <c r="T57" i="5" s="1"/>
  <c r="AI58" i="3"/>
  <c r="AL58" i="3" s="1"/>
  <c r="C57" i="6" s="1"/>
  <c r="AL6" i="3"/>
  <c r="AL5" i="3"/>
  <c r="AC54" i="3"/>
  <c r="N53" i="6" s="1"/>
  <c r="AB54" i="3"/>
  <c r="S172" i="5"/>
  <c r="T172" i="5" s="1"/>
  <c r="AI173" i="3"/>
  <c r="AL173" i="3" s="1"/>
  <c r="C172" i="6" s="1"/>
  <c r="S96" i="5"/>
  <c r="T96" i="5" s="1"/>
  <c r="AI97" i="3"/>
  <c r="AL97" i="3" s="1"/>
  <c r="C96" i="6" s="1"/>
  <c r="F31" i="7"/>
  <c r="AC22" i="3"/>
  <c r="N21" i="6" s="1"/>
  <c r="AB22" i="3"/>
  <c r="AI142" i="3"/>
  <c r="AL142" i="3" s="1"/>
  <c r="C141" i="6" s="1"/>
  <c r="S141" i="5"/>
  <c r="T141" i="5" s="1"/>
  <c r="S79" i="5"/>
  <c r="T79" i="5" s="1"/>
  <c r="AI80" i="3"/>
  <c r="AL80" i="3" s="1"/>
  <c r="C79" i="6" s="1"/>
  <c r="S117" i="5"/>
  <c r="T117" i="5" s="1"/>
  <c r="AI118" i="3"/>
  <c r="AL118" i="3" s="1"/>
  <c r="C117" i="6" s="1"/>
  <c r="S108" i="5"/>
  <c r="T108" i="5" s="1"/>
  <c r="AI109" i="3"/>
  <c r="AL109" i="3" s="1"/>
  <c r="C108" i="6" s="1"/>
  <c r="S89" i="5"/>
  <c r="T89" i="5" s="1"/>
  <c r="AI90" i="3"/>
  <c r="AL90" i="3" s="1"/>
  <c r="C89" i="6" s="1"/>
  <c r="S82" i="5"/>
  <c r="T82" i="5" s="1"/>
  <c r="AI83" i="3"/>
  <c r="AL83" i="3" s="1"/>
  <c r="C82" i="6" s="1"/>
  <c r="AI123" i="3"/>
  <c r="AL123" i="3" s="1"/>
  <c r="C122" i="6" s="1"/>
  <c r="S122" i="5"/>
  <c r="T122" i="5" s="1"/>
  <c r="E50" i="6"/>
  <c r="D50" i="6"/>
  <c r="E40" i="6"/>
  <c r="D40" i="6"/>
  <c r="S32" i="5"/>
  <c r="T32" i="5" s="1"/>
  <c r="AI33" i="3"/>
  <c r="AL33" i="3" s="1"/>
  <c r="C32" i="6" s="1"/>
  <c r="E26" i="6"/>
  <c r="D26" i="6"/>
  <c r="G31" i="7"/>
  <c r="AC19" i="3"/>
  <c r="N18" i="6" s="1"/>
  <c r="D144" i="6"/>
  <c r="E144" i="6"/>
  <c r="AL8" i="3"/>
  <c r="D55" i="6"/>
  <c r="E55" i="6"/>
  <c r="D150" i="6"/>
  <c r="E150" i="6"/>
  <c r="E176" i="6"/>
  <c r="D176" i="6"/>
  <c r="E76" i="6"/>
  <c r="D76" i="6"/>
  <c r="E140" i="6"/>
  <c r="D140" i="6"/>
  <c r="D171" i="6" l="1"/>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B186" i="6"/>
  <c r="T8" i="5"/>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<sst xmlns="http://schemas.openxmlformats.org/spreadsheetml/2006/main" count="5806" uniqueCount="1553">
  <si>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</si>
  <si>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</si>
  <si>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</si>
  <si>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</si>
  <si>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</si>
  <si>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</si>
  <si>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</si>
  <si>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</si>
  <si>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</si>
  <si>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</si>
  <si>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</si>
  <si>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</si>
  <si>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</si>
  <si>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</si>
  <si>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</si>
  <si>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</si>
  <si>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</si>
  <si>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</si>
  <si>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</si>
  <si>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</si>
  <si>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</si>
  <si>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</si>
  <si>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</si>
  <si>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</si>
  <si>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</si>
  <si>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</si>
  <si>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</si>
  <si>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</si>
  <si>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</si>
  <si>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</si>
  <si>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</si>
  <si>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</si>
  <si>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</si>
  <si>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</si>
  <si>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</si>
  <si>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</si>
  <si>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</si>
  <si>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</si>
  <si>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</si>
  <si>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</si>
  <si>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</si>
  <si>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</si>
  <si>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</si>
  <si>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</si>
  <si>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</si>
  <si>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</si>
  <si>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</si>
  <si>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</si>
  <si>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</si>
  <si>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</si>
  <si>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</si>
  <si>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</si>
  <si>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</si>
  <si>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</si>
  <si>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</si>
  <si>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</si>
  <si>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</si>
  <si>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</si>
  <si>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</si>
  <si>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</si>
  <si>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</si>
  <si>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</si>
  <si>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</si>
  <si>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</si>
  <si>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</si>
  <si>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</si>
  <si>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</si>
  <si>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</si>
  <si>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</si>
  <si>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</si>
  <si>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</si>
  <si>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</si>
  <si>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</si>
  <si>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</si>
  <si>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</si>
  <si>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</si>
  <si>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</si>
  <si>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</si>
  <si>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</si>
  <si>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</si>
  <si>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</si>
  <si>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</si>
  <si>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</si>
  <si>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</si>
  <si>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</si>
  <si>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</si>
  <si>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</si>
  <si>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</si>
  <si>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</si>
  <si>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</si>
  <si>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</si>
  <si>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</si>
  <si>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</si>
  <si>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</si>
  <si>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</si>
  <si>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</si>
  <si>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</si>
  <si>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</si>
  <si>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</si>
  <si>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</si>
  <si>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</si>
  <si>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</si>
  <si>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</si>
  <si>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</si>
  <si>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</si>
  <si>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</si>
  <si>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</si>
  <si>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</si>
  <si>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</si>
  <si>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</si>
  <si>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</si>
  <si>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</si>
  <si>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</si>
  <si>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</si>
  <si>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</si>
  <si>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</si>
  <si>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</si>
  <si>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</si>
  <si>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</si>
  <si>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</si>
  <si>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</si>
  <si>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</si>
  <si>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</si>
  <si>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</si>
  <si>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</si>
  <si>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</si>
  <si>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</si>
  <si>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</si>
  <si>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</si>
  <si>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</si>
  <si>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</si>
  <si>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</si>
  <si>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</si>
  <si>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</si>
  <si>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</si>
  <si>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</si>
  <si>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</si>
  <si>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</si>
  <si>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</si>
  <si>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</si>
  <si>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</si>
  <si>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</si>
  <si>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</si>
  <si>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</si>
  <si>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</si>
  <si>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</si>
  <si>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</si>
  <si>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</si>
  <si>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</si>
  <si>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</si>
  <si>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</si>
  <si>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</si>
  <si>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</si>
  <si>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</si>
  <si>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</si>
  <si>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</si>
  <si>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</si>
  <si>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</si>
  <si>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</si>
  <si>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</si>
  <si>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</si>
  <si>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</si>
  <si>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</si>
  <si>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</si>
  <si>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</si>
  <si>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</si>
  <si>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</si>
  <si>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</si>
  <si>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</si>
  <si>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</si>
  <si>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</si>
  <si>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</si>
  <si>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</si>
  <si>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</si>
  <si>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</si>
  <si>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</si>
  <si>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</si>
  <si>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</si>
  <si>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</si>
  <si>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</si>
  <si>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</si>
  <si>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</si>
  <si>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</si>
  <si>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</si>
  <si>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</si>
  <si>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</si>
  <si>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</si>
  <si>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</si>
  <si>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</si>
  <si>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</si>
  <si>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</si>
  <si>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</si>
  <si>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</si>
  <si>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</si>
  <si>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</si>
  <si>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</si>
  <si>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</si>
  <si>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</si>
  <si>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</si>
  <si>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</si>
  <si>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</si>
  <si>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</si>
  <si>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</si>
  <si>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</si>
  <si>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</si>
  <si>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</si>
  <si>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</si>
  <si>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</si>
  <si>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</si>
  <si>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</si>
  <si>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</si>
  <si>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</si>
  <si>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</si>
  <si>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</si>
  <si>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</si>
  <si>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</si>
  <si>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</si>
  <si>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</si>
  <si>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</si>
  <si>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</si>
  <si>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</si>
  <si>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</si>
  <si>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</si>
  <si>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</si>
  <si>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</si>
  <si>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</si>
  <si>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</si>
  <si>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</si>
  <si>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</si>
  <si>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</si>
  <si>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</si>
  <si>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</si>
  <si>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</si>
  <si>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</si>
  <si>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</si>
  <si>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</si>
  <si>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</si>
  <si>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</si>
  <si>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</si>
  <si>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</si>
  <si>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</si>
  <si>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</si>
  <si>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</si>
  <si>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</si>
  <si>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</si>
  <si>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</si>
  <si>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</si>
  <si>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</si>
  <si>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</si>
  <si>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</si>
  <si>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</si>
  <si>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</si>
  <si>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</si>
  <si>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</si>
  <si>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</si>
  <si>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</si>
  <si>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</si>
  <si>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</si>
  <si>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</si>
  <si>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</si>
  <si>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</si>
  <si>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</si>
  <si>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</si>
  <si>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</si>
  <si>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</si>
  <si>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</si>
  <si>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</si>
  <si>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</si>
  <si>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</si>
  <si>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</si>
  <si>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</si>
  <si>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</si>
  <si>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</si>
  <si>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</si>
  <si>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</si>
  <si>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</si>
  <si>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</si>
  <si>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</si>
  <si>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</si>
  <si>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</si>
  <si>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</si>
  <si>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</si>
  <si>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</si>
  <si>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</si>
  <si>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</si>
  <si>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</si>
  <si>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</si>
  <si>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</si>
  <si>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</si>
  <si>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</si>
  <si>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</si>
  <si>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</si>
  <si>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</si>
  <si>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</si>
  <si>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</si>
  <si>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</si>
  <si>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</si>
  <si>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</si>
  <si>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</si>
  <si>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</si>
  <si>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</si>
  <si>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</si>
  <si>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</si>
  <si>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</si>
  <si>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</si>
  <si>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</si>
  <si>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</si>
  <si>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</si>
  <si>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</si>
  <si>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</si>
  <si>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</si>
  <si>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</si>
  <si>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</si>
  <si>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</si>
  <si>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</si>
  <si>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</si>
  <si>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</si>
  <si>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</si>
  <si>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</si>
  <si>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</si>
  <si>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</si>
  <si>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</si>
  <si>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</si>
  <si>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</si>
  <si>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</si>
  <si>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</si>
  <si>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</si>
  <si>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</si>
  <si>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</si>
  <si>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</si>
  <si>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</si>
  <si>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</si>
  <si>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</si>
  <si>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</si>
  <si>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</si>
  <si>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</si>
  <si>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</si>
  <si>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</si>
  <si>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</si>
  <si>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</si>
  <si>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</si>
  <si>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</si>
  <si>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</si>
  <si>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</si>
  <si>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</si>
  <si>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</si>
  <si>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</si>
  <si>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</si>
  <si>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</si>
  <si>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</si>
  <si>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</si>
  <si>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</si>
  <si>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</si>
  <si>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</si>
  <si>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</si>
  <si>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</si>
  <si>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</si>
  <si>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</si>
  <si>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</si>
  <si>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</si>
  <si>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</si>
  <si>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</si>
  <si>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</si>
  <si>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</si>
  <si>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</si>
  <si>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</si>
  <si>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</si>
  <si>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</si>
  <si>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</si>
  <si>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</si>
  <si>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</si>
  <si>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</si>
  <si>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</si>
  <si>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</si>
  <si>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</si>
  <si>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</si>
  <si>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</si>
  <si>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</si>
  <si>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</si>
  <si>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</si>
  <si>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</si>
  <si>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</si>
  <si>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</si>
  <si>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</si>
  <si>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</si>
  <si>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</si>
  <si>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</si>
  <si>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</si>
  <si>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</si>
  <si>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</si>
  <si>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</si>
  <si>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</si>
  <si>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</si>
  <si>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</si>
  <si>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</si>
  <si>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</si>
  <si>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</si>
  <si>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</si>
  <si>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</si>
  <si>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</si>
  <si>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</si>
  <si>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</si>
  <si>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</si>
  <si>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</si>
  <si>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</si>
  <si>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</si>
  <si>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</si>
  <si>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</si>
  <si>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</si>
  <si>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</si>
  <si>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</si>
  <si>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</si>
  <si>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</si>
  <si>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</si>
  <si>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</si>
  <si>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</si>
  <si>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</si>
  <si>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</si>
  <si>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</si>
  <si>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</si>
  <si>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</si>
  <si>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</si>
  <si>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</si>
  <si>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</si>
  <si>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</si>
  <si>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</si>
  <si>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</si>
  <si>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</si>
  <si>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</si>
  <si>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</si>
  <si>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</si>
  <si>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</si>
  <si>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</si>
  <si>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</si>
  <si>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</si>
  <si>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</si>
  <si>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</si>
  <si>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</si>
  <si>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</si>
  <si>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</si>
  <si>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</si>
  <si>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</si>
  <si>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</si>
  <si>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</si>
  <si>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</si>
  <si>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</si>
  <si>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</si>
  <si>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</si>
  <si>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</si>
  <si>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</si>
  <si>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</si>
  <si>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</si>
  <si>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</si>
  <si>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</si>
  <si>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</si>
  <si>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</si>
  <si>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</si>
  <si>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</si>
  <si>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</si>
  <si>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</si>
  <si>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</si>
  <si>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</si>
  <si>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</si>
  <si>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</si>
  <si>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</si>
  <si>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</si>
  <si>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</si>
  <si>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</si>
  <si>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</si>
  <si>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</si>
  <si>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</si>
  <si>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</si>
  <si>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</si>
  <si>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</si>
  <si>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</si>
  <si>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</si>
  <si>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</si>
  <si>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</si>
  <si>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</si>
  <si>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</si>
  <si>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</si>
  <si>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</si>
  <si>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</si>
  <si>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</si>
  <si>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</si>
  <si>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</si>
  <si>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</si>
  <si>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</si>
  <si>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</si>
  <si>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</si>
  <si>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</si>
  <si>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</si>
  <si>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</si>
  <si>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</si>
  <si>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</si>
  <si>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</si>
  <si>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</si>
  <si>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</si>
  <si>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</si>
  <si>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</si>
  <si>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</si>
  <si>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</si>
  <si>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</si>
  <si>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</si>
  <si>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</si>
  <si>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</si>
  <si>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</si>
  <si>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</si>
  <si>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</si>
  <si>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</si>
  <si>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</si>
  <si>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</si>
  <si>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</si>
  <si>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</si>
  <si>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</si>
  <si>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</si>
  <si>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</si>
  <si>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</si>
  <si>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</si>
  <si>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</si>
  <si>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</si>
  <si>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</si>
  <si>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</si>
  <si>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</si>
  <si>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</si>
  <si>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</si>
  <si>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</si>
  <si>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</si>
  <si>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</si>
  <si>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</si>
  <si>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</si>
  <si>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</si>
  <si>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</si>
  <si>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</si>
  <si>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</si>
  <si>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</si>
  <si>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</si>
  <si>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</si>
  <si>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</si>
  <si>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</si>
  <si>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</si>
  <si>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</si>
  <si>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</si>
  <si>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</si>
  <si>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</si>
  <si>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</si>
  <si>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</si>
  <si>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</si>
  <si>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</si>
  <si>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</si>
  <si>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</si>
  <si>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</si>
  <si>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</si>
  <si>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</si>
  <si>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</si>
  <si>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</si>
  <si>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</si>
  <si>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</si>
  <si>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</si>
  <si>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</si>
  <si>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</si>
  <si>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</si>
  <si>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</si>
  <si>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</si>
  <si>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</si>
  <si>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</si>
  <si>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</si>
  <si>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</si>
  <si>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</si>
  <si>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</si>
  <si>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</si>
  <si>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</si>
  <si>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</si>
  <si>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</si>
  <si>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</si>
  <si>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</si>
  <si>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</si>
  <si>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</si>
  <si>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</si>
  <si>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</si>
  <si>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</si>
  <si>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</si>
  <si>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</si>
  <si>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</si>
  <si>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</si>
  <si>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</si>
  <si>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</si>
  <si>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</si>
  <si>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</si>
  <si>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</si>
  <si>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</si>
  <si>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</si>
  <si>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</si>
  <si>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</si>
  <si>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</si>
  <si>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</si>
  <si>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</si>
  <si>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</si>
  <si>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</si>
  <si>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</si>
  <si>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</si>
  <si>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</si>
  <si>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</si>
  <si>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</si>
  <si>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</si>
  <si>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</si>
  <si>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</si>
  <si>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</si>
  <si>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</si>
  <si>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</si>
  <si>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</si>
  <si>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</si>
  <si>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</si>
  <si>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</si>
  <si>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</si>
  <si>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</si>
  <si>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</si>
  <si>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</si>
  <si>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</si>
  <si>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</si>
  <si>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</si>
  <si>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</si>
  <si>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</si>
  <si>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</si>
  <si>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</si>
  <si>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</si>
  <si>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</si>
  <si>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</si>
  <si>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</si>
  <si>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</si>
  <si>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</si>
  <si>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</si>
  <si>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</si>
  <si>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</si>
  <si>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</si>
  <si>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</si>
  <si>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</si>
  <si>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</si>
  <si>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</si>
  <si>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</si>
  <si>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</si>
  <si>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</si>
  <si>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</si>
  <si>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</si>
  <si>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</si>
  <si>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</si>
  <si>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</si>
  <si>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</si>
  <si>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</si>
  <si>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</si>
  <si>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</si>
  <si>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</si>
  <si>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</si>
  <si>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</si>
  <si>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</si>
  <si>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</si>
  <si>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</si>
  <si>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</si>
  <si>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</si>
  <si>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</si>
  <si>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</si>
  <si>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</si>
  <si>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</si>
  <si>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</si>
  <si>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</si>
  <si>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</si>
  <si>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</si>
  <si>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</si>
  <si>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</si>
  <si>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</si>
  <si>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</si>
  <si>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</si>
  <si>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</si>
  <si>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</si>
  <si>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</si>
  <si>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</si>
  <si>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</si>
  <si>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</si>
  <si>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</si>
  <si>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</si>
  <si>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</si>
  <si>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</si>
  <si>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</si>
  <si>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</si>
  <si>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</si>
  <si>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</si>
  <si>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</si>
  <si>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</si>
  <si>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</si>
  <si>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</si>
  <si>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</si>
  <si>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</si>
  <si>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</si>
  <si>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</si>
  <si>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</si>
  <si>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</si>
  <si>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</si>
  <si>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</si>
  <si>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</si>
  <si>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</si>
  <si>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</si>
  <si>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</si>
  <si>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</si>
  <si>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</si>
  <si>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</si>
  <si>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</si>
  <si>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</si>
  <si>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</si>
  <si>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</si>
  <si>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</si>
  <si>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</si>
  <si>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</si>
  <si>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</si>
  <si>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</si>
  <si>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</si>
  <si>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</si>
  <si>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</si>
  <si>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</si>
  <si>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</si>
  <si>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</si>
  <si>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</si>
  <si>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</si>
  <si>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</si>
  <si>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</si>
  <si>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</si>
  <si>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</si>
  <si>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</si>
  <si>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</si>
  <si>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</si>
  <si>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</si>
  <si>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</si>
  <si>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</si>
  <si>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</si>
  <si>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</si>
  <si>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</si>
  <si>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</si>
  <si>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</si>
  <si>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</si>
  <si>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</si>
  <si>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</si>
  <si>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</si>
  <si>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</si>
  <si>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</si>
  <si>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</si>
  <si>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</si>
  <si>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</si>
  <si>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</si>
  <si>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</si>
  <si>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</si>
  <si>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</si>
  <si>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</si>
  <si>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</si>
  <si>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</si>
  <si>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</si>
  <si>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</si>
  <si>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</si>
  <si>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</si>
  <si>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</si>
  <si>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</si>
  <si>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</si>
  <si>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</si>
  <si>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</si>
  <si>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</si>
  <si>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</si>
  <si>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</si>
  <si>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</si>
  <si>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</si>
  <si>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</si>
  <si>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</si>
  <si>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</si>
  <si>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</si>
  <si>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</si>
  <si>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</si>
  <si>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</si>
  <si>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</si>
  <si>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</si>
  <si>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</si>
  <si>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</si>
  <si>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</si>
  <si>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</si>
  <si>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</si>
  <si>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</si>
  <si>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</si>
  <si>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</si>
  <si>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</si>
  <si>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</si>
  <si>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</si>
  <si>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</si>
  <si>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</si>
  <si>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</si>
  <si>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</si>
  <si>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</si>
  <si>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</si>
  <si>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</si>
  <si>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</si>
  <si>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</si>
  <si>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</si>
  <si>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</si>
  <si>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</si>
  <si>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</si>
  <si>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</si>
  <si>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</si>
  <si>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</si>
  <si>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</si>
  <si>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</si>
  <si>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</si>
  <si>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</si>
  <si>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</si>
  <si>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</si>
  <si>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</si>
  <si>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</si>
  <si>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</si>
  <si>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</si>
  <si>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</si>
  <si>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</si>
  <si>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</si>
  <si>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</si>
  <si>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</si>
  <si>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</si>
  <si>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</si>
  <si>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</si>
  <si>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</si>
  <si>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</si>
  <si>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</si>
  <si>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</si>
  <si>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</si>
  <si>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</si>
  <si>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</si>
  <si>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</si>
  <si>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</si>
  <si>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</si>
  <si>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</si>
  <si>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</si>
  <si>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</si>
  <si>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</si>
  <si>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</si>
  <si>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</si>
  <si>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</si>
  <si>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</si>
  <si>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</si>
  <si>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</si>
  <si>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</si>
  <si>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</si>
  <si>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</si>
  <si>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</si>
  <si>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</si>
  <si>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</si>
  <si>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</si>
  <si>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</si>
  <si>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</si>
  <si>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</si>
  <si>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</si>
  <si>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</si>
  <si>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</si>
  <si>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</si>
  <si>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</si>
  <si>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</si>
  <si>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</si>
  <si>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</si>
  <si>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</si>
  <si>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</si>
  <si>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</si>
  <si>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</si>
  <si>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</si>
  <si>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</si>
  <si>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</si>
  <si>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</si>
  <si>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</si>
  <si>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</si>
  <si>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</si>
  <si>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</si>
  <si>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</si>
  <si>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</si>
  <si>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</si>
  <si>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</si>
  <si>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</si>
  <si>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</si>
  <si>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</si>
  <si>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</si>
  <si>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</si>
  <si>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</si>
  <si>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</si>
  <si>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</si>
  <si>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</si>
  <si>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</si>
  <si>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</si>
  <si>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</si>
  <si>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</si>
  <si>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</si>
  <si>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</si>
  <si>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</si>
  <si>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</si>
  <si>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</si>
  <si>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</si>
  <si>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</si>
  <si>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</si>
  <si>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</si>
  <si>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</si>
  <si>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</si>
  <si>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</si>
  <si>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</si>
  <si>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</si>
  <si>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</si>
  <si>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</si>
  <si>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</si>
  <si>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</si>
  <si>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</si>
  <si>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</si>
  <si>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</si>
  <si>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</si>
  <si>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</si>
  <si>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</si>
  <si>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</si>
  <si>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</si>
  <si>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</si>
  <si>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</si>
  <si>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</si>
  <si>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</si>
  <si>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</si>
  <si>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</si>
  <si>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</si>
  <si>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</si>
  <si>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</si>
  <si>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</si>
  <si>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</si>
  <si>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</si>
  <si>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</si>
  <si>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</si>
  <si>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</si>
  <si>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</si>
  <si>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</si>
  <si>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</si>
  <si>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</si>
  <si>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</si>
  <si>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</si>
  <si>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</si>
  <si>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</si>
  <si>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</si>
  <si>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</si>
  <si>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</si>
  <si>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</si>
  <si>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</si>
  <si>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</si>
  <si>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</si>
  <si>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</si>
  <si>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</si>
  <si>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</si>
  <si>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</si>
  <si>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</si>
  <si>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</si>
  <si>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</si>
  <si>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</si>
  <si>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</si>
  <si>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</si>
  <si>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</si>
  <si>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</si>
  <si>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</si>
  <si>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</si>
  <si>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</si>
  <si>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</si>
  <si>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</si>
  <si>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</si>
  <si>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</si>
  <si>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</si>
  <si>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</si>
  <si>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</si>
  <si>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</si>
  <si>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</si>
  <si>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</si>
  <si>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</si>
  <si>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</si>
  <si>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</si>
  <si>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</si>
  <si>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</si>
  <si>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</si>
  <si>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</si>
  <si>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</si>
  <si>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</si>
  <si>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</si>
  <si>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</si>
  <si>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</si>
  <si>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</si>
  <si>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</si>
  <si>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</si>
  <si>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</si>
  <si>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</si>
  <si>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</si>
  <si>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</si>
  <si>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</si>
  <si>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</si>
  <si>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</si>
  <si>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</si>
  <si>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</si>
  <si>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</si>
  <si>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</si>
  <si>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</si>
  <si>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</si>
  <si>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</si>
  <si>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</si>
  <si>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</si>
  <si>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</si>
  <si>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</si>
  <si>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</si>
  <si>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</si>
  <si>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</si>
  <si>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</si>
  <si>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</si>
  <si>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</si>
  <si>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</si>
  <si>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</si>
  <si>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</si>
  <si>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</si>
  <si>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</si>
  <si>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</si>
  <si>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</si>
  <si>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</si>
  <si>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</si>
  <si>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</si>
  <si>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</si>
  <si>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</si>
  <si>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</si>
  <si>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</si>
  <si>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</si>
  <si>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</si>
  <si>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</si>
  <si>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</si>
  <si>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</si>
  <si>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</si>
  <si>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</si>
  <si>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</si>
  <si>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</si>
  <si>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</si>
  <si>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</si>
  <si>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</si>
  <si>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</si>
  <si>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</si>
  <si>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</si>
  <si>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</si>
  <si>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</si>
  <si>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</si>
  <si>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</si>
  <si>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</si>
  <si>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</si>
  <si>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</si>
  <si>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</si>
  <si>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</si>
  <si>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</si>
  <si>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</si>
  <si>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</si>
  <si>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</si>
  <si>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</si>
  <si>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</si>
  <si>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</si>
  <si>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</si>
  <si>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</si>
  <si>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</si>
  <si>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</si>
  <si>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</si>
  <si>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</si>
  <si>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</si>
  <si>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</si>
  <si>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</si>
  <si>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</si>
  <si>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</si>
  <si>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</si>
  <si>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</si>
  <si>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</si>
  <si>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</si>
  <si>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</si>
  <si>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</si>
  <si>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</si>
  <si>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</si>
  <si>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</si>
  <si>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</si>
  <si>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</si>
  <si>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</si>
  <si>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</si>
  <si>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</si>
  <si>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</si>
  <si>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</si>
  <si>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</si>
  <si>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</si>
  <si>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</si>
  <si>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</si>
  <si>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</si>
  <si>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</si>
  <si>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</si>
  <si>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</si>
  <si>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</si>
  <si>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</si>
  <si>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</si>
  <si>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</si>
  <si>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</si>
  <si>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</si>
  <si>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</si>
  <si>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</si>
  <si>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</si>
  <si>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</si>
  <si>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</si>
  <si>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</si>
  <si>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</si>
  <si>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</si>
  <si>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</si>
  <si>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</si>
  <si>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</si>
  <si>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</si>
  <si>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</si>
  <si>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CODIFICACIÓN — Instrumento 2 · opción de respuesta → puntaje 0-100.  100 = mejor alineamiento con el EUDR.  «sin dato» = no se promedia.  [R] = revisar con el autor.</t>
  </si>
  <si>
    <t>Sección / Bloque</t>
  </si>
  <si>
    <t>Opción de respuesta</t>
  </si>
  <si>
    <t>Puntaje (0-100)</t>
  </si>
  <si>
    <t>Clave (ID|Opción)</t>
  </si>
  <si>
    <t>Nota</t>
  </si>
  <si>
    <t>no puntúa el índice (identificación, validación o derivada)</t>
  </si>
  <si>
    <t>(casillas múltiples, separar con «;»)</t>
  </si>
  <si>
    <t>Puntaje = (% de destinos de la UE sobre el total marcado) × 100  [R] revisar</t>
  </si>
  <si>
    <t>Sí</t>
  </si>
  <si>
    <t>P8|Sí</t>
  </si>
  <si>
    <t>No</t>
  </si>
  <si>
    <t>P8|No</t>
  </si>
  <si>
    <t>No sabe</t>
  </si>
  <si>
    <t>sin dato</t>
  </si>
  <si>
    <t>P8|No sabe</t>
  </si>
  <si>
    <t>«sin dato» no promedia</t>
  </si>
  <si>
    <t>P10|Sí</t>
  </si>
  <si>
    <t xml:space="preserve">  [R] revisar</t>
  </si>
  <si>
    <t>P10|No</t>
  </si>
  <si>
    <t>P10|No sabe</t>
  </si>
  <si>
    <t>«sin dato» no promedia  [R] revisar</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</si>
  <si>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</si>
  <si>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</si>
  <si>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</si>
  <si>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</si>
  <si>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</si>
  <si>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</si>
  <si>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</si>
  <si>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</si>
  <si>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</si>
  <si>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</si>
  <si>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</si>
  <si>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</si>
  <si>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</si>
  <si>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</si>
  <si>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</si>
  <si>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</si>
  <si>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</si>
  <si>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</si>
  <si>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</si>
  <si>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</si>
  <si>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</si>
  <si>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</si>
  <si>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</si>
  <si>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</si>
  <si>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</si>
  <si>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</si>
  <si>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</si>
  <si>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</si>
  <si>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</si>
  <si>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</si>
  <si>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</si>
  <si>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</si>
  <si>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</si>
  <si>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</si>
  <si>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</si>
  <si>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</si>
  <si>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</si>
  <si>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</si>
  <si>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</si>
  <si>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</si>
  <si>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</si>
  <si>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</si>
  <si>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</si>
  <si>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</si>
  <si>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</si>
  <si>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</si>
  <si>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</si>
  <si>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</si>
  <si>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</si>
  <si>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</si>
  <si>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</si>
  <si>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</si>
  <si>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</si>
  <si>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</si>
  <si>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</si>
  <si>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</si>
  <si>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</si>
  <si>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</si>
  <si>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</si>
  <si>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</si>
  <si>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</si>
  <si>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</si>
  <si>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</si>
  <si>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</si>
  <si>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</si>
  <si>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</si>
  <si>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</si>
  <si>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</si>
  <si>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</si>
  <si>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</si>
  <si>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</si>
  <si>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</si>
  <si>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</si>
  <si>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</si>
  <si>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</si>
  <si>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</si>
  <si>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</si>
  <si>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</si>
  <si>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</si>
  <si>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</si>
  <si>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</si>
  <si>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</si>
  <si>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</si>
  <si>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</si>
  <si>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</si>
  <si>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</si>
  <si>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</si>
  <si>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</si>
  <si>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</si>
  <si>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</si>
  <si>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</si>
  <si>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</si>
  <si>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</si>
  <si>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</si>
  <si>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</si>
  <si>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</si>
  <si>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</si>
  <si>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</si>
  <si>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</si>
  <si>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</si>
  <si>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</si>
  <si>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</si>
  <si>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</si>
  <si>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</si>
  <si>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</si>
  <si>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</si>
  <si>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</si>
  <si>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</si>
  <si>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</si>
  <si>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</si>
  <si>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</si>
  <si>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</si>
  <si>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</si>
  <si>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</si>
  <si>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</si>
  <si>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</si>
  <si>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</si>
  <si>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</si>
  <si>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</si>
  <si>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</si>
  <si>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</si>
  <si>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</si>
  <si>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</si>
  <si>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</si>
  <si>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</si>
  <si>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</si>
  <si>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</si>
  <si>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</si>
  <si>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</si>
  <si>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</si>
  <si>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</si>
  <si>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</si>
  <si>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</si>
  <si>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</si>
  <si>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</si>
  <si>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</si>
  <si>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</si>
  <si>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</si>
  <si>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</si>
  <si>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</si>
  <si>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</si>
  <si>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</si>
  <si>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</si>
  <si>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</si>
  <si>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</si>
  <si>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</si>
  <si>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</si>
  <si>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</si>
  <si>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</si>
  <si>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</si>
  <si>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</si>
  <si>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</si>
  <si>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</si>
  <si>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</si>
  <si>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</si>
  <si>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</si>
  <si>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</si>
  <si>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</si>
  <si>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</si>
  <si>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</si>
  <si>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</si>
  <si>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</si>
  <si>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</si>
  <si>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</si>
  <si>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</si>
  <si>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</si>
  <si>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</si>
  <si>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</si>
  <si>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</si>
  <si>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</si>
  <si>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</si>
  <si>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</si>
  <si>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</si>
  <si>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</si>
  <si>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</si>
  <si>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</si>
  <si>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</si>
  <si>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</si>
  <si>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</si>
  <si>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</si>
  <si>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</si>
  <si>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</si>
  <si>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</si>
  <si>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</si>
  <si>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</si>
  <si>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</si>
  <si>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</si>
  <si>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Puntaje = (n.º marcados ÷ 7) × 100</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</si>
  <si>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</si>
  <si>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</si>
  <si>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</si>
  <si>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</si>
  <si>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</si>
  <si>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</si>
  <si>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</si>
  <si>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</si>
  <si>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</si>
  <si>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</si>
  <si>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</si>
  <si>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</si>
  <si>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</si>
  <si>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</si>
  <si>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</si>
  <si>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</si>
  <si>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</si>
  <si>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</si>
  <si>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</si>
  <si>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</si>
  <si>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</si>
  <si>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</si>
  <si>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</si>
  <si>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</si>
  <si>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</si>
  <si>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</si>
  <si>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</si>
  <si>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</si>
  <si>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</si>
  <si>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</si>
  <si>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</si>
  <si>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</si>
  <si>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</si>
  <si>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</si>
  <si>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</si>
  <si>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</si>
  <si>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</si>
  <si>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</si>
  <si>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</si>
  <si>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</si>
  <si>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</si>
  <si>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</si>
  <si>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</si>
  <si>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</si>
  <si>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</si>
  <si>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</si>
  <si>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</si>
  <si>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</si>
  <si>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</si>
  <si>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</si>
  <si>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</si>
  <si>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</si>
  <si>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</si>
  <si>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</si>
  <si>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</si>
  <si>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</si>
  <si>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</si>
  <si>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</si>
  <si>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</si>
  <si>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</si>
  <si>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</si>
  <si>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</si>
  <si>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</si>
  <si>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</si>
  <si>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</si>
  <si>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</si>
  <si>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</si>
  <si>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</si>
  <si>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</si>
  <si>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</si>
  <si>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</si>
  <si>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</si>
  <si>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</si>
  <si>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</si>
  <si>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</si>
  <si>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</si>
  <si>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</si>
  <si>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</si>
  <si>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</si>
  <si>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</si>
  <si>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</si>
  <si>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</si>
  <si>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</si>
  <si>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</si>
  <si>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</si>
  <si>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</si>
  <si>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</si>
  <si>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</si>
  <si>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</si>
  <si>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</si>
  <si>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</si>
  <si>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</si>
  <si>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</si>
  <si>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</si>
  <si>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</si>
  <si>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</si>
  <si>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</si>
  <si>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</si>
  <si>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</si>
  <si>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</si>
  <si>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</si>
  <si>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</si>
  <si>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</si>
  <si>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</si>
  <si>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</si>
  <si>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</si>
  <si>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</si>
  <si>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</si>
  <si>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</si>
  <si>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</si>
  <si>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</si>
  <si>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</si>
  <si>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Puntaje = (n.º marcados ÷ 8) × 100  [R] revisar</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</si>
  <si>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</si>
  <si>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</si>
  <si>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</si>
  <si>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</si>
  <si>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</si>
  <si>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</si>
  <si>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</si>
  <si>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</si>
  <si>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</si>
  <si>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</si>
  <si>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</si>
  <si>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</si>
  <si>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</si>
  <si>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</si>
  <si>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</si>
  <si>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</si>
  <si>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</si>
  <si>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</si>
  <si>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</si>
  <si>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</si>
  <si>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</si>
  <si>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</si>
  <si>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</si>
  <si>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</si>
  <si>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</si>
  <si>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</si>
  <si>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</si>
  <si>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</si>
  <si>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</si>
  <si>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</si>
  <si>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</si>
  <si>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</si>
  <si>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</si>
  <si>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</si>
  <si>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</si>
  <si>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</si>
  <si>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</si>
  <si>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</si>
  <si>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</si>
  <si>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</si>
  <si>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</si>
  <si>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</si>
  <si>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</si>
  <si>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</si>
  <si>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</si>
  <si>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</si>
  <si>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</si>
  <si>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</si>
  <si>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</si>
  <si>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</si>
  <si>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</si>
  <si>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</si>
  <si>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</si>
  <si>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</si>
  <si>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</si>
  <si>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</si>
  <si>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</si>
  <si>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</si>
  <si>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</si>
  <si>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</si>
  <si>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</si>
  <si>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</si>
  <si>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</si>
  <si>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</si>
  <si>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</si>
  <si>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Puntaje = (n.º marcados ÷ 7) × 100; «Ninguno» = 0  [R] revisar</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</si>
  <si>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</si>
  <si>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</si>
  <si>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</si>
  <si>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</si>
  <si>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</si>
  <si>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</si>
  <si>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</si>
  <si>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</si>
  <si>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</si>
  <si>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</si>
  <si>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</si>
  <si>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</si>
  <si>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</si>
  <si>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</si>
  <si>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</si>
  <si>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</si>
  <si>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</si>
  <si>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</si>
  <si>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</si>
  <si>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</si>
  <si>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</si>
  <si>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</si>
  <si>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</si>
  <si>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</si>
  <si>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</si>
  <si>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</si>
  <si>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</si>
  <si>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</si>
  <si>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</si>
  <si>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</si>
  <si>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</si>
  <si>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</si>
  <si>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</si>
  <si>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</si>
  <si>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</si>
  <si>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</si>
  <si>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</si>
  <si>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</si>
  <si>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</si>
  <si>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</si>
  <si>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</si>
  <si>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</si>
  <si>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</si>
  <si>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</si>
  <si>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</si>
  <si>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</si>
  <si>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</si>
  <si>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</si>
  <si>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</si>
  <si>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</si>
  <si>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</si>
  <si>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</si>
  <si>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</si>
  <si>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Cobertura ISA-PV (n de 7 componentes presentes; PPWR pendiente). ISA-PV se repondera sobre los componentes presentes.</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</si>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</sst>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457</v>
      </c>
      <c r="B1" s="65"/>
      <c r="C1" s="65"/>
      <c r="D1" s="65"/>
      <c r="E1" s="65"/>
      <c r="F1" s="65"/>
      <c r="G1" s="65"/>
      <c r="H1" s="65"/>
    </row>
    <row r="2" spans="1:8" ht="22.05" customHeight="1" x14ac:dyDescent="0.3">
      <c r="A2" s="65" t="s">
        <v>458</v>
      </c>
      <c r="B2" s="65"/>
      <c r="C2" s="65"/>
      <c r="D2" s="65"/>
      <c r="E2" s="65"/>
      <c r="F2" s="65"/>
      <c r="G2" s="65"/>
      <c r="H2" s="65"/>
    </row>
    <row r="4" spans="1:8" ht="18" customHeight="1" x14ac:dyDescent="0.3">
      <c r="A4" s="65" t="s">
        <v>459</v>
      </c>
      <c r="B4" s="65"/>
      <c r="C4" s="65"/>
      <c r="D4" s="65"/>
      <c r="E4" s="65"/>
      <c r="F4" s="65"/>
      <c r="G4" s="65"/>
      <c r="H4" s="65"/>
    </row>
    <row r="5" spans="1:8" x14ac:dyDescent="0.3">
      <c r="A5" s="66" t="s">
        <v>460</v>
      </c>
      <c r="B5" s="65"/>
      <c r="C5" s="65"/>
      <c r="D5" s="65"/>
      <c r="E5" s="65"/>
      <c r="F5" s="65"/>
      <c r="G5" s="65"/>
      <c r="H5" s="65"/>
    </row>
    <row r="7" spans="1:8" ht="18" customHeight="1" x14ac:dyDescent="0.3">
      <c r="A7" s="65" t="s">
        <v>461</v>
      </c>
      <c r="B7" s="65"/>
      <c r="C7" s="65"/>
      <c r="D7" s="65"/>
      <c r="E7" s="65"/>
      <c r="F7" s="65"/>
      <c r="G7" s="65"/>
      <c r="H7" s="65"/>
    </row>
    <row r="8" spans="1:8" x14ac:dyDescent="0.3">
      <c r="A8" s="66" t="s">
        <v>462</v>
      </c>
      <c r="B8" s="65"/>
      <c r="C8" s="65"/>
      <c r="D8" s="65"/>
      <c r="E8" s="65"/>
      <c r="F8" s="65"/>
      <c r="G8" s="65"/>
      <c r="H8" s="65"/>
    </row>
    <row r="10" spans="1:8" ht="18" customHeight="1" x14ac:dyDescent="0.3">
      <c r="A10" s="65" t="s">
        <v>463</v>
      </c>
      <c r="B10" s="65"/>
      <c r="C10" s="65"/>
      <c r="D10" s="65"/>
      <c r="E10" s="65"/>
      <c r="F10" s="65"/>
      <c r="G10" s="65"/>
      <c r="H10" s="65"/>
    </row>
    <row r="11" spans="1:8" x14ac:dyDescent="0.3">
      <c r="A11" t="s">
        <v>464</v>
      </c>
      <c r="B11" s="65" t="s">
        <v>465</v>
      </c>
      <c r="C11" s="65"/>
      <c r="D11" s="65"/>
      <c r="E11" s="65"/>
      <c r="F11" s="65"/>
      <c r="G11" s="65"/>
      <c r="H11" s="65"/>
    </row>
    <row r="12" spans="1:8" x14ac:dyDescent="0.3">
      <c r="A12" t="s">
        <v>466</v>
      </c>
      <c r="B12" s="65" t="s">
        <v>467</v>
      </c>
      <c r="C12" s="65"/>
      <c r="D12" s="65"/>
      <c r="E12" s="65"/>
      <c r="F12" s="65"/>
      <c r="G12" s="65"/>
      <c r="H12" s="65"/>
    </row>
    <row r="13" spans="1:8" x14ac:dyDescent="0.3">
      <c r="A13" t="s">
        <v>468</v>
      </c>
      <c r="B13" s="65" t="s">
        <v>1545</v>
      </c>
      <c r="C13" s="65"/>
      <c r="D13" s="65"/>
      <c r="E13" s="65"/>
      <c r="F13" s="65"/>
      <c r="G13" s="65"/>
      <c r="H13" s="65"/>
    </row>
    <row r="14" spans="1:8" x14ac:dyDescent="0.3">
      <c r="A14" t="s">
        <v>469</v>
      </c>
      <c r="B14" s="65" t="s">
        <v>470</v>
      </c>
      <c r="C14" s="65"/>
      <c r="D14" s="65"/>
      <c r="E14" s="65"/>
      <c r="F14" s="65"/>
      <c r="G14" s="65"/>
      <c r="H14" s="65"/>
    </row>
    <row r="15" spans="1:8" x14ac:dyDescent="0.3">
      <c r="A15" t="s">
        <v>471</v>
      </c>
      <c r="B15" s="65" t="s">
        <v>472</v>
      </c>
      <c r="C15" s="65"/>
      <c r="D15" s="65"/>
      <c r="E15" s="65"/>
      <c r="F15" s="65"/>
      <c r="G15" s="65"/>
      <c r="H15" s="65"/>
    </row>
    <row r="17" spans="1:8" ht="18" customHeight="1" x14ac:dyDescent="0.3">
      <c r="A17" s="65" t="s">
        <v>473</v>
      </c>
      <c r="B17" s="65"/>
      <c r="C17" s="65"/>
      <c r="D17" s="65"/>
      <c r="E17" s="65"/>
      <c r="F17" s="65"/>
      <c r="G17" s="65"/>
      <c r="H17" s="65"/>
    </row>
    <row r="18" spans="1:8" x14ac:dyDescent="0.3">
      <c r="A18" t="s">
        <v>474</v>
      </c>
      <c r="B18" s="65" t="s">
        <v>475</v>
      </c>
      <c r="C18" s="65"/>
      <c r="D18" s="65"/>
      <c r="E18" s="65"/>
      <c r="F18" s="65"/>
      <c r="G18" s="65"/>
      <c r="H18" s="65"/>
    </row>
    <row r="19" spans="1:8" x14ac:dyDescent="0.3">
      <c r="A19" t="s">
        <v>476</v>
      </c>
      <c r="B19" s="65" t="s">
        <v>477</v>
      </c>
      <c r="C19" s="65"/>
      <c r="D19" s="65"/>
      <c r="E19" s="65"/>
      <c r="F19" s="65"/>
      <c r="G19" s="65"/>
      <c r="H19" s="65"/>
    </row>
    <row r="20" spans="1:8" x14ac:dyDescent="0.3">
      <c r="A20" t="s">
        <v>478</v>
      </c>
      <c r="B20" s="65" t="s">
        <v>479</v>
      </c>
      <c r="C20" s="65"/>
      <c r="D20" s="65"/>
      <c r="E20" s="65"/>
      <c r="F20" s="65"/>
      <c r="G20" s="65"/>
      <c r="H20" s="65"/>
    </row>
    <row r="22" spans="1:8" ht="18" customHeight="1" x14ac:dyDescent="0.3">
      <c r="A22" s="65" t="s">
        <v>480</v>
      </c>
      <c r="B22" s="65"/>
      <c r="C22" s="65"/>
      <c r="D22" s="65"/>
      <c r="E22" s="65"/>
      <c r="F22" s="65"/>
      <c r="G22" s="65"/>
      <c r="H22" s="65"/>
    </row>
    <row r="23" spans="1:8" x14ac:dyDescent="0.3">
      <c r="A23" s="66" t="s">
        <v>481</v>
      </c>
      <c r="B23" s="65"/>
      <c r="C23" s="65"/>
      <c r="D23" s="65"/>
      <c r="E23" s="65"/>
      <c r="F23" s="65"/>
      <c r="G23" s="65"/>
      <c r="H23" s="65"/>
    </row>
    <row r="24" spans="1:8" x14ac:dyDescent="0.3">
      <c r="A24" s="66" t="s">
        <v>482</v>
      </c>
      <c r="B24" s="65"/>
      <c r="C24" s="65"/>
      <c r="D24" s="65"/>
      <c r="E24" s="65"/>
      <c r="F24" s="65"/>
      <c r="G24" s="65"/>
      <c r="H24" s="65"/>
    </row>
    <row r="25" spans="1:8" x14ac:dyDescent="0.3">
      <c r="A25" s="66" t="s">
        <v>483</v>
      </c>
      <c r="B25" s="65"/>
      <c r="C25" s="65"/>
      <c r="D25" s="65"/>
      <c r="E25" s="65"/>
      <c r="F25" s="65"/>
      <c r="G25" s="65"/>
      <c r="H25" s="65"/>
    </row>
    <row r="26" spans="1:8" x14ac:dyDescent="0.3">
      <c r="A26" s="66" t="s">
        <v>484</v>
      </c>
      <c r="B26" s="65"/>
      <c r="C26" s="65"/>
      <c r="D26" s="65"/>
      <c r="E26" s="65"/>
      <c r="F26" s="65"/>
      <c r="G26" s="65"/>
      <c r="H26" s="65"/>
    </row>
    <row r="27" spans="1:8" ht="78" customHeight="1" x14ac:dyDescent="0.3">
      <c r="A27" s="67" t="s">
        <v>1546</v>
      </c>
      <c r="B27" s="67"/>
      <c r="C27" s="67"/>
      <c r="D27" s="67"/>
      <c r="E27" s="67"/>
      <c r="F27" s="67"/>
      <c r="G27" s="67"/>
      <c r="H27" s="67"/>
    </row>
    <row r="29" spans="1:8" x14ac:dyDescent="0.3">
      <c r="A29" t="s">
        <v>485</v>
      </c>
    </row>
    <row r="30" spans="1:8" x14ac:dyDescent="0.3">
      <c r="A30" s="51" t="s">
        <v>486</v>
      </c>
      <c r="B30" s="66" t="s">
        <v>487</v>
      </c>
      <c r="C30" s="65"/>
      <c r="D30" s="65"/>
      <c r="E30" s="65"/>
      <c r="F30" s="65"/>
      <c r="G30" s="65"/>
      <c r="H30" s="65"/>
    </row>
    <row r="31" spans="1:8" x14ac:dyDescent="0.3">
      <c r="A31" s="51" t="s">
        <v>488</v>
      </c>
      <c r="B31" s="66" t="s">
        <v>489</v>
      </c>
      <c r="C31" s="65"/>
      <c r="D31" s="65"/>
      <c r="E31" s="65"/>
      <c r="F31" s="65"/>
      <c r="G31" s="65"/>
      <c r="H31" s="65"/>
    </row>
    <row r="32" spans="1:8" x14ac:dyDescent="0.3">
      <c r="A32" s="51" t="s">
        <v>490</v>
      </c>
      <c r="B32" s="66" t="s">
        <v>491</v>
      </c>
      <c r="C32" s="65"/>
      <c r="D32" s="65"/>
      <c r="E32" s="65"/>
      <c r="F32" s="65"/>
      <c r="G32" s="65"/>
      <c r="H32" s="65"/>
    </row>
    <row r="33" spans="1:8" x14ac:dyDescent="0.3">
      <c r="A33" s="51" t="s">
        <v>492</v>
      </c>
      <c r="B33" s="66" t="s">
        <v>493</v>
      </c>
      <c r="C33" s="65"/>
      <c r="D33" s="65"/>
      <c r="E33" s="65"/>
      <c r="F33" s="65"/>
      <c r="G33" s="65"/>
      <c r="H33" s="65"/>
    </row>
    <row r="34" spans="1:8" x14ac:dyDescent="0.3">
      <c r="A34" s="51" t="s">
        <v>494</v>
      </c>
      <c r="B34" s="66" t="s">
        <v>495</v>
      </c>
      <c r="C34" s="65"/>
      <c r="D34" s="65"/>
      <c r="E34" s="65"/>
      <c r="F34" s="65"/>
      <c r="G34" s="65"/>
      <c r="H34" s="65"/>
    </row>
    <row r="35" spans="1:8" x14ac:dyDescent="0.3">
      <c r="A35" s="51" t="s">
        <v>496</v>
      </c>
      <c r="B35" s="66" t="s">
        <v>497</v>
      </c>
      <c r="C35" s="65"/>
      <c r="D35" s="65"/>
      <c r="E35" s="65"/>
      <c r="F35" s="65"/>
      <c r="G35" s="65"/>
      <c r="H35" s="65"/>
    </row>
    <row r="36" spans="1:8" x14ac:dyDescent="0.3">
      <c r="A36" s="51" t="s">
        <v>498</v>
      </c>
      <c r="B36" s="66" t="s">
        <v>499</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500</v>
      </c>
      <c r="B1" s="65"/>
      <c r="C1" s="65"/>
      <c r="D1" s="65"/>
      <c r="E1" s="65"/>
      <c r="F1" s="65"/>
      <c r="G1" s="65"/>
    </row>
    <row r="2" spans="1:7" ht="28.05" customHeight="1" x14ac:dyDescent="0.3">
      <c r="A2" s="37" t="s">
        <v>501</v>
      </c>
      <c r="B2" s="37" t="s">
        <v>502</v>
      </c>
      <c r="C2" s="37" t="s">
        <v>503</v>
      </c>
      <c r="D2" s="37" t="s">
        <v>504</v>
      </c>
      <c r="E2" s="37" t="s">
        <v>505</v>
      </c>
      <c r="F2" s="37" t="s">
        <v>506</v>
      </c>
      <c r="G2" s="37" t="s">
        <v>507</v>
      </c>
    </row>
    <row r="3" spans="1:7" x14ac:dyDescent="0.3">
      <c r="A3" s="38" t="s">
        <v>508</v>
      </c>
      <c r="B3" s="39" t="s">
        <v>509</v>
      </c>
      <c r="C3" s="38" t="s">
        <v>510</v>
      </c>
      <c r="D3" s="38" t="s">
        <v>511</v>
      </c>
      <c r="E3" s="38" t="s">
        <v>512</v>
      </c>
      <c r="F3" s="38" t="s">
        <v>512</v>
      </c>
      <c r="G3" s="38" t="s">
        <v>513</v>
      </c>
    </row>
    <row r="4" spans="1:7" x14ac:dyDescent="0.3">
      <c r="A4" s="38" t="s">
        <v>508</v>
      </c>
      <c r="B4" s="39" t="s">
        <v>514</v>
      </c>
      <c r="C4" s="38" t="s">
        <v>510</v>
      </c>
      <c r="D4" s="38" t="s">
        <v>515</v>
      </c>
      <c r="E4" s="38" t="s">
        <v>512</v>
      </c>
      <c r="F4" s="38" t="s">
        <v>512</v>
      </c>
      <c r="G4" s="38" t="s">
        <v>516</v>
      </c>
    </row>
    <row r="5" spans="1:7" ht="48" customHeight="1" x14ac:dyDescent="0.3">
      <c r="A5" s="38" t="s">
        <v>508</v>
      </c>
      <c r="B5" s="39" t="s">
        <v>517</v>
      </c>
      <c r="C5" s="38" t="s">
        <v>510</v>
      </c>
      <c r="D5" s="38" t="s">
        <v>518</v>
      </c>
      <c r="E5" s="38" t="s">
        <v>519</v>
      </c>
      <c r="F5" s="38" t="s">
        <v>512</v>
      </c>
      <c r="G5" s="38" t="s">
        <v>520</v>
      </c>
    </row>
    <row r="6" spans="1:7" ht="24" customHeight="1" x14ac:dyDescent="0.3">
      <c r="A6" s="38" t="s">
        <v>521</v>
      </c>
      <c r="B6" s="39" t="s">
        <v>522</v>
      </c>
      <c r="C6" s="38" t="s">
        <v>510</v>
      </c>
      <c r="D6" s="38" t="s">
        <v>523</v>
      </c>
      <c r="E6" s="38" t="s">
        <v>515</v>
      </c>
      <c r="F6" s="38" t="s">
        <v>512</v>
      </c>
      <c r="G6" s="38" t="s">
        <v>524</v>
      </c>
    </row>
    <row r="7" spans="1:7" ht="36" customHeight="1" x14ac:dyDescent="0.3">
      <c r="A7" s="38" t="s">
        <v>521</v>
      </c>
      <c r="B7" s="39" t="s">
        <v>525</v>
      </c>
      <c r="C7" s="38" t="s">
        <v>510</v>
      </c>
      <c r="D7" s="38" t="s">
        <v>21</v>
      </c>
      <c r="E7" s="38" t="s">
        <v>526</v>
      </c>
      <c r="F7" s="38" t="s">
        <v>512</v>
      </c>
      <c r="G7" s="38" t="s">
        <v>527</v>
      </c>
    </row>
    <row r="8" spans="1:7" ht="24" customHeight="1" x14ac:dyDescent="0.3">
      <c r="A8" s="38" t="s">
        <v>521</v>
      </c>
      <c r="B8" s="39" t="s">
        <v>528</v>
      </c>
      <c r="C8" s="38" t="s">
        <v>510</v>
      </c>
      <c r="D8" s="38" t="s">
        <v>529</v>
      </c>
      <c r="E8" s="38" t="s">
        <v>530</v>
      </c>
      <c r="F8" s="38" t="s">
        <v>512</v>
      </c>
      <c r="G8" s="38" t="s">
        <v>531</v>
      </c>
    </row>
    <row r="9" spans="1:7" ht="24" customHeight="1" x14ac:dyDescent="0.3">
      <c r="A9" s="38" t="s">
        <v>521</v>
      </c>
      <c r="B9" s="39" t="s">
        <v>532</v>
      </c>
      <c r="C9" s="38" t="s">
        <v>510</v>
      </c>
      <c r="D9" s="38" t="s">
        <v>533</v>
      </c>
      <c r="E9" s="38" t="s">
        <v>530</v>
      </c>
      <c r="F9" s="38" t="s">
        <v>512</v>
      </c>
      <c r="G9" s="38" t="s">
        <v>534</v>
      </c>
    </row>
    <row r="10" spans="1:7" ht="24" customHeight="1" x14ac:dyDescent="0.3">
      <c r="A10" s="38" t="s">
        <v>521</v>
      </c>
      <c r="B10" s="39" t="s">
        <v>535</v>
      </c>
      <c r="C10" s="38" t="s">
        <v>510</v>
      </c>
      <c r="D10" s="38" t="s">
        <v>536</v>
      </c>
      <c r="E10" s="38" t="s">
        <v>537</v>
      </c>
      <c r="F10" s="38" t="s">
        <v>538</v>
      </c>
      <c r="G10" s="38" t="s">
        <v>539</v>
      </c>
    </row>
    <row r="11" spans="1:7" ht="24" customHeight="1" x14ac:dyDescent="0.3">
      <c r="A11" s="38" t="s">
        <v>521</v>
      </c>
      <c r="B11" s="39" t="s">
        <v>540</v>
      </c>
      <c r="C11" s="38" t="s">
        <v>510</v>
      </c>
      <c r="D11" s="38" t="s">
        <v>541</v>
      </c>
      <c r="E11" s="38" t="s">
        <v>542</v>
      </c>
      <c r="F11" s="38" t="s">
        <v>512</v>
      </c>
      <c r="G11" s="38" t="s">
        <v>543</v>
      </c>
    </row>
    <row r="12" spans="1:7" ht="24" customHeight="1" x14ac:dyDescent="0.3">
      <c r="A12" s="38" t="s">
        <v>521</v>
      </c>
      <c r="B12" s="39" t="s">
        <v>544</v>
      </c>
      <c r="C12" s="38" t="s">
        <v>510</v>
      </c>
      <c r="D12" s="38" t="s">
        <v>545</v>
      </c>
      <c r="E12" s="38" t="s">
        <v>546</v>
      </c>
      <c r="F12" s="38" t="s">
        <v>512</v>
      </c>
      <c r="G12" s="38" t="s">
        <v>547</v>
      </c>
    </row>
    <row r="13" spans="1:7" ht="24" customHeight="1" x14ac:dyDescent="0.3">
      <c r="A13" s="40" t="s">
        <v>521</v>
      </c>
      <c r="B13" s="41" t="s">
        <v>548</v>
      </c>
      <c r="C13" s="40" t="s">
        <v>510</v>
      </c>
      <c r="D13" s="40" t="s">
        <v>549</v>
      </c>
      <c r="E13" s="40" t="s">
        <v>550</v>
      </c>
      <c r="F13" s="40" t="s">
        <v>551</v>
      </c>
      <c r="G13" s="40" t="s">
        <v>552</v>
      </c>
    </row>
    <row r="14" spans="1:7" ht="24" customHeight="1" x14ac:dyDescent="0.3">
      <c r="A14" s="38" t="s">
        <v>521</v>
      </c>
      <c r="B14" s="39" t="s">
        <v>553</v>
      </c>
      <c r="C14" s="38" t="s">
        <v>510</v>
      </c>
      <c r="D14" s="38" t="s">
        <v>554</v>
      </c>
      <c r="E14" s="38" t="s">
        <v>550</v>
      </c>
      <c r="F14" s="38" t="s">
        <v>555</v>
      </c>
      <c r="G14" s="38" t="s">
        <v>556</v>
      </c>
    </row>
    <row r="15" spans="1:7" ht="24" customHeight="1" x14ac:dyDescent="0.3">
      <c r="A15" s="38" t="s">
        <v>521</v>
      </c>
      <c r="B15" s="39" t="s">
        <v>557</v>
      </c>
      <c r="C15" s="38" t="s">
        <v>510</v>
      </c>
      <c r="D15" s="38" t="s">
        <v>558</v>
      </c>
      <c r="E15" s="38" t="s">
        <v>537</v>
      </c>
      <c r="F15" s="38" t="s">
        <v>559</v>
      </c>
      <c r="G15" s="38" t="s">
        <v>560</v>
      </c>
    </row>
    <row r="16" spans="1:7" ht="24" customHeight="1" x14ac:dyDescent="0.3">
      <c r="A16" s="38" t="s">
        <v>521</v>
      </c>
      <c r="B16" s="39" t="s">
        <v>561</v>
      </c>
      <c r="C16" s="38" t="s">
        <v>510</v>
      </c>
      <c r="D16" s="38" t="s">
        <v>562</v>
      </c>
      <c r="E16" s="38" t="s">
        <v>537</v>
      </c>
      <c r="F16" s="38" t="s">
        <v>563</v>
      </c>
      <c r="G16" s="38" t="s">
        <v>560</v>
      </c>
    </row>
    <row r="17" spans="1:7" ht="24" customHeight="1" x14ac:dyDescent="0.3">
      <c r="A17" s="38" t="s">
        <v>521</v>
      </c>
      <c r="B17" s="39" t="s">
        <v>564</v>
      </c>
      <c r="C17" s="38" t="s">
        <v>510</v>
      </c>
      <c r="D17" s="38" t="s">
        <v>565</v>
      </c>
      <c r="E17" s="38" t="s">
        <v>546</v>
      </c>
      <c r="F17" s="38" t="s">
        <v>512</v>
      </c>
      <c r="G17" s="38" t="s">
        <v>566</v>
      </c>
    </row>
    <row r="18" spans="1:7" ht="36" customHeight="1" x14ac:dyDescent="0.3">
      <c r="A18" s="38" t="s">
        <v>521</v>
      </c>
      <c r="B18" s="39" t="s">
        <v>567</v>
      </c>
      <c r="C18" s="38" t="s">
        <v>510</v>
      </c>
      <c r="D18" s="38" t="s">
        <v>568</v>
      </c>
      <c r="E18" s="38" t="s">
        <v>537</v>
      </c>
      <c r="F18" s="38" t="s">
        <v>569</v>
      </c>
      <c r="G18" s="38" t="s">
        <v>570</v>
      </c>
    </row>
    <row r="19" spans="1:7" ht="36" customHeight="1" x14ac:dyDescent="0.3">
      <c r="A19" s="38" t="s">
        <v>521</v>
      </c>
      <c r="B19" s="39" t="s">
        <v>571</v>
      </c>
      <c r="C19" s="38" t="s">
        <v>510</v>
      </c>
      <c r="D19" s="38" t="s">
        <v>572</v>
      </c>
      <c r="E19" s="38" t="s">
        <v>537</v>
      </c>
      <c r="F19" s="38" t="s">
        <v>573</v>
      </c>
      <c r="G19" s="38" t="s">
        <v>570</v>
      </c>
    </row>
    <row r="20" spans="1:7" ht="24" customHeight="1" x14ac:dyDescent="0.3">
      <c r="A20" s="42" t="s">
        <v>521</v>
      </c>
      <c r="B20" s="43" t="s">
        <v>574</v>
      </c>
      <c r="C20" s="42" t="s">
        <v>510</v>
      </c>
      <c r="D20" s="42" t="s">
        <v>575</v>
      </c>
      <c r="E20" s="42" t="s">
        <v>537</v>
      </c>
      <c r="F20" s="42" t="s">
        <v>576</v>
      </c>
      <c r="G20" s="42" t="s">
        <v>577</v>
      </c>
    </row>
    <row r="21" spans="1:7" ht="24" customHeight="1" x14ac:dyDescent="0.3">
      <c r="A21" s="42" t="s">
        <v>521</v>
      </c>
      <c r="B21" s="43" t="s">
        <v>578</v>
      </c>
      <c r="C21" s="42" t="s">
        <v>510</v>
      </c>
      <c r="D21" s="42" t="s">
        <v>579</v>
      </c>
      <c r="E21" s="42" t="s">
        <v>515</v>
      </c>
      <c r="F21" s="42" t="s">
        <v>512</v>
      </c>
      <c r="G21" s="42" t="s">
        <v>580</v>
      </c>
    </row>
    <row r="22" spans="1:7" ht="24" customHeight="1" x14ac:dyDescent="0.3">
      <c r="A22" s="42" t="s">
        <v>521</v>
      </c>
      <c r="B22" s="43" t="s">
        <v>581</v>
      </c>
      <c r="C22" s="42" t="s">
        <v>510</v>
      </c>
      <c r="D22" s="42" t="s">
        <v>582</v>
      </c>
      <c r="E22" s="42" t="s">
        <v>537</v>
      </c>
      <c r="F22" s="42" t="s">
        <v>583</v>
      </c>
      <c r="G22" s="42" t="s">
        <v>584</v>
      </c>
    </row>
    <row r="23" spans="1:7" ht="24" customHeight="1" x14ac:dyDescent="0.3">
      <c r="A23" s="38" t="s">
        <v>585</v>
      </c>
      <c r="B23" s="39" t="s">
        <v>5</v>
      </c>
      <c r="C23" s="38" t="s">
        <v>586</v>
      </c>
      <c r="D23" s="38" t="s">
        <v>587</v>
      </c>
      <c r="E23" s="38" t="s">
        <v>530</v>
      </c>
      <c r="F23" s="38" t="s">
        <v>512</v>
      </c>
      <c r="G23" s="38" t="s">
        <v>588</v>
      </c>
    </row>
    <row r="24" spans="1:7" ht="24" customHeight="1" x14ac:dyDescent="0.3">
      <c r="A24" s="38" t="s">
        <v>585</v>
      </c>
      <c r="B24" s="39" t="s">
        <v>589</v>
      </c>
      <c r="C24" s="38" t="s">
        <v>586</v>
      </c>
      <c r="D24" s="38" t="s">
        <v>590</v>
      </c>
      <c r="E24" s="38" t="s">
        <v>530</v>
      </c>
      <c r="F24" s="38" t="s">
        <v>512</v>
      </c>
      <c r="G24" s="38" t="s">
        <v>588</v>
      </c>
    </row>
    <row r="25" spans="1:7" ht="24" customHeight="1" x14ac:dyDescent="0.3">
      <c r="A25" s="38" t="s">
        <v>585</v>
      </c>
      <c r="B25" s="39" t="s">
        <v>6</v>
      </c>
      <c r="C25" s="38" t="s">
        <v>586</v>
      </c>
      <c r="D25" s="38" t="s">
        <v>591</v>
      </c>
      <c r="E25" s="38" t="s">
        <v>530</v>
      </c>
      <c r="F25" s="38" t="s">
        <v>512</v>
      </c>
      <c r="G25" s="38" t="s">
        <v>592</v>
      </c>
    </row>
    <row r="26" spans="1:7" ht="24" customHeight="1" x14ac:dyDescent="0.3">
      <c r="A26" s="38" t="s">
        <v>585</v>
      </c>
      <c r="B26" s="39" t="s">
        <v>7</v>
      </c>
      <c r="C26" s="38" t="s">
        <v>586</v>
      </c>
      <c r="D26" s="38" t="s">
        <v>593</v>
      </c>
      <c r="E26" s="38" t="s">
        <v>530</v>
      </c>
      <c r="F26" s="38" t="s">
        <v>512</v>
      </c>
      <c r="G26" s="38" t="s">
        <v>594</v>
      </c>
    </row>
    <row r="27" spans="1:7" ht="24" customHeight="1" x14ac:dyDescent="0.3">
      <c r="A27" s="38" t="s">
        <v>585</v>
      </c>
      <c r="B27" s="39" t="s">
        <v>8</v>
      </c>
      <c r="C27" s="38" t="s">
        <v>586</v>
      </c>
      <c r="D27" s="38" t="s">
        <v>595</v>
      </c>
      <c r="E27" s="38" t="s">
        <v>596</v>
      </c>
      <c r="F27" s="38" t="s">
        <v>512</v>
      </c>
      <c r="G27" s="38" t="s">
        <v>588</v>
      </c>
    </row>
    <row r="28" spans="1:7" ht="24" customHeight="1" x14ac:dyDescent="0.3">
      <c r="A28" s="38" t="s">
        <v>585</v>
      </c>
      <c r="B28" s="39" t="s">
        <v>9</v>
      </c>
      <c r="C28" s="38" t="s">
        <v>586</v>
      </c>
      <c r="D28" s="38" t="s">
        <v>597</v>
      </c>
      <c r="E28" s="38" t="s">
        <v>596</v>
      </c>
      <c r="F28" s="38" t="s">
        <v>512</v>
      </c>
      <c r="G28" s="38" t="s">
        <v>592</v>
      </c>
    </row>
    <row r="29" spans="1:7" ht="24" customHeight="1" x14ac:dyDescent="0.3">
      <c r="A29" s="38" t="s">
        <v>585</v>
      </c>
      <c r="B29" s="39" t="s">
        <v>10</v>
      </c>
      <c r="C29" s="38" t="s">
        <v>586</v>
      </c>
      <c r="D29" s="38" t="s">
        <v>598</v>
      </c>
      <c r="E29" s="38" t="s">
        <v>515</v>
      </c>
      <c r="F29" s="38" t="s">
        <v>512</v>
      </c>
      <c r="G29" s="38" t="s">
        <v>599</v>
      </c>
    </row>
    <row r="30" spans="1:7" ht="24" customHeight="1" x14ac:dyDescent="0.3">
      <c r="A30" s="38" t="s">
        <v>585</v>
      </c>
      <c r="B30" s="39" t="s">
        <v>11</v>
      </c>
      <c r="C30" s="38" t="s">
        <v>586</v>
      </c>
      <c r="D30" s="38" t="s">
        <v>600</v>
      </c>
      <c r="E30" s="38" t="s">
        <v>515</v>
      </c>
      <c r="F30" s="38" t="s">
        <v>512</v>
      </c>
      <c r="G30" s="38" t="s">
        <v>599</v>
      </c>
    </row>
    <row r="31" spans="1:7" ht="24" customHeight="1" x14ac:dyDescent="0.3">
      <c r="A31" s="38" t="s">
        <v>585</v>
      </c>
      <c r="B31" s="39" t="s">
        <v>12</v>
      </c>
      <c r="C31" s="38" t="s">
        <v>586</v>
      </c>
      <c r="D31" s="38" t="s">
        <v>601</v>
      </c>
      <c r="E31" s="38" t="s">
        <v>537</v>
      </c>
      <c r="F31" s="38" t="s">
        <v>602</v>
      </c>
      <c r="G31" s="38" t="s">
        <v>603</v>
      </c>
    </row>
    <row r="32" spans="1:7" ht="24" customHeight="1" x14ac:dyDescent="0.3">
      <c r="A32" s="38" t="s">
        <v>585</v>
      </c>
      <c r="B32" s="39" t="s">
        <v>13</v>
      </c>
      <c r="C32" s="38" t="s">
        <v>586</v>
      </c>
      <c r="D32" s="38" t="s">
        <v>604</v>
      </c>
      <c r="E32" s="38" t="s">
        <v>542</v>
      </c>
      <c r="F32" s="38" t="s">
        <v>512</v>
      </c>
      <c r="G32" s="38" t="s">
        <v>605</v>
      </c>
    </row>
    <row r="33" spans="1:7" ht="24" customHeight="1" x14ac:dyDescent="0.3">
      <c r="A33" s="38" t="s">
        <v>585</v>
      </c>
      <c r="B33" s="39" t="s">
        <v>14</v>
      </c>
      <c r="C33" s="38" t="s">
        <v>586</v>
      </c>
      <c r="D33" s="38" t="s">
        <v>606</v>
      </c>
      <c r="E33" s="38" t="s">
        <v>537</v>
      </c>
      <c r="F33" s="38" t="s">
        <v>602</v>
      </c>
      <c r="G33" s="38" t="s">
        <v>607</v>
      </c>
    </row>
    <row r="34" spans="1:7" ht="24" customHeight="1" x14ac:dyDescent="0.3">
      <c r="A34" s="38" t="s">
        <v>585</v>
      </c>
      <c r="B34" s="39" t="s">
        <v>15</v>
      </c>
      <c r="C34" s="38" t="s">
        <v>586</v>
      </c>
      <c r="D34" s="38" t="s">
        <v>608</v>
      </c>
      <c r="E34" s="38" t="s">
        <v>546</v>
      </c>
      <c r="F34" s="38" t="s">
        <v>512</v>
      </c>
      <c r="G34" s="38" t="s">
        <v>609</v>
      </c>
    </row>
    <row r="35" spans="1:7" ht="24" customHeight="1" x14ac:dyDescent="0.3">
      <c r="A35" s="38" t="s">
        <v>585</v>
      </c>
      <c r="B35" s="39" t="s">
        <v>16</v>
      </c>
      <c r="C35" s="38" t="s">
        <v>586</v>
      </c>
      <c r="D35" s="38" t="s">
        <v>610</v>
      </c>
      <c r="E35" s="38" t="s">
        <v>596</v>
      </c>
      <c r="F35" s="38" t="s">
        <v>512</v>
      </c>
      <c r="G35" s="38" t="s">
        <v>611</v>
      </c>
    </row>
    <row r="36" spans="1:7" ht="36" customHeight="1" x14ac:dyDescent="0.3">
      <c r="A36" s="38" t="s">
        <v>585</v>
      </c>
      <c r="B36" s="39" t="s">
        <v>17</v>
      </c>
      <c r="C36" s="38" t="s">
        <v>586</v>
      </c>
      <c r="D36" s="38" t="s">
        <v>612</v>
      </c>
      <c r="E36" s="38" t="s">
        <v>537</v>
      </c>
      <c r="F36" s="38" t="s">
        <v>613</v>
      </c>
      <c r="G36" s="38" t="s">
        <v>607</v>
      </c>
    </row>
    <row r="37" spans="1:7" ht="36" customHeight="1" x14ac:dyDescent="0.3">
      <c r="A37" s="38" t="s">
        <v>585</v>
      </c>
      <c r="B37" s="39" t="s">
        <v>18</v>
      </c>
      <c r="C37" s="38" t="s">
        <v>586</v>
      </c>
      <c r="D37" s="38" t="s">
        <v>614</v>
      </c>
      <c r="E37" s="38" t="s">
        <v>537</v>
      </c>
      <c r="F37" s="38" t="s">
        <v>615</v>
      </c>
      <c r="G37" s="38" t="s">
        <v>616</v>
      </c>
    </row>
    <row r="38" spans="1:7" ht="24" customHeight="1" x14ac:dyDescent="0.3">
      <c r="A38" s="38" t="s">
        <v>617</v>
      </c>
      <c r="B38" s="39" t="s">
        <v>618</v>
      </c>
      <c r="C38" s="38" t="s">
        <v>619</v>
      </c>
      <c r="D38" s="38" t="s">
        <v>620</v>
      </c>
      <c r="E38" s="38" t="s">
        <v>537</v>
      </c>
      <c r="F38" s="38" t="s">
        <v>621</v>
      </c>
      <c r="G38" s="38" t="s">
        <v>622</v>
      </c>
    </row>
    <row r="39" spans="1:7" ht="24" customHeight="1" x14ac:dyDescent="0.3">
      <c r="A39" s="38" t="s">
        <v>617</v>
      </c>
      <c r="B39" s="39" t="s">
        <v>623</v>
      </c>
      <c r="C39" s="38" t="s">
        <v>619</v>
      </c>
      <c r="D39" s="38" t="s">
        <v>624</v>
      </c>
      <c r="E39" s="38" t="s">
        <v>537</v>
      </c>
      <c r="F39" s="38" t="s">
        <v>625</v>
      </c>
      <c r="G39" s="38" t="s">
        <v>626</v>
      </c>
    </row>
    <row r="40" spans="1:7" ht="24" customHeight="1" x14ac:dyDescent="0.3">
      <c r="A40" s="38" t="s">
        <v>617</v>
      </c>
      <c r="B40" s="39" t="s">
        <v>627</v>
      </c>
      <c r="C40" s="38" t="s">
        <v>619</v>
      </c>
      <c r="D40" s="38" t="s">
        <v>628</v>
      </c>
      <c r="E40" s="38" t="s">
        <v>537</v>
      </c>
      <c r="F40" s="38" t="s">
        <v>629</v>
      </c>
      <c r="G40" s="38" t="s">
        <v>630</v>
      </c>
    </row>
    <row r="41" spans="1:7" ht="24" customHeight="1" x14ac:dyDescent="0.3">
      <c r="A41" s="38" t="s">
        <v>617</v>
      </c>
      <c r="B41" s="39" t="s">
        <v>631</v>
      </c>
      <c r="C41" s="38" t="s">
        <v>619</v>
      </c>
      <c r="D41" s="38" t="s">
        <v>632</v>
      </c>
      <c r="E41" s="38" t="s">
        <v>537</v>
      </c>
      <c r="F41" s="38" t="s">
        <v>602</v>
      </c>
      <c r="G41" s="38" t="s">
        <v>630</v>
      </c>
    </row>
    <row r="42" spans="1:7" ht="24" customHeight="1" x14ac:dyDescent="0.3">
      <c r="A42" s="42" t="s">
        <v>617</v>
      </c>
      <c r="B42" s="43" t="s">
        <v>633</v>
      </c>
      <c r="C42" s="42" t="s">
        <v>619</v>
      </c>
      <c r="D42" s="42" t="s">
        <v>634</v>
      </c>
      <c r="E42" s="42" t="s">
        <v>537</v>
      </c>
      <c r="F42" s="42" t="s">
        <v>635</v>
      </c>
      <c r="G42" s="42" t="s">
        <v>630</v>
      </c>
    </row>
    <row r="43" spans="1:7" ht="24" customHeight="1" x14ac:dyDescent="0.3">
      <c r="A43" s="38" t="s">
        <v>636</v>
      </c>
      <c r="B43" s="39" t="s">
        <v>637</v>
      </c>
      <c r="C43" s="38" t="s">
        <v>638</v>
      </c>
      <c r="D43" s="38" t="s">
        <v>639</v>
      </c>
      <c r="E43" s="38" t="s">
        <v>640</v>
      </c>
      <c r="F43" s="38" t="s">
        <v>641</v>
      </c>
      <c r="G43" s="38" t="s">
        <v>642</v>
      </c>
    </row>
    <row r="44" spans="1:7" ht="24" customHeight="1" x14ac:dyDescent="0.3">
      <c r="A44" s="38" t="s">
        <v>636</v>
      </c>
      <c r="B44" s="39" t="s">
        <v>643</v>
      </c>
      <c r="C44" s="38" t="s">
        <v>638</v>
      </c>
      <c r="D44" s="38" t="s">
        <v>644</v>
      </c>
      <c r="E44" s="38" t="s">
        <v>546</v>
      </c>
      <c r="F44" s="38" t="s">
        <v>512</v>
      </c>
      <c r="G44" s="38" t="s">
        <v>642</v>
      </c>
    </row>
    <row r="45" spans="1:7" ht="24" customHeight="1" x14ac:dyDescent="0.3">
      <c r="A45" s="38" t="s">
        <v>636</v>
      </c>
      <c r="B45" s="39" t="s">
        <v>645</v>
      </c>
      <c r="C45" s="38" t="s">
        <v>638</v>
      </c>
      <c r="D45" s="38" t="s">
        <v>646</v>
      </c>
      <c r="E45" s="38" t="s">
        <v>640</v>
      </c>
      <c r="F45" s="38" t="s">
        <v>647</v>
      </c>
      <c r="G45" s="38" t="s">
        <v>642</v>
      </c>
    </row>
    <row r="46" spans="1:7" ht="24" customHeight="1" x14ac:dyDescent="0.3">
      <c r="A46" s="38" t="s">
        <v>636</v>
      </c>
      <c r="B46" s="39" t="s">
        <v>648</v>
      </c>
      <c r="C46" s="38" t="s">
        <v>638</v>
      </c>
      <c r="D46" s="38" t="s">
        <v>649</v>
      </c>
      <c r="E46" s="38" t="s">
        <v>537</v>
      </c>
      <c r="F46" s="38" t="s">
        <v>650</v>
      </c>
      <c r="G46" s="38" t="s">
        <v>642</v>
      </c>
    </row>
    <row r="47" spans="1:7" ht="24" customHeight="1" x14ac:dyDescent="0.3">
      <c r="A47" s="38" t="s">
        <v>636</v>
      </c>
      <c r="B47" s="39" t="s">
        <v>651</v>
      </c>
      <c r="C47" s="38" t="s">
        <v>638</v>
      </c>
      <c r="D47" s="38" t="s">
        <v>652</v>
      </c>
      <c r="E47" s="38" t="s">
        <v>537</v>
      </c>
      <c r="F47" s="38" t="s">
        <v>653</v>
      </c>
      <c r="G47" s="38" t="s">
        <v>642</v>
      </c>
    </row>
    <row r="48" spans="1:7" ht="24" customHeight="1" x14ac:dyDescent="0.3">
      <c r="A48" s="38" t="s">
        <v>636</v>
      </c>
      <c r="B48" s="39" t="s">
        <v>654</v>
      </c>
      <c r="C48" s="38" t="s">
        <v>638</v>
      </c>
      <c r="D48" s="38" t="s">
        <v>655</v>
      </c>
      <c r="E48" s="38" t="s">
        <v>537</v>
      </c>
      <c r="F48" s="38" t="s">
        <v>656</v>
      </c>
      <c r="G48" s="38" t="s">
        <v>657</v>
      </c>
    </row>
    <row r="49" spans="1:7" ht="24" customHeight="1" x14ac:dyDescent="0.3">
      <c r="A49" s="42" t="s">
        <v>636</v>
      </c>
      <c r="B49" s="43" t="s">
        <v>658</v>
      </c>
      <c r="C49" s="42" t="s">
        <v>638</v>
      </c>
      <c r="D49" s="42" t="s">
        <v>659</v>
      </c>
      <c r="E49" s="42" t="s">
        <v>537</v>
      </c>
      <c r="F49" s="42" t="s">
        <v>660</v>
      </c>
      <c r="G49" s="42" t="s">
        <v>642</v>
      </c>
    </row>
    <row r="50" spans="1:7" ht="36" customHeight="1" x14ac:dyDescent="0.3">
      <c r="A50" s="42" t="s">
        <v>636</v>
      </c>
      <c r="B50" s="43" t="s">
        <v>661</v>
      </c>
      <c r="C50" s="42" t="s">
        <v>638</v>
      </c>
      <c r="D50" s="42" t="s">
        <v>662</v>
      </c>
      <c r="E50" s="42" t="s">
        <v>537</v>
      </c>
      <c r="F50" s="42" t="s">
        <v>663</v>
      </c>
      <c r="G50" s="42" t="s">
        <v>664</v>
      </c>
    </row>
    <row r="51" spans="1:7" ht="24" customHeight="1" x14ac:dyDescent="0.3">
      <c r="A51" s="38" t="s">
        <v>665</v>
      </c>
      <c r="B51" s="39" t="s">
        <v>666</v>
      </c>
      <c r="C51" s="38" t="s">
        <v>667</v>
      </c>
      <c r="D51" s="38" t="s">
        <v>668</v>
      </c>
      <c r="E51" s="38" t="s">
        <v>546</v>
      </c>
      <c r="F51" s="38" t="s">
        <v>512</v>
      </c>
      <c r="G51" s="38" t="s">
        <v>669</v>
      </c>
    </row>
    <row r="52" spans="1:7" ht="24" customHeight="1" x14ac:dyDescent="0.3">
      <c r="A52" s="40" t="s">
        <v>665</v>
      </c>
      <c r="B52" s="41" t="s">
        <v>670</v>
      </c>
      <c r="C52" s="40" t="s">
        <v>667</v>
      </c>
      <c r="D52" s="40" t="s">
        <v>671</v>
      </c>
      <c r="E52" s="40" t="s">
        <v>537</v>
      </c>
      <c r="F52" s="40" t="s">
        <v>672</v>
      </c>
      <c r="G52" s="40" t="s">
        <v>669</v>
      </c>
    </row>
    <row r="53" spans="1:7" ht="24" customHeight="1" x14ac:dyDescent="0.3">
      <c r="A53" s="38" t="s">
        <v>665</v>
      </c>
      <c r="B53" s="39" t="s">
        <v>673</v>
      </c>
      <c r="C53" s="38" t="s">
        <v>667</v>
      </c>
      <c r="D53" s="38" t="s">
        <v>674</v>
      </c>
      <c r="E53" s="38" t="s">
        <v>640</v>
      </c>
      <c r="F53" s="38" t="s">
        <v>647</v>
      </c>
      <c r="G53" s="38" t="s">
        <v>669</v>
      </c>
    </row>
    <row r="54" spans="1:7" ht="24" customHeight="1" x14ac:dyDescent="0.3">
      <c r="A54" s="38" t="s">
        <v>665</v>
      </c>
      <c r="B54" s="39" t="s">
        <v>675</v>
      </c>
      <c r="C54" s="38" t="s">
        <v>667</v>
      </c>
      <c r="D54" s="38" t="s">
        <v>676</v>
      </c>
      <c r="E54" s="38" t="s">
        <v>537</v>
      </c>
      <c r="F54" s="38" t="s">
        <v>677</v>
      </c>
      <c r="G54" s="38" t="s">
        <v>669</v>
      </c>
    </row>
    <row r="55" spans="1:7" ht="24" customHeight="1" x14ac:dyDescent="0.3">
      <c r="A55" s="38" t="s">
        <v>665</v>
      </c>
      <c r="B55" s="39" t="s">
        <v>678</v>
      </c>
      <c r="C55" s="38" t="s">
        <v>667</v>
      </c>
      <c r="D55" s="38" t="s">
        <v>679</v>
      </c>
      <c r="E55" s="38" t="s">
        <v>537</v>
      </c>
      <c r="F55" s="38" t="s">
        <v>680</v>
      </c>
      <c r="G55" s="38" t="s">
        <v>669</v>
      </c>
    </row>
    <row r="56" spans="1:7" ht="24" customHeight="1" x14ac:dyDescent="0.3">
      <c r="A56" s="38" t="s">
        <v>665</v>
      </c>
      <c r="B56" s="39" t="s">
        <v>681</v>
      </c>
      <c r="C56" s="38" t="s">
        <v>667</v>
      </c>
      <c r="D56" s="38" t="s">
        <v>682</v>
      </c>
      <c r="E56" s="38" t="s">
        <v>537</v>
      </c>
      <c r="F56" s="38" t="s">
        <v>683</v>
      </c>
      <c r="G56" s="38" t="s">
        <v>669</v>
      </c>
    </row>
    <row r="57" spans="1:7" ht="24" customHeight="1" x14ac:dyDescent="0.3">
      <c r="A57" s="38" t="s">
        <v>665</v>
      </c>
      <c r="B57" s="39" t="s">
        <v>684</v>
      </c>
      <c r="C57" s="38" t="s">
        <v>667</v>
      </c>
      <c r="D57" s="38" t="s">
        <v>685</v>
      </c>
      <c r="E57" s="38" t="s">
        <v>537</v>
      </c>
      <c r="F57" s="38" t="s">
        <v>602</v>
      </c>
      <c r="G57" s="38" t="s">
        <v>669</v>
      </c>
    </row>
    <row r="58" spans="1:7" ht="72" customHeight="1" x14ac:dyDescent="0.3">
      <c r="A58" s="38" t="s">
        <v>665</v>
      </c>
      <c r="B58" s="39" t="s">
        <v>686</v>
      </c>
      <c r="C58" s="38" t="s">
        <v>667</v>
      </c>
      <c r="D58" s="38" t="s">
        <v>687</v>
      </c>
      <c r="E58" s="38" t="s">
        <v>537</v>
      </c>
      <c r="F58" s="38" t="s">
        <v>688</v>
      </c>
      <c r="G58" s="38" t="s">
        <v>669</v>
      </c>
    </row>
    <row r="59" spans="1:7" ht="24" customHeight="1" x14ac:dyDescent="0.3">
      <c r="A59" s="38" t="s">
        <v>665</v>
      </c>
      <c r="B59" s="39" t="s">
        <v>689</v>
      </c>
      <c r="C59" s="38" t="s">
        <v>667</v>
      </c>
      <c r="D59" s="38" t="s">
        <v>690</v>
      </c>
      <c r="E59" s="38" t="s">
        <v>537</v>
      </c>
      <c r="F59" s="38" t="s">
        <v>691</v>
      </c>
      <c r="G59" s="38" t="s">
        <v>669</v>
      </c>
    </row>
    <row r="60" spans="1:7" ht="24" customHeight="1" x14ac:dyDescent="0.3">
      <c r="A60" s="38" t="s">
        <v>665</v>
      </c>
      <c r="B60" s="39" t="s">
        <v>692</v>
      </c>
      <c r="C60" s="38" t="s">
        <v>667</v>
      </c>
      <c r="D60" s="38" t="s">
        <v>693</v>
      </c>
      <c r="E60" s="38" t="s">
        <v>537</v>
      </c>
      <c r="F60" s="38" t="s">
        <v>694</v>
      </c>
      <c r="G60" s="38" t="s">
        <v>669</v>
      </c>
    </row>
    <row r="61" spans="1:7" ht="36" customHeight="1" x14ac:dyDescent="0.3">
      <c r="A61" s="38" t="s">
        <v>665</v>
      </c>
      <c r="B61" s="39" t="s">
        <v>695</v>
      </c>
      <c r="C61" s="38" t="s">
        <v>667</v>
      </c>
      <c r="D61" s="38" t="s">
        <v>696</v>
      </c>
      <c r="E61" s="38" t="s">
        <v>537</v>
      </c>
      <c r="F61" s="38" t="s">
        <v>697</v>
      </c>
      <c r="G61" s="38" t="s">
        <v>669</v>
      </c>
    </row>
    <row r="62" spans="1:7" ht="36" customHeight="1" x14ac:dyDescent="0.3">
      <c r="A62" s="42" t="s">
        <v>665</v>
      </c>
      <c r="B62" s="43" t="s">
        <v>698</v>
      </c>
      <c r="C62" s="42" t="s">
        <v>667</v>
      </c>
      <c r="D62" s="42" t="s">
        <v>699</v>
      </c>
      <c r="E62" s="42" t="s">
        <v>537</v>
      </c>
      <c r="F62" s="42" t="s">
        <v>700</v>
      </c>
      <c r="G62" s="42" t="s">
        <v>669</v>
      </c>
    </row>
    <row r="63" spans="1:7" ht="24" customHeight="1" x14ac:dyDescent="0.3">
      <c r="A63" s="42" t="s">
        <v>665</v>
      </c>
      <c r="B63" s="43" t="s">
        <v>701</v>
      </c>
      <c r="C63" s="42" t="s">
        <v>667</v>
      </c>
      <c r="D63" s="42" t="s">
        <v>702</v>
      </c>
      <c r="E63" s="42" t="s">
        <v>537</v>
      </c>
      <c r="F63" s="42" t="s">
        <v>703</v>
      </c>
      <c r="G63" s="42" t="s">
        <v>704</v>
      </c>
    </row>
    <row r="64" spans="1:7" ht="36" customHeight="1" x14ac:dyDescent="0.3">
      <c r="A64" s="40" t="s">
        <v>705</v>
      </c>
      <c r="B64" s="41" t="s">
        <v>706</v>
      </c>
      <c r="C64" s="40" t="s">
        <v>707</v>
      </c>
      <c r="D64" s="40" t="s">
        <v>708</v>
      </c>
      <c r="E64" s="40" t="s">
        <v>537</v>
      </c>
      <c r="F64" s="40" t="s">
        <v>709</v>
      </c>
      <c r="G64" s="40" t="s">
        <v>710</v>
      </c>
    </row>
    <row r="65" spans="1:7" ht="24" customHeight="1" x14ac:dyDescent="0.3">
      <c r="A65" s="38" t="s">
        <v>705</v>
      </c>
      <c r="B65" s="39" t="s">
        <v>711</v>
      </c>
      <c r="C65" s="38" t="s">
        <v>707</v>
      </c>
      <c r="D65" s="38" t="s">
        <v>712</v>
      </c>
      <c r="E65" s="38" t="s">
        <v>640</v>
      </c>
      <c r="F65" s="38" t="s">
        <v>647</v>
      </c>
      <c r="G65" s="38" t="s">
        <v>710</v>
      </c>
    </row>
    <row r="66" spans="1:7" ht="24" customHeight="1" x14ac:dyDescent="0.3">
      <c r="A66" s="38" t="s">
        <v>705</v>
      </c>
      <c r="B66" s="39" t="s">
        <v>713</v>
      </c>
      <c r="C66" s="38" t="s">
        <v>707</v>
      </c>
      <c r="D66" s="38" t="s">
        <v>714</v>
      </c>
      <c r="E66" s="38" t="s">
        <v>537</v>
      </c>
      <c r="F66" s="38" t="s">
        <v>715</v>
      </c>
      <c r="G66" s="38" t="s">
        <v>710</v>
      </c>
    </row>
    <row r="67" spans="1:7" ht="24" customHeight="1" x14ac:dyDescent="0.3">
      <c r="A67" s="42" t="s">
        <v>705</v>
      </c>
      <c r="B67" s="43" t="s">
        <v>716</v>
      </c>
      <c r="C67" s="42" t="s">
        <v>707</v>
      </c>
      <c r="D67" s="42" t="s">
        <v>717</v>
      </c>
      <c r="E67" s="42" t="s">
        <v>537</v>
      </c>
      <c r="F67" s="42" t="s">
        <v>718</v>
      </c>
      <c r="G67" s="42" t="s">
        <v>719</v>
      </c>
    </row>
    <row r="68" spans="1:7" ht="24" customHeight="1" x14ac:dyDescent="0.3">
      <c r="A68" s="38" t="s">
        <v>720</v>
      </c>
      <c r="B68" s="39" t="s">
        <v>721</v>
      </c>
      <c r="C68" s="38" t="s">
        <v>722</v>
      </c>
      <c r="D68" s="38" t="s">
        <v>723</v>
      </c>
      <c r="E68" s="38" t="s">
        <v>640</v>
      </c>
      <c r="F68" s="38" t="s">
        <v>647</v>
      </c>
      <c r="G68" s="38" t="s">
        <v>724</v>
      </c>
    </row>
    <row r="69" spans="1:7" ht="36" customHeight="1" x14ac:dyDescent="0.3">
      <c r="A69" s="38" t="s">
        <v>720</v>
      </c>
      <c r="B69" s="39" t="s">
        <v>725</v>
      </c>
      <c r="C69" s="38" t="s">
        <v>722</v>
      </c>
      <c r="D69" s="38" t="s">
        <v>726</v>
      </c>
      <c r="E69" s="38" t="s">
        <v>640</v>
      </c>
      <c r="F69" s="38" t="s">
        <v>647</v>
      </c>
      <c r="G69" s="38" t="s">
        <v>724</v>
      </c>
    </row>
    <row r="70" spans="1:7" ht="24" customHeight="1" x14ac:dyDescent="0.3">
      <c r="A70" s="38" t="s">
        <v>720</v>
      </c>
      <c r="B70" s="39" t="s">
        <v>727</v>
      </c>
      <c r="C70" s="38" t="s">
        <v>722</v>
      </c>
      <c r="D70" s="38" t="s">
        <v>728</v>
      </c>
      <c r="E70" s="38" t="s">
        <v>537</v>
      </c>
      <c r="F70" s="38" t="s">
        <v>729</v>
      </c>
      <c r="G70" s="38" t="s">
        <v>724</v>
      </c>
    </row>
    <row r="71" spans="1:7" ht="24" customHeight="1" x14ac:dyDescent="0.3">
      <c r="A71" s="38" t="s">
        <v>720</v>
      </c>
      <c r="B71" s="39" t="s">
        <v>730</v>
      </c>
      <c r="C71" s="38" t="s">
        <v>722</v>
      </c>
      <c r="D71" s="38" t="s">
        <v>731</v>
      </c>
      <c r="E71" s="38" t="s">
        <v>537</v>
      </c>
      <c r="F71" s="38" t="s">
        <v>732</v>
      </c>
      <c r="G71" s="38" t="s">
        <v>724</v>
      </c>
    </row>
    <row r="72" spans="1:7" ht="48" customHeight="1" x14ac:dyDescent="0.3">
      <c r="A72" s="38" t="s">
        <v>720</v>
      </c>
      <c r="B72" s="39" t="s">
        <v>733</v>
      </c>
      <c r="C72" s="38" t="s">
        <v>722</v>
      </c>
      <c r="D72" s="38" t="s">
        <v>734</v>
      </c>
      <c r="E72" s="38" t="s">
        <v>550</v>
      </c>
      <c r="F72" s="38" t="s">
        <v>735</v>
      </c>
      <c r="G72" s="38" t="s">
        <v>724</v>
      </c>
    </row>
    <row r="73" spans="1:7" ht="24" customHeight="1" x14ac:dyDescent="0.3">
      <c r="A73" s="38" t="s">
        <v>720</v>
      </c>
      <c r="B73" s="39" t="s">
        <v>736</v>
      </c>
      <c r="C73" s="38" t="s">
        <v>722</v>
      </c>
      <c r="D73" s="38" t="s">
        <v>737</v>
      </c>
      <c r="E73" s="38" t="s">
        <v>537</v>
      </c>
      <c r="F73" s="38" t="s">
        <v>738</v>
      </c>
      <c r="G73" s="38" t="s">
        <v>724</v>
      </c>
    </row>
    <row r="74" spans="1:7" ht="24" customHeight="1" x14ac:dyDescent="0.3">
      <c r="A74" s="38" t="s">
        <v>720</v>
      </c>
      <c r="B74" s="39" t="s">
        <v>739</v>
      </c>
      <c r="C74" s="38" t="s">
        <v>722</v>
      </c>
      <c r="D74" s="38" t="s">
        <v>740</v>
      </c>
      <c r="E74" s="38" t="s">
        <v>537</v>
      </c>
      <c r="F74" s="38" t="s">
        <v>741</v>
      </c>
      <c r="G74" s="38" t="s">
        <v>724</v>
      </c>
    </row>
    <row r="75" spans="1:7" ht="24" customHeight="1" x14ac:dyDescent="0.3">
      <c r="A75" s="38" t="s">
        <v>720</v>
      </c>
      <c r="B75" s="39" t="s">
        <v>742</v>
      </c>
      <c r="C75" s="38" t="s">
        <v>722</v>
      </c>
      <c r="D75" s="38" t="s">
        <v>743</v>
      </c>
      <c r="E75" s="38" t="s">
        <v>537</v>
      </c>
      <c r="F75" s="38" t="s">
        <v>744</v>
      </c>
      <c r="G75" s="38" t="s">
        <v>724</v>
      </c>
    </row>
    <row r="76" spans="1:7" ht="36" customHeight="1" x14ac:dyDescent="0.3">
      <c r="A76" s="38" t="s">
        <v>720</v>
      </c>
      <c r="B76" s="39" t="s">
        <v>745</v>
      </c>
      <c r="C76" s="38" t="s">
        <v>722</v>
      </c>
      <c r="D76" s="38" t="s">
        <v>746</v>
      </c>
      <c r="E76" s="38" t="s">
        <v>537</v>
      </c>
      <c r="F76" s="38" t="s">
        <v>747</v>
      </c>
      <c r="G76" s="38" t="s">
        <v>724</v>
      </c>
    </row>
    <row r="77" spans="1:7" ht="24" customHeight="1" x14ac:dyDescent="0.3">
      <c r="A77" s="40" t="s">
        <v>748</v>
      </c>
      <c r="B77" s="41" t="s">
        <v>749</v>
      </c>
      <c r="C77" s="40" t="s">
        <v>750</v>
      </c>
      <c r="D77" s="40" t="s">
        <v>751</v>
      </c>
      <c r="E77" s="40" t="s">
        <v>537</v>
      </c>
      <c r="F77" s="40" t="s">
        <v>752</v>
      </c>
      <c r="G77" s="40" t="s">
        <v>753</v>
      </c>
    </row>
    <row r="78" spans="1:7" ht="36" customHeight="1" x14ac:dyDescent="0.3">
      <c r="A78" s="38" t="s">
        <v>748</v>
      </c>
      <c r="B78" s="39" t="s">
        <v>754</v>
      </c>
      <c r="C78" s="38" t="s">
        <v>750</v>
      </c>
      <c r="D78" s="38" t="s">
        <v>755</v>
      </c>
      <c r="E78" s="38" t="s">
        <v>537</v>
      </c>
      <c r="F78" s="38" t="s">
        <v>756</v>
      </c>
      <c r="G78" s="38" t="s">
        <v>753</v>
      </c>
    </row>
    <row r="79" spans="1:7" ht="36" customHeight="1" x14ac:dyDescent="0.3">
      <c r="A79" s="38" t="s">
        <v>748</v>
      </c>
      <c r="B79" s="39" t="s">
        <v>757</v>
      </c>
      <c r="C79" s="38" t="s">
        <v>750</v>
      </c>
      <c r="D79" s="38" t="s">
        <v>758</v>
      </c>
      <c r="E79" s="38" t="s">
        <v>537</v>
      </c>
      <c r="F79" s="38" t="s">
        <v>759</v>
      </c>
      <c r="G79" s="38" t="s">
        <v>753</v>
      </c>
    </row>
    <row r="80" spans="1:7" ht="24" customHeight="1" x14ac:dyDescent="0.3">
      <c r="A80" s="38" t="s">
        <v>748</v>
      </c>
      <c r="B80" s="39" t="s">
        <v>760</v>
      </c>
      <c r="C80" s="38" t="s">
        <v>750</v>
      </c>
      <c r="D80" s="38" t="s">
        <v>761</v>
      </c>
      <c r="E80" s="38" t="s">
        <v>537</v>
      </c>
      <c r="F80" s="38" t="s">
        <v>762</v>
      </c>
      <c r="G80" s="38" t="s">
        <v>753</v>
      </c>
    </row>
    <row r="81" spans="1:7" ht="24" customHeight="1" x14ac:dyDescent="0.3">
      <c r="A81" s="38" t="s">
        <v>748</v>
      </c>
      <c r="B81" s="39" t="s">
        <v>763</v>
      </c>
      <c r="C81" s="38" t="s">
        <v>750</v>
      </c>
      <c r="D81" s="38" t="s">
        <v>764</v>
      </c>
      <c r="E81" s="38" t="s">
        <v>537</v>
      </c>
      <c r="F81" s="38" t="s">
        <v>765</v>
      </c>
      <c r="G81" s="38" t="s">
        <v>753</v>
      </c>
    </row>
    <row r="82" spans="1:7" ht="24" customHeight="1" x14ac:dyDescent="0.3">
      <c r="A82" s="38" t="s">
        <v>748</v>
      </c>
      <c r="B82" s="39" t="s">
        <v>766</v>
      </c>
      <c r="C82" s="38" t="s">
        <v>750</v>
      </c>
      <c r="D82" s="38" t="s">
        <v>767</v>
      </c>
      <c r="E82" s="38" t="s">
        <v>537</v>
      </c>
      <c r="F82" s="38" t="s">
        <v>768</v>
      </c>
      <c r="G82" s="38" t="s">
        <v>753</v>
      </c>
    </row>
    <row r="83" spans="1:7" ht="48" customHeight="1" x14ac:dyDescent="0.3">
      <c r="A83" s="38" t="s">
        <v>748</v>
      </c>
      <c r="B83" s="39" t="s">
        <v>769</v>
      </c>
      <c r="C83" s="38" t="s">
        <v>750</v>
      </c>
      <c r="D83" s="38" t="s">
        <v>770</v>
      </c>
      <c r="E83" s="38" t="s">
        <v>537</v>
      </c>
      <c r="F83" s="38" t="s">
        <v>771</v>
      </c>
      <c r="G83" s="38" t="s">
        <v>753</v>
      </c>
    </row>
    <row r="84" spans="1:7" ht="36" customHeight="1" x14ac:dyDescent="0.3">
      <c r="A84" s="38" t="s">
        <v>748</v>
      </c>
      <c r="B84" s="39" t="s">
        <v>772</v>
      </c>
      <c r="C84" s="38" t="s">
        <v>750</v>
      </c>
      <c r="D84" s="38" t="s">
        <v>773</v>
      </c>
      <c r="E84" s="38" t="s">
        <v>537</v>
      </c>
      <c r="F84" s="38" t="s">
        <v>774</v>
      </c>
      <c r="G84" s="38" t="s">
        <v>753</v>
      </c>
    </row>
    <row r="85" spans="1:7" ht="24" customHeight="1" x14ac:dyDescent="0.3">
      <c r="A85" s="42" t="s">
        <v>748</v>
      </c>
      <c r="B85" s="43" t="s">
        <v>775</v>
      </c>
      <c r="C85" s="42" t="s">
        <v>750</v>
      </c>
      <c r="D85" s="42" t="s">
        <v>776</v>
      </c>
      <c r="E85" s="42" t="s">
        <v>537</v>
      </c>
      <c r="F85" s="42" t="s">
        <v>777</v>
      </c>
      <c r="G85" s="42" t="s">
        <v>753</v>
      </c>
    </row>
    <row r="86" spans="1:7" ht="24" customHeight="1" x14ac:dyDescent="0.3">
      <c r="A86" s="38" t="s">
        <v>778</v>
      </c>
      <c r="B86" s="39" t="s">
        <v>779</v>
      </c>
      <c r="C86" s="38" t="s">
        <v>780</v>
      </c>
      <c r="D86" s="38" t="s">
        <v>781</v>
      </c>
      <c r="E86" s="38" t="s">
        <v>537</v>
      </c>
      <c r="F86" s="38" t="s">
        <v>782</v>
      </c>
      <c r="G86" s="38" t="s">
        <v>783</v>
      </c>
    </row>
    <row r="87" spans="1:7" ht="24" customHeight="1" x14ac:dyDescent="0.3">
      <c r="A87" s="38" t="s">
        <v>778</v>
      </c>
      <c r="B87" s="39" t="s">
        <v>784</v>
      </c>
      <c r="C87" s="38" t="s">
        <v>780</v>
      </c>
      <c r="D87" s="38" t="s">
        <v>785</v>
      </c>
      <c r="E87" s="38" t="s">
        <v>537</v>
      </c>
      <c r="F87" s="38" t="s">
        <v>621</v>
      </c>
      <c r="G87" s="38" t="s">
        <v>783</v>
      </c>
    </row>
    <row r="88" spans="1:7" ht="24" customHeight="1" x14ac:dyDescent="0.3">
      <c r="A88" s="38" t="s">
        <v>778</v>
      </c>
      <c r="B88" s="39" t="s">
        <v>786</v>
      </c>
      <c r="C88" s="38" t="s">
        <v>780</v>
      </c>
      <c r="D88" s="38" t="s">
        <v>787</v>
      </c>
      <c r="E88" s="38" t="s">
        <v>537</v>
      </c>
      <c r="F88" s="38" t="s">
        <v>788</v>
      </c>
      <c r="G88" s="38" t="s">
        <v>783</v>
      </c>
    </row>
    <row r="89" spans="1:7" ht="36" customHeight="1" x14ac:dyDescent="0.3">
      <c r="A89" s="38" t="s">
        <v>778</v>
      </c>
      <c r="B89" s="39" t="s">
        <v>789</v>
      </c>
      <c r="C89" s="38" t="s">
        <v>780</v>
      </c>
      <c r="D89" s="38" t="s">
        <v>790</v>
      </c>
      <c r="E89" s="38" t="s">
        <v>537</v>
      </c>
      <c r="F89" s="38" t="s">
        <v>791</v>
      </c>
      <c r="G89" s="38" t="s">
        <v>783</v>
      </c>
    </row>
    <row r="90" spans="1:7" ht="60" customHeight="1" x14ac:dyDescent="0.3">
      <c r="A90" s="38" t="s">
        <v>778</v>
      </c>
      <c r="B90" s="39" t="s">
        <v>792</v>
      </c>
      <c r="C90" s="38" t="s">
        <v>780</v>
      </c>
      <c r="D90" s="38" t="s">
        <v>793</v>
      </c>
      <c r="E90" s="38" t="s">
        <v>537</v>
      </c>
      <c r="F90" s="38" t="s">
        <v>794</v>
      </c>
      <c r="G90" s="38" t="s">
        <v>783</v>
      </c>
    </row>
    <row r="91" spans="1:7" ht="24" customHeight="1" x14ac:dyDescent="0.3">
      <c r="A91" s="42" t="s">
        <v>778</v>
      </c>
      <c r="B91" s="43" t="s">
        <v>795</v>
      </c>
      <c r="C91" s="42" t="s">
        <v>780</v>
      </c>
      <c r="D91" s="42" t="s">
        <v>796</v>
      </c>
      <c r="E91" s="42" t="s">
        <v>537</v>
      </c>
      <c r="F91" s="42" t="s">
        <v>797</v>
      </c>
      <c r="G91" s="42" t="s">
        <v>798</v>
      </c>
    </row>
    <row r="92" spans="1:7" ht="24" customHeight="1" x14ac:dyDescent="0.3">
      <c r="A92" s="42" t="s">
        <v>778</v>
      </c>
      <c r="B92" s="43" t="s">
        <v>799</v>
      </c>
      <c r="C92" s="42" t="s">
        <v>780</v>
      </c>
      <c r="D92" s="42" t="s">
        <v>800</v>
      </c>
      <c r="E92" s="42" t="s">
        <v>537</v>
      </c>
      <c r="F92" s="42" t="s">
        <v>801</v>
      </c>
      <c r="G92" s="42" t="s">
        <v>802</v>
      </c>
    </row>
    <row r="93" spans="1:7" ht="24" customHeight="1" x14ac:dyDescent="0.3">
      <c r="A93" s="38" t="s">
        <v>803</v>
      </c>
      <c r="B93" s="39" t="s">
        <v>804</v>
      </c>
      <c r="C93" s="38" t="s">
        <v>805</v>
      </c>
      <c r="D93" s="38" t="s">
        <v>806</v>
      </c>
      <c r="E93" s="38" t="s">
        <v>640</v>
      </c>
      <c r="F93" s="38" t="s">
        <v>647</v>
      </c>
      <c r="G93" s="38" t="s">
        <v>807</v>
      </c>
    </row>
    <row r="94" spans="1:7" ht="24" customHeight="1" x14ac:dyDescent="0.3">
      <c r="A94" s="38" t="s">
        <v>803</v>
      </c>
      <c r="B94" s="39" t="s">
        <v>808</v>
      </c>
      <c r="C94" s="38" t="s">
        <v>805</v>
      </c>
      <c r="D94" s="38" t="s">
        <v>809</v>
      </c>
      <c r="E94" s="38" t="s">
        <v>546</v>
      </c>
      <c r="F94" s="38" t="s">
        <v>512</v>
      </c>
      <c r="G94" s="38" t="s">
        <v>807</v>
      </c>
    </row>
    <row r="95" spans="1:7" ht="24" customHeight="1" x14ac:dyDescent="0.3">
      <c r="A95" s="38" t="s">
        <v>803</v>
      </c>
      <c r="B95" s="39" t="s">
        <v>810</v>
      </c>
      <c r="C95" s="38" t="s">
        <v>805</v>
      </c>
      <c r="D95" s="38" t="s">
        <v>811</v>
      </c>
      <c r="E95" s="38" t="s">
        <v>537</v>
      </c>
      <c r="F95" s="38" t="s">
        <v>812</v>
      </c>
      <c r="G95" s="38" t="s">
        <v>807</v>
      </c>
    </row>
    <row r="96" spans="1:7" ht="24" customHeight="1" x14ac:dyDescent="0.3">
      <c r="A96" s="38" t="s">
        <v>803</v>
      </c>
      <c r="B96" s="39" t="s">
        <v>813</v>
      </c>
      <c r="C96" s="38" t="s">
        <v>805</v>
      </c>
      <c r="D96" s="38" t="s">
        <v>814</v>
      </c>
      <c r="E96" s="38" t="s">
        <v>537</v>
      </c>
      <c r="F96" s="38" t="s">
        <v>815</v>
      </c>
      <c r="G96" s="38" t="s">
        <v>807</v>
      </c>
    </row>
    <row r="97" spans="1:7" ht="24" customHeight="1" x14ac:dyDescent="0.3">
      <c r="A97" s="38" t="s">
        <v>816</v>
      </c>
      <c r="B97" s="39" t="s">
        <v>817</v>
      </c>
      <c r="C97" s="38" t="s">
        <v>818</v>
      </c>
      <c r="D97" s="38" t="s">
        <v>819</v>
      </c>
      <c r="E97" s="38" t="s">
        <v>537</v>
      </c>
      <c r="F97" s="38" t="s">
        <v>820</v>
      </c>
      <c r="G97" s="38" t="s">
        <v>821</v>
      </c>
    </row>
    <row r="98" spans="1:7" ht="36" customHeight="1" x14ac:dyDescent="0.3">
      <c r="A98" s="40" t="s">
        <v>816</v>
      </c>
      <c r="B98" s="41" t="s">
        <v>822</v>
      </c>
      <c r="C98" s="40" t="s">
        <v>818</v>
      </c>
      <c r="D98" s="40" t="s">
        <v>823</v>
      </c>
      <c r="E98" s="40" t="s">
        <v>537</v>
      </c>
      <c r="F98" s="40" t="s">
        <v>824</v>
      </c>
      <c r="G98" s="40" t="s">
        <v>821</v>
      </c>
    </row>
    <row r="99" spans="1:7" ht="24" customHeight="1" x14ac:dyDescent="0.3">
      <c r="A99" s="38" t="s">
        <v>816</v>
      </c>
      <c r="B99" s="39" t="s">
        <v>825</v>
      </c>
      <c r="C99" s="38" t="s">
        <v>818</v>
      </c>
      <c r="D99" s="38" t="s">
        <v>826</v>
      </c>
      <c r="E99" s="38" t="s">
        <v>537</v>
      </c>
      <c r="F99" s="38" t="s">
        <v>827</v>
      </c>
      <c r="G99" s="38" t="s">
        <v>821</v>
      </c>
    </row>
    <row r="100" spans="1:7" ht="36" customHeight="1" x14ac:dyDescent="0.3">
      <c r="A100" s="38" t="s">
        <v>828</v>
      </c>
      <c r="B100" s="39" t="s">
        <v>829</v>
      </c>
      <c r="C100" s="38" t="s">
        <v>830</v>
      </c>
      <c r="D100" s="38" t="s">
        <v>831</v>
      </c>
      <c r="E100" s="38" t="s">
        <v>537</v>
      </c>
      <c r="F100" s="38" t="s">
        <v>832</v>
      </c>
      <c r="G100" s="38" t="s">
        <v>833</v>
      </c>
    </row>
    <row r="101" spans="1:7" ht="36" customHeight="1" x14ac:dyDescent="0.3">
      <c r="A101" s="38" t="s">
        <v>828</v>
      </c>
      <c r="B101" s="39" t="s">
        <v>834</v>
      </c>
      <c r="C101" s="38" t="s">
        <v>830</v>
      </c>
      <c r="D101" s="38" t="s">
        <v>835</v>
      </c>
      <c r="E101" s="38" t="s">
        <v>537</v>
      </c>
      <c r="F101" s="38" t="s">
        <v>621</v>
      </c>
      <c r="G101" s="38" t="s">
        <v>833</v>
      </c>
    </row>
    <row r="102" spans="1:7" ht="36" customHeight="1" x14ac:dyDescent="0.3">
      <c r="A102" s="42" t="s">
        <v>828</v>
      </c>
      <c r="B102" s="43" t="s">
        <v>836</v>
      </c>
      <c r="C102" s="42" t="s">
        <v>830</v>
      </c>
      <c r="D102" s="42" t="s">
        <v>837</v>
      </c>
      <c r="E102" s="42" t="s">
        <v>537</v>
      </c>
      <c r="F102" s="42" t="s">
        <v>838</v>
      </c>
      <c r="G102" s="42" t="s">
        <v>833</v>
      </c>
    </row>
    <row r="103" spans="1:7" ht="48" customHeight="1" x14ac:dyDescent="0.3">
      <c r="A103" s="38" t="s">
        <v>839</v>
      </c>
      <c r="B103" s="39" t="s">
        <v>840</v>
      </c>
      <c r="C103" s="38" t="s">
        <v>841</v>
      </c>
      <c r="D103" s="38" t="s">
        <v>842</v>
      </c>
      <c r="E103" s="38" t="s">
        <v>550</v>
      </c>
      <c r="F103" s="38" t="s">
        <v>843</v>
      </c>
      <c r="G103" s="38" t="s">
        <v>844</v>
      </c>
    </row>
    <row r="104" spans="1:7" ht="24" customHeight="1" x14ac:dyDescent="0.3">
      <c r="A104" s="38" t="s">
        <v>839</v>
      </c>
      <c r="B104" s="39" t="s">
        <v>845</v>
      </c>
      <c r="C104" s="38" t="s">
        <v>841</v>
      </c>
      <c r="D104" s="38" t="s">
        <v>846</v>
      </c>
      <c r="E104" s="38" t="s">
        <v>530</v>
      </c>
      <c r="F104" s="38" t="s">
        <v>512</v>
      </c>
      <c r="G104" s="38" t="s">
        <v>844</v>
      </c>
    </row>
    <row r="105" spans="1:7" ht="24" customHeight="1" x14ac:dyDescent="0.3">
      <c r="A105" s="42" t="s">
        <v>839</v>
      </c>
      <c r="B105" s="43" t="s">
        <v>847</v>
      </c>
      <c r="C105" s="42" t="s">
        <v>841</v>
      </c>
      <c r="D105" s="42" t="s">
        <v>848</v>
      </c>
      <c r="E105" s="42" t="s">
        <v>537</v>
      </c>
      <c r="F105" s="42" t="s">
        <v>849</v>
      </c>
      <c r="G105" s="42" t="s">
        <v>844</v>
      </c>
    </row>
    <row r="106" spans="1:7" ht="36" customHeight="1" x14ac:dyDescent="0.3">
      <c r="A106" s="42" t="s">
        <v>850</v>
      </c>
      <c r="B106" s="43" t="s">
        <v>851</v>
      </c>
      <c r="C106" s="42" t="s">
        <v>852</v>
      </c>
      <c r="D106" s="42" t="s">
        <v>853</v>
      </c>
      <c r="E106" s="42" t="s">
        <v>537</v>
      </c>
      <c r="F106" s="42" t="s">
        <v>854</v>
      </c>
      <c r="G106" s="42" t="s">
        <v>855</v>
      </c>
    </row>
    <row r="107" spans="1:7" ht="36" customHeight="1" x14ac:dyDescent="0.3">
      <c r="A107" s="42" t="s">
        <v>850</v>
      </c>
      <c r="B107" s="43" t="s">
        <v>856</v>
      </c>
      <c r="C107" s="42" t="s">
        <v>857</v>
      </c>
      <c r="D107" s="42" t="s">
        <v>858</v>
      </c>
      <c r="E107" s="42" t="s">
        <v>537</v>
      </c>
      <c r="F107" s="42" t="s">
        <v>859</v>
      </c>
      <c r="G107" s="42" t="s">
        <v>860</v>
      </c>
    </row>
    <row r="108" spans="1:7" ht="36" customHeight="1" x14ac:dyDescent="0.3">
      <c r="A108" s="42" t="s">
        <v>850</v>
      </c>
      <c r="B108" s="43" t="s">
        <v>861</v>
      </c>
      <c r="C108" s="42" t="s">
        <v>862</v>
      </c>
      <c r="D108" s="42" t="s">
        <v>863</v>
      </c>
      <c r="E108" s="42" t="s">
        <v>537</v>
      </c>
      <c r="F108" s="42" t="s">
        <v>864</v>
      </c>
      <c r="G108" s="42" t="s">
        <v>865</v>
      </c>
    </row>
    <row r="109" spans="1:7" ht="36" customHeight="1" x14ac:dyDescent="0.3">
      <c r="A109" s="42" t="s">
        <v>850</v>
      </c>
      <c r="B109" s="43" t="s">
        <v>866</v>
      </c>
      <c r="C109" s="42" t="s">
        <v>867</v>
      </c>
      <c r="D109" s="42" t="s">
        <v>868</v>
      </c>
      <c r="E109" s="42" t="s">
        <v>537</v>
      </c>
      <c r="F109" s="42" t="s">
        <v>869</v>
      </c>
      <c r="G109" s="42" t="s">
        <v>870</v>
      </c>
    </row>
    <row r="110" spans="1:7" ht="36" customHeight="1" x14ac:dyDescent="0.3">
      <c r="A110" s="42" t="s">
        <v>871</v>
      </c>
      <c r="B110" s="43" t="s">
        <v>872</v>
      </c>
      <c r="C110" s="42" t="s">
        <v>873</v>
      </c>
      <c r="D110" s="42" t="s">
        <v>874</v>
      </c>
      <c r="E110" s="42" t="s">
        <v>537</v>
      </c>
      <c r="F110" s="42" t="s">
        <v>875</v>
      </c>
      <c r="G110" s="42" t="s">
        <v>876</v>
      </c>
    </row>
    <row r="111" spans="1:7" ht="36" customHeight="1" x14ac:dyDescent="0.3">
      <c r="A111" s="42" t="s">
        <v>871</v>
      </c>
      <c r="B111" s="43" t="s">
        <v>877</v>
      </c>
      <c r="C111" s="42" t="s">
        <v>873</v>
      </c>
      <c r="D111" s="42" t="s">
        <v>878</v>
      </c>
      <c r="E111" s="42" t="s">
        <v>537</v>
      </c>
      <c r="F111" s="42" t="s">
        <v>602</v>
      </c>
      <c r="G111" s="42" t="s">
        <v>879</v>
      </c>
    </row>
    <row r="112" spans="1:7" ht="36" customHeight="1" x14ac:dyDescent="0.3">
      <c r="A112" s="42" t="s">
        <v>880</v>
      </c>
      <c r="B112" s="43" t="s">
        <v>881</v>
      </c>
      <c r="C112" s="42" t="s">
        <v>882</v>
      </c>
      <c r="D112" s="42" t="s">
        <v>883</v>
      </c>
      <c r="E112" s="42" t="s">
        <v>546</v>
      </c>
      <c r="F112" s="42" t="s">
        <v>512</v>
      </c>
      <c r="G112" s="42" t="s">
        <v>884</v>
      </c>
    </row>
    <row r="113" spans="1:7" ht="36" customHeight="1" x14ac:dyDescent="0.3">
      <c r="A113" s="42" t="s">
        <v>880</v>
      </c>
      <c r="B113" s="43" t="s">
        <v>885</v>
      </c>
      <c r="C113" s="42" t="s">
        <v>882</v>
      </c>
      <c r="D113" s="42" t="s">
        <v>886</v>
      </c>
      <c r="E113" s="42" t="s">
        <v>546</v>
      </c>
      <c r="F113" s="42" t="s">
        <v>512</v>
      </c>
      <c r="G113" s="42" t="s">
        <v>887</v>
      </c>
    </row>
    <row r="114" spans="1:7" ht="36" customHeight="1" x14ac:dyDescent="0.3">
      <c r="A114" s="42" t="s">
        <v>880</v>
      </c>
      <c r="B114" s="43" t="s">
        <v>888</v>
      </c>
      <c r="C114" s="42" t="s">
        <v>882</v>
      </c>
      <c r="D114" s="42" t="s">
        <v>889</v>
      </c>
      <c r="E114" s="42" t="s">
        <v>596</v>
      </c>
      <c r="F114" s="42" t="s">
        <v>512</v>
      </c>
      <c r="G114" s="42" t="s">
        <v>890</v>
      </c>
    </row>
    <row r="115" spans="1:7" ht="36" customHeight="1" x14ac:dyDescent="0.3">
      <c r="A115" s="42" t="s">
        <v>880</v>
      </c>
      <c r="B115" s="43" t="s">
        <v>891</v>
      </c>
      <c r="C115" s="42" t="s">
        <v>882</v>
      </c>
      <c r="D115" s="42" t="s">
        <v>892</v>
      </c>
      <c r="E115" s="42" t="s">
        <v>546</v>
      </c>
      <c r="F115" s="42" t="s">
        <v>512</v>
      </c>
      <c r="G115" s="42" t="s">
        <v>893</v>
      </c>
    </row>
    <row r="116" spans="1:7" ht="36" customHeight="1" x14ac:dyDescent="0.3">
      <c r="A116" s="42" t="s">
        <v>880</v>
      </c>
      <c r="B116" s="43" t="s">
        <v>894</v>
      </c>
      <c r="C116" s="42" t="s">
        <v>882</v>
      </c>
      <c r="D116" s="42" t="s">
        <v>895</v>
      </c>
      <c r="E116" s="42" t="s">
        <v>546</v>
      </c>
      <c r="F116" s="42" t="s">
        <v>512</v>
      </c>
      <c r="G116" s="42" t="s">
        <v>896</v>
      </c>
    </row>
    <row r="117" spans="1:7" ht="36" customHeight="1" x14ac:dyDescent="0.3">
      <c r="A117" s="42" t="s">
        <v>880</v>
      </c>
      <c r="B117" s="43" t="s">
        <v>897</v>
      </c>
      <c r="C117" s="42" t="s">
        <v>882</v>
      </c>
      <c r="D117" s="42" t="s">
        <v>898</v>
      </c>
      <c r="E117" s="42" t="s">
        <v>546</v>
      </c>
      <c r="F117" s="42" t="s">
        <v>512</v>
      </c>
      <c r="G117" s="42" t="s">
        <v>899</v>
      </c>
    </row>
    <row r="118" spans="1:7" ht="36" customHeight="1" x14ac:dyDescent="0.3">
      <c r="A118" s="42" t="s">
        <v>880</v>
      </c>
      <c r="B118" s="43" t="s">
        <v>900</v>
      </c>
      <c r="C118" s="42" t="s">
        <v>882</v>
      </c>
      <c r="D118" s="42" t="s">
        <v>901</v>
      </c>
      <c r="E118" s="42" t="s">
        <v>515</v>
      </c>
      <c r="F118" s="42" t="s">
        <v>512</v>
      </c>
      <c r="G118" s="42" t="s">
        <v>902</v>
      </c>
    </row>
    <row r="119" spans="1:7" ht="36" customHeight="1" x14ac:dyDescent="0.3">
      <c r="A119" s="42" t="s">
        <v>880</v>
      </c>
      <c r="B119" s="43" t="s">
        <v>903</v>
      </c>
      <c r="C119" s="42" t="s">
        <v>882</v>
      </c>
      <c r="D119" s="42" t="s">
        <v>904</v>
      </c>
      <c r="E119" s="42" t="s">
        <v>546</v>
      </c>
      <c r="F119" s="42" t="s">
        <v>512</v>
      </c>
      <c r="G119" s="42" t="s">
        <v>905</v>
      </c>
    </row>
    <row r="120" spans="1:7" ht="36" customHeight="1" x14ac:dyDescent="0.3">
      <c r="A120" s="42" t="s">
        <v>880</v>
      </c>
      <c r="B120" s="43" t="s">
        <v>906</v>
      </c>
      <c r="C120" s="42" t="s">
        <v>882</v>
      </c>
      <c r="D120" s="42" t="s">
        <v>907</v>
      </c>
      <c r="E120" s="42" t="s">
        <v>546</v>
      </c>
      <c r="F120" s="42" t="s">
        <v>512</v>
      </c>
      <c r="G120" s="42" t="s">
        <v>908</v>
      </c>
    </row>
    <row r="121" spans="1:7" ht="36" customHeight="1" x14ac:dyDescent="0.3">
      <c r="A121" s="42" t="s">
        <v>880</v>
      </c>
      <c r="B121" s="43" t="s">
        <v>909</v>
      </c>
      <c r="C121" s="42" t="s">
        <v>882</v>
      </c>
      <c r="D121" s="42" t="s">
        <v>910</v>
      </c>
      <c r="E121" s="42" t="s">
        <v>546</v>
      </c>
      <c r="F121" s="42" t="s">
        <v>512</v>
      </c>
      <c r="G121" s="42" t="s">
        <v>911</v>
      </c>
    </row>
    <row r="123" spans="1:7" ht="42" customHeight="1" x14ac:dyDescent="0.3">
      <c r="A123" s="68" t="s">
        <v>1085</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1107</v>
      </c>
      <c r="B1" s="70"/>
      <c r="C1" s="70"/>
      <c r="D1" s="70"/>
      <c r="E1" s="70"/>
      <c r="F1" s="70"/>
      <c r="G1" s="70"/>
    </row>
    <row r="2" spans="1:7" x14ac:dyDescent="0.3">
      <c r="A2" s="57" t="s">
        <v>502</v>
      </c>
      <c r="B2" s="57" t="s">
        <v>1108</v>
      </c>
      <c r="C2" s="57" t="s">
        <v>505</v>
      </c>
      <c r="D2" s="58" t="s">
        <v>1109</v>
      </c>
      <c r="E2" s="57" t="s">
        <v>1110</v>
      </c>
      <c r="F2" s="57" t="s">
        <v>1111</v>
      </c>
      <c r="G2" s="58" t="s">
        <v>1112</v>
      </c>
    </row>
    <row r="3" spans="1:7" ht="28.8" x14ac:dyDescent="0.3">
      <c r="A3" t="s">
        <v>509</v>
      </c>
      <c r="B3" t="s">
        <v>510</v>
      </c>
      <c r="C3" t="s">
        <v>512</v>
      </c>
      <c r="D3" s="56" t="s">
        <v>512</v>
      </c>
      <c r="E3" s="59"/>
      <c r="G3" s="56" t="s">
        <v>1113</v>
      </c>
    </row>
    <row r="4" spans="1:7" ht="28.8" x14ac:dyDescent="0.3">
      <c r="A4" t="s">
        <v>514</v>
      </c>
      <c r="B4" t="s">
        <v>510</v>
      </c>
      <c r="C4" t="s">
        <v>512</v>
      </c>
      <c r="D4" s="56" t="s">
        <v>512</v>
      </c>
      <c r="E4" s="59"/>
      <c r="G4" s="56" t="s">
        <v>1113</v>
      </c>
    </row>
    <row r="5" spans="1:7" ht="28.8" x14ac:dyDescent="0.3">
      <c r="A5" t="s">
        <v>517</v>
      </c>
      <c r="B5" t="s">
        <v>510</v>
      </c>
      <c r="C5" t="s">
        <v>519</v>
      </c>
      <c r="D5" s="56" t="s">
        <v>512</v>
      </c>
      <c r="E5" s="59"/>
      <c r="G5" s="56" t="s">
        <v>1113</v>
      </c>
    </row>
    <row r="6" spans="1:7" ht="28.8" x14ac:dyDescent="0.3">
      <c r="A6" t="s">
        <v>522</v>
      </c>
      <c r="B6" t="s">
        <v>510</v>
      </c>
      <c r="C6" t="s">
        <v>515</v>
      </c>
      <c r="D6" s="56" t="s">
        <v>512</v>
      </c>
      <c r="E6" s="59"/>
      <c r="G6" s="56" t="s">
        <v>1113</v>
      </c>
    </row>
    <row r="7" spans="1:7" ht="28.8" x14ac:dyDescent="0.3">
      <c r="A7" t="s">
        <v>525</v>
      </c>
      <c r="B7" t="s">
        <v>510</v>
      </c>
      <c r="C7" t="s">
        <v>526</v>
      </c>
      <c r="D7" s="56" t="s">
        <v>512</v>
      </c>
      <c r="E7" s="59"/>
      <c r="G7" s="56" t="s">
        <v>1113</v>
      </c>
    </row>
    <row r="8" spans="1:7" ht="28.8" x14ac:dyDescent="0.3">
      <c r="A8" t="s">
        <v>528</v>
      </c>
      <c r="B8" t="s">
        <v>510</v>
      </c>
      <c r="C8" t="s">
        <v>530</v>
      </c>
      <c r="D8" s="56" t="s">
        <v>512</v>
      </c>
      <c r="E8" s="59"/>
      <c r="G8" s="56" t="s">
        <v>1113</v>
      </c>
    </row>
    <row r="9" spans="1:7" ht="28.8" x14ac:dyDescent="0.3">
      <c r="A9" t="s">
        <v>532</v>
      </c>
      <c r="B9" t="s">
        <v>510</v>
      </c>
      <c r="C9" t="s">
        <v>530</v>
      </c>
      <c r="D9" s="56" t="s">
        <v>512</v>
      </c>
      <c r="E9" s="59"/>
      <c r="G9" s="56" t="s">
        <v>1113</v>
      </c>
    </row>
    <row r="10" spans="1:7" ht="28.8" x14ac:dyDescent="0.3">
      <c r="A10" t="s">
        <v>535</v>
      </c>
      <c r="B10" t="s">
        <v>510</v>
      </c>
      <c r="C10" t="s">
        <v>537</v>
      </c>
      <c r="D10" s="56" t="s">
        <v>538</v>
      </c>
      <c r="E10" s="59"/>
      <c r="G10" s="56" t="s">
        <v>1113</v>
      </c>
    </row>
    <row r="11" spans="1:7" ht="28.8" x14ac:dyDescent="0.3">
      <c r="A11" t="s">
        <v>540</v>
      </c>
      <c r="B11" t="s">
        <v>510</v>
      </c>
      <c r="C11" t="s">
        <v>542</v>
      </c>
      <c r="D11" s="56" t="s">
        <v>512</v>
      </c>
      <c r="E11" s="59"/>
      <c r="G11" s="56" t="s">
        <v>1113</v>
      </c>
    </row>
    <row r="12" spans="1:7" ht="28.8" x14ac:dyDescent="0.3">
      <c r="A12" t="s">
        <v>544</v>
      </c>
      <c r="B12" t="s">
        <v>510</v>
      </c>
      <c r="C12" t="s">
        <v>546</v>
      </c>
      <c r="D12" s="56" t="s">
        <v>512</v>
      </c>
      <c r="E12" s="59"/>
      <c r="G12" s="56" t="s">
        <v>1113</v>
      </c>
    </row>
    <row r="13" spans="1:7" ht="28.8" x14ac:dyDescent="0.3">
      <c r="A13" t="s">
        <v>548</v>
      </c>
      <c r="B13" t="s">
        <v>510</v>
      </c>
      <c r="C13" t="s">
        <v>550</v>
      </c>
      <c r="D13" s="56" t="s">
        <v>1114</v>
      </c>
      <c r="E13" s="59"/>
      <c r="G13" s="56" t="s">
        <v>1115</v>
      </c>
    </row>
    <row r="14" spans="1:7" ht="28.8" x14ac:dyDescent="0.3">
      <c r="A14" t="s">
        <v>553</v>
      </c>
      <c r="B14" t="s">
        <v>510</v>
      </c>
      <c r="C14" t="s">
        <v>550</v>
      </c>
      <c r="D14" s="56" t="s">
        <v>555</v>
      </c>
      <c r="E14" s="59"/>
      <c r="G14" s="56" t="s">
        <v>1113</v>
      </c>
    </row>
    <row r="15" spans="1:7" ht="28.8" x14ac:dyDescent="0.3">
      <c r="A15" t="s">
        <v>557</v>
      </c>
      <c r="B15" t="s">
        <v>510</v>
      </c>
      <c r="C15" t="s">
        <v>537</v>
      </c>
      <c r="D15" s="56" t="s">
        <v>559</v>
      </c>
      <c r="E15" s="59"/>
      <c r="G15" s="56" t="s">
        <v>1113</v>
      </c>
    </row>
    <row r="16" spans="1:7" ht="28.8" x14ac:dyDescent="0.3">
      <c r="A16" t="s">
        <v>561</v>
      </c>
      <c r="B16" t="s">
        <v>510</v>
      </c>
      <c r="C16" t="s">
        <v>537</v>
      </c>
      <c r="D16" s="56" t="s">
        <v>563</v>
      </c>
      <c r="E16" s="59"/>
      <c r="G16" s="56" t="s">
        <v>1113</v>
      </c>
    </row>
    <row r="17" spans="1:7" ht="28.8" x14ac:dyDescent="0.3">
      <c r="A17" t="s">
        <v>564</v>
      </c>
      <c r="B17" t="s">
        <v>510</v>
      </c>
      <c r="C17" t="s">
        <v>546</v>
      </c>
      <c r="D17" s="56" t="s">
        <v>512</v>
      </c>
      <c r="E17" s="59"/>
      <c r="G17" s="56" t="s">
        <v>1113</v>
      </c>
    </row>
    <row r="18" spans="1:7" ht="28.8" x14ac:dyDescent="0.3">
      <c r="A18" t="s">
        <v>567</v>
      </c>
      <c r="B18" t="s">
        <v>510</v>
      </c>
      <c r="C18" t="s">
        <v>537</v>
      </c>
      <c r="D18" s="56" t="s">
        <v>569</v>
      </c>
      <c r="E18" s="59"/>
      <c r="G18" s="56" t="s">
        <v>1113</v>
      </c>
    </row>
    <row r="19" spans="1:7" ht="43.2" x14ac:dyDescent="0.3">
      <c r="A19" t="s">
        <v>571</v>
      </c>
      <c r="B19" t="s">
        <v>510</v>
      </c>
      <c r="C19" t="s">
        <v>537</v>
      </c>
      <c r="D19" s="56" t="s">
        <v>573</v>
      </c>
      <c r="E19" s="59"/>
      <c r="G19" s="56" t="s">
        <v>1113</v>
      </c>
    </row>
    <row r="20" spans="1:7" ht="28.8" x14ac:dyDescent="0.3">
      <c r="A20" t="s">
        <v>574</v>
      </c>
      <c r="B20" t="s">
        <v>510</v>
      </c>
      <c r="C20" t="s">
        <v>537</v>
      </c>
      <c r="D20" s="56" t="s">
        <v>576</v>
      </c>
      <c r="E20" s="59"/>
      <c r="G20" s="56" t="s">
        <v>1113</v>
      </c>
    </row>
    <row r="21" spans="1:7" ht="28.8" x14ac:dyDescent="0.3">
      <c r="A21" t="s">
        <v>578</v>
      </c>
      <c r="B21" t="s">
        <v>510</v>
      </c>
      <c r="C21" t="s">
        <v>515</v>
      </c>
      <c r="D21" s="56" t="s">
        <v>512</v>
      </c>
      <c r="E21" s="59"/>
      <c r="G21" s="56" t="s">
        <v>1113</v>
      </c>
    </row>
    <row r="22" spans="1:7" ht="28.8" x14ac:dyDescent="0.3">
      <c r="A22" t="s">
        <v>581</v>
      </c>
      <c r="B22" t="s">
        <v>510</v>
      </c>
      <c r="C22" t="s">
        <v>537</v>
      </c>
      <c r="D22" s="56" t="s">
        <v>583</v>
      </c>
      <c r="E22" s="59"/>
      <c r="G22" s="56" t="s">
        <v>1113</v>
      </c>
    </row>
    <row r="23" spans="1:7" ht="28.8" x14ac:dyDescent="0.3">
      <c r="A23" t="s">
        <v>5</v>
      </c>
      <c r="B23" t="s">
        <v>586</v>
      </c>
      <c r="C23" t="s">
        <v>530</v>
      </c>
      <c r="D23" s="56" t="s">
        <v>512</v>
      </c>
      <c r="E23" s="59"/>
      <c r="G23" s="56" t="s">
        <v>1113</v>
      </c>
    </row>
    <row r="24" spans="1:7" ht="28.8" x14ac:dyDescent="0.3">
      <c r="A24" t="s">
        <v>589</v>
      </c>
      <c r="B24" t="s">
        <v>586</v>
      </c>
      <c r="C24" t="s">
        <v>530</v>
      </c>
      <c r="D24" s="56" t="s">
        <v>512</v>
      </c>
      <c r="E24" s="59"/>
      <c r="G24" s="56" t="s">
        <v>1113</v>
      </c>
    </row>
    <row r="25" spans="1:7" ht="28.8" x14ac:dyDescent="0.3">
      <c r="A25" t="s">
        <v>6</v>
      </c>
      <c r="B25" t="s">
        <v>586</v>
      </c>
      <c r="C25" t="s">
        <v>530</v>
      </c>
      <c r="D25" s="56" t="s">
        <v>512</v>
      </c>
      <c r="E25" s="59"/>
      <c r="G25" s="56" t="s">
        <v>1113</v>
      </c>
    </row>
    <row r="26" spans="1:7" ht="28.8" x14ac:dyDescent="0.3">
      <c r="A26" t="s">
        <v>7</v>
      </c>
      <c r="B26" t="s">
        <v>586</v>
      </c>
      <c r="C26" t="s">
        <v>530</v>
      </c>
      <c r="D26" s="56" t="s">
        <v>512</v>
      </c>
      <c r="E26" s="59"/>
      <c r="G26" s="56" t="s">
        <v>1113</v>
      </c>
    </row>
    <row r="27" spans="1:7" ht="28.8" x14ac:dyDescent="0.3">
      <c r="A27" t="s">
        <v>8</v>
      </c>
      <c r="B27" t="s">
        <v>586</v>
      </c>
      <c r="C27" t="s">
        <v>596</v>
      </c>
      <c r="D27" s="56" t="s">
        <v>512</v>
      </c>
      <c r="E27" s="59"/>
      <c r="G27" s="56" t="s">
        <v>1113</v>
      </c>
    </row>
    <row r="28" spans="1:7" ht="28.8" x14ac:dyDescent="0.3">
      <c r="A28" t="s">
        <v>9</v>
      </c>
      <c r="B28" t="s">
        <v>586</v>
      </c>
      <c r="C28" t="s">
        <v>596</v>
      </c>
      <c r="D28" s="56" t="s">
        <v>512</v>
      </c>
      <c r="E28" s="59"/>
      <c r="G28" s="56" t="s">
        <v>1113</v>
      </c>
    </row>
    <row r="29" spans="1:7" ht="28.8" x14ac:dyDescent="0.3">
      <c r="A29" t="s">
        <v>10</v>
      </c>
      <c r="B29" t="s">
        <v>586</v>
      </c>
      <c r="C29" t="s">
        <v>515</v>
      </c>
      <c r="D29" s="56" t="s">
        <v>512</v>
      </c>
      <c r="E29" s="59"/>
      <c r="G29" s="56" t="s">
        <v>1113</v>
      </c>
    </row>
    <row r="30" spans="1:7" ht="28.8" x14ac:dyDescent="0.3">
      <c r="A30" t="s">
        <v>11</v>
      </c>
      <c r="B30" t="s">
        <v>586</v>
      </c>
      <c r="C30" t="s">
        <v>515</v>
      </c>
      <c r="D30" s="56" t="s">
        <v>512</v>
      </c>
      <c r="E30" s="59"/>
      <c r="G30" s="56" t="s">
        <v>1113</v>
      </c>
    </row>
    <row r="31" spans="1:7" x14ac:dyDescent="0.3">
      <c r="A31" t="s">
        <v>12</v>
      </c>
      <c r="B31" t="s">
        <v>586</v>
      </c>
      <c r="C31" t="s">
        <v>537</v>
      </c>
      <c r="D31" s="56" t="s">
        <v>1116</v>
      </c>
      <c r="E31" s="59">
        <v>0</v>
      </c>
      <c r="F31" t="s">
        <v>1117</v>
      </c>
    </row>
    <row r="32" spans="1:7" x14ac:dyDescent="0.3">
      <c r="A32" t="s">
        <v>12</v>
      </c>
      <c r="B32" t="s">
        <v>586</v>
      </c>
      <c r="C32" t="s">
        <v>537</v>
      </c>
      <c r="D32" s="56" t="s">
        <v>1118</v>
      </c>
      <c r="E32" s="59">
        <v>100</v>
      </c>
      <c r="F32" t="s">
        <v>1119</v>
      </c>
    </row>
    <row r="33" spans="1:7" x14ac:dyDescent="0.3">
      <c r="A33" t="s">
        <v>12</v>
      </c>
      <c r="B33" t="s">
        <v>586</v>
      </c>
      <c r="C33" t="s">
        <v>537</v>
      </c>
      <c r="D33" s="56" t="s">
        <v>1120</v>
      </c>
      <c r="E33" s="59" t="s">
        <v>1121</v>
      </c>
      <c r="F33" t="s">
        <v>1122</v>
      </c>
      <c r="G33" s="56" t="s">
        <v>1123</v>
      </c>
    </row>
    <row r="34" spans="1:7" ht="28.8" x14ac:dyDescent="0.3">
      <c r="A34" t="s">
        <v>13</v>
      </c>
      <c r="B34" t="s">
        <v>586</v>
      </c>
      <c r="C34" t="s">
        <v>542</v>
      </c>
      <c r="D34" s="56" t="s">
        <v>512</v>
      </c>
      <c r="E34" s="59"/>
      <c r="G34" s="56" t="s">
        <v>1113</v>
      </c>
    </row>
    <row r="35" spans="1:7" x14ac:dyDescent="0.3">
      <c r="A35" t="s">
        <v>14</v>
      </c>
      <c r="B35" t="s">
        <v>586</v>
      </c>
      <c r="C35" t="s">
        <v>537</v>
      </c>
      <c r="D35" s="56" t="s">
        <v>1116</v>
      </c>
      <c r="E35" s="59">
        <v>0</v>
      </c>
      <c r="F35" t="s">
        <v>1124</v>
      </c>
      <c r="G35" s="56" t="s">
        <v>1125</v>
      </c>
    </row>
    <row r="36" spans="1:7" x14ac:dyDescent="0.3">
      <c r="A36" t="s">
        <v>14</v>
      </c>
      <c r="B36" t="s">
        <v>586</v>
      </c>
      <c r="C36" t="s">
        <v>537</v>
      </c>
      <c r="D36" s="56" t="s">
        <v>1118</v>
      </c>
      <c r="E36" s="59">
        <v>100</v>
      </c>
      <c r="F36" t="s">
        <v>1126</v>
      </c>
      <c r="G36" s="56" t="s">
        <v>1125</v>
      </c>
    </row>
    <row r="37" spans="1:7" x14ac:dyDescent="0.3">
      <c r="A37" t="s">
        <v>14</v>
      </c>
      <c r="B37" t="s">
        <v>586</v>
      </c>
      <c r="C37" t="s">
        <v>537</v>
      </c>
      <c r="D37" s="56" t="s">
        <v>1120</v>
      </c>
      <c r="E37" s="59" t="s">
        <v>1121</v>
      </c>
      <c r="F37" t="s">
        <v>1127</v>
      </c>
      <c r="G37" s="56" t="s">
        <v>1128</v>
      </c>
    </row>
    <row r="38" spans="1:7" ht="28.8" x14ac:dyDescent="0.3">
      <c r="A38" t="s">
        <v>15</v>
      </c>
      <c r="B38" t="s">
        <v>586</v>
      </c>
      <c r="C38" t="s">
        <v>546</v>
      </c>
      <c r="D38" s="56" t="s">
        <v>512</v>
      </c>
      <c r="E38" s="59"/>
      <c r="G38" s="56" t="s">
        <v>1113</v>
      </c>
    </row>
    <row r="39" spans="1:7" ht="28.8" x14ac:dyDescent="0.3">
      <c r="A39" t="s">
        <v>16</v>
      </c>
      <c r="B39" t="s">
        <v>586</v>
      </c>
      <c r="C39" t="s">
        <v>596</v>
      </c>
      <c r="D39" s="56" t="s">
        <v>512</v>
      </c>
      <c r="E39" s="59"/>
      <c r="G39" s="56" t="s">
        <v>1113</v>
      </c>
    </row>
    <row r="40" spans="1:7" x14ac:dyDescent="0.3">
      <c r="A40" t="s">
        <v>17</v>
      </c>
      <c r="B40" t="s">
        <v>586</v>
      </c>
      <c r="C40" t="s">
        <v>537</v>
      </c>
      <c r="D40" s="56" t="s">
        <v>1118</v>
      </c>
      <c r="E40" s="59">
        <v>0</v>
      </c>
      <c r="F40" t="s">
        <v>1129</v>
      </c>
    </row>
    <row r="41" spans="1:7" x14ac:dyDescent="0.3">
      <c r="A41" t="s">
        <v>17</v>
      </c>
      <c r="B41" t="s">
        <v>586</v>
      </c>
      <c r="C41" t="s">
        <v>537</v>
      </c>
      <c r="D41" s="56" t="s">
        <v>1130</v>
      </c>
      <c r="E41" s="59">
        <v>33</v>
      </c>
      <c r="F41" t="s">
        <v>1131</v>
      </c>
    </row>
    <row r="42" spans="1:7" x14ac:dyDescent="0.3">
      <c r="A42" t="s">
        <v>17</v>
      </c>
      <c r="B42" t="s">
        <v>586</v>
      </c>
      <c r="C42" t="s">
        <v>537</v>
      </c>
      <c r="D42" s="56" t="s">
        <v>1132</v>
      </c>
      <c r="E42" s="59">
        <v>67</v>
      </c>
      <c r="F42" t="s">
        <v>1133</v>
      </c>
    </row>
    <row r="43" spans="1:7" x14ac:dyDescent="0.3">
      <c r="A43" t="s">
        <v>17</v>
      </c>
      <c r="B43" t="s">
        <v>586</v>
      </c>
      <c r="C43" t="s">
        <v>537</v>
      </c>
      <c r="D43" s="56" t="s">
        <v>1134</v>
      </c>
      <c r="E43" s="59">
        <v>100</v>
      </c>
      <c r="F43" t="s">
        <v>1135</v>
      </c>
    </row>
    <row r="44" spans="1:7" x14ac:dyDescent="0.3">
      <c r="A44" t="s">
        <v>18</v>
      </c>
      <c r="B44" t="s">
        <v>586</v>
      </c>
      <c r="C44" t="s">
        <v>537</v>
      </c>
      <c r="D44" s="56" t="s">
        <v>1136</v>
      </c>
      <c r="E44" s="59">
        <v>0</v>
      </c>
      <c r="F44" t="s">
        <v>1137</v>
      </c>
    </row>
    <row r="45" spans="1:7" x14ac:dyDescent="0.3">
      <c r="A45" t="s">
        <v>18</v>
      </c>
      <c r="B45" t="s">
        <v>586</v>
      </c>
      <c r="C45" t="s">
        <v>537</v>
      </c>
      <c r="D45" s="56" t="s">
        <v>1138</v>
      </c>
      <c r="E45" s="59">
        <v>25</v>
      </c>
      <c r="F45" t="s">
        <v>1139</v>
      </c>
    </row>
    <row r="46" spans="1:7" x14ac:dyDescent="0.3">
      <c r="A46" t="s">
        <v>18</v>
      </c>
      <c r="B46" t="s">
        <v>586</v>
      </c>
      <c r="C46" t="s">
        <v>537</v>
      </c>
      <c r="D46" s="56" t="s">
        <v>1140</v>
      </c>
      <c r="E46" s="59">
        <v>100</v>
      </c>
      <c r="F46" t="s">
        <v>1141</v>
      </c>
    </row>
    <row r="47" spans="1:7" x14ac:dyDescent="0.3">
      <c r="A47" t="s">
        <v>18</v>
      </c>
      <c r="B47" t="s">
        <v>586</v>
      </c>
      <c r="C47" t="s">
        <v>537</v>
      </c>
      <c r="D47" s="56" t="s">
        <v>1142</v>
      </c>
      <c r="E47" s="59" t="s">
        <v>1121</v>
      </c>
      <c r="F47" t="s">
        <v>1143</v>
      </c>
      <c r="G47" s="56" t="s">
        <v>1123</v>
      </c>
    </row>
    <row r="48" spans="1:7" x14ac:dyDescent="0.3">
      <c r="A48" t="s">
        <v>618</v>
      </c>
      <c r="B48" t="s">
        <v>619</v>
      </c>
      <c r="C48" t="s">
        <v>537</v>
      </c>
      <c r="D48" s="56" t="s">
        <v>1116</v>
      </c>
      <c r="E48" s="59">
        <v>100</v>
      </c>
      <c r="F48" t="s">
        <v>1144</v>
      </c>
      <c r="G48" s="56" t="s">
        <v>1125</v>
      </c>
    </row>
    <row r="49" spans="1:7" x14ac:dyDescent="0.3">
      <c r="A49" t="s">
        <v>618</v>
      </c>
      <c r="B49" t="s">
        <v>619</v>
      </c>
      <c r="C49" t="s">
        <v>537</v>
      </c>
      <c r="D49" s="56" t="s">
        <v>1118</v>
      </c>
      <c r="E49" s="59">
        <v>50</v>
      </c>
      <c r="F49" t="s">
        <v>1145</v>
      </c>
      <c r="G49" s="56" t="s">
        <v>1125</v>
      </c>
    </row>
    <row r="50" spans="1:7" ht="28.8" x14ac:dyDescent="0.3">
      <c r="A50" t="s">
        <v>623</v>
      </c>
      <c r="B50" t="s">
        <v>619</v>
      </c>
      <c r="C50" t="s">
        <v>537</v>
      </c>
      <c r="D50" s="56" t="s">
        <v>625</v>
      </c>
      <c r="E50" s="59"/>
      <c r="G50" s="56" t="s">
        <v>1113</v>
      </c>
    </row>
    <row r="51" spans="1:7" x14ac:dyDescent="0.3">
      <c r="A51" t="s">
        <v>627</v>
      </c>
      <c r="B51" t="s">
        <v>619</v>
      </c>
      <c r="C51" t="s">
        <v>537</v>
      </c>
      <c r="D51" s="56" t="s">
        <v>1146</v>
      </c>
      <c r="E51" s="59">
        <v>100</v>
      </c>
      <c r="F51" t="s">
        <v>1147</v>
      </c>
    </row>
    <row r="52" spans="1:7" x14ac:dyDescent="0.3">
      <c r="A52" t="s">
        <v>627</v>
      </c>
      <c r="B52" t="s">
        <v>619</v>
      </c>
      <c r="C52" t="s">
        <v>537</v>
      </c>
      <c r="D52" s="56" t="s">
        <v>1148</v>
      </c>
      <c r="E52" s="59">
        <v>50</v>
      </c>
      <c r="F52" t="s">
        <v>1149</v>
      </c>
    </row>
    <row r="53" spans="1:7" x14ac:dyDescent="0.3">
      <c r="A53" t="s">
        <v>627</v>
      </c>
      <c r="B53" t="s">
        <v>619</v>
      </c>
      <c r="C53" t="s">
        <v>537</v>
      </c>
      <c r="D53" s="56" t="s">
        <v>1120</v>
      </c>
      <c r="E53" s="59" t="s">
        <v>1121</v>
      </c>
      <c r="F53" t="s">
        <v>1150</v>
      </c>
      <c r="G53" s="56" t="s">
        <v>1123</v>
      </c>
    </row>
    <row r="54" spans="1:7" x14ac:dyDescent="0.3">
      <c r="A54" t="s">
        <v>631</v>
      </c>
      <c r="B54" t="s">
        <v>619</v>
      </c>
      <c r="C54" t="s">
        <v>537</v>
      </c>
      <c r="D54" s="56" t="s">
        <v>1116</v>
      </c>
      <c r="E54" s="59">
        <v>100</v>
      </c>
      <c r="F54" t="s">
        <v>1151</v>
      </c>
      <c r="G54" s="56" t="s">
        <v>1125</v>
      </c>
    </row>
    <row r="55" spans="1:7" x14ac:dyDescent="0.3">
      <c r="A55" t="s">
        <v>631</v>
      </c>
      <c r="B55" t="s">
        <v>619</v>
      </c>
      <c r="C55" t="s">
        <v>537</v>
      </c>
      <c r="D55" s="56" t="s">
        <v>1118</v>
      </c>
      <c r="E55" s="59">
        <v>50</v>
      </c>
      <c r="F55" t="s">
        <v>1152</v>
      </c>
      <c r="G55" s="56" t="s">
        <v>1125</v>
      </c>
    </row>
    <row r="56" spans="1:7" x14ac:dyDescent="0.3">
      <c r="A56" t="s">
        <v>631</v>
      </c>
      <c r="B56" t="s">
        <v>619</v>
      </c>
      <c r="C56" t="s">
        <v>537</v>
      </c>
      <c r="D56" s="56" t="s">
        <v>1120</v>
      </c>
      <c r="E56" s="59" t="s">
        <v>1121</v>
      </c>
      <c r="F56" t="s">
        <v>1153</v>
      </c>
      <c r="G56" s="56" t="s">
        <v>1128</v>
      </c>
    </row>
    <row r="57" spans="1:7" x14ac:dyDescent="0.3">
      <c r="A57" t="s">
        <v>633</v>
      </c>
      <c r="B57" t="s">
        <v>619</v>
      </c>
      <c r="C57" t="s">
        <v>537</v>
      </c>
      <c r="D57" s="56" t="s">
        <v>1154</v>
      </c>
      <c r="E57" s="59">
        <v>100</v>
      </c>
      <c r="F57" t="s">
        <v>1155</v>
      </c>
    </row>
    <row r="58" spans="1:7" x14ac:dyDescent="0.3">
      <c r="A58" t="s">
        <v>633</v>
      </c>
      <c r="B58" t="s">
        <v>619</v>
      </c>
      <c r="C58" t="s">
        <v>537</v>
      </c>
      <c r="D58" s="56" t="s">
        <v>1156</v>
      </c>
      <c r="E58" s="59">
        <v>100</v>
      </c>
      <c r="F58" t="s">
        <v>1157</v>
      </c>
    </row>
    <row r="59" spans="1:7" x14ac:dyDescent="0.3">
      <c r="A59" t="s">
        <v>633</v>
      </c>
      <c r="B59" t="s">
        <v>619</v>
      </c>
      <c r="C59" t="s">
        <v>537</v>
      </c>
      <c r="D59" s="56" t="s">
        <v>1158</v>
      </c>
      <c r="E59" s="59">
        <v>100</v>
      </c>
      <c r="F59" t="s">
        <v>1159</v>
      </c>
    </row>
    <row r="60" spans="1:7" x14ac:dyDescent="0.3">
      <c r="A60" t="s">
        <v>633</v>
      </c>
      <c r="B60" t="s">
        <v>619</v>
      </c>
      <c r="C60" t="s">
        <v>537</v>
      </c>
      <c r="D60" s="56" t="s">
        <v>1160</v>
      </c>
      <c r="E60" s="59">
        <v>100</v>
      </c>
      <c r="F60" t="s">
        <v>1161</v>
      </c>
    </row>
    <row r="61" spans="1:7" x14ac:dyDescent="0.3">
      <c r="A61" t="s">
        <v>633</v>
      </c>
      <c r="B61" t="s">
        <v>619</v>
      </c>
      <c r="C61" t="s">
        <v>537</v>
      </c>
      <c r="D61" s="56" t="s">
        <v>1120</v>
      </c>
      <c r="E61" s="59" t="s">
        <v>1121</v>
      </c>
      <c r="F61" t="s">
        <v>1162</v>
      </c>
      <c r="G61" s="56" t="s">
        <v>1123</v>
      </c>
    </row>
    <row r="62" spans="1:7" x14ac:dyDescent="0.3">
      <c r="A62" t="s">
        <v>637</v>
      </c>
      <c r="B62" t="s">
        <v>638</v>
      </c>
      <c r="C62" t="s">
        <v>640</v>
      </c>
      <c r="D62" s="56" t="s">
        <v>1163</v>
      </c>
      <c r="E62" s="59"/>
      <c r="G62" s="56" t="s">
        <v>1164</v>
      </c>
    </row>
    <row r="63" spans="1:7" x14ac:dyDescent="0.3">
      <c r="A63" t="s">
        <v>643</v>
      </c>
      <c r="B63" t="s">
        <v>638</v>
      </c>
      <c r="C63" t="s">
        <v>546</v>
      </c>
      <c r="D63" s="56" t="s">
        <v>1165</v>
      </c>
      <c r="E63" s="59"/>
      <c r="G63" s="56" t="s">
        <v>1166</v>
      </c>
    </row>
    <row r="64" spans="1:7" x14ac:dyDescent="0.3">
      <c r="A64" t="s">
        <v>645</v>
      </c>
      <c r="B64" t="s">
        <v>638</v>
      </c>
      <c r="C64" t="s">
        <v>640</v>
      </c>
      <c r="D64" s="56" t="s">
        <v>1163</v>
      </c>
      <c r="E64" s="59"/>
      <c r="G64" s="56" t="s">
        <v>1164</v>
      </c>
    </row>
    <row r="65" spans="1:7" x14ac:dyDescent="0.3">
      <c r="A65" t="s">
        <v>648</v>
      </c>
      <c r="B65" t="s">
        <v>638</v>
      </c>
      <c r="C65" t="s">
        <v>537</v>
      </c>
      <c r="D65" s="56" t="s">
        <v>1167</v>
      </c>
      <c r="E65" s="59">
        <v>100</v>
      </c>
      <c r="F65" t="s">
        <v>1168</v>
      </c>
    </row>
    <row r="66" spans="1:7" x14ac:dyDescent="0.3">
      <c r="A66" t="s">
        <v>648</v>
      </c>
      <c r="B66" t="s">
        <v>638</v>
      </c>
      <c r="C66" t="s">
        <v>537</v>
      </c>
      <c r="D66" s="56" t="s">
        <v>1169</v>
      </c>
      <c r="E66" s="59">
        <v>75</v>
      </c>
      <c r="F66" t="s">
        <v>1170</v>
      </c>
    </row>
    <row r="67" spans="1:7" x14ac:dyDescent="0.3">
      <c r="A67" t="s">
        <v>648</v>
      </c>
      <c r="B67" t="s">
        <v>638</v>
      </c>
      <c r="C67" t="s">
        <v>537</v>
      </c>
      <c r="D67" s="56" t="s">
        <v>1171</v>
      </c>
      <c r="E67" s="59">
        <v>50</v>
      </c>
      <c r="F67" t="s">
        <v>1172</v>
      </c>
    </row>
    <row r="68" spans="1:7" x14ac:dyDescent="0.3">
      <c r="A68" t="s">
        <v>648</v>
      </c>
      <c r="B68" t="s">
        <v>638</v>
      </c>
      <c r="C68" t="s">
        <v>537</v>
      </c>
      <c r="D68" s="56" t="s">
        <v>1173</v>
      </c>
      <c r="E68" s="59">
        <v>25</v>
      </c>
      <c r="F68" t="s">
        <v>1174</v>
      </c>
    </row>
    <row r="69" spans="1:7" x14ac:dyDescent="0.3">
      <c r="A69" t="s">
        <v>648</v>
      </c>
      <c r="B69" t="s">
        <v>638</v>
      </c>
      <c r="C69" t="s">
        <v>537</v>
      </c>
      <c r="D69" s="56" t="s">
        <v>1175</v>
      </c>
      <c r="E69" s="59" t="s">
        <v>1121</v>
      </c>
      <c r="F69" t="s">
        <v>1176</v>
      </c>
      <c r="G69" s="56" t="s">
        <v>1123</v>
      </c>
    </row>
    <row r="70" spans="1:7" x14ac:dyDescent="0.3">
      <c r="A70" t="s">
        <v>651</v>
      </c>
      <c r="B70" t="s">
        <v>638</v>
      </c>
      <c r="C70" t="s">
        <v>537</v>
      </c>
      <c r="D70" s="56" t="s">
        <v>1177</v>
      </c>
      <c r="E70" s="59">
        <v>0</v>
      </c>
      <c r="F70" t="s">
        <v>1178</v>
      </c>
    </row>
    <row r="71" spans="1:7" x14ac:dyDescent="0.3">
      <c r="A71" t="s">
        <v>651</v>
      </c>
      <c r="B71" t="s">
        <v>638</v>
      </c>
      <c r="C71" t="s">
        <v>537</v>
      </c>
      <c r="D71" s="56" t="s">
        <v>1179</v>
      </c>
      <c r="E71" s="59">
        <v>33</v>
      </c>
      <c r="F71" t="s">
        <v>1180</v>
      </c>
    </row>
    <row r="72" spans="1:7" x14ac:dyDescent="0.3">
      <c r="A72" t="s">
        <v>651</v>
      </c>
      <c r="B72" t="s">
        <v>638</v>
      </c>
      <c r="C72" t="s">
        <v>537</v>
      </c>
      <c r="D72" s="56" t="s">
        <v>1181</v>
      </c>
      <c r="E72" s="59">
        <v>67</v>
      </c>
      <c r="F72" t="s">
        <v>1182</v>
      </c>
    </row>
    <row r="73" spans="1:7" x14ac:dyDescent="0.3">
      <c r="A73" t="s">
        <v>651</v>
      </c>
      <c r="B73" t="s">
        <v>638</v>
      </c>
      <c r="C73" t="s">
        <v>537</v>
      </c>
      <c r="D73" s="56" t="s">
        <v>1183</v>
      </c>
      <c r="E73" s="59">
        <v>100</v>
      </c>
      <c r="F73" t="s">
        <v>1184</v>
      </c>
    </row>
    <row r="74" spans="1:7" x14ac:dyDescent="0.3">
      <c r="A74" t="s">
        <v>654</v>
      </c>
      <c r="B74" t="s">
        <v>638</v>
      </c>
      <c r="C74" t="s">
        <v>537</v>
      </c>
      <c r="D74" s="56" t="s">
        <v>1185</v>
      </c>
      <c r="E74" s="59">
        <v>0</v>
      </c>
      <c r="F74" t="s">
        <v>1186</v>
      </c>
    </row>
    <row r="75" spans="1:7" x14ac:dyDescent="0.3">
      <c r="A75" t="s">
        <v>654</v>
      </c>
      <c r="B75" t="s">
        <v>638</v>
      </c>
      <c r="C75" t="s">
        <v>537</v>
      </c>
      <c r="D75" s="56" t="s">
        <v>1187</v>
      </c>
      <c r="E75" s="59">
        <v>50</v>
      </c>
      <c r="F75" t="s">
        <v>1188</v>
      </c>
    </row>
    <row r="76" spans="1:7" x14ac:dyDescent="0.3">
      <c r="A76" t="s">
        <v>654</v>
      </c>
      <c r="B76" t="s">
        <v>638</v>
      </c>
      <c r="C76" t="s">
        <v>537</v>
      </c>
      <c r="D76" s="56" t="s">
        <v>1189</v>
      </c>
      <c r="E76" s="59">
        <v>100</v>
      </c>
      <c r="F76" t="s">
        <v>1190</v>
      </c>
    </row>
    <row r="77" spans="1:7" x14ac:dyDescent="0.3">
      <c r="A77" t="s">
        <v>658</v>
      </c>
      <c r="B77" t="s">
        <v>638</v>
      </c>
      <c r="C77" t="s">
        <v>537</v>
      </c>
      <c r="D77" s="56" t="s">
        <v>1191</v>
      </c>
      <c r="E77" s="59">
        <v>100</v>
      </c>
      <c r="F77" t="s">
        <v>1192</v>
      </c>
    </row>
    <row r="78" spans="1:7" x14ac:dyDescent="0.3">
      <c r="A78" t="s">
        <v>658</v>
      </c>
      <c r="B78" t="s">
        <v>638</v>
      </c>
      <c r="C78" t="s">
        <v>537</v>
      </c>
      <c r="D78" s="56" t="s">
        <v>1193</v>
      </c>
      <c r="E78" s="59">
        <v>75</v>
      </c>
      <c r="F78" t="s">
        <v>1194</v>
      </c>
    </row>
    <row r="79" spans="1:7" x14ac:dyDescent="0.3">
      <c r="A79" t="s">
        <v>658</v>
      </c>
      <c r="B79" t="s">
        <v>638</v>
      </c>
      <c r="C79" t="s">
        <v>537</v>
      </c>
      <c r="D79" s="56" t="s">
        <v>1195</v>
      </c>
      <c r="E79" s="59">
        <v>50</v>
      </c>
      <c r="F79" t="s">
        <v>1196</v>
      </c>
    </row>
    <row r="80" spans="1:7" x14ac:dyDescent="0.3">
      <c r="A80" t="s">
        <v>658</v>
      </c>
      <c r="B80" t="s">
        <v>638</v>
      </c>
      <c r="C80" t="s">
        <v>537</v>
      </c>
      <c r="D80" s="56" t="s">
        <v>1197</v>
      </c>
      <c r="E80" s="59">
        <v>25</v>
      </c>
      <c r="F80" t="s">
        <v>1198</v>
      </c>
    </row>
    <row r="81" spans="1:7" x14ac:dyDescent="0.3">
      <c r="A81" t="s">
        <v>658</v>
      </c>
      <c r="B81" t="s">
        <v>638</v>
      </c>
      <c r="C81" t="s">
        <v>537</v>
      </c>
      <c r="D81" s="56" t="s">
        <v>1199</v>
      </c>
      <c r="E81" s="59" t="s">
        <v>1121</v>
      </c>
      <c r="F81" t="s">
        <v>1200</v>
      </c>
      <c r="G81" s="56" t="s">
        <v>1123</v>
      </c>
    </row>
    <row r="82" spans="1:7" x14ac:dyDescent="0.3">
      <c r="A82" t="s">
        <v>661</v>
      </c>
      <c r="B82" t="s">
        <v>638</v>
      </c>
      <c r="C82" t="s">
        <v>537</v>
      </c>
      <c r="D82" s="56" t="s">
        <v>1201</v>
      </c>
      <c r="E82" s="59">
        <v>100</v>
      </c>
      <c r="F82" t="s">
        <v>1202</v>
      </c>
    </row>
    <row r="83" spans="1:7" x14ac:dyDescent="0.3">
      <c r="A83" t="s">
        <v>661</v>
      </c>
      <c r="B83" t="s">
        <v>638</v>
      </c>
      <c r="C83" t="s">
        <v>537</v>
      </c>
      <c r="D83" s="56" t="s">
        <v>1203</v>
      </c>
      <c r="E83" s="59">
        <v>67</v>
      </c>
      <c r="F83" t="s">
        <v>1204</v>
      </c>
    </row>
    <row r="84" spans="1:7" x14ac:dyDescent="0.3">
      <c r="A84" t="s">
        <v>661</v>
      </c>
      <c r="B84" t="s">
        <v>638</v>
      </c>
      <c r="C84" t="s">
        <v>537</v>
      </c>
      <c r="D84" s="56" t="s">
        <v>1205</v>
      </c>
      <c r="E84" s="59">
        <v>33</v>
      </c>
      <c r="F84" t="s">
        <v>1206</v>
      </c>
    </row>
    <row r="85" spans="1:7" x14ac:dyDescent="0.3">
      <c r="A85" t="s">
        <v>661</v>
      </c>
      <c r="B85" t="s">
        <v>638</v>
      </c>
      <c r="C85" t="s">
        <v>537</v>
      </c>
      <c r="D85" s="56" t="s">
        <v>1207</v>
      </c>
      <c r="E85" s="59">
        <v>0</v>
      </c>
      <c r="F85" t="s">
        <v>1208</v>
      </c>
    </row>
    <row r="86" spans="1:7" x14ac:dyDescent="0.3">
      <c r="A86" t="s">
        <v>661</v>
      </c>
      <c r="B86" t="s">
        <v>638</v>
      </c>
      <c r="C86" t="s">
        <v>537</v>
      </c>
      <c r="D86" s="56" t="s">
        <v>1209</v>
      </c>
      <c r="E86" s="59" t="s">
        <v>1121</v>
      </c>
      <c r="F86" t="s">
        <v>1210</v>
      </c>
      <c r="G86" s="56" t="s">
        <v>1123</v>
      </c>
    </row>
    <row r="87" spans="1:7" x14ac:dyDescent="0.3">
      <c r="A87" t="s">
        <v>666</v>
      </c>
      <c r="B87" t="s">
        <v>667</v>
      </c>
      <c r="C87" t="s">
        <v>546</v>
      </c>
      <c r="D87" s="56" t="s">
        <v>1165</v>
      </c>
      <c r="E87" s="59"/>
      <c r="G87" s="56" t="s">
        <v>1166</v>
      </c>
    </row>
    <row r="88" spans="1:7" x14ac:dyDescent="0.3">
      <c r="A88" t="s">
        <v>670</v>
      </c>
      <c r="B88" t="s">
        <v>667</v>
      </c>
      <c r="C88" t="s">
        <v>537</v>
      </c>
      <c r="D88" s="56" t="s">
        <v>1211</v>
      </c>
      <c r="E88" s="59">
        <v>0</v>
      </c>
      <c r="F88" t="s">
        <v>1212</v>
      </c>
      <c r="G88" s="56" t="s">
        <v>1125</v>
      </c>
    </row>
    <row r="89" spans="1:7" x14ac:dyDescent="0.3">
      <c r="A89" t="s">
        <v>670</v>
      </c>
      <c r="B89" t="s">
        <v>667</v>
      </c>
      <c r="C89" t="s">
        <v>537</v>
      </c>
      <c r="D89" s="56" t="s">
        <v>1213</v>
      </c>
      <c r="E89" s="59">
        <v>50</v>
      </c>
      <c r="F89" t="s">
        <v>1214</v>
      </c>
      <c r="G89" s="56" t="s">
        <v>1125</v>
      </c>
    </row>
    <row r="90" spans="1:7" x14ac:dyDescent="0.3">
      <c r="A90" t="s">
        <v>670</v>
      </c>
      <c r="B90" t="s">
        <v>667</v>
      </c>
      <c r="C90" t="s">
        <v>537</v>
      </c>
      <c r="D90" s="56" t="s">
        <v>1215</v>
      </c>
      <c r="E90" s="59">
        <v>0</v>
      </c>
      <c r="F90" t="s">
        <v>1216</v>
      </c>
      <c r="G90" s="56" t="s">
        <v>1125</v>
      </c>
    </row>
    <row r="91" spans="1:7" x14ac:dyDescent="0.3">
      <c r="A91" t="s">
        <v>670</v>
      </c>
      <c r="B91" t="s">
        <v>667</v>
      </c>
      <c r="C91" t="s">
        <v>537</v>
      </c>
      <c r="D91" s="56" t="s">
        <v>1217</v>
      </c>
      <c r="E91" s="59" t="s">
        <v>1121</v>
      </c>
      <c r="F91" t="s">
        <v>1218</v>
      </c>
      <c r="G91" s="56" t="s">
        <v>1128</v>
      </c>
    </row>
    <row r="92" spans="1:7" x14ac:dyDescent="0.3">
      <c r="A92" t="s">
        <v>670</v>
      </c>
      <c r="B92" t="s">
        <v>667</v>
      </c>
      <c r="C92" t="s">
        <v>537</v>
      </c>
      <c r="D92" s="56" t="s">
        <v>1219</v>
      </c>
      <c r="E92" s="59">
        <v>100</v>
      </c>
      <c r="F92" t="s">
        <v>1220</v>
      </c>
      <c r="G92" s="56" t="s">
        <v>1125</v>
      </c>
    </row>
    <row r="93" spans="1:7" x14ac:dyDescent="0.3">
      <c r="A93" t="s">
        <v>673</v>
      </c>
      <c r="B93" t="s">
        <v>667</v>
      </c>
      <c r="C93" t="s">
        <v>640</v>
      </c>
      <c r="D93" s="56" t="s">
        <v>1163</v>
      </c>
      <c r="E93" s="59"/>
      <c r="G93" s="56" t="s">
        <v>1164</v>
      </c>
    </row>
    <row r="94" spans="1:7" x14ac:dyDescent="0.3">
      <c r="A94" t="s">
        <v>675</v>
      </c>
      <c r="B94" t="s">
        <v>667</v>
      </c>
      <c r="C94" t="s">
        <v>537</v>
      </c>
      <c r="D94" s="56" t="s">
        <v>1116</v>
      </c>
      <c r="E94" s="59">
        <v>0</v>
      </c>
      <c r="F94" t="s">
        <v>1221</v>
      </c>
    </row>
    <row r="95" spans="1:7" x14ac:dyDescent="0.3">
      <c r="A95" t="s">
        <v>675</v>
      </c>
      <c r="B95" t="s">
        <v>667</v>
      </c>
      <c r="C95" t="s">
        <v>537</v>
      </c>
      <c r="D95" s="56" t="s">
        <v>1118</v>
      </c>
      <c r="E95" s="59">
        <v>100</v>
      </c>
      <c r="F95" t="s">
        <v>1222</v>
      </c>
    </row>
    <row r="96" spans="1:7" x14ac:dyDescent="0.3">
      <c r="A96" t="s">
        <v>675</v>
      </c>
      <c r="B96" t="s">
        <v>667</v>
      </c>
      <c r="C96" t="s">
        <v>537</v>
      </c>
      <c r="D96" s="56" t="s">
        <v>1217</v>
      </c>
      <c r="E96" s="59" t="s">
        <v>1121</v>
      </c>
      <c r="F96" t="s">
        <v>1223</v>
      </c>
      <c r="G96" s="56" t="s">
        <v>1123</v>
      </c>
    </row>
    <row r="97" spans="1:7" x14ac:dyDescent="0.3">
      <c r="A97" t="s">
        <v>678</v>
      </c>
      <c r="B97" t="s">
        <v>667</v>
      </c>
      <c r="C97" t="s">
        <v>537</v>
      </c>
      <c r="D97" s="56" t="s">
        <v>1224</v>
      </c>
      <c r="E97" s="59">
        <v>100</v>
      </c>
      <c r="F97" t="s">
        <v>1225</v>
      </c>
    </row>
    <row r="98" spans="1:7" x14ac:dyDescent="0.3">
      <c r="A98" t="s">
        <v>678</v>
      </c>
      <c r="B98" t="s">
        <v>667</v>
      </c>
      <c r="C98" t="s">
        <v>537</v>
      </c>
      <c r="D98" s="56" t="s">
        <v>1226</v>
      </c>
      <c r="E98" s="59">
        <v>50</v>
      </c>
      <c r="F98" t="s">
        <v>1227</v>
      </c>
    </row>
    <row r="99" spans="1:7" x14ac:dyDescent="0.3">
      <c r="A99" t="s">
        <v>678</v>
      </c>
      <c r="B99" t="s">
        <v>667</v>
      </c>
      <c r="C99" t="s">
        <v>537</v>
      </c>
      <c r="D99" s="56" t="s">
        <v>1118</v>
      </c>
      <c r="E99" s="59">
        <v>0</v>
      </c>
      <c r="F99" t="s">
        <v>1228</v>
      </c>
    </row>
    <row r="100" spans="1:7" x14ac:dyDescent="0.3">
      <c r="A100" t="s">
        <v>678</v>
      </c>
      <c r="B100" t="s">
        <v>667</v>
      </c>
      <c r="C100" t="s">
        <v>537</v>
      </c>
      <c r="D100" s="56" t="s">
        <v>1209</v>
      </c>
      <c r="E100" s="59" t="s">
        <v>1121</v>
      </c>
      <c r="F100" t="s">
        <v>1229</v>
      </c>
      <c r="G100" s="56" t="s">
        <v>1123</v>
      </c>
    </row>
    <row r="101" spans="1:7" x14ac:dyDescent="0.3">
      <c r="A101" t="s">
        <v>681</v>
      </c>
      <c r="B101" t="s">
        <v>667</v>
      </c>
      <c r="C101" t="s">
        <v>537</v>
      </c>
      <c r="D101" s="56" t="s">
        <v>1230</v>
      </c>
      <c r="E101" s="59">
        <v>100</v>
      </c>
      <c r="F101" t="s">
        <v>1231</v>
      </c>
    </row>
    <row r="102" spans="1:7" x14ac:dyDescent="0.3">
      <c r="A102" t="s">
        <v>681</v>
      </c>
      <c r="B102" t="s">
        <v>667</v>
      </c>
      <c r="C102" t="s">
        <v>537</v>
      </c>
      <c r="D102" s="56" t="s">
        <v>1232</v>
      </c>
      <c r="E102" s="59">
        <v>50</v>
      </c>
      <c r="F102" t="s">
        <v>1233</v>
      </c>
    </row>
    <row r="103" spans="1:7" x14ac:dyDescent="0.3">
      <c r="A103" t="s">
        <v>681</v>
      </c>
      <c r="B103" t="s">
        <v>667</v>
      </c>
      <c r="C103" t="s">
        <v>537</v>
      </c>
      <c r="D103" s="56" t="s">
        <v>1118</v>
      </c>
      <c r="E103" s="59">
        <v>0</v>
      </c>
      <c r="F103" t="s">
        <v>1234</v>
      </c>
    </row>
    <row r="104" spans="1:7" x14ac:dyDescent="0.3">
      <c r="A104" t="s">
        <v>681</v>
      </c>
      <c r="B104" t="s">
        <v>667</v>
      </c>
      <c r="C104" t="s">
        <v>537</v>
      </c>
      <c r="D104" s="56" t="s">
        <v>1209</v>
      </c>
      <c r="E104" s="59" t="s">
        <v>1121</v>
      </c>
      <c r="F104" t="s">
        <v>1235</v>
      </c>
      <c r="G104" s="56" t="s">
        <v>1123</v>
      </c>
    </row>
    <row r="105" spans="1:7" x14ac:dyDescent="0.3">
      <c r="A105" t="s">
        <v>684</v>
      </c>
      <c r="B105" t="s">
        <v>667</v>
      </c>
      <c r="C105" t="s">
        <v>537</v>
      </c>
      <c r="D105" s="56" t="s">
        <v>1116</v>
      </c>
      <c r="E105" s="59">
        <v>0</v>
      </c>
      <c r="F105" t="s">
        <v>1236</v>
      </c>
    </row>
    <row r="106" spans="1:7" x14ac:dyDescent="0.3">
      <c r="A106" t="s">
        <v>684</v>
      </c>
      <c r="B106" t="s">
        <v>667</v>
      </c>
      <c r="C106" t="s">
        <v>537</v>
      </c>
      <c r="D106" s="56" t="s">
        <v>1118</v>
      </c>
      <c r="E106" s="59">
        <v>100</v>
      </c>
      <c r="F106" t="s">
        <v>1237</v>
      </c>
    </row>
    <row r="107" spans="1:7" x14ac:dyDescent="0.3">
      <c r="A107" t="s">
        <v>684</v>
      </c>
      <c r="B107" t="s">
        <v>667</v>
      </c>
      <c r="C107" t="s">
        <v>537</v>
      </c>
      <c r="D107" s="56" t="s">
        <v>1120</v>
      </c>
      <c r="E107" s="59" t="s">
        <v>1121</v>
      </c>
      <c r="F107" t="s">
        <v>1238</v>
      </c>
      <c r="G107" s="56" t="s">
        <v>1123</v>
      </c>
    </row>
    <row r="108" spans="1:7" x14ac:dyDescent="0.3">
      <c r="A108" t="s">
        <v>686</v>
      </c>
      <c r="B108" t="s">
        <v>667</v>
      </c>
      <c r="C108" t="s">
        <v>537</v>
      </c>
      <c r="D108" s="56" t="s">
        <v>1239</v>
      </c>
      <c r="E108" s="59">
        <v>100</v>
      </c>
      <c r="F108" t="s">
        <v>1240</v>
      </c>
    </row>
    <row r="109" spans="1:7" x14ac:dyDescent="0.3">
      <c r="A109" t="s">
        <v>686</v>
      </c>
      <c r="B109" t="s">
        <v>667</v>
      </c>
      <c r="C109" t="s">
        <v>537</v>
      </c>
      <c r="D109" s="56" t="s">
        <v>1241</v>
      </c>
      <c r="E109" s="59">
        <v>80</v>
      </c>
      <c r="F109" t="s">
        <v>1242</v>
      </c>
    </row>
    <row r="110" spans="1:7" ht="28.8" x14ac:dyDescent="0.3">
      <c r="A110" t="s">
        <v>686</v>
      </c>
      <c r="B110" t="s">
        <v>667</v>
      </c>
      <c r="C110" t="s">
        <v>537</v>
      </c>
      <c r="D110" s="56" t="s">
        <v>1243</v>
      </c>
      <c r="E110" s="59">
        <v>60</v>
      </c>
      <c r="F110" t="s">
        <v>1244</v>
      </c>
    </row>
    <row r="111" spans="1:7" x14ac:dyDescent="0.3">
      <c r="A111" t="s">
        <v>686</v>
      </c>
      <c r="B111" t="s">
        <v>667</v>
      </c>
      <c r="C111" t="s">
        <v>537</v>
      </c>
      <c r="D111" s="56" t="s">
        <v>1245</v>
      </c>
      <c r="E111" s="59">
        <v>20</v>
      </c>
      <c r="F111" t="s">
        <v>1246</v>
      </c>
    </row>
    <row r="112" spans="1:7" ht="28.8" x14ac:dyDescent="0.3">
      <c r="A112" t="s">
        <v>686</v>
      </c>
      <c r="B112" t="s">
        <v>667</v>
      </c>
      <c r="C112" t="s">
        <v>537</v>
      </c>
      <c r="D112" s="56" t="s">
        <v>1247</v>
      </c>
      <c r="E112" s="59">
        <v>0</v>
      </c>
      <c r="F112" t="s">
        <v>1248</v>
      </c>
    </row>
    <row r="113" spans="1:7" x14ac:dyDescent="0.3">
      <c r="A113" t="s">
        <v>686</v>
      </c>
      <c r="B113" t="s">
        <v>667</v>
      </c>
      <c r="C113" t="s">
        <v>537</v>
      </c>
      <c r="D113" s="56" t="s">
        <v>1217</v>
      </c>
      <c r="E113" s="59" t="s">
        <v>1121</v>
      </c>
      <c r="F113" t="s">
        <v>1249</v>
      </c>
      <c r="G113" s="56" t="s">
        <v>1123</v>
      </c>
    </row>
    <row r="114" spans="1:7" x14ac:dyDescent="0.3">
      <c r="A114" t="s">
        <v>689</v>
      </c>
      <c r="B114" t="s">
        <v>667</v>
      </c>
      <c r="C114" t="s">
        <v>537</v>
      </c>
      <c r="D114" s="56" t="s">
        <v>1250</v>
      </c>
      <c r="E114" s="59">
        <v>100</v>
      </c>
      <c r="F114" t="s">
        <v>1251</v>
      </c>
    </row>
    <row r="115" spans="1:7" x14ac:dyDescent="0.3">
      <c r="A115" t="s">
        <v>689</v>
      </c>
      <c r="B115" t="s">
        <v>667</v>
      </c>
      <c r="C115" t="s">
        <v>537</v>
      </c>
      <c r="D115" s="56" t="s">
        <v>1226</v>
      </c>
      <c r="E115" s="59">
        <v>50</v>
      </c>
      <c r="F115" t="s">
        <v>1252</v>
      </c>
    </row>
    <row r="116" spans="1:7" x14ac:dyDescent="0.3">
      <c r="A116" t="s">
        <v>689</v>
      </c>
      <c r="B116" t="s">
        <v>667</v>
      </c>
      <c r="C116" t="s">
        <v>537</v>
      </c>
      <c r="D116" s="56" t="s">
        <v>1217</v>
      </c>
      <c r="E116" s="59" t="s">
        <v>1121</v>
      </c>
      <c r="F116" t="s">
        <v>1253</v>
      </c>
      <c r="G116" s="56" t="s">
        <v>1123</v>
      </c>
    </row>
    <row r="117" spans="1:7" x14ac:dyDescent="0.3">
      <c r="A117" t="s">
        <v>689</v>
      </c>
      <c r="B117" t="s">
        <v>667</v>
      </c>
      <c r="C117" t="s">
        <v>537</v>
      </c>
      <c r="D117" s="56" t="s">
        <v>1120</v>
      </c>
      <c r="E117" s="59" t="s">
        <v>1121</v>
      </c>
      <c r="F117" t="s">
        <v>1254</v>
      </c>
      <c r="G117" s="56" t="s">
        <v>1123</v>
      </c>
    </row>
    <row r="118" spans="1:7" x14ac:dyDescent="0.3">
      <c r="A118" t="s">
        <v>692</v>
      </c>
      <c r="B118" t="s">
        <v>667</v>
      </c>
      <c r="C118" t="s">
        <v>537</v>
      </c>
      <c r="D118" s="56" t="s">
        <v>1255</v>
      </c>
      <c r="E118" s="59">
        <v>100</v>
      </c>
      <c r="F118" t="s">
        <v>1256</v>
      </c>
    </row>
    <row r="119" spans="1:7" x14ac:dyDescent="0.3">
      <c r="A119" t="s">
        <v>692</v>
      </c>
      <c r="B119" t="s">
        <v>667</v>
      </c>
      <c r="C119" t="s">
        <v>537</v>
      </c>
      <c r="D119" s="56" t="s">
        <v>1257</v>
      </c>
      <c r="E119" s="59">
        <v>50</v>
      </c>
      <c r="F119" t="s">
        <v>1258</v>
      </c>
    </row>
    <row r="120" spans="1:7" x14ac:dyDescent="0.3">
      <c r="A120" t="s">
        <v>692</v>
      </c>
      <c r="B120" t="s">
        <v>667</v>
      </c>
      <c r="C120" t="s">
        <v>537</v>
      </c>
      <c r="D120" s="56" t="s">
        <v>1259</v>
      </c>
      <c r="E120" s="59">
        <v>0</v>
      </c>
      <c r="F120" t="s">
        <v>1260</v>
      </c>
    </row>
    <row r="121" spans="1:7" x14ac:dyDescent="0.3">
      <c r="A121" t="s">
        <v>695</v>
      </c>
      <c r="B121" t="s">
        <v>667</v>
      </c>
      <c r="C121" t="s">
        <v>537</v>
      </c>
      <c r="D121" s="56" t="s">
        <v>1261</v>
      </c>
      <c r="E121" s="59">
        <v>100</v>
      </c>
      <c r="F121" t="s">
        <v>1262</v>
      </c>
    </row>
    <row r="122" spans="1:7" x14ac:dyDescent="0.3">
      <c r="A122" t="s">
        <v>695</v>
      </c>
      <c r="B122" t="s">
        <v>667</v>
      </c>
      <c r="C122" t="s">
        <v>537</v>
      </c>
      <c r="D122" s="56" t="s">
        <v>1263</v>
      </c>
      <c r="E122" s="59">
        <v>0</v>
      </c>
      <c r="F122" t="s">
        <v>1264</v>
      </c>
    </row>
    <row r="123" spans="1:7" x14ac:dyDescent="0.3">
      <c r="A123" t="s">
        <v>695</v>
      </c>
      <c r="B123" t="s">
        <v>667</v>
      </c>
      <c r="C123" t="s">
        <v>537</v>
      </c>
      <c r="D123" s="56" t="s">
        <v>1265</v>
      </c>
      <c r="E123" s="59" t="s">
        <v>1121</v>
      </c>
      <c r="F123" t="s">
        <v>1266</v>
      </c>
      <c r="G123" s="56" t="s">
        <v>1123</v>
      </c>
    </row>
    <row r="124" spans="1:7" x14ac:dyDescent="0.3">
      <c r="A124" t="s">
        <v>695</v>
      </c>
      <c r="B124" t="s">
        <v>667</v>
      </c>
      <c r="C124" t="s">
        <v>537</v>
      </c>
      <c r="D124" s="56" t="s">
        <v>1120</v>
      </c>
      <c r="E124" s="59" t="s">
        <v>1121</v>
      </c>
      <c r="F124" t="s">
        <v>1267</v>
      </c>
      <c r="G124" s="56" t="s">
        <v>1123</v>
      </c>
    </row>
    <row r="125" spans="1:7" x14ac:dyDescent="0.3">
      <c r="A125" t="s">
        <v>698</v>
      </c>
      <c r="B125" t="s">
        <v>667</v>
      </c>
      <c r="C125" t="s">
        <v>537</v>
      </c>
      <c r="D125" s="56" t="s">
        <v>1268</v>
      </c>
      <c r="E125" s="59">
        <v>100</v>
      </c>
      <c r="F125" t="s">
        <v>1269</v>
      </c>
    </row>
    <row r="126" spans="1:7" x14ac:dyDescent="0.3">
      <c r="A126" t="s">
        <v>698</v>
      </c>
      <c r="B126" t="s">
        <v>667</v>
      </c>
      <c r="C126" t="s">
        <v>537</v>
      </c>
      <c r="D126" s="56" t="s">
        <v>1270</v>
      </c>
      <c r="E126" s="59">
        <v>50</v>
      </c>
      <c r="F126" t="s">
        <v>1271</v>
      </c>
    </row>
    <row r="127" spans="1:7" x14ac:dyDescent="0.3">
      <c r="A127" t="s">
        <v>698</v>
      </c>
      <c r="B127" t="s">
        <v>667</v>
      </c>
      <c r="C127" t="s">
        <v>537</v>
      </c>
      <c r="D127" s="56" t="s">
        <v>1118</v>
      </c>
      <c r="E127" s="59">
        <v>0</v>
      </c>
      <c r="F127" t="s">
        <v>1272</v>
      </c>
    </row>
    <row r="128" spans="1:7" x14ac:dyDescent="0.3">
      <c r="A128" t="s">
        <v>698</v>
      </c>
      <c r="B128" t="s">
        <v>667</v>
      </c>
      <c r="C128" t="s">
        <v>537</v>
      </c>
      <c r="D128" s="56" t="s">
        <v>1273</v>
      </c>
      <c r="E128" s="59" t="s">
        <v>1121</v>
      </c>
      <c r="F128" t="s">
        <v>1274</v>
      </c>
      <c r="G128" s="56" t="s">
        <v>1123</v>
      </c>
    </row>
    <row r="129" spans="1:7" x14ac:dyDescent="0.3">
      <c r="A129" t="s">
        <v>701</v>
      </c>
      <c r="B129" t="s">
        <v>667</v>
      </c>
      <c r="C129" t="s">
        <v>537</v>
      </c>
      <c r="D129" s="56" t="s">
        <v>1275</v>
      </c>
      <c r="E129" s="59">
        <v>0</v>
      </c>
      <c r="F129" t="s">
        <v>1276</v>
      </c>
    </row>
    <row r="130" spans="1:7" x14ac:dyDescent="0.3">
      <c r="A130" t="s">
        <v>701</v>
      </c>
      <c r="B130" t="s">
        <v>667</v>
      </c>
      <c r="C130" t="s">
        <v>537</v>
      </c>
      <c r="D130" s="56" t="s">
        <v>1277</v>
      </c>
      <c r="E130" s="59">
        <v>50</v>
      </c>
      <c r="F130" t="s">
        <v>1278</v>
      </c>
    </row>
    <row r="131" spans="1:7" x14ac:dyDescent="0.3">
      <c r="A131" t="s">
        <v>701</v>
      </c>
      <c r="B131" t="s">
        <v>667</v>
      </c>
      <c r="C131" t="s">
        <v>537</v>
      </c>
      <c r="D131" s="56" t="s">
        <v>1118</v>
      </c>
      <c r="E131" s="59">
        <v>100</v>
      </c>
      <c r="F131" t="s">
        <v>1279</v>
      </c>
    </row>
    <row r="132" spans="1:7" x14ac:dyDescent="0.3">
      <c r="A132" t="s">
        <v>701</v>
      </c>
      <c r="B132" t="s">
        <v>667</v>
      </c>
      <c r="C132" t="s">
        <v>537</v>
      </c>
      <c r="D132" s="56" t="s">
        <v>1120</v>
      </c>
      <c r="E132" s="59" t="s">
        <v>1121</v>
      </c>
      <c r="F132" t="s">
        <v>1280</v>
      </c>
      <c r="G132" s="56" t="s">
        <v>1123</v>
      </c>
    </row>
    <row r="133" spans="1:7" x14ac:dyDescent="0.3">
      <c r="A133" t="s">
        <v>706</v>
      </c>
      <c r="B133" t="s">
        <v>707</v>
      </c>
      <c r="C133" t="s">
        <v>537</v>
      </c>
      <c r="D133" s="56" t="s">
        <v>1217</v>
      </c>
      <c r="E133" s="59" t="s">
        <v>1121</v>
      </c>
      <c r="F133" t="s">
        <v>1281</v>
      </c>
      <c r="G133" s="56" t="s">
        <v>1128</v>
      </c>
    </row>
    <row r="134" spans="1:7" x14ac:dyDescent="0.3">
      <c r="A134" t="s">
        <v>706</v>
      </c>
      <c r="B134" t="s">
        <v>707</v>
      </c>
      <c r="C134" t="s">
        <v>537</v>
      </c>
      <c r="D134" s="56" t="s">
        <v>1282</v>
      </c>
      <c r="E134" s="59">
        <v>50</v>
      </c>
      <c r="F134" t="s">
        <v>1283</v>
      </c>
      <c r="G134" s="56" t="s">
        <v>1125</v>
      </c>
    </row>
    <row r="135" spans="1:7" x14ac:dyDescent="0.3">
      <c r="A135" t="s">
        <v>706</v>
      </c>
      <c r="B135" t="s">
        <v>707</v>
      </c>
      <c r="C135" t="s">
        <v>537</v>
      </c>
      <c r="D135" s="56" t="s">
        <v>1284</v>
      </c>
      <c r="E135" s="59">
        <v>75</v>
      </c>
      <c r="F135" t="s">
        <v>1285</v>
      </c>
      <c r="G135" s="56" t="s">
        <v>1125</v>
      </c>
    </row>
    <row r="136" spans="1:7" x14ac:dyDescent="0.3">
      <c r="A136" t="s">
        <v>706</v>
      </c>
      <c r="B136" t="s">
        <v>707</v>
      </c>
      <c r="C136" t="s">
        <v>537</v>
      </c>
      <c r="D136" s="56" t="s">
        <v>1286</v>
      </c>
      <c r="E136" s="59">
        <v>0</v>
      </c>
      <c r="F136" t="s">
        <v>1287</v>
      </c>
      <c r="G136" s="56" t="s">
        <v>1125</v>
      </c>
    </row>
    <row r="137" spans="1:7" x14ac:dyDescent="0.3">
      <c r="A137" t="s">
        <v>706</v>
      </c>
      <c r="B137" t="s">
        <v>707</v>
      </c>
      <c r="C137" t="s">
        <v>537</v>
      </c>
      <c r="D137" s="56" t="s">
        <v>1288</v>
      </c>
      <c r="E137" s="59">
        <v>100</v>
      </c>
      <c r="F137" t="s">
        <v>1289</v>
      </c>
      <c r="G137" s="56" t="s">
        <v>1125</v>
      </c>
    </row>
    <row r="138" spans="1:7" x14ac:dyDescent="0.3">
      <c r="A138" t="s">
        <v>711</v>
      </c>
      <c r="B138" t="s">
        <v>707</v>
      </c>
      <c r="C138" t="s">
        <v>640</v>
      </c>
      <c r="D138" s="56" t="s">
        <v>1163</v>
      </c>
      <c r="E138" s="59"/>
      <c r="G138" s="56" t="s">
        <v>1164</v>
      </c>
    </row>
    <row r="139" spans="1:7" x14ac:dyDescent="0.3">
      <c r="A139" t="s">
        <v>713</v>
      </c>
      <c r="B139" t="s">
        <v>707</v>
      </c>
      <c r="C139" t="s">
        <v>537</v>
      </c>
      <c r="D139" s="56" t="s">
        <v>1290</v>
      </c>
      <c r="E139" s="59">
        <v>100</v>
      </c>
      <c r="F139" t="s">
        <v>1291</v>
      </c>
    </row>
    <row r="140" spans="1:7" x14ac:dyDescent="0.3">
      <c r="A140" t="s">
        <v>713</v>
      </c>
      <c r="B140" t="s">
        <v>707</v>
      </c>
      <c r="C140" t="s">
        <v>537</v>
      </c>
      <c r="D140" s="56" t="s">
        <v>1148</v>
      </c>
      <c r="E140" s="59">
        <v>50</v>
      </c>
      <c r="F140" t="s">
        <v>1292</v>
      </c>
    </row>
    <row r="141" spans="1:7" x14ac:dyDescent="0.3">
      <c r="A141" t="s">
        <v>713</v>
      </c>
      <c r="B141" t="s">
        <v>707</v>
      </c>
      <c r="C141" t="s">
        <v>537</v>
      </c>
      <c r="D141" s="56" t="s">
        <v>1120</v>
      </c>
      <c r="E141" s="59" t="s">
        <v>1121</v>
      </c>
      <c r="F141" t="s">
        <v>1293</v>
      </c>
      <c r="G141" s="56" t="s">
        <v>1123</v>
      </c>
    </row>
    <row r="142" spans="1:7" x14ac:dyDescent="0.3">
      <c r="A142" t="s">
        <v>716</v>
      </c>
      <c r="B142" t="s">
        <v>707</v>
      </c>
      <c r="C142" t="s">
        <v>537</v>
      </c>
      <c r="D142" s="56" t="s">
        <v>1294</v>
      </c>
      <c r="E142" s="59">
        <v>0</v>
      </c>
      <c r="F142" t="s">
        <v>1295</v>
      </c>
    </row>
    <row r="143" spans="1:7" x14ac:dyDescent="0.3">
      <c r="A143" t="s">
        <v>716</v>
      </c>
      <c r="B143" t="s">
        <v>707</v>
      </c>
      <c r="C143" t="s">
        <v>537</v>
      </c>
      <c r="D143" s="56" t="s">
        <v>1296</v>
      </c>
      <c r="E143" s="59">
        <v>75</v>
      </c>
      <c r="F143" t="s">
        <v>1297</v>
      </c>
    </row>
    <row r="144" spans="1:7" x14ac:dyDescent="0.3">
      <c r="A144" t="s">
        <v>716</v>
      </c>
      <c r="B144" t="s">
        <v>707</v>
      </c>
      <c r="C144" t="s">
        <v>537</v>
      </c>
      <c r="D144" s="56" t="s">
        <v>1298</v>
      </c>
      <c r="E144" s="59">
        <v>100</v>
      </c>
      <c r="F144" t="s">
        <v>1299</v>
      </c>
    </row>
    <row r="145" spans="1:7" x14ac:dyDescent="0.3">
      <c r="A145" t="s">
        <v>716</v>
      </c>
      <c r="B145" t="s">
        <v>707</v>
      </c>
      <c r="C145" t="s">
        <v>537</v>
      </c>
      <c r="D145" s="56" t="s">
        <v>1300</v>
      </c>
      <c r="E145" s="59">
        <v>0</v>
      </c>
      <c r="F145" t="s">
        <v>1301</v>
      </c>
    </row>
    <row r="146" spans="1:7" x14ac:dyDescent="0.3">
      <c r="A146" t="s">
        <v>721</v>
      </c>
      <c r="B146" t="s">
        <v>722</v>
      </c>
      <c r="C146" t="s">
        <v>640</v>
      </c>
      <c r="D146" s="56" t="s">
        <v>1163</v>
      </c>
      <c r="E146" s="59"/>
      <c r="G146" s="56" t="s">
        <v>1164</v>
      </c>
    </row>
    <row r="147" spans="1:7" x14ac:dyDescent="0.3">
      <c r="A147" t="s">
        <v>725</v>
      </c>
      <c r="B147" t="s">
        <v>722</v>
      </c>
      <c r="C147" t="s">
        <v>640</v>
      </c>
      <c r="D147" s="56" t="s">
        <v>1163</v>
      </c>
      <c r="E147" s="59"/>
      <c r="G147" s="56" t="s">
        <v>1164</v>
      </c>
    </row>
    <row r="148" spans="1:7" x14ac:dyDescent="0.3">
      <c r="A148" t="s">
        <v>727</v>
      </c>
      <c r="B148" t="s">
        <v>722</v>
      </c>
      <c r="C148" t="s">
        <v>537</v>
      </c>
      <c r="D148" s="56" t="s">
        <v>1302</v>
      </c>
      <c r="E148" s="59">
        <v>0</v>
      </c>
      <c r="F148" t="s">
        <v>1303</v>
      </c>
    </row>
    <row r="149" spans="1:7" x14ac:dyDescent="0.3">
      <c r="A149" t="s">
        <v>727</v>
      </c>
      <c r="B149" t="s">
        <v>722</v>
      </c>
      <c r="C149" t="s">
        <v>537</v>
      </c>
      <c r="D149" s="56" t="s">
        <v>1304</v>
      </c>
      <c r="E149" s="59">
        <v>50</v>
      </c>
      <c r="F149" t="s">
        <v>1305</v>
      </c>
    </row>
    <row r="150" spans="1:7" x14ac:dyDescent="0.3">
      <c r="A150" t="s">
        <v>727</v>
      </c>
      <c r="B150" t="s">
        <v>722</v>
      </c>
      <c r="C150" t="s">
        <v>537</v>
      </c>
      <c r="D150" s="56" t="s">
        <v>1306</v>
      </c>
      <c r="E150" s="59">
        <v>100</v>
      </c>
      <c r="F150" t="s">
        <v>1307</v>
      </c>
    </row>
    <row r="151" spans="1:7" x14ac:dyDescent="0.3">
      <c r="A151" t="s">
        <v>730</v>
      </c>
      <c r="B151" t="s">
        <v>722</v>
      </c>
      <c r="C151" t="s">
        <v>537</v>
      </c>
      <c r="D151" s="56" t="s">
        <v>1308</v>
      </c>
      <c r="E151" s="59" t="s">
        <v>1121</v>
      </c>
      <c r="F151" t="s">
        <v>1309</v>
      </c>
      <c r="G151" s="56" t="s">
        <v>1123</v>
      </c>
    </row>
    <row r="152" spans="1:7" x14ac:dyDescent="0.3">
      <c r="A152" t="s">
        <v>730</v>
      </c>
      <c r="B152" t="s">
        <v>722</v>
      </c>
      <c r="C152" t="s">
        <v>537</v>
      </c>
      <c r="D152" s="56" t="s">
        <v>1310</v>
      </c>
      <c r="E152" s="59">
        <v>0</v>
      </c>
      <c r="F152" t="s">
        <v>1311</v>
      </c>
    </row>
    <row r="153" spans="1:7" x14ac:dyDescent="0.3">
      <c r="A153" t="s">
        <v>730</v>
      </c>
      <c r="B153" t="s">
        <v>722</v>
      </c>
      <c r="C153" t="s">
        <v>537</v>
      </c>
      <c r="D153" s="56" t="s">
        <v>1312</v>
      </c>
      <c r="E153" s="59">
        <v>50</v>
      </c>
      <c r="F153" t="s">
        <v>1313</v>
      </c>
    </row>
    <row r="154" spans="1:7" x14ac:dyDescent="0.3">
      <c r="A154" t="s">
        <v>730</v>
      </c>
      <c r="B154" t="s">
        <v>722</v>
      </c>
      <c r="C154" t="s">
        <v>537</v>
      </c>
      <c r="D154" s="56" t="s">
        <v>1314</v>
      </c>
      <c r="E154" s="59">
        <v>100</v>
      </c>
      <c r="F154" t="s">
        <v>1315</v>
      </c>
    </row>
    <row r="155" spans="1:7" x14ac:dyDescent="0.3">
      <c r="A155" t="s">
        <v>733</v>
      </c>
      <c r="B155" t="s">
        <v>722</v>
      </c>
      <c r="C155" t="s">
        <v>550</v>
      </c>
      <c r="D155" s="56" t="s">
        <v>1114</v>
      </c>
      <c r="E155" s="59"/>
      <c r="G155" s="56" t="s">
        <v>1316</v>
      </c>
    </row>
    <row r="156" spans="1:7" x14ac:dyDescent="0.3">
      <c r="A156" t="s">
        <v>736</v>
      </c>
      <c r="B156" t="s">
        <v>722</v>
      </c>
      <c r="C156" t="s">
        <v>537</v>
      </c>
      <c r="D156" s="56" t="s">
        <v>1118</v>
      </c>
      <c r="E156" s="59">
        <v>0</v>
      </c>
      <c r="F156" t="s">
        <v>1317</v>
      </c>
    </row>
    <row r="157" spans="1:7" x14ac:dyDescent="0.3">
      <c r="A157" t="s">
        <v>736</v>
      </c>
      <c r="B157" t="s">
        <v>722</v>
      </c>
      <c r="C157" t="s">
        <v>537</v>
      </c>
      <c r="D157" s="56" t="s">
        <v>1318</v>
      </c>
      <c r="E157" s="59">
        <v>50</v>
      </c>
      <c r="F157" t="s">
        <v>1319</v>
      </c>
    </row>
    <row r="158" spans="1:7" x14ac:dyDescent="0.3">
      <c r="A158" t="s">
        <v>736</v>
      </c>
      <c r="B158" t="s">
        <v>722</v>
      </c>
      <c r="C158" t="s">
        <v>537</v>
      </c>
      <c r="D158" s="56" t="s">
        <v>1320</v>
      </c>
      <c r="E158" s="59">
        <v>100</v>
      </c>
      <c r="F158" t="s">
        <v>1321</v>
      </c>
    </row>
    <row r="159" spans="1:7" x14ac:dyDescent="0.3">
      <c r="A159" t="s">
        <v>739</v>
      </c>
      <c r="B159" t="s">
        <v>722</v>
      </c>
      <c r="C159" t="s">
        <v>537</v>
      </c>
      <c r="D159" s="56" t="s">
        <v>1118</v>
      </c>
      <c r="E159" s="59">
        <v>0</v>
      </c>
      <c r="F159" t="s">
        <v>1322</v>
      </c>
    </row>
    <row r="160" spans="1:7" x14ac:dyDescent="0.3">
      <c r="A160" t="s">
        <v>739</v>
      </c>
      <c r="B160" t="s">
        <v>722</v>
      </c>
      <c r="C160" t="s">
        <v>537</v>
      </c>
      <c r="D160" s="56" t="s">
        <v>1323</v>
      </c>
      <c r="E160" s="59">
        <v>50</v>
      </c>
      <c r="F160" t="s">
        <v>1324</v>
      </c>
    </row>
    <row r="161" spans="1:6" x14ac:dyDescent="0.3">
      <c r="A161" t="s">
        <v>739</v>
      </c>
      <c r="B161" t="s">
        <v>722</v>
      </c>
      <c r="C161" t="s">
        <v>537</v>
      </c>
      <c r="D161" s="56" t="s">
        <v>1325</v>
      </c>
      <c r="E161" s="59">
        <v>100</v>
      </c>
      <c r="F161" t="s">
        <v>1326</v>
      </c>
    </row>
    <row r="162" spans="1:6" x14ac:dyDescent="0.3">
      <c r="A162" t="s">
        <v>742</v>
      </c>
      <c r="B162" t="s">
        <v>722</v>
      </c>
      <c r="C162" t="s">
        <v>537</v>
      </c>
      <c r="D162" s="56" t="s">
        <v>1327</v>
      </c>
      <c r="E162" s="59">
        <v>0</v>
      </c>
      <c r="F162" t="s">
        <v>1328</v>
      </c>
    </row>
    <row r="163" spans="1:6" x14ac:dyDescent="0.3">
      <c r="A163" t="s">
        <v>742</v>
      </c>
      <c r="B163" t="s">
        <v>722</v>
      </c>
      <c r="C163" t="s">
        <v>537</v>
      </c>
      <c r="D163" s="56" t="s">
        <v>1329</v>
      </c>
      <c r="E163" s="59">
        <v>50</v>
      </c>
      <c r="F163" t="s">
        <v>1330</v>
      </c>
    </row>
    <row r="164" spans="1:6" x14ac:dyDescent="0.3">
      <c r="A164" t="s">
        <v>742</v>
      </c>
      <c r="B164" t="s">
        <v>722</v>
      </c>
      <c r="C164" t="s">
        <v>537</v>
      </c>
      <c r="D164" s="56" t="s">
        <v>1331</v>
      </c>
      <c r="E164" s="59">
        <v>100</v>
      </c>
      <c r="F164" t="s">
        <v>1332</v>
      </c>
    </row>
    <row r="165" spans="1:6" x14ac:dyDescent="0.3">
      <c r="A165" t="s">
        <v>745</v>
      </c>
      <c r="B165" t="s">
        <v>722</v>
      </c>
      <c r="C165" t="s">
        <v>537</v>
      </c>
      <c r="D165" s="56" t="s">
        <v>1118</v>
      </c>
      <c r="E165" s="59">
        <v>0</v>
      </c>
      <c r="F165" t="s">
        <v>1333</v>
      </c>
    </row>
    <row r="166" spans="1:6" x14ac:dyDescent="0.3">
      <c r="A166" t="s">
        <v>745</v>
      </c>
      <c r="B166" t="s">
        <v>722</v>
      </c>
      <c r="C166" t="s">
        <v>537</v>
      </c>
      <c r="D166" s="56" t="s">
        <v>1334</v>
      </c>
      <c r="E166" s="59">
        <v>50</v>
      </c>
      <c r="F166" t="s">
        <v>1335</v>
      </c>
    </row>
    <row r="167" spans="1:6" x14ac:dyDescent="0.3">
      <c r="A167" t="s">
        <v>745</v>
      </c>
      <c r="B167" t="s">
        <v>722</v>
      </c>
      <c r="C167" t="s">
        <v>537</v>
      </c>
      <c r="D167" s="56" t="s">
        <v>1336</v>
      </c>
      <c r="E167" s="59">
        <v>100</v>
      </c>
      <c r="F167" t="s">
        <v>1337</v>
      </c>
    </row>
    <row r="168" spans="1:6" x14ac:dyDescent="0.3">
      <c r="A168" t="s">
        <v>749</v>
      </c>
      <c r="B168" t="s">
        <v>750</v>
      </c>
      <c r="C168" t="s">
        <v>537</v>
      </c>
      <c r="D168" s="56" t="s">
        <v>1118</v>
      </c>
      <c r="E168" s="59">
        <v>0</v>
      </c>
      <c r="F168" t="s">
        <v>1338</v>
      </c>
    </row>
    <row r="169" spans="1:6" x14ac:dyDescent="0.3">
      <c r="A169" t="s">
        <v>749</v>
      </c>
      <c r="B169" t="s">
        <v>750</v>
      </c>
      <c r="C169" t="s">
        <v>537</v>
      </c>
      <c r="D169" s="56" t="s">
        <v>1339</v>
      </c>
      <c r="E169" s="59">
        <v>33</v>
      </c>
      <c r="F169" t="s">
        <v>1340</v>
      </c>
    </row>
    <row r="170" spans="1:6" x14ac:dyDescent="0.3">
      <c r="A170" t="s">
        <v>749</v>
      </c>
      <c r="B170" t="s">
        <v>750</v>
      </c>
      <c r="C170" t="s">
        <v>537</v>
      </c>
      <c r="D170" s="56" t="s">
        <v>1341</v>
      </c>
      <c r="E170" s="59">
        <v>67</v>
      </c>
      <c r="F170" t="s">
        <v>1342</v>
      </c>
    </row>
    <row r="171" spans="1:6" x14ac:dyDescent="0.3">
      <c r="A171" t="s">
        <v>749</v>
      </c>
      <c r="B171" t="s">
        <v>750</v>
      </c>
      <c r="C171" t="s">
        <v>537</v>
      </c>
      <c r="D171" s="56" t="s">
        <v>1343</v>
      </c>
      <c r="E171" s="59">
        <v>100</v>
      </c>
      <c r="F171" t="s">
        <v>1344</v>
      </c>
    </row>
    <row r="172" spans="1:6" x14ac:dyDescent="0.3">
      <c r="A172" t="s">
        <v>754</v>
      </c>
      <c r="B172" t="s">
        <v>750</v>
      </c>
      <c r="C172" t="s">
        <v>537</v>
      </c>
      <c r="D172" s="56" t="s">
        <v>1259</v>
      </c>
      <c r="E172" s="59">
        <v>0</v>
      </c>
      <c r="F172" t="s">
        <v>1345</v>
      </c>
    </row>
    <row r="173" spans="1:6" x14ac:dyDescent="0.3">
      <c r="A173" t="s">
        <v>754</v>
      </c>
      <c r="B173" t="s">
        <v>750</v>
      </c>
      <c r="C173" t="s">
        <v>537</v>
      </c>
      <c r="D173" s="56" t="s">
        <v>1346</v>
      </c>
      <c r="E173" s="59">
        <v>33</v>
      </c>
      <c r="F173" t="s">
        <v>1347</v>
      </c>
    </row>
    <row r="174" spans="1:6" x14ac:dyDescent="0.3">
      <c r="A174" t="s">
        <v>754</v>
      </c>
      <c r="B174" t="s">
        <v>750</v>
      </c>
      <c r="C174" t="s">
        <v>537</v>
      </c>
      <c r="D174" s="56" t="s">
        <v>1348</v>
      </c>
      <c r="E174" s="59">
        <v>67</v>
      </c>
      <c r="F174" t="s">
        <v>1349</v>
      </c>
    </row>
    <row r="175" spans="1:6" x14ac:dyDescent="0.3">
      <c r="A175" t="s">
        <v>754</v>
      </c>
      <c r="B175" t="s">
        <v>750</v>
      </c>
      <c r="C175" t="s">
        <v>537</v>
      </c>
      <c r="D175" s="56" t="s">
        <v>1350</v>
      </c>
      <c r="E175" s="59">
        <v>100</v>
      </c>
      <c r="F175" t="s">
        <v>1351</v>
      </c>
    </row>
    <row r="176" spans="1:6" x14ac:dyDescent="0.3">
      <c r="A176" t="s">
        <v>757</v>
      </c>
      <c r="B176" t="s">
        <v>750</v>
      </c>
      <c r="C176" t="s">
        <v>537</v>
      </c>
      <c r="D176" s="56" t="s">
        <v>1352</v>
      </c>
      <c r="E176" s="59">
        <v>25</v>
      </c>
      <c r="F176" t="s">
        <v>1353</v>
      </c>
    </row>
    <row r="177" spans="1:6" x14ac:dyDescent="0.3">
      <c r="A177" t="s">
        <v>757</v>
      </c>
      <c r="B177" t="s">
        <v>750</v>
      </c>
      <c r="C177" t="s">
        <v>537</v>
      </c>
      <c r="D177" s="56" t="s">
        <v>1354</v>
      </c>
      <c r="E177" s="59">
        <v>50</v>
      </c>
      <c r="F177" t="s">
        <v>1355</v>
      </c>
    </row>
    <row r="178" spans="1:6" x14ac:dyDescent="0.3">
      <c r="A178" t="s">
        <v>757</v>
      </c>
      <c r="B178" t="s">
        <v>750</v>
      </c>
      <c r="C178" t="s">
        <v>537</v>
      </c>
      <c r="D178" s="56" t="s">
        <v>1356</v>
      </c>
      <c r="E178" s="59">
        <v>75</v>
      </c>
      <c r="F178" t="s">
        <v>1357</v>
      </c>
    </row>
    <row r="179" spans="1:6" x14ac:dyDescent="0.3">
      <c r="A179" t="s">
        <v>757</v>
      </c>
      <c r="B179" t="s">
        <v>750</v>
      </c>
      <c r="C179" t="s">
        <v>537</v>
      </c>
      <c r="D179" s="56" t="s">
        <v>1358</v>
      </c>
      <c r="E179" s="59">
        <v>100</v>
      </c>
      <c r="F179" t="s">
        <v>1359</v>
      </c>
    </row>
    <row r="180" spans="1:6" x14ac:dyDescent="0.3">
      <c r="A180" t="s">
        <v>760</v>
      </c>
      <c r="B180" t="s">
        <v>750</v>
      </c>
      <c r="C180" t="s">
        <v>537</v>
      </c>
      <c r="D180" s="56" t="s">
        <v>1360</v>
      </c>
      <c r="E180" s="59">
        <v>0</v>
      </c>
      <c r="F180" t="s">
        <v>1361</v>
      </c>
    </row>
    <row r="181" spans="1:6" x14ac:dyDescent="0.3">
      <c r="A181" t="s">
        <v>760</v>
      </c>
      <c r="B181" t="s">
        <v>750</v>
      </c>
      <c r="C181" t="s">
        <v>537</v>
      </c>
      <c r="D181" s="56" t="s">
        <v>1362</v>
      </c>
      <c r="E181" s="59">
        <v>50</v>
      </c>
      <c r="F181" t="s">
        <v>1363</v>
      </c>
    </row>
    <row r="182" spans="1:6" x14ac:dyDescent="0.3">
      <c r="A182" t="s">
        <v>760</v>
      </c>
      <c r="B182" t="s">
        <v>750</v>
      </c>
      <c r="C182" t="s">
        <v>537</v>
      </c>
      <c r="D182" s="56" t="s">
        <v>1364</v>
      </c>
      <c r="E182" s="59">
        <v>100</v>
      </c>
      <c r="F182" t="s">
        <v>1365</v>
      </c>
    </row>
    <row r="183" spans="1:6" x14ac:dyDescent="0.3">
      <c r="A183" t="s">
        <v>763</v>
      </c>
      <c r="B183" t="s">
        <v>750</v>
      </c>
      <c r="C183" t="s">
        <v>537</v>
      </c>
      <c r="D183" s="56" t="s">
        <v>1366</v>
      </c>
      <c r="E183" s="59">
        <v>0</v>
      </c>
      <c r="F183" t="s">
        <v>1367</v>
      </c>
    </row>
    <row r="184" spans="1:6" x14ac:dyDescent="0.3">
      <c r="A184" t="s">
        <v>763</v>
      </c>
      <c r="B184" t="s">
        <v>750</v>
      </c>
      <c r="C184" t="s">
        <v>537</v>
      </c>
      <c r="D184" s="56" t="s">
        <v>1368</v>
      </c>
      <c r="E184" s="59">
        <v>50</v>
      </c>
      <c r="F184" t="s">
        <v>1369</v>
      </c>
    </row>
    <row r="185" spans="1:6" x14ac:dyDescent="0.3">
      <c r="A185" t="s">
        <v>763</v>
      </c>
      <c r="B185" t="s">
        <v>750</v>
      </c>
      <c r="C185" t="s">
        <v>537</v>
      </c>
      <c r="D185" s="56" t="s">
        <v>1370</v>
      </c>
      <c r="E185" s="59">
        <v>100</v>
      </c>
      <c r="F185" t="s">
        <v>1371</v>
      </c>
    </row>
    <row r="186" spans="1:6" x14ac:dyDescent="0.3">
      <c r="A186" t="s">
        <v>766</v>
      </c>
      <c r="B186" t="s">
        <v>750</v>
      </c>
      <c r="C186" t="s">
        <v>537</v>
      </c>
      <c r="D186" s="56" t="s">
        <v>1372</v>
      </c>
      <c r="E186" s="59">
        <v>0</v>
      </c>
      <c r="F186" t="s">
        <v>1373</v>
      </c>
    </row>
    <row r="187" spans="1:6" x14ac:dyDescent="0.3">
      <c r="A187" t="s">
        <v>766</v>
      </c>
      <c r="B187" t="s">
        <v>750</v>
      </c>
      <c r="C187" t="s">
        <v>537</v>
      </c>
      <c r="D187" s="56" t="s">
        <v>1374</v>
      </c>
      <c r="E187" s="59">
        <v>25</v>
      </c>
      <c r="F187" t="s">
        <v>1375</v>
      </c>
    </row>
    <row r="188" spans="1:6" x14ac:dyDescent="0.3">
      <c r="A188" t="s">
        <v>766</v>
      </c>
      <c r="B188" t="s">
        <v>750</v>
      </c>
      <c r="C188" t="s">
        <v>537</v>
      </c>
      <c r="D188" s="56" t="s">
        <v>1376</v>
      </c>
      <c r="E188" s="59">
        <v>50</v>
      </c>
      <c r="F188" t="s">
        <v>1377</v>
      </c>
    </row>
    <row r="189" spans="1:6" x14ac:dyDescent="0.3">
      <c r="A189" t="s">
        <v>766</v>
      </c>
      <c r="B189" t="s">
        <v>750</v>
      </c>
      <c r="C189" t="s">
        <v>537</v>
      </c>
      <c r="D189" s="56" t="s">
        <v>1378</v>
      </c>
      <c r="E189" s="59">
        <v>100</v>
      </c>
      <c r="F189" t="s">
        <v>1379</v>
      </c>
    </row>
    <row r="190" spans="1:6" x14ac:dyDescent="0.3">
      <c r="A190" t="s">
        <v>769</v>
      </c>
      <c r="B190" t="s">
        <v>750</v>
      </c>
      <c r="C190" t="s">
        <v>537</v>
      </c>
      <c r="D190" s="56" t="s">
        <v>1380</v>
      </c>
      <c r="E190" s="59">
        <v>0</v>
      </c>
      <c r="F190" t="s">
        <v>1381</v>
      </c>
    </row>
    <row r="191" spans="1:6" x14ac:dyDescent="0.3">
      <c r="A191" t="s">
        <v>769</v>
      </c>
      <c r="B191" t="s">
        <v>750</v>
      </c>
      <c r="C191" t="s">
        <v>537</v>
      </c>
      <c r="D191" s="56" t="s">
        <v>1382</v>
      </c>
      <c r="E191" s="59">
        <v>33</v>
      </c>
      <c r="F191" t="s">
        <v>1383</v>
      </c>
    </row>
    <row r="192" spans="1:6" x14ac:dyDescent="0.3">
      <c r="A192" t="s">
        <v>769</v>
      </c>
      <c r="B192" t="s">
        <v>750</v>
      </c>
      <c r="C192" t="s">
        <v>537</v>
      </c>
      <c r="D192" s="56" t="s">
        <v>1384</v>
      </c>
      <c r="E192" s="59">
        <v>67</v>
      </c>
      <c r="F192" t="s">
        <v>1385</v>
      </c>
    </row>
    <row r="193" spans="1:7" x14ac:dyDescent="0.3">
      <c r="A193" t="s">
        <v>769</v>
      </c>
      <c r="B193" t="s">
        <v>750</v>
      </c>
      <c r="C193" t="s">
        <v>537</v>
      </c>
      <c r="D193" s="56" t="s">
        <v>1386</v>
      </c>
      <c r="E193" s="59">
        <v>100</v>
      </c>
      <c r="F193" t="s">
        <v>1387</v>
      </c>
    </row>
    <row r="194" spans="1:7" x14ac:dyDescent="0.3">
      <c r="A194" t="s">
        <v>772</v>
      </c>
      <c r="B194" t="s">
        <v>750</v>
      </c>
      <c r="C194" t="s">
        <v>537</v>
      </c>
      <c r="D194" s="56" t="s">
        <v>1388</v>
      </c>
      <c r="E194" s="59">
        <v>50</v>
      </c>
      <c r="F194" t="s">
        <v>1389</v>
      </c>
      <c r="G194" s="56" t="s">
        <v>1125</v>
      </c>
    </row>
    <row r="195" spans="1:7" x14ac:dyDescent="0.3">
      <c r="A195" t="s">
        <v>772</v>
      </c>
      <c r="B195" t="s">
        <v>750</v>
      </c>
      <c r="C195" t="s">
        <v>537</v>
      </c>
      <c r="D195" s="56" t="s">
        <v>1390</v>
      </c>
      <c r="E195" s="59">
        <v>50</v>
      </c>
      <c r="F195" t="s">
        <v>1391</v>
      </c>
      <c r="G195" s="56" t="s">
        <v>1125</v>
      </c>
    </row>
    <row r="196" spans="1:7" x14ac:dyDescent="0.3">
      <c r="A196" t="s">
        <v>772</v>
      </c>
      <c r="B196" t="s">
        <v>750</v>
      </c>
      <c r="C196" t="s">
        <v>537</v>
      </c>
      <c r="D196" s="56" t="s">
        <v>1392</v>
      </c>
      <c r="E196" s="59">
        <v>50</v>
      </c>
      <c r="F196" t="s">
        <v>1393</v>
      </c>
      <c r="G196" s="56" t="s">
        <v>1125</v>
      </c>
    </row>
    <row r="197" spans="1:7" x14ac:dyDescent="0.3">
      <c r="A197" t="s">
        <v>772</v>
      </c>
      <c r="B197" t="s">
        <v>750</v>
      </c>
      <c r="C197" t="s">
        <v>537</v>
      </c>
      <c r="D197" s="56" t="s">
        <v>1394</v>
      </c>
      <c r="E197" s="59">
        <v>0</v>
      </c>
      <c r="F197" t="s">
        <v>1395</v>
      </c>
      <c r="G197" s="56" t="s">
        <v>1125</v>
      </c>
    </row>
    <row r="198" spans="1:7" x14ac:dyDescent="0.3">
      <c r="A198" t="s">
        <v>772</v>
      </c>
      <c r="B198" t="s">
        <v>750</v>
      </c>
      <c r="C198" t="s">
        <v>537</v>
      </c>
      <c r="D198" s="56" t="s">
        <v>1396</v>
      </c>
      <c r="E198" s="59">
        <v>50</v>
      </c>
      <c r="F198" t="s">
        <v>1397</v>
      </c>
      <c r="G198" s="56" t="s">
        <v>1125</v>
      </c>
    </row>
    <row r="199" spans="1:7" x14ac:dyDescent="0.3">
      <c r="A199" t="s">
        <v>772</v>
      </c>
      <c r="B199" t="s">
        <v>750</v>
      </c>
      <c r="C199" t="s">
        <v>537</v>
      </c>
      <c r="D199" s="56" t="s">
        <v>1398</v>
      </c>
      <c r="E199" s="59">
        <v>100</v>
      </c>
      <c r="F199" t="s">
        <v>1399</v>
      </c>
      <c r="G199" s="56" t="s">
        <v>1125</v>
      </c>
    </row>
    <row r="200" spans="1:7" x14ac:dyDescent="0.3">
      <c r="A200" t="s">
        <v>775</v>
      </c>
      <c r="B200" t="s">
        <v>750</v>
      </c>
      <c r="C200" t="s">
        <v>537</v>
      </c>
      <c r="D200" s="56" t="s">
        <v>1400</v>
      </c>
      <c r="E200" s="59">
        <v>100</v>
      </c>
      <c r="F200" t="s">
        <v>1401</v>
      </c>
    </row>
    <row r="201" spans="1:7" x14ac:dyDescent="0.3">
      <c r="A201" t="s">
        <v>775</v>
      </c>
      <c r="B201" t="s">
        <v>750</v>
      </c>
      <c r="C201" t="s">
        <v>537</v>
      </c>
      <c r="D201" s="56" t="s">
        <v>1402</v>
      </c>
      <c r="E201" s="59">
        <v>50</v>
      </c>
      <c r="F201" t="s">
        <v>1403</v>
      </c>
    </row>
    <row r="202" spans="1:7" x14ac:dyDescent="0.3">
      <c r="A202" t="s">
        <v>775</v>
      </c>
      <c r="B202" t="s">
        <v>750</v>
      </c>
      <c r="C202" t="s">
        <v>537</v>
      </c>
      <c r="D202" s="56" t="s">
        <v>1118</v>
      </c>
      <c r="E202" s="59">
        <v>0</v>
      </c>
      <c r="F202" t="s">
        <v>1404</v>
      </c>
    </row>
    <row r="203" spans="1:7" x14ac:dyDescent="0.3">
      <c r="A203" t="s">
        <v>775</v>
      </c>
      <c r="B203" t="s">
        <v>750</v>
      </c>
      <c r="C203" t="s">
        <v>537</v>
      </c>
      <c r="D203" s="56" t="s">
        <v>1120</v>
      </c>
      <c r="E203" s="59" t="s">
        <v>1121</v>
      </c>
      <c r="F203" t="s">
        <v>1405</v>
      </c>
      <c r="G203" s="56" t="s">
        <v>1123</v>
      </c>
    </row>
    <row r="204" spans="1:7" x14ac:dyDescent="0.3">
      <c r="A204" t="s">
        <v>779</v>
      </c>
      <c r="B204" t="s">
        <v>780</v>
      </c>
      <c r="C204" t="s">
        <v>537</v>
      </c>
      <c r="D204" s="56" t="s">
        <v>1406</v>
      </c>
      <c r="E204" s="59">
        <v>0</v>
      </c>
      <c r="F204" t="s">
        <v>1407</v>
      </c>
    </row>
    <row r="205" spans="1:7" x14ac:dyDescent="0.3">
      <c r="A205" t="s">
        <v>779</v>
      </c>
      <c r="B205" t="s">
        <v>780</v>
      </c>
      <c r="C205" t="s">
        <v>537</v>
      </c>
      <c r="D205" s="56" t="s">
        <v>1408</v>
      </c>
      <c r="E205" s="59">
        <v>50</v>
      </c>
      <c r="F205" t="s">
        <v>1409</v>
      </c>
    </row>
    <row r="206" spans="1:7" x14ac:dyDescent="0.3">
      <c r="A206" t="s">
        <v>779</v>
      </c>
      <c r="B206" t="s">
        <v>780</v>
      </c>
      <c r="C206" t="s">
        <v>537</v>
      </c>
      <c r="D206" s="56" t="s">
        <v>1410</v>
      </c>
      <c r="E206" s="59">
        <v>100</v>
      </c>
      <c r="F206" t="s">
        <v>1411</v>
      </c>
    </row>
    <row r="207" spans="1:7" x14ac:dyDescent="0.3">
      <c r="A207" t="s">
        <v>784</v>
      </c>
      <c r="B207" t="s">
        <v>780</v>
      </c>
      <c r="C207" t="s">
        <v>537</v>
      </c>
      <c r="D207" s="56" t="s">
        <v>1116</v>
      </c>
      <c r="E207" s="59">
        <v>100</v>
      </c>
      <c r="F207" t="s">
        <v>1412</v>
      </c>
    </row>
    <row r="208" spans="1:7" x14ac:dyDescent="0.3">
      <c r="A208" t="s">
        <v>784</v>
      </c>
      <c r="B208" t="s">
        <v>780</v>
      </c>
      <c r="C208" t="s">
        <v>537</v>
      </c>
      <c r="D208" s="56" t="s">
        <v>1118</v>
      </c>
      <c r="E208" s="59">
        <v>0</v>
      </c>
      <c r="F208" t="s">
        <v>1413</v>
      </c>
    </row>
    <row r="209" spans="1:7" x14ac:dyDescent="0.3">
      <c r="A209" t="s">
        <v>786</v>
      </c>
      <c r="B209" t="s">
        <v>780</v>
      </c>
      <c r="C209" t="s">
        <v>537</v>
      </c>
      <c r="D209" s="56" t="s">
        <v>1120</v>
      </c>
      <c r="E209" s="59" t="s">
        <v>1121</v>
      </c>
      <c r="F209" t="s">
        <v>1414</v>
      </c>
      <c r="G209" s="56" t="s">
        <v>1128</v>
      </c>
    </row>
    <row r="210" spans="1:7" x14ac:dyDescent="0.3">
      <c r="A210" t="s">
        <v>786</v>
      </c>
      <c r="B210" t="s">
        <v>780</v>
      </c>
      <c r="C210" t="s">
        <v>537</v>
      </c>
      <c r="D210" s="56" t="s">
        <v>1415</v>
      </c>
      <c r="E210" s="59">
        <v>33</v>
      </c>
      <c r="F210" t="s">
        <v>1416</v>
      </c>
      <c r="G210" s="56" t="s">
        <v>1125</v>
      </c>
    </row>
    <row r="211" spans="1:7" x14ac:dyDescent="0.3">
      <c r="A211" t="s">
        <v>786</v>
      </c>
      <c r="B211" t="s">
        <v>780</v>
      </c>
      <c r="C211" t="s">
        <v>537</v>
      </c>
      <c r="D211" s="56" t="s">
        <v>1417</v>
      </c>
      <c r="E211" s="59">
        <v>67</v>
      </c>
      <c r="F211" t="s">
        <v>1418</v>
      </c>
      <c r="G211" s="56" t="s">
        <v>1125</v>
      </c>
    </row>
    <row r="212" spans="1:7" x14ac:dyDescent="0.3">
      <c r="A212" t="s">
        <v>786</v>
      </c>
      <c r="B212" t="s">
        <v>780</v>
      </c>
      <c r="C212" t="s">
        <v>537</v>
      </c>
      <c r="D212" s="56" t="s">
        <v>1419</v>
      </c>
      <c r="E212" s="59">
        <v>100</v>
      </c>
      <c r="F212" t="s">
        <v>1420</v>
      </c>
      <c r="G212" s="56" t="s">
        <v>1125</v>
      </c>
    </row>
    <row r="213" spans="1:7" x14ac:dyDescent="0.3">
      <c r="A213" t="s">
        <v>789</v>
      </c>
      <c r="B213" t="s">
        <v>780</v>
      </c>
      <c r="C213" t="s">
        <v>537</v>
      </c>
      <c r="D213" s="56" t="s">
        <v>1421</v>
      </c>
      <c r="E213" s="59">
        <v>0</v>
      </c>
      <c r="F213" t="s">
        <v>1422</v>
      </c>
    </row>
    <row r="214" spans="1:7" x14ac:dyDescent="0.3">
      <c r="A214" t="s">
        <v>789</v>
      </c>
      <c r="B214" t="s">
        <v>780</v>
      </c>
      <c r="C214" t="s">
        <v>537</v>
      </c>
      <c r="D214" s="56" t="s">
        <v>1423</v>
      </c>
      <c r="E214" s="59">
        <v>33</v>
      </c>
      <c r="F214" t="s">
        <v>1424</v>
      </c>
    </row>
    <row r="215" spans="1:7" x14ac:dyDescent="0.3">
      <c r="A215" t="s">
        <v>789</v>
      </c>
      <c r="B215" t="s">
        <v>780</v>
      </c>
      <c r="C215" t="s">
        <v>537</v>
      </c>
      <c r="D215" s="56" t="s">
        <v>1425</v>
      </c>
      <c r="E215" s="59">
        <v>67</v>
      </c>
      <c r="F215" t="s">
        <v>1426</v>
      </c>
    </row>
    <row r="216" spans="1:7" x14ac:dyDescent="0.3">
      <c r="A216" t="s">
        <v>789</v>
      </c>
      <c r="B216" t="s">
        <v>780</v>
      </c>
      <c r="C216" t="s">
        <v>537</v>
      </c>
      <c r="D216" s="56" t="s">
        <v>1427</v>
      </c>
      <c r="E216" s="59">
        <v>100</v>
      </c>
      <c r="F216" t="s">
        <v>1428</v>
      </c>
    </row>
    <row r="217" spans="1:7" x14ac:dyDescent="0.3">
      <c r="A217" t="s">
        <v>792</v>
      </c>
      <c r="B217" t="s">
        <v>780</v>
      </c>
      <c r="C217" t="s">
        <v>537</v>
      </c>
      <c r="D217" s="56" t="s">
        <v>1114</v>
      </c>
      <c r="E217" s="59"/>
      <c r="G217" s="56" t="s">
        <v>1429</v>
      </c>
    </row>
    <row r="218" spans="1:7" x14ac:dyDescent="0.3">
      <c r="A218" t="s">
        <v>795</v>
      </c>
      <c r="B218" t="s">
        <v>780</v>
      </c>
      <c r="C218" t="s">
        <v>537</v>
      </c>
      <c r="D218" s="56" t="s">
        <v>1430</v>
      </c>
      <c r="E218" s="59">
        <v>100</v>
      </c>
      <c r="F218" t="s">
        <v>1431</v>
      </c>
    </row>
    <row r="219" spans="1:7" x14ac:dyDescent="0.3">
      <c r="A219" t="s">
        <v>795</v>
      </c>
      <c r="B219" t="s">
        <v>780</v>
      </c>
      <c r="C219" t="s">
        <v>537</v>
      </c>
      <c r="D219" s="56" t="s">
        <v>1432</v>
      </c>
      <c r="E219" s="59">
        <v>50</v>
      </c>
      <c r="F219" t="s">
        <v>1433</v>
      </c>
    </row>
    <row r="220" spans="1:7" x14ac:dyDescent="0.3">
      <c r="A220" t="s">
        <v>795</v>
      </c>
      <c r="B220" t="s">
        <v>780</v>
      </c>
      <c r="C220" t="s">
        <v>537</v>
      </c>
      <c r="D220" s="56" t="s">
        <v>1118</v>
      </c>
      <c r="E220" s="59">
        <v>0</v>
      </c>
      <c r="F220" t="s">
        <v>1434</v>
      </c>
    </row>
    <row r="221" spans="1:7" x14ac:dyDescent="0.3">
      <c r="A221" t="s">
        <v>795</v>
      </c>
      <c r="B221" t="s">
        <v>780</v>
      </c>
      <c r="C221" t="s">
        <v>537</v>
      </c>
      <c r="D221" s="56" t="s">
        <v>1120</v>
      </c>
      <c r="E221" s="59" t="s">
        <v>1121</v>
      </c>
      <c r="F221" t="s">
        <v>1435</v>
      </c>
      <c r="G221" s="56" t="s">
        <v>1123</v>
      </c>
    </row>
    <row r="222" spans="1:7" x14ac:dyDescent="0.3">
      <c r="A222" t="s">
        <v>799</v>
      </c>
      <c r="B222" t="s">
        <v>780</v>
      </c>
      <c r="C222" t="s">
        <v>537</v>
      </c>
      <c r="D222" s="56" t="s">
        <v>1436</v>
      </c>
      <c r="E222" s="59">
        <v>100</v>
      </c>
      <c r="F222" t="s">
        <v>1437</v>
      </c>
    </row>
    <row r="223" spans="1:7" x14ac:dyDescent="0.3">
      <c r="A223" t="s">
        <v>799</v>
      </c>
      <c r="B223" t="s">
        <v>780</v>
      </c>
      <c r="C223" t="s">
        <v>537</v>
      </c>
      <c r="D223" s="56" t="s">
        <v>1438</v>
      </c>
      <c r="E223" s="59">
        <v>50</v>
      </c>
      <c r="F223" t="s">
        <v>1439</v>
      </c>
    </row>
    <row r="224" spans="1:7" x14ac:dyDescent="0.3">
      <c r="A224" t="s">
        <v>799</v>
      </c>
      <c r="B224" t="s">
        <v>780</v>
      </c>
      <c r="C224" t="s">
        <v>537</v>
      </c>
      <c r="D224" s="56" t="s">
        <v>1440</v>
      </c>
      <c r="E224" s="59">
        <v>0</v>
      </c>
      <c r="F224" t="s">
        <v>1441</v>
      </c>
    </row>
    <row r="225" spans="1:7" x14ac:dyDescent="0.3">
      <c r="A225" t="s">
        <v>799</v>
      </c>
      <c r="B225" t="s">
        <v>780</v>
      </c>
      <c r="C225" t="s">
        <v>537</v>
      </c>
      <c r="D225" s="56" t="s">
        <v>1120</v>
      </c>
      <c r="E225" s="59" t="s">
        <v>1121</v>
      </c>
      <c r="F225" t="s">
        <v>1442</v>
      </c>
      <c r="G225" s="56" t="s">
        <v>1123</v>
      </c>
    </row>
    <row r="226" spans="1:7" x14ac:dyDescent="0.3">
      <c r="A226" t="s">
        <v>804</v>
      </c>
      <c r="B226" t="s">
        <v>805</v>
      </c>
      <c r="C226" t="s">
        <v>640</v>
      </c>
      <c r="D226" s="56" t="s">
        <v>1163</v>
      </c>
      <c r="E226" s="59"/>
      <c r="G226" s="56" t="s">
        <v>1164</v>
      </c>
    </row>
    <row r="227" spans="1:7" x14ac:dyDescent="0.3">
      <c r="A227" t="s">
        <v>808</v>
      </c>
      <c r="B227" t="s">
        <v>805</v>
      </c>
      <c r="C227" t="s">
        <v>546</v>
      </c>
      <c r="D227" s="56" t="s">
        <v>1165</v>
      </c>
      <c r="E227" s="59"/>
      <c r="G227" s="56" t="s">
        <v>1166</v>
      </c>
    </row>
    <row r="228" spans="1:7" x14ac:dyDescent="0.3">
      <c r="A228" t="s">
        <v>810</v>
      </c>
      <c r="B228" t="s">
        <v>805</v>
      </c>
      <c r="C228" t="s">
        <v>537</v>
      </c>
      <c r="D228" s="56" t="s">
        <v>1259</v>
      </c>
      <c r="E228" s="59">
        <v>0</v>
      </c>
      <c r="F228" t="s">
        <v>1443</v>
      </c>
    </row>
    <row r="229" spans="1:7" x14ac:dyDescent="0.3">
      <c r="A229" t="s">
        <v>810</v>
      </c>
      <c r="B229" t="s">
        <v>805</v>
      </c>
      <c r="C229" t="s">
        <v>537</v>
      </c>
      <c r="D229" s="56" t="s">
        <v>1444</v>
      </c>
      <c r="E229" s="59">
        <v>50</v>
      </c>
      <c r="F229" t="s">
        <v>1445</v>
      </c>
    </row>
    <row r="230" spans="1:7" x14ac:dyDescent="0.3">
      <c r="A230" t="s">
        <v>810</v>
      </c>
      <c r="B230" t="s">
        <v>805</v>
      </c>
      <c r="C230" t="s">
        <v>537</v>
      </c>
      <c r="D230" s="56" t="s">
        <v>1446</v>
      </c>
      <c r="E230" s="59">
        <v>100</v>
      </c>
      <c r="F230" t="s">
        <v>1447</v>
      </c>
    </row>
    <row r="231" spans="1:7" x14ac:dyDescent="0.3">
      <c r="A231" t="s">
        <v>813</v>
      </c>
      <c r="B231" t="s">
        <v>805</v>
      </c>
      <c r="C231" t="s">
        <v>537</v>
      </c>
      <c r="D231" s="56" t="s">
        <v>1448</v>
      </c>
      <c r="E231" s="59">
        <v>0</v>
      </c>
      <c r="F231" t="s">
        <v>1449</v>
      </c>
    </row>
    <row r="232" spans="1:7" x14ac:dyDescent="0.3">
      <c r="A232" t="s">
        <v>813</v>
      </c>
      <c r="B232" t="s">
        <v>805</v>
      </c>
      <c r="C232" t="s">
        <v>537</v>
      </c>
      <c r="D232" s="56" t="s">
        <v>1450</v>
      </c>
      <c r="E232" s="59">
        <v>50</v>
      </c>
      <c r="F232" t="s">
        <v>1451</v>
      </c>
    </row>
    <row r="233" spans="1:7" x14ac:dyDescent="0.3">
      <c r="A233" t="s">
        <v>813</v>
      </c>
      <c r="B233" t="s">
        <v>805</v>
      </c>
      <c r="C233" t="s">
        <v>537</v>
      </c>
      <c r="D233" s="56" t="s">
        <v>1452</v>
      </c>
      <c r="E233" s="59">
        <v>100</v>
      </c>
      <c r="F233" t="s">
        <v>1453</v>
      </c>
    </row>
    <row r="234" spans="1:7" x14ac:dyDescent="0.3">
      <c r="A234" t="s">
        <v>817</v>
      </c>
      <c r="B234" t="s">
        <v>818</v>
      </c>
      <c r="C234" t="s">
        <v>537</v>
      </c>
      <c r="D234" s="56" t="s">
        <v>1454</v>
      </c>
      <c r="E234" s="59">
        <v>0</v>
      </c>
      <c r="F234" t="s">
        <v>1455</v>
      </c>
    </row>
    <row r="235" spans="1:7" x14ac:dyDescent="0.3">
      <c r="A235" t="s">
        <v>817</v>
      </c>
      <c r="B235" t="s">
        <v>818</v>
      </c>
      <c r="C235" t="s">
        <v>537</v>
      </c>
      <c r="D235" s="56" t="s">
        <v>1456</v>
      </c>
      <c r="E235" s="59">
        <v>50</v>
      </c>
      <c r="F235" t="s">
        <v>1457</v>
      </c>
    </row>
    <row r="236" spans="1:7" x14ac:dyDescent="0.3">
      <c r="A236" t="s">
        <v>817</v>
      </c>
      <c r="B236" t="s">
        <v>818</v>
      </c>
      <c r="C236" t="s">
        <v>537</v>
      </c>
      <c r="D236" s="56" t="s">
        <v>1458</v>
      </c>
      <c r="E236" s="59">
        <v>100</v>
      </c>
      <c r="F236" t="s">
        <v>1459</v>
      </c>
    </row>
    <row r="237" spans="1:7" x14ac:dyDescent="0.3">
      <c r="A237" t="s">
        <v>817</v>
      </c>
      <c r="B237" t="s">
        <v>818</v>
      </c>
      <c r="C237" t="s">
        <v>537</v>
      </c>
      <c r="D237" s="56" t="s">
        <v>1460</v>
      </c>
      <c r="E237" s="59" t="s">
        <v>1121</v>
      </c>
      <c r="F237" t="s">
        <v>1461</v>
      </c>
      <c r="G237" s="56" t="s">
        <v>1123</v>
      </c>
    </row>
    <row r="238" spans="1:7" x14ac:dyDescent="0.3">
      <c r="A238" t="s">
        <v>822</v>
      </c>
      <c r="B238" t="s">
        <v>818</v>
      </c>
      <c r="C238" t="s">
        <v>537</v>
      </c>
      <c r="D238" s="56" t="s">
        <v>1462</v>
      </c>
      <c r="E238" s="59">
        <v>33</v>
      </c>
      <c r="F238" t="s">
        <v>1463</v>
      </c>
      <c r="G238" s="56" t="s">
        <v>1125</v>
      </c>
    </row>
    <row r="239" spans="1:7" x14ac:dyDescent="0.3">
      <c r="A239" t="s">
        <v>822</v>
      </c>
      <c r="B239" t="s">
        <v>818</v>
      </c>
      <c r="C239" t="s">
        <v>537</v>
      </c>
      <c r="D239" s="56" t="s">
        <v>1464</v>
      </c>
      <c r="E239" s="59">
        <v>100</v>
      </c>
      <c r="F239" t="s">
        <v>1465</v>
      </c>
      <c r="G239" s="56" t="s">
        <v>1125</v>
      </c>
    </row>
    <row r="240" spans="1:7" ht="28.8" x14ac:dyDescent="0.3">
      <c r="A240" t="s">
        <v>822</v>
      </c>
      <c r="B240" t="s">
        <v>818</v>
      </c>
      <c r="C240" t="s">
        <v>537</v>
      </c>
      <c r="D240" s="56" t="s">
        <v>1466</v>
      </c>
      <c r="E240" s="59">
        <v>67</v>
      </c>
      <c r="F240" t="s">
        <v>1467</v>
      </c>
      <c r="G240" s="56" t="s">
        <v>1125</v>
      </c>
    </row>
    <row r="241" spans="1:7" x14ac:dyDescent="0.3">
      <c r="A241" t="s">
        <v>822</v>
      </c>
      <c r="B241" t="s">
        <v>818</v>
      </c>
      <c r="C241" t="s">
        <v>537</v>
      </c>
      <c r="D241" s="56" t="s">
        <v>1468</v>
      </c>
      <c r="E241" s="59">
        <v>100</v>
      </c>
      <c r="F241" t="s">
        <v>1469</v>
      </c>
      <c r="G241" s="56" t="s">
        <v>1125</v>
      </c>
    </row>
    <row r="242" spans="1:7" x14ac:dyDescent="0.3">
      <c r="A242" t="s">
        <v>822</v>
      </c>
      <c r="B242" t="s">
        <v>818</v>
      </c>
      <c r="C242" t="s">
        <v>537</v>
      </c>
      <c r="D242" s="56" t="s">
        <v>1120</v>
      </c>
      <c r="E242" s="59" t="s">
        <v>1121</v>
      </c>
      <c r="F242" t="s">
        <v>1470</v>
      </c>
      <c r="G242" s="56" t="s">
        <v>1128</v>
      </c>
    </row>
    <row r="243" spans="1:7" x14ac:dyDescent="0.3">
      <c r="A243" t="s">
        <v>825</v>
      </c>
      <c r="B243" t="s">
        <v>818</v>
      </c>
      <c r="C243" t="s">
        <v>537</v>
      </c>
      <c r="D243" s="56" t="s">
        <v>1471</v>
      </c>
      <c r="E243" s="59">
        <v>0</v>
      </c>
      <c r="F243" t="s">
        <v>1472</v>
      </c>
    </row>
    <row r="244" spans="1:7" x14ac:dyDescent="0.3">
      <c r="A244" t="s">
        <v>825</v>
      </c>
      <c r="B244" t="s">
        <v>818</v>
      </c>
      <c r="C244" t="s">
        <v>537</v>
      </c>
      <c r="D244" s="56" t="s">
        <v>1473</v>
      </c>
      <c r="E244" s="59">
        <v>50</v>
      </c>
      <c r="F244" t="s">
        <v>1474</v>
      </c>
    </row>
    <row r="245" spans="1:7" x14ac:dyDescent="0.3">
      <c r="A245" t="s">
        <v>825</v>
      </c>
      <c r="B245" t="s">
        <v>818</v>
      </c>
      <c r="C245" t="s">
        <v>537</v>
      </c>
      <c r="D245" s="56" t="s">
        <v>1209</v>
      </c>
      <c r="E245" s="59" t="s">
        <v>1121</v>
      </c>
      <c r="F245" t="s">
        <v>1475</v>
      </c>
      <c r="G245" s="56" t="s">
        <v>1123</v>
      </c>
    </row>
    <row r="246" spans="1:7" x14ac:dyDescent="0.3">
      <c r="A246" t="s">
        <v>825</v>
      </c>
      <c r="B246" t="s">
        <v>818</v>
      </c>
      <c r="C246" t="s">
        <v>537</v>
      </c>
      <c r="D246" s="56" t="s">
        <v>1476</v>
      </c>
      <c r="E246" s="59" t="s">
        <v>1121</v>
      </c>
      <c r="F246" t="s">
        <v>1477</v>
      </c>
      <c r="G246" s="56" t="s">
        <v>1123</v>
      </c>
    </row>
    <row r="247" spans="1:7" x14ac:dyDescent="0.3">
      <c r="A247" t="s">
        <v>829</v>
      </c>
      <c r="B247" t="s">
        <v>830</v>
      </c>
      <c r="C247" t="s">
        <v>537</v>
      </c>
      <c r="D247" s="56" t="s">
        <v>1478</v>
      </c>
      <c r="E247" s="59">
        <v>0</v>
      </c>
      <c r="F247" t="s">
        <v>1479</v>
      </c>
      <c r="G247" s="56" t="s">
        <v>1125</v>
      </c>
    </row>
    <row r="248" spans="1:7" x14ac:dyDescent="0.3">
      <c r="A248" t="s">
        <v>829</v>
      </c>
      <c r="B248" t="s">
        <v>830</v>
      </c>
      <c r="C248" t="s">
        <v>537</v>
      </c>
      <c r="D248" s="56" t="s">
        <v>1480</v>
      </c>
      <c r="E248" s="59">
        <v>33</v>
      </c>
      <c r="F248" t="s">
        <v>1481</v>
      </c>
      <c r="G248" s="56" t="s">
        <v>1125</v>
      </c>
    </row>
    <row r="249" spans="1:7" x14ac:dyDescent="0.3">
      <c r="A249" t="s">
        <v>829</v>
      </c>
      <c r="B249" t="s">
        <v>830</v>
      </c>
      <c r="C249" t="s">
        <v>537</v>
      </c>
      <c r="D249" s="56" t="s">
        <v>1482</v>
      </c>
      <c r="E249" s="59">
        <v>100</v>
      </c>
      <c r="F249" t="s">
        <v>1483</v>
      </c>
      <c r="G249" s="56" t="s">
        <v>1125</v>
      </c>
    </row>
    <row r="250" spans="1:7" x14ac:dyDescent="0.3">
      <c r="A250" t="s">
        <v>829</v>
      </c>
      <c r="B250" t="s">
        <v>830</v>
      </c>
      <c r="C250" t="s">
        <v>537</v>
      </c>
      <c r="D250" s="56" t="s">
        <v>1484</v>
      </c>
      <c r="E250" s="59" t="s">
        <v>1121</v>
      </c>
      <c r="F250" t="s">
        <v>1485</v>
      </c>
      <c r="G250" s="56" t="s">
        <v>1128</v>
      </c>
    </row>
    <row r="251" spans="1:7" x14ac:dyDescent="0.3">
      <c r="A251" t="s">
        <v>834</v>
      </c>
      <c r="B251" t="s">
        <v>830</v>
      </c>
      <c r="C251" t="s">
        <v>537</v>
      </c>
      <c r="D251" s="56" t="s">
        <v>1116</v>
      </c>
      <c r="E251" s="59">
        <v>0</v>
      </c>
      <c r="F251" t="s">
        <v>1486</v>
      </c>
      <c r="G251" s="56" t="s">
        <v>1125</v>
      </c>
    </row>
    <row r="252" spans="1:7" x14ac:dyDescent="0.3">
      <c r="A252" t="s">
        <v>834</v>
      </c>
      <c r="B252" t="s">
        <v>830</v>
      </c>
      <c r="C252" t="s">
        <v>537</v>
      </c>
      <c r="D252" s="56" t="s">
        <v>1118</v>
      </c>
      <c r="E252" s="59">
        <v>100</v>
      </c>
      <c r="F252" t="s">
        <v>1487</v>
      </c>
      <c r="G252" s="56" t="s">
        <v>1125</v>
      </c>
    </row>
    <row r="253" spans="1:7" x14ac:dyDescent="0.3">
      <c r="A253" t="s">
        <v>836</v>
      </c>
      <c r="B253" t="s">
        <v>830</v>
      </c>
      <c r="C253" t="s">
        <v>537</v>
      </c>
      <c r="D253" s="56" t="s">
        <v>1488</v>
      </c>
      <c r="E253" s="59">
        <v>100</v>
      </c>
      <c r="F253" t="s">
        <v>1489</v>
      </c>
    </row>
    <row r="254" spans="1:7" x14ac:dyDescent="0.3">
      <c r="A254" t="s">
        <v>836</v>
      </c>
      <c r="B254" t="s">
        <v>830</v>
      </c>
      <c r="C254" t="s">
        <v>537</v>
      </c>
      <c r="D254" s="56" t="s">
        <v>1490</v>
      </c>
      <c r="E254" s="59">
        <v>50</v>
      </c>
      <c r="F254" t="s">
        <v>1491</v>
      </c>
    </row>
    <row r="255" spans="1:7" x14ac:dyDescent="0.3">
      <c r="A255" t="s">
        <v>836</v>
      </c>
      <c r="B255" t="s">
        <v>830</v>
      </c>
      <c r="C255" t="s">
        <v>537</v>
      </c>
      <c r="D255" s="56" t="s">
        <v>1492</v>
      </c>
      <c r="E255" s="59">
        <v>0</v>
      </c>
      <c r="F255" t="s">
        <v>1493</v>
      </c>
    </row>
    <row r="256" spans="1:7" x14ac:dyDescent="0.3">
      <c r="A256" t="s">
        <v>836</v>
      </c>
      <c r="B256" t="s">
        <v>830</v>
      </c>
      <c r="C256" t="s">
        <v>537</v>
      </c>
      <c r="D256" s="56" t="s">
        <v>1120</v>
      </c>
      <c r="E256" s="59" t="s">
        <v>1121</v>
      </c>
      <c r="F256" t="s">
        <v>1494</v>
      </c>
      <c r="G256" s="56" t="s">
        <v>1123</v>
      </c>
    </row>
    <row r="257" spans="1:7" ht="28.8" x14ac:dyDescent="0.3">
      <c r="A257" t="s">
        <v>840</v>
      </c>
      <c r="B257" t="s">
        <v>841</v>
      </c>
      <c r="C257" t="s">
        <v>550</v>
      </c>
      <c r="D257" s="56" t="s">
        <v>1114</v>
      </c>
      <c r="E257" s="59"/>
      <c r="G257" s="56" t="s">
        <v>1495</v>
      </c>
    </row>
    <row r="258" spans="1:7" ht="28.8" x14ac:dyDescent="0.3">
      <c r="A258" t="s">
        <v>845</v>
      </c>
      <c r="B258" t="s">
        <v>841</v>
      </c>
      <c r="C258" t="s">
        <v>530</v>
      </c>
      <c r="D258" s="56" t="s">
        <v>512</v>
      </c>
      <c r="E258" s="59"/>
      <c r="G258" s="56" t="s">
        <v>1113</v>
      </c>
    </row>
    <row r="259" spans="1:7" x14ac:dyDescent="0.3">
      <c r="A259" t="s">
        <v>847</v>
      </c>
      <c r="B259" t="s">
        <v>841</v>
      </c>
      <c r="C259" t="s">
        <v>537</v>
      </c>
      <c r="D259" s="56" t="s">
        <v>1116</v>
      </c>
      <c r="E259" s="59">
        <v>100</v>
      </c>
      <c r="F259" t="s">
        <v>1496</v>
      </c>
      <c r="G259" s="56" t="s">
        <v>1125</v>
      </c>
    </row>
    <row r="260" spans="1:7" x14ac:dyDescent="0.3">
      <c r="A260" t="s">
        <v>847</v>
      </c>
      <c r="B260" t="s">
        <v>841</v>
      </c>
      <c r="C260" t="s">
        <v>537</v>
      </c>
      <c r="D260" s="56" t="s">
        <v>1497</v>
      </c>
      <c r="E260" s="59">
        <v>50</v>
      </c>
      <c r="F260" t="s">
        <v>1498</v>
      </c>
      <c r="G260" s="56" t="s">
        <v>1125</v>
      </c>
    </row>
    <row r="261" spans="1:7" x14ac:dyDescent="0.3">
      <c r="A261" t="s">
        <v>847</v>
      </c>
      <c r="B261" t="s">
        <v>841</v>
      </c>
      <c r="C261" t="s">
        <v>537</v>
      </c>
      <c r="D261" s="56" t="s">
        <v>1118</v>
      </c>
      <c r="E261" s="59">
        <v>0</v>
      </c>
      <c r="F261" t="s">
        <v>1499</v>
      </c>
      <c r="G261" s="56" t="s">
        <v>1125</v>
      </c>
    </row>
    <row r="262" spans="1:7" x14ac:dyDescent="0.3">
      <c r="A262" t="s">
        <v>847</v>
      </c>
      <c r="B262" t="s">
        <v>841</v>
      </c>
      <c r="C262" t="s">
        <v>537</v>
      </c>
      <c r="D262" s="56" t="s">
        <v>1500</v>
      </c>
      <c r="E262" s="59" t="s">
        <v>1121</v>
      </c>
      <c r="F262" t="s">
        <v>1501</v>
      </c>
      <c r="G262" s="56" t="s">
        <v>1128</v>
      </c>
    </row>
    <row r="263" spans="1:7" x14ac:dyDescent="0.3">
      <c r="A263" t="s">
        <v>851</v>
      </c>
      <c r="B263" t="s">
        <v>852</v>
      </c>
      <c r="C263" t="s">
        <v>537</v>
      </c>
      <c r="D263" s="56" t="s">
        <v>1502</v>
      </c>
      <c r="E263" s="59">
        <v>0</v>
      </c>
      <c r="F263" t="s">
        <v>1503</v>
      </c>
    </row>
    <row r="264" spans="1:7" x14ac:dyDescent="0.3">
      <c r="A264" t="s">
        <v>851</v>
      </c>
      <c r="B264" t="s">
        <v>852</v>
      </c>
      <c r="C264" t="s">
        <v>537</v>
      </c>
      <c r="D264" s="56" t="s">
        <v>1504</v>
      </c>
      <c r="E264" s="59">
        <v>1</v>
      </c>
      <c r="F264" t="s">
        <v>1505</v>
      </c>
    </row>
    <row r="265" spans="1:7" x14ac:dyDescent="0.3">
      <c r="A265" t="s">
        <v>851</v>
      </c>
      <c r="B265" t="s">
        <v>852</v>
      </c>
      <c r="C265" t="s">
        <v>537</v>
      </c>
      <c r="D265" s="56" t="s">
        <v>1506</v>
      </c>
      <c r="E265" s="59">
        <v>2</v>
      </c>
      <c r="F265" t="s">
        <v>1507</v>
      </c>
    </row>
    <row r="266" spans="1:7" x14ac:dyDescent="0.3">
      <c r="A266" t="s">
        <v>856</v>
      </c>
      <c r="B266" t="s">
        <v>857</v>
      </c>
      <c r="C266" t="s">
        <v>537</v>
      </c>
      <c r="D266" s="56" t="s">
        <v>1508</v>
      </c>
      <c r="E266" s="59">
        <v>0</v>
      </c>
      <c r="F266" t="s">
        <v>1509</v>
      </c>
    </row>
    <row r="267" spans="1:7" x14ac:dyDescent="0.3">
      <c r="A267" t="s">
        <v>856</v>
      </c>
      <c r="B267" t="s">
        <v>857</v>
      </c>
      <c r="C267" t="s">
        <v>537</v>
      </c>
      <c r="D267" s="56" t="s">
        <v>1510</v>
      </c>
      <c r="E267" s="59">
        <v>1</v>
      </c>
      <c r="F267" t="s">
        <v>1511</v>
      </c>
    </row>
    <row r="268" spans="1:7" x14ac:dyDescent="0.3">
      <c r="A268" t="s">
        <v>856</v>
      </c>
      <c r="B268" t="s">
        <v>857</v>
      </c>
      <c r="C268" t="s">
        <v>537</v>
      </c>
      <c r="D268" s="56" t="s">
        <v>1512</v>
      </c>
      <c r="E268" s="59">
        <v>2</v>
      </c>
      <c r="F268" t="s">
        <v>1513</v>
      </c>
    </row>
    <row r="269" spans="1:7" x14ac:dyDescent="0.3">
      <c r="A269" t="s">
        <v>861</v>
      </c>
      <c r="B269" t="s">
        <v>862</v>
      </c>
      <c r="C269" t="s">
        <v>537</v>
      </c>
      <c r="D269" s="56" t="s">
        <v>1508</v>
      </c>
      <c r="E269" s="59">
        <v>0</v>
      </c>
      <c r="F269" t="s">
        <v>1514</v>
      </c>
    </row>
    <row r="270" spans="1:7" x14ac:dyDescent="0.3">
      <c r="A270" t="s">
        <v>861</v>
      </c>
      <c r="B270" t="s">
        <v>862</v>
      </c>
      <c r="C270" t="s">
        <v>537</v>
      </c>
      <c r="D270" s="56" t="s">
        <v>1515</v>
      </c>
      <c r="E270" s="59">
        <v>1</v>
      </c>
      <c r="F270" t="s">
        <v>1516</v>
      </c>
    </row>
    <row r="271" spans="1:7" x14ac:dyDescent="0.3">
      <c r="A271" t="s">
        <v>861</v>
      </c>
      <c r="B271" t="s">
        <v>862</v>
      </c>
      <c r="C271" t="s">
        <v>537</v>
      </c>
      <c r="D271" s="56" t="s">
        <v>1517</v>
      </c>
      <c r="E271" s="59">
        <v>2</v>
      </c>
      <c r="F271" t="s">
        <v>1518</v>
      </c>
    </row>
    <row r="272" spans="1:7" x14ac:dyDescent="0.3">
      <c r="A272" t="s">
        <v>866</v>
      </c>
      <c r="B272" t="s">
        <v>867</v>
      </c>
      <c r="C272" t="s">
        <v>537</v>
      </c>
      <c r="D272" s="56" t="s">
        <v>1519</v>
      </c>
      <c r="E272" s="59">
        <v>0</v>
      </c>
      <c r="F272" t="s">
        <v>1520</v>
      </c>
    </row>
    <row r="273" spans="1:7" x14ac:dyDescent="0.3">
      <c r="A273" t="s">
        <v>866</v>
      </c>
      <c r="B273" t="s">
        <v>867</v>
      </c>
      <c r="C273" t="s">
        <v>537</v>
      </c>
      <c r="D273" s="56" t="s">
        <v>1521</v>
      </c>
      <c r="E273" s="59">
        <v>1</v>
      </c>
      <c r="F273" t="s">
        <v>1522</v>
      </c>
    </row>
    <row r="274" spans="1:7" x14ac:dyDescent="0.3">
      <c r="A274" t="s">
        <v>866</v>
      </c>
      <c r="B274" t="s">
        <v>867</v>
      </c>
      <c r="C274" t="s">
        <v>537</v>
      </c>
      <c r="D274" s="56" t="s">
        <v>1523</v>
      </c>
      <c r="E274" s="59">
        <v>2</v>
      </c>
      <c r="F274" t="s">
        <v>1524</v>
      </c>
    </row>
    <row r="275" spans="1:7" x14ac:dyDescent="0.3">
      <c r="A275" t="s">
        <v>872</v>
      </c>
      <c r="B275" t="s">
        <v>873</v>
      </c>
      <c r="C275" t="s">
        <v>537</v>
      </c>
      <c r="D275" s="56" t="s">
        <v>1525</v>
      </c>
      <c r="E275" s="59">
        <v>100</v>
      </c>
      <c r="F275" t="s">
        <v>1526</v>
      </c>
      <c r="G275" s="56" t="s">
        <v>1125</v>
      </c>
    </row>
    <row r="276" spans="1:7" x14ac:dyDescent="0.3">
      <c r="A276" t="s">
        <v>872</v>
      </c>
      <c r="B276" t="s">
        <v>873</v>
      </c>
      <c r="C276" t="s">
        <v>537</v>
      </c>
      <c r="D276" s="56" t="s">
        <v>1527</v>
      </c>
      <c r="E276" s="59">
        <v>75</v>
      </c>
      <c r="F276" t="s">
        <v>1528</v>
      </c>
      <c r="G276" s="56" t="s">
        <v>1125</v>
      </c>
    </row>
    <row r="277" spans="1:7" x14ac:dyDescent="0.3">
      <c r="A277" t="s">
        <v>872</v>
      </c>
      <c r="B277" t="s">
        <v>873</v>
      </c>
      <c r="C277" t="s">
        <v>537</v>
      </c>
      <c r="D277" s="56" t="s">
        <v>1529</v>
      </c>
      <c r="E277" s="59">
        <v>25</v>
      </c>
      <c r="F277" t="s">
        <v>1530</v>
      </c>
      <c r="G277" s="56" t="s">
        <v>1125</v>
      </c>
    </row>
    <row r="278" spans="1:7" x14ac:dyDescent="0.3">
      <c r="A278" t="s">
        <v>872</v>
      </c>
      <c r="B278" t="s">
        <v>873</v>
      </c>
      <c r="C278" t="s">
        <v>537</v>
      </c>
      <c r="D278" s="56" t="s">
        <v>1531</v>
      </c>
      <c r="E278" s="59">
        <v>50</v>
      </c>
      <c r="F278" t="s">
        <v>1532</v>
      </c>
      <c r="G278" s="56" t="s">
        <v>1125</v>
      </c>
    </row>
    <row r="279" spans="1:7" x14ac:dyDescent="0.3">
      <c r="A279" t="s">
        <v>872</v>
      </c>
      <c r="B279" t="s">
        <v>873</v>
      </c>
      <c r="C279" t="s">
        <v>537</v>
      </c>
      <c r="D279" s="56" t="s">
        <v>1533</v>
      </c>
      <c r="E279" s="59">
        <v>50</v>
      </c>
      <c r="F279" t="s">
        <v>1534</v>
      </c>
      <c r="G279" s="56" t="s">
        <v>1125</v>
      </c>
    </row>
    <row r="280" spans="1:7" x14ac:dyDescent="0.3">
      <c r="A280" t="s">
        <v>877</v>
      </c>
      <c r="B280" t="s">
        <v>873</v>
      </c>
      <c r="C280" t="s">
        <v>537</v>
      </c>
      <c r="D280" s="56" t="s">
        <v>1116</v>
      </c>
      <c r="E280" s="59">
        <v>100</v>
      </c>
      <c r="F280" t="s">
        <v>1535</v>
      </c>
    </row>
    <row r="281" spans="1:7" x14ac:dyDescent="0.3">
      <c r="A281" t="s">
        <v>877</v>
      </c>
      <c r="B281" t="s">
        <v>873</v>
      </c>
      <c r="C281" t="s">
        <v>537</v>
      </c>
      <c r="D281" s="56" t="s">
        <v>1118</v>
      </c>
      <c r="E281" s="59">
        <v>0</v>
      </c>
      <c r="F281" t="s">
        <v>1536</v>
      </c>
    </row>
    <row r="282" spans="1:7" x14ac:dyDescent="0.3">
      <c r="A282" t="s">
        <v>877</v>
      </c>
      <c r="B282" t="s">
        <v>873</v>
      </c>
      <c r="C282" t="s">
        <v>537</v>
      </c>
      <c r="D282" s="56" t="s">
        <v>1120</v>
      </c>
      <c r="E282" s="59" t="s">
        <v>1121</v>
      </c>
      <c r="F282" t="s">
        <v>1537</v>
      </c>
      <c r="G282" s="56" t="s">
        <v>1123</v>
      </c>
    </row>
    <row r="283" spans="1:7" ht="28.8" x14ac:dyDescent="0.3">
      <c r="A283" t="s">
        <v>881</v>
      </c>
      <c r="B283" t="s">
        <v>882</v>
      </c>
      <c r="C283" t="s">
        <v>546</v>
      </c>
      <c r="D283" s="56" t="s">
        <v>512</v>
      </c>
      <c r="E283" s="59"/>
      <c r="G283" s="56" t="s">
        <v>1113</v>
      </c>
    </row>
    <row r="284" spans="1:7" ht="28.8" x14ac:dyDescent="0.3">
      <c r="A284" t="s">
        <v>885</v>
      </c>
      <c r="B284" t="s">
        <v>882</v>
      </c>
      <c r="C284" t="s">
        <v>546</v>
      </c>
      <c r="D284" s="56" t="s">
        <v>512</v>
      </c>
      <c r="E284" s="59"/>
      <c r="G284" s="56" t="s">
        <v>1113</v>
      </c>
    </row>
    <row r="285" spans="1:7" ht="28.8" x14ac:dyDescent="0.3">
      <c r="A285" t="s">
        <v>888</v>
      </c>
      <c r="B285" t="s">
        <v>882</v>
      </c>
      <c r="C285" t="s">
        <v>596</v>
      </c>
      <c r="D285" s="56" t="s">
        <v>512</v>
      </c>
      <c r="E285" s="59"/>
      <c r="G285" s="56" t="s">
        <v>1113</v>
      </c>
    </row>
    <row r="286" spans="1:7" ht="28.8" x14ac:dyDescent="0.3">
      <c r="A286" t="s">
        <v>891</v>
      </c>
      <c r="B286" t="s">
        <v>882</v>
      </c>
      <c r="C286" t="s">
        <v>546</v>
      </c>
      <c r="D286" s="56" t="s">
        <v>512</v>
      </c>
      <c r="E286" s="59"/>
      <c r="G286" s="56" t="s">
        <v>1113</v>
      </c>
    </row>
    <row r="287" spans="1:7" ht="28.8" x14ac:dyDescent="0.3">
      <c r="A287" t="s">
        <v>894</v>
      </c>
      <c r="B287" t="s">
        <v>882</v>
      </c>
      <c r="C287" t="s">
        <v>546</v>
      </c>
      <c r="D287" s="56" t="s">
        <v>512</v>
      </c>
      <c r="E287" s="59"/>
      <c r="G287" s="56" t="s">
        <v>1113</v>
      </c>
    </row>
    <row r="288" spans="1:7" ht="28.8" x14ac:dyDescent="0.3">
      <c r="A288" t="s">
        <v>897</v>
      </c>
      <c r="B288" t="s">
        <v>882</v>
      </c>
      <c r="C288" t="s">
        <v>546</v>
      </c>
      <c r="D288" s="56" t="s">
        <v>512</v>
      </c>
      <c r="E288" s="59"/>
      <c r="G288" s="56" t="s">
        <v>1113</v>
      </c>
    </row>
    <row r="289" spans="1:7" ht="28.8" x14ac:dyDescent="0.3">
      <c r="A289" t="s">
        <v>900</v>
      </c>
      <c r="B289" t="s">
        <v>882</v>
      </c>
      <c r="C289" t="s">
        <v>515</v>
      </c>
      <c r="D289" s="56" t="s">
        <v>512</v>
      </c>
      <c r="E289" s="59"/>
      <c r="G289" s="56" t="s">
        <v>1113</v>
      </c>
    </row>
    <row r="290" spans="1:7" ht="28.8" x14ac:dyDescent="0.3">
      <c r="A290" t="s">
        <v>903</v>
      </c>
      <c r="B290" t="s">
        <v>882</v>
      </c>
      <c r="C290" t="s">
        <v>546</v>
      </c>
      <c r="D290" s="56" t="s">
        <v>512</v>
      </c>
      <c r="E290" s="59"/>
      <c r="G290" s="56" t="s">
        <v>1113</v>
      </c>
    </row>
    <row r="291" spans="1:7" ht="28.8" x14ac:dyDescent="0.3">
      <c r="A291" t="s">
        <v>906</v>
      </c>
      <c r="B291" t="s">
        <v>882</v>
      </c>
      <c r="C291" t="s">
        <v>546</v>
      </c>
      <c r="D291" s="56" t="s">
        <v>512</v>
      </c>
      <c r="E291" s="59"/>
      <c r="G291" s="56" t="s">
        <v>1113</v>
      </c>
    </row>
    <row r="292" spans="1:7" ht="28.8" x14ac:dyDescent="0.3">
      <c r="A292" t="s">
        <v>909</v>
      </c>
      <c r="B292" t="s">
        <v>882</v>
      </c>
      <c r="C292" t="s">
        <v>546</v>
      </c>
      <c r="D292" s="56" t="s">
        <v>512</v>
      </c>
      <c r="E292" s="59"/>
      <c r="G292" s="56" t="s">
        <v>1113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1538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1539</v>
      </c>
      <c r="B2" s="60" t="s">
        <v>913</v>
      </c>
      <c r="C2" s="60" t="s">
        <v>509</v>
      </c>
      <c r="D2" s="60" t="s">
        <v>514</v>
      </c>
      <c r="E2" s="60" t="s">
        <v>517</v>
      </c>
      <c r="F2" s="60" t="s">
        <v>522</v>
      </c>
      <c r="G2" s="60" t="s">
        <v>525</v>
      </c>
      <c r="H2" s="60" t="s">
        <v>528</v>
      </c>
      <c r="I2" s="60" t="s">
        <v>532</v>
      </c>
      <c r="J2" s="60" t="s">
        <v>535</v>
      </c>
      <c r="K2" s="60" t="s">
        <v>540</v>
      </c>
      <c r="L2" s="60" t="s">
        <v>544</v>
      </c>
      <c r="M2" s="60" t="s">
        <v>548</v>
      </c>
      <c r="N2" s="60" t="s">
        <v>553</v>
      </c>
      <c r="O2" s="60" t="s">
        <v>557</v>
      </c>
      <c r="P2" s="60" t="s">
        <v>561</v>
      </c>
      <c r="Q2" s="60" t="s">
        <v>564</v>
      </c>
      <c r="R2" s="60" t="s">
        <v>567</v>
      </c>
      <c r="S2" s="60" t="s">
        <v>571</v>
      </c>
      <c r="T2" s="60" t="s">
        <v>574</v>
      </c>
      <c r="U2" s="60" t="s">
        <v>578</v>
      </c>
      <c r="V2" s="60" t="s">
        <v>581</v>
      </c>
      <c r="W2" s="60" t="s">
        <v>5</v>
      </c>
      <c r="X2" s="60" t="s">
        <v>589</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618</v>
      </c>
      <c r="AM2" s="60" t="s">
        <v>623</v>
      </c>
      <c r="AN2" s="60" t="s">
        <v>627</v>
      </c>
      <c r="AO2" s="60" t="s">
        <v>631</v>
      </c>
      <c r="AP2" s="60" t="s">
        <v>633</v>
      </c>
      <c r="AQ2" s="60" t="s">
        <v>637</v>
      </c>
      <c r="AR2" s="60" t="s">
        <v>643</v>
      </c>
      <c r="AS2" s="60" t="s">
        <v>645</v>
      </c>
      <c r="AT2" s="60" t="s">
        <v>648</v>
      </c>
      <c r="AU2" s="60" t="s">
        <v>651</v>
      </c>
      <c r="AV2" s="60" t="s">
        <v>654</v>
      </c>
      <c r="AW2" s="60" t="s">
        <v>658</v>
      </c>
      <c r="AX2" s="60" t="s">
        <v>661</v>
      </c>
      <c r="AY2" s="60" t="s">
        <v>666</v>
      </c>
      <c r="AZ2" s="60" t="s">
        <v>670</v>
      </c>
      <c r="BA2" s="60" t="s">
        <v>673</v>
      </c>
      <c r="BB2" s="60" t="s">
        <v>675</v>
      </c>
      <c r="BC2" s="60" t="s">
        <v>678</v>
      </c>
      <c r="BD2" s="60" t="s">
        <v>681</v>
      </c>
      <c r="BE2" s="60" t="s">
        <v>684</v>
      </c>
      <c r="BF2" s="60" t="s">
        <v>686</v>
      </c>
      <c r="BG2" s="60" t="s">
        <v>689</v>
      </c>
      <c r="BH2" s="60" t="s">
        <v>692</v>
      </c>
      <c r="BI2" s="60" t="s">
        <v>695</v>
      </c>
      <c r="BJ2" s="60" t="s">
        <v>698</v>
      </c>
      <c r="BK2" s="60" t="s">
        <v>701</v>
      </c>
      <c r="BL2" s="60" t="s">
        <v>706</v>
      </c>
      <c r="BM2" s="60" t="s">
        <v>711</v>
      </c>
      <c r="BN2" s="60" t="s">
        <v>713</v>
      </c>
      <c r="BO2" s="60" t="s">
        <v>716</v>
      </c>
      <c r="BP2" s="60" t="s">
        <v>721</v>
      </c>
      <c r="BQ2" s="60" t="s">
        <v>725</v>
      </c>
      <c r="BR2" s="60" t="s">
        <v>727</v>
      </c>
      <c r="BS2" s="60" t="s">
        <v>730</v>
      </c>
      <c r="BT2" s="60" t="s">
        <v>733</v>
      </c>
      <c r="BU2" s="60" t="s">
        <v>736</v>
      </c>
      <c r="BV2" s="60" t="s">
        <v>739</v>
      </c>
      <c r="BW2" s="60" t="s">
        <v>742</v>
      </c>
      <c r="BX2" s="60" t="s">
        <v>745</v>
      </c>
      <c r="BY2" s="60" t="s">
        <v>749</v>
      </c>
      <c r="BZ2" s="60" t="s">
        <v>754</v>
      </c>
      <c r="CA2" s="60" t="s">
        <v>757</v>
      </c>
      <c r="CB2" s="60" t="s">
        <v>760</v>
      </c>
      <c r="CC2" s="60" t="s">
        <v>763</v>
      </c>
      <c r="CD2" s="60" t="s">
        <v>766</v>
      </c>
      <c r="CE2" s="60" t="s">
        <v>769</v>
      </c>
      <c r="CF2" s="60" t="s">
        <v>772</v>
      </c>
      <c r="CG2" s="60" t="s">
        <v>775</v>
      </c>
      <c r="CH2" s="60" t="s">
        <v>779</v>
      </c>
      <c r="CI2" s="60" t="s">
        <v>784</v>
      </c>
      <c r="CJ2" s="60" t="s">
        <v>786</v>
      </c>
      <c r="CK2" s="60" t="s">
        <v>789</v>
      </c>
      <c r="CL2" s="60" t="s">
        <v>792</v>
      </c>
      <c r="CM2" s="60" t="s">
        <v>795</v>
      </c>
      <c r="CN2" s="60" t="s">
        <v>799</v>
      </c>
      <c r="CO2" s="60" t="s">
        <v>804</v>
      </c>
      <c r="CP2" s="60" t="s">
        <v>808</v>
      </c>
      <c r="CQ2" s="60" t="s">
        <v>810</v>
      </c>
      <c r="CR2" s="60" t="s">
        <v>813</v>
      </c>
      <c r="CS2" s="60" t="s">
        <v>817</v>
      </c>
      <c r="CT2" s="60" t="s">
        <v>822</v>
      </c>
      <c r="CU2" s="60" t="s">
        <v>825</v>
      </c>
      <c r="CV2" s="60" t="s">
        <v>829</v>
      </c>
      <c r="CW2" s="60" t="s">
        <v>834</v>
      </c>
      <c r="CX2" s="60" t="s">
        <v>836</v>
      </c>
      <c r="CY2" s="60" t="s">
        <v>840</v>
      </c>
      <c r="CZ2" s="60" t="s">
        <v>845</v>
      </c>
      <c r="DA2" s="60" t="s">
        <v>847</v>
      </c>
      <c r="DB2" s="60" t="s">
        <v>851</v>
      </c>
      <c r="DC2" s="60" t="s">
        <v>856</v>
      </c>
      <c r="DD2" s="60" t="s">
        <v>861</v>
      </c>
      <c r="DE2" s="60" t="s">
        <v>866</v>
      </c>
      <c r="DF2" s="60" t="s">
        <v>872</v>
      </c>
      <c r="DG2" s="60" t="s">
        <v>877</v>
      </c>
      <c r="DH2" s="60" t="s">
        <v>881</v>
      </c>
      <c r="DI2" s="60" t="s">
        <v>885</v>
      </c>
      <c r="DJ2" s="60" t="s">
        <v>888</v>
      </c>
      <c r="DK2" s="60" t="s">
        <v>891</v>
      </c>
      <c r="DL2" s="60" t="s">
        <v>894</v>
      </c>
      <c r="DM2" s="60" t="s">
        <v>897</v>
      </c>
      <c r="DN2" s="60" t="s">
        <v>900</v>
      </c>
      <c r="DO2" s="60" t="s">
        <v>903</v>
      </c>
      <c r="DP2" s="60" t="s">
        <v>906</v>
      </c>
      <c r="DQ2" s="60" t="s">
        <v>909</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84</v>
      </c>
    </row>
    <row r="8" spans="1:121" x14ac:dyDescent="0.3">
      <c r="A8">
        <v>20132509795</v>
      </c>
      <c r="B8" t="s">
        <v>87</v>
      </c>
    </row>
    <row r="9" spans="1:121" x14ac:dyDescent="0.3">
      <c r="A9">
        <v>20132509876</v>
      </c>
      <c r="B9" t="s">
        <v>89</v>
      </c>
    </row>
    <row r="10" spans="1:121" x14ac:dyDescent="0.3">
      <c r="A10">
        <v>20132517119</v>
      </c>
      <c r="B10" t="s">
        <v>91</v>
      </c>
    </row>
    <row r="11" spans="1:121" x14ac:dyDescent="0.3">
      <c r="A11">
        <v>20136201132</v>
      </c>
      <c r="B11" t="s">
        <v>94</v>
      </c>
    </row>
    <row r="12" spans="1:121" x14ac:dyDescent="0.3">
      <c r="A12">
        <v>20136201213</v>
      </c>
      <c r="B12" t="s">
        <v>96</v>
      </c>
    </row>
    <row r="13" spans="1:121" x14ac:dyDescent="0.3">
      <c r="A13">
        <v>20140292657</v>
      </c>
      <c r="B13" t="s">
        <v>99</v>
      </c>
    </row>
    <row r="14" spans="1:121" x14ac:dyDescent="0.3">
      <c r="A14">
        <v>20143692010</v>
      </c>
      <c r="B14" t="s">
        <v>102</v>
      </c>
    </row>
    <row r="15" spans="1:121" x14ac:dyDescent="0.3">
      <c r="A15">
        <v>20145484597</v>
      </c>
      <c r="B15" t="s">
        <v>104</v>
      </c>
    </row>
    <row r="16" spans="1:121" x14ac:dyDescent="0.3">
      <c r="A16">
        <v>20146696041</v>
      </c>
      <c r="B16" t="s">
        <v>106</v>
      </c>
    </row>
    <row r="17" spans="1:2" x14ac:dyDescent="0.3">
      <c r="A17">
        <v>20147443120</v>
      </c>
      <c r="B17" t="s">
        <v>109</v>
      </c>
    </row>
    <row r="18" spans="1:2" x14ac:dyDescent="0.3">
      <c r="A18">
        <v>20166786861</v>
      </c>
      <c r="B18" t="s">
        <v>112</v>
      </c>
    </row>
    <row r="19" spans="1:2" x14ac:dyDescent="0.3">
      <c r="A19">
        <v>20170142773</v>
      </c>
      <c r="B19" t="s">
        <v>115</v>
      </c>
    </row>
    <row r="20" spans="1:2" x14ac:dyDescent="0.3">
      <c r="A20">
        <v>20200880448</v>
      </c>
      <c r="B20" t="s">
        <v>118</v>
      </c>
    </row>
    <row r="21" spans="1:2" x14ac:dyDescent="0.3">
      <c r="A21">
        <v>20352417018</v>
      </c>
      <c r="B21" t="s">
        <v>120</v>
      </c>
    </row>
    <row r="22" spans="1:2" x14ac:dyDescent="0.3">
      <c r="A22">
        <v>20352423921</v>
      </c>
      <c r="B22" t="s">
        <v>122</v>
      </c>
    </row>
    <row r="23" spans="1:2" x14ac:dyDescent="0.3">
      <c r="A23">
        <v>20393152207</v>
      </c>
      <c r="B23" t="s">
        <v>125</v>
      </c>
    </row>
    <row r="24" spans="1:2" x14ac:dyDescent="0.3">
      <c r="A24">
        <v>20393593670</v>
      </c>
      <c r="B24" t="s">
        <v>127</v>
      </c>
    </row>
    <row r="25" spans="1:2" x14ac:dyDescent="0.3">
      <c r="A25">
        <v>20393692228</v>
      </c>
      <c r="B25" t="s">
        <v>130</v>
      </c>
    </row>
    <row r="26" spans="1:2" x14ac:dyDescent="0.3">
      <c r="A26">
        <v>20393786044</v>
      </c>
      <c r="B26" t="s">
        <v>132</v>
      </c>
    </row>
    <row r="27" spans="1:2" x14ac:dyDescent="0.3">
      <c r="A27">
        <v>20393816211</v>
      </c>
      <c r="B27" t="s">
        <v>134</v>
      </c>
    </row>
    <row r="28" spans="1:2" x14ac:dyDescent="0.3">
      <c r="A28">
        <v>20393882868</v>
      </c>
      <c r="B28" t="s">
        <v>136</v>
      </c>
    </row>
    <row r="29" spans="1:2" x14ac:dyDescent="0.3">
      <c r="A29">
        <v>20393972000</v>
      </c>
      <c r="B29" t="s">
        <v>138</v>
      </c>
    </row>
    <row r="30" spans="1:2" x14ac:dyDescent="0.3">
      <c r="A30">
        <v>20447888701</v>
      </c>
      <c r="B30" t="s">
        <v>140</v>
      </c>
    </row>
    <row r="31" spans="1:2" x14ac:dyDescent="0.3">
      <c r="A31">
        <v>20450189201</v>
      </c>
      <c r="B31" t="s">
        <v>142</v>
      </c>
    </row>
    <row r="32" spans="1:2" x14ac:dyDescent="0.3">
      <c r="A32">
        <v>20450207544</v>
      </c>
      <c r="B32" t="s">
        <v>145</v>
      </c>
    </row>
    <row r="33" spans="1:2" x14ac:dyDescent="0.3">
      <c r="A33">
        <v>20450242021</v>
      </c>
      <c r="B33" t="s">
        <v>147</v>
      </c>
    </row>
    <row r="34" spans="1:2" x14ac:dyDescent="0.3">
      <c r="A34">
        <v>20450319423</v>
      </c>
      <c r="B34" t="s">
        <v>149</v>
      </c>
    </row>
    <row r="35" spans="1:2" x14ac:dyDescent="0.3">
      <c r="A35">
        <v>20452774705</v>
      </c>
      <c r="B35" t="s">
        <v>151</v>
      </c>
    </row>
    <row r="36" spans="1:2" x14ac:dyDescent="0.3">
      <c r="A36">
        <v>20479595276</v>
      </c>
      <c r="B36" t="s">
        <v>153</v>
      </c>
    </row>
    <row r="37" spans="1:2" x14ac:dyDescent="0.3">
      <c r="A37">
        <v>20479622699</v>
      </c>
      <c r="B37" t="s">
        <v>156</v>
      </c>
    </row>
    <row r="38" spans="1:2" x14ac:dyDescent="0.3">
      <c r="A38">
        <v>20479856258</v>
      </c>
      <c r="B38" t="s">
        <v>158</v>
      </c>
    </row>
    <row r="39" spans="1:2" x14ac:dyDescent="0.3">
      <c r="A39">
        <v>20479917141</v>
      </c>
      <c r="B39" t="s">
        <v>160</v>
      </c>
    </row>
    <row r="40" spans="1:2" x14ac:dyDescent="0.3">
      <c r="A40">
        <v>20480458550</v>
      </c>
      <c r="B40" t="s">
        <v>162</v>
      </c>
    </row>
    <row r="41" spans="1:2" x14ac:dyDescent="0.3">
      <c r="A41">
        <v>20480762895</v>
      </c>
      <c r="B41" t="s">
        <v>164</v>
      </c>
    </row>
    <row r="42" spans="1:2" x14ac:dyDescent="0.3">
      <c r="A42">
        <v>20484163902</v>
      </c>
      <c r="B42" t="s">
        <v>166</v>
      </c>
    </row>
    <row r="43" spans="1:2" x14ac:dyDescent="0.3">
      <c r="A43">
        <v>20485945815</v>
      </c>
      <c r="B43" t="s">
        <v>168</v>
      </c>
    </row>
    <row r="44" spans="1:2" x14ac:dyDescent="0.3">
      <c r="A44">
        <v>20486094657</v>
      </c>
      <c r="B44" t="s">
        <v>170</v>
      </c>
    </row>
    <row r="45" spans="1:2" x14ac:dyDescent="0.3">
      <c r="A45">
        <v>20486255090</v>
      </c>
      <c r="B45" t="s">
        <v>172</v>
      </c>
    </row>
    <row r="46" spans="1:2" x14ac:dyDescent="0.3">
      <c r="A46">
        <v>20486668335</v>
      </c>
      <c r="B46" t="s">
        <v>174</v>
      </c>
    </row>
    <row r="47" spans="1:2" x14ac:dyDescent="0.3">
      <c r="A47">
        <v>20486876019</v>
      </c>
      <c r="B47" t="s">
        <v>176</v>
      </c>
    </row>
    <row r="48" spans="1:2" x14ac:dyDescent="0.3">
      <c r="A48">
        <v>20486973219</v>
      </c>
      <c r="B48" t="s">
        <v>178</v>
      </c>
    </row>
    <row r="49" spans="1:2" x14ac:dyDescent="0.3">
      <c r="A49">
        <v>20487242994</v>
      </c>
      <c r="B49" t="s">
        <v>180</v>
      </c>
    </row>
    <row r="50" spans="1:2" x14ac:dyDescent="0.3">
      <c r="A50">
        <v>20487351343</v>
      </c>
      <c r="B50" t="s">
        <v>182</v>
      </c>
    </row>
    <row r="51" spans="1:2" x14ac:dyDescent="0.3">
      <c r="A51">
        <v>20487661539</v>
      </c>
      <c r="B51" t="s">
        <v>185</v>
      </c>
    </row>
    <row r="52" spans="1:2" x14ac:dyDescent="0.3">
      <c r="A52">
        <v>20490726196</v>
      </c>
      <c r="B52" t="s">
        <v>187</v>
      </c>
    </row>
    <row r="53" spans="1:2" x14ac:dyDescent="0.3">
      <c r="A53">
        <v>20493934822</v>
      </c>
      <c r="B53" t="s">
        <v>189</v>
      </c>
    </row>
    <row r="54" spans="1:2" x14ac:dyDescent="0.3">
      <c r="A54">
        <v>20493959574</v>
      </c>
      <c r="B54" t="s">
        <v>191</v>
      </c>
    </row>
    <row r="55" spans="1:2" x14ac:dyDescent="0.3">
      <c r="A55">
        <v>20494126819</v>
      </c>
      <c r="B55" t="s">
        <v>193</v>
      </c>
    </row>
    <row r="56" spans="1:2" x14ac:dyDescent="0.3">
      <c r="A56">
        <v>20494145791</v>
      </c>
      <c r="B56" t="s">
        <v>195</v>
      </c>
    </row>
    <row r="57" spans="1:2" x14ac:dyDescent="0.3">
      <c r="A57">
        <v>20494699690</v>
      </c>
      <c r="B57" t="s">
        <v>198</v>
      </c>
    </row>
    <row r="58" spans="1:2" x14ac:dyDescent="0.3">
      <c r="A58">
        <v>20525969551</v>
      </c>
      <c r="B58" t="s">
        <v>200</v>
      </c>
    </row>
    <row r="59" spans="1:2" x14ac:dyDescent="0.3">
      <c r="A59">
        <v>20526514689</v>
      </c>
      <c r="B59" t="s">
        <v>202</v>
      </c>
    </row>
    <row r="60" spans="1:2" x14ac:dyDescent="0.3">
      <c r="A60">
        <v>20527565376</v>
      </c>
      <c r="B60" t="s">
        <v>204</v>
      </c>
    </row>
    <row r="61" spans="1:2" x14ac:dyDescent="0.3">
      <c r="A61">
        <v>20528996214</v>
      </c>
      <c r="B61" t="s">
        <v>207</v>
      </c>
    </row>
    <row r="62" spans="1:2" x14ac:dyDescent="0.3">
      <c r="A62">
        <v>20529801433</v>
      </c>
      <c r="B62" t="s">
        <v>209</v>
      </c>
    </row>
    <row r="63" spans="1:2" x14ac:dyDescent="0.3">
      <c r="A63">
        <v>20529822350</v>
      </c>
      <c r="B63" t="s">
        <v>211</v>
      </c>
    </row>
    <row r="64" spans="1:2" x14ac:dyDescent="0.3">
      <c r="A64">
        <v>20531405723</v>
      </c>
      <c r="B64" t="s">
        <v>213</v>
      </c>
    </row>
    <row r="65" spans="1:2" x14ac:dyDescent="0.3">
      <c r="A65">
        <v>20531441797</v>
      </c>
      <c r="B65" t="s">
        <v>215</v>
      </c>
    </row>
    <row r="66" spans="1:2" x14ac:dyDescent="0.3">
      <c r="A66">
        <v>20534524774</v>
      </c>
      <c r="B66" t="s">
        <v>217</v>
      </c>
    </row>
    <row r="67" spans="1:2" x14ac:dyDescent="0.3">
      <c r="A67">
        <v>20539205600</v>
      </c>
      <c r="B67" t="s">
        <v>219</v>
      </c>
    </row>
    <row r="68" spans="1:2" x14ac:dyDescent="0.3">
      <c r="A68">
        <v>20539241665</v>
      </c>
      <c r="B68" t="s">
        <v>221</v>
      </c>
    </row>
    <row r="69" spans="1:2" x14ac:dyDescent="0.3">
      <c r="A69">
        <v>20539280644</v>
      </c>
      <c r="B69" t="s">
        <v>223</v>
      </c>
    </row>
    <row r="70" spans="1:2" x14ac:dyDescent="0.3">
      <c r="A70">
        <v>20542209951</v>
      </c>
      <c r="B70" t="s">
        <v>225</v>
      </c>
    </row>
    <row r="71" spans="1:2" x14ac:dyDescent="0.3">
      <c r="A71">
        <v>20542251990</v>
      </c>
      <c r="B71" t="s">
        <v>229</v>
      </c>
    </row>
    <row r="72" spans="1:2" x14ac:dyDescent="0.3">
      <c r="A72">
        <v>20542257416</v>
      </c>
      <c r="B72" t="s">
        <v>231</v>
      </c>
    </row>
    <row r="73" spans="1:2" x14ac:dyDescent="0.3">
      <c r="A73">
        <v>20542264544</v>
      </c>
      <c r="B73" t="s">
        <v>233</v>
      </c>
    </row>
    <row r="74" spans="1:2" x14ac:dyDescent="0.3">
      <c r="A74">
        <v>20542289024</v>
      </c>
      <c r="B74" t="s">
        <v>237</v>
      </c>
    </row>
    <row r="75" spans="1:2" x14ac:dyDescent="0.3">
      <c r="A75">
        <v>20542299330</v>
      </c>
      <c r="B75" t="s">
        <v>239</v>
      </c>
    </row>
    <row r="76" spans="1:2" x14ac:dyDescent="0.3">
      <c r="A76">
        <v>20542311569</v>
      </c>
      <c r="B76" t="s">
        <v>241</v>
      </c>
    </row>
    <row r="77" spans="1:2" x14ac:dyDescent="0.3">
      <c r="A77">
        <v>20542380455</v>
      </c>
      <c r="B77" t="s">
        <v>243</v>
      </c>
    </row>
    <row r="78" spans="1:2" x14ac:dyDescent="0.3">
      <c r="A78">
        <v>20542482886</v>
      </c>
      <c r="B78" t="s">
        <v>245</v>
      </c>
    </row>
    <row r="79" spans="1:2" x14ac:dyDescent="0.3">
      <c r="A79">
        <v>20542825163</v>
      </c>
      <c r="B79" t="s">
        <v>247</v>
      </c>
    </row>
    <row r="80" spans="1:2" x14ac:dyDescent="0.3">
      <c r="A80">
        <v>20561140091</v>
      </c>
      <c r="B80" t="s">
        <v>250</v>
      </c>
    </row>
    <row r="81" spans="1:2" x14ac:dyDescent="0.3">
      <c r="A81">
        <v>20564032485</v>
      </c>
      <c r="B81" t="s">
        <v>254</v>
      </c>
    </row>
    <row r="82" spans="1:2" x14ac:dyDescent="0.3">
      <c r="A82">
        <v>20568071281</v>
      </c>
      <c r="B82" t="s">
        <v>256</v>
      </c>
    </row>
    <row r="83" spans="1:2" x14ac:dyDescent="0.3">
      <c r="A83">
        <v>20568080948</v>
      </c>
      <c r="B83" t="s">
        <v>259</v>
      </c>
    </row>
    <row r="84" spans="1:2" x14ac:dyDescent="0.3">
      <c r="A84">
        <v>20568190450</v>
      </c>
      <c r="B84" t="s">
        <v>261</v>
      </c>
    </row>
    <row r="85" spans="1:2" x14ac:dyDescent="0.3">
      <c r="A85">
        <v>20568194951</v>
      </c>
      <c r="B85" t="s">
        <v>263</v>
      </c>
    </row>
    <row r="86" spans="1:2" x14ac:dyDescent="0.3">
      <c r="A86">
        <v>20568428375</v>
      </c>
      <c r="B86" t="s">
        <v>265</v>
      </c>
    </row>
    <row r="87" spans="1:2" x14ac:dyDescent="0.3">
      <c r="A87">
        <v>20568549083</v>
      </c>
      <c r="B87" t="s">
        <v>267</v>
      </c>
    </row>
    <row r="88" spans="1:2" x14ac:dyDescent="0.3">
      <c r="A88">
        <v>20568560133</v>
      </c>
      <c r="B88" t="s">
        <v>269</v>
      </c>
    </row>
    <row r="89" spans="1:2" x14ac:dyDescent="0.3">
      <c r="A89">
        <v>20568567731</v>
      </c>
      <c r="B89" t="s">
        <v>271</v>
      </c>
    </row>
    <row r="90" spans="1:2" x14ac:dyDescent="0.3">
      <c r="A90">
        <v>20568609833</v>
      </c>
      <c r="B90" t="s">
        <v>273</v>
      </c>
    </row>
    <row r="91" spans="1:2" x14ac:dyDescent="0.3">
      <c r="A91">
        <v>20568962282</v>
      </c>
      <c r="B91" t="s">
        <v>275</v>
      </c>
    </row>
    <row r="92" spans="1:2" x14ac:dyDescent="0.3">
      <c r="A92">
        <v>20570706927</v>
      </c>
      <c r="B92" t="s">
        <v>277</v>
      </c>
    </row>
    <row r="93" spans="1:2" x14ac:dyDescent="0.3">
      <c r="A93">
        <v>20572111131</v>
      </c>
      <c r="B93" t="s">
        <v>279</v>
      </c>
    </row>
    <row r="94" spans="1:2" x14ac:dyDescent="0.3">
      <c r="A94">
        <v>20572190251</v>
      </c>
      <c r="B94" t="s">
        <v>281</v>
      </c>
    </row>
    <row r="95" spans="1:2" x14ac:dyDescent="0.3">
      <c r="A95">
        <v>20573049102</v>
      </c>
      <c r="B95" t="s">
        <v>283</v>
      </c>
    </row>
    <row r="96" spans="1:2" x14ac:dyDescent="0.3">
      <c r="A96">
        <v>20573057385</v>
      </c>
      <c r="B96" t="s">
        <v>285</v>
      </c>
    </row>
    <row r="97" spans="1:2" x14ac:dyDescent="0.3">
      <c r="A97">
        <v>20573138202</v>
      </c>
      <c r="B97" t="s">
        <v>287</v>
      </c>
    </row>
    <row r="98" spans="1:2" x14ac:dyDescent="0.3">
      <c r="A98">
        <v>20573260008</v>
      </c>
      <c r="B98" t="s">
        <v>289</v>
      </c>
    </row>
    <row r="99" spans="1:2" x14ac:dyDescent="0.3">
      <c r="A99">
        <v>20573344791</v>
      </c>
      <c r="B99" t="s">
        <v>291</v>
      </c>
    </row>
    <row r="100" spans="1:2" x14ac:dyDescent="0.3">
      <c r="A100">
        <v>20574797013</v>
      </c>
      <c r="B100" t="s">
        <v>294</v>
      </c>
    </row>
    <row r="101" spans="1:2" x14ac:dyDescent="0.3">
      <c r="A101">
        <v>20600001109</v>
      </c>
      <c r="B101" t="s">
        <v>296</v>
      </c>
    </row>
    <row r="102" spans="1:2" x14ac:dyDescent="0.3">
      <c r="A102">
        <v>20600010086</v>
      </c>
      <c r="B102" t="s">
        <v>298</v>
      </c>
    </row>
    <row r="103" spans="1:2" x14ac:dyDescent="0.3">
      <c r="A103">
        <v>20600029887</v>
      </c>
      <c r="B103" t="s">
        <v>300</v>
      </c>
    </row>
    <row r="104" spans="1:2" x14ac:dyDescent="0.3">
      <c r="A104">
        <v>20600146689</v>
      </c>
      <c r="B104" t="s">
        <v>302</v>
      </c>
    </row>
    <row r="105" spans="1:2" x14ac:dyDescent="0.3">
      <c r="A105">
        <v>20600200756</v>
      </c>
      <c r="B105" t="s">
        <v>304</v>
      </c>
    </row>
    <row r="106" spans="1:2" x14ac:dyDescent="0.3">
      <c r="A106">
        <v>20600263286</v>
      </c>
      <c r="B106" t="s">
        <v>306</v>
      </c>
    </row>
    <row r="107" spans="1:2" x14ac:dyDescent="0.3">
      <c r="A107">
        <v>20600382064</v>
      </c>
      <c r="B107" t="s">
        <v>308</v>
      </c>
    </row>
    <row r="108" spans="1:2" x14ac:dyDescent="0.3">
      <c r="A108">
        <v>20600390911</v>
      </c>
      <c r="B108" t="s">
        <v>310</v>
      </c>
    </row>
    <row r="109" spans="1:2" x14ac:dyDescent="0.3">
      <c r="A109">
        <v>20600529693</v>
      </c>
      <c r="B109" t="s">
        <v>312</v>
      </c>
    </row>
    <row r="110" spans="1:2" x14ac:dyDescent="0.3">
      <c r="A110">
        <v>20600668430</v>
      </c>
      <c r="B110" t="s">
        <v>314</v>
      </c>
    </row>
    <row r="111" spans="1:2" x14ac:dyDescent="0.3">
      <c r="A111">
        <v>20600682386</v>
      </c>
      <c r="B111" t="s">
        <v>316</v>
      </c>
    </row>
    <row r="112" spans="1:2" x14ac:dyDescent="0.3">
      <c r="A112">
        <v>20600720733</v>
      </c>
      <c r="B112" t="s">
        <v>318</v>
      </c>
    </row>
    <row r="113" spans="1:2" x14ac:dyDescent="0.3">
      <c r="A113">
        <v>20600785541</v>
      </c>
      <c r="B113" t="s">
        <v>320</v>
      </c>
    </row>
    <row r="114" spans="1:2" x14ac:dyDescent="0.3">
      <c r="A114">
        <v>20600796683</v>
      </c>
      <c r="B114" t="s">
        <v>322</v>
      </c>
    </row>
    <row r="115" spans="1:2" x14ac:dyDescent="0.3">
      <c r="A115">
        <v>20600796721</v>
      </c>
      <c r="B115" t="s">
        <v>324</v>
      </c>
    </row>
    <row r="116" spans="1:2" x14ac:dyDescent="0.3">
      <c r="A116">
        <v>20600874919</v>
      </c>
      <c r="B116" t="s">
        <v>326</v>
      </c>
    </row>
    <row r="117" spans="1:2" x14ac:dyDescent="0.3">
      <c r="A117">
        <v>20600964080</v>
      </c>
      <c r="B117" t="s">
        <v>328</v>
      </c>
    </row>
    <row r="118" spans="1:2" x14ac:dyDescent="0.3">
      <c r="A118">
        <v>20601067146</v>
      </c>
      <c r="B118" t="s">
        <v>330</v>
      </c>
    </row>
    <row r="119" spans="1:2" x14ac:dyDescent="0.3">
      <c r="A119">
        <v>20601119316</v>
      </c>
      <c r="B119" t="s">
        <v>332</v>
      </c>
    </row>
    <row r="120" spans="1:2" x14ac:dyDescent="0.3">
      <c r="A120">
        <v>20601186986</v>
      </c>
      <c r="B120" t="s">
        <v>334</v>
      </c>
    </row>
    <row r="121" spans="1:2" x14ac:dyDescent="0.3">
      <c r="A121">
        <v>20601329159</v>
      </c>
      <c r="B121" t="s">
        <v>336</v>
      </c>
    </row>
    <row r="122" spans="1:2" x14ac:dyDescent="0.3">
      <c r="A122">
        <v>20601339090</v>
      </c>
      <c r="B122" t="s">
        <v>338</v>
      </c>
    </row>
    <row r="123" spans="1:2" x14ac:dyDescent="0.3">
      <c r="A123">
        <v>20601537771</v>
      </c>
      <c r="B123" t="s">
        <v>340</v>
      </c>
    </row>
    <row r="124" spans="1:2" x14ac:dyDescent="0.3">
      <c r="A124">
        <v>20601558204</v>
      </c>
      <c r="B124" t="s">
        <v>342</v>
      </c>
    </row>
    <row r="125" spans="1:2" x14ac:dyDescent="0.3">
      <c r="A125">
        <v>20601667526</v>
      </c>
      <c r="B125" t="s">
        <v>346</v>
      </c>
    </row>
    <row r="126" spans="1:2" x14ac:dyDescent="0.3">
      <c r="A126">
        <v>20601919657</v>
      </c>
      <c r="B126" t="s">
        <v>348</v>
      </c>
    </row>
    <row r="127" spans="1:2" x14ac:dyDescent="0.3">
      <c r="A127">
        <v>20601939402</v>
      </c>
      <c r="B127" t="s">
        <v>350</v>
      </c>
    </row>
    <row r="128" spans="1:2" x14ac:dyDescent="0.3">
      <c r="A128">
        <v>20601958911</v>
      </c>
      <c r="B128" t="s">
        <v>352</v>
      </c>
    </row>
    <row r="129" spans="1:2" x14ac:dyDescent="0.3">
      <c r="A129">
        <v>20602047025</v>
      </c>
      <c r="B129" t="s">
        <v>354</v>
      </c>
    </row>
    <row r="130" spans="1:2" x14ac:dyDescent="0.3">
      <c r="A130">
        <v>20602054480</v>
      </c>
      <c r="B130" t="s">
        <v>356</v>
      </c>
    </row>
    <row r="131" spans="1:2" x14ac:dyDescent="0.3">
      <c r="A131">
        <v>20602161081</v>
      </c>
      <c r="B131" t="s">
        <v>359</v>
      </c>
    </row>
    <row r="132" spans="1:2" x14ac:dyDescent="0.3">
      <c r="A132">
        <v>20602194265</v>
      </c>
      <c r="B132" t="s">
        <v>361</v>
      </c>
    </row>
    <row r="133" spans="1:2" x14ac:dyDescent="0.3">
      <c r="A133">
        <v>20602242464</v>
      </c>
      <c r="B133" t="s">
        <v>363</v>
      </c>
    </row>
    <row r="134" spans="1:2" x14ac:dyDescent="0.3">
      <c r="A134">
        <v>20602488927</v>
      </c>
      <c r="B134" t="s">
        <v>365</v>
      </c>
    </row>
    <row r="135" spans="1:2" x14ac:dyDescent="0.3">
      <c r="A135">
        <v>20602650643</v>
      </c>
      <c r="B135" t="s">
        <v>369</v>
      </c>
    </row>
    <row r="136" spans="1:2" x14ac:dyDescent="0.3">
      <c r="A136">
        <v>20602712657</v>
      </c>
      <c r="B136" t="s">
        <v>372</v>
      </c>
    </row>
    <row r="137" spans="1:2" x14ac:dyDescent="0.3">
      <c r="A137">
        <v>20602881971</v>
      </c>
      <c r="B137" t="s">
        <v>374</v>
      </c>
    </row>
    <row r="138" spans="1:2" x14ac:dyDescent="0.3">
      <c r="A138">
        <v>20603320621</v>
      </c>
      <c r="B138" t="s">
        <v>376</v>
      </c>
    </row>
    <row r="139" spans="1:2" x14ac:dyDescent="0.3">
      <c r="A139">
        <v>20603526423</v>
      </c>
      <c r="B139" t="s">
        <v>378</v>
      </c>
    </row>
    <row r="140" spans="1:2" x14ac:dyDescent="0.3">
      <c r="A140">
        <v>20603557825</v>
      </c>
      <c r="B140" t="s">
        <v>380</v>
      </c>
    </row>
    <row r="141" spans="1:2" x14ac:dyDescent="0.3">
      <c r="A141">
        <v>20603675551</v>
      </c>
      <c r="B141" t="s">
        <v>382</v>
      </c>
    </row>
    <row r="142" spans="1:2" x14ac:dyDescent="0.3">
      <c r="A142">
        <v>20603676476</v>
      </c>
      <c r="B142" t="s">
        <v>384</v>
      </c>
    </row>
    <row r="143" spans="1:2" x14ac:dyDescent="0.3">
      <c r="A143">
        <v>20603820691</v>
      </c>
      <c r="B143" t="s">
        <v>386</v>
      </c>
    </row>
    <row r="144" spans="1:2" x14ac:dyDescent="0.3">
      <c r="A144">
        <v>20603829515</v>
      </c>
      <c r="B144" t="s">
        <v>389</v>
      </c>
    </row>
    <row r="145" spans="1:2" x14ac:dyDescent="0.3">
      <c r="A145">
        <v>20603842511</v>
      </c>
      <c r="B145" t="s">
        <v>391</v>
      </c>
    </row>
    <row r="146" spans="1:2" x14ac:dyDescent="0.3">
      <c r="A146">
        <v>20603862369</v>
      </c>
      <c r="B146" t="s">
        <v>393</v>
      </c>
    </row>
    <row r="147" spans="1:2" x14ac:dyDescent="0.3">
      <c r="A147">
        <v>20604151954</v>
      </c>
      <c r="B147" t="s">
        <v>396</v>
      </c>
    </row>
    <row r="148" spans="1:2" x14ac:dyDescent="0.3">
      <c r="A148">
        <v>20604215600</v>
      </c>
      <c r="B148" t="s">
        <v>398</v>
      </c>
    </row>
    <row r="149" spans="1:2" x14ac:dyDescent="0.3">
      <c r="A149">
        <v>20604309728</v>
      </c>
      <c r="B149" t="s">
        <v>400</v>
      </c>
    </row>
    <row r="150" spans="1:2" x14ac:dyDescent="0.3">
      <c r="A150">
        <v>20604401187</v>
      </c>
      <c r="B150" t="s">
        <v>402</v>
      </c>
    </row>
    <row r="151" spans="1:2" x14ac:dyDescent="0.3">
      <c r="A151">
        <v>20604705411</v>
      </c>
      <c r="B151" t="s">
        <v>404</v>
      </c>
    </row>
    <row r="152" spans="1:2" x14ac:dyDescent="0.3">
      <c r="A152">
        <v>20604988200</v>
      </c>
      <c r="B152" t="s">
        <v>406</v>
      </c>
    </row>
    <row r="153" spans="1:2" x14ac:dyDescent="0.3">
      <c r="A153">
        <v>20605228489</v>
      </c>
      <c r="B153" t="s">
        <v>408</v>
      </c>
    </row>
    <row r="154" spans="1:2" x14ac:dyDescent="0.3">
      <c r="A154">
        <v>20605500430</v>
      </c>
      <c r="B154" t="s">
        <v>410</v>
      </c>
    </row>
    <row r="155" spans="1:2" x14ac:dyDescent="0.3">
      <c r="A155">
        <v>20605688170</v>
      </c>
      <c r="B155" t="s">
        <v>412</v>
      </c>
    </row>
    <row r="156" spans="1:2" x14ac:dyDescent="0.3">
      <c r="A156">
        <v>20606041382</v>
      </c>
      <c r="B156" t="s">
        <v>414</v>
      </c>
    </row>
    <row r="157" spans="1:2" x14ac:dyDescent="0.3">
      <c r="A157">
        <v>20606451122</v>
      </c>
      <c r="B157" t="s">
        <v>416</v>
      </c>
    </row>
    <row r="158" spans="1:2" x14ac:dyDescent="0.3">
      <c r="A158">
        <v>20606485281</v>
      </c>
      <c r="B158" t="s">
        <v>419</v>
      </c>
    </row>
    <row r="159" spans="1:2" x14ac:dyDescent="0.3">
      <c r="A159">
        <v>20606556331</v>
      </c>
      <c r="B159" t="s">
        <v>421</v>
      </c>
    </row>
    <row r="160" spans="1:2" x14ac:dyDescent="0.3">
      <c r="A160">
        <v>20606717475</v>
      </c>
      <c r="B160" t="s">
        <v>423</v>
      </c>
    </row>
    <row r="161" spans="1:2" x14ac:dyDescent="0.3">
      <c r="A161">
        <v>20607265624</v>
      </c>
      <c r="B161" t="s">
        <v>426</v>
      </c>
    </row>
    <row r="162" spans="1:2" x14ac:dyDescent="0.3">
      <c r="A162">
        <v>20607382604</v>
      </c>
      <c r="B162" t="s">
        <v>428</v>
      </c>
    </row>
    <row r="163" spans="1:2" x14ac:dyDescent="0.3">
      <c r="A163">
        <v>20607536016</v>
      </c>
      <c r="B163" t="s">
        <v>430</v>
      </c>
    </row>
    <row r="164" spans="1:2" x14ac:dyDescent="0.3">
      <c r="A164">
        <v>20607558559</v>
      </c>
      <c r="B164" t="s">
        <v>432</v>
      </c>
    </row>
    <row r="165" spans="1:2" x14ac:dyDescent="0.3">
      <c r="A165">
        <v>20607775185</v>
      </c>
      <c r="B165" t="s">
        <v>434</v>
      </c>
    </row>
    <row r="166" spans="1:2" x14ac:dyDescent="0.3">
      <c r="A166">
        <v>20608235648</v>
      </c>
      <c r="B166" t="s">
        <v>436</v>
      </c>
    </row>
    <row r="167" spans="1:2" x14ac:dyDescent="0.3">
      <c r="A167">
        <v>20608294512</v>
      </c>
      <c r="B167" t="s">
        <v>438</v>
      </c>
    </row>
    <row r="168" spans="1:2" x14ac:dyDescent="0.3">
      <c r="A168">
        <v>20608478311</v>
      </c>
      <c r="B168" t="s">
        <v>440</v>
      </c>
    </row>
    <row r="169" spans="1:2" x14ac:dyDescent="0.3">
      <c r="A169">
        <v>20609025353</v>
      </c>
      <c r="B169" t="s">
        <v>442</v>
      </c>
    </row>
    <row r="170" spans="1:2" x14ac:dyDescent="0.3">
      <c r="A170">
        <v>20609555395</v>
      </c>
      <c r="B170" t="s">
        <v>444</v>
      </c>
    </row>
    <row r="171" spans="1:2" x14ac:dyDescent="0.3">
      <c r="A171">
        <v>20609846314</v>
      </c>
      <c r="B171" t="s">
        <v>446</v>
      </c>
    </row>
    <row r="172" spans="1:2" x14ac:dyDescent="0.3">
      <c r="A172">
        <v>20610739491</v>
      </c>
      <c r="B172" t="s">
        <v>448</v>
      </c>
    </row>
    <row r="173" spans="1:2" x14ac:dyDescent="0.3">
      <c r="A173">
        <v>20610772553</v>
      </c>
      <c r="B173" t="s">
        <v>450</v>
      </c>
    </row>
    <row r="174" spans="1:2" x14ac:dyDescent="0.3">
      <c r="A174">
        <v>20611316616</v>
      </c>
    </row>
    <row r="175" spans="1:2" x14ac:dyDescent="0.3">
      <c r="A175">
        <v>20611935243</v>
      </c>
      <c r="B175" t="s">
        <v>454</v>
      </c>
    </row>
    <row r="176" spans="1:2" x14ac:dyDescent="0.3">
      <c r="A176">
        <v>20612331821</v>
      </c>
      <c r="B176" t="s">
        <v>456</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1540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913</v>
      </c>
      <c r="C2" s="63" t="s">
        <v>548</v>
      </c>
      <c r="D2" s="63" t="s">
        <v>12</v>
      </c>
      <c r="E2" s="63" t="s">
        <v>14</v>
      </c>
      <c r="F2" s="63" t="s">
        <v>17</v>
      </c>
      <c r="G2" s="63" t="s">
        <v>18</v>
      </c>
      <c r="H2" s="63" t="s">
        <v>618</v>
      </c>
      <c r="I2" s="63" t="s">
        <v>627</v>
      </c>
      <c r="J2" s="63" t="s">
        <v>631</v>
      </c>
      <c r="K2" s="63" t="s">
        <v>633</v>
      </c>
      <c r="L2" s="63" t="s">
        <v>637</v>
      </c>
      <c r="M2" s="63" t="s">
        <v>643</v>
      </c>
      <c r="N2" s="63" t="s">
        <v>645</v>
      </c>
      <c r="O2" s="63" t="s">
        <v>648</v>
      </c>
      <c r="P2" s="63" t="s">
        <v>651</v>
      </c>
      <c r="Q2" s="63" t="s">
        <v>654</v>
      </c>
      <c r="R2" s="63" t="s">
        <v>658</v>
      </c>
      <c r="S2" s="63" t="s">
        <v>661</v>
      </c>
      <c r="T2" s="63" t="s">
        <v>666</v>
      </c>
      <c r="U2" s="63" t="s">
        <v>670</v>
      </c>
      <c r="V2" s="63" t="s">
        <v>673</v>
      </c>
      <c r="W2" s="63" t="s">
        <v>675</v>
      </c>
      <c r="X2" s="63" t="s">
        <v>678</v>
      </c>
      <c r="Y2" s="63" t="s">
        <v>681</v>
      </c>
      <c r="Z2" s="63" t="s">
        <v>684</v>
      </c>
      <c r="AA2" s="63" t="s">
        <v>686</v>
      </c>
      <c r="AB2" s="63" t="s">
        <v>689</v>
      </c>
      <c r="AC2" s="63" t="s">
        <v>692</v>
      </c>
      <c r="AD2" s="63" t="s">
        <v>695</v>
      </c>
      <c r="AE2" s="63" t="s">
        <v>698</v>
      </c>
      <c r="AF2" s="63" t="s">
        <v>701</v>
      </c>
      <c r="AG2" s="63" t="s">
        <v>706</v>
      </c>
      <c r="AH2" s="63" t="s">
        <v>711</v>
      </c>
      <c r="AI2" s="63" t="s">
        <v>713</v>
      </c>
      <c r="AJ2" s="63" t="s">
        <v>716</v>
      </c>
      <c r="AK2" s="63" t="s">
        <v>721</v>
      </c>
      <c r="AL2" s="63" t="s">
        <v>725</v>
      </c>
      <c r="AM2" s="63" t="s">
        <v>727</v>
      </c>
      <c r="AN2" s="63" t="s">
        <v>730</v>
      </c>
      <c r="AO2" s="63" t="s">
        <v>733</v>
      </c>
      <c r="AP2" s="63" t="s">
        <v>736</v>
      </c>
      <c r="AQ2" s="63" t="s">
        <v>739</v>
      </c>
      <c r="AR2" s="63" t="s">
        <v>742</v>
      </c>
      <c r="AS2" s="63" t="s">
        <v>745</v>
      </c>
      <c r="AT2" s="63" t="s">
        <v>749</v>
      </c>
      <c r="AU2" s="63" t="s">
        <v>754</v>
      </c>
      <c r="AV2" s="63" t="s">
        <v>757</v>
      </c>
      <c r="AW2" s="63" t="s">
        <v>760</v>
      </c>
      <c r="AX2" s="63" t="s">
        <v>763</v>
      </c>
      <c r="AY2" s="63" t="s">
        <v>766</v>
      </c>
      <c r="AZ2" s="63" t="s">
        <v>769</v>
      </c>
      <c r="BA2" s="63" t="s">
        <v>772</v>
      </c>
      <c r="BB2" s="63" t="s">
        <v>775</v>
      </c>
      <c r="BC2" s="63" t="s">
        <v>779</v>
      </c>
      <c r="BD2" s="63" t="s">
        <v>784</v>
      </c>
      <c r="BE2" s="63" t="s">
        <v>786</v>
      </c>
      <c r="BF2" s="63" t="s">
        <v>789</v>
      </c>
      <c r="BG2" s="63" t="s">
        <v>792</v>
      </c>
      <c r="BH2" s="63" t="s">
        <v>795</v>
      </c>
      <c r="BI2" s="63" t="s">
        <v>799</v>
      </c>
      <c r="BJ2" s="63" t="s">
        <v>804</v>
      </c>
      <c r="BK2" s="63" t="s">
        <v>808</v>
      </c>
      <c r="BL2" s="63" t="s">
        <v>810</v>
      </c>
      <c r="BM2" s="63" t="s">
        <v>813</v>
      </c>
      <c r="BN2" s="63" t="s">
        <v>817</v>
      </c>
      <c r="BO2" s="63" t="s">
        <v>822</v>
      </c>
      <c r="BP2" s="63" t="s">
        <v>825</v>
      </c>
      <c r="BQ2" s="63" t="s">
        <v>829</v>
      </c>
      <c r="BR2" s="63" t="s">
        <v>834</v>
      </c>
      <c r="BS2" s="63" t="s">
        <v>836</v>
      </c>
      <c r="BT2" s="63" t="s">
        <v>840</v>
      </c>
      <c r="BU2" s="63" t="s">
        <v>847</v>
      </c>
      <c r="BV2" s="63" t="s">
        <v>851</v>
      </c>
      <c r="BW2" s="63" t="s">
        <v>856</v>
      </c>
      <c r="BX2" s="63" t="s">
        <v>861</v>
      </c>
      <c r="BY2" s="63" t="s">
        <v>866</v>
      </c>
      <c r="BZ2" s="63" t="s">
        <v>872</v>
      </c>
      <c r="CA2" s="63" t="s">
        <v>877</v>
      </c>
      <c r="CB2" s="63" t="s">
        <v>1058</v>
      </c>
      <c r="CC2" s="63" t="s">
        <v>1059</v>
      </c>
      <c r="CD2" s="63" t="s">
        <v>1060</v>
      </c>
      <c r="CE2" s="63" t="s">
        <v>1061</v>
      </c>
      <c r="CF2" s="63" t="s">
        <v>1062</v>
      </c>
      <c r="CG2" s="63" t="s">
        <v>1063</v>
      </c>
      <c r="CH2" s="63" t="s">
        <v>1064</v>
      </c>
      <c r="CI2" s="63" t="s">
        <v>1065</v>
      </c>
      <c r="CJ2" s="63" t="s">
        <v>1066</v>
      </c>
      <c r="CK2" s="63" t="s">
        <v>1067</v>
      </c>
      <c r="CL2" s="63" t="s">
        <v>1068</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IFERROR(AVERAGE(L3,M3,N3,O3,P3,Q3,R3,S3),"")</f>
        <v/>
      </c>
      <c r="CD3" t="str">
        <f t="shared" ref="CD3:CD34" si="2">IFERROR(AVERAGE(T3,U3,V3,W3,X3,Y3,Z3,AA3,AB3,AC3,AD3,AE3,AF3),"")</f>
        <v/>
      </c>
      <c r="CE3" t="str">
        <f t="shared" ref="CE3:CE34" si="3">IFERROR(AVERAGE(AG3,AH3,AI3,AJ3),"")</f>
        <v/>
      </c>
      <c r="CF3" t="str">
        <f t="shared" ref="CF3:CF34" si="4">IFERROR(AVERAGE(D3,AK3,AL3,AM3,AN3,AO3,AP3,AQ3,AR3,AS3),"")</f>
        <v/>
      </c>
      <c r="CG3" t="str">
        <f t="shared" ref="CG3:CG34" si="5">IFERROR(AVERAGE(AT3,AU3,AV3,BB3,AW3,AX3,AY3,AZ3,BA3),"")</f>
        <v/>
      </c>
      <c r="CH3" t="str">
        <f t="shared" ref="CH3:CH34" si="6">IFERROR(AVERAGE(C3,E3,F3,BC3,BH3,BI3,BD3,BE3,BF3,BG3),"")</f>
        <v/>
      </c>
      <c r="CI3" t="str">
        <f t="shared" ref="CI3:CI34" si="7">IFERROR(AVERAGE(BJ3,BK3,BL3,BM3),"")</f>
        <v/>
      </c>
      <c r="CJ3" t="str">
        <f t="shared" ref="CJ3:CJ34" si="8">IFERROR(AVERAGE(G3,BN3,BO3,BP3),"")</f>
        <v/>
      </c>
      <c r="CK3" t="str">
        <f t="shared" ref="CK3:CK34" si="9">IFERROR(AVERAGE(BQ3,BS3,BR3),"")</f>
        <v/>
      </c>
      <c r="CL3" t="str">
        <f t="shared" ref="CL3:CL34" si="10">IFERROR(AVERAGE(BT3,BU3),"")</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 t="shared" si="10"/>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 t="shared" si="10"/>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 t="shared" si="10"/>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 t="shared" si="10"/>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 t="shared" si="10"/>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 t="shared" si="10"/>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 t="shared" si="10"/>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 t="shared" si="10"/>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 t="shared" si="10"/>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 t="shared" si="10"/>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 t="shared" si="10"/>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 t="shared" si="10"/>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 t="shared" si="10"/>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 t="shared" si="10"/>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 t="shared" si="10"/>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 t="shared" si="10"/>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 t="shared" si="10"/>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 t="shared" si="10"/>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 t="shared" si="10"/>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 t="shared" si="10"/>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 t="shared" si="10"/>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 t="shared" si="10"/>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 t="shared" si="10"/>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 t="shared" si="10"/>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 t="shared" si="10"/>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 t="shared" si="10"/>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 t="shared" si="10"/>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 t="shared" si="10"/>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 t="shared" si="10"/>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 t="shared" si="10"/>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 t="shared" si="10"/>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1">IFERROR(AVERAGE(H35,I35,J35,K35),"")</f>
        <v/>
      </c>
      <c r="CC35" t="str">
        <f t="shared" ref="CC35:CC66" si="12">IFERROR(AVERAGE(L35,M35,N35,O35,P35,Q35,R35,S35),"")</f>
        <v/>
      </c>
      <c r="CD35" t="str">
        <f t="shared" ref="CD35:CD66" si="13">IFERROR(AVERAGE(T35,U35,V35,W35,X35,Y35,Z35,AA35,AB35,AC35,AD35,AE35,AF35),"")</f>
        <v/>
      </c>
      <c r="CE35" t="str">
        <f t="shared" ref="CE35:CE66" si="14">IFERROR(AVERAGE(AG35,AH35,AI35,AJ35),"")</f>
        <v/>
      </c>
      <c r="CF35" t="str">
        <f t="shared" ref="CF35:CF66" si="15">IFERROR(AVERAGE(D35,AK35,AL35,AM35,AN35,AO35,AP35,AQ35,AR35,AS35),"")</f>
        <v/>
      </c>
      <c r="CG35" t="str">
        <f t="shared" ref="CG35:CG66" si="16">IFERROR(AVERAGE(AT35,AU35,AV35,BB35,AW35,AX35,AY35,AZ35,BA35),"")</f>
        <v/>
      </c>
      <c r="CH35" t="str">
        <f t="shared" ref="CH35:CH66" si="17">IFERROR(AVERAGE(C35,E35,F35,BC35,BH35,BI35,BD35,BE35,BF35,BG35),"")</f>
        <v/>
      </c>
      <c r="CI35" t="str">
        <f t="shared" ref="CI35:CI66" si="18">IFERROR(AVERAGE(BJ35,BK35,BL35,BM35),"")</f>
        <v/>
      </c>
      <c r="CJ35" t="str">
        <f t="shared" ref="CJ35:CJ66" si="19">IFERROR(AVERAGE(G35,BN35,BO35,BP35),"")</f>
        <v/>
      </c>
      <c r="CK35" t="str">
        <f t="shared" ref="CK35:CK66" si="20">IFERROR(AVERAGE(BQ35,BS35,BR35),"")</f>
        <v/>
      </c>
      <c r="CL35" t="str">
        <f t="shared" ref="CL35:CL66" si="21">IFERROR(AVERAGE(BT35,BU35),"")</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1"/>
        <v/>
      </c>
      <c r="CC36" t="str">
        <f t="shared" si="12"/>
        <v/>
      </c>
      <c r="CD36" t="str">
        <f t="shared" si="13"/>
        <v/>
      </c>
      <c r="CE36" t="str">
        <f t="shared" si="14"/>
        <v/>
      </c>
      <c r="CF36" t="str">
        <f t="shared" si="15"/>
        <v/>
      </c>
      <c r="CG36" t="str">
        <f t="shared" si="16"/>
        <v/>
      </c>
      <c r="CH36" t="str">
        <f t="shared" si="17"/>
        <v/>
      </c>
      <c r="CI36" t="str">
        <f t="shared" si="18"/>
        <v/>
      </c>
      <c r="CJ36" t="str">
        <f t="shared" si="19"/>
        <v/>
      </c>
      <c r="CK36" t="str">
        <f t="shared" si="20"/>
        <v/>
      </c>
      <c r="CL36" t="str">
        <f t="shared" si="21"/>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1"/>
        <v/>
      </c>
      <c r="CC37" t="str">
        <f t="shared" si="12"/>
        <v/>
      </c>
      <c r="CD37" t="str">
        <f t="shared" si="13"/>
        <v/>
      </c>
      <c r="CE37" t="str">
        <f t="shared" si="14"/>
        <v/>
      </c>
      <c r="CF37" t="str">
        <f t="shared" si="15"/>
        <v/>
      </c>
      <c r="CG37" t="str">
        <f t="shared" si="16"/>
        <v/>
      </c>
      <c r="CH37" t="str">
        <f t="shared" si="17"/>
        <v/>
      </c>
      <c r="CI37" t="str">
        <f t="shared" si="18"/>
        <v/>
      </c>
      <c r="CJ37" t="str">
        <f t="shared" si="19"/>
        <v/>
      </c>
      <c r="CK37" t="str">
        <f t="shared" si="20"/>
        <v/>
      </c>
      <c r="CL37" t="str">
        <f t="shared" si="21"/>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1"/>
        <v/>
      </c>
      <c r="CC38" t="str">
        <f t="shared" si="12"/>
        <v/>
      </c>
      <c r="CD38" t="str">
        <f t="shared" si="13"/>
        <v/>
      </c>
      <c r="CE38" t="str">
        <f t="shared" si="14"/>
        <v/>
      </c>
      <c r="CF38" t="str">
        <f t="shared" si="15"/>
        <v/>
      </c>
      <c r="CG38" t="str">
        <f t="shared" si="16"/>
        <v/>
      </c>
      <c r="CH38" t="str">
        <f t="shared" si="17"/>
        <v/>
      </c>
      <c r="CI38" t="str">
        <f t="shared" si="18"/>
        <v/>
      </c>
      <c r="CJ38" t="str">
        <f t="shared" si="19"/>
        <v/>
      </c>
      <c r="CK38" t="str">
        <f t="shared" si="20"/>
        <v/>
      </c>
      <c r="CL38" t="str">
        <f t="shared" si="21"/>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1"/>
        <v/>
      </c>
      <c r="CC39" t="str">
        <f t="shared" si="12"/>
        <v/>
      </c>
      <c r="CD39" t="str">
        <f t="shared" si="13"/>
        <v/>
      </c>
      <c r="CE39" t="str">
        <f t="shared" si="14"/>
        <v/>
      </c>
      <c r="CF39" t="str">
        <f t="shared" si="15"/>
        <v/>
      </c>
      <c r="CG39" t="str">
        <f t="shared" si="16"/>
        <v/>
      </c>
      <c r="CH39" t="str">
        <f t="shared" si="17"/>
        <v/>
      </c>
      <c r="CI39" t="str">
        <f t="shared" si="18"/>
        <v/>
      </c>
      <c r="CJ39" t="str">
        <f t="shared" si="19"/>
        <v/>
      </c>
      <c r="CK39" t="str">
        <f t="shared" si="20"/>
        <v/>
      </c>
      <c r="CL39" t="str">
        <f t="shared" si="21"/>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1"/>
        <v/>
      </c>
      <c r="CC40" t="str">
        <f t="shared" si="12"/>
        <v/>
      </c>
      <c r="CD40" t="str">
        <f t="shared" si="13"/>
        <v/>
      </c>
      <c r="CE40" t="str">
        <f t="shared" si="14"/>
        <v/>
      </c>
      <c r="CF40" t="str">
        <f t="shared" si="15"/>
        <v/>
      </c>
      <c r="CG40" t="str">
        <f t="shared" si="16"/>
        <v/>
      </c>
      <c r="CH40" t="str">
        <f t="shared" si="17"/>
        <v/>
      </c>
      <c r="CI40" t="str">
        <f t="shared" si="18"/>
        <v/>
      </c>
      <c r="CJ40" t="str">
        <f t="shared" si="19"/>
        <v/>
      </c>
      <c r="CK40" t="str">
        <f t="shared" si="20"/>
        <v/>
      </c>
      <c r="CL40" t="str">
        <f t="shared" si="21"/>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1"/>
        <v/>
      </c>
      <c r="CC41" t="str">
        <f t="shared" si="12"/>
        <v/>
      </c>
      <c r="CD41" t="str">
        <f t="shared" si="13"/>
        <v/>
      </c>
      <c r="CE41" t="str">
        <f t="shared" si="14"/>
        <v/>
      </c>
      <c r="CF41" t="str">
        <f t="shared" si="15"/>
        <v/>
      </c>
      <c r="CG41" t="str">
        <f t="shared" si="16"/>
        <v/>
      </c>
      <c r="CH41" t="str">
        <f t="shared" si="17"/>
        <v/>
      </c>
      <c r="CI41" t="str">
        <f t="shared" si="18"/>
        <v/>
      </c>
      <c r="CJ41" t="str">
        <f t="shared" si="19"/>
        <v/>
      </c>
      <c r="CK41" t="str">
        <f t="shared" si="20"/>
        <v/>
      </c>
      <c r="CL41" t="str">
        <f t="shared" si="21"/>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1"/>
        <v/>
      </c>
      <c r="CC42" t="str">
        <f t="shared" si="12"/>
        <v/>
      </c>
      <c r="CD42" t="str">
        <f t="shared" si="13"/>
        <v/>
      </c>
      <c r="CE42" t="str">
        <f t="shared" si="14"/>
        <v/>
      </c>
      <c r="CF42" t="str">
        <f t="shared" si="15"/>
        <v/>
      </c>
      <c r="CG42" t="str">
        <f t="shared" si="16"/>
        <v/>
      </c>
      <c r="CH42" t="str">
        <f t="shared" si="17"/>
        <v/>
      </c>
      <c r="CI42" t="str">
        <f t="shared" si="18"/>
        <v/>
      </c>
      <c r="CJ42" t="str">
        <f t="shared" si="19"/>
        <v/>
      </c>
      <c r="CK42" t="str">
        <f t="shared" si="20"/>
        <v/>
      </c>
      <c r="CL42" t="str">
        <f t="shared" si="21"/>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1"/>
        <v/>
      </c>
      <c r="CC43" t="str">
        <f t="shared" si="12"/>
        <v/>
      </c>
      <c r="CD43" t="str">
        <f t="shared" si="13"/>
        <v/>
      </c>
      <c r="CE43" t="str">
        <f t="shared" si="14"/>
        <v/>
      </c>
      <c r="CF43" t="str">
        <f t="shared" si="15"/>
        <v/>
      </c>
      <c r="CG43" t="str">
        <f t="shared" si="16"/>
        <v/>
      </c>
      <c r="CH43" t="str">
        <f t="shared" si="17"/>
        <v/>
      </c>
      <c r="CI43" t="str">
        <f t="shared" si="18"/>
        <v/>
      </c>
      <c r="CJ43" t="str">
        <f t="shared" si="19"/>
        <v/>
      </c>
      <c r="CK43" t="str">
        <f t="shared" si="20"/>
        <v/>
      </c>
      <c r="CL43" t="str">
        <f t="shared" si="21"/>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1"/>
        <v/>
      </c>
      <c r="CC44" t="str">
        <f t="shared" si="12"/>
        <v/>
      </c>
      <c r="CD44" t="str">
        <f t="shared" si="13"/>
        <v/>
      </c>
      <c r="CE44" t="str">
        <f t="shared" si="14"/>
        <v/>
      </c>
      <c r="CF44" t="str">
        <f t="shared" si="15"/>
        <v/>
      </c>
      <c r="CG44" t="str">
        <f t="shared" si="16"/>
        <v/>
      </c>
      <c r="CH44" t="str">
        <f t="shared" si="17"/>
        <v/>
      </c>
      <c r="CI44" t="str">
        <f t="shared" si="18"/>
        <v/>
      </c>
      <c r="CJ44" t="str">
        <f t="shared" si="19"/>
        <v/>
      </c>
      <c r="CK44" t="str">
        <f t="shared" si="20"/>
        <v/>
      </c>
      <c r="CL44" t="str">
        <f t="shared" si="21"/>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1"/>
        <v/>
      </c>
      <c r="CC45" t="str">
        <f t="shared" si="12"/>
        <v/>
      </c>
      <c r="CD45" t="str">
        <f t="shared" si="13"/>
        <v/>
      </c>
      <c r="CE45" t="str">
        <f t="shared" si="14"/>
        <v/>
      </c>
      <c r="CF45" t="str">
        <f t="shared" si="15"/>
        <v/>
      </c>
      <c r="CG45" t="str">
        <f t="shared" si="16"/>
        <v/>
      </c>
      <c r="CH45" t="str">
        <f t="shared" si="17"/>
        <v/>
      </c>
      <c r="CI45" t="str">
        <f t="shared" si="18"/>
        <v/>
      </c>
      <c r="CJ45" t="str">
        <f t="shared" si="19"/>
        <v/>
      </c>
      <c r="CK45" t="str">
        <f t="shared" si="20"/>
        <v/>
      </c>
      <c r="CL45" t="str">
        <f t="shared" si="21"/>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1"/>
        <v/>
      </c>
      <c r="CC46" t="str">
        <f t="shared" si="12"/>
        <v/>
      </c>
      <c r="CD46" t="str">
        <f t="shared" si="13"/>
        <v/>
      </c>
      <c r="CE46" t="str">
        <f t="shared" si="14"/>
        <v/>
      </c>
      <c r="CF46" t="str">
        <f t="shared" si="15"/>
        <v/>
      </c>
      <c r="CG46" t="str">
        <f t="shared" si="16"/>
        <v/>
      </c>
      <c r="CH46" t="str">
        <f t="shared" si="17"/>
        <v/>
      </c>
      <c r="CI46" t="str">
        <f t="shared" si="18"/>
        <v/>
      </c>
      <c r="CJ46" t="str">
        <f t="shared" si="19"/>
        <v/>
      </c>
      <c r="CK46" t="str">
        <f t="shared" si="20"/>
        <v/>
      </c>
      <c r="CL46" t="str">
        <f t="shared" si="21"/>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1"/>
        <v/>
      </c>
      <c r="CC47" t="str">
        <f t="shared" si="12"/>
        <v/>
      </c>
      <c r="CD47" t="str">
        <f t="shared" si="13"/>
        <v/>
      </c>
      <c r="CE47" t="str">
        <f t="shared" si="14"/>
        <v/>
      </c>
      <c r="CF47" t="str">
        <f t="shared" si="15"/>
        <v/>
      </c>
      <c r="CG47" t="str">
        <f t="shared" si="16"/>
        <v/>
      </c>
      <c r="CH47" t="str">
        <f t="shared" si="17"/>
        <v/>
      </c>
      <c r="CI47" t="str">
        <f t="shared" si="18"/>
        <v/>
      </c>
      <c r="CJ47" t="str">
        <f t="shared" si="19"/>
        <v/>
      </c>
      <c r="CK47" t="str">
        <f t="shared" si="20"/>
        <v/>
      </c>
      <c r="CL47" t="str">
        <f t="shared" si="21"/>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1"/>
        <v/>
      </c>
      <c r="CC48" t="str">
        <f t="shared" si="12"/>
        <v/>
      </c>
      <c r="CD48" t="str">
        <f t="shared" si="13"/>
        <v/>
      </c>
      <c r="CE48" t="str">
        <f t="shared" si="14"/>
        <v/>
      </c>
      <c r="CF48" t="str">
        <f t="shared" si="15"/>
        <v/>
      </c>
      <c r="CG48" t="str">
        <f t="shared" si="16"/>
        <v/>
      </c>
      <c r="CH48" t="str">
        <f t="shared" si="17"/>
        <v/>
      </c>
      <c r="CI48" t="str">
        <f t="shared" si="18"/>
        <v/>
      </c>
      <c r="CJ48" t="str">
        <f t="shared" si="19"/>
        <v/>
      </c>
      <c r="CK48" t="str">
        <f t="shared" si="20"/>
        <v/>
      </c>
      <c r="CL48" t="str">
        <f t="shared" si="21"/>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1"/>
        <v/>
      </c>
      <c r="CC49" t="str">
        <f t="shared" si="12"/>
        <v/>
      </c>
      <c r="CD49" t="str">
        <f t="shared" si="13"/>
        <v/>
      </c>
      <c r="CE49" t="str">
        <f t="shared" si="14"/>
        <v/>
      </c>
      <c r="CF49" t="str">
        <f t="shared" si="15"/>
        <v/>
      </c>
      <c r="CG49" t="str">
        <f t="shared" si="16"/>
        <v/>
      </c>
      <c r="CH49" t="str">
        <f t="shared" si="17"/>
        <v/>
      </c>
      <c r="CI49" t="str">
        <f t="shared" si="18"/>
        <v/>
      </c>
      <c r="CJ49" t="str">
        <f t="shared" si="19"/>
        <v/>
      </c>
      <c r="CK49" t="str">
        <f t="shared" si="20"/>
        <v/>
      </c>
      <c r="CL49" t="str">
        <f t="shared" si="21"/>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1"/>
        <v/>
      </c>
      <c r="CC50" t="str">
        <f t="shared" si="12"/>
        <v/>
      </c>
      <c r="CD50" t="str">
        <f t="shared" si="13"/>
        <v/>
      </c>
      <c r="CE50" t="str">
        <f t="shared" si="14"/>
        <v/>
      </c>
      <c r="CF50" t="str">
        <f t="shared" si="15"/>
        <v/>
      </c>
      <c r="CG50" t="str">
        <f t="shared" si="16"/>
        <v/>
      </c>
      <c r="CH50" t="str">
        <f t="shared" si="17"/>
        <v/>
      </c>
      <c r="CI50" t="str">
        <f t="shared" si="18"/>
        <v/>
      </c>
      <c r="CJ50" t="str">
        <f t="shared" si="19"/>
        <v/>
      </c>
      <c r="CK50" t="str">
        <f t="shared" si="20"/>
        <v/>
      </c>
      <c r="CL50" t="str">
        <f t="shared" si="21"/>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1"/>
        <v/>
      </c>
      <c r="CC51" t="str">
        <f t="shared" si="12"/>
        <v/>
      </c>
      <c r="CD51" t="str">
        <f t="shared" si="13"/>
        <v/>
      </c>
      <c r="CE51" t="str">
        <f t="shared" si="14"/>
        <v/>
      </c>
      <c r="CF51" t="str">
        <f t="shared" si="15"/>
        <v/>
      </c>
      <c r="CG51" t="str">
        <f t="shared" si="16"/>
        <v/>
      </c>
      <c r="CH51" t="str">
        <f t="shared" si="17"/>
        <v/>
      </c>
      <c r="CI51" t="str">
        <f t="shared" si="18"/>
        <v/>
      </c>
      <c r="CJ51" t="str">
        <f t="shared" si="19"/>
        <v/>
      </c>
      <c r="CK51" t="str">
        <f t="shared" si="20"/>
        <v/>
      </c>
      <c r="CL51" t="str">
        <f t="shared" si="21"/>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1"/>
        <v/>
      </c>
      <c r="CC52" t="str">
        <f t="shared" si="12"/>
        <v/>
      </c>
      <c r="CD52" t="str">
        <f t="shared" si="13"/>
        <v/>
      </c>
      <c r="CE52" t="str">
        <f t="shared" si="14"/>
        <v/>
      </c>
      <c r="CF52" t="str">
        <f t="shared" si="15"/>
        <v/>
      </c>
      <c r="CG52" t="str">
        <f t="shared" si="16"/>
        <v/>
      </c>
      <c r="CH52" t="str">
        <f t="shared" si="17"/>
        <v/>
      </c>
      <c r="CI52" t="str">
        <f t="shared" si="18"/>
        <v/>
      </c>
      <c r="CJ52" t="str">
        <f t="shared" si="19"/>
        <v/>
      </c>
      <c r="CK52" t="str">
        <f t="shared" si="20"/>
        <v/>
      </c>
      <c r="CL52" t="str">
        <f t="shared" si="21"/>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1"/>
        <v/>
      </c>
      <c r="CC53" t="str">
        <f t="shared" si="12"/>
        <v/>
      </c>
      <c r="CD53" t="str">
        <f t="shared" si="13"/>
        <v/>
      </c>
      <c r="CE53" t="str">
        <f t="shared" si="14"/>
        <v/>
      </c>
      <c r="CF53" t="str">
        <f t="shared" si="15"/>
        <v/>
      </c>
      <c r="CG53" t="str">
        <f t="shared" si="16"/>
        <v/>
      </c>
      <c r="CH53" t="str">
        <f t="shared" si="17"/>
        <v/>
      </c>
      <c r="CI53" t="str">
        <f t="shared" si="18"/>
        <v/>
      </c>
      <c r="CJ53" t="str">
        <f t="shared" si="19"/>
        <v/>
      </c>
      <c r="CK53" t="str">
        <f t="shared" si="20"/>
        <v/>
      </c>
      <c r="CL53" t="str">
        <f t="shared" si="21"/>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1"/>
        <v/>
      </c>
      <c r="CC54" t="str">
        <f t="shared" si="12"/>
        <v/>
      </c>
      <c r="CD54" t="str">
        <f t="shared" si="13"/>
        <v/>
      </c>
      <c r="CE54" t="str">
        <f t="shared" si="14"/>
        <v/>
      </c>
      <c r="CF54" t="str">
        <f t="shared" si="15"/>
        <v/>
      </c>
      <c r="CG54" t="str">
        <f t="shared" si="16"/>
        <v/>
      </c>
      <c r="CH54" t="str">
        <f t="shared" si="17"/>
        <v/>
      </c>
      <c r="CI54" t="str">
        <f t="shared" si="18"/>
        <v/>
      </c>
      <c r="CJ54" t="str">
        <f t="shared" si="19"/>
        <v/>
      </c>
      <c r="CK54" t="str">
        <f t="shared" si="20"/>
        <v/>
      </c>
      <c r="CL54" t="str">
        <f t="shared" si="21"/>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1"/>
        <v/>
      </c>
      <c r="CC55" t="str">
        <f t="shared" si="12"/>
        <v/>
      </c>
      <c r="CD55" t="str">
        <f t="shared" si="13"/>
        <v/>
      </c>
      <c r="CE55" t="str">
        <f t="shared" si="14"/>
        <v/>
      </c>
      <c r="CF55" t="str">
        <f t="shared" si="15"/>
        <v/>
      </c>
      <c r="CG55" t="str">
        <f t="shared" si="16"/>
        <v/>
      </c>
      <c r="CH55" t="str">
        <f t="shared" si="17"/>
        <v/>
      </c>
      <c r="CI55" t="str">
        <f t="shared" si="18"/>
        <v/>
      </c>
      <c r="CJ55" t="str">
        <f t="shared" si="19"/>
        <v/>
      </c>
      <c r="CK55" t="str">
        <f t="shared" si="20"/>
        <v/>
      </c>
      <c r="CL55" t="str">
        <f t="shared" si="21"/>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1"/>
        <v/>
      </c>
      <c r="CC56" t="str">
        <f t="shared" si="12"/>
        <v/>
      </c>
      <c r="CD56" t="str">
        <f t="shared" si="13"/>
        <v/>
      </c>
      <c r="CE56" t="str">
        <f t="shared" si="14"/>
        <v/>
      </c>
      <c r="CF56" t="str">
        <f t="shared" si="15"/>
        <v/>
      </c>
      <c r="CG56" t="str">
        <f t="shared" si="16"/>
        <v/>
      </c>
      <c r="CH56" t="str">
        <f t="shared" si="17"/>
        <v/>
      </c>
      <c r="CI56" t="str">
        <f t="shared" si="18"/>
        <v/>
      </c>
      <c r="CJ56" t="str">
        <f t="shared" si="19"/>
        <v/>
      </c>
      <c r="CK56" t="str">
        <f t="shared" si="20"/>
        <v/>
      </c>
      <c r="CL56" t="str">
        <f t="shared" si="21"/>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1"/>
        <v/>
      </c>
      <c r="CC57" t="str">
        <f t="shared" si="12"/>
        <v/>
      </c>
      <c r="CD57" t="str">
        <f t="shared" si="13"/>
        <v/>
      </c>
      <c r="CE57" t="str">
        <f t="shared" si="14"/>
        <v/>
      </c>
      <c r="CF57" t="str">
        <f t="shared" si="15"/>
        <v/>
      </c>
      <c r="CG57" t="str">
        <f t="shared" si="16"/>
        <v/>
      </c>
      <c r="CH57" t="str">
        <f t="shared" si="17"/>
        <v/>
      </c>
      <c r="CI57" t="str">
        <f t="shared" si="18"/>
        <v/>
      </c>
      <c r="CJ57" t="str">
        <f t="shared" si="19"/>
        <v/>
      </c>
      <c r="CK57" t="str">
        <f t="shared" si="20"/>
        <v/>
      </c>
      <c r="CL57" t="str">
        <f t="shared" si="21"/>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1"/>
        <v/>
      </c>
      <c r="CC58" t="str">
        <f t="shared" si="12"/>
        <v/>
      </c>
      <c r="CD58" t="str">
        <f t="shared" si="13"/>
        <v/>
      </c>
      <c r="CE58" t="str">
        <f t="shared" si="14"/>
        <v/>
      </c>
      <c r="CF58" t="str">
        <f t="shared" si="15"/>
        <v/>
      </c>
      <c r="CG58" t="str">
        <f t="shared" si="16"/>
        <v/>
      </c>
      <c r="CH58" t="str">
        <f t="shared" si="17"/>
        <v/>
      </c>
      <c r="CI58" t="str">
        <f t="shared" si="18"/>
        <v/>
      </c>
      <c r="CJ58" t="str">
        <f t="shared" si="19"/>
        <v/>
      </c>
      <c r="CK58" t="str">
        <f t="shared" si="20"/>
        <v/>
      </c>
      <c r="CL58" t="str">
        <f t="shared" si="21"/>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1"/>
        <v/>
      </c>
      <c r="CC59" t="str">
        <f t="shared" si="12"/>
        <v/>
      </c>
      <c r="CD59" t="str">
        <f t="shared" si="13"/>
        <v/>
      </c>
      <c r="CE59" t="str">
        <f t="shared" si="14"/>
        <v/>
      </c>
      <c r="CF59" t="str">
        <f t="shared" si="15"/>
        <v/>
      </c>
      <c r="CG59" t="str">
        <f t="shared" si="16"/>
        <v/>
      </c>
      <c r="CH59" t="str">
        <f t="shared" si="17"/>
        <v/>
      </c>
      <c r="CI59" t="str">
        <f t="shared" si="18"/>
        <v/>
      </c>
      <c r="CJ59" t="str">
        <f t="shared" si="19"/>
        <v/>
      </c>
      <c r="CK59" t="str">
        <f t="shared" si="20"/>
        <v/>
      </c>
      <c r="CL59" t="str">
        <f t="shared" si="21"/>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1"/>
        <v/>
      </c>
      <c r="CC60" t="str">
        <f t="shared" si="12"/>
        <v/>
      </c>
      <c r="CD60" t="str">
        <f t="shared" si="13"/>
        <v/>
      </c>
      <c r="CE60" t="str">
        <f t="shared" si="14"/>
        <v/>
      </c>
      <c r="CF60" t="str">
        <f t="shared" si="15"/>
        <v/>
      </c>
      <c r="CG60" t="str">
        <f t="shared" si="16"/>
        <v/>
      </c>
      <c r="CH60" t="str">
        <f t="shared" si="17"/>
        <v/>
      </c>
      <c r="CI60" t="str">
        <f t="shared" si="18"/>
        <v/>
      </c>
      <c r="CJ60" t="str">
        <f t="shared" si="19"/>
        <v/>
      </c>
      <c r="CK60" t="str">
        <f t="shared" si="20"/>
        <v/>
      </c>
      <c r="CL60" t="str">
        <f t="shared" si="21"/>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1"/>
        <v/>
      </c>
      <c r="CC61" t="str">
        <f t="shared" si="12"/>
        <v/>
      </c>
      <c r="CD61" t="str">
        <f t="shared" si="13"/>
        <v/>
      </c>
      <c r="CE61" t="str">
        <f t="shared" si="14"/>
        <v/>
      </c>
      <c r="CF61" t="str">
        <f t="shared" si="15"/>
        <v/>
      </c>
      <c r="CG61" t="str">
        <f t="shared" si="16"/>
        <v/>
      </c>
      <c r="CH61" t="str">
        <f t="shared" si="17"/>
        <v/>
      </c>
      <c r="CI61" t="str">
        <f t="shared" si="18"/>
        <v/>
      </c>
      <c r="CJ61" t="str">
        <f t="shared" si="19"/>
        <v/>
      </c>
      <c r="CK61" t="str">
        <f t="shared" si="20"/>
        <v/>
      </c>
      <c r="CL61" t="str">
        <f t="shared" si="21"/>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1"/>
        <v/>
      </c>
      <c r="CC62" t="str">
        <f t="shared" si="12"/>
        <v/>
      </c>
      <c r="CD62" t="str">
        <f t="shared" si="13"/>
        <v/>
      </c>
      <c r="CE62" t="str">
        <f t="shared" si="14"/>
        <v/>
      </c>
      <c r="CF62" t="str">
        <f t="shared" si="15"/>
        <v/>
      </c>
      <c r="CG62" t="str">
        <f t="shared" si="16"/>
        <v/>
      </c>
      <c r="CH62" t="str">
        <f t="shared" si="17"/>
        <v/>
      </c>
      <c r="CI62" t="str">
        <f t="shared" si="18"/>
        <v/>
      </c>
      <c r="CJ62" t="str">
        <f t="shared" si="19"/>
        <v/>
      </c>
      <c r="CK62" t="str">
        <f t="shared" si="20"/>
        <v/>
      </c>
      <c r="CL62" t="str">
        <f t="shared" si="21"/>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1"/>
        <v/>
      </c>
      <c r="CC63" t="str">
        <f t="shared" si="12"/>
        <v/>
      </c>
      <c r="CD63" t="str">
        <f t="shared" si="13"/>
        <v/>
      </c>
      <c r="CE63" t="str">
        <f t="shared" si="14"/>
        <v/>
      </c>
      <c r="CF63" t="str">
        <f t="shared" si="15"/>
        <v/>
      </c>
      <c r="CG63" t="str">
        <f t="shared" si="16"/>
        <v/>
      </c>
      <c r="CH63" t="str">
        <f t="shared" si="17"/>
        <v/>
      </c>
      <c r="CI63" t="str">
        <f t="shared" si="18"/>
        <v/>
      </c>
      <c r="CJ63" t="str">
        <f t="shared" si="19"/>
        <v/>
      </c>
      <c r="CK63" t="str">
        <f t="shared" si="20"/>
        <v/>
      </c>
      <c r="CL63" t="str">
        <f t="shared" si="21"/>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1"/>
        <v/>
      </c>
      <c r="CC64" t="str">
        <f t="shared" si="12"/>
        <v/>
      </c>
      <c r="CD64" t="str">
        <f t="shared" si="13"/>
        <v/>
      </c>
      <c r="CE64" t="str">
        <f t="shared" si="14"/>
        <v/>
      </c>
      <c r="CF64" t="str">
        <f t="shared" si="15"/>
        <v/>
      </c>
      <c r="CG64" t="str">
        <f t="shared" si="16"/>
        <v/>
      </c>
      <c r="CH64" t="str">
        <f t="shared" si="17"/>
        <v/>
      </c>
      <c r="CI64" t="str">
        <f t="shared" si="18"/>
        <v/>
      </c>
      <c r="CJ64" t="str">
        <f t="shared" si="19"/>
        <v/>
      </c>
      <c r="CK64" t="str">
        <f t="shared" si="20"/>
        <v/>
      </c>
      <c r="CL64" t="str">
        <f t="shared" si="21"/>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1"/>
        <v/>
      </c>
      <c r="CC65" t="str">
        <f t="shared" si="12"/>
        <v/>
      </c>
      <c r="CD65" t="str">
        <f t="shared" si="13"/>
        <v/>
      </c>
      <c r="CE65" t="str">
        <f t="shared" si="14"/>
        <v/>
      </c>
      <c r="CF65" t="str">
        <f t="shared" si="15"/>
        <v/>
      </c>
      <c r="CG65" t="str">
        <f t="shared" si="16"/>
        <v/>
      </c>
      <c r="CH65" t="str">
        <f t="shared" si="17"/>
        <v/>
      </c>
      <c r="CI65" t="str">
        <f t="shared" si="18"/>
        <v/>
      </c>
      <c r="CJ65" t="str">
        <f t="shared" si="19"/>
        <v/>
      </c>
      <c r="CK65" t="str">
        <f t="shared" si="20"/>
        <v/>
      </c>
      <c r="CL65" t="str">
        <f t="shared" si="21"/>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1"/>
        <v/>
      </c>
      <c r="CC66" t="str">
        <f t="shared" si="12"/>
        <v/>
      </c>
      <c r="CD66" t="str">
        <f t="shared" si="13"/>
        <v/>
      </c>
      <c r="CE66" t="str">
        <f t="shared" si="14"/>
        <v/>
      </c>
      <c r="CF66" t="str">
        <f t="shared" si="15"/>
        <v/>
      </c>
      <c r="CG66" t="str">
        <f t="shared" si="16"/>
        <v/>
      </c>
      <c r="CH66" t="str">
        <f t="shared" si="17"/>
        <v/>
      </c>
      <c r="CI66" t="str">
        <f t="shared" si="18"/>
        <v/>
      </c>
      <c r="CJ66" t="str">
        <f t="shared" si="19"/>
        <v/>
      </c>
      <c r="CK66" t="str">
        <f t="shared" si="20"/>
        <v/>
      </c>
      <c r="CL66" t="str">
        <f t="shared" si="21"/>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2">IFERROR(AVERAGE(H67,I67,J67,K67),"")</f>
        <v/>
      </c>
      <c r="CC67" t="str">
        <f t="shared" ref="CC67:CC98" si="23">IFERROR(AVERAGE(L67,M67,N67,O67,P67,Q67,R67,S67),"")</f>
        <v/>
      </c>
      <c r="CD67" t="str">
        <f t="shared" ref="CD67:CD98" si="24">IFERROR(AVERAGE(T67,U67,V67,W67,X67,Y67,Z67,AA67,AB67,AC67,AD67,AE67,AF67),"")</f>
        <v/>
      </c>
      <c r="CE67" t="str">
        <f t="shared" ref="CE67:CE98" si="25">IFERROR(AVERAGE(AG67,AH67,AI67,AJ67),"")</f>
        <v/>
      </c>
      <c r="CF67" t="str">
        <f t="shared" ref="CF67:CF98" si="26">IFERROR(AVERAGE(D67,AK67,AL67,AM67,AN67,AO67,AP67,AQ67,AR67,AS67),"")</f>
        <v/>
      </c>
      <c r="CG67" t="str">
        <f t="shared" ref="CG67:CG98" si="27">IFERROR(AVERAGE(AT67,AU67,AV67,BB67,AW67,AX67,AY67,AZ67,BA67),"")</f>
        <v/>
      </c>
      <c r="CH67" t="str">
        <f t="shared" ref="CH67:CH98" si="28">IFERROR(AVERAGE(C67,E67,F67,BC67,BH67,BI67,BD67,BE67,BF67,BG67),"")</f>
        <v/>
      </c>
      <c r="CI67" t="str">
        <f t="shared" ref="CI67:CI98" si="29">IFERROR(AVERAGE(BJ67,BK67,BL67,BM67),"")</f>
        <v/>
      </c>
      <c r="CJ67" t="str">
        <f t="shared" ref="CJ67:CJ98" si="30">IFERROR(AVERAGE(G67,BN67,BO67,BP67),"")</f>
        <v/>
      </c>
      <c r="CK67" t="str">
        <f t="shared" ref="CK67:CK98" si="31">IFERROR(AVERAGE(BQ67,BS67,BR67),"")</f>
        <v/>
      </c>
      <c r="CL67" t="str">
        <f t="shared" ref="CL67:CL98" si="32">IFERROR(AVERAGE(BT67,BU67),"")</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2"/>
        <v/>
      </c>
      <c r="CC68" t="str">
        <f t="shared" si="23"/>
        <v/>
      </c>
      <c r="CD68" t="str">
        <f t="shared" si="24"/>
        <v/>
      </c>
      <c r="CE68" t="str">
        <f t="shared" si="25"/>
        <v/>
      </c>
      <c r="CF68" t="str">
        <f t="shared" si="26"/>
        <v/>
      </c>
      <c r="CG68" t="str">
        <f t="shared" si="27"/>
        <v/>
      </c>
      <c r="CH68" t="str">
        <f t="shared" si="28"/>
        <v/>
      </c>
      <c r="CI68" t="str">
        <f t="shared" si="29"/>
        <v/>
      </c>
      <c r="CJ68" t="str">
        <f t="shared" si="30"/>
        <v/>
      </c>
      <c r="CK68" t="str">
        <f t="shared" si="31"/>
        <v/>
      </c>
      <c r="CL68" t="str">
        <f t="shared" si="32"/>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2"/>
        <v/>
      </c>
      <c r="CC69" t="str">
        <f t="shared" si="23"/>
        <v/>
      </c>
      <c r="CD69" t="str">
        <f t="shared" si="24"/>
        <v/>
      </c>
      <c r="CE69" t="str">
        <f t="shared" si="25"/>
        <v/>
      </c>
      <c r="CF69" t="str">
        <f t="shared" si="26"/>
        <v/>
      </c>
      <c r="CG69" t="str">
        <f t="shared" si="27"/>
        <v/>
      </c>
      <c r="CH69" t="str">
        <f t="shared" si="28"/>
        <v/>
      </c>
      <c r="CI69" t="str">
        <f t="shared" si="29"/>
        <v/>
      </c>
      <c r="CJ69" t="str">
        <f t="shared" si="30"/>
        <v/>
      </c>
      <c r="CK69" t="str">
        <f t="shared" si="31"/>
        <v/>
      </c>
      <c r="CL69" t="str">
        <f t="shared" si="32"/>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2"/>
        <v/>
      </c>
      <c r="CC70" t="str">
        <f t="shared" si="23"/>
        <v/>
      </c>
      <c r="CD70" t="str">
        <f t="shared" si="24"/>
        <v/>
      </c>
      <c r="CE70" t="str">
        <f t="shared" si="25"/>
        <v/>
      </c>
      <c r="CF70" t="str">
        <f t="shared" si="26"/>
        <v/>
      </c>
      <c r="CG70" t="str">
        <f t="shared" si="27"/>
        <v/>
      </c>
      <c r="CH70" t="str">
        <f t="shared" si="28"/>
        <v/>
      </c>
      <c r="CI70" t="str">
        <f t="shared" si="29"/>
        <v/>
      </c>
      <c r="CJ70" t="str">
        <f t="shared" si="30"/>
        <v/>
      </c>
      <c r="CK70" t="str">
        <f t="shared" si="31"/>
        <v/>
      </c>
      <c r="CL70" t="str">
        <f t="shared" si="32"/>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2"/>
        <v/>
      </c>
      <c r="CC71" t="str">
        <f t="shared" si="23"/>
        <v/>
      </c>
      <c r="CD71" t="str">
        <f t="shared" si="24"/>
        <v/>
      </c>
      <c r="CE71" t="str">
        <f t="shared" si="25"/>
        <v/>
      </c>
      <c r="CF71" t="str">
        <f t="shared" si="26"/>
        <v/>
      </c>
      <c r="CG71" t="str">
        <f t="shared" si="27"/>
        <v/>
      </c>
      <c r="CH71" t="str">
        <f t="shared" si="28"/>
        <v/>
      </c>
      <c r="CI71" t="str">
        <f t="shared" si="29"/>
        <v/>
      </c>
      <c r="CJ71" t="str">
        <f t="shared" si="30"/>
        <v/>
      </c>
      <c r="CK71" t="str">
        <f t="shared" si="31"/>
        <v/>
      </c>
      <c r="CL71" t="str">
        <f t="shared" si="32"/>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2"/>
        <v/>
      </c>
      <c r="CC72" t="str">
        <f t="shared" si="23"/>
        <v/>
      </c>
      <c r="CD72" t="str">
        <f t="shared" si="24"/>
        <v/>
      </c>
      <c r="CE72" t="str">
        <f t="shared" si="25"/>
        <v/>
      </c>
      <c r="CF72" t="str">
        <f t="shared" si="26"/>
        <v/>
      </c>
      <c r="CG72" t="str">
        <f t="shared" si="27"/>
        <v/>
      </c>
      <c r="CH72" t="str">
        <f t="shared" si="28"/>
        <v/>
      </c>
      <c r="CI72" t="str">
        <f t="shared" si="29"/>
        <v/>
      </c>
      <c r="CJ72" t="str">
        <f t="shared" si="30"/>
        <v/>
      </c>
      <c r="CK72" t="str">
        <f t="shared" si="31"/>
        <v/>
      </c>
      <c r="CL72" t="str">
        <f t="shared" si="32"/>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2"/>
        <v/>
      </c>
      <c r="CC73" t="str">
        <f t="shared" si="23"/>
        <v/>
      </c>
      <c r="CD73" t="str">
        <f t="shared" si="24"/>
        <v/>
      </c>
      <c r="CE73" t="str">
        <f t="shared" si="25"/>
        <v/>
      </c>
      <c r="CF73" t="str">
        <f t="shared" si="26"/>
        <v/>
      </c>
      <c r="CG73" t="str">
        <f t="shared" si="27"/>
        <v/>
      </c>
      <c r="CH73" t="str">
        <f t="shared" si="28"/>
        <v/>
      </c>
      <c r="CI73" t="str">
        <f t="shared" si="29"/>
        <v/>
      </c>
      <c r="CJ73" t="str">
        <f t="shared" si="30"/>
        <v/>
      </c>
      <c r="CK73" t="str">
        <f t="shared" si="31"/>
        <v/>
      </c>
      <c r="CL73" t="str">
        <f t="shared" si="32"/>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2"/>
        <v/>
      </c>
      <c r="CC74" t="str">
        <f t="shared" si="23"/>
        <v/>
      </c>
      <c r="CD74" t="str">
        <f t="shared" si="24"/>
        <v/>
      </c>
      <c r="CE74" t="str">
        <f t="shared" si="25"/>
        <v/>
      </c>
      <c r="CF74" t="str">
        <f t="shared" si="26"/>
        <v/>
      </c>
      <c r="CG74" t="str">
        <f t="shared" si="27"/>
        <v/>
      </c>
      <c r="CH74" t="str">
        <f t="shared" si="28"/>
        <v/>
      </c>
      <c r="CI74" t="str">
        <f t="shared" si="29"/>
        <v/>
      </c>
      <c r="CJ74" t="str">
        <f t="shared" si="30"/>
        <v/>
      </c>
      <c r="CK74" t="str">
        <f t="shared" si="31"/>
        <v/>
      </c>
      <c r="CL74" t="str">
        <f t="shared" si="32"/>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2"/>
        <v/>
      </c>
      <c r="CC75" t="str">
        <f t="shared" si="23"/>
        <v/>
      </c>
      <c r="CD75" t="str">
        <f t="shared" si="24"/>
        <v/>
      </c>
      <c r="CE75" t="str">
        <f t="shared" si="25"/>
        <v/>
      </c>
      <c r="CF75" t="str">
        <f t="shared" si="26"/>
        <v/>
      </c>
      <c r="CG75" t="str">
        <f t="shared" si="27"/>
        <v/>
      </c>
      <c r="CH75" t="str">
        <f t="shared" si="28"/>
        <v/>
      </c>
      <c r="CI75" t="str">
        <f t="shared" si="29"/>
        <v/>
      </c>
      <c r="CJ75" t="str">
        <f t="shared" si="30"/>
        <v/>
      </c>
      <c r="CK75" t="str">
        <f t="shared" si="31"/>
        <v/>
      </c>
      <c r="CL75" t="str">
        <f t="shared" si="32"/>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2"/>
        <v/>
      </c>
      <c r="CC76" t="str">
        <f t="shared" si="23"/>
        <v/>
      </c>
      <c r="CD76" t="str">
        <f t="shared" si="24"/>
        <v/>
      </c>
      <c r="CE76" t="str">
        <f t="shared" si="25"/>
        <v/>
      </c>
      <c r="CF76" t="str">
        <f t="shared" si="26"/>
        <v/>
      </c>
      <c r="CG76" t="str">
        <f t="shared" si="27"/>
        <v/>
      </c>
      <c r="CH76" t="str">
        <f t="shared" si="28"/>
        <v/>
      </c>
      <c r="CI76" t="str">
        <f t="shared" si="29"/>
        <v/>
      </c>
      <c r="CJ76" t="str">
        <f t="shared" si="30"/>
        <v/>
      </c>
      <c r="CK76" t="str">
        <f t="shared" si="31"/>
        <v/>
      </c>
      <c r="CL76" t="str">
        <f t="shared" si="32"/>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2"/>
        <v/>
      </c>
      <c r="CC77" t="str">
        <f t="shared" si="23"/>
        <v/>
      </c>
      <c r="CD77" t="str">
        <f t="shared" si="24"/>
        <v/>
      </c>
      <c r="CE77" t="str">
        <f t="shared" si="25"/>
        <v/>
      </c>
      <c r="CF77" t="str">
        <f t="shared" si="26"/>
        <v/>
      </c>
      <c r="CG77" t="str">
        <f t="shared" si="27"/>
        <v/>
      </c>
      <c r="CH77" t="str">
        <f t="shared" si="28"/>
        <v/>
      </c>
      <c r="CI77" t="str">
        <f t="shared" si="29"/>
        <v/>
      </c>
      <c r="CJ77" t="str">
        <f t="shared" si="30"/>
        <v/>
      </c>
      <c r="CK77" t="str">
        <f t="shared" si="31"/>
        <v/>
      </c>
      <c r="CL77" t="str">
        <f t="shared" si="32"/>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2"/>
        <v/>
      </c>
      <c r="CC78" t="str">
        <f t="shared" si="23"/>
        <v/>
      </c>
      <c r="CD78" t="str">
        <f t="shared" si="24"/>
        <v/>
      </c>
      <c r="CE78" t="str">
        <f t="shared" si="25"/>
        <v/>
      </c>
      <c r="CF78" t="str">
        <f t="shared" si="26"/>
        <v/>
      </c>
      <c r="CG78" t="str">
        <f t="shared" si="27"/>
        <v/>
      </c>
      <c r="CH78" t="str">
        <f t="shared" si="28"/>
        <v/>
      </c>
      <c r="CI78" t="str">
        <f t="shared" si="29"/>
        <v/>
      </c>
      <c r="CJ78" t="str">
        <f t="shared" si="30"/>
        <v/>
      </c>
      <c r="CK78" t="str">
        <f t="shared" si="31"/>
        <v/>
      </c>
      <c r="CL78" t="str">
        <f t="shared" si="32"/>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2"/>
        <v/>
      </c>
      <c r="CC79" t="str">
        <f t="shared" si="23"/>
        <v/>
      </c>
      <c r="CD79" t="str">
        <f t="shared" si="24"/>
        <v/>
      </c>
      <c r="CE79" t="str">
        <f t="shared" si="25"/>
        <v/>
      </c>
      <c r="CF79" t="str">
        <f t="shared" si="26"/>
        <v/>
      </c>
      <c r="CG79" t="str">
        <f t="shared" si="27"/>
        <v/>
      </c>
      <c r="CH79" t="str">
        <f t="shared" si="28"/>
        <v/>
      </c>
      <c r="CI79" t="str">
        <f t="shared" si="29"/>
        <v/>
      </c>
      <c r="CJ79" t="str">
        <f t="shared" si="30"/>
        <v/>
      </c>
      <c r="CK79" t="str">
        <f t="shared" si="31"/>
        <v/>
      </c>
      <c r="CL79" t="str">
        <f t="shared" si="32"/>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2"/>
        <v/>
      </c>
      <c r="CC80" t="str">
        <f t="shared" si="23"/>
        <v/>
      </c>
      <c r="CD80" t="str">
        <f t="shared" si="24"/>
        <v/>
      </c>
      <c r="CE80" t="str">
        <f t="shared" si="25"/>
        <v/>
      </c>
      <c r="CF80" t="str">
        <f t="shared" si="26"/>
        <v/>
      </c>
      <c r="CG80" t="str">
        <f t="shared" si="27"/>
        <v/>
      </c>
      <c r="CH80" t="str">
        <f t="shared" si="28"/>
        <v/>
      </c>
      <c r="CI80" t="str">
        <f t="shared" si="29"/>
        <v/>
      </c>
      <c r="CJ80" t="str">
        <f t="shared" si="30"/>
        <v/>
      </c>
      <c r="CK80" t="str">
        <f t="shared" si="31"/>
        <v/>
      </c>
      <c r="CL80" t="str">
        <f t="shared" si="32"/>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2"/>
        <v/>
      </c>
      <c r="CC81" t="str">
        <f t="shared" si="23"/>
        <v/>
      </c>
      <c r="CD81" t="str">
        <f t="shared" si="24"/>
        <v/>
      </c>
      <c r="CE81" t="str">
        <f t="shared" si="25"/>
        <v/>
      </c>
      <c r="CF81" t="str">
        <f t="shared" si="26"/>
        <v/>
      </c>
      <c r="CG81" t="str">
        <f t="shared" si="27"/>
        <v/>
      </c>
      <c r="CH81" t="str">
        <f t="shared" si="28"/>
        <v/>
      </c>
      <c r="CI81" t="str">
        <f t="shared" si="29"/>
        <v/>
      </c>
      <c r="CJ81" t="str">
        <f t="shared" si="30"/>
        <v/>
      </c>
      <c r="CK81" t="str">
        <f t="shared" si="31"/>
        <v/>
      </c>
      <c r="CL81" t="str">
        <f t="shared" si="32"/>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2"/>
        <v/>
      </c>
      <c r="CC82" t="str">
        <f t="shared" si="23"/>
        <v/>
      </c>
      <c r="CD82" t="str">
        <f t="shared" si="24"/>
        <v/>
      </c>
      <c r="CE82" t="str">
        <f t="shared" si="25"/>
        <v/>
      </c>
      <c r="CF82" t="str">
        <f t="shared" si="26"/>
        <v/>
      </c>
      <c r="CG82" t="str">
        <f t="shared" si="27"/>
        <v/>
      </c>
      <c r="CH82" t="str">
        <f t="shared" si="28"/>
        <v/>
      </c>
      <c r="CI82" t="str">
        <f t="shared" si="29"/>
        <v/>
      </c>
      <c r="CJ82" t="str">
        <f t="shared" si="30"/>
        <v/>
      </c>
      <c r="CK82" t="str">
        <f t="shared" si="31"/>
        <v/>
      </c>
      <c r="CL82" t="str">
        <f t="shared" si="32"/>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2"/>
        <v/>
      </c>
      <c r="CC83" t="str">
        <f t="shared" si="23"/>
        <v/>
      </c>
      <c r="CD83" t="str">
        <f t="shared" si="24"/>
        <v/>
      </c>
      <c r="CE83" t="str">
        <f t="shared" si="25"/>
        <v/>
      </c>
      <c r="CF83" t="str">
        <f t="shared" si="26"/>
        <v/>
      </c>
      <c r="CG83" t="str">
        <f t="shared" si="27"/>
        <v/>
      </c>
      <c r="CH83" t="str">
        <f t="shared" si="28"/>
        <v/>
      </c>
      <c r="CI83" t="str">
        <f t="shared" si="29"/>
        <v/>
      </c>
      <c r="CJ83" t="str">
        <f t="shared" si="30"/>
        <v/>
      </c>
      <c r="CK83" t="str">
        <f t="shared" si="31"/>
        <v/>
      </c>
      <c r="CL83" t="str">
        <f t="shared" si="32"/>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2"/>
        <v/>
      </c>
      <c r="CC84" t="str">
        <f t="shared" si="23"/>
        <v/>
      </c>
      <c r="CD84" t="str">
        <f t="shared" si="24"/>
        <v/>
      </c>
      <c r="CE84" t="str">
        <f t="shared" si="25"/>
        <v/>
      </c>
      <c r="CF84" t="str">
        <f t="shared" si="26"/>
        <v/>
      </c>
      <c r="CG84" t="str">
        <f t="shared" si="27"/>
        <v/>
      </c>
      <c r="CH84" t="str">
        <f t="shared" si="28"/>
        <v/>
      </c>
      <c r="CI84" t="str">
        <f t="shared" si="29"/>
        <v/>
      </c>
      <c r="CJ84" t="str">
        <f t="shared" si="30"/>
        <v/>
      </c>
      <c r="CK84" t="str">
        <f t="shared" si="31"/>
        <v/>
      </c>
      <c r="CL84" t="str">
        <f t="shared" si="32"/>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2"/>
        <v/>
      </c>
      <c r="CC85" t="str">
        <f t="shared" si="23"/>
        <v/>
      </c>
      <c r="CD85" t="str">
        <f t="shared" si="24"/>
        <v/>
      </c>
      <c r="CE85" t="str">
        <f t="shared" si="25"/>
        <v/>
      </c>
      <c r="CF85" t="str">
        <f t="shared" si="26"/>
        <v/>
      </c>
      <c r="CG85" t="str">
        <f t="shared" si="27"/>
        <v/>
      </c>
      <c r="CH85" t="str">
        <f t="shared" si="28"/>
        <v/>
      </c>
      <c r="CI85" t="str">
        <f t="shared" si="29"/>
        <v/>
      </c>
      <c r="CJ85" t="str">
        <f t="shared" si="30"/>
        <v/>
      </c>
      <c r="CK85" t="str">
        <f t="shared" si="31"/>
        <v/>
      </c>
      <c r="CL85" t="str">
        <f t="shared" si="32"/>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2"/>
        <v/>
      </c>
      <c r="CC86" t="str">
        <f t="shared" si="23"/>
        <v/>
      </c>
      <c r="CD86" t="str">
        <f t="shared" si="24"/>
        <v/>
      </c>
      <c r="CE86" t="str">
        <f t="shared" si="25"/>
        <v/>
      </c>
      <c r="CF86" t="str">
        <f t="shared" si="26"/>
        <v/>
      </c>
      <c r="CG86" t="str">
        <f t="shared" si="27"/>
        <v/>
      </c>
      <c r="CH86" t="str">
        <f t="shared" si="28"/>
        <v/>
      </c>
      <c r="CI86" t="str">
        <f t="shared" si="29"/>
        <v/>
      </c>
      <c r="CJ86" t="str">
        <f t="shared" si="30"/>
        <v/>
      </c>
      <c r="CK86" t="str">
        <f t="shared" si="31"/>
        <v/>
      </c>
      <c r="CL86" t="str">
        <f t="shared" si="32"/>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2"/>
        <v/>
      </c>
      <c r="CC87" t="str">
        <f t="shared" si="23"/>
        <v/>
      </c>
      <c r="CD87" t="str">
        <f t="shared" si="24"/>
        <v/>
      </c>
      <c r="CE87" t="str">
        <f t="shared" si="25"/>
        <v/>
      </c>
      <c r="CF87" t="str">
        <f t="shared" si="26"/>
        <v/>
      </c>
      <c r="CG87" t="str">
        <f t="shared" si="27"/>
        <v/>
      </c>
      <c r="CH87" t="str">
        <f t="shared" si="28"/>
        <v/>
      </c>
      <c r="CI87" t="str">
        <f t="shared" si="29"/>
        <v/>
      </c>
      <c r="CJ87" t="str">
        <f t="shared" si="30"/>
        <v/>
      </c>
      <c r="CK87" t="str">
        <f t="shared" si="31"/>
        <v/>
      </c>
      <c r="CL87" t="str">
        <f t="shared" si="32"/>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2"/>
        <v/>
      </c>
      <c r="CC88" t="str">
        <f t="shared" si="23"/>
        <v/>
      </c>
      <c r="CD88" t="str">
        <f t="shared" si="24"/>
        <v/>
      </c>
      <c r="CE88" t="str">
        <f t="shared" si="25"/>
        <v/>
      </c>
      <c r="CF88" t="str">
        <f t="shared" si="26"/>
        <v/>
      </c>
      <c r="CG88" t="str">
        <f t="shared" si="27"/>
        <v/>
      </c>
      <c r="CH88" t="str">
        <f t="shared" si="28"/>
        <v/>
      </c>
      <c r="CI88" t="str">
        <f t="shared" si="29"/>
        <v/>
      </c>
      <c r="CJ88" t="str">
        <f t="shared" si="30"/>
        <v/>
      </c>
      <c r="CK88" t="str">
        <f t="shared" si="31"/>
        <v/>
      </c>
      <c r="CL88" t="str">
        <f t="shared" si="32"/>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2"/>
        <v/>
      </c>
      <c r="CC89" t="str">
        <f t="shared" si="23"/>
        <v/>
      </c>
      <c r="CD89" t="str">
        <f t="shared" si="24"/>
        <v/>
      </c>
      <c r="CE89" t="str">
        <f t="shared" si="25"/>
        <v/>
      </c>
      <c r="CF89" t="str">
        <f t="shared" si="26"/>
        <v/>
      </c>
      <c r="CG89" t="str">
        <f t="shared" si="27"/>
        <v/>
      </c>
      <c r="CH89" t="str">
        <f t="shared" si="28"/>
        <v/>
      </c>
      <c r="CI89" t="str">
        <f t="shared" si="29"/>
        <v/>
      </c>
      <c r="CJ89" t="str">
        <f t="shared" si="30"/>
        <v/>
      </c>
      <c r="CK89" t="str">
        <f t="shared" si="31"/>
        <v/>
      </c>
      <c r="CL89" t="str">
        <f t="shared" si="32"/>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2"/>
        <v/>
      </c>
      <c r="CC90" t="str">
        <f t="shared" si="23"/>
        <v/>
      </c>
      <c r="CD90" t="str">
        <f t="shared" si="24"/>
        <v/>
      </c>
      <c r="CE90" t="str">
        <f t="shared" si="25"/>
        <v/>
      </c>
      <c r="CF90" t="str">
        <f t="shared" si="26"/>
        <v/>
      </c>
      <c r="CG90" t="str">
        <f t="shared" si="27"/>
        <v/>
      </c>
      <c r="CH90" t="str">
        <f t="shared" si="28"/>
        <v/>
      </c>
      <c r="CI90" t="str">
        <f t="shared" si="29"/>
        <v/>
      </c>
      <c r="CJ90" t="str">
        <f t="shared" si="30"/>
        <v/>
      </c>
      <c r="CK90" t="str">
        <f t="shared" si="31"/>
        <v/>
      </c>
      <c r="CL90" t="str">
        <f t="shared" si="32"/>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2"/>
        <v/>
      </c>
      <c r="CC91" t="str">
        <f t="shared" si="23"/>
        <v/>
      </c>
      <c r="CD91" t="str">
        <f t="shared" si="24"/>
        <v/>
      </c>
      <c r="CE91" t="str">
        <f t="shared" si="25"/>
        <v/>
      </c>
      <c r="CF91" t="str">
        <f t="shared" si="26"/>
        <v/>
      </c>
      <c r="CG91" t="str">
        <f t="shared" si="27"/>
        <v/>
      </c>
      <c r="CH91" t="str">
        <f t="shared" si="28"/>
        <v/>
      </c>
      <c r="CI91" t="str">
        <f t="shared" si="29"/>
        <v/>
      </c>
      <c r="CJ91" t="str">
        <f t="shared" si="30"/>
        <v/>
      </c>
      <c r="CK91" t="str">
        <f t="shared" si="31"/>
        <v/>
      </c>
      <c r="CL91" t="str">
        <f t="shared" si="32"/>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2"/>
        <v/>
      </c>
      <c r="CC92" t="str">
        <f t="shared" si="23"/>
        <v/>
      </c>
      <c r="CD92" t="str">
        <f t="shared" si="24"/>
        <v/>
      </c>
      <c r="CE92" t="str">
        <f t="shared" si="25"/>
        <v/>
      </c>
      <c r="CF92" t="str">
        <f t="shared" si="26"/>
        <v/>
      </c>
      <c r="CG92" t="str">
        <f t="shared" si="27"/>
        <v/>
      </c>
      <c r="CH92" t="str">
        <f t="shared" si="28"/>
        <v/>
      </c>
      <c r="CI92" t="str">
        <f t="shared" si="29"/>
        <v/>
      </c>
      <c r="CJ92" t="str">
        <f t="shared" si="30"/>
        <v/>
      </c>
      <c r="CK92" t="str">
        <f t="shared" si="31"/>
        <v/>
      </c>
      <c r="CL92" t="str">
        <f t="shared" si="32"/>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2"/>
        <v/>
      </c>
      <c r="CC93" t="str">
        <f t="shared" si="23"/>
        <v/>
      </c>
      <c r="CD93" t="str">
        <f t="shared" si="24"/>
        <v/>
      </c>
      <c r="CE93" t="str">
        <f t="shared" si="25"/>
        <v/>
      </c>
      <c r="CF93" t="str">
        <f t="shared" si="26"/>
        <v/>
      </c>
      <c r="CG93" t="str">
        <f t="shared" si="27"/>
        <v/>
      </c>
      <c r="CH93" t="str">
        <f t="shared" si="28"/>
        <v/>
      </c>
      <c r="CI93" t="str">
        <f t="shared" si="29"/>
        <v/>
      </c>
      <c r="CJ93" t="str">
        <f t="shared" si="30"/>
        <v/>
      </c>
      <c r="CK93" t="str">
        <f t="shared" si="31"/>
        <v/>
      </c>
      <c r="CL93" t="str">
        <f t="shared" si="32"/>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2"/>
        <v/>
      </c>
      <c r="CC94" t="str">
        <f t="shared" si="23"/>
        <v/>
      </c>
      <c r="CD94" t="str">
        <f t="shared" si="24"/>
        <v/>
      </c>
      <c r="CE94" t="str">
        <f t="shared" si="25"/>
        <v/>
      </c>
      <c r="CF94" t="str">
        <f t="shared" si="26"/>
        <v/>
      </c>
      <c r="CG94" t="str">
        <f t="shared" si="27"/>
        <v/>
      </c>
      <c r="CH94" t="str">
        <f t="shared" si="28"/>
        <v/>
      </c>
      <c r="CI94" t="str">
        <f t="shared" si="29"/>
        <v/>
      </c>
      <c r="CJ94" t="str">
        <f t="shared" si="30"/>
        <v/>
      </c>
      <c r="CK94" t="str">
        <f t="shared" si="31"/>
        <v/>
      </c>
      <c r="CL94" t="str">
        <f t="shared" si="32"/>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2"/>
        <v/>
      </c>
      <c r="CC95" t="str">
        <f t="shared" si="23"/>
        <v/>
      </c>
      <c r="CD95" t="str">
        <f t="shared" si="24"/>
        <v/>
      </c>
      <c r="CE95" t="str">
        <f t="shared" si="25"/>
        <v/>
      </c>
      <c r="CF95" t="str">
        <f t="shared" si="26"/>
        <v/>
      </c>
      <c r="CG95" t="str">
        <f t="shared" si="27"/>
        <v/>
      </c>
      <c r="CH95" t="str">
        <f t="shared" si="28"/>
        <v/>
      </c>
      <c r="CI95" t="str">
        <f t="shared" si="29"/>
        <v/>
      </c>
      <c r="CJ95" t="str">
        <f t="shared" si="30"/>
        <v/>
      </c>
      <c r="CK95" t="str">
        <f t="shared" si="31"/>
        <v/>
      </c>
      <c r="CL95" t="str">
        <f t="shared" si="32"/>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2"/>
        <v/>
      </c>
      <c r="CC96" t="str">
        <f t="shared" si="23"/>
        <v/>
      </c>
      <c r="CD96" t="str">
        <f t="shared" si="24"/>
        <v/>
      </c>
      <c r="CE96" t="str">
        <f t="shared" si="25"/>
        <v/>
      </c>
      <c r="CF96" t="str">
        <f t="shared" si="26"/>
        <v/>
      </c>
      <c r="CG96" t="str">
        <f t="shared" si="27"/>
        <v/>
      </c>
      <c r="CH96" t="str">
        <f t="shared" si="28"/>
        <v/>
      </c>
      <c r="CI96" t="str">
        <f t="shared" si="29"/>
        <v/>
      </c>
      <c r="CJ96" t="str">
        <f t="shared" si="30"/>
        <v/>
      </c>
      <c r="CK96" t="str">
        <f t="shared" si="31"/>
        <v/>
      </c>
      <c r="CL96" t="str">
        <f t="shared" si="32"/>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2"/>
        <v/>
      </c>
      <c r="CC97" t="str">
        <f t="shared" si="23"/>
        <v/>
      </c>
      <c r="CD97" t="str">
        <f t="shared" si="24"/>
        <v/>
      </c>
      <c r="CE97" t="str">
        <f t="shared" si="25"/>
        <v/>
      </c>
      <c r="CF97" t="str">
        <f t="shared" si="26"/>
        <v/>
      </c>
      <c r="CG97" t="str">
        <f t="shared" si="27"/>
        <v/>
      </c>
      <c r="CH97" t="str">
        <f t="shared" si="28"/>
        <v/>
      </c>
      <c r="CI97" t="str">
        <f t="shared" si="29"/>
        <v/>
      </c>
      <c r="CJ97" t="str">
        <f t="shared" si="30"/>
        <v/>
      </c>
      <c r="CK97" t="str">
        <f t="shared" si="31"/>
        <v/>
      </c>
      <c r="CL97" t="str">
        <f t="shared" si="32"/>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2"/>
        <v/>
      </c>
      <c r="CC98" t="str">
        <f t="shared" si="23"/>
        <v/>
      </c>
      <c r="CD98" t="str">
        <f t="shared" si="24"/>
        <v/>
      </c>
      <c r="CE98" t="str">
        <f t="shared" si="25"/>
        <v/>
      </c>
      <c r="CF98" t="str">
        <f t="shared" si="26"/>
        <v/>
      </c>
      <c r="CG98" t="str">
        <f t="shared" si="27"/>
        <v/>
      </c>
      <c r="CH98" t="str">
        <f t="shared" si="28"/>
        <v/>
      </c>
      <c r="CI98" t="str">
        <f t="shared" si="29"/>
        <v/>
      </c>
      <c r="CJ98" t="str">
        <f t="shared" si="30"/>
        <v/>
      </c>
      <c r="CK98" t="str">
        <f t="shared" si="31"/>
        <v/>
      </c>
      <c r="CL98" t="str">
        <f t="shared" si="32"/>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3">IFERROR(AVERAGE(H99,I99,J99,K99),"")</f>
        <v/>
      </c>
      <c r="CC99" t="str">
        <f t="shared" ref="CC99:CC130" si="34">IFERROR(AVERAGE(L99,M99,N99,O99,P99,Q99,R99,S99),"")</f>
        <v/>
      </c>
      <c r="CD99" t="str">
        <f t="shared" ref="CD99:CD130" si="35">IFERROR(AVERAGE(T99,U99,V99,W99,X99,Y99,Z99,AA99,AB99,AC99,AD99,AE99,AF99),"")</f>
        <v/>
      </c>
      <c r="CE99" t="str">
        <f t="shared" ref="CE99:CE130" si="36">IFERROR(AVERAGE(AG99,AH99,AI99,AJ99),"")</f>
        <v/>
      </c>
      <c r="CF99" t="str">
        <f t="shared" ref="CF99:CF130" si="37">IFERROR(AVERAGE(D99,AK99,AL99,AM99,AN99,AO99,AP99,AQ99,AR99,AS99),"")</f>
        <v/>
      </c>
      <c r="CG99" t="str">
        <f t="shared" ref="CG99:CG130" si="38">IFERROR(AVERAGE(AT99,AU99,AV99,BB99,AW99,AX99,AY99,AZ99,BA99),"")</f>
        <v/>
      </c>
      <c r="CH99" t="str">
        <f t="shared" ref="CH99:CH130" si="39">IFERROR(AVERAGE(C99,E99,F99,BC99,BH99,BI99,BD99,BE99,BF99,BG99),"")</f>
        <v/>
      </c>
      <c r="CI99" t="str">
        <f t="shared" ref="CI99:CI130" si="40">IFERROR(AVERAGE(BJ99,BK99,BL99,BM99),"")</f>
        <v/>
      </c>
      <c r="CJ99" t="str">
        <f t="shared" ref="CJ99:CJ130" si="41">IFERROR(AVERAGE(G99,BN99,BO99,BP99),"")</f>
        <v/>
      </c>
      <c r="CK99" t="str">
        <f t="shared" ref="CK99:CK130" si="42">IFERROR(AVERAGE(BQ99,BS99,BR99),"")</f>
        <v/>
      </c>
      <c r="CL99" t="str">
        <f t="shared" ref="CL99:CL130" si="43">IFERROR(AVERAGE(BT99,BU99),"")</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3"/>
        <v/>
      </c>
      <c r="CC100" t="str">
        <f t="shared" si="34"/>
        <v/>
      </c>
      <c r="CD100" t="str">
        <f t="shared" si="35"/>
        <v/>
      </c>
      <c r="CE100" t="str">
        <f t="shared" si="36"/>
        <v/>
      </c>
      <c r="CF100" t="str">
        <f t="shared" si="37"/>
        <v/>
      </c>
      <c r="CG100" t="str">
        <f t="shared" si="38"/>
        <v/>
      </c>
      <c r="CH100" t="str">
        <f t="shared" si="39"/>
        <v/>
      </c>
      <c r="CI100" t="str">
        <f t="shared" si="40"/>
        <v/>
      </c>
      <c r="CJ100" t="str">
        <f t="shared" si="41"/>
        <v/>
      </c>
      <c r="CK100" t="str">
        <f t="shared" si="42"/>
        <v/>
      </c>
      <c r="CL100" t="str">
        <f t="shared" si="43"/>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3"/>
        <v/>
      </c>
      <c r="CC101" t="str">
        <f t="shared" si="34"/>
        <v/>
      </c>
      <c r="CD101" t="str">
        <f t="shared" si="35"/>
        <v/>
      </c>
      <c r="CE101" t="str">
        <f t="shared" si="36"/>
        <v/>
      </c>
      <c r="CF101" t="str">
        <f t="shared" si="37"/>
        <v/>
      </c>
      <c r="CG101" t="str">
        <f t="shared" si="38"/>
        <v/>
      </c>
      <c r="CH101" t="str">
        <f t="shared" si="39"/>
        <v/>
      </c>
      <c r="CI101" t="str">
        <f t="shared" si="40"/>
        <v/>
      </c>
      <c r="CJ101" t="str">
        <f t="shared" si="41"/>
        <v/>
      </c>
      <c r="CK101" t="str">
        <f t="shared" si="42"/>
        <v/>
      </c>
      <c r="CL101" t="str">
        <f t="shared" si="43"/>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3"/>
        <v/>
      </c>
      <c r="CC102" t="str">
        <f t="shared" si="34"/>
        <v/>
      </c>
      <c r="CD102" t="str">
        <f t="shared" si="35"/>
        <v/>
      </c>
      <c r="CE102" t="str">
        <f t="shared" si="36"/>
        <v/>
      </c>
      <c r="CF102" t="str">
        <f t="shared" si="37"/>
        <v/>
      </c>
      <c r="CG102" t="str">
        <f t="shared" si="38"/>
        <v/>
      </c>
      <c r="CH102" t="str">
        <f t="shared" si="39"/>
        <v/>
      </c>
      <c r="CI102" t="str">
        <f t="shared" si="40"/>
        <v/>
      </c>
      <c r="CJ102" t="str">
        <f t="shared" si="41"/>
        <v/>
      </c>
      <c r="CK102" t="str">
        <f t="shared" si="42"/>
        <v/>
      </c>
      <c r="CL102" t="str">
        <f t="shared" si="43"/>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3"/>
        <v/>
      </c>
      <c r="CC103" t="str">
        <f t="shared" si="34"/>
        <v/>
      </c>
      <c r="CD103" t="str">
        <f t="shared" si="35"/>
        <v/>
      </c>
      <c r="CE103" t="str">
        <f t="shared" si="36"/>
        <v/>
      </c>
      <c r="CF103" t="str">
        <f t="shared" si="37"/>
        <v/>
      </c>
      <c r="CG103" t="str">
        <f t="shared" si="38"/>
        <v/>
      </c>
      <c r="CH103" t="str">
        <f t="shared" si="39"/>
        <v/>
      </c>
      <c r="CI103" t="str">
        <f t="shared" si="40"/>
        <v/>
      </c>
      <c r="CJ103" t="str">
        <f t="shared" si="41"/>
        <v/>
      </c>
      <c r="CK103" t="str">
        <f t="shared" si="42"/>
        <v/>
      </c>
      <c r="CL103" t="str">
        <f t="shared" si="43"/>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3"/>
        <v/>
      </c>
      <c r="CC104" t="str">
        <f t="shared" si="34"/>
        <v/>
      </c>
      <c r="CD104" t="str">
        <f t="shared" si="35"/>
        <v/>
      </c>
      <c r="CE104" t="str">
        <f t="shared" si="36"/>
        <v/>
      </c>
      <c r="CF104" t="str">
        <f t="shared" si="37"/>
        <v/>
      </c>
      <c r="CG104" t="str">
        <f t="shared" si="38"/>
        <v/>
      </c>
      <c r="CH104" t="str">
        <f t="shared" si="39"/>
        <v/>
      </c>
      <c r="CI104" t="str">
        <f t="shared" si="40"/>
        <v/>
      </c>
      <c r="CJ104" t="str">
        <f t="shared" si="41"/>
        <v/>
      </c>
      <c r="CK104" t="str">
        <f t="shared" si="42"/>
        <v/>
      </c>
      <c r="CL104" t="str">
        <f t="shared" si="43"/>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3"/>
        <v/>
      </c>
      <c r="CC105" t="str">
        <f t="shared" si="34"/>
        <v/>
      </c>
      <c r="CD105" t="str">
        <f t="shared" si="35"/>
        <v/>
      </c>
      <c r="CE105" t="str">
        <f t="shared" si="36"/>
        <v/>
      </c>
      <c r="CF105" t="str">
        <f t="shared" si="37"/>
        <v/>
      </c>
      <c r="CG105" t="str">
        <f t="shared" si="38"/>
        <v/>
      </c>
      <c r="CH105" t="str">
        <f t="shared" si="39"/>
        <v/>
      </c>
      <c r="CI105" t="str">
        <f t="shared" si="40"/>
        <v/>
      </c>
      <c r="CJ105" t="str">
        <f t="shared" si="41"/>
        <v/>
      </c>
      <c r="CK105" t="str">
        <f t="shared" si="42"/>
        <v/>
      </c>
      <c r="CL105" t="str">
        <f t="shared" si="43"/>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3"/>
        <v/>
      </c>
      <c r="CC106" t="str">
        <f t="shared" si="34"/>
        <v/>
      </c>
      <c r="CD106" t="str">
        <f t="shared" si="35"/>
        <v/>
      </c>
      <c r="CE106" t="str">
        <f t="shared" si="36"/>
        <v/>
      </c>
      <c r="CF106" t="str">
        <f t="shared" si="37"/>
        <v/>
      </c>
      <c r="CG106" t="str">
        <f t="shared" si="38"/>
        <v/>
      </c>
      <c r="CH106" t="str">
        <f t="shared" si="39"/>
        <v/>
      </c>
      <c r="CI106" t="str">
        <f t="shared" si="40"/>
        <v/>
      </c>
      <c r="CJ106" t="str">
        <f t="shared" si="41"/>
        <v/>
      </c>
      <c r="CK106" t="str">
        <f t="shared" si="42"/>
        <v/>
      </c>
      <c r="CL106" t="str">
        <f t="shared" si="43"/>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3"/>
        <v/>
      </c>
      <c r="CC107" t="str">
        <f t="shared" si="34"/>
        <v/>
      </c>
      <c r="CD107" t="str">
        <f t="shared" si="35"/>
        <v/>
      </c>
      <c r="CE107" t="str">
        <f t="shared" si="36"/>
        <v/>
      </c>
      <c r="CF107" t="str">
        <f t="shared" si="37"/>
        <v/>
      </c>
      <c r="CG107" t="str">
        <f t="shared" si="38"/>
        <v/>
      </c>
      <c r="CH107" t="str">
        <f t="shared" si="39"/>
        <v/>
      </c>
      <c r="CI107" t="str">
        <f t="shared" si="40"/>
        <v/>
      </c>
      <c r="CJ107" t="str">
        <f t="shared" si="41"/>
        <v/>
      </c>
      <c r="CK107" t="str">
        <f t="shared" si="42"/>
        <v/>
      </c>
      <c r="CL107" t="str">
        <f t="shared" si="43"/>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3"/>
        <v/>
      </c>
      <c r="CC108" t="str">
        <f t="shared" si="34"/>
        <v/>
      </c>
      <c r="CD108" t="str">
        <f t="shared" si="35"/>
        <v/>
      </c>
      <c r="CE108" t="str">
        <f t="shared" si="36"/>
        <v/>
      </c>
      <c r="CF108" t="str">
        <f t="shared" si="37"/>
        <v/>
      </c>
      <c r="CG108" t="str">
        <f t="shared" si="38"/>
        <v/>
      </c>
      <c r="CH108" t="str">
        <f t="shared" si="39"/>
        <v/>
      </c>
      <c r="CI108" t="str">
        <f t="shared" si="40"/>
        <v/>
      </c>
      <c r="CJ108" t="str">
        <f t="shared" si="41"/>
        <v/>
      </c>
      <c r="CK108" t="str">
        <f t="shared" si="42"/>
        <v/>
      </c>
      <c r="CL108" t="str">
        <f t="shared" si="43"/>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3"/>
        <v/>
      </c>
      <c r="CC109" t="str">
        <f t="shared" si="34"/>
        <v/>
      </c>
      <c r="CD109" t="str">
        <f t="shared" si="35"/>
        <v/>
      </c>
      <c r="CE109" t="str">
        <f t="shared" si="36"/>
        <v/>
      </c>
      <c r="CF109" t="str">
        <f t="shared" si="37"/>
        <v/>
      </c>
      <c r="CG109" t="str">
        <f t="shared" si="38"/>
        <v/>
      </c>
      <c r="CH109" t="str">
        <f t="shared" si="39"/>
        <v/>
      </c>
      <c r="CI109" t="str">
        <f t="shared" si="40"/>
        <v/>
      </c>
      <c r="CJ109" t="str">
        <f t="shared" si="41"/>
        <v/>
      </c>
      <c r="CK109" t="str">
        <f t="shared" si="42"/>
        <v/>
      </c>
      <c r="CL109" t="str">
        <f t="shared" si="43"/>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3"/>
        <v/>
      </c>
      <c r="CC110" t="str">
        <f t="shared" si="34"/>
        <v/>
      </c>
      <c r="CD110" t="str">
        <f t="shared" si="35"/>
        <v/>
      </c>
      <c r="CE110" t="str">
        <f t="shared" si="36"/>
        <v/>
      </c>
      <c r="CF110" t="str">
        <f t="shared" si="37"/>
        <v/>
      </c>
      <c r="CG110" t="str">
        <f t="shared" si="38"/>
        <v/>
      </c>
      <c r="CH110" t="str">
        <f t="shared" si="39"/>
        <v/>
      </c>
      <c r="CI110" t="str">
        <f t="shared" si="40"/>
        <v/>
      </c>
      <c r="CJ110" t="str">
        <f t="shared" si="41"/>
        <v/>
      </c>
      <c r="CK110" t="str">
        <f t="shared" si="42"/>
        <v/>
      </c>
      <c r="CL110" t="str">
        <f t="shared" si="43"/>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3"/>
        <v/>
      </c>
      <c r="CC111" t="str">
        <f t="shared" si="34"/>
        <v/>
      </c>
      <c r="CD111" t="str">
        <f t="shared" si="35"/>
        <v/>
      </c>
      <c r="CE111" t="str">
        <f t="shared" si="36"/>
        <v/>
      </c>
      <c r="CF111" t="str">
        <f t="shared" si="37"/>
        <v/>
      </c>
      <c r="CG111" t="str">
        <f t="shared" si="38"/>
        <v/>
      </c>
      <c r="CH111" t="str">
        <f t="shared" si="39"/>
        <v/>
      </c>
      <c r="CI111" t="str">
        <f t="shared" si="40"/>
        <v/>
      </c>
      <c r="CJ111" t="str">
        <f t="shared" si="41"/>
        <v/>
      </c>
      <c r="CK111" t="str">
        <f t="shared" si="42"/>
        <v/>
      </c>
      <c r="CL111" t="str">
        <f t="shared" si="43"/>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3"/>
        <v/>
      </c>
      <c r="CC112" t="str">
        <f t="shared" si="34"/>
        <v/>
      </c>
      <c r="CD112" t="str">
        <f t="shared" si="35"/>
        <v/>
      </c>
      <c r="CE112" t="str">
        <f t="shared" si="36"/>
        <v/>
      </c>
      <c r="CF112" t="str">
        <f t="shared" si="37"/>
        <v/>
      </c>
      <c r="CG112" t="str">
        <f t="shared" si="38"/>
        <v/>
      </c>
      <c r="CH112" t="str">
        <f t="shared" si="39"/>
        <v/>
      </c>
      <c r="CI112" t="str">
        <f t="shared" si="40"/>
        <v/>
      </c>
      <c r="CJ112" t="str">
        <f t="shared" si="41"/>
        <v/>
      </c>
      <c r="CK112" t="str">
        <f t="shared" si="42"/>
        <v/>
      </c>
      <c r="CL112" t="str">
        <f t="shared" si="43"/>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3"/>
        <v/>
      </c>
      <c r="CC113" t="str">
        <f t="shared" si="34"/>
        <v/>
      </c>
      <c r="CD113" t="str">
        <f t="shared" si="35"/>
        <v/>
      </c>
      <c r="CE113" t="str">
        <f t="shared" si="36"/>
        <v/>
      </c>
      <c r="CF113" t="str">
        <f t="shared" si="37"/>
        <v/>
      </c>
      <c r="CG113" t="str">
        <f t="shared" si="38"/>
        <v/>
      </c>
      <c r="CH113" t="str">
        <f t="shared" si="39"/>
        <v/>
      </c>
      <c r="CI113" t="str">
        <f t="shared" si="40"/>
        <v/>
      </c>
      <c r="CJ113" t="str">
        <f t="shared" si="41"/>
        <v/>
      </c>
      <c r="CK113" t="str">
        <f t="shared" si="42"/>
        <v/>
      </c>
      <c r="CL113" t="str">
        <f t="shared" si="43"/>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3"/>
        <v/>
      </c>
      <c r="CC114" t="str">
        <f t="shared" si="34"/>
        <v/>
      </c>
      <c r="CD114" t="str">
        <f t="shared" si="35"/>
        <v/>
      </c>
      <c r="CE114" t="str">
        <f t="shared" si="36"/>
        <v/>
      </c>
      <c r="CF114" t="str">
        <f t="shared" si="37"/>
        <v/>
      </c>
      <c r="CG114" t="str">
        <f t="shared" si="38"/>
        <v/>
      </c>
      <c r="CH114" t="str">
        <f t="shared" si="39"/>
        <v/>
      </c>
      <c r="CI114" t="str">
        <f t="shared" si="40"/>
        <v/>
      </c>
      <c r="CJ114" t="str">
        <f t="shared" si="41"/>
        <v/>
      </c>
      <c r="CK114" t="str">
        <f t="shared" si="42"/>
        <v/>
      </c>
      <c r="CL114" t="str">
        <f t="shared" si="43"/>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3"/>
        <v/>
      </c>
      <c r="CC115" t="str">
        <f t="shared" si="34"/>
        <v/>
      </c>
      <c r="CD115" t="str">
        <f t="shared" si="35"/>
        <v/>
      </c>
      <c r="CE115" t="str">
        <f t="shared" si="36"/>
        <v/>
      </c>
      <c r="CF115" t="str">
        <f t="shared" si="37"/>
        <v/>
      </c>
      <c r="CG115" t="str">
        <f t="shared" si="38"/>
        <v/>
      </c>
      <c r="CH115" t="str">
        <f t="shared" si="39"/>
        <v/>
      </c>
      <c r="CI115" t="str">
        <f t="shared" si="40"/>
        <v/>
      </c>
      <c r="CJ115" t="str">
        <f t="shared" si="41"/>
        <v/>
      </c>
      <c r="CK115" t="str">
        <f t="shared" si="42"/>
        <v/>
      </c>
      <c r="CL115" t="str">
        <f t="shared" si="43"/>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3"/>
        <v/>
      </c>
      <c r="CC116" t="str">
        <f t="shared" si="34"/>
        <v/>
      </c>
      <c r="CD116" t="str">
        <f t="shared" si="35"/>
        <v/>
      </c>
      <c r="CE116" t="str">
        <f t="shared" si="36"/>
        <v/>
      </c>
      <c r="CF116" t="str">
        <f t="shared" si="37"/>
        <v/>
      </c>
      <c r="CG116" t="str">
        <f t="shared" si="38"/>
        <v/>
      </c>
      <c r="CH116" t="str">
        <f t="shared" si="39"/>
        <v/>
      </c>
      <c r="CI116" t="str">
        <f t="shared" si="40"/>
        <v/>
      </c>
      <c r="CJ116" t="str">
        <f t="shared" si="41"/>
        <v/>
      </c>
      <c r="CK116" t="str">
        <f t="shared" si="42"/>
        <v/>
      </c>
      <c r="CL116" t="str">
        <f t="shared" si="43"/>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3"/>
        <v/>
      </c>
      <c r="CC117" t="str">
        <f t="shared" si="34"/>
        <v/>
      </c>
      <c r="CD117" t="str">
        <f t="shared" si="35"/>
        <v/>
      </c>
      <c r="CE117" t="str">
        <f t="shared" si="36"/>
        <v/>
      </c>
      <c r="CF117" t="str">
        <f t="shared" si="37"/>
        <v/>
      </c>
      <c r="CG117" t="str">
        <f t="shared" si="38"/>
        <v/>
      </c>
      <c r="CH117" t="str">
        <f t="shared" si="39"/>
        <v/>
      </c>
      <c r="CI117" t="str">
        <f t="shared" si="40"/>
        <v/>
      </c>
      <c r="CJ117" t="str">
        <f t="shared" si="41"/>
        <v/>
      </c>
      <c r="CK117" t="str">
        <f t="shared" si="42"/>
        <v/>
      </c>
      <c r="CL117" t="str">
        <f t="shared" si="43"/>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3"/>
        <v/>
      </c>
      <c r="CC118" t="str">
        <f t="shared" si="34"/>
        <v/>
      </c>
      <c r="CD118" t="str">
        <f t="shared" si="35"/>
        <v/>
      </c>
      <c r="CE118" t="str">
        <f t="shared" si="36"/>
        <v/>
      </c>
      <c r="CF118" t="str">
        <f t="shared" si="37"/>
        <v/>
      </c>
      <c r="CG118" t="str">
        <f t="shared" si="38"/>
        <v/>
      </c>
      <c r="CH118" t="str">
        <f t="shared" si="39"/>
        <v/>
      </c>
      <c r="CI118" t="str">
        <f t="shared" si="40"/>
        <v/>
      </c>
      <c r="CJ118" t="str">
        <f t="shared" si="41"/>
        <v/>
      </c>
      <c r="CK118" t="str">
        <f t="shared" si="42"/>
        <v/>
      </c>
      <c r="CL118" t="str">
        <f t="shared" si="43"/>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3"/>
        <v/>
      </c>
      <c r="CC119" t="str">
        <f t="shared" si="34"/>
        <v/>
      </c>
      <c r="CD119" t="str">
        <f t="shared" si="35"/>
        <v/>
      </c>
      <c r="CE119" t="str">
        <f t="shared" si="36"/>
        <v/>
      </c>
      <c r="CF119" t="str">
        <f t="shared" si="37"/>
        <v/>
      </c>
      <c r="CG119" t="str">
        <f t="shared" si="38"/>
        <v/>
      </c>
      <c r="CH119" t="str">
        <f t="shared" si="39"/>
        <v/>
      </c>
      <c r="CI119" t="str">
        <f t="shared" si="40"/>
        <v/>
      </c>
      <c r="CJ119" t="str">
        <f t="shared" si="41"/>
        <v/>
      </c>
      <c r="CK119" t="str">
        <f t="shared" si="42"/>
        <v/>
      </c>
      <c r="CL119" t="str">
        <f t="shared" si="43"/>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3"/>
        <v/>
      </c>
      <c r="CC120" t="str">
        <f t="shared" si="34"/>
        <v/>
      </c>
      <c r="CD120" t="str">
        <f t="shared" si="35"/>
        <v/>
      </c>
      <c r="CE120" t="str">
        <f t="shared" si="36"/>
        <v/>
      </c>
      <c r="CF120" t="str">
        <f t="shared" si="37"/>
        <v/>
      </c>
      <c r="CG120" t="str">
        <f t="shared" si="38"/>
        <v/>
      </c>
      <c r="CH120" t="str">
        <f t="shared" si="39"/>
        <v/>
      </c>
      <c r="CI120" t="str">
        <f t="shared" si="40"/>
        <v/>
      </c>
      <c r="CJ120" t="str">
        <f t="shared" si="41"/>
        <v/>
      </c>
      <c r="CK120" t="str">
        <f t="shared" si="42"/>
        <v/>
      </c>
      <c r="CL120" t="str">
        <f t="shared" si="43"/>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3"/>
        <v/>
      </c>
      <c r="CC121" t="str">
        <f t="shared" si="34"/>
        <v/>
      </c>
      <c r="CD121" t="str">
        <f t="shared" si="35"/>
        <v/>
      </c>
      <c r="CE121" t="str">
        <f t="shared" si="36"/>
        <v/>
      </c>
      <c r="CF121" t="str">
        <f t="shared" si="37"/>
        <v/>
      </c>
      <c r="CG121" t="str">
        <f t="shared" si="38"/>
        <v/>
      </c>
      <c r="CH121" t="str">
        <f t="shared" si="39"/>
        <v/>
      </c>
      <c r="CI121" t="str">
        <f t="shared" si="40"/>
        <v/>
      </c>
      <c r="CJ121" t="str">
        <f t="shared" si="41"/>
        <v/>
      </c>
      <c r="CK121" t="str">
        <f t="shared" si="42"/>
        <v/>
      </c>
      <c r="CL121" t="str">
        <f t="shared" si="43"/>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3"/>
        <v/>
      </c>
      <c r="CC122" t="str">
        <f t="shared" si="34"/>
        <v/>
      </c>
      <c r="CD122" t="str">
        <f t="shared" si="35"/>
        <v/>
      </c>
      <c r="CE122" t="str">
        <f t="shared" si="36"/>
        <v/>
      </c>
      <c r="CF122" t="str">
        <f t="shared" si="37"/>
        <v/>
      </c>
      <c r="CG122" t="str">
        <f t="shared" si="38"/>
        <v/>
      </c>
      <c r="CH122" t="str">
        <f t="shared" si="39"/>
        <v/>
      </c>
      <c r="CI122" t="str">
        <f t="shared" si="40"/>
        <v/>
      </c>
      <c r="CJ122" t="str">
        <f t="shared" si="41"/>
        <v/>
      </c>
      <c r="CK122" t="str">
        <f t="shared" si="42"/>
        <v/>
      </c>
      <c r="CL122" t="str">
        <f t="shared" si="43"/>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3"/>
        <v/>
      </c>
      <c r="CC123" t="str">
        <f t="shared" si="34"/>
        <v/>
      </c>
      <c r="CD123" t="str">
        <f t="shared" si="35"/>
        <v/>
      </c>
      <c r="CE123" t="str">
        <f t="shared" si="36"/>
        <v/>
      </c>
      <c r="CF123" t="str">
        <f t="shared" si="37"/>
        <v/>
      </c>
      <c r="CG123" t="str">
        <f t="shared" si="38"/>
        <v/>
      </c>
      <c r="CH123" t="str">
        <f t="shared" si="39"/>
        <v/>
      </c>
      <c r="CI123" t="str">
        <f t="shared" si="40"/>
        <v/>
      </c>
      <c r="CJ123" t="str">
        <f t="shared" si="41"/>
        <v/>
      </c>
      <c r="CK123" t="str">
        <f t="shared" si="42"/>
        <v/>
      </c>
      <c r="CL123" t="str">
        <f t="shared" si="43"/>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3"/>
        <v/>
      </c>
      <c r="CC124" t="str">
        <f t="shared" si="34"/>
        <v/>
      </c>
      <c r="CD124" t="str">
        <f t="shared" si="35"/>
        <v/>
      </c>
      <c r="CE124" t="str">
        <f t="shared" si="36"/>
        <v/>
      </c>
      <c r="CF124" t="str">
        <f t="shared" si="37"/>
        <v/>
      </c>
      <c r="CG124" t="str">
        <f t="shared" si="38"/>
        <v/>
      </c>
      <c r="CH124" t="str">
        <f t="shared" si="39"/>
        <v/>
      </c>
      <c r="CI124" t="str">
        <f t="shared" si="40"/>
        <v/>
      </c>
      <c r="CJ124" t="str">
        <f t="shared" si="41"/>
        <v/>
      </c>
      <c r="CK124" t="str">
        <f t="shared" si="42"/>
        <v/>
      </c>
      <c r="CL124" t="str">
        <f t="shared" si="43"/>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3"/>
        <v/>
      </c>
      <c r="CC125" t="str">
        <f t="shared" si="34"/>
        <v/>
      </c>
      <c r="CD125" t="str">
        <f t="shared" si="35"/>
        <v/>
      </c>
      <c r="CE125" t="str">
        <f t="shared" si="36"/>
        <v/>
      </c>
      <c r="CF125" t="str">
        <f t="shared" si="37"/>
        <v/>
      </c>
      <c r="CG125" t="str">
        <f t="shared" si="38"/>
        <v/>
      </c>
      <c r="CH125" t="str">
        <f t="shared" si="39"/>
        <v/>
      </c>
      <c r="CI125" t="str">
        <f t="shared" si="40"/>
        <v/>
      </c>
      <c r="CJ125" t="str">
        <f t="shared" si="41"/>
        <v/>
      </c>
      <c r="CK125" t="str">
        <f t="shared" si="42"/>
        <v/>
      </c>
      <c r="CL125" t="str">
        <f t="shared" si="43"/>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3"/>
        <v/>
      </c>
      <c r="CC126" t="str">
        <f t="shared" si="34"/>
        <v/>
      </c>
      <c r="CD126" t="str">
        <f t="shared" si="35"/>
        <v/>
      </c>
      <c r="CE126" t="str">
        <f t="shared" si="36"/>
        <v/>
      </c>
      <c r="CF126" t="str">
        <f t="shared" si="37"/>
        <v/>
      </c>
      <c r="CG126" t="str">
        <f t="shared" si="38"/>
        <v/>
      </c>
      <c r="CH126" t="str">
        <f t="shared" si="39"/>
        <v/>
      </c>
      <c r="CI126" t="str">
        <f t="shared" si="40"/>
        <v/>
      </c>
      <c r="CJ126" t="str">
        <f t="shared" si="41"/>
        <v/>
      </c>
      <c r="CK126" t="str">
        <f t="shared" si="42"/>
        <v/>
      </c>
      <c r="CL126" t="str">
        <f t="shared" si="43"/>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3"/>
        <v/>
      </c>
      <c r="CC127" t="str">
        <f t="shared" si="34"/>
        <v/>
      </c>
      <c r="CD127" t="str">
        <f t="shared" si="35"/>
        <v/>
      </c>
      <c r="CE127" t="str">
        <f t="shared" si="36"/>
        <v/>
      </c>
      <c r="CF127" t="str">
        <f t="shared" si="37"/>
        <v/>
      </c>
      <c r="CG127" t="str">
        <f t="shared" si="38"/>
        <v/>
      </c>
      <c r="CH127" t="str">
        <f t="shared" si="39"/>
        <v/>
      </c>
      <c r="CI127" t="str">
        <f t="shared" si="40"/>
        <v/>
      </c>
      <c r="CJ127" t="str">
        <f t="shared" si="41"/>
        <v/>
      </c>
      <c r="CK127" t="str">
        <f t="shared" si="42"/>
        <v/>
      </c>
      <c r="CL127" t="str">
        <f t="shared" si="43"/>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3"/>
        <v/>
      </c>
      <c r="CC128" t="str">
        <f t="shared" si="34"/>
        <v/>
      </c>
      <c r="CD128" t="str">
        <f t="shared" si="35"/>
        <v/>
      </c>
      <c r="CE128" t="str">
        <f t="shared" si="36"/>
        <v/>
      </c>
      <c r="CF128" t="str">
        <f t="shared" si="37"/>
        <v/>
      </c>
      <c r="CG128" t="str">
        <f t="shared" si="38"/>
        <v/>
      </c>
      <c r="CH128" t="str">
        <f t="shared" si="39"/>
        <v/>
      </c>
      <c r="CI128" t="str">
        <f t="shared" si="40"/>
        <v/>
      </c>
      <c r="CJ128" t="str">
        <f t="shared" si="41"/>
        <v/>
      </c>
      <c r="CK128" t="str">
        <f t="shared" si="42"/>
        <v/>
      </c>
      <c r="CL128" t="str">
        <f t="shared" si="43"/>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3"/>
        <v/>
      </c>
      <c r="CC129" t="str">
        <f t="shared" si="34"/>
        <v/>
      </c>
      <c r="CD129" t="str">
        <f t="shared" si="35"/>
        <v/>
      </c>
      <c r="CE129" t="str">
        <f t="shared" si="36"/>
        <v/>
      </c>
      <c r="CF129" t="str">
        <f t="shared" si="37"/>
        <v/>
      </c>
      <c r="CG129" t="str">
        <f t="shared" si="38"/>
        <v/>
      </c>
      <c r="CH129" t="str">
        <f t="shared" si="39"/>
        <v/>
      </c>
      <c r="CI129" t="str">
        <f t="shared" si="40"/>
        <v/>
      </c>
      <c r="CJ129" t="str">
        <f t="shared" si="41"/>
        <v/>
      </c>
      <c r="CK129" t="str">
        <f t="shared" si="42"/>
        <v/>
      </c>
      <c r="CL129" t="str">
        <f t="shared" si="43"/>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3"/>
        <v/>
      </c>
      <c r="CC130" t="str">
        <f t="shared" si="34"/>
        <v/>
      </c>
      <c r="CD130" t="str">
        <f t="shared" si="35"/>
        <v/>
      </c>
      <c r="CE130" t="str">
        <f t="shared" si="36"/>
        <v/>
      </c>
      <c r="CF130" t="str">
        <f t="shared" si="37"/>
        <v/>
      </c>
      <c r="CG130" t="str">
        <f t="shared" si="38"/>
        <v/>
      </c>
      <c r="CH130" t="str">
        <f t="shared" si="39"/>
        <v/>
      </c>
      <c r="CI130" t="str">
        <f t="shared" si="40"/>
        <v/>
      </c>
      <c r="CJ130" t="str">
        <f t="shared" si="41"/>
        <v/>
      </c>
      <c r="CK130" t="str">
        <f t="shared" si="42"/>
        <v/>
      </c>
      <c r="CL130" t="str">
        <f t="shared" si="43"/>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4">IFERROR(AVERAGE(H131,I131,J131,K131),"")</f>
        <v/>
      </c>
      <c r="CC131" t="str">
        <f t="shared" ref="CC131:CC162" si="45">IFERROR(AVERAGE(L131,M131,N131,O131,P131,Q131,R131,S131),"")</f>
        <v/>
      </c>
      <c r="CD131" t="str">
        <f t="shared" ref="CD131:CD162" si="46">IFERROR(AVERAGE(T131,U131,V131,W131,X131,Y131,Z131,AA131,AB131,AC131,AD131,AE131,AF131),"")</f>
        <v/>
      </c>
      <c r="CE131" t="str">
        <f t="shared" ref="CE131:CE162" si="47">IFERROR(AVERAGE(AG131,AH131,AI131,AJ131),"")</f>
        <v/>
      </c>
      <c r="CF131" t="str">
        <f t="shared" ref="CF131:CF162" si="48">IFERROR(AVERAGE(D131,AK131,AL131,AM131,AN131,AO131,AP131,AQ131,AR131,AS131),"")</f>
        <v/>
      </c>
      <c r="CG131" t="str">
        <f t="shared" ref="CG131:CG162" si="49">IFERROR(AVERAGE(AT131,AU131,AV131,BB131,AW131,AX131,AY131,AZ131,BA131),"")</f>
        <v/>
      </c>
      <c r="CH131" t="str">
        <f t="shared" ref="CH131:CH162" si="50">IFERROR(AVERAGE(C131,E131,F131,BC131,BH131,BI131,BD131,BE131,BF131,BG131),"")</f>
        <v/>
      </c>
      <c r="CI131" t="str">
        <f t="shared" ref="CI131:CI162" si="51">IFERROR(AVERAGE(BJ131,BK131,BL131,BM131),"")</f>
        <v/>
      </c>
      <c r="CJ131" t="str">
        <f t="shared" ref="CJ131:CJ162" si="52">IFERROR(AVERAGE(G131,BN131,BO131,BP131),"")</f>
        <v/>
      </c>
      <c r="CK131" t="str">
        <f t="shared" ref="CK131:CK162" si="53">IFERROR(AVERAGE(BQ131,BS131,BR131),"")</f>
        <v/>
      </c>
      <c r="CL131" t="str">
        <f t="shared" ref="CL131:CL162" si="54">IFERROR(AVERAGE(BT131,BU131),"")</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4"/>
        <v/>
      </c>
      <c r="CC132" t="str">
        <f t="shared" si="45"/>
        <v/>
      </c>
      <c r="CD132" t="str">
        <f t="shared" si="46"/>
        <v/>
      </c>
      <c r="CE132" t="str">
        <f t="shared" si="47"/>
        <v/>
      </c>
      <c r="CF132" t="str">
        <f t="shared" si="48"/>
        <v/>
      </c>
      <c r="CG132" t="str">
        <f t="shared" si="49"/>
        <v/>
      </c>
      <c r="CH132" t="str">
        <f t="shared" si="50"/>
        <v/>
      </c>
      <c r="CI132" t="str">
        <f t="shared" si="51"/>
        <v/>
      </c>
      <c r="CJ132" t="str">
        <f t="shared" si="52"/>
        <v/>
      </c>
      <c r="CK132" t="str">
        <f t="shared" si="53"/>
        <v/>
      </c>
      <c r="CL132" t="str">
        <f t="shared" si="54"/>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4"/>
        <v/>
      </c>
      <c r="CC133" t="str">
        <f t="shared" si="45"/>
        <v/>
      </c>
      <c r="CD133" t="str">
        <f t="shared" si="46"/>
        <v/>
      </c>
      <c r="CE133" t="str">
        <f t="shared" si="47"/>
        <v/>
      </c>
      <c r="CF133" t="str">
        <f t="shared" si="48"/>
        <v/>
      </c>
      <c r="CG133" t="str">
        <f t="shared" si="49"/>
        <v/>
      </c>
      <c r="CH133" t="str">
        <f t="shared" si="50"/>
        <v/>
      </c>
      <c r="CI133" t="str">
        <f t="shared" si="51"/>
        <v/>
      </c>
      <c r="CJ133" t="str">
        <f t="shared" si="52"/>
        <v/>
      </c>
      <c r="CK133" t="str">
        <f t="shared" si="53"/>
        <v/>
      </c>
      <c r="CL133" t="str">
        <f t="shared" si="54"/>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4"/>
        <v/>
      </c>
      <c r="CC134" t="str">
        <f t="shared" si="45"/>
        <v/>
      </c>
      <c r="CD134" t="str">
        <f t="shared" si="46"/>
        <v/>
      </c>
      <c r="CE134" t="str">
        <f t="shared" si="47"/>
        <v/>
      </c>
      <c r="CF134" t="str">
        <f t="shared" si="48"/>
        <v/>
      </c>
      <c r="CG134" t="str">
        <f t="shared" si="49"/>
        <v/>
      </c>
      <c r="CH134" t="str">
        <f t="shared" si="50"/>
        <v/>
      </c>
      <c r="CI134" t="str">
        <f t="shared" si="51"/>
        <v/>
      </c>
      <c r="CJ134" t="str">
        <f t="shared" si="52"/>
        <v/>
      </c>
      <c r="CK134" t="str">
        <f t="shared" si="53"/>
        <v/>
      </c>
      <c r="CL134" t="str">
        <f t="shared" si="54"/>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4"/>
        <v/>
      </c>
      <c r="CC135" t="str">
        <f t="shared" si="45"/>
        <v/>
      </c>
      <c r="CD135" t="str">
        <f t="shared" si="46"/>
        <v/>
      </c>
      <c r="CE135" t="str">
        <f t="shared" si="47"/>
        <v/>
      </c>
      <c r="CF135" t="str">
        <f t="shared" si="48"/>
        <v/>
      </c>
      <c r="CG135" t="str">
        <f t="shared" si="49"/>
        <v/>
      </c>
      <c r="CH135" t="str">
        <f t="shared" si="50"/>
        <v/>
      </c>
      <c r="CI135" t="str">
        <f t="shared" si="51"/>
        <v/>
      </c>
      <c r="CJ135" t="str">
        <f t="shared" si="52"/>
        <v/>
      </c>
      <c r="CK135" t="str">
        <f t="shared" si="53"/>
        <v/>
      </c>
      <c r="CL135" t="str">
        <f t="shared" si="54"/>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4"/>
        <v/>
      </c>
      <c r="CC136" t="str">
        <f t="shared" si="45"/>
        <v/>
      </c>
      <c r="CD136" t="str">
        <f t="shared" si="46"/>
        <v/>
      </c>
      <c r="CE136" t="str">
        <f t="shared" si="47"/>
        <v/>
      </c>
      <c r="CF136" t="str">
        <f t="shared" si="48"/>
        <v/>
      </c>
      <c r="CG136" t="str">
        <f t="shared" si="49"/>
        <v/>
      </c>
      <c r="CH136" t="str">
        <f t="shared" si="50"/>
        <v/>
      </c>
      <c r="CI136" t="str">
        <f t="shared" si="51"/>
        <v/>
      </c>
      <c r="CJ136" t="str">
        <f t="shared" si="52"/>
        <v/>
      </c>
      <c r="CK136" t="str">
        <f t="shared" si="53"/>
        <v/>
      </c>
      <c r="CL136" t="str">
        <f t="shared" si="54"/>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4"/>
        <v/>
      </c>
      <c r="CC137" t="str">
        <f t="shared" si="45"/>
        <v/>
      </c>
      <c r="CD137" t="str">
        <f t="shared" si="46"/>
        <v/>
      </c>
      <c r="CE137" t="str">
        <f t="shared" si="47"/>
        <v/>
      </c>
      <c r="CF137" t="str">
        <f t="shared" si="48"/>
        <v/>
      </c>
      <c r="CG137" t="str">
        <f t="shared" si="49"/>
        <v/>
      </c>
      <c r="CH137" t="str">
        <f t="shared" si="50"/>
        <v/>
      </c>
      <c r="CI137" t="str">
        <f t="shared" si="51"/>
        <v/>
      </c>
      <c r="CJ137" t="str">
        <f t="shared" si="52"/>
        <v/>
      </c>
      <c r="CK137" t="str">
        <f t="shared" si="53"/>
        <v/>
      </c>
      <c r="CL137" t="str">
        <f t="shared" si="54"/>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4"/>
        <v/>
      </c>
      <c r="CC138" t="str">
        <f t="shared" si="45"/>
        <v/>
      </c>
      <c r="CD138" t="str">
        <f t="shared" si="46"/>
        <v/>
      </c>
      <c r="CE138" t="str">
        <f t="shared" si="47"/>
        <v/>
      </c>
      <c r="CF138" t="str">
        <f t="shared" si="48"/>
        <v/>
      </c>
      <c r="CG138" t="str">
        <f t="shared" si="49"/>
        <v/>
      </c>
      <c r="CH138" t="str">
        <f t="shared" si="50"/>
        <v/>
      </c>
      <c r="CI138" t="str">
        <f t="shared" si="51"/>
        <v/>
      </c>
      <c r="CJ138" t="str">
        <f t="shared" si="52"/>
        <v/>
      </c>
      <c r="CK138" t="str">
        <f t="shared" si="53"/>
        <v/>
      </c>
      <c r="CL138" t="str">
        <f t="shared" si="54"/>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4"/>
        <v/>
      </c>
      <c r="CC139" t="str">
        <f t="shared" si="45"/>
        <v/>
      </c>
      <c r="CD139" t="str">
        <f t="shared" si="46"/>
        <v/>
      </c>
      <c r="CE139" t="str">
        <f t="shared" si="47"/>
        <v/>
      </c>
      <c r="CF139" t="str">
        <f t="shared" si="48"/>
        <v/>
      </c>
      <c r="CG139" t="str">
        <f t="shared" si="49"/>
        <v/>
      </c>
      <c r="CH139" t="str">
        <f t="shared" si="50"/>
        <v/>
      </c>
      <c r="CI139" t="str">
        <f t="shared" si="51"/>
        <v/>
      </c>
      <c r="CJ139" t="str">
        <f t="shared" si="52"/>
        <v/>
      </c>
      <c r="CK139" t="str">
        <f t="shared" si="53"/>
        <v/>
      </c>
      <c r="CL139" t="str">
        <f t="shared" si="54"/>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4"/>
        <v/>
      </c>
      <c r="CC140" t="str">
        <f t="shared" si="45"/>
        <v/>
      </c>
      <c r="CD140" t="str">
        <f t="shared" si="46"/>
        <v/>
      </c>
      <c r="CE140" t="str">
        <f t="shared" si="47"/>
        <v/>
      </c>
      <c r="CF140" t="str">
        <f t="shared" si="48"/>
        <v/>
      </c>
      <c r="CG140" t="str">
        <f t="shared" si="49"/>
        <v/>
      </c>
      <c r="CH140" t="str">
        <f t="shared" si="50"/>
        <v/>
      </c>
      <c r="CI140" t="str">
        <f t="shared" si="51"/>
        <v/>
      </c>
      <c r="CJ140" t="str">
        <f t="shared" si="52"/>
        <v/>
      </c>
      <c r="CK140" t="str">
        <f t="shared" si="53"/>
        <v/>
      </c>
      <c r="CL140" t="str">
        <f t="shared" si="54"/>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4"/>
        <v/>
      </c>
      <c r="CC141" t="str">
        <f t="shared" si="45"/>
        <v/>
      </c>
      <c r="CD141" t="str">
        <f t="shared" si="46"/>
        <v/>
      </c>
      <c r="CE141" t="str">
        <f t="shared" si="47"/>
        <v/>
      </c>
      <c r="CF141" t="str">
        <f t="shared" si="48"/>
        <v/>
      </c>
      <c r="CG141" t="str">
        <f t="shared" si="49"/>
        <v/>
      </c>
      <c r="CH141" t="str">
        <f t="shared" si="50"/>
        <v/>
      </c>
      <c r="CI141" t="str">
        <f t="shared" si="51"/>
        <v/>
      </c>
      <c r="CJ141" t="str">
        <f t="shared" si="52"/>
        <v/>
      </c>
      <c r="CK141" t="str">
        <f t="shared" si="53"/>
        <v/>
      </c>
      <c r="CL141" t="str">
        <f t="shared" si="54"/>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4"/>
        <v/>
      </c>
      <c r="CC142" t="str">
        <f t="shared" si="45"/>
        <v/>
      </c>
      <c r="CD142" t="str">
        <f t="shared" si="46"/>
        <v/>
      </c>
      <c r="CE142" t="str">
        <f t="shared" si="47"/>
        <v/>
      </c>
      <c r="CF142" t="str">
        <f t="shared" si="48"/>
        <v/>
      </c>
      <c r="CG142" t="str">
        <f t="shared" si="49"/>
        <v/>
      </c>
      <c r="CH142" t="str">
        <f t="shared" si="50"/>
        <v/>
      </c>
      <c r="CI142" t="str">
        <f t="shared" si="51"/>
        <v/>
      </c>
      <c r="CJ142" t="str">
        <f t="shared" si="52"/>
        <v/>
      </c>
      <c r="CK142" t="str">
        <f t="shared" si="53"/>
        <v/>
      </c>
      <c r="CL142" t="str">
        <f t="shared" si="54"/>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4"/>
        <v/>
      </c>
      <c r="CC143" t="str">
        <f t="shared" si="45"/>
        <v/>
      </c>
      <c r="CD143" t="str">
        <f t="shared" si="46"/>
        <v/>
      </c>
      <c r="CE143" t="str">
        <f t="shared" si="47"/>
        <v/>
      </c>
      <c r="CF143" t="str">
        <f t="shared" si="48"/>
        <v/>
      </c>
      <c r="CG143" t="str">
        <f t="shared" si="49"/>
        <v/>
      </c>
      <c r="CH143" t="str">
        <f t="shared" si="50"/>
        <v/>
      </c>
      <c r="CI143" t="str">
        <f t="shared" si="51"/>
        <v/>
      </c>
      <c r="CJ143" t="str">
        <f t="shared" si="52"/>
        <v/>
      </c>
      <c r="CK143" t="str">
        <f t="shared" si="53"/>
        <v/>
      </c>
      <c r="CL143" t="str">
        <f t="shared" si="54"/>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4"/>
        <v/>
      </c>
      <c r="CC144" t="str">
        <f t="shared" si="45"/>
        <v/>
      </c>
      <c r="CD144" t="str">
        <f t="shared" si="46"/>
        <v/>
      </c>
      <c r="CE144" t="str">
        <f t="shared" si="47"/>
        <v/>
      </c>
      <c r="CF144" t="str">
        <f t="shared" si="48"/>
        <v/>
      </c>
      <c r="CG144" t="str">
        <f t="shared" si="49"/>
        <v/>
      </c>
      <c r="CH144" t="str">
        <f t="shared" si="50"/>
        <v/>
      </c>
      <c r="CI144" t="str">
        <f t="shared" si="51"/>
        <v/>
      </c>
      <c r="CJ144" t="str">
        <f t="shared" si="52"/>
        <v/>
      </c>
      <c r="CK144" t="str">
        <f t="shared" si="53"/>
        <v/>
      </c>
      <c r="CL144" t="str">
        <f t="shared" si="54"/>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4"/>
        <v/>
      </c>
      <c r="CC145" t="str">
        <f t="shared" si="45"/>
        <v/>
      </c>
      <c r="CD145" t="str">
        <f t="shared" si="46"/>
        <v/>
      </c>
      <c r="CE145" t="str">
        <f t="shared" si="47"/>
        <v/>
      </c>
      <c r="CF145" t="str">
        <f t="shared" si="48"/>
        <v/>
      </c>
      <c r="CG145" t="str">
        <f t="shared" si="49"/>
        <v/>
      </c>
      <c r="CH145" t="str">
        <f t="shared" si="50"/>
        <v/>
      </c>
      <c r="CI145" t="str">
        <f t="shared" si="51"/>
        <v/>
      </c>
      <c r="CJ145" t="str">
        <f t="shared" si="52"/>
        <v/>
      </c>
      <c r="CK145" t="str">
        <f t="shared" si="53"/>
        <v/>
      </c>
      <c r="CL145" t="str">
        <f t="shared" si="54"/>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4"/>
        <v/>
      </c>
      <c r="CC146" t="str">
        <f t="shared" si="45"/>
        <v/>
      </c>
      <c r="CD146" t="str">
        <f t="shared" si="46"/>
        <v/>
      </c>
      <c r="CE146" t="str">
        <f t="shared" si="47"/>
        <v/>
      </c>
      <c r="CF146" t="str">
        <f t="shared" si="48"/>
        <v/>
      </c>
      <c r="CG146" t="str">
        <f t="shared" si="49"/>
        <v/>
      </c>
      <c r="CH146" t="str">
        <f t="shared" si="50"/>
        <v/>
      </c>
      <c r="CI146" t="str">
        <f t="shared" si="51"/>
        <v/>
      </c>
      <c r="CJ146" t="str">
        <f t="shared" si="52"/>
        <v/>
      </c>
      <c r="CK146" t="str">
        <f t="shared" si="53"/>
        <v/>
      </c>
      <c r="CL146" t="str">
        <f t="shared" si="54"/>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4"/>
        <v/>
      </c>
      <c r="CC147" t="str">
        <f t="shared" si="45"/>
        <v/>
      </c>
      <c r="CD147" t="str">
        <f t="shared" si="46"/>
        <v/>
      </c>
      <c r="CE147" t="str">
        <f t="shared" si="47"/>
        <v/>
      </c>
      <c r="CF147" t="str">
        <f t="shared" si="48"/>
        <v/>
      </c>
      <c r="CG147" t="str">
        <f t="shared" si="49"/>
        <v/>
      </c>
      <c r="CH147" t="str">
        <f t="shared" si="50"/>
        <v/>
      </c>
      <c r="CI147" t="str">
        <f t="shared" si="51"/>
        <v/>
      </c>
      <c r="CJ147" t="str">
        <f t="shared" si="52"/>
        <v/>
      </c>
      <c r="CK147" t="str">
        <f t="shared" si="53"/>
        <v/>
      </c>
      <c r="CL147" t="str">
        <f t="shared" si="54"/>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4"/>
        <v/>
      </c>
      <c r="CC148" t="str">
        <f t="shared" si="45"/>
        <v/>
      </c>
      <c r="CD148" t="str">
        <f t="shared" si="46"/>
        <v/>
      </c>
      <c r="CE148" t="str">
        <f t="shared" si="47"/>
        <v/>
      </c>
      <c r="CF148" t="str">
        <f t="shared" si="48"/>
        <v/>
      </c>
      <c r="CG148" t="str">
        <f t="shared" si="49"/>
        <v/>
      </c>
      <c r="CH148" t="str">
        <f t="shared" si="50"/>
        <v/>
      </c>
      <c r="CI148" t="str">
        <f t="shared" si="51"/>
        <v/>
      </c>
      <c r="CJ148" t="str">
        <f t="shared" si="52"/>
        <v/>
      </c>
      <c r="CK148" t="str">
        <f t="shared" si="53"/>
        <v/>
      </c>
      <c r="CL148" t="str">
        <f t="shared" si="54"/>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4"/>
        <v/>
      </c>
      <c r="CC149" t="str">
        <f t="shared" si="45"/>
        <v/>
      </c>
      <c r="CD149" t="str">
        <f t="shared" si="46"/>
        <v/>
      </c>
      <c r="CE149" t="str">
        <f t="shared" si="47"/>
        <v/>
      </c>
      <c r="CF149" t="str">
        <f t="shared" si="48"/>
        <v/>
      </c>
      <c r="CG149" t="str">
        <f t="shared" si="49"/>
        <v/>
      </c>
      <c r="CH149" t="str">
        <f t="shared" si="50"/>
        <v/>
      </c>
      <c r="CI149" t="str">
        <f t="shared" si="51"/>
        <v/>
      </c>
      <c r="CJ149" t="str">
        <f t="shared" si="52"/>
        <v/>
      </c>
      <c r="CK149" t="str">
        <f t="shared" si="53"/>
        <v/>
      </c>
      <c r="CL149" t="str">
        <f t="shared" si="54"/>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4"/>
        <v/>
      </c>
      <c r="CC150" t="str">
        <f t="shared" si="45"/>
        <v/>
      </c>
      <c r="CD150" t="str">
        <f t="shared" si="46"/>
        <v/>
      </c>
      <c r="CE150" t="str">
        <f t="shared" si="47"/>
        <v/>
      </c>
      <c r="CF150" t="str">
        <f t="shared" si="48"/>
        <v/>
      </c>
      <c r="CG150" t="str">
        <f t="shared" si="49"/>
        <v/>
      </c>
      <c r="CH150" t="str">
        <f t="shared" si="50"/>
        <v/>
      </c>
      <c r="CI150" t="str">
        <f t="shared" si="51"/>
        <v/>
      </c>
      <c r="CJ150" t="str">
        <f t="shared" si="52"/>
        <v/>
      </c>
      <c r="CK150" t="str">
        <f t="shared" si="53"/>
        <v/>
      </c>
      <c r="CL150" t="str">
        <f t="shared" si="54"/>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4"/>
        <v/>
      </c>
      <c r="CC151" t="str">
        <f t="shared" si="45"/>
        <v/>
      </c>
      <c r="CD151" t="str">
        <f t="shared" si="46"/>
        <v/>
      </c>
      <c r="CE151" t="str">
        <f t="shared" si="47"/>
        <v/>
      </c>
      <c r="CF151" t="str">
        <f t="shared" si="48"/>
        <v/>
      </c>
      <c r="CG151" t="str">
        <f t="shared" si="49"/>
        <v/>
      </c>
      <c r="CH151" t="str">
        <f t="shared" si="50"/>
        <v/>
      </c>
      <c r="CI151" t="str">
        <f t="shared" si="51"/>
        <v/>
      </c>
      <c r="CJ151" t="str">
        <f t="shared" si="52"/>
        <v/>
      </c>
      <c r="CK151" t="str">
        <f t="shared" si="53"/>
        <v/>
      </c>
      <c r="CL151" t="str">
        <f t="shared" si="54"/>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4"/>
        <v/>
      </c>
      <c r="CC152" t="str">
        <f t="shared" si="45"/>
        <v/>
      </c>
      <c r="CD152" t="str">
        <f t="shared" si="46"/>
        <v/>
      </c>
      <c r="CE152" t="str">
        <f t="shared" si="47"/>
        <v/>
      </c>
      <c r="CF152" t="str">
        <f t="shared" si="48"/>
        <v/>
      </c>
      <c r="CG152" t="str">
        <f t="shared" si="49"/>
        <v/>
      </c>
      <c r="CH152" t="str">
        <f t="shared" si="50"/>
        <v/>
      </c>
      <c r="CI152" t="str">
        <f t="shared" si="51"/>
        <v/>
      </c>
      <c r="CJ152" t="str">
        <f t="shared" si="52"/>
        <v/>
      </c>
      <c r="CK152" t="str">
        <f t="shared" si="53"/>
        <v/>
      </c>
      <c r="CL152" t="str">
        <f t="shared" si="54"/>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4"/>
        <v/>
      </c>
      <c r="CC153" t="str">
        <f t="shared" si="45"/>
        <v/>
      </c>
      <c r="CD153" t="str">
        <f t="shared" si="46"/>
        <v/>
      </c>
      <c r="CE153" t="str">
        <f t="shared" si="47"/>
        <v/>
      </c>
      <c r="CF153" t="str">
        <f t="shared" si="48"/>
        <v/>
      </c>
      <c r="CG153" t="str">
        <f t="shared" si="49"/>
        <v/>
      </c>
      <c r="CH153" t="str">
        <f t="shared" si="50"/>
        <v/>
      </c>
      <c r="CI153" t="str">
        <f t="shared" si="51"/>
        <v/>
      </c>
      <c r="CJ153" t="str">
        <f t="shared" si="52"/>
        <v/>
      </c>
      <c r="CK153" t="str">
        <f t="shared" si="53"/>
        <v/>
      </c>
      <c r="CL153" t="str">
        <f t="shared" si="54"/>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4"/>
        <v/>
      </c>
      <c r="CC154" t="str">
        <f t="shared" si="45"/>
        <v/>
      </c>
      <c r="CD154" t="str">
        <f t="shared" si="46"/>
        <v/>
      </c>
      <c r="CE154" t="str">
        <f t="shared" si="47"/>
        <v/>
      </c>
      <c r="CF154" t="str">
        <f t="shared" si="48"/>
        <v/>
      </c>
      <c r="CG154" t="str">
        <f t="shared" si="49"/>
        <v/>
      </c>
      <c r="CH154" t="str">
        <f t="shared" si="50"/>
        <v/>
      </c>
      <c r="CI154" t="str">
        <f t="shared" si="51"/>
        <v/>
      </c>
      <c r="CJ154" t="str">
        <f t="shared" si="52"/>
        <v/>
      </c>
      <c r="CK154" t="str">
        <f t="shared" si="53"/>
        <v/>
      </c>
      <c r="CL154" t="str">
        <f t="shared" si="54"/>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4"/>
        <v/>
      </c>
      <c r="CC155" t="str">
        <f t="shared" si="45"/>
        <v/>
      </c>
      <c r="CD155" t="str">
        <f t="shared" si="46"/>
        <v/>
      </c>
      <c r="CE155" t="str">
        <f t="shared" si="47"/>
        <v/>
      </c>
      <c r="CF155" t="str">
        <f t="shared" si="48"/>
        <v/>
      </c>
      <c r="CG155" t="str">
        <f t="shared" si="49"/>
        <v/>
      </c>
      <c r="CH155" t="str">
        <f t="shared" si="50"/>
        <v/>
      </c>
      <c r="CI155" t="str">
        <f t="shared" si="51"/>
        <v/>
      </c>
      <c r="CJ155" t="str">
        <f t="shared" si="52"/>
        <v/>
      </c>
      <c r="CK155" t="str">
        <f t="shared" si="53"/>
        <v/>
      </c>
      <c r="CL155" t="str">
        <f t="shared" si="54"/>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4"/>
        <v/>
      </c>
      <c r="CC156" t="str">
        <f t="shared" si="45"/>
        <v/>
      </c>
      <c r="CD156" t="str">
        <f t="shared" si="46"/>
        <v/>
      </c>
      <c r="CE156" t="str">
        <f t="shared" si="47"/>
        <v/>
      </c>
      <c r="CF156" t="str">
        <f t="shared" si="48"/>
        <v/>
      </c>
      <c r="CG156" t="str">
        <f t="shared" si="49"/>
        <v/>
      </c>
      <c r="CH156" t="str">
        <f t="shared" si="50"/>
        <v/>
      </c>
      <c r="CI156" t="str">
        <f t="shared" si="51"/>
        <v/>
      </c>
      <c r="CJ156" t="str">
        <f t="shared" si="52"/>
        <v/>
      </c>
      <c r="CK156" t="str">
        <f t="shared" si="53"/>
        <v/>
      </c>
      <c r="CL156" t="str">
        <f t="shared" si="54"/>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4"/>
        <v/>
      </c>
      <c r="CC157" t="str">
        <f t="shared" si="45"/>
        <v/>
      </c>
      <c r="CD157" t="str">
        <f t="shared" si="46"/>
        <v/>
      </c>
      <c r="CE157" t="str">
        <f t="shared" si="47"/>
        <v/>
      </c>
      <c r="CF157" t="str">
        <f t="shared" si="48"/>
        <v/>
      </c>
      <c r="CG157" t="str">
        <f t="shared" si="49"/>
        <v/>
      </c>
      <c r="CH157" t="str">
        <f t="shared" si="50"/>
        <v/>
      </c>
      <c r="CI157" t="str">
        <f t="shared" si="51"/>
        <v/>
      </c>
      <c r="CJ157" t="str">
        <f t="shared" si="52"/>
        <v/>
      </c>
      <c r="CK157" t="str">
        <f t="shared" si="53"/>
        <v/>
      </c>
      <c r="CL157" t="str">
        <f t="shared" si="54"/>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4"/>
        <v/>
      </c>
      <c r="CC158" t="str">
        <f t="shared" si="45"/>
        <v/>
      </c>
      <c r="CD158" t="str">
        <f t="shared" si="46"/>
        <v/>
      </c>
      <c r="CE158" t="str">
        <f t="shared" si="47"/>
        <v/>
      </c>
      <c r="CF158" t="str">
        <f t="shared" si="48"/>
        <v/>
      </c>
      <c r="CG158" t="str">
        <f t="shared" si="49"/>
        <v/>
      </c>
      <c r="CH158" t="str">
        <f t="shared" si="50"/>
        <v/>
      </c>
      <c r="CI158" t="str">
        <f t="shared" si="51"/>
        <v/>
      </c>
      <c r="CJ158" t="str">
        <f t="shared" si="52"/>
        <v/>
      </c>
      <c r="CK158" t="str">
        <f t="shared" si="53"/>
        <v/>
      </c>
      <c r="CL158" t="str">
        <f t="shared" si="54"/>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4"/>
        <v/>
      </c>
      <c r="CC159" t="str">
        <f t="shared" si="45"/>
        <v/>
      </c>
      <c r="CD159" t="str">
        <f t="shared" si="46"/>
        <v/>
      </c>
      <c r="CE159" t="str">
        <f t="shared" si="47"/>
        <v/>
      </c>
      <c r="CF159" t="str">
        <f t="shared" si="48"/>
        <v/>
      </c>
      <c r="CG159" t="str">
        <f t="shared" si="49"/>
        <v/>
      </c>
      <c r="CH159" t="str">
        <f t="shared" si="50"/>
        <v/>
      </c>
      <c r="CI159" t="str">
        <f t="shared" si="51"/>
        <v/>
      </c>
      <c r="CJ159" t="str">
        <f t="shared" si="52"/>
        <v/>
      </c>
      <c r="CK159" t="str">
        <f t="shared" si="53"/>
        <v/>
      </c>
      <c r="CL159" t="str">
        <f t="shared" si="54"/>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4"/>
        <v/>
      </c>
      <c r="CC160" t="str">
        <f t="shared" si="45"/>
        <v/>
      </c>
      <c r="CD160" t="str">
        <f t="shared" si="46"/>
        <v/>
      </c>
      <c r="CE160" t="str">
        <f t="shared" si="47"/>
        <v/>
      </c>
      <c r="CF160" t="str">
        <f t="shared" si="48"/>
        <v/>
      </c>
      <c r="CG160" t="str">
        <f t="shared" si="49"/>
        <v/>
      </c>
      <c r="CH160" t="str">
        <f t="shared" si="50"/>
        <v/>
      </c>
      <c r="CI160" t="str">
        <f t="shared" si="51"/>
        <v/>
      </c>
      <c r="CJ160" t="str">
        <f t="shared" si="52"/>
        <v/>
      </c>
      <c r="CK160" t="str">
        <f t="shared" si="53"/>
        <v/>
      </c>
      <c r="CL160" t="str">
        <f t="shared" si="54"/>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4"/>
        <v/>
      </c>
      <c r="CC161" t="str">
        <f t="shared" si="45"/>
        <v/>
      </c>
      <c r="CD161" t="str">
        <f t="shared" si="46"/>
        <v/>
      </c>
      <c r="CE161" t="str">
        <f t="shared" si="47"/>
        <v/>
      </c>
      <c r="CF161" t="str">
        <f t="shared" si="48"/>
        <v/>
      </c>
      <c r="CG161" t="str">
        <f t="shared" si="49"/>
        <v/>
      </c>
      <c r="CH161" t="str">
        <f t="shared" si="50"/>
        <v/>
      </c>
      <c r="CI161" t="str">
        <f t="shared" si="51"/>
        <v/>
      </c>
      <c r="CJ161" t="str">
        <f t="shared" si="52"/>
        <v/>
      </c>
      <c r="CK161" t="str">
        <f t="shared" si="53"/>
        <v/>
      </c>
      <c r="CL161" t="str">
        <f t="shared" si="54"/>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4"/>
        <v/>
      </c>
      <c r="CC162" t="str">
        <f t="shared" si="45"/>
        <v/>
      </c>
      <c r="CD162" t="str">
        <f t="shared" si="46"/>
        <v/>
      </c>
      <c r="CE162" t="str">
        <f t="shared" si="47"/>
        <v/>
      </c>
      <c r="CF162" t="str">
        <f t="shared" si="48"/>
        <v/>
      </c>
      <c r="CG162" t="str">
        <f t="shared" si="49"/>
        <v/>
      </c>
      <c r="CH162" t="str">
        <f t="shared" si="50"/>
        <v/>
      </c>
      <c r="CI162" t="str">
        <f t="shared" si="51"/>
        <v/>
      </c>
      <c r="CJ162" t="str">
        <f t="shared" si="52"/>
        <v/>
      </c>
      <c r="CK162" t="str">
        <f t="shared" si="53"/>
        <v/>
      </c>
      <c r="CL162" t="str">
        <f t="shared" si="54"/>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5">IFERROR(AVERAGE(H163,I163,J163,K163),"")</f>
        <v/>
      </c>
      <c r="CC163" t="str">
        <f t="shared" ref="CC163:CC176" si="56">IFERROR(AVERAGE(L163,M163,N163,O163,P163,Q163,R163,S163),"")</f>
        <v/>
      </c>
      <c r="CD163" t="str">
        <f t="shared" ref="CD163:CD176" si="57">IFERROR(AVERAGE(T163,U163,V163,W163,X163,Y163,Z163,AA163,AB163,AC163,AD163,AE163,AF163),"")</f>
        <v/>
      </c>
      <c r="CE163" t="str">
        <f t="shared" ref="CE163:CE176" si="58">IFERROR(AVERAGE(AG163,AH163,AI163,AJ163),"")</f>
        <v/>
      </c>
      <c r="CF163" t="str">
        <f t="shared" ref="CF163:CF176" si="59">IFERROR(AVERAGE(D163,AK163,AL163,AM163,AN163,AO163,AP163,AQ163,AR163,AS163),"")</f>
        <v/>
      </c>
      <c r="CG163" t="str">
        <f t="shared" ref="CG163:CG176" si="60">IFERROR(AVERAGE(AT163,AU163,AV163,BB163,AW163,AX163,AY163,AZ163,BA163),"")</f>
        <v/>
      </c>
      <c r="CH163" t="str">
        <f t="shared" ref="CH163:CH176" si="61">IFERROR(AVERAGE(C163,E163,F163,BC163,BH163,BI163,BD163,BE163,BF163,BG163),"")</f>
        <v/>
      </c>
      <c r="CI163" t="str">
        <f t="shared" ref="CI163:CI176" si="62">IFERROR(AVERAGE(BJ163,BK163,BL163,BM163),"")</f>
        <v/>
      </c>
      <c r="CJ163" t="str">
        <f t="shared" ref="CJ163:CJ176" si="63">IFERROR(AVERAGE(G163,BN163,BO163,BP163),"")</f>
        <v/>
      </c>
      <c r="CK163" t="str">
        <f t="shared" ref="CK163:CK176" si="64">IFERROR(AVERAGE(BQ163,BS163,BR163),"")</f>
        <v/>
      </c>
      <c r="CL163" t="str">
        <f t="shared" ref="CL163:CL176" si="65">IFERROR(AVERAGE(BT163,BU163),"")</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5"/>
        <v/>
      </c>
      <c r="CC164" t="str">
        <f t="shared" si="56"/>
        <v/>
      </c>
      <c r="CD164" t="str">
        <f t="shared" si="57"/>
        <v/>
      </c>
      <c r="CE164" t="str">
        <f t="shared" si="58"/>
        <v/>
      </c>
      <c r="CF164" t="str">
        <f t="shared" si="59"/>
        <v/>
      </c>
      <c r="CG164" t="str">
        <f t="shared" si="60"/>
        <v/>
      </c>
      <c r="CH164" t="str">
        <f t="shared" si="61"/>
        <v/>
      </c>
      <c r="CI164" t="str">
        <f t="shared" si="62"/>
        <v/>
      </c>
      <c r="CJ164" t="str">
        <f t="shared" si="63"/>
        <v/>
      </c>
      <c r="CK164" t="str">
        <f t="shared" si="64"/>
        <v/>
      </c>
      <c r="CL164" t="str">
        <f t="shared" si="65"/>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5"/>
        <v/>
      </c>
      <c r="CC165" t="str">
        <f t="shared" si="56"/>
        <v/>
      </c>
      <c r="CD165" t="str">
        <f t="shared" si="57"/>
        <v/>
      </c>
      <c r="CE165" t="str">
        <f t="shared" si="58"/>
        <v/>
      </c>
      <c r="CF165" t="str">
        <f t="shared" si="59"/>
        <v/>
      </c>
      <c r="CG165" t="str">
        <f t="shared" si="60"/>
        <v/>
      </c>
      <c r="CH165" t="str">
        <f t="shared" si="61"/>
        <v/>
      </c>
      <c r="CI165" t="str">
        <f t="shared" si="62"/>
        <v/>
      </c>
      <c r="CJ165" t="str">
        <f t="shared" si="63"/>
        <v/>
      </c>
      <c r="CK165" t="str">
        <f t="shared" si="64"/>
        <v/>
      </c>
      <c r="CL165" t="str">
        <f t="shared" si="65"/>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5"/>
        <v/>
      </c>
      <c r="CC166" t="str">
        <f t="shared" si="56"/>
        <v/>
      </c>
      <c r="CD166" t="str">
        <f t="shared" si="57"/>
        <v/>
      </c>
      <c r="CE166" t="str">
        <f t="shared" si="58"/>
        <v/>
      </c>
      <c r="CF166" t="str">
        <f t="shared" si="59"/>
        <v/>
      </c>
      <c r="CG166" t="str">
        <f t="shared" si="60"/>
        <v/>
      </c>
      <c r="CH166" t="str">
        <f t="shared" si="61"/>
        <v/>
      </c>
      <c r="CI166" t="str">
        <f t="shared" si="62"/>
        <v/>
      </c>
      <c r="CJ166" t="str">
        <f t="shared" si="63"/>
        <v/>
      </c>
      <c r="CK166" t="str">
        <f t="shared" si="64"/>
        <v/>
      </c>
      <c r="CL166" t="str">
        <f t="shared" si="65"/>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5"/>
        <v/>
      </c>
      <c r="CC167" t="str">
        <f t="shared" si="56"/>
        <v/>
      </c>
      <c r="CD167" t="str">
        <f t="shared" si="57"/>
        <v/>
      </c>
      <c r="CE167" t="str">
        <f t="shared" si="58"/>
        <v/>
      </c>
      <c r="CF167" t="str">
        <f t="shared" si="59"/>
        <v/>
      </c>
      <c r="CG167" t="str">
        <f t="shared" si="60"/>
        <v/>
      </c>
      <c r="CH167" t="str">
        <f t="shared" si="61"/>
        <v/>
      </c>
      <c r="CI167" t="str">
        <f t="shared" si="62"/>
        <v/>
      </c>
      <c r="CJ167" t="str">
        <f t="shared" si="63"/>
        <v/>
      </c>
      <c r="CK167" t="str">
        <f t="shared" si="64"/>
        <v/>
      </c>
      <c r="CL167" t="str">
        <f t="shared" si="65"/>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5"/>
        <v/>
      </c>
      <c r="CC168" t="str">
        <f t="shared" si="56"/>
        <v/>
      </c>
      <c r="CD168" t="str">
        <f t="shared" si="57"/>
        <v/>
      </c>
      <c r="CE168" t="str">
        <f t="shared" si="58"/>
        <v/>
      </c>
      <c r="CF168" t="str">
        <f t="shared" si="59"/>
        <v/>
      </c>
      <c r="CG168" t="str">
        <f t="shared" si="60"/>
        <v/>
      </c>
      <c r="CH168" t="str">
        <f t="shared" si="61"/>
        <v/>
      </c>
      <c r="CI168" t="str">
        <f t="shared" si="62"/>
        <v/>
      </c>
      <c r="CJ168" t="str">
        <f t="shared" si="63"/>
        <v/>
      </c>
      <c r="CK168" t="str">
        <f t="shared" si="64"/>
        <v/>
      </c>
      <c r="CL168" t="str">
        <f t="shared" si="65"/>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5"/>
        <v/>
      </c>
      <c r="CC169" t="str">
        <f t="shared" si="56"/>
        <v/>
      </c>
      <c r="CD169" t="str">
        <f t="shared" si="57"/>
        <v/>
      </c>
      <c r="CE169" t="str">
        <f t="shared" si="58"/>
        <v/>
      </c>
      <c r="CF169" t="str">
        <f t="shared" si="59"/>
        <v/>
      </c>
      <c r="CG169" t="str">
        <f t="shared" si="60"/>
        <v/>
      </c>
      <c r="CH169" t="str">
        <f t="shared" si="61"/>
        <v/>
      </c>
      <c r="CI169" t="str">
        <f t="shared" si="62"/>
        <v/>
      </c>
      <c r="CJ169" t="str">
        <f t="shared" si="63"/>
        <v/>
      </c>
      <c r="CK169" t="str">
        <f t="shared" si="64"/>
        <v/>
      </c>
      <c r="CL169" t="str">
        <f t="shared" si="65"/>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5"/>
        <v/>
      </c>
      <c r="CC170" t="str">
        <f t="shared" si="56"/>
        <v/>
      </c>
      <c r="CD170" t="str">
        <f t="shared" si="57"/>
        <v/>
      </c>
      <c r="CE170" t="str">
        <f t="shared" si="58"/>
        <v/>
      </c>
      <c r="CF170" t="str">
        <f t="shared" si="59"/>
        <v/>
      </c>
      <c r="CG170" t="str">
        <f t="shared" si="60"/>
        <v/>
      </c>
      <c r="CH170" t="str">
        <f t="shared" si="61"/>
        <v/>
      </c>
      <c r="CI170" t="str">
        <f t="shared" si="62"/>
        <v/>
      </c>
      <c r="CJ170" t="str">
        <f t="shared" si="63"/>
        <v/>
      </c>
      <c r="CK170" t="str">
        <f t="shared" si="64"/>
        <v/>
      </c>
      <c r="CL170" t="str">
        <f t="shared" si="65"/>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5"/>
        <v/>
      </c>
      <c r="CC171" t="str">
        <f t="shared" si="56"/>
        <v/>
      </c>
      <c r="CD171" t="str">
        <f t="shared" si="57"/>
        <v/>
      </c>
      <c r="CE171" t="str">
        <f t="shared" si="58"/>
        <v/>
      </c>
      <c r="CF171" t="str">
        <f t="shared" si="59"/>
        <v/>
      </c>
      <c r="CG171" t="str">
        <f t="shared" si="60"/>
        <v/>
      </c>
      <c r="CH171" t="str">
        <f t="shared" si="61"/>
        <v/>
      </c>
      <c r="CI171" t="str">
        <f t="shared" si="62"/>
        <v/>
      </c>
      <c r="CJ171" t="str">
        <f t="shared" si="63"/>
        <v/>
      </c>
      <c r="CK171" t="str">
        <f t="shared" si="64"/>
        <v/>
      </c>
      <c r="CL171" t="str">
        <f t="shared" si="65"/>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5"/>
        <v/>
      </c>
      <c r="CC172" t="str">
        <f t="shared" si="56"/>
        <v/>
      </c>
      <c r="CD172" t="str">
        <f t="shared" si="57"/>
        <v/>
      </c>
      <c r="CE172" t="str">
        <f t="shared" si="58"/>
        <v/>
      </c>
      <c r="CF172" t="str">
        <f t="shared" si="59"/>
        <v/>
      </c>
      <c r="CG172" t="str">
        <f t="shared" si="60"/>
        <v/>
      </c>
      <c r="CH172" t="str">
        <f t="shared" si="61"/>
        <v/>
      </c>
      <c r="CI172" t="str">
        <f t="shared" si="62"/>
        <v/>
      </c>
      <c r="CJ172" t="str">
        <f t="shared" si="63"/>
        <v/>
      </c>
      <c r="CK172" t="str">
        <f t="shared" si="64"/>
        <v/>
      </c>
      <c r="CL172" t="str">
        <f t="shared" si="65"/>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5"/>
        <v/>
      </c>
      <c r="CC173" t="str">
        <f t="shared" si="56"/>
        <v/>
      </c>
      <c r="CD173" t="str">
        <f t="shared" si="57"/>
        <v/>
      </c>
      <c r="CE173" t="str">
        <f t="shared" si="58"/>
        <v/>
      </c>
      <c r="CF173" t="str">
        <f t="shared" si="59"/>
        <v/>
      </c>
      <c r="CG173" t="str">
        <f t="shared" si="60"/>
        <v/>
      </c>
      <c r="CH173" t="str">
        <f t="shared" si="61"/>
        <v/>
      </c>
      <c r="CI173" t="str">
        <f t="shared" si="62"/>
        <v/>
      </c>
      <c r="CJ173" t="str">
        <f t="shared" si="63"/>
        <v/>
      </c>
      <c r="CK173" t="str">
        <f t="shared" si="64"/>
        <v/>
      </c>
      <c r="CL173" t="str">
        <f t="shared" si="65"/>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5"/>
        <v/>
      </c>
      <c r="CC174" t="str">
        <f t="shared" si="56"/>
        <v/>
      </c>
      <c r="CD174" t="str">
        <f t="shared" si="57"/>
        <v/>
      </c>
      <c r="CE174" t="str">
        <f t="shared" si="58"/>
        <v/>
      </c>
      <c r="CF174" t="str">
        <f t="shared" si="59"/>
        <v/>
      </c>
      <c r="CG174" t="str">
        <f t="shared" si="60"/>
        <v/>
      </c>
      <c r="CH174" t="str">
        <f t="shared" si="61"/>
        <v/>
      </c>
      <c r="CI174" t="str">
        <f t="shared" si="62"/>
        <v/>
      </c>
      <c r="CJ174" t="str">
        <f t="shared" si="63"/>
        <v/>
      </c>
      <c r="CK174" t="str">
        <f t="shared" si="64"/>
        <v/>
      </c>
      <c r="CL174" t="str">
        <f t="shared" si="65"/>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5"/>
        <v/>
      </c>
      <c r="CC175" t="str">
        <f t="shared" si="56"/>
        <v/>
      </c>
      <c r="CD175" t="str">
        <f t="shared" si="57"/>
        <v/>
      </c>
      <c r="CE175" t="str">
        <f t="shared" si="58"/>
        <v/>
      </c>
      <c r="CF175" t="str">
        <f t="shared" si="59"/>
        <v/>
      </c>
      <c r="CG175" t="str">
        <f t="shared" si="60"/>
        <v/>
      </c>
      <c r="CH175" t="str">
        <f t="shared" si="61"/>
        <v/>
      </c>
      <c r="CI175" t="str">
        <f t="shared" si="62"/>
        <v/>
      </c>
      <c r="CJ175" t="str">
        <f t="shared" si="63"/>
        <v/>
      </c>
      <c r="CK175" t="str">
        <f t="shared" si="64"/>
        <v/>
      </c>
      <c r="CL175" t="str">
        <f t="shared" si="65"/>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5"/>
        <v/>
      </c>
      <c r="CC176" t="str">
        <f t="shared" si="56"/>
        <v/>
      </c>
      <c r="CD176" t="str">
        <f t="shared" si="57"/>
        <v/>
      </c>
      <c r="CE176" t="str">
        <f t="shared" si="58"/>
        <v/>
      </c>
      <c r="CF176" t="str">
        <f t="shared" si="59"/>
        <v/>
      </c>
      <c r="CG176" t="str">
        <f t="shared" si="60"/>
        <v/>
      </c>
      <c r="CH176" t="str">
        <f t="shared" si="61"/>
        <v/>
      </c>
      <c r="CI176" t="str">
        <f t="shared" si="62"/>
        <v/>
      </c>
      <c r="CJ176" t="str">
        <f t="shared" si="63"/>
        <v/>
      </c>
      <c r="CK176" t="str">
        <f t="shared" si="64"/>
        <v/>
      </c>
      <c r="CL176" t="str">
        <f t="shared" si="65"/>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912</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1081</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913</v>
      </c>
      <c r="C3" s="1" t="s">
        <v>23</v>
      </c>
      <c r="D3" s="1" t="s">
        <v>32</v>
      </c>
      <c r="E3" s="2" t="s">
        <v>914</v>
      </c>
      <c r="F3" s="3" t="s">
        <v>915</v>
      </c>
      <c r="G3" s="3" t="s">
        <v>916</v>
      </c>
      <c r="H3" s="2" t="s">
        <v>917</v>
      </c>
      <c r="I3" s="3" t="s">
        <v>918</v>
      </c>
      <c r="J3" s="3" t="s">
        <v>919</v>
      </c>
      <c r="K3" s="2" t="s">
        <v>920</v>
      </c>
      <c r="L3" s="2" t="s">
        <v>921</v>
      </c>
      <c r="M3" s="2" t="s">
        <v>922</v>
      </c>
      <c r="N3" s="2" t="s">
        <v>923</v>
      </c>
      <c r="O3" s="2" t="s">
        <v>924</v>
      </c>
      <c r="P3" s="4" t="s">
        <v>925</v>
      </c>
      <c r="Q3" s="4" t="s">
        <v>926</v>
      </c>
      <c r="R3" s="4" t="s">
        <v>927</v>
      </c>
      <c r="S3" s="4" t="s">
        <v>928</v>
      </c>
      <c r="T3" s="4" t="s">
        <v>929</v>
      </c>
      <c r="U3" s="5" t="s">
        <v>930</v>
      </c>
      <c r="V3" s="5" t="s">
        <v>931</v>
      </c>
      <c r="W3" s="5" t="s">
        <v>932</v>
      </c>
      <c r="X3" s="5" t="s">
        <v>933</v>
      </c>
      <c r="Y3" s="5" t="s">
        <v>934</v>
      </c>
      <c r="Z3" s="6" t="s">
        <v>935</v>
      </c>
      <c r="AA3" s="7" t="s">
        <v>936</v>
      </c>
      <c r="AB3" s="8" t="s">
        <v>937</v>
      </c>
      <c r="AC3" s="9" t="s">
        <v>938</v>
      </c>
      <c r="AD3" s="8" t="s">
        <v>939</v>
      </c>
      <c r="AE3" s="10" t="s">
        <v>940</v>
      </c>
      <c r="AF3" s="10" t="s">
        <v>941</v>
      </c>
      <c r="AG3" s="10" t="s">
        <v>942</v>
      </c>
      <c r="AH3" s="10" t="s">
        <v>943</v>
      </c>
      <c r="AI3" s="11" t="s">
        <v>1082</v>
      </c>
      <c r="AJ3" s="12" t="s">
        <v>944</v>
      </c>
      <c r="AK3" s="4" t="s">
        <v>945</v>
      </c>
      <c r="AL3" s="6" t="s">
        <v>946</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IF(OR(NOT(ISNUMBER(F4)),F4=0),50,F4)</f>
        <v>50</v>
      </c>
      <c r="W4" s="18">
        <f>IFERROR(IF(MATRIZ_174!R3=0,65,IF(MATRIZ_174!R3/MATRIZ_174!Q3&gt;=2,35,IF(MATRIZ_174!R3/MATRIZ_174!Q3&gt;=0.5,50,65))),65)</f>
        <v>65</v>
      </c>
      <c r="X4" s="18">
        <f>IFERROR(MIN(100,IF(MATRIZ_174!O3=0,70,30)+IF(MATRIZ_174!U3="",0,0.3*(100-MATRIZ_174!U3*100))),70)</f>
        <v>70</v>
      </c>
      <c r="Y4" s="18">
        <f>IF(OR(MATRIZ_174!P3="ASOCIACION",MATRIZ_174!P3="PENDIENTE"),65,40)</f>
        <v>65</v>
      </c>
      <c r="Z4" s="19" t="str">
        <f t="shared" ref="Z4:Z35" si="5">IF(COUNT(F4:M4)&lt;8,"—",IFERROR(ROUND(AVERAGE(P4:T4),1),"—"))</f>
        <v>—</v>
      </c>
      <c r="AA4" s="20">
        <f t="shared" ref="AA4:AA35" si="6">IFERROR(ROUND(AVERAGE(U4,V4,W4,X4,Y4),1),0)</f>
        <v>60</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f>IFERROR(MATRIZ_174!AP3,"N/A")</f>
        <v>0.26041666666666669</v>
      </c>
      <c r="AJ4" s="17">
        <f>IFERROR(MATRIZ_174!AO3,"N/A")</f>
        <v>0</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IFERROR(MIN(100,IF(MATRIZ_174!O4=0,70,30)+IF(MATRIZ_174!U4="",0,0.3*(100-MATRIZ_174!U4*100))),70)</f>
        <v>70</v>
      </c>
      <c r="Y5" s="18">
        <f>IF(OR(MATRIZ_174!P4="ASOCIACION",MATRIZ_174!P4="PENDIENTE"),65,40)</f>
        <v>65</v>
      </c>
      <c r="Z5" s="19" t="str">
        <f t="shared" si="5"/>
        <v>—</v>
      </c>
      <c r="AA5" s="20">
        <f t="shared" si="6"/>
        <v>50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f>IFERROR(MATRIZ_174!AP4,"N/A")</f>
        <v>0</v>
      </c>
      <c r="AJ5" s="17">
        <f>IFERROR(MATRIZ_174!AO4,"N/A")</f>
        <v>0</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IFERROR(MIN(100,IF(MATRIZ_174!O5=0,70,30)+IF(MATRIZ_174!U5="",0,0.3*(100-MATRIZ_174!U5*100))),70)</f>
        <v>70</v>
      </c>
      <c r="Y6" s="18">
        <f>IF(OR(MATRIZ_174!P5="ASOCIACION",MATRIZ_174!P5="PENDIENTE"),65,40)</f>
        <v>65</v>
      </c>
      <c r="Z6" s="19" t="str">
        <f t="shared" si="5"/>
        <v>—</v>
      </c>
      <c r="AA6" s="20">
        <f t="shared" si="6"/>
        <v>60</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f>IFERROR(MATRIZ_174!AP5,"N/A")</f>
        <v>0.26041666666666669</v>
      </c>
      <c r="AJ6" s="17">
        <f>IFERROR(MATRIZ_174!AO5,"N/A")</f>
        <v>0</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IFERROR(MIN(100,IF(MATRIZ_174!O6=0,70,30)+IF(MATRIZ_174!U6="",0,0.3*(100-MATRIZ_174!U6*100))),70)</f>
        <v>70</v>
      </c>
      <c r="Y7" s="18">
        <f>IF(OR(MATRIZ_174!P6="ASOCIACION",MATRIZ_174!P6="PENDIENTE"),65,40)</f>
        <v>65</v>
      </c>
      <c r="Z7" s="19" t="str">
        <f t="shared" si="5"/>
        <v>—</v>
      </c>
      <c r="AA7" s="20">
        <f t="shared" si="6"/>
        <v>47</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f>IFERROR(MATRIZ_174!AP6,"N/A")</f>
        <v>5.2083333333333336E-2</v>
      </c>
      <c r="AJ7" s="17">
        <f>IFERROR(MATRIZ_174!AO6,"N/A")</f>
        <v>0</v>
      </c>
      <c r="AK7" s="23" t="str">
        <f t="shared" si="9"/>
        <v>N/A</v>
      </c>
      <c r="AL7" s="24" t="str">
        <f t="shared" si="10"/>
        <v>—</v>
      </c>
    </row>
    <row r="8" spans="1:38" ht="16.05" customHeight="1" x14ac:dyDescent="0.3">
      <c r="A8" s="13" t="s">
        <v>83</v>
      </c>
      <c r="B8" s="14" t="s">
        <v>84</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IFERROR(MIN(100,IF(MATRIZ_174!O7=0,70,30)+IF(MATRIZ_174!U7="",0,0.3*(100-MATRIZ_174!U7*100))),70)</f>
        <v>70</v>
      </c>
      <c r="Y8" s="18">
        <f>IF(OR(MATRIZ_174!P7="ASOCIACION",MATRIZ_174!P7="PENDIENTE"),65,40)</f>
        <v>65</v>
      </c>
      <c r="Z8" s="19" t="str">
        <f t="shared" si="5"/>
        <v>—</v>
      </c>
      <c r="AA8" s="20">
        <f t="shared" si="6"/>
        <v>44</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f>IFERROR(MATRIZ_174!AP7,"N/A")</f>
        <v>5.2083333333333336E-2</v>
      </c>
      <c r="AJ8" s="17">
        <f>IFERROR(MATRIZ_174!AO7,"N/A")</f>
        <v>0</v>
      </c>
      <c r="AK8" s="23" t="str">
        <f t="shared" si="9"/>
        <v>N/A</v>
      </c>
      <c r="AL8" s="24" t="str">
        <f t="shared" si="10"/>
        <v>—</v>
      </c>
    </row>
    <row r="9" spans="1:38" ht="16.05" customHeight="1" x14ac:dyDescent="0.3">
      <c r="A9" s="13" t="s">
        <v>86</v>
      </c>
      <c r="B9" s="14" t="s">
        <v>87</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IFERROR(MIN(100,IF(MATRIZ_174!O8=0,70,30)+IF(MATRIZ_174!U8="",0,0.3*(100-MATRIZ_174!U8*100))),70)</f>
        <v>70</v>
      </c>
      <c r="Y9" s="18">
        <f>IF(OR(MATRIZ_174!P8="ASOCIACION",MATRIZ_174!P8="PENDIENTE"),65,40)</f>
        <v>65</v>
      </c>
      <c r="Z9" s="19" t="str">
        <f t="shared" si="5"/>
        <v>—</v>
      </c>
      <c r="AA9" s="20">
        <f t="shared" si="6"/>
        <v>60</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f>IFERROR(MATRIZ_174!AP8,"N/A")</f>
        <v>0.26041666666666669</v>
      </c>
      <c r="AJ9" s="17">
        <f>IFERROR(MATRIZ_174!AO8,"N/A")</f>
        <v>0</v>
      </c>
      <c r="AK9" s="23" t="str">
        <f t="shared" si="9"/>
        <v>N/A</v>
      </c>
      <c r="AL9" s="24" t="str">
        <f t="shared" si="10"/>
        <v>—</v>
      </c>
    </row>
    <row r="10" spans="1:38" ht="16.05" customHeight="1" x14ac:dyDescent="0.3">
      <c r="A10" s="13" t="s">
        <v>88</v>
      </c>
      <c r="B10" s="14" t="s">
        <v>89</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IFERROR(MIN(100,IF(MATRIZ_174!O9=0,70,30)+IF(MATRIZ_174!U9="",0,0.3*(100-MATRIZ_174!U9*100))),70)</f>
        <v>70</v>
      </c>
      <c r="Y10" s="18">
        <f>IF(OR(MATRIZ_174!P9="ASOCIACION",MATRIZ_174!P9="PENDIENTE"),65,40)</f>
        <v>65</v>
      </c>
      <c r="Z10" s="19" t="str">
        <f t="shared" si="5"/>
        <v>—</v>
      </c>
      <c r="AA10" s="20">
        <f t="shared" si="6"/>
        <v>50</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f>IFERROR(MATRIZ_174!AP9,"N/A")</f>
        <v>0</v>
      </c>
      <c r="AJ10" s="17">
        <f>IFERROR(MATRIZ_174!AO9,"N/A")</f>
        <v>0</v>
      </c>
      <c r="AK10" s="23" t="str">
        <f t="shared" si="9"/>
        <v>N/A</v>
      </c>
      <c r="AL10" s="24" t="str">
        <f t="shared" si="10"/>
        <v>—</v>
      </c>
    </row>
    <row r="11" spans="1:38" ht="16.05" customHeight="1" x14ac:dyDescent="0.3">
      <c r="A11" s="13" t="s">
        <v>90</v>
      </c>
      <c r="B11" s="14" t="s">
        <v>91</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IFERROR(MIN(100,IF(MATRIZ_174!O10=0,70,30)+IF(MATRIZ_174!U10="",0,0.3*(100-MATRIZ_174!U10*100))),70)</f>
        <v>70</v>
      </c>
      <c r="Y11" s="18">
        <f>IF(OR(MATRIZ_174!P10="ASOCIACION",MATRIZ_174!P10="PENDIENTE"),65,40)</f>
        <v>65</v>
      </c>
      <c r="Z11" s="19" t="str">
        <f t="shared" si="5"/>
        <v>—</v>
      </c>
      <c r="AA11" s="20">
        <f t="shared" si="6"/>
        <v>44</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f>IFERROR(MATRIZ_174!AP10,"N/A")</f>
        <v>5.2083333333333336E-2</v>
      </c>
      <c r="AJ11" s="17">
        <f>IFERROR(MATRIZ_174!AO10,"N/A")</f>
        <v>0</v>
      </c>
      <c r="AK11" s="23" t="str">
        <f t="shared" si="9"/>
        <v>N/A</v>
      </c>
      <c r="AL11" s="24" t="str">
        <f t="shared" si="10"/>
        <v>—</v>
      </c>
    </row>
    <row r="12" spans="1:38" ht="16.05" customHeight="1" x14ac:dyDescent="0.3">
      <c r="A12" s="13" t="s">
        <v>93</v>
      </c>
      <c r="B12" s="14" t="s">
        <v>94</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IFERROR(MIN(100,IF(MATRIZ_174!O11=0,70,30)+IF(MATRIZ_174!U11="",0,0.3*(100-MATRIZ_174!U11*100))),70)</f>
        <v>70</v>
      </c>
      <c r="Y12" s="18">
        <f>IF(OR(MATRIZ_174!P11="ASOCIACION",MATRIZ_174!P11="PENDIENTE"),65,40)</f>
        <v>65</v>
      </c>
      <c r="Z12" s="19" t="str">
        <f t="shared" si="5"/>
        <v>—</v>
      </c>
      <c r="AA12" s="20">
        <f t="shared" si="6"/>
        <v>50</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f>IFERROR(MATRIZ_174!AP11,"N/A")</f>
        <v>0</v>
      </c>
      <c r="AJ12" s="17">
        <f>IFERROR(MATRIZ_174!AO11,"N/A")</f>
        <v>0</v>
      </c>
      <c r="AK12" s="23" t="str">
        <f t="shared" si="9"/>
        <v>N/A</v>
      </c>
      <c r="AL12" s="24" t="str">
        <f t="shared" si="10"/>
        <v>—</v>
      </c>
    </row>
    <row r="13" spans="1:38" ht="16.05" customHeight="1" x14ac:dyDescent="0.3">
      <c r="A13" s="13" t="s">
        <v>95</v>
      </c>
      <c r="B13" s="14" t="s">
        <v>96</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IFERROR(MIN(100,IF(MATRIZ_174!O12=0,70,30)+IF(MATRIZ_174!U12="",0,0.3*(100-MATRIZ_174!U12*100))),70)</f>
        <v>77.5</v>
      </c>
      <c r="Y13" s="18">
        <f>IF(OR(MATRIZ_174!P12="ASOCIACION",MATRIZ_174!P12="PENDIENTE"),65,40)</f>
        <v>65</v>
      </c>
      <c r="Z13" s="19" t="str">
        <f t="shared" si="5"/>
        <v>—</v>
      </c>
      <c r="AA13" s="20">
        <f t="shared" si="6"/>
        <v>49.5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f>IFERROR(MATRIZ_174!AP12,"N/A")</f>
        <v>0.13583333333333333</v>
      </c>
      <c r="AJ13" s="17">
        <f>IFERROR(MATRIZ_174!AO12,"N/A")</f>
        <v>0</v>
      </c>
      <c r="AK13" s="23" t="str">
        <f t="shared" si="9"/>
        <v>N/A</v>
      </c>
      <c r="AL13" s="24" t="str">
        <f t="shared" si="10"/>
        <v>—</v>
      </c>
    </row>
    <row r="14" spans="1:38" ht="16.05" customHeight="1" x14ac:dyDescent="0.3">
      <c r="A14" s="13" t="s">
        <v>98</v>
      </c>
      <c r="B14" s="14" t="s">
        <v>99</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IFERROR(MIN(100,IF(MATRIZ_174!O13=0,70,30)+IF(MATRIZ_174!U13="",0,0.3*(100-MATRIZ_174!U13*100))),70)</f>
        <v>70</v>
      </c>
      <c r="Y14" s="18">
        <f>IF(OR(MATRIZ_174!P13="ASOCIACION",MATRIZ_174!P13="PENDIENTE"),65,40)</f>
        <v>65</v>
      </c>
      <c r="Z14" s="19" t="str">
        <f t="shared" si="5"/>
        <v>—</v>
      </c>
      <c r="AA14" s="20">
        <f t="shared" si="6"/>
        <v>44</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f>IFERROR(MATRIZ_174!AP13,"N/A")</f>
        <v>5.2083333333333336E-2</v>
      </c>
      <c r="AJ14" s="17">
        <f>IFERROR(MATRIZ_174!AO13,"N/A")</f>
        <v>0</v>
      </c>
      <c r="AK14" s="23" t="str">
        <f t="shared" si="9"/>
        <v>N/A</v>
      </c>
      <c r="AL14" s="24" t="str">
        <f t="shared" si="10"/>
        <v>—</v>
      </c>
    </row>
    <row r="15" spans="1:38" ht="16.05" customHeight="1" x14ac:dyDescent="0.3">
      <c r="A15" s="13" t="s">
        <v>101</v>
      </c>
      <c r="B15" s="14" t="s">
        <v>102</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IFERROR(MIN(100,IF(MATRIZ_174!O14=0,70,30)+IF(MATRIZ_174!U14="",0,0.3*(100-MATRIZ_174!U14*100))),70)</f>
        <v>70</v>
      </c>
      <c r="Y15" s="18">
        <f>IF(OR(MATRIZ_174!P14="ASOCIACION",MATRIZ_174!P14="PENDIENTE"),65,40)</f>
        <v>65</v>
      </c>
      <c r="Z15" s="19" t="str">
        <f t="shared" si="5"/>
        <v>—</v>
      </c>
      <c r="AA15" s="20">
        <f t="shared" si="6"/>
        <v>60</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f>IFERROR(MATRIZ_174!AP14,"N/A")</f>
        <v>0.26041666666666669</v>
      </c>
      <c r="AJ15" s="17">
        <f>IFERROR(MATRIZ_174!AO14,"N/A")</f>
        <v>0</v>
      </c>
      <c r="AK15" s="23" t="str">
        <f t="shared" si="9"/>
        <v>N/A</v>
      </c>
      <c r="AL15" s="24" t="str">
        <f t="shared" si="10"/>
        <v>—</v>
      </c>
    </row>
    <row r="16" spans="1:38" ht="16.05" customHeight="1" x14ac:dyDescent="0.3">
      <c r="A16" s="13" t="s">
        <v>103</v>
      </c>
      <c r="B16" s="14" t="s">
        <v>104</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IFERROR(MIN(100,IF(MATRIZ_174!O15=0,70,30)+IF(MATRIZ_174!U15="",0,0.3*(100-MATRIZ_174!U15*100))),70)</f>
        <v>70</v>
      </c>
      <c r="Y16" s="18">
        <f>IF(OR(MATRIZ_174!P15="ASOCIACION",MATRIZ_174!P15="PENDIENTE"),65,40)</f>
        <v>65</v>
      </c>
      <c r="Z16" s="19" t="str">
        <f t="shared" si="5"/>
        <v>—</v>
      </c>
      <c r="AA16" s="20">
        <f t="shared" si="6"/>
        <v>50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f>IFERROR(MATRIZ_174!AP15,"N/A")</f>
        <v>0</v>
      </c>
      <c r="AJ16" s="17">
        <f>IFERROR(MATRIZ_174!AO15,"N/A")</f>
        <v>0</v>
      </c>
      <c r="AK16" s="23" t="str">
        <f t="shared" si="9"/>
        <v>N/A</v>
      </c>
      <c r="AL16" s="24" t="str">
        <f t="shared" si="10"/>
        <v>—</v>
      </c>
    </row>
    <row r="17" spans="1:38" ht="16.05" customHeight="1" x14ac:dyDescent="0.3">
      <c r="A17" s="13" t="s">
        <v>105</v>
      </c>
      <c r="B17" s="14" t="s">
        <v>106</v>
      </c>
      <c r="C17" s="13" t="s">
        <v>107</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IFERROR(MIN(100,IF(MATRIZ_174!O16=0,70,30)+IF(MATRIZ_174!U16="",0,0.3*(100-MATRIZ_174!U16*100))),70)</f>
        <v>70</v>
      </c>
      <c r="Y17" s="18">
        <f>IF(OR(MATRIZ_174!P16="ASOCIACION",MATRIZ_174!P16="PENDIENTE"),65,40)</f>
        <v>65</v>
      </c>
      <c r="Z17" s="19" t="str">
        <f t="shared" si="5"/>
        <v>—</v>
      </c>
      <c r="AA17" s="20">
        <f t="shared" si="6"/>
        <v>50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f>IFERROR(MATRIZ_174!AP16,"N/A")</f>
        <v>0</v>
      </c>
      <c r="AJ17" s="17">
        <f>IFERROR(MATRIZ_174!AO16,"N/A")</f>
        <v>0</v>
      </c>
      <c r="AK17" s="23" t="str">
        <f t="shared" si="9"/>
        <v>N/A</v>
      </c>
      <c r="AL17" s="24" t="str">
        <f t="shared" si="10"/>
        <v>—</v>
      </c>
    </row>
    <row r="18" spans="1:38" ht="16.05" customHeight="1" x14ac:dyDescent="0.3">
      <c r="A18" s="13" t="s">
        <v>108</v>
      </c>
      <c r="B18" s="14" t="s">
        <v>109</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IFERROR(MIN(100,IF(MATRIZ_174!O17=0,70,30)+IF(MATRIZ_174!U17="",0,0.3*(100-MATRIZ_174!U17*100))),70)</f>
        <v>70</v>
      </c>
      <c r="Y18" s="18">
        <f>IF(OR(MATRIZ_174!P17="ASOCIACION",MATRIZ_174!P17="PENDIENTE"),65,40)</f>
        <v>65</v>
      </c>
      <c r="Z18" s="19" t="str">
        <f t="shared" si="5"/>
        <v>—</v>
      </c>
      <c r="AA18" s="20">
        <f t="shared" si="6"/>
        <v>44</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f>IFERROR(MATRIZ_174!AP17,"N/A")</f>
        <v>5.2083333333333336E-2</v>
      </c>
      <c r="AJ18" s="17">
        <f>IFERROR(MATRIZ_174!AO17,"N/A")</f>
        <v>0</v>
      </c>
      <c r="AK18" s="23" t="str">
        <f t="shared" si="9"/>
        <v>N/A</v>
      </c>
      <c r="AL18" s="24" t="str">
        <f t="shared" si="10"/>
        <v>—</v>
      </c>
    </row>
    <row r="19" spans="1:38" ht="16.05" customHeight="1" x14ac:dyDescent="0.3">
      <c r="A19" s="13" t="s">
        <v>111</v>
      </c>
      <c r="B19" s="14" t="s">
        <v>112</v>
      </c>
      <c r="C19" s="13" t="s">
        <v>113</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IFERROR(MIN(100,IF(MATRIZ_174!O18=0,70,30)+IF(MATRIZ_174!U18="",0,0.3*(100-MATRIZ_174!U18*100))),70)</f>
        <v>70</v>
      </c>
      <c r="Y19" s="18">
        <f>IF(OR(MATRIZ_174!P18="ASOCIACION",MATRIZ_174!P18="PENDIENTE"),65,40)</f>
        <v>65</v>
      </c>
      <c r="Z19" s="19" t="str">
        <f t="shared" si="5"/>
        <v>—</v>
      </c>
      <c r="AA19" s="20">
        <f t="shared" si="6"/>
        <v>50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f>IFERROR(MATRIZ_174!AP18,"N/A")</f>
        <v>0</v>
      </c>
      <c r="AJ19" s="17">
        <f>IFERROR(MATRIZ_174!AO18,"N/A")</f>
        <v>0</v>
      </c>
      <c r="AK19" s="23" t="str">
        <f t="shared" si="9"/>
        <v>N/A</v>
      </c>
      <c r="AL19" s="24" t="str">
        <f t="shared" si="10"/>
        <v>—</v>
      </c>
    </row>
    <row r="20" spans="1:38" ht="16.05" customHeight="1" x14ac:dyDescent="0.3">
      <c r="A20" s="13" t="s">
        <v>114</v>
      </c>
      <c r="B20" s="14" t="s">
        <v>115</v>
      </c>
      <c r="C20" s="13" t="s">
        <v>116</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IFERROR(MIN(100,IF(MATRIZ_174!O19=0,70,30)+IF(MATRIZ_174!U19="",0,0.3*(100-MATRIZ_174!U19*100))),70)</f>
        <v>70</v>
      </c>
      <c r="Y20" s="18">
        <f>IF(OR(MATRIZ_174!P19="ASOCIACION",MATRIZ_174!P19="PENDIENTE"),65,40)</f>
        <v>65</v>
      </c>
      <c r="Z20" s="19" t="str">
        <f t="shared" si="5"/>
        <v>—</v>
      </c>
      <c r="AA20" s="20">
        <f t="shared" si="6"/>
        <v>60</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f>IFERROR(MATRIZ_174!AP19,"N/A")</f>
        <v>0.26041666666666669</v>
      </c>
      <c r="AJ20" s="17">
        <f>IFERROR(MATRIZ_174!AO19,"N/A")</f>
        <v>0</v>
      </c>
      <c r="AK20" s="23" t="str">
        <f t="shared" si="9"/>
        <v>N/A</v>
      </c>
      <c r="AL20" s="24" t="str">
        <f t="shared" si="10"/>
        <v>—</v>
      </c>
    </row>
    <row r="21" spans="1:38" ht="16.05" customHeight="1" x14ac:dyDescent="0.3">
      <c r="A21" s="13" t="s">
        <v>117</v>
      </c>
      <c r="B21" s="14" t="s">
        <v>118</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IFERROR(MIN(100,IF(MATRIZ_174!O20=0,70,30)+IF(MATRIZ_174!U20="",0,0.3*(100-MATRIZ_174!U20*100))),70)</f>
        <v>70</v>
      </c>
      <c r="Y21" s="18">
        <f>IF(OR(MATRIZ_174!P20="ASOCIACION",MATRIZ_174!P20="PENDIENTE"),65,40)</f>
        <v>65</v>
      </c>
      <c r="Z21" s="19" t="str">
        <f t="shared" si="5"/>
        <v>—</v>
      </c>
      <c r="AA21" s="20">
        <f t="shared" si="6"/>
        <v>47</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f>IFERROR(MATRIZ_174!AP20,"N/A")</f>
        <v>5.2083333333333336E-2</v>
      </c>
      <c r="AJ21" s="17">
        <f>IFERROR(MATRIZ_174!AO20,"N/A")</f>
        <v>0</v>
      </c>
      <c r="AK21" s="23" t="str">
        <f t="shared" si="9"/>
        <v>N/A</v>
      </c>
      <c r="AL21" s="24" t="str">
        <f t="shared" si="10"/>
        <v>—</v>
      </c>
    </row>
    <row r="22" spans="1:38" ht="16.05" customHeight="1" x14ac:dyDescent="0.3">
      <c r="A22" s="13" t="s">
        <v>119</v>
      </c>
      <c r="B22" s="14" t="s">
        <v>120</v>
      </c>
      <c r="C22" s="13" t="s">
        <v>113</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IFERROR(MIN(100,IF(MATRIZ_174!O21=0,70,30)+IF(MATRIZ_174!U21="",0,0.3*(100-MATRIZ_174!U21*100))),70)</f>
        <v>70</v>
      </c>
      <c r="Y22" s="18">
        <f>IF(OR(MATRIZ_174!P21="ASOCIACION",MATRIZ_174!P21="PENDIENTE"),65,40)</f>
        <v>65</v>
      </c>
      <c r="Z22" s="19" t="str">
        <f t="shared" si="5"/>
        <v>—</v>
      </c>
      <c r="AA22" s="20">
        <f t="shared" si="6"/>
        <v>50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f>IFERROR(MATRIZ_174!AP21,"N/A")</f>
        <v>0</v>
      </c>
      <c r="AJ22" s="17">
        <f>IFERROR(MATRIZ_174!AO21,"N/A")</f>
        <v>0</v>
      </c>
      <c r="AK22" s="23" t="str">
        <f t="shared" si="9"/>
        <v>N/A</v>
      </c>
      <c r="AL22" s="24" t="str">
        <f t="shared" si="10"/>
        <v>—</v>
      </c>
    </row>
    <row r="23" spans="1:38" ht="16.05" customHeight="1" x14ac:dyDescent="0.3">
      <c r="A23" s="13" t="s">
        <v>121</v>
      </c>
      <c r="B23" s="14" t="s">
        <v>122</v>
      </c>
      <c r="C23" s="13" t="s">
        <v>123</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IFERROR(MIN(100,IF(MATRIZ_174!O22=0,70,30)+IF(MATRIZ_174!U22="",0,0.3*(100-MATRIZ_174!U22*100))),70)</f>
        <v>70</v>
      </c>
      <c r="Y23" s="18">
        <f>IF(OR(MATRIZ_174!P22="ASOCIACION",MATRIZ_174!P22="PENDIENTE"),65,40)</f>
        <v>65</v>
      </c>
      <c r="Z23" s="19" t="str">
        <f t="shared" si="5"/>
        <v>—</v>
      </c>
      <c r="AA23" s="20">
        <f t="shared" si="6"/>
        <v>50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f>IFERROR(MATRIZ_174!AP22,"N/A")</f>
        <v>0</v>
      </c>
      <c r="AJ23" s="17">
        <f>IFERROR(MATRIZ_174!AO22,"N/A")</f>
        <v>0</v>
      </c>
      <c r="AK23" s="23" t="str">
        <f t="shared" si="9"/>
        <v>N/A</v>
      </c>
      <c r="AL23" s="24" t="str">
        <f t="shared" si="10"/>
        <v>—</v>
      </c>
    </row>
    <row r="24" spans="1:38" ht="16.05" customHeight="1" x14ac:dyDescent="0.3">
      <c r="A24" s="13" t="s">
        <v>124</v>
      </c>
      <c r="B24" s="14" t="s">
        <v>125</v>
      </c>
      <c r="C24" s="13" t="s">
        <v>113</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IFERROR(MIN(100,IF(MATRIZ_174!O23=0,70,30)+IF(MATRIZ_174!U23="",0,0.3*(100-MATRIZ_174!U23*100))),70)</f>
        <v>70</v>
      </c>
      <c r="Y24" s="18">
        <f>IF(OR(MATRIZ_174!P23="ASOCIACION",MATRIZ_174!P23="PENDIENTE"),65,40)</f>
        <v>65</v>
      </c>
      <c r="Z24" s="19" t="str">
        <f t="shared" si="5"/>
        <v>—</v>
      </c>
      <c r="AA24" s="20">
        <f t="shared" si="6"/>
        <v>50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f>IFERROR(MATRIZ_174!AP23,"N/A")</f>
        <v>0</v>
      </c>
      <c r="AJ24" s="17">
        <f>IFERROR(MATRIZ_174!AO23,"N/A")</f>
        <v>0</v>
      </c>
      <c r="AK24" s="23" t="str">
        <f t="shared" si="9"/>
        <v>N/A</v>
      </c>
      <c r="AL24" s="24" t="str">
        <f t="shared" si="10"/>
        <v>—</v>
      </c>
    </row>
    <row r="25" spans="1:38" ht="16.05" customHeight="1" x14ac:dyDescent="0.3">
      <c r="A25" s="13" t="s">
        <v>126</v>
      </c>
      <c r="B25" s="14" t="s">
        <v>127</v>
      </c>
      <c r="C25" s="13" t="s">
        <v>113</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IFERROR(MIN(100,IF(MATRIZ_174!O24=0,70,30)+IF(MATRIZ_174!U24="",0,0.3*(100-MATRIZ_174!U24*100))),70)</f>
        <v>70</v>
      </c>
      <c r="Y25" s="18">
        <f>IF(OR(MATRIZ_174!P24="ASOCIACION",MATRIZ_174!P24="PENDIENTE"),65,40)</f>
        <v>65</v>
      </c>
      <c r="Z25" s="19" t="str">
        <f t="shared" si="5"/>
        <v>—</v>
      </c>
      <c r="AA25" s="20">
        <f t="shared" si="6"/>
        <v>50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f>IFERROR(MATRIZ_174!AP24,"N/A")</f>
        <v>0</v>
      </c>
      <c r="AJ25" s="17">
        <f>IFERROR(MATRIZ_174!AO24,"N/A")</f>
        <v>0</v>
      </c>
      <c r="AK25" s="23" t="str">
        <f t="shared" si="9"/>
        <v>N/A</v>
      </c>
      <c r="AL25" s="24" t="str">
        <f t="shared" si="10"/>
        <v>—</v>
      </c>
    </row>
    <row r="26" spans="1:38" ht="16.05" customHeight="1" x14ac:dyDescent="0.3">
      <c r="A26" s="13" t="s">
        <v>129</v>
      </c>
      <c r="B26" s="14" t="s">
        <v>130</v>
      </c>
      <c r="C26" s="13" t="s">
        <v>113</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IFERROR(MIN(100,IF(MATRIZ_174!O25=0,70,30)+IF(MATRIZ_174!U25="",0,0.3*(100-MATRIZ_174!U25*100))),70)</f>
        <v>70</v>
      </c>
      <c r="Y26" s="18">
        <f>IF(OR(MATRIZ_174!P25="ASOCIACION",MATRIZ_174!P25="PENDIENTE"),65,40)</f>
        <v>65</v>
      </c>
      <c r="Z26" s="19" t="str">
        <f t="shared" si="5"/>
        <v>—</v>
      </c>
      <c r="AA26" s="20">
        <f t="shared" si="6"/>
        <v>50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f>IFERROR(MATRIZ_174!AP25,"N/A")</f>
        <v>0</v>
      </c>
      <c r="AJ26" s="17">
        <f>IFERROR(MATRIZ_174!AO25,"N/A")</f>
        <v>0</v>
      </c>
      <c r="AK26" s="23" t="str">
        <f t="shared" si="9"/>
        <v>N/A</v>
      </c>
      <c r="AL26" s="24" t="str">
        <f t="shared" si="10"/>
        <v>—</v>
      </c>
    </row>
    <row r="27" spans="1:38" ht="16.05" customHeight="1" x14ac:dyDescent="0.3">
      <c r="A27" s="13" t="s">
        <v>131</v>
      </c>
      <c r="B27" s="14" t="s">
        <v>132</v>
      </c>
      <c r="C27" s="13" t="s">
        <v>113</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IFERROR(MIN(100,IF(MATRIZ_174!O26=0,70,30)+IF(MATRIZ_174!U26="",0,0.3*(100-MATRIZ_174!U26*100))),70)</f>
        <v>70</v>
      </c>
      <c r="Y27" s="18">
        <f>IF(OR(MATRIZ_174!P26="ASOCIACION",MATRIZ_174!P26="PENDIENTE"),65,40)</f>
        <v>65</v>
      </c>
      <c r="Z27" s="19" t="str">
        <f t="shared" si="5"/>
        <v>—</v>
      </c>
      <c r="AA27" s="20">
        <f t="shared" si="6"/>
        <v>50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f>IFERROR(MATRIZ_174!AP26,"N/A")</f>
        <v>0</v>
      </c>
      <c r="AJ27" s="17">
        <f>IFERROR(MATRIZ_174!AO26,"N/A")</f>
        <v>0</v>
      </c>
      <c r="AK27" s="23" t="str">
        <f t="shared" si="9"/>
        <v>N/A</v>
      </c>
      <c r="AL27" s="24" t="str">
        <f t="shared" si="10"/>
        <v>—</v>
      </c>
    </row>
    <row r="28" spans="1:38" ht="16.05" customHeight="1" x14ac:dyDescent="0.3">
      <c r="A28" s="13" t="s">
        <v>133</v>
      </c>
      <c r="B28" s="14" t="s">
        <v>134</v>
      </c>
      <c r="C28" s="13" t="s">
        <v>113</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IFERROR(MIN(100,IF(MATRIZ_174!O27=0,70,30)+IF(MATRIZ_174!U27="",0,0.3*(100-MATRIZ_174!U27*100))),70)</f>
        <v>70</v>
      </c>
      <c r="Y28" s="18">
        <f>IF(OR(MATRIZ_174!P27="ASOCIACION",MATRIZ_174!P27="PENDIENTE"),65,40)</f>
        <v>65</v>
      </c>
      <c r="Z28" s="19" t="str">
        <f t="shared" si="5"/>
        <v>—</v>
      </c>
      <c r="AA28" s="20">
        <f t="shared" si="6"/>
        <v>50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f>IFERROR(MATRIZ_174!AP27,"N/A")</f>
        <v>0</v>
      </c>
      <c r="AJ28" s="17">
        <f>IFERROR(MATRIZ_174!AO27,"N/A")</f>
        <v>0</v>
      </c>
      <c r="AK28" s="23" t="str">
        <f t="shared" si="9"/>
        <v>N/A</v>
      </c>
      <c r="AL28" s="24" t="str">
        <f t="shared" si="10"/>
        <v>—</v>
      </c>
    </row>
    <row r="29" spans="1:38" ht="16.05" customHeight="1" x14ac:dyDescent="0.3">
      <c r="A29" s="13" t="s">
        <v>135</v>
      </c>
      <c r="B29" s="14" t="s">
        <v>136</v>
      </c>
      <c r="C29" s="13" t="s">
        <v>113</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IFERROR(MIN(100,IF(MATRIZ_174!O28=0,70,30)+IF(MATRIZ_174!U28="",0,0.3*(100-MATRIZ_174!U28*100))),70)</f>
        <v>70</v>
      </c>
      <c r="Y29" s="18">
        <f>IF(OR(MATRIZ_174!P28="ASOCIACION",MATRIZ_174!P28="PENDIENTE"),65,40)</f>
        <v>65</v>
      </c>
      <c r="Z29" s="19" t="str">
        <f t="shared" si="5"/>
        <v>—</v>
      </c>
      <c r="AA29" s="20">
        <f t="shared" si="6"/>
        <v>50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f>IFERROR(MATRIZ_174!AP28,"N/A")</f>
        <v>0</v>
      </c>
      <c r="AJ29" s="17">
        <f>IFERROR(MATRIZ_174!AO28,"N/A")</f>
        <v>0</v>
      </c>
      <c r="AK29" s="23" t="str">
        <f t="shared" si="9"/>
        <v>N/A</v>
      </c>
      <c r="AL29" s="24" t="str">
        <f t="shared" si="10"/>
        <v>—</v>
      </c>
    </row>
    <row r="30" spans="1:38" ht="16.05" customHeight="1" x14ac:dyDescent="0.3">
      <c r="A30" s="13" t="s">
        <v>137</v>
      </c>
      <c r="B30" s="14" t="s">
        <v>138</v>
      </c>
      <c r="C30" s="13" t="s">
        <v>113</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IFERROR(MIN(100,IF(MATRIZ_174!O29=0,70,30)+IF(MATRIZ_174!U29="",0,0.3*(100-MATRIZ_174!U29*100))),70)</f>
        <v>70</v>
      </c>
      <c r="Y30" s="18">
        <f>IF(OR(MATRIZ_174!P29="ASOCIACION",MATRIZ_174!P29="PENDIENTE"),65,40)</f>
        <v>65</v>
      </c>
      <c r="Z30" s="19" t="str">
        <f t="shared" si="5"/>
        <v>—</v>
      </c>
      <c r="AA30" s="20">
        <f t="shared" si="6"/>
        <v>50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f>IFERROR(MATRIZ_174!AP29,"N/A")</f>
        <v>0</v>
      </c>
      <c r="AJ30" s="17">
        <f>IFERROR(MATRIZ_174!AO29,"N/A")</f>
        <v>0</v>
      </c>
      <c r="AK30" s="23" t="str">
        <f t="shared" si="9"/>
        <v>N/A</v>
      </c>
      <c r="AL30" s="24" t="str">
        <f t="shared" si="10"/>
        <v>—</v>
      </c>
    </row>
    <row r="31" spans="1:38" ht="16.05" customHeight="1" x14ac:dyDescent="0.3">
      <c r="A31" s="13" t="s">
        <v>139</v>
      </c>
      <c r="B31" s="14" t="s">
        <v>140</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IFERROR(MIN(100,IF(MATRIZ_174!O30=0,70,30)+IF(MATRIZ_174!U30="",0,0.3*(100-MATRIZ_174!U30*100))),70)</f>
        <v>70</v>
      </c>
      <c r="Y31" s="18">
        <f>IF(OR(MATRIZ_174!P30="ASOCIACION",MATRIZ_174!P30="PENDIENTE"),65,40)</f>
        <v>65</v>
      </c>
      <c r="Z31" s="19" t="str">
        <f t="shared" si="5"/>
        <v>—</v>
      </c>
      <c r="AA31" s="20">
        <f t="shared" si="6"/>
        <v>50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f>IFERROR(MATRIZ_174!AP30,"N/A")</f>
        <v>0</v>
      </c>
      <c r="AJ31" s="17">
        <f>IFERROR(MATRIZ_174!AO30,"N/A")</f>
        <v>0</v>
      </c>
      <c r="AK31" s="23" t="str">
        <f t="shared" si="9"/>
        <v>N/A</v>
      </c>
      <c r="AL31" s="24" t="str">
        <f t="shared" si="10"/>
        <v>—</v>
      </c>
    </row>
    <row r="32" spans="1:38" ht="16.05" customHeight="1" x14ac:dyDescent="0.3">
      <c r="A32" s="13" t="s">
        <v>141</v>
      </c>
      <c r="B32" s="14" t="s">
        <v>142</v>
      </c>
      <c r="C32" s="13" t="s">
        <v>143</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IFERROR(MIN(100,IF(MATRIZ_174!O31=0,70,30)+IF(MATRIZ_174!U31="",0,0.3*(100-MATRIZ_174!U31*100))),70)</f>
        <v>70</v>
      </c>
      <c r="Y32" s="18">
        <f>IF(OR(MATRIZ_174!P31="ASOCIACION",MATRIZ_174!P31="PENDIENTE"),65,40)</f>
        <v>65</v>
      </c>
      <c r="Z32" s="19" t="str">
        <f t="shared" si="5"/>
        <v>—</v>
      </c>
      <c r="AA32" s="20">
        <f t="shared" si="6"/>
        <v>50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f>IFERROR(MATRIZ_174!AP31,"N/A")</f>
        <v>0</v>
      </c>
      <c r="AJ32" s="17">
        <f>IFERROR(MATRIZ_174!AO31,"N/A")</f>
        <v>0</v>
      </c>
      <c r="AK32" s="23" t="str">
        <f t="shared" si="9"/>
        <v>N/A</v>
      </c>
      <c r="AL32" s="24" t="str">
        <f t="shared" si="10"/>
        <v>—</v>
      </c>
    </row>
    <row r="33" spans="1:38" ht="16.05" customHeight="1" x14ac:dyDescent="0.3">
      <c r="A33" s="13" t="s">
        <v>144</v>
      </c>
      <c r="B33" s="14" t="s">
        <v>145</v>
      </c>
      <c r="C33" s="13" t="s">
        <v>143</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IFERROR(MIN(100,IF(MATRIZ_174!O32=0,70,30)+IF(MATRIZ_174!U32="",0,0.3*(100-MATRIZ_174!U32*100))),70)</f>
        <v>70</v>
      </c>
      <c r="Y33" s="18">
        <f>IF(OR(MATRIZ_174!P32="ASOCIACION",MATRIZ_174!P32="PENDIENTE"),65,40)</f>
        <v>65</v>
      </c>
      <c r="Z33" s="19" t="str">
        <f t="shared" si="5"/>
        <v>—</v>
      </c>
      <c r="AA33" s="20">
        <f t="shared" si="6"/>
        <v>50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f>IFERROR(MATRIZ_174!AP32,"N/A")</f>
        <v>0</v>
      </c>
      <c r="AJ33" s="17">
        <f>IFERROR(MATRIZ_174!AO32,"N/A")</f>
        <v>0</v>
      </c>
      <c r="AK33" s="23" t="str">
        <f t="shared" si="9"/>
        <v>N/A</v>
      </c>
      <c r="AL33" s="24" t="str">
        <f t="shared" si="10"/>
        <v>—</v>
      </c>
    </row>
    <row r="34" spans="1:38" ht="16.05" customHeight="1" x14ac:dyDescent="0.3">
      <c r="A34" s="13" t="s">
        <v>146</v>
      </c>
      <c r="B34" s="14" t="s">
        <v>147</v>
      </c>
      <c r="C34" s="13" t="s">
        <v>143</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IFERROR(MIN(100,IF(MATRIZ_174!O33=0,70,30)+IF(MATRIZ_174!U33="",0,0.3*(100-MATRIZ_174!U33*100))),70)</f>
        <v>70</v>
      </c>
      <c r="Y34" s="18">
        <f>IF(OR(MATRIZ_174!P33="ASOCIACION",MATRIZ_174!P33="PENDIENTE"),65,40)</f>
        <v>65</v>
      </c>
      <c r="Z34" s="19" t="str">
        <f t="shared" si="5"/>
        <v>—</v>
      </c>
      <c r="AA34" s="20">
        <f t="shared" si="6"/>
        <v>50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f>IFERROR(MATRIZ_174!AP33,"N/A")</f>
        <v>0</v>
      </c>
      <c r="AJ34" s="17">
        <f>IFERROR(MATRIZ_174!AO33,"N/A")</f>
        <v>0</v>
      </c>
      <c r="AK34" s="23" t="str">
        <f t="shared" si="9"/>
        <v>N/A</v>
      </c>
      <c r="AL34" s="24" t="str">
        <f t="shared" si="10"/>
        <v>—</v>
      </c>
    </row>
    <row r="35" spans="1:38" ht="16.05" customHeight="1" x14ac:dyDescent="0.3">
      <c r="A35" s="13" t="s">
        <v>148</v>
      </c>
      <c r="B35" s="14" t="s">
        <v>149</v>
      </c>
      <c r="C35" s="13" t="s">
        <v>143</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IFERROR(MIN(100,IF(MATRIZ_174!O34=0,70,30)+IF(MATRIZ_174!U34="",0,0.3*(100-MATRIZ_174!U34*100))),70)</f>
        <v>70</v>
      </c>
      <c r="Y35" s="18">
        <f>IF(OR(MATRIZ_174!P34="ASOCIACION",MATRIZ_174!P34="PENDIENTE"),65,40)</f>
        <v>65</v>
      </c>
      <c r="Z35" s="19" t="str">
        <f t="shared" si="5"/>
        <v>—</v>
      </c>
      <c r="AA35" s="20">
        <f t="shared" si="6"/>
        <v>50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f>IFERROR(MATRIZ_174!AP34,"N/A")</f>
        <v>0</v>
      </c>
      <c r="AJ35" s="17">
        <f>IFERROR(MATRIZ_174!AO34,"N/A")</f>
        <v>0</v>
      </c>
      <c r="AK35" s="23" t="str">
        <f t="shared" si="9"/>
        <v>N/A</v>
      </c>
      <c r="AL35" s="24" t="str">
        <f t="shared" si="10"/>
        <v>—</v>
      </c>
    </row>
    <row r="36" spans="1:38" ht="16.05" customHeight="1" x14ac:dyDescent="0.3">
      <c r="A36" s="13" t="s">
        <v>150</v>
      </c>
      <c r="B36" s="14" t="s">
        <v>151</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f>IFERROR((K36+M36+MATRIZ_174!O35)/3,0)</f>
        <v>0</v>
      </c>
      <c r="U36" s="18">
        <f>IFERROR(MIN(100,ROUND(MATRIZ_174!M35,1)),0)</f>
        <v>50</v>
      </c>
      <c r="V36" s="18">
        <f t="shared" ref="V36:V67" si="15">IF(OR(NOT(ISNUMBER(F36)),F36=0),50,F36)</f>
        <v>50</v>
      </c>
      <c r="W36" s="18">
        <f>IFERROR(IF(MATRIZ_174!R35=0,65,IF(MATRIZ_174!R35/MATRIZ_174!Q35&gt;=2,35,IF(MATRIZ_174!R35/MATRIZ_174!Q35&gt;=0.5,50,65))),65)</f>
        <v>65</v>
      </c>
      <c r="X36" s="18">
        <f>IFERROR(MIN(100,IF(MATRIZ_174!O35=0,70,30)+IF(MATRIZ_174!U35="",0,0.3*(100-MATRIZ_174!U35*100))),70)</f>
        <v>70</v>
      </c>
      <c r="Y36" s="18">
        <f>IF(OR(MATRIZ_174!P35="ASOCIACION",MATRIZ_174!P35="PENDIENTE"),65,40)</f>
        <v>65</v>
      </c>
      <c r="Z36" s="19" t="str">
        <f t="shared" ref="Z36:Z67" si="16">IF(COUNT(F36:M36)&lt;8,"—",IFERROR(ROUND(AVERAGE(P36:T36),1),"—"))</f>
        <v>—</v>
      </c>
      <c r="AA36" s="20">
        <f t="shared" ref="AA36:AA67" si="17">IFERROR(ROUND(AVERAGE(U36,V36,W36,X36,Y36),1),0)</f>
        <v>60</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f>IFERROR(MATRIZ_174!AP35,"N/A")</f>
        <v>0.26041666666666669</v>
      </c>
      <c r="AJ36" s="17">
        <f>IFERROR(MATRIZ_174!AO35,"N/A")</f>
        <v>0</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152</v>
      </c>
      <c r="B37" s="14" t="s">
        <v>153</v>
      </c>
      <c r="C37" s="13" t="s">
        <v>154</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IFERROR((K37+M37+MATRIZ_174!O36)/3,0)</f>
        <v>0</v>
      </c>
      <c r="U37" s="18">
        <f>IFERROR(MIN(100,ROUND(MATRIZ_174!M36,1)),0)</f>
        <v>21.3</v>
      </c>
      <c r="V37" s="18">
        <f t="shared" si="15"/>
        <v>50</v>
      </c>
      <c r="W37" s="18">
        <f>IFERROR(IF(MATRIZ_174!R36=0,65,IF(MATRIZ_174!R36/MATRIZ_174!Q36&gt;=2,35,IF(MATRIZ_174!R36/MATRIZ_174!Q36&gt;=0.5,50,65))),65)</f>
        <v>35</v>
      </c>
      <c r="X37" s="18">
        <f>IFERROR(MIN(100,IF(MATRIZ_174!O36=0,70,30)+IF(MATRIZ_174!U36="",0,0.3*(100-MATRIZ_174!U36*100))),70)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f>IFERROR(MATRIZ_174!AP36,"N/A")</f>
        <v>0.3075</v>
      </c>
      <c r="AJ37" s="17">
        <f>IFERROR(MATRIZ_174!AO36,"N/A")</f>
        <v>0</v>
      </c>
      <c r="AK37" s="23" t="str">
        <f t="shared" si="20"/>
        <v>N/A</v>
      </c>
      <c r="AL37" s="24" t="str">
        <f t="shared" si="21"/>
        <v>—</v>
      </c>
    </row>
    <row r="38" spans="1:38" ht="16.05" customHeight="1" x14ac:dyDescent="0.3">
      <c r="A38" s="13" t="s">
        <v>155</v>
      </c>
      <c r="B38" s="14" t="s">
        <v>156</v>
      </c>
      <c r="C38" s="13" t="s">
        <v>116</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f>IFERROR((K38+M38+MATRIZ_174!O37)/3,0)</f>
        <v>0</v>
      </c>
      <c r="U38" s="18">
        <f>IFERROR(MIN(100,ROUND(MATRIZ_174!M37,1)),0)</f>
        <v>0</v>
      </c>
      <c r="V38" s="18">
        <f t="shared" si="15"/>
        <v>50</v>
      </c>
      <c r="W38" s="18">
        <f>IFERROR(IF(MATRIZ_174!R37=0,65,IF(MATRIZ_174!R37/MATRIZ_174!Q37&gt;=2,35,IF(MATRIZ_174!R37/MATRIZ_174!Q37&gt;=0.5,50,65))),65)</f>
        <v>65</v>
      </c>
      <c r="X38" s="18">
        <f>IFERROR(MIN(100,IF(MATRIZ_174!O37=0,70,30)+IF(MATRIZ_174!U37="",0,0.3*(100-MATRIZ_174!U37*100))),70)</f>
        <v>70</v>
      </c>
      <c r="Y38" s="18">
        <f>IF(OR(MATRIZ_174!P37="ASOCIACION",MATRIZ_174!P37="PENDIENTE"),65,40)</f>
        <v>65</v>
      </c>
      <c r="Z38" s="19" t="str">
        <f t="shared" si="16"/>
        <v>—</v>
      </c>
      <c r="AA38" s="20">
        <f t="shared" si="17"/>
        <v>50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f>IFERROR(MATRIZ_174!AP37,"N/A")</f>
        <v>0</v>
      </c>
      <c r="AJ38" s="17">
        <f>IFERROR(MATRIZ_174!AO37,"N/A")</f>
        <v>0</v>
      </c>
      <c r="AK38" s="23" t="str">
        <f t="shared" si="20"/>
        <v>N/A</v>
      </c>
      <c r="AL38" s="24" t="str">
        <f t="shared" si="21"/>
        <v>—</v>
      </c>
    </row>
    <row r="39" spans="1:38" ht="16.05" customHeight="1" x14ac:dyDescent="0.3">
      <c r="A39" s="13" t="s">
        <v>157</v>
      </c>
      <c r="B39" s="14" t="s">
        <v>158</v>
      </c>
      <c r="C39" s="13" t="s">
        <v>116</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f>IFERROR((K39+M39+MATRIZ_174!O38)/3,0)</f>
        <v>0</v>
      </c>
      <c r="U39" s="18">
        <f>IFERROR(MIN(100,ROUND(MATRIZ_174!M38,1)),0)</f>
        <v>0</v>
      </c>
      <c r="V39" s="18">
        <f t="shared" si="15"/>
        <v>50</v>
      </c>
      <c r="W39" s="18">
        <f>IFERROR(IF(MATRIZ_174!R38=0,65,IF(MATRIZ_174!R38/MATRIZ_174!Q38&gt;=2,35,IF(MATRIZ_174!R38/MATRIZ_174!Q38&gt;=0.5,50,65))),65)</f>
        <v>65</v>
      </c>
      <c r="X39" s="18">
        <f>IFERROR(MIN(100,IF(MATRIZ_174!O38=0,70,30)+IF(MATRIZ_174!U38="",0,0.3*(100-MATRIZ_174!U38*100))),70)</f>
        <v>70</v>
      </c>
      <c r="Y39" s="18">
        <f>IF(OR(MATRIZ_174!P38="ASOCIACION",MATRIZ_174!P38="PENDIENTE"),65,40)</f>
        <v>65</v>
      </c>
      <c r="Z39" s="19" t="str">
        <f t="shared" si="16"/>
        <v>—</v>
      </c>
      <c r="AA39" s="20">
        <f t="shared" si="17"/>
        <v>50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f>IFERROR(MATRIZ_174!AP38,"N/A")</f>
        <v>0</v>
      </c>
      <c r="AJ39" s="17">
        <f>IFERROR(MATRIZ_174!AO38,"N/A")</f>
        <v>0</v>
      </c>
      <c r="AK39" s="23" t="str">
        <f t="shared" si="20"/>
        <v>N/A</v>
      </c>
      <c r="AL39" s="24" t="str">
        <f t="shared" si="21"/>
        <v>—</v>
      </c>
    </row>
    <row r="40" spans="1:38" ht="16.05" customHeight="1" x14ac:dyDescent="0.3">
      <c r="A40" s="13" t="s">
        <v>159</v>
      </c>
      <c r="B40" s="14" t="s">
        <v>160</v>
      </c>
      <c r="C40" s="13" t="s">
        <v>116</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f>IFERROR((K40+M40+MATRIZ_174!O39)/3,0)</f>
        <v>0</v>
      </c>
      <c r="U40" s="18">
        <f>IFERROR(MIN(100,ROUND(MATRIZ_174!M39,1)),0)</f>
        <v>50</v>
      </c>
      <c r="V40" s="18">
        <f t="shared" si="15"/>
        <v>50</v>
      </c>
      <c r="W40" s="18">
        <f>IFERROR(IF(MATRIZ_174!R39=0,65,IF(MATRIZ_174!R39/MATRIZ_174!Q39&gt;=2,35,IF(MATRIZ_174!R39/MATRIZ_174!Q39&gt;=0.5,50,65))),65)</f>
        <v>65</v>
      </c>
      <c r="X40" s="18">
        <f>IFERROR(MIN(100,IF(MATRIZ_174!O39=0,70,30)+IF(MATRIZ_174!U39="",0,0.3*(100-MATRIZ_174!U39*100))),70)</f>
        <v>70</v>
      </c>
      <c r="Y40" s="18">
        <f>IF(OR(MATRIZ_174!P39="ASOCIACION",MATRIZ_174!P39="PENDIENTE"),65,40)</f>
        <v>65</v>
      </c>
      <c r="Z40" s="19" t="str">
        <f t="shared" si="16"/>
        <v>—</v>
      </c>
      <c r="AA40" s="20">
        <f t="shared" si="17"/>
        <v>60</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f>IFERROR(MATRIZ_174!AP39,"N/A")</f>
        <v>0.26041666666666669</v>
      </c>
      <c r="AJ40" s="17">
        <f>IFERROR(MATRIZ_174!AO39,"N/A")</f>
        <v>0</v>
      </c>
      <c r="AK40" s="23" t="str">
        <f t="shared" si="20"/>
        <v>N/A</v>
      </c>
      <c r="AL40" s="24" t="str">
        <f t="shared" si="21"/>
        <v>—</v>
      </c>
    </row>
    <row r="41" spans="1:38" ht="16.05" customHeight="1" x14ac:dyDescent="0.3">
      <c r="A41" s="13" t="s">
        <v>161</v>
      </c>
      <c r="B41" s="14" t="s">
        <v>162</v>
      </c>
      <c r="C41" s="13" t="s">
        <v>116</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f>IFERROR((K41+M41+MATRIZ_174!O40)/3,0)</f>
        <v>0</v>
      </c>
      <c r="U41" s="18">
        <f>IFERROR(MIN(100,ROUND(MATRIZ_174!M40,1)),0)</f>
        <v>50</v>
      </c>
      <c r="V41" s="18">
        <f t="shared" si="15"/>
        <v>50</v>
      </c>
      <c r="W41" s="18">
        <f>IFERROR(IF(MATRIZ_174!R40=0,65,IF(MATRIZ_174!R40/MATRIZ_174!Q40&gt;=2,35,IF(MATRIZ_174!R40/MATRIZ_174!Q40&gt;=0.5,50,65))),65)</f>
        <v>65</v>
      </c>
      <c r="X41" s="18">
        <f>IFERROR(MIN(100,IF(MATRIZ_174!O40=0,70,30)+IF(MATRIZ_174!U40="",0,0.3*(100-MATRIZ_174!U40*100))),70)</f>
        <v>70</v>
      </c>
      <c r="Y41" s="18">
        <f>IF(OR(MATRIZ_174!P40="ASOCIACION",MATRIZ_174!P40="PENDIENTE"),65,40)</f>
        <v>65</v>
      </c>
      <c r="Z41" s="19" t="str">
        <f t="shared" si="16"/>
        <v>—</v>
      </c>
      <c r="AA41" s="20">
        <f t="shared" si="17"/>
        <v>60</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f>IFERROR(MATRIZ_174!AP40,"N/A")</f>
        <v>0.26041666666666669</v>
      </c>
      <c r="AJ41" s="17">
        <f>IFERROR(MATRIZ_174!AO40,"N/A")</f>
        <v>0</v>
      </c>
      <c r="AK41" s="23" t="str">
        <f t="shared" si="20"/>
        <v>N/A</v>
      </c>
      <c r="AL41" s="24" t="str">
        <f t="shared" si="21"/>
        <v>—</v>
      </c>
    </row>
    <row r="42" spans="1:38" ht="16.05" customHeight="1" x14ac:dyDescent="0.3">
      <c r="A42" s="13" t="s">
        <v>163</v>
      </c>
      <c r="B42" s="14" t="s">
        <v>164</v>
      </c>
      <c r="C42" s="13" t="s">
        <v>116</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f>IFERROR((K42+M42+MATRIZ_174!O41)/3,0)</f>
        <v>0</v>
      </c>
      <c r="U42" s="18">
        <f>IFERROR(MIN(100,ROUND(MATRIZ_174!M41,1)),0)</f>
        <v>0</v>
      </c>
      <c r="V42" s="18">
        <f t="shared" si="15"/>
        <v>50</v>
      </c>
      <c r="W42" s="18">
        <f>IFERROR(IF(MATRIZ_174!R41=0,65,IF(MATRIZ_174!R41/MATRIZ_174!Q41&gt;=2,35,IF(MATRIZ_174!R41/MATRIZ_174!Q41&gt;=0.5,50,65))),65)</f>
        <v>65</v>
      </c>
      <c r="X42" s="18">
        <f>IFERROR(MIN(100,IF(MATRIZ_174!O41=0,70,30)+IF(MATRIZ_174!U41="",0,0.3*(100-MATRIZ_174!U41*100))),70)</f>
        <v>70</v>
      </c>
      <c r="Y42" s="18">
        <f>IF(OR(MATRIZ_174!P41="ASOCIACION",MATRIZ_174!P41="PENDIENTE"),65,40)</f>
        <v>65</v>
      </c>
      <c r="Z42" s="19" t="str">
        <f t="shared" si="16"/>
        <v>—</v>
      </c>
      <c r="AA42" s="20">
        <f t="shared" si="17"/>
        <v>50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f>IFERROR(MATRIZ_174!AP41,"N/A")</f>
        <v>0</v>
      </c>
      <c r="AJ42" s="17">
        <f>IFERROR(MATRIZ_174!AO41,"N/A")</f>
        <v>0</v>
      </c>
      <c r="AK42" s="23" t="str">
        <f t="shared" si="20"/>
        <v>N/A</v>
      </c>
      <c r="AL42" s="24" t="str">
        <f t="shared" si="21"/>
        <v>—</v>
      </c>
    </row>
    <row r="43" spans="1:38" ht="16.05" customHeight="1" x14ac:dyDescent="0.3">
      <c r="A43" s="13" t="s">
        <v>165</v>
      </c>
      <c r="B43" s="14" t="s">
        <v>166</v>
      </c>
      <c r="C43" s="13" t="s">
        <v>107</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f>IFERROR((K43+M43+MATRIZ_174!O42)/3,0)</f>
        <v>0</v>
      </c>
      <c r="U43" s="18">
        <f>IFERROR(MIN(100,ROUND(MATRIZ_174!M42,1)),0)</f>
        <v>50</v>
      </c>
      <c r="V43" s="18">
        <f t="shared" si="15"/>
        <v>50</v>
      </c>
      <c r="W43" s="18">
        <f>IFERROR(IF(MATRIZ_174!R42=0,65,IF(MATRIZ_174!R42/MATRIZ_174!Q42&gt;=2,35,IF(MATRIZ_174!R42/MATRIZ_174!Q42&gt;=0.5,50,65))),65)</f>
        <v>65</v>
      </c>
      <c r="X43" s="18">
        <f>IFERROR(MIN(100,IF(MATRIZ_174!O42=0,70,30)+IF(MATRIZ_174!U42="",0,0.3*(100-MATRIZ_174!U42*100))),70)</f>
        <v>70</v>
      </c>
      <c r="Y43" s="18">
        <f>IF(OR(MATRIZ_174!P42="ASOCIACION",MATRIZ_174!P42="PENDIENTE"),65,40)</f>
        <v>65</v>
      </c>
      <c r="Z43" s="19" t="str">
        <f t="shared" si="16"/>
        <v>—</v>
      </c>
      <c r="AA43" s="20">
        <f t="shared" si="17"/>
        <v>60</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f>IFERROR(MATRIZ_174!AP42,"N/A")</f>
        <v>0.20833333333333334</v>
      </c>
      <c r="AJ43" s="17">
        <f>IFERROR(MATRIZ_174!AO42,"N/A")</f>
        <v>0</v>
      </c>
      <c r="AK43" s="23" t="str">
        <f t="shared" si="20"/>
        <v>N/A</v>
      </c>
      <c r="AL43" s="24" t="str">
        <f t="shared" si="21"/>
        <v>—</v>
      </c>
    </row>
    <row r="44" spans="1:38" ht="16.05" customHeight="1" x14ac:dyDescent="0.3">
      <c r="A44" s="13" t="s">
        <v>167</v>
      </c>
      <c r="B44" s="14" t="s">
        <v>168</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f>IFERROR((K44+M44+MATRIZ_174!O43)/3,0)</f>
        <v>0</v>
      </c>
      <c r="U44" s="18">
        <f>IFERROR(MIN(100,ROUND(MATRIZ_174!M43,1)),0)</f>
        <v>0</v>
      </c>
      <c r="V44" s="18">
        <f t="shared" si="15"/>
        <v>50</v>
      </c>
      <c r="W44" s="18">
        <f>IFERROR(IF(MATRIZ_174!R43=0,65,IF(MATRIZ_174!R43/MATRIZ_174!Q43&gt;=2,35,IF(MATRIZ_174!R43/MATRIZ_174!Q43&gt;=0.5,50,65))),65)</f>
        <v>65</v>
      </c>
      <c r="X44" s="18">
        <f>IFERROR(MIN(100,IF(MATRIZ_174!O43=0,70,30)+IF(MATRIZ_174!U43="",0,0.3*(100-MATRIZ_174!U43*100))),70)</f>
        <v>70</v>
      </c>
      <c r="Y44" s="18">
        <f>IF(OR(MATRIZ_174!P43="ASOCIACION",MATRIZ_174!P43="PENDIENTE"),65,40)</f>
        <v>65</v>
      </c>
      <c r="Z44" s="19" t="str">
        <f t="shared" si="16"/>
        <v>—</v>
      </c>
      <c r="AA44" s="20">
        <f t="shared" si="17"/>
        <v>50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f>IFERROR(MATRIZ_174!AP43,"N/A")</f>
        <v>0</v>
      </c>
      <c r="AJ44" s="17">
        <f>IFERROR(MATRIZ_174!AO43,"N/A")</f>
        <v>0</v>
      </c>
      <c r="AK44" s="23" t="str">
        <f t="shared" si="20"/>
        <v>N/A</v>
      </c>
      <c r="AL44" s="24" t="str">
        <f t="shared" si="21"/>
        <v>—</v>
      </c>
    </row>
    <row r="45" spans="1:38" ht="16.05" customHeight="1" x14ac:dyDescent="0.3">
      <c r="A45" s="13" t="s">
        <v>169</v>
      </c>
      <c r="B45" s="14" t="s">
        <v>170</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f>IFERROR((K45+M45+MATRIZ_174!O44)/3,0)</f>
        <v>0</v>
      </c>
      <c r="U45" s="18">
        <f>IFERROR(MIN(100,ROUND(MATRIZ_174!M44,1)),0)</f>
        <v>0</v>
      </c>
      <c r="V45" s="18">
        <f t="shared" si="15"/>
        <v>50</v>
      </c>
      <c r="W45" s="18">
        <f>IFERROR(IF(MATRIZ_174!R44=0,65,IF(MATRIZ_174!R44/MATRIZ_174!Q44&gt;=2,35,IF(MATRIZ_174!R44/MATRIZ_174!Q44&gt;=0.5,50,65))),65)</f>
        <v>65</v>
      </c>
      <c r="X45" s="18">
        <f>IFERROR(MIN(100,IF(MATRIZ_174!O44=0,70,30)+IF(MATRIZ_174!U44="",0,0.3*(100-MATRIZ_174!U44*100))),70)</f>
        <v>70</v>
      </c>
      <c r="Y45" s="18">
        <f>IF(OR(MATRIZ_174!P44="ASOCIACION",MATRIZ_174!P44="PENDIENTE"),65,40)</f>
        <v>65</v>
      </c>
      <c r="Z45" s="19" t="str">
        <f t="shared" si="16"/>
        <v>—</v>
      </c>
      <c r="AA45" s="20">
        <f t="shared" si="17"/>
        <v>50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f>IFERROR(MATRIZ_174!AP44,"N/A")</f>
        <v>0</v>
      </c>
      <c r="AJ45" s="17">
        <f>IFERROR(MATRIZ_174!AO44,"N/A")</f>
        <v>0</v>
      </c>
      <c r="AK45" s="23" t="str">
        <f t="shared" si="20"/>
        <v>N/A</v>
      </c>
      <c r="AL45" s="24" t="str">
        <f t="shared" si="21"/>
        <v>—</v>
      </c>
    </row>
    <row r="46" spans="1:38" ht="16.05" customHeight="1" x14ac:dyDescent="0.3">
      <c r="A46" s="13" t="s">
        <v>171</v>
      </c>
      <c r="B46" s="14" t="s">
        <v>172</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f>IFERROR((K46+M46+MATRIZ_174!O45)/3,0)</f>
        <v>0</v>
      </c>
      <c r="U46" s="18">
        <f>IFERROR(MIN(100,ROUND(MATRIZ_174!M45,1)),0)</f>
        <v>50</v>
      </c>
      <c r="V46" s="18">
        <f t="shared" si="15"/>
        <v>50</v>
      </c>
      <c r="W46" s="18">
        <f>IFERROR(IF(MATRIZ_174!R45=0,65,IF(MATRIZ_174!R45/MATRIZ_174!Q45&gt;=2,35,IF(MATRIZ_174!R45/MATRIZ_174!Q45&gt;=0.5,50,65))),65)</f>
        <v>65</v>
      </c>
      <c r="X46" s="18">
        <f>IFERROR(MIN(100,IF(MATRIZ_174!O45=0,70,30)+IF(MATRIZ_174!U45="",0,0.3*(100-MATRIZ_174!U45*100))),70)</f>
        <v>70</v>
      </c>
      <c r="Y46" s="18">
        <f>IF(OR(MATRIZ_174!P45="ASOCIACION",MATRIZ_174!P45="PENDIENTE"),65,40)</f>
        <v>65</v>
      </c>
      <c r="Z46" s="19" t="str">
        <f t="shared" si="16"/>
        <v>—</v>
      </c>
      <c r="AA46" s="20">
        <f t="shared" si="17"/>
        <v>60</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f>IFERROR(MATRIZ_174!AP45,"N/A")</f>
        <v>0.26041666666666669</v>
      </c>
      <c r="AJ46" s="17">
        <f>IFERROR(MATRIZ_174!AO45,"N/A")</f>
        <v>0</v>
      </c>
      <c r="AK46" s="23" t="str">
        <f t="shared" si="20"/>
        <v>N/A</v>
      </c>
      <c r="AL46" s="24" t="str">
        <f t="shared" si="21"/>
        <v>—</v>
      </c>
    </row>
    <row r="47" spans="1:38" ht="16.05" customHeight="1" x14ac:dyDescent="0.3">
      <c r="A47" s="13" t="s">
        <v>173</v>
      </c>
      <c r="B47" s="14" t="s">
        <v>174</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f>IFERROR((K47+M47+MATRIZ_174!O46)/3,0)</f>
        <v>0</v>
      </c>
      <c r="U47" s="18">
        <f>IFERROR(MIN(100,ROUND(MATRIZ_174!M46,1)),0)</f>
        <v>0</v>
      </c>
      <c r="V47" s="18">
        <f t="shared" si="15"/>
        <v>50</v>
      </c>
      <c r="W47" s="18">
        <f>IFERROR(IF(MATRIZ_174!R46=0,65,IF(MATRIZ_174!R46/MATRIZ_174!Q46&gt;=2,35,IF(MATRIZ_174!R46/MATRIZ_174!Q46&gt;=0.5,50,65))),65)</f>
        <v>65</v>
      </c>
      <c r="X47" s="18">
        <f>IFERROR(MIN(100,IF(MATRIZ_174!O46=0,70,30)+IF(MATRIZ_174!U46="",0,0.3*(100-MATRIZ_174!U46*100))),70)</f>
        <v>70</v>
      </c>
      <c r="Y47" s="18">
        <f>IF(OR(MATRIZ_174!P46="ASOCIACION",MATRIZ_174!P46="PENDIENTE"),65,40)</f>
        <v>65</v>
      </c>
      <c r="Z47" s="19" t="str">
        <f t="shared" si="16"/>
        <v>—</v>
      </c>
      <c r="AA47" s="20">
        <f t="shared" si="17"/>
        <v>50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f>IFERROR(MATRIZ_174!AP46,"N/A")</f>
        <v>0</v>
      </c>
      <c r="AJ47" s="17">
        <f>IFERROR(MATRIZ_174!AO46,"N/A")</f>
        <v>0</v>
      </c>
      <c r="AK47" s="23" t="str">
        <f t="shared" si="20"/>
        <v>N/A</v>
      </c>
      <c r="AL47" s="24" t="str">
        <f t="shared" si="21"/>
        <v>—</v>
      </c>
    </row>
    <row r="48" spans="1:38" ht="16.05" customHeight="1" x14ac:dyDescent="0.3">
      <c r="A48" s="13" t="s">
        <v>175</v>
      </c>
      <c r="B48" s="14" t="s">
        <v>176</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f>IFERROR((K48+M48+MATRIZ_174!O47)/3,0)</f>
        <v>0</v>
      </c>
      <c r="U48" s="18">
        <f>IFERROR(MIN(100,ROUND(MATRIZ_174!M47,1)),0)</f>
        <v>0</v>
      </c>
      <c r="V48" s="18">
        <f t="shared" si="15"/>
        <v>50</v>
      </c>
      <c r="W48" s="18">
        <f>IFERROR(IF(MATRIZ_174!R47=0,65,IF(MATRIZ_174!R47/MATRIZ_174!Q47&gt;=2,35,IF(MATRIZ_174!R47/MATRIZ_174!Q47&gt;=0.5,50,65))),65)</f>
        <v>65</v>
      </c>
      <c r="X48" s="18">
        <f>IFERROR(MIN(100,IF(MATRIZ_174!O47=0,70,30)+IF(MATRIZ_174!U47="",0,0.3*(100-MATRIZ_174!U47*100))),70)</f>
        <v>70</v>
      </c>
      <c r="Y48" s="18">
        <f>IF(OR(MATRIZ_174!P47="ASOCIACION",MATRIZ_174!P47="PENDIENTE"),65,40)</f>
        <v>65</v>
      </c>
      <c r="Z48" s="19" t="str">
        <f t="shared" si="16"/>
        <v>—</v>
      </c>
      <c r="AA48" s="20">
        <f t="shared" si="17"/>
        <v>50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f>IFERROR(MATRIZ_174!AP47,"N/A")</f>
        <v>0</v>
      </c>
      <c r="AJ48" s="17">
        <f>IFERROR(MATRIZ_174!AO47,"N/A")</f>
        <v>0</v>
      </c>
      <c r="AK48" s="23" t="str">
        <f t="shared" si="20"/>
        <v>N/A</v>
      </c>
      <c r="AL48" s="24" t="str">
        <f t="shared" si="21"/>
        <v>—</v>
      </c>
    </row>
    <row r="49" spans="1:38" ht="16.05" customHeight="1" x14ac:dyDescent="0.3">
      <c r="A49" s="13" t="s">
        <v>177</v>
      </c>
      <c r="B49" s="14" t="s">
        <v>178</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f>IFERROR((K49+M49+MATRIZ_174!O48)/3,0)</f>
        <v>0</v>
      </c>
      <c r="U49" s="18">
        <f>IFERROR(MIN(100,ROUND(MATRIZ_174!M48,1)),0)</f>
        <v>50</v>
      </c>
      <c r="V49" s="18">
        <f t="shared" si="15"/>
        <v>50</v>
      </c>
      <c r="W49" s="18">
        <f>IFERROR(IF(MATRIZ_174!R48=0,65,IF(MATRIZ_174!R48/MATRIZ_174!Q48&gt;=2,35,IF(MATRIZ_174!R48/MATRIZ_174!Q48&gt;=0.5,50,65))),65)</f>
        <v>65</v>
      </c>
      <c r="X49" s="18">
        <f>IFERROR(MIN(100,IF(MATRIZ_174!O48=0,70,30)+IF(MATRIZ_174!U48="",0,0.3*(100-MATRIZ_174!U48*100))),70)</f>
        <v>70</v>
      </c>
      <c r="Y49" s="18">
        <f>IF(OR(MATRIZ_174!P48="ASOCIACION",MATRIZ_174!P48="PENDIENTE"),65,40)</f>
        <v>65</v>
      </c>
      <c r="Z49" s="19" t="str">
        <f t="shared" si="16"/>
        <v>—</v>
      </c>
      <c r="AA49" s="20">
        <f t="shared" si="17"/>
        <v>60</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f>IFERROR(MATRIZ_174!AP48,"N/A")</f>
        <v>0.26041666666666669</v>
      </c>
      <c r="AJ49" s="17">
        <f>IFERROR(MATRIZ_174!AO48,"N/A")</f>
        <v>0</v>
      </c>
      <c r="AK49" s="23" t="str">
        <f t="shared" si="20"/>
        <v>N/A</v>
      </c>
      <c r="AL49" s="24" t="str">
        <f t="shared" si="21"/>
        <v>—</v>
      </c>
    </row>
    <row r="50" spans="1:38" ht="16.05" customHeight="1" x14ac:dyDescent="0.3">
      <c r="A50" s="13" t="s">
        <v>179</v>
      </c>
      <c r="B50" s="14" t="s">
        <v>180</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f>IFERROR((K50+M50+MATRIZ_174!O49)/3,0)</f>
        <v>0</v>
      </c>
      <c r="U50" s="18">
        <f>IFERROR(MIN(100,ROUND(MATRIZ_174!M49,1)),0)</f>
        <v>50</v>
      </c>
      <c r="V50" s="18">
        <f t="shared" si="15"/>
        <v>50</v>
      </c>
      <c r="W50" s="18">
        <f>IFERROR(IF(MATRIZ_174!R49=0,65,IF(MATRIZ_174!R49/MATRIZ_174!Q49&gt;=2,35,IF(MATRIZ_174!R49/MATRIZ_174!Q49&gt;=0.5,50,65))),65)</f>
        <v>65</v>
      </c>
      <c r="X50" s="18">
        <f>IFERROR(MIN(100,IF(MATRIZ_174!O49=0,70,30)+IF(MATRIZ_174!U49="",0,0.3*(100-MATRIZ_174!U49*100))),70)</f>
        <v>70</v>
      </c>
      <c r="Y50" s="18">
        <f>IF(OR(MATRIZ_174!P49="ASOCIACION",MATRIZ_174!P49="PENDIENTE"),65,40)</f>
        <v>65</v>
      </c>
      <c r="Z50" s="19" t="str">
        <f t="shared" si="16"/>
        <v>—</v>
      </c>
      <c r="AA50" s="20">
        <f t="shared" si="17"/>
        <v>60</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f>IFERROR(MATRIZ_174!AP49,"N/A")</f>
        <v>0.26041666666666669</v>
      </c>
      <c r="AJ50" s="17">
        <f>IFERROR(MATRIZ_174!AO49,"N/A")</f>
        <v>0</v>
      </c>
      <c r="AK50" s="23" t="str">
        <f t="shared" si="20"/>
        <v>N/A</v>
      </c>
      <c r="AL50" s="24" t="str">
        <f t="shared" si="21"/>
        <v>—</v>
      </c>
    </row>
    <row r="51" spans="1:38" ht="16.05" customHeight="1" x14ac:dyDescent="0.3">
      <c r="A51" s="13" t="s">
        <v>181</v>
      </c>
      <c r="B51" s="14" t="s">
        <v>182</v>
      </c>
      <c r="C51" s="13" t="s">
        <v>183</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f>IFERROR((K51+M51+MATRIZ_174!O50)/3,0)</f>
        <v>0</v>
      </c>
      <c r="U51" s="18">
        <f>IFERROR(MIN(100,ROUND(MATRIZ_174!M50,1)),0)</f>
        <v>0</v>
      </c>
      <c r="V51" s="18">
        <f t="shared" si="15"/>
        <v>50</v>
      </c>
      <c r="W51" s="18">
        <f>IFERROR(IF(MATRIZ_174!R50=0,65,IF(MATRIZ_174!R50/MATRIZ_174!Q50&gt;=2,35,IF(MATRIZ_174!R50/MATRIZ_174!Q50&gt;=0.5,50,65))),65)</f>
        <v>65</v>
      </c>
      <c r="X51" s="18">
        <f>IFERROR(MIN(100,IF(MATRIZ_174!O50=0,70,30)+IF(MATRIZ_174!U50="",0,0.3*(100-MATRIZ_174!U50*100))),70)</f>
        <v>70</v>
      </c>
      <c r="Y51" s="18">
        <f>IF(OR(MATRIZ_174!P50="ASOCIACION",MATRIZ_174!P50="PENDIENTE"),65,40)</f>
        <v>65</v>
      </c>
      <c r="Z51" s="19" t="str">
        <f t="shared" si="16"/>
        <v>—</v>
      </c>
      <c r="AA51" s="20">
        <f t="shared" si="17"/>
        <v>50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f>IFERROR(MATRIZ_174!AP50,"N/A")</f>
        <v>0</v>
      </c>
      <c r="AJ51" s="17">
        <f>IFERROR(MATRIZ_174!AO50,"N/A")</f>
        <v>0</v>
      </c>
      <c r="AK51" s="23" t="str">
        <f t="shared" si="20"/>
        <v>N/A</v>
      </c>
      <c r="AL51" s="24" t="str">
        <f t="shared" si="21"/>
        <v>—</v>
      </c>
    </row>
    <row r="52" spans="1:38" ht="16.05" customHeight="1" x14ac:dyDescent="0.3">
      <c r="A52" s="13" t="s">
        <v>184</v>
      </c>
      <c r="B52" s="14" t="s">
        <v>185</v>
      </c>
      <c r="C52" s="13" t="s">
        <v>154</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f>IFERROR((K52+M52+MATRIZ_174!O51)/3,0)</f>
        <v>0</v>
      </c>
      <c r="U52" s="18">
        <f>IFERROR(MIN(100,ROUND(MATRIZ_174!M51,1)),0)</f>
        <v>0</v>
      </c>
      <c r="V52" s="18">
        <f t="shared" si="15"/>
        <v>50</v>
      </c>
      <c r="W52" s="18">
        <f>IFERROR(IF(MATRIZ_174!R51=0,65,IF(MATRIZ_174!R51/MATRIZ_174!Q51&gt;=2,35,IF(MATRIZ_174!R51/MATRIZ_174!Q51&gt;=0.5,50,65))),65)</f>
        <v>65</v>
      </c>
      <c r="X52" s="18">
        <f>IFERROR(MIN(100,IF(MATRIZ_174!O51=0,70,30)+IF(MATRIZ_174!U51="",0,0.3*(100-MATRIZ_174!U51*100))),70)</f>
        <v>70</v>
      </c>
      <c r="Y52" s="18">
        <f>IF(OR(MATRIZ_174!P51="ASOCIACION",MATRIZ_174!P51="PENDIENTE"),65,40)</f>
        <v>65</v>
      </c>
      <c r="Z52" s="19" t="str">
        <f t="shared" si="16"/>
        <v>—</v>
      </c>
      <c r="AA52" s="20">
        <f t="shared" si="17"/>
        <v>50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f>IFERROR(MATRIZ_174!AP51,"N/A")</f>
        <v>0</v>
      </c>
      <c r="AJ52" s="17">
        <f>IFERROR(MATRIZ_174!AO51,"N/A")</f>
        <v>0</v>
      </c>
      <c r="AK52" s="23" t="str">
        <f t="shared" si="20"/>
        <v>N/A</v>
      </c>
      <c r="AL52" s="24" t="str">
        <f t="shared" si="21"/>
        <v>—</v>
      </c>
    </row>
    <row r="53" spans="1:38" ht="16.05" customHeight="1" x14ac:dyDescent="0.3">
      <c r="A53" s="13" t="s">
        <v>186</v>
      </c>
      <c r="B53" s="14" t="s">
        <v>187</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f>IFERROR((K53+M53+MATRIZ_174!O52)/3,0)</f>
        <v>0</v>
      </c>
      <c r="U53" s="18">
        <f>IFERROR(MIN(100,ROUND(MATRIZ_174!M52,1)),0)</f>
        <v>0</v>
      </c>
      <c r="V53" s="18">
        <f t="shared" si="15"/>
        <v>50</v>
      </c>
      <c r="W53" s="18">
        <f>IFERROR(IF(MATRIZ_174!R52=0,65,IF(MATRIZ_174!R52/MATRIZ_174!Q52&gt;=2,35,IF(MATRIZ_174!R52/MATRIZ_174!Q52&gt;=0.5,50,65))),65)</f>
        <v>65</v>
      </c>
      <c r="X53" s="18">
        <f>IFERROR(MIN(100,IF(MATRIZ_174!O52=0,70,30)+IF(MATRIZ_174!U52="",0,0.3*(100-MATRIZ_174!U52*100))),70)</f>
        <v>70</v>
      </c>
      <c r="Y53" s="18">
        <f>IF(OR(MATRIZ_174!P52="ASOCIACION",MATRIZ_174!P52="PENDIENTE"),65,40)</f>
        <v>65</v>
      </c>
      <c r="Z53" s="19" t="str">
        <f t="shared" si="16"/>
        <v>—</v>
      </c>
      <c r="AA53" s="20">
        <f t="shared" si="17"/>
        <v>50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f>IFERROR(MATRIZ_174!AP52,"N/A")</f>
        <v>0</v>
      </c>
      <c r="AJ53" s="17">
        <f>IFERROR(MATRIZ_174!AO52,"N/A")</f>
        <v>0</v>
      </c>
      <c r="AK53" s="23" t="str">
        <f t="shared" si="20"/>
        <v>N/A</v>
      </c>
      <c r="AL53" s="24" t="str">
        <f t="shared" si="21"/>
        <v>—</v>
      </c>
    </row>
    <row r="54" spans="1:38" ht="16.05" customHeight="1" x14ac:dyDescent="0.3">
      <c r="A54" s="13" t="s">
        <v>188</v>
      </c>
      <c r="B54" s="14" t="s">
        <v>189</v>
      </c>
      <c r="C54" s="13" t="s">
        <v>143</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f>IFERROR((K54+M54+MATRIZ_174!O53)/3,0)</f>
        <v>0</v>
      </c>
      <c r="U54" s="18">
        <f>IFERROR(MIN(100,ROUND(MATRIZ_174!M53,1)),0)</f>
        <v>0</v>
      </c>
      <c r="V54" s="18">
        <f t="shared" si="15"/>
        <v>50</v>
      </c>
      <c r="W54" s="18">
        <f>IFERROR(IF(MATRIZ_174!R53=0,65,IF(MATRIZ_174!R53/MATRIZ_174!Q53&gt;=2,35,IF(MATRIZ_174!R53/MATRIZ_174!Q53&gt;=0.5,50,65))),65)</f>
        <v>65</v>
      </c>
      <c r="X54" s="18">
        <f>IFERROR(MIN(100,IF(MATRIZ_174!O53=0,70,30)+IF(MATRIZ_174!U53="",0,0.3*(100-MATRIZ_174!U53*100))),70)</f>
        <v>70</v>
      </c>
      <c r="Y54" s="18">
        <f>IF(OR(MATRIZ_174!P53="ASOCIACION",MATRIZ_174!P53="PENDIENTE"),65,40)</f>
        <v>65</v>
      </c>
      <c r="Z54" s="19" t="str">
        <f t="shared" si="16"/>
        <v>—</v>
      </c>
      <c r="AA54" s="20">
        <f t="shared" si="17"/>
        <v>50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f>IFERROR(MATRIZ_174!AP53,"N/A")</f>
        <v>0</v>
      </c>
      <c r="AJ54" s="17">
        <f>IFERROR(MATRIZ_174!AO53,"N/A")</f>
        <v>0</v>
      </c>
      <c r="AK54" s="23" t="str">
        <f t="shared" si="20"/>
        <v>N/A</v>
      </c>
      <c r="AL54" s="24" t="str">
        <f t="shared" si="21"/>
        <v>—</v>
      </c>
    </row>
    <row r="55" spans="1:38" ht="16.05" customHeight="1" x14ac:dyDescent="0.3">
      <c r="A55" s="13" t="s">
        <v>190</v>
      </c>
      <c r="B55" s="14" t="s">
        <v>191</v>
      </c>
      <c r="C55" s="13" t="s">
        <v>143</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f>IFERROR((K55+M55+MATRIZ_174!O54)/3,0)</f>
        <v>0</v>
      </c>
      <c r="U55" s="18">
        <f>IFERROR(MIN(100,ROUND(MATRIZ_174!M54,1)),0)</f>
        <v>0</v>
      </c>
      <c r="V55" s="18">
        <f t="shared" si="15"/>
        <v>50</v>
      </c>
      <c r="W55" s="18">
        <f>IFERROR(IF(MATRIZ_174!R54=0,65,IF(MATRIZ_174!R54/MATRIZ_174!Q54&gt;=2,35,IF(MATRIZ_174!R54/MATRIZ_174!Q54&gt;=0.5,50,65))),65)</f>
        <v>65</v>
      </c>
      <c r="X55" s="18">
        <f>IFERROR(MIN(100,IF(MATRIZ_174!O54=0,70,30)+IF(MATRIZ_174!U54="",0,0.3*(100-MATRIZ_174!U54*100))),70)</f>
        <v>70</v>
      </c>
      <c r="Y55" s="18">
        <f>IF(OR(MATRIZ_174!P54="ASOCIACION",MATRIZ_174!P54="PENDIENTE"),65,40)</f>
        <v>65</v>
      </c>
      <c r="Z55" s="19" t="str">
        <f t="shared" si="16"/>
        <v>—</v>
      </c>
      <c r="AA55" s="20">
        <f t="shared" si="17"/>
        <v>50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f>IFERROR(MATRIZ_174!AP54,"N/A")</f>
        <v>0</v>
      </c>
      <c r="AJ55" s="17">
        <f>IFERROR(MATRIZ_174!AO54,"N/A")</f>
        <v>0</v>
      </c>
      <c r="AK55" s="23" t="str">
        <f t="shared" si="20"/>
        <v>N/A</v>
      </c>
      <c r="AL55" s="24" t="str">
        <f t="shared" si="21"/>
        <v>—</v>
      </c>
    </row>
    <row r="56" spans="1:38" ht="16.05" customHeight="1" x14ac:dyDescent="0.3">
      <c r="A56" s="13" t="s">
        <v>192</v>
      </c>
      <c r="B56" s="14" t="s">
        <v>193</v>
      </c>
      <c r="C56" s="13" t="s">
        <v>143</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f>IFERROR((K56+M56+MATRIZ_174!O55)/3,0)</f>
        <v>0</v>
      </c>
      <c r="U56" s="18">
        <f>IFERROR(MIN(100,ROUND(MATRIZ_174!M55,1)),0)</f>
        <v>0</v>
      </c>
      <c r="V56" s="18">
        <f t="shared" si="15"/>
        <v>50</v>
      </c>
      <c r="W56" s="18">
        <f>IFERROR(IF(MATRIZ_174!R55=0,65,IF(MATRIZ_174!R55/MATRIZ_174!Q55&gt;=2,35,IF(MATRIZ_174!R55/MATRIZ_174!Q55&gt;=0.5,50,65))),65)</f>
        <v>65</v>
      </c>
      <c r="X56" s="18">
        <f>IFERROR(MIN(100,IF(MATRIZ_174!O55=0,70,30)+IF(MATRIZ_174!U55="",0,0.3*(100-MATRIZ_174!U55*100))),70)</f>
        <v>70</v>
      </c>
      <c r="Y56" s="18">
        <f>IF(OR(MATRIZ_174!P55="ASOCIACION",MATRIZ_174!P55="PENDIENTE"),65,40)</f>
        <v>65</v>
      </c>
      <c r="Z56" s="19" t="str">
        <f t="shared" si="16"/>
        <v>—</v>
      </c>
      <c r="AA56" s="20">
        <f t="shared" si="17"/>
        <v>50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f>IFERROR(MATRIZ_174!AP55,"N/A")</f>
        <v>0</v>
      </c>
      <c r="AJ56" s="17">
        <f>IFERROR(MATRIZ_174!AO55,"N/A")</f>
        <v>0</v>
      </c>
      <c r="AK56" s="23" t="str">
        <f t="shared" si="20"/>
        <v>N/A</v>
      </c>
      <c r="AL56" s="24" t="str">
        <f t="shared" si="21"/>
        <v>—</v>
      </c>
    </row>
    <row r="57" spans="1:38" ht="16.05" customHeight="1" x14ac:dyDescent="0.3">
      <c r="A57" s="13" t="s">
        <v>194</v>
      </c>
      <c r="B57" s="14" t="s">
        <v>195</v>
      </c>
      <c r="C57" s="13" t="s">
        <v>196</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f>IFERROR((K57+M57+MATRIZ_174!O56)/3,0)</f>
        <v>0</v>
      </c>
      <c r="U57" s="18">
        <f>IFERROR(MIN(100,ROUND(MATRIZ_174!M56,1)),0)</f>
        <v>0</v>
      </c>
      <c r="V57" s="18">
        <f t="shared" si="15"/>
        <v>50</v>
      </c>
      <c r="W57" s="18">
        <f>IFERROR(IF(MATRIZ_174!R56=0,65,IF(MATRIZ_174!R56/MATRIZ_174!Q56&gt;=2,35,IF(MATRIZ_174!R56/MATRIZ_174!Q56&gt;=0.5,50,65))),65)</f>
        <v>65</v>
      </c>
      <c r="X57" s="18">
        <f>IFERROR(MIN(100,IF(MATRIZ_174!O56=0,70,30)+IF(MATRIZ_174!U56="",0,0.3*(100-MATRIZ_174!U56*100))),70)</f>
        <v>70</v>
      </c>
      <c r="Y57" s="18">
        <f>IF(OR(MATRIZ_174!P56="ASOCIACION",MATRIZ_174!P56="PENDIENTE"),65,40)</f>
        <v>65</v>
      </c>
      <c r="Z57" s="19" t="str">
        <f t="shared" si="16"/>
        <v>—</v>
      </c>
      <c r="AA57" s="20">
        <f t="shared" si="17"/>
        <v>50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f>IFERROR(MATRIZ_174!AP56,"N/A")</f>
        <v>0</v>
      </c>
      <c r="AJ57" s="17">
        <f>IFERROR(MATRIZ_174!AO56,"N/A")</f>
        <v>0</v>
      </c>
      <c r="AK57" s="23" t="str">
        <f t="shared" si="20"/>
        <v>N/A</v>
      </c>
      <c r="AL57" s="24" t="str">
        <f t="shared" si="21"/>
        <v>—</v>
      </c>
    </row>
    <row r="58" spans="1:38" ht="16.05" customHeight="1" x14ac:dyDescent="0.3">
      <c r="A58" s="13" t="s">
        <v>197</v>
      </c>
      <c r="B58" s="14" t="s">
        <v>198</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f>IFERROR((K58+M58+MATRIZ_174!O57)/3,0)</f>
        <v>0</v>
      </c>
      <c r="U58" s="18">
        <f>IFERROR(MIN(100,ROUND(MATRIZ_174!M57,1)),0)</f>
        <v>0</v>
      </c>
      <c r="V58" s="18">
        <f t="shared" si="15"/>
        <v>50</v>
      </c>
      <c r="W58" s="18">
        <f>IFERROR(IF(MATRIZ_174!R57=0,65,IF(MATRIZ_174!R57/MATRIZ_174!Q57&gt;=2,35,IF(MATRIZ_174!R57/MATRIZ_174!Q57&gt;=0.5,50,65))),65)</f>
        <v>65</v>
      </c>
      <c r="X58" s="18">
        <f>IFERROR(MIN(100,IF(MATRIZ_174!O57=0,70,30)+IF(MATRIZ_174!U57="",0,0.3*(100-MATRIZ_174!U57*100))),70)</f>
        <v>70</v>
      </c>
      <c r="Y58" s="18">
        <f>IF(OR(MATRIZ_174!P57="ASOCIACION",MATRIZ_174!P57="PENDIENTE"),65,40)</f>
        <v>65</v>
      </c>
      <c r="Z58" s="19" t="str">
        <f t="shared" si="16"/>
        <v>—</v>
      </c>
      <c r="AA58" s="20">
        <f t="shared" si="17"/>
        <v>50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f>IFERROR(MATRIZ_174!AP57,"N/A")</f>
        <v>0</v>
      </c>
      <c r="AJ58" s="17">
        <f>IFERROR(MATRIZ_174!AO57,"N/A")</f>
        <v>0</v>
      </c>
      <c r="AK58" s="23" t="str">
        <f t="shared" si="20"/>
        <v>N/A</v>
      </c>
      <c r="AL58" s="24" t="str">
        <f t="shared" si="21"/>
        <v>—</v>
      </c>
    </row>
    <row r="59" spans="1:38" ht="16.05" customHeight="1" x14ac:dyDescent="0.3">
      <c r="A59" s="13" t="s">
        <v>199</v>
      </c>
      <c r="B59" s="14" t="s">
        <v>200</v>
      </c>
      <c r="C59" s="13" t="s">
        <v>107</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f>IFERROR((K59+M59+MATRIZ_174!O58)/3,0)</f>
        <v>0</v>
      </c>
      <c r="U59" s="18">
        <f>IFERROR(MIN(100,ROUND(MATRIZ_174!M58,1)),0)</f>
        <v>50</v>
      </c>
      <c r="V59" s="18">
        <f t="shared" si="15"/>
        <v>50</v>
      </c>
      <c r="W59" s="18">
        <f>IFERROR(IF(MATRIZ_174!R58=0,65,IF(MATRIZ_174!R58/MATRIZ_174!Q58&gt;=2,35,IF(MATRIZ_174!R58/MATRIZ_174!Q58&gt;=0.5,50,65))),65)</f>
        <v>65</v>
      </c>
      <c r="X59" s="18">
        <f>IFERROR(MIN(100,IF(MATRIZ_174!O58=0,70,30)+IF(MATRIZ_174!U58="",0,0.3*(100-MATRIZ_174!U58*100))),70)</f>
        <v>70</v>
      </c>
      <c r="Y59" s="18">
        <f>IF(OR(MATRIZ_174!P58="ASOCIACION",MATRIZ_174!P58="PENDIENTE"),65,40)</f>
        <v>65</v>
      </c>
      <c r="Z59" s="19" t="str">
        <f t="shared" si="16"/>
        <v>—</v>
      </c>
      <c r="AA59" s="20">
        <f t="shared" si="17"/>
        <v>60</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f>IFERROR(MATRIZ_174!AP58,"N/A")</f>
        <v>0.20833333333333334</v>
      </c>
      <c r="AJ59" s="17">
        <f>IFERROR(MATRIZ_174!AO58,"N/A")</f>
        <v>0</v>
      </c>
      <c r="AK59" s="23" t="str">
        <f t="shared" si="20"/>
        <v>N/A</v>
      </c>
      <c r="AL59" s="24" t="str">
        <f t="shared" si="21"/>
        <v>—</v>
      </c>
    </row>
    <row r="60" spans="1:38" ht="16.05" customHeight="1" x14ac:dyDescent="0.3">
      <c r="A60" s="13" t="s">
        <v>201</v>
      </c>
      <c r="B60" s="14" t="s">
        <v>202</v>
      </c>
      <c r="C60" s="13" t="s">
        <v>107</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f>IFERROR((K60+M60+MATRIZ_174!O59)/3,0)</f>
        <v>0</v>
      </c>
      <c r="U60" s="18">
        <f>IFERROR(MIN(100,ROUND(MATRIZ_174!M59,1)),0)</f>
        <v>0</v>
      </c>
      <c r="V60" s="18">
        <f t="shared" si="15"/>
        <v>50</v>
      </c>
      <c r="W60" s="18">
        <f>IFERROR(IF(MATRIZ_174!R59=0,65,IF(MATRIZ_174!R59/MATRIZ_174!Q59&gt;=2,35,IF(MATRIZ_174!R59/MATRIZ_174!Q59&gt;=0.5,50,65))),65)</f>
        <v>65</v>
      </c>
      <c r="X60" s="18">
        <f>IFERROR(MIN(100,IF(MATRIZ_174!O59=0,70,30)+IF(MATRIZ_174!U59="",0,0.3*(100-MATRIZ_174!U59*100))),70)</f>
        <v>70</v>
      </c>
      <c r="Y60" s="18">
        <f>IF(OR(MATRIZ_174!P59="ASOCIACION",MATRIZ_174!P59="PENDIENTE"),65,40)</f>
        <v>65</v>
      </c>
      <c r="Z60" s="19" t="str">
        <f t="shared" si="16"/>
        <v>—</v>
      </c>
      <c r="AA60" s="20">
        <f t="shared" si="17"/>
        <v>50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f>IFERROR(MATRIZ_174!AP59,"N/A")</f>
        <v>0</v>
      </c>
      <c r="AJ60" s="17">
        <f>IFERROR(MATRIZ_174!AO59,"N/A")</f>
        <v>0</v>
      </c>
      <c r="AK60" s="23" t="str">
        <f t="shared" si="20"/>
        <v>N/A</v>
      </c>
      <c r="AL60" s="24" t="str">
        <f t="shared" si="21"/>
        <v>—</v>
      </c>
    </row>
    <row r="61" spans="1:38" ht="16.05" customHeight="1" x14ac:dyDescent="0.3">
      <c r="A61" s="13" t="s">
        <v>203</v>
      </c>
      <c r="B61" s="14" t="s">
        <v>204</v>
      </c>
      <c r="C61" s="13" t="s">
        <v>205</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f>IFERROR((K61+M61+MATRIZ_174!O60)/3,0)</f>
        <v>0</v>
      </c>
      <c r="U61" s="18">
        <f>IFERROR(MIN(100,ROUND(MATRIZ_174!M60,1)),0)</f>
        <v>50</v>
      </c>
      <c r="V61" s="18">
        <f t="shared" si="15"/>
        <v>50</v>
      </c>
      <c r="W61" s="18">
        <f>IFERROR(IF(MATRIZ_174!R60=0,65,IF(MATRIZ_174!R60/MATRIZ_174!Q60&gt;=2,35,IF(MATRIZ_174!R60/MATRIZ_174!Q60&gt;=0.5,50,65))),65)</f>
        <v>65</v>
      </c>
      <c r="X61" s="18">
        <f>IFERROR(MIN(100,IF(MATRIZ_174!O60=0,70,30)+IF(MATRIZ_174!U60="",0,0.3*(100-MATRIZ_174!U60*100))),70)</f>
        <v>70</v>
      </c>
      <c r="Y61" s="18">
        <f>IF(OR(MATRIZ_174!P60="ASOCIACION",MATRIZ_174!P60="PENDIENTE"),65,40)</f>
        <v>65</v>
      </c>
      <c r="Z61" s="19" t="str">
        <f t="shared" si="16"/>
        <v>—</v>
      </c>
      <c r="AA61" s="20">
        <f t="shared" si="17"/>
        <v>60</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f>IFERROR(MATRIZ_174!AP60,"N/A")</f>
        <v>0.26041666666666669</v>
      </c>
      <c r="AJ61" s="17">
        <f>IFERROR(MATRIZ_174!AO60,"N/A")</f>
        <v>0</v>
      </c>
      <c r="AK61" s="23" t="str">
        <f t="shared" si="20"/>
        <v>N/A</v>
      </c>
      <c r="AL61" s="24" t="str">
        <f t="shared" si="21"/>
        <v>—</v>
      </c>
    </row>
    <row r="62" spans="1:38" ht="16.05" customHeight="1" x14ac:dyDescent="0.3">
      <c r="A62" s="13" t="s">
        <v>206</v>
      </c>
      <c r="B62" s="14" t="s">
        <v>207</v>
      </c>
      <c r="C62" s="13" t="s">
        <v>123</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f>IFERROR((K62+M62+MATRIZ_174!O61)/3,0)</f>
        <v>0</v>
      </c>
      <c r="U62" s="18">
        <f>IFERROR(MIN(100,ROUND(MATRIZ_174!M61,1)),0)</f>
        <v>0</v>
      </c>
      <c r="V62" s="18">
        <f t="shared" si="15"/>
        <v>50</v>
      </c>
      <c r="W62" s="18">
        <f>IFERROR(IF(MATRIZ_174!R61=0,65,IF(MATRIZ_174!R61/MATRIZ_174!Q61&gt;=2,35,IF(MATRIZ_174!R61/MATRIZ_174!Q61&gt;=0.5,50,65))),65)</f>
        <v>65</v>
      </c>
      <c r="X62" s="18">
        <f>IFERROR(MIN(100,IF(MATRIZ_174!O61=0,70,30)+IF(MATRIZ_174!U61="",0,0.3*(100-MATRIZ_174!U61*100))),70)</f>
        <v>70</v>
      </c>
      <c r="Y62" s="18">
        <f>IF(OR(MATRIZ_174!P61="ASOCIACION",MATRIZ_174!P61="PENDIENTE"),65,40)</f>
        <v>65</v>
      </c>
      <c r="Z62" s="19" t="str">
        <f t="shared" si="16"/>
        <v>—</v>
      </c>
      <c r="AA62" s="20">
        <f t="shared" si="17"/>
        <v>50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f>IFERROR(MATRIZ_174!AP61,"N/A")</f>
        <v>0</v>
      </c>
      <c r="AJ62" s="17">
        <f>IFERROR(MATRIZ_174!AO61,"N/A")</f>
        <v>0</v>
      </c>
      <c r="AK62" s="23" t="str">
        <f t="shared" si="20"/>
        <v>N/A</v>
      </c>
      <c r="AL62" s="24" t="str">
        <f t="shared" si="21"/>
        <v>—</v>
      </c>
    </row>
    <row r="63" spans="1:38" ht="16.05" customHeight="1" x14ac:dyDescent="0.3">
      <c r="A63" s="13" t="s">
        <v>208</v>
      </c>
      <c r="B63" s="14" t="s">
        <v>209</v>
      </c>
      <c r="C63" s="13" t="s">
        <v>107</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f>IFERROR((K63+M63+MATRIZ_174!O62)/3,0)</f>
        <v>0</v>
      </c>
      <c r="U63" s="18">
        <f>IFERROR(MIN(100,ROUND(MATRIZ_174!M62,1)),0)</f>
        <v>0</v>
      </c>
      <c r="V63" s="18">
        <f t="shared" si="15"/>
        <v>50</v>
      </c>
      <c r="W63" s="18">
        <f>IFERROR(IF(MATRIZ_174!R62=0,65,IF(MATRIZ_174!R62/MATRIZ_174!Q62&gt;=2,35,IF(MATRIZ_174!R62/MATRIZ_174!Q62&gt;=0.5,50,65))),65)</f>
        <v>65</v>
      </c>
      <c r="X63" s="18">
        <f>IFERROR(MIN(100,IF(MATRIZ_174!O62=0,70,30)+IF(MATRIZ_174!U62="",0,0.3*(100-MATRIZ_174!U62*100))),70)</f>
        <v>70</v>
      </c>
      <c r="Y63" s="18">
        <f>IF(OR(MATRIZ_174!P62="ASOCIACION",MATRIZ_174!P62="PENDIENTE"),65,40)</f>
        <v>65</v>
      </c>
      <c r="Z63" s="19" t="str">
        <f t="shared" si="16"/>
        <v>—</v>
      </c>
      <c r="AA63" s="20">
        <f t="shared" si="17"/>
        <v>50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f>IFERROR(MATRIZ_174!AP62,"N/A")</f>
        <v>0</v>
      </c>
      <c r="AJ63" s="17">
        <f>IFERROR(MATRIZ_174!AO62,"N/A")</f>
        <v>0</v>
      </c>
      <c r="AK63" s="23" t="str">
        <f t="shared" si="20"/>
        <v>N/A</v>
      </c>
      <c r="AL63" s="24" t="str">
        <f t="shared" si="21"/>
        <v>—</v>
      </c>
    </row>
    <row r="64" spans="1:38" ht="16.05" customHeight="1" x14ac:dyDescent="0.3">
      <c r="A64" s="13" t="s">
        <v>210</v>
      </c>
      <c r="B64" s="14" t="s">
        <v>211</v>
      </c>
      <c r="C64" s="13" t="s">
        <v>107</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f>IFERROR((K64+M64+MATRIZ_174!O63)/3,0)</f>
        <v>0</v>
      </c>
      <c r="U64" s="18">
        <f>IFERROR(MIN(100,ROUND(MATRIZ_174!M63,1)),0)</f>
        <v>0</v>
      </c>
      <c r="V64" s="18">
        <f t="shared" si="15"/>
        <v>50</v>
      </c>
      <c r="W64" s="18">
        <f>IFERROR(IF(MATRIZ_174!R63=0,65,IF(MATRIZ_174!R63/MATRIZ_174!Q63&gt;=2,35,IF(MATRIZ_174!R63/MATRIZ_174!Q63&gt;=0.5,50,65))),65)</f>
        <v>65</v>
      </c>
      <c r="X64" s="18">
        <f>IFERROR(MIN(100,IF(MATRIZ_174!O63=0,70,30)+IF(MATRIZ_174!U63="",0,0.3*(100-MATRIZ_174!U63*100))),70)</f>
        <v>70</v>
      </c>
      <c r="Y64" s="18">
        <f>IF(OR(MATRIZ_174!P63="ASOCIACION",MATRIZ_174!P63="PENDIENTE"),65,40)</f>
        <v>65</v>
      </c>
      <c r="Z64" s="19" t="str">
        <f t="shared" si="16"/>
        <v>—</v>
      </c>
      <c r="AA64" s="20">
        <f t="shared" si="17"/>
        <v>50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f>IFERROR(MATRIZ_174!AP63,"N/A")</f>
        <v>0</v>
      </c>
      <c r="AJ64" s="17">
        <f>IFERROR(MATRIZ_174!AO63,"N/A")</f>
        <v>0</v>
      </c>
      <c r="AK64" s="23" t="str">
        <f t="shared" si="20"/>
        <v>N/A</v>
      </c>
      <c r="AL64" s="24" t="str">
        <f t="shared" si="21"/>
        <v>—</v>
      </c>
    </row>
    <row r="65" spans="1:38" ht="16.05" customHeight="1" x14ac:dyDescent="0.3">
      <c r="A65" s="13" t="s">
        <v>212</v>
      </c>
      <c r="B65" s="14" t="s">
        <v>213</v>
      </c>
      <c r="C65" s="13" t="s">
        <v>143</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f>IFERROR((K65+M65+MATRIZ_174!O64)/3,0)</f>
        <v>0</v>
      </c>
      <c r="U65" s="18">
        <f>IFERROR(MIN(100,ROUND(MATRIZ_174!M64,1)),0)</f>
        <v>0</v>
      </c>
      <c r="V65" s="18">
        <f t="shared" si="15"/>
        <v>50</v>
      </c>
      <c r="W65" s="18">
        <f>IFERROR(IF(MATRIZ_174!R64=0,65,IF(MATRIZ_174!R64/MATRIZ_174!Q64&gt;=2,35,IF(MATRIZ_174!R64/MATRIZ_174!Q64&gt;=0.5,50,65))),65)</f>
        <v>65</v>
      </c>
      <c r="X65" s="18">
        <f>IFERROR(MIN(100,IF(MATRIZ_174!O64=0,70,30)+IF(MATRIZ_174!U64="",0,0.3*(100-MATRIZ_174!U64*100))),70)</f>
        <v>70</v>
      </c>
      <c r="Y65" s="18">
        <f>IF(OR(MATRIZ_174!P64="ASOCIACION",MATRIZ_174!P64="PENDIENTE"),65,40)</f>
        <v>65</v>
      </c>
      <c r="Z65" s="19" t="str">
        <f t="shared" si="16"/>
        <v>—</v>
      </c>
      <c r="AA65" s="20">
        <f t="shared" si="17"/>
        <v>50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f>IFERROR(MATRIZ_174!AP64,"N/A")</f>
        <v>0</v>
      </c>
      <c r="AJ65" s="17">
        <f>IFERROR(MATRIZ_174!AO64,"N/A")</f>
        <v>0</v>
      </c>
      <c r="AK65" s="23" t="str">
        <f t="shared" si="20"/>
        <v>N/A</v>
      </c>
      <c r="AL65" s="24" t="str">
        <f t="shared" si="21"/>
        <v>—</v>
      </c>
    </row>
    <row r="66" spans="1:38" ht="16.05" customHeight="1" x14ac:dyDescent="0.3">
      <c r="A66" s="13" t="s">
        <v>214</v>
      </c>
      <c r="B66" s="14" t="s">
        <v>215</v>
      </c>
      <c r="C66" s="13" t="s">
        <v>143</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f>IFERROR((K66+M66+MATRIZ_174!O65)/3,0)</f>
        <v>0</v>
      </c>
      <c r="U66" s="18">
        <f>IFERROR(MIN(100,ROUND(MATRIZ_174!M65,1)),0)</f>
        <v>0</v>
      </c>
      <c r="V66" s="18">
        <f t="shared" si="15"/>
        <v>50</v>
      </c>
      <c r="W66" s="18">
        <f>IFERROR(IF(MATRIZ_174!R65=0,65,IF(MATRIZ_174!R65/MATRIZ_174!Q65&gt;=2,35,IF(MATRIZ_174!R65/MATRIZ_174!Q65&gt;=0.5,50,65))),65)</f>
        <v>65</v>
      </c>
      <c r="X66" s="18">
        <f>IFERROR(MIN(100,IF(MATRIZ_174!O65=0,70,30)+IF(MATRIZ_174!U65="",0,0.3*(100-MATRIZ_174!U65*100))),70)</f>
        <v>70</v>
      </c>
      <c r="Y66" s="18">
        <f>IF(OR(MATRIZ_174!P65="ASOCIACION",MATRIZ_174!P65="PENDIENTE"),65,40)</f>
        <v>65</v>
      </c>
      <c r="Z66" s="19" t="str">
        <f t="shared" si="16"/>
        <v>—</v>
      </c>
      <c r="AA66" s="20">
        <f t="shared" si="17"/>
        <v>50</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f>IFERROR(MATRIZ_174!AP65,"N/A")</f>
        <v>0</v>
      </c>
      <c r="AJ66" s="17">
        <f>IFERROR(MATRIZ_174!AO65,"N/A")</f>
        <v>0</v>
      </c>
      <c r="AK66" s="23" t="str">
        <f t="shared" si="20"/>
        <v>N/A</v>
      </c>
      <c r="AL66" s="24" t="str">
        <f t="shared" si="21"/>
        <v>—</v>
      </c>
    </row>
    <row r="67" spans="1:38" ht="16.05" customHeight="1" x14ac:dyDescent="0.3">
      <c r="A67" s="13" t="s">
        <v>216</v>
      </c>
      <c r="B67" s="14" t="s">
        <v>217</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f>IFERROR((K67+M67+MATRIZ_174!O66)/3,0)</f>
        <v>0</v>
      </c>
      <c r="U67" s="18">
        <f>IFERROR(MIN(100,ROUND(MATRIZ_174!M66,1)),0)</f>
        <v>0</v>
      </c>
      <c r="V67" s="18">
        <f t="shared" si="15"/>
        <v>50</v>
      </c>
      <c r="W67" s="18">
        <f>IFERROR(IF(MATRIZ_174!R66=0,65,IF(MATRIZ_174!R66/MATRIZ_174!Q66&gt;=2,35,IF(MATRIZ_174!R66/MATRIZ_174!Q66&gt;=0.5,50,65))),65)</f>
        <v>65</v>
      </c>
      <c r="X67" s="18">
        <f>IFERROR(MIN(100,IF(MATRIZ_174!O66=0,70,30)+IF(MATRIZ_174!U66="",0,0.3*(100-MATRIZ_174!U66*100))),70)</f>
        <v>70</v>
      </c>
      <c r="Y67" s="18">
        <f>IF(OR(MATRIZ_174!P66="ASOCIACION",MATRIZ_174!P66="PENDIENTE"),65,40)</f>
        <v>65</v>
      </c>
      <c r="Z67" s="19" t="str">
        <f t="shared" si="16"/>
        <v>—</v>
      </c>
      <c r="AA67" s="20">
        <f t="shared" si="17"/>
        <v>50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f>IFERROR(MATRIZ_174!AP66,"N/A")</f>
        <v>0</v>
      </c>
      <c r="AJ67" s="17">
        <f>IFERROR(MATRIZ_174!AO66,"N/A")</f>
        <v>0</v>
      </c>
      <c r="AK67" s="23" t="str">
        <f t="shared" si="20"/>
        <v>N/A</v>
      </c>
      <c r="AL67" s="24" t="str">
        <f t="shared" si="21"/>
        <v>—</v>
      </c>
    </row>
    <row r="68" spans="1:38" ht="16.05" customHeight="1" x14ac:dyDescent="0.3">
      <c r="A68" s="13" t="s">
        <v>218</v>
      </c>
      <c r="B68" s="14" t="s">
        <v>219</v>
      </c>
      <c r="C68" s="13" t="s">
        <v>116</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f>IFERROR((K68+M68+MATRIZ_174!O67)/3,0)</f>
        <v>0</v>
      </c>
      <c r="U68" s="18">
        <f>IFERROR(MIN(100,ROUND(MATRIZ_174!M67,1)),0)</f>
        <v>0</v>
      </c>
      <c r="V68" s="18">
        <f t="shared" ref="V68:V99" si="26">IF(OR(NOT(ISNUMBER(F68)),F68=0),50,F68)</f>
        <v>50</v>
      </c>
      <c r="W68" s="18">
        <f>IFERROR(IF(MATRIZ_174!R67=0,65,IF(MATRIZ_174!R67/MATRIZ_174!Q67&gt;=2,35,IF(MATRIZ_174!R67/MATRIZ_174!Q67&gt;=0.5,50,65))),65)</f>
        <v>65</v>
      </c>
      <c r="X68" s="18">
        <f>IFERROR(MIN(100,IF(MATRIZ_174!O67=0,70,30)+IF(MATRIZ_174!U67="",0,0.3*(100-MATRIZ_174!U67*100))),70)</f>
        <v>70</v>
      </c>
      <c r="Y68" s="18">
        <f>IF(OR(MATRIZ_174!P67="ASOCIACION",MATRIZ_174!P67="PENDIENTE"),65,40)</f>
        <v>65</v>
      </c>
      <c r="Z68" s="19" t="str">
        <f t="shared" ref="Z68:Z99" si="27">IF(COUNT(F68:M68)&lt;8,"—",IFERROR(ROUND(AVERAGE(P68:T68),1),"—"))</f>
        <v>—</v>
      </c>
      <c r="AA68" s="20">
        <f t="shared" ref="AA68:AA99" si="28">IFERROR(ROUND(AVERAGE(U68,V68,W68,X68,Y68),1),0)</f>
        <v>50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f>IFERROR(MATRIZ_174!AP67,"N/A")</f>
        <v>0</v>
      </c>
      <c r="AJ68" s="17">
        <f>IFERROR(MATRIZ_174!AO67,"N/A")</f>
        <v>0</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220</v>
      </c>
      <c r="B69" s="14" t="s">
        <v>221</v>
      </c>
      <c r="C69" s="13" t="s">
        <v>116</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f>IFERROR((K69+M69+MATRIZ_174!O68)/3,0)</f>
        <v>0</v>
      </c>
      <c r="U69" s="18">
        <f>IFERROR(MIN(100,ROUND(MATRIZ_174!M68,1)),0)</f>
        <v>0</v>
      </c>
      <c r="V69" s="18">
        <f t="shared" si="26"/>
        <v>50</v>
      </c>
      <c r="W69" s="18">
        <f>IFERROR(IF(MATRIZ_174!R68=0,65,IF(MATRIZ_174!R68/MATRIZ_174!Q68&gt;=2,35,IF(MATRIZ_174!R68/MATRIZ_174!Q68&gt;=0.5,50,65))),65)</f>
        <v>65</v>
      </c>
      <c r="X69" s="18">
        <f>IFERROR(MIN(100,IF(MATRIZ_174!O68=0,70,30)+IF(MATRIZ_174!U68="",0,0.3*(100-MATRIZ_174!U68*100))),70)</f>
        <v>70</v>
      </c>
      <c r="Y69" s="18">
        <f>IF(OR(MATRIZ_174!P68="ASOCIACION",MATRIZ_174!P68="PENDIENTE"),65,40)</f>
        <v>65</v>
      </c>
      <c r="Z69" s="19" t="str">
        <f t="shared" si="27"/>
        <v>—</v>
      </c>
      <c r="AA69" s="20">
        <f t="shared" si="28"/>
        <v>50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f>IFERROR(MATRIZ_174!AP68,"N/A")</f>
        <v>0</v>
      </c>
      <c r="AJ69" s="17">
        <f>IFERROR(MATRIZ_174!AO68,"N/A")</f>
        <v>0</v>
      </c>
      <c r="AK69" s="23" t="str">
        <f t="shared" si="31"/>
        <v>N/A</v>
      </c>
      <c r="AL69" s="24" t="str">
        <f t="shared" si="32"/>
        <v>—</v>
      </c>
    </row>
    <row r="70" spans="1:38" ht="16.05" customHeight="1" x14ac:dyDescent="0.3">
      <c r="A70" s="13" t="s">
        <v>222</v>
      </c>
      <c r="B70" s="14" t="s">
        <v>223</v>
      </c>
      <c r="C70" s="13" t="s">
        <v>183</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f>IFERROR((K70+M70+MATRIZ_174!O69)/3,0)</f>
        <v>0</v>
      </c>
      <c r="U70" s="18">
        <f>IFERROR(MIN(100,ROUND(MATRIZ_174!M69,1)),0)</f>
        <v>0</v>
      </c>
      <c r="V70" s="18">
        <f t="shared" si="26"/>
        <v>50</v>
      </c>
      <c r="W70" s="18">
        <f>IFERROR(IF(MATRIZ_174!R69=0,65,IF(MATRIZ_174!R69/MATRIZ_174!Q69&gt;=2,35,IF(MATRIZ_174!R69/MATRIZ_174!Q69&gt;=0.5,50,65))),65)</f>
        <v>65</v>
      </c>
      <c r="X70" s="18">
        <f>IFERROR(MIN(100,IF(MATRIZ_174!O69=0,70,30)+IF(MATRIZ_174!U69="",0,0.3*(100-MATRIZ_174!U69*100))),70)</f>
        <v>70</v>
      </c>
      <c r="Y70" s="18">
        <f>IF(OR(MATRIZ_174!P69="ASOCIACION",MATRIZ_174!P69="PENDIENTE"),65,40)</f>
        <v>65</v>
      </c>
      <c r="Z70" s="19" t="str">
        <f t="shared" si="27"/>
        <v>—</v>
      </c>
      <c r="AA70" s="20">
        <f t="shared" si="28"/>
        <v>50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f>IFERROR(MATRIZ_174!AP69,"N/A")</f>
        <v>0</v>
      </c>
      <c r="AJ70" s="17">
        <f>IFERROR(MATRIZ_174!AO69,"N/A")</f>
        <v>0</v>
      </c>
      <c r="AK70" s="23" t="str">
        <f t="shared" si="31"/>
        <v>N/A</v>
      </c>
      <c r="AL70" s="24" t="str">
        <f t="shared" si="32"/>
        <v>—</v>
      </c>
    </row>
    <row r="71" spans="1:38" ht="16.05" customHeight="1" x14ac:dyDescent="0.3">
      <c r="A71" s="13" t="s">
        <v>224</v>
      </c>
      <c r="B71" s="14" t="s">
        <v>225</v>
      </c>
      <c r="C71" s="13" t="s">
        <v>143</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IFERROR((K71+M71+MATRIZ_174!O70)/3,0)</f>
        <v>0</v>
      </c>
      <c r="U71" s="18">
        <f>IFERROR(MIN(100,ROUND(MATRIZ_174!M70,1)),0)</f>
        <v>59.5</v>
      </c>
      <c r="V71" s="18">
        <f t="shared" si="26"/>
        <v>50</v>
      </c>
      <c r="W71" s="18">
        <f>IFERROR(IF(MATRIZ_174!R70=0,65,IF(MATRIZ_174!R70/MATRIZ_174!Q70&gt;=2,35,IF(MATRIZ_174!R70/MATRIZ_174!Q70&gt;=0.5,50,65))),65)</f>
        <v>35</v>
      </c>
      <c r="X71" s="18">
        <f>IFERROR(MIN(100,IF(MATRIZ_174!O70=0,70,30)+IF(MATRIZ_174!U70="",0,0.3*(100-MATRIZ_174!U70*100))),70)</f>
        <v>70</v>
      </c>
      <c r="Y71" s="18">
        <f>IF(OR(MATRIZ_174!P70="ASOCIACION",MATRIZ_174!P70="PENDIENTE"),65,40)</f>
        <v>65</v>
      </c>
      <c r="Z71" s="19" t="str">
        <f t="shared" si="27"/>
        <v>—</v>
      </c>
      <c r="AA71" s="20">
        <f t="shared" si="28"/>
        <v>55.9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f>IFERROR(MATRIZ_174!AP70,"N/A")</f>
        <v>0.3</v>
      </c>
      <c r="AJ71" s="17">
        <f>IFERROR(MATRIZ_174!AO70,"N/A")</f>
        <v>0</v>
      </c>
      <c r="AK71" s="23" t="str">
        <f t="shared" si="31"/>
        <v>N/A</v>
      </c>
      <c r="AL71" s="24" t="str">
        <f t="shared" si="32"/>
        <v>—</v>
      </c>
    </row>
    <row r="72" spans="1:38" ht="16.05" customHeight="1" x14ac:dyDescent="0.3">
      <c r="A72" s="13" t="s">
        <v>228</v>
      </c>
      <c r="B72" s="14" t="s">
        <v>229</v>
      </c>
      <c r="C72" s="13" t="s">
        <v>143</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f>IFERROR((K72+M72+MATRIZ_174!O71)/3,0)</f>
        <v>0</v>
      </c>
      <c r="U72" s="18">
        <f>IFERROR(MIN(100,ROUND(MATRIZ_174!M71,1)),0)</f>
        <v>0</v>
      </c>
      <c r="V72" s="18">
        <f t="shared" si="26"/>
        <v>50</v>
      </c>
      <c r="W72" s="18">
        <f>IFERROR(IF(MATRIZ_174!R71=0,65,IF(MATRIZ_174!R71/MATRIZ_174!Q71&gt;=2,35,IF(MATRIZ_174!R71/MATRIZ_174!Q71&gt;=0.5,50,65))),65)</f>
        <v>65</v>
      </c>
      <c r="X72" s="18">
        <f>IFERROR(MIN(100,IF(MATRIZ_174!O71=0,70,30)+IF(MATRIZ_174!U71="",0,0.3*(100-MATRIZ_174!U71*100))),70)</f>
        <v>70</v>
      </c>
      <c r="Y72" s="18">
        <f>IF(OR(MATRIZ_174!P71="ASOCIACION",MATRIZ_174!P71="PENDIENTE"),65,40)</f>
        <v>65</v>
      </c>
      <c r="Z72" s="19" t="str">
        <f t="shared" si="27"/>
        <v>—</v>
      </c>
      <c r="AA72" s="20">
        <f t="shared" si="28"/>
        <v>50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f>IFERROR(MATRIZ_174!AP71,"N/A")</f>
        <v>0</v>
      </c>
      <c r="AJ72" s="17">
        <f>IFERROR(MATRIZ_174!AO71,"N/A")</f>
        <v>0</v>
      </c>
      <c r="AK72" s="23" t="str">
        <f t="shared" si="31"/>
        <v>N/A</v>
      </c>
      <c r="AL72" s="24" t="str">
        <f t="shared" si="32"/>
        <v>—</v>
      </c>
    </row>
    <row r="73" spans="1:38" ht="16.05" customHeight="1" x14ac:dyDescent="0.3">
      <c r="A73" s="13" t="s">
        <v>230</v>
      </c>
      <c r="B73" s="14" t="s">
        <v>231</v>
      </c>
      <c r="C73" s="13" t="s">
        <v>143</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f>IFERROR((K73+M73+MATRIZ_174!O72)/3,0)</f>
        <v>0</v>
      </c>
      <c r="U73" s="18">
        <f>IFERROR(MIN(100,ROUND(MATRIZ_174!M72,1)),0)</f>
        <v>50</v>
      </c>
      <c r="V73" s="18">
        <f t="shared" si="26"/>
        <v>50</v>
      </c>
      <c r="W73" s="18">
        <f>IFERROR(IF(MATRIZ_174!R72=0,65,IF(MATRIZ_174!R72/MATRIZ_174!Q72&gt;=2,35,IF(MATRIZ_174!R72/MATRIZ_174!Q72&gt;=0.5,50,65))),65)</f>
        <v>65</v>
      </c>
      <c r="X73" s="18">
        <f>IFERROR(MIN(100,IF(MATRIZ_174!O72=0,70,30)+IF(MATRIZ_174!U72="",0,0.3*(100-MATRIZ_174!U72*100))),70)</f>
        <v>70</v>
      </c>
      <c r="Y73" s="18">
        <f>IF(OR(MATRIZ_174!P72="ASOCIACION",MATRIZ_174!P72="PENDIENTE"),65,40)</f>
        <v>65</v>
      </c>
      <c r="Z73" s="19" t="str">
        <f t="shared" si="27"/>
        <v>—</v>
      </c>
      <c r="AA73" s="20">
        <f t="shared" si="28"/>
        <v>60</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f>IFERROR(MATRIZ_174!AP72,"N/A")</f>
        <v>0.26041666666666669</v>
      </c>
      <c r="AJ73" s="17">
        <f>IFERROR(MATRIZ_174!AO72,"N/A")</f>
        <v>0</v>
      </c>
      <c r="AK73" s="23" t="str">
        <f t="shared" si="31"/>
        <v>N/A</v>
      </c>
      <c r="AL73" s="24" t="str">
        <f t="shared" si="32"/>
        <v>—</v>
      </c>
    </row>
    <row r="74" spans="1:38" ht="16.05" customHeight="1" x14ac:dyDescent="0.3">
      <c r="A74" s="13" t="s">
        <v>232</v>
      </c>
      <c r="B74" s="14" t="s">
        <v>233</v>
      </c>
      <c r="C74" s="13" t="s">
        <v>143</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IFERROR((K74+M74+MATRIZ_174!O73)/3,0)</f>
        <v>0</v>
      </c>
      <c r="U74" s="18">
        <f>IFERROR(MIN(100,ROUND(MATRIZ_174!M73,1)),0)</f>
        <v>100</v>
      </c>
      <c r="V74" s="18">
        <f t="shared" si="26"/>
        <v>50</v>
      </c>
      <c r="W74" s="18">
        <f>IFERROR(IF(MATRIZ_174!R73=0,65,IF(MATRIZ_174!R73/MATRIZ_174!Q73&gt;=2,35,IF(MATRIZ_174!R73/MATRIZ_174!Q73&gt;=0.5,50,65))),65)</f>
        <v>35</v>
      </c>
      <c r="X74" s="18">
        <f>IFERROR(MIN(100,IF(MATRIZ_174!O73=0,70,30)+IF(MATRIZ_174!U73="",0,0.3*(100-MATRIZ_174!U73*100))),70)</f>
        <v>70</v>
      </c>
      <c r="Y74" s="18">
        <f>IF(OR(MATRIZ_174!P73="ASOCIACION",MATRIZ_174!P73="PENDIENTE"),65,40)</f>
        <v>65</v>
      </c>
      <c r="Z74" s="19" t="str">
        <f t="shared" si="27"/>
        <v>—</v>
      </c>
      <c r="AA74" s="20">
        <f t="shared" si="28"/>
        <v>64</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f>IFERROR(MATRIZ_174!AP73,"N/A")</f>
        <v>0.46875</v>
      </c>
      <c r="AJ74" s="17">
        <f>IFERROR(MATRIZ_174!AO73,"N/A")</f>
        <v>0</v>
      </c>
      <c r="AK74" s="23" t="str">
        <f t="shared" si="31"/>
        <v>N/A</v>
      </c>
      <c r="AL74" s="24" t="str">
        <f t="shared" si="32"/>
        <v>—</v>
      </c>
    </row>
    <row r="75" spans="1:38" ht="16.05" customHeight="1" x14ac:dyDescent="0.3">
      <c r="A75" s="13" t="s">
        <v>236</v>
      </c>
      <c r="B75" s="14" t="s">
        <v>237</v>
      </c>
      <c r="C75" s="13" t="s">
        <v>143</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f>IFERROR((K75+M75+MATRIZ_174!O74)/3,0)</f>
        <v>0</v>
      </c>
      <c r="U75" s="18">
        <f>IFERROR(MIN(100,ROUND(MATRIZ_174!M74,1)),0)</f>
        <v>50</v>
      </c>
      <c r="V75" s="18">
        <f t="shared" si="26"/>
        <v>50</v>
      </c>
      <c r="W75" s="18">
        <f>IFERROR(IF(MATRIZ_174!R74=0,65,IF(MATRIZ_174!R74/MATRIZ_174!Q74&gt;=2,35,IF(MATRIZ_174!R74/MATRIZ_174!Q74&gt;=0.5,50,65))),65)</f>
        <v>65</v>
      </c>
      <c r="X75" s="18">
        <f>IFERROR(MIN(100,IF(MATRIZ_174!O74=0,70,30)+IF(MATRIZ_174!U74="",0,0.3*(100-MATRIZ_174!U74*100))),70)</f>
        <v>70</v>
      </c>
      <c r="Y75" s="18">
        <f>IF(OR(MATRIZ_174!P74="ASOCIACION",MATRIZ_174!P74="PENDIENTE"),65,40)</f>
        <v>65</v>
      </c>
      <c r="Z75" s="19" t="str">
        <f t="shared" si="27"/>
        <v>—</v>
      </c>
      <c r="AA75" s="20">
        <f t="shared" si="28"/>
        <v>60</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f>IFERROR(MATRIZ_174!AP74,"N/A")</f>
        <v>0.26041666666666669</v>
      </c>
      <c r="AJ75" s="17">
        <f>IFERROR(MATRIZ_174!AO74,"N/A")</f>
        <v>0</v>
      </c>
      <c r="AK75" s="23" t="str">
        <f t="shared" si="31"/>
        <v>N/A</v>
      </c>
      <c r="AL75" s="24" t="str">
        <f t="shared" si="32"/>
        <v>—</v>
      </c>
    </row>
    <row r="76" spans="1:38" ht="16.05" customHeight="1" x14ac:dyDescent="0.3">
      <c r="A76" s="13" t="s">
        <v>238</v>
      </c>
      <c r="B76" s="14" t="s">
        <v>239</v>
      </c>
      <c r="C76" s="13" t="s">
        <v>196</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f>IFERROR((K76+M76+MATRIZ_174!O75)/3,0)</f>
        <v>0</v>
      </c>
      <c r="U76" s="18">
        <f>IFERROR(MIN(100,ROUND(MATRIZ_174!M75,1)),0)</f>
        <v>0</v>
      </c>
      <c r="V76" s="18">
        <f t="shared" si="26"/>
        <v>50</v>
      </c>
      <c r="W76" s="18">
        <f>IFERROR(IF(MATRIZ_174!R75=0,65,IF(MATRIZ_174!R75/MATRIZ_174!Q75&gt;=2,35,IF(MATRIZ_174!R75/MATRIZ_174!Q75&gt;=0.5,50,65))),65)</f>
        <v>65</v>
      </c>
      <c r="X76" s="18">
        <f>IFERROR(MIN(100,IF(MATRIZ_174!O75=0,70,30)+IF(MATRIZ_174!U75="",0,0.3*(100-MATRIZ_174!U75*100))),70)</f>
        <v>70</v>
      </c>
      <c r="Y76" s="18">
        <f>IF(OR(MATRIZ_174!P75="ASOCIACION",MATRIZ_174!P75="PENDIENTE"),65,40)</f>
        <v>65</v>
      </c>
      <c r="Z76" s="19" t="str">
        <f t="shared" si="27"/>
        <v>—</v>
      </c>
      <c r="AA76" s="20">
        <f t="shared" si="28"/>
        <v>50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f>IFERROR(MATRIZ_174!AP75,"N/A")</f>
        <v>0</v>
      </c>
      <c r="AJ76" s="17">
        <f>IFERROR(MATRIZ_174!AO75,"N/A")</f>
        <v>0</v>
      </c>
      <c r="AK76" s="23" t="str">
        <f t="shared" si="31"/>
        <v>N/A</v>
      </c>
      <c r="AL76" s="24" t="str">
        <f t="shared" si="32"/>
        <v>—</v>
      </c>
    </row>
    <row r="77" spans="1:38" ht="16.05" customHeight="1" x14ac:dyDescent="0.3">
      <c r="A77" s="13" t="s">
        <v>240</v>
      </c>
      <c r="B77" s="14" t="s">
        <v>241</v>
      </c>
      <c r="C77" s="13" t="s">
        <v>196</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f>IFERROR((K77+M77+MATRIZ_174!O76)/3,0)</f>
        <v>0</v>
      </c>
      <c r="U77" s="18">
        <f>IFERROR(MIN(100,ROUND(MATRIZ_174!M76,1)),0)</f>
        <v>0</v>
      </c>
      <c r="V77" s="18">
        <f t="shared" si="26"/>
        <v>50</v>
      </c>
      <c r="W77" s="18">
        <f>IFERROR(IF(MATRIZ_174!R76=0,65,IF(MATRIZ_174!R76/MATRIZ_174!Q76&gt;=2,35,IF(MATRIZ_174!R76/MATRIZ_174!Q76&gt;=0.5,50,65))),65)</f>
        <v>65</v>
      </c>
      <c r="X77" s="18">
        <f>IFERROR(MIN(100,IF(MATRIZ_174!O76=0,70,30)+IF(MATRIZ_174!U76="",0,0.3*(100-MATRIZ_174!U76*100))),70)</f>
        <v>70</v>
      </c>
      <c r="Y77" s="18">
        <f>IF(OR(MATRIZ_174!P76="ASOCIACION",MATRIZ_174!P76="PENDIENTE"),65,40)</f>
        <v>65</v>
      </c>
      <c r="Z77" s="19" t="str">
        <f t="shared" si="27"/>
        <v>—</v>
      </c>
      <c r="AA77" s="20">
        <f t="shared" si="28"/>
        <v>50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f>IFERROR(MATRIZ_174!AP76,"N/A")</f>
        <v>0</v>
      </c>
      <c r="AJ77" s="17">
        <f>IFERROR(MATRIZ_174!AO76,"N/A")</f>
        <v>0</v>
      </c>
      <c r="AK77" s="23" t="str">
        <f t="shared" si="31"/>
        <v>N/A</v>
      </c>
      <c r="AL77" s="24" t="str">
        <f t="shared" si="32"/>
        <v>—</v>
      </c>
    </row>
    <row r="78" spans="1:38" ht="16.05" customHeight="1" x14ac:dyDescent="0.3">
      <c r="A78" s="13" t="s">
        <v>242</v>
      </c>
      <c r="B78" s="14" t="s">
        <v>243</v>
      </c>
      <c r="C78" s="13" t="s">
        <v>154</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f>IFERROR((K78+M78+MATRIZ_174!O77)/3,0)</f>
        <v>0</v>
      </c>
      <c r="U78" s="18">
        <f>IFERROR(MIN(100,ROUND(MATRIZ_174!M77,1)),0)</f>
        <v>50</v>
      </c>
      <c r="V78" s="18">
        <f t="shared" si="26"/>
        <v>50</v>
      </c>
      <c r="W78" s="18">
        <f>IFERROR(IF(MATRIZ_174!R77=0,65,IF(MATRIZ_174!R77/MATRIZ_174!Q77&gt;=2,35,IF(MATRIZ_174!R77/MATRIZ_174!Q77&gt;=0.5,50,65))),65)</f>
        <v>65</v>
      </c>
      <c r="X78" s="18">
        <f>IFERROR(MIN(100,IF(MATRIZ_174!O77=0,70,30)+IF(MATRIZ_174!U77="",0,0.3*(100-MATRIZ_174!U77*100))),70)</f>
        <v>70</v>
      </c>
      <c r="Y78" s="18">
        <f>IF(OR(MATRIZ_174!P77="ASOCIACION",MATRIZ_174!P77="PENDIENTE"),65,40)</f>
        <v>65</v>
      </c>
      <c r="Z78" s="19" t="str">
        <f t="shared" si="27"/>
        <v>—</v>
      </c>
      <c r="AA78" s="20">
        <f t="shared" si="28"/>
        <v>60</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f>IFERROR(MATRIZ_174!AP77,"N/A")</f>
        <v>0.26041666666666669</v>
      </c>
      <c r="AJ78" s="17">
        <f>IFERROR(MATRIZ_174!AO77,"N/A")</f>
        <v>0</v>
      </c>
      <c r="AK78" s="23" t="str">
        <f t="shared" si="31"/>
        <v>N/A</v>
      </c>
      <c r="AL78" s="24" t="str">
        <f t="shared" si="32"/>
        <v>—</v>
      </c>
    </row>
    <row r="79" spans="1:38" ht="16.05" customHeight="1" x14ac:dyDescent="0.3">
      <c r="A79" s="13" t="s">
        <v>244</v>
      </c>
      <c r="B79" s="14" t="s">
        <v>245</v>
      </c>
      <c r="C79" s="13" t="s">
        <v>123</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f>IFERROR((K79+M79+MATRIZ_174!O78)/3,0)</f>
        <v>0</v>
      </c>
      <c r="U79" s="18">
        <f>IFERROR(MIN(100,ROUND(MATRIZ_174!M78,1)),0)</f>
        <v>0</v>
      </c>
      <c r="V79" s="18">
        <f t="shared" si="26"/>
        <v>50</v>
      </c>
      <c r="W79" s="18">
        <f>IFERROR(IF(MATRIZ_174!R78=0,65,IF(MATRIZ_174!R78/MATRIZ_174!Q78&gt;=2,35,IF(MATRIZ_174!R78/MATRIZ_174!Q78&gt;=0.5,50,65))),65)</f>
        <v>65</v>
      </c>
      <c r="X79" s="18">
        <f>IFERROR(MIN(100,IF(MATRIZ_174!O78=0,70,30)+IF(MATRIZ_174!U78="",0,0.3*(100-MATRIZ_174!U78*100))),70)</f>
        <v>70</v>
      </c>
      <c r="Y79" s="18">
        <f>IF(OR(MATRIZ_174!P78="ASOCIACION",MATRIZ_174!P78="PENDIENTE"),65,40)</f>
        <v>65</v>
      </c>
      <c r="Z79" s="19" t="str">
        <f t="shared" si="27"/>
        <v>—</v>
      </c>
      <c r="AA79" s="20">
        <f t="shared" si="28"/>
        <v>50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f>IFERROR(MATRIZ_174!AP78,"N/A")</f>
        <v>0</v>
      </c>
      <c r="AJ79" s="17">
        <f>IFERROR(MATRIZ_174!AO78,"N/A")</f>
        <v>0</v>
      </c>
      <c r="AK79" s="23" t="str">
        <f t="shared" si="31"/>
        <v>N/A</v>
      </c>
      <c r="AL79" s="24" t="str">
        <f t="shared" si="32"/>
        <v>—</v>
      </c>
    </row>
    <row r="80" spans="1:38" ht="16.05" customHeight="1" x14ac:dyDescent="0.3">
      <c r="A80" s="13" t="s">
        <v>246</v>
      </c>
      <c r="B80" s="14" t="s">
        <v>247</v>
      </c>
      <c r="C80" s="13" t="s">
        <v>248</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f>IFERROR((K80+M80+MATRIZ_174!O79)/3,0)</f>
        <v>0</v>
      </c>
      <c r="U80" s="18">
        <f>IFERROR(MIN(100,ROUND(MATRIZ_174!M79,1)),0)</f>
        <v>0</v>
      </c>
      <c r="V80" s="18">
        <f t="shared" si="26"/>
        <v>50</v>
      </c>
      <c r="W80" s="18">
        <f>IFERROR(IF(MATRIZ_174!R79=0,65,IF(MATRIZ_174!R79/MATRIZ_174!Q79&gt;=2,35,IF(MATRIZ_174!R79/MATRIZ_174!Q79&gt;=0.5,50,65))),65)</f>
        <v>65</v>
      </c>
      <c r="X80" s="18">
        <f>IFERROR(MIN(100,IF(MATRIZ_174!O79=0,70,30)+IF(MATRIZ_174!U79="",0,0.3*(100-MATRIZ_174!U79*100))),70)</f>
        <v>70</v>
      </c>
      <c r="Y80" s="18">
        <f>IF(OR(MATRIZ_174!P79="ASOCIACION",MATRIZ_174!P79="PENDIENTE"),65,40)</f>
        <v>65</v>
      </c>
      <c r="Z80" s="19" t="str">
        <f t="shared" si="27"/>
        <v>—</v>
      </c>
      <c r="AA80" s="20">
        <f t="shared" si="28"/>
        <v>50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f>IFERROR(MATRIZ_174!AP79,"N/A")</f>
        <v>0</v>
      </c>
      <c r="AJ80" s="17">
        <f>IFERROR(MATRIZ_174!AO79,"N/A")</f>
        <v>0</v>
      </c>
      <c r="AK80" s="23" t="str">
        <f t="shared" si="31"/>
        <v>N/A</v>
      </c>
      <c r="AL80" s="24" t="str">
        <f t="shared" si="32"/>
        <v>—</v>
      </c>
    </row>
    <row r="81" spans="1:38" ht="16.05" customHeight="1" x14ac:dyDescent="0.3">
      <c r="A81" s="13" t="s">
        <v>249</v>
      </c>
      <c r="B81" s="14" t="s">
        <v>250</v>
      </c>
      <c r="C81" s="13" t="s">
        <v>116</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IFERROR((K81+M81+MATRIZ_174!O80)/3,0)</f>
        <v>0</v>
      </c>
      <c r="U81" s="18">
        <f>IFERROR(MIN(100,ROUND(MATRIZ_174!M80,1)),0)</f>
        <v>0</v>
      </c>
      <c r="V81" s="18">
        <f t="shared" si="26"/>
        <v>50</v>
      </c>
      <c r="W81" s="18">
        <f>IFERROR(IF(MATRIZ_174!R80=0,65,IF(MATRIZ_174!R80/MATRIZ_174!Q80&gt;=2,35,IF(MATRIZ_174!R80/MATRIZ_174!Q80&gt;=0.5,50,65))),65)</f>
        <v>35</v>
      </c>
      <c r="X81" s="18">
        <f>IFERROR(MIN(100,IF(MATRIZ_174!O80=0,70,30)+IF(MATRIZ_174!U80="",0,0.3*(100-MATRIZ_174!U80*100))),70)</f>
        <v>70</v>
      </c>
      <c r="Y81" s="18">
        <f>IF(OR(MATRIZ_174!P80="ASOCIACION",MATRIZ_174!P80="PENDIENTE"),65,40)</f>
        <v>65</v>
      </c>
      <c r="Z81" s="19" t="str">
        <f t="shared" si="27"/>
        <v>—</v>
      </c>
      <c r="AA81" s="20">
        <f t="shared" si="28"/>
        <v>44</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f>IFERROR(MATRIZ_174!AP80,"N/A")</f>
        <v>5.2083333333333336E-2</v>
      </c>
      <c r="AJ81" s="17">
        <f>IFERROR(MATRIZ_174!AO80,"N/A")</f>
        <v>0</v>
      </c>
      <c r="AK81" s="23" t="str">
        <f t="shared" si="31"/>
        <v>N/A</v>
      </c>
      <c r="AL81" s="24" t="str">
        <f t="shared" si="32"/>
        <v>—</v>
      </c>
    </row>
    <row r="82" spans="1:38" ht="16.05" customHeight="1" x14ac:dyDescent="0.3">
      <c r="A82" s="13" t="s">
        <v>253</v>
      </c>
      <c r="B82" s="14" t="s">
        <v>254</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f>IFERROR((K82+M82+MATRIZ_174!O81)/3,0)</f>
        <v>0</v>
      </c>
      <c r="U82" s="18">
        <f>IFERROR(MIN(100,ROUND(MATRIZ_174!M81,1)),0)</f>
        <v>0</v>
      </c>
      <c r="V82" s="18">
        <f t="shared" si="26"/>
        <v>50</v>
      </c>
      <c r="W82" s="18">
        <f>IFERROR(IF(MATRIZ_174!R81=0,65,IF(MATRIZ_174!R81/MATRIZ_174!Q81&gt;=2,35,IF(MATRIZ_174!R81/MATRIZ_174!Q81&gt;=0.5,50,65))),65)</f>
        <v>65</v>
      </c>
      <c r="X82" s="18">
        <f>IFERROR(MIN(100,IF(MATRIZ_174!O81=0,70,30)+IF(MATRIZ_174!U81="",0,0.3*(100-MATRIZ_174!U81*100))),70)</f>
        <v>70</v>
      </c>
      <c r="Y82" s="18">
        <f>IF(OR(MATRIZ_174!P81="ASOCIACION",MATRIZ_174!P81="PENDIENTE"),65,40)</f>
        <v>65</v>
      </c>
      <c r="Z82" s="19" t="str">
        <f t="shared" si="27"/>
        <v>—</v>
      </c>
      <c r="AA82" s="20">
        <f t="shared" si="28"/>
        <v>50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f>IFERROR(MATRIZ_174!AP81,"N/A")</f>
        <v>0</v>
      </c>
      <c r="AJ82" s="17">
        <f>IFERROR(MATRIZ_174!AO81,"N/A")</f>
        <v>0</v>
      </c>
      <c r="AK82" s="23" t="str">
        <f t="shared" si="31"/>
        <v>N/A</v>
      </c>
      <c r="AL82" s="24" t="str">
        <f t="shared" si="32"/>
        <v>—</v>
      </c>
    </row>
    <row r="83" spans="1:38" ht="16.05" customHeight="1" x14ac:dyDescent="0.3">
      <c r="A83" s="13" t="s">
        <v>255</v>
      </c>
      <c r="B83" s="14" t="s">
        <v>256</v>
      </c>
      <c r="C83" s="13" t="s">
        <v>257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f>IFERROR((K83+M83+MATRIZ_174!O82)/3,0)</f>
        <v>0</v>
      </c>
      <c r="U83" s="18">
        <f>IFERROR(MIN(100,ROUND(MATRIZ_174!M82,1)),0)</f>
        <v>50</v>
      </c>
      <c r="V83" s="18">
        <f t="shared" si="26"/>
        <v>50</v>
      </c>
      <c r="W83" s="18">
        <f>IFERROR(IF(MATRIZ_174!R82=0,65,IF(MATRIZ_174!R82/MATRIZ_174!Q82&gt;=2,35,IF(MATRIZ_174!R82/MATRIZ_174!Q82&gt;=0.5,50,65))),65)</f>
        <v>65</v>
      </c>
      <c r="X83" s="18">
        <f>IFERROR(MIN(100,IF(MATRIZ_174!O82=0,70,30)+IF(MATRIZ_174!U82="",0,0.3*(100-MATRIZ_174!U82*100))),70)</f>
        <v>70</v>
      </c>
      <c r="Y83" s="18">
        <f>IF(OR(MATRIZ_174!P82="ASOCIACION",MATRIZ_174!P82="PENDIENTE"),65,40)</f>
        <v>65</v>
      </c>
      <c r="Z83" s="19" t="str">
        <f t="shared" si="27"/>
        <v>—</v>
      </c>
      <c r="AA83" s="20">
        <f t="shared" si="28"/>
        <v>60</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f>IFERROR(MATRIZ_174!AP82,"N/A")</f>
        <v>0.26041666666666669</v>
      </c>
      <c r="AJ83" s="17">
        <f>IFERROR(MATRIZ_174!AO82,"N/A")</f>
        <v>0</v>
      </c>
      <c r="AK83" s="23" t="str">
        <f t="shared" si="31"/>
        <v>N/A</v>
      </c>
      <c r="AL83" s="24" t="str">
        <f t="shared" si="32"/>
        <v>—</v>
      </c>
    </row>
    <row r="84" spans="1:38" ht="16.05" customHeight="1" x14ac:dyDescent="0.3">
      <c r="A84" s="13" t="s">
        <v>258</v>
      </c>
      <c r="B84" s="14" t="s">
        <v>259</v>
      </c>
      <c r="C84" s="13" t="s">
        <v>257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f>IFERROR((K84+M84+MATRIZ_174!O83)/3,0)</f>
        <v>0</v>
      </c>
      <c r="U84" s="18">
        <f>IFERROR(MIN(100,ROUND(MATRIZ_174!M83,1)),0)</f>
        <v>0</v>
      </c>
      <c r="V84" s="18">
        <f t="shared" si="26"/>
        <v>50</v>
      </c>
      <c r="W84" s="18">
        <f>IFERROR(IF(MATRIZ_174!R83=0,65,IF(MATRIZ_174!R83/MATRIZ_174!Q83&gt;=2,35,IF(MATRIZ_174!R83/MATRIZ_174!Q83&gt;=0.5,50,65))),65)</f>
        <v>65</v>
      </c>
      <c r="X84" s="18">
        <f>IFERROR(MIN(100,IF(MATRIZ_174!O83=0,70,30)+IF(MATRIZ_174!U83="",0,0.3*(100-MATRIZ_174!U83*100))),70)</f>
        <v>70</v>
      </c>
      <c r="Y84" s="18">
        <f>IF(OR(MATRIZ_174!P83="ASOCIACION",MATRIZ_174!P83="PENDIENTE"),65,40)</f>
        <v>65</v>
      </c>
      <c r="Z84" s="19" t="str">
        <f t="shared" si="27"/>
        <v>—</v>
      </c>
      <c r="AA84" s="20">
        <f t="shared" si="28"/>
        <v>50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f>IFERROR(MATRIZ_174!AP83,"N/A")</f>
        <v>0</v>
      </c>
      <c r="AJ84" s="17">
        <f>IFERROR(MATRIZ_174!AO83,"N/A")</f>
        <v>0</v>
      </c>
      <c r="AK84" s="23" t="str">
        <f t="shared" si="31"/>
        <v>N/A</v>
      </c>
      <c r="AL84" s="24" t="str">
        <f t="shared" si="32"/>
        <v>—</v>
      </c>
    </row>
    <row r="85" spans="1:38" ht="16.05" customHeight="1" x14ac:dyDescent="0.3">
      <c r="A85" s="13" t="s">
        <v>260</v>
      </c>
      <c r="B85" s="14" t="s">
        <v>261</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f>IFERROR((K85+M85+MATRIZ_174!O84)/3,0)</f>
        <v>0</v>
      </c>
      <c r="U85" s="18">
        <f>IFERROR(MIN(100,ROUND(MATRIZ_174!M84,1)),0)</f>
        <v>0</v>
      </c>
      <c r="V85" s="18">
        <f t="shared" si="26"/>
        <v>50</v>
      </c>
      <c r="W85" s="18">
        <f>IFERROR(IF(MATRIZ_174!R84=0,65,IF(MATRIZ_174!R84/MATRIZ_174!Q84&gt;=2,35,IF(MATRIZ_174!R84/MATRIZ_174!Q84&gt;=0.5,50,65))),65)</f>
        <v>65</v>
      </c>
      <c r="X85" s="18">
        <f>IFERROR(MIN(100,IF(MATRIZ_174!O84=0,70,30)+IF(MATRIZ_174!U84="",0,0.3*(100-MATRIZ_174!U84*100))),70)</f>
        <v>70</v>
      </c>
      <c r="Y85" s="18">
        <f>IF(OR(MATRIZ_174!P84="ASOCIACION",MATRIZ_174!P84="PENDIENTE"),65,40)</f>
        <v>65</v>
      </c>
      <c r="Z85" s="19" t="str">
        <f t="shared" si="27"/>
        <v>—</v>
      </c>
      <c r="AA85" s="20">
        <f t="shared" si="28"/>
        <v>50</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f>IFERROR(MATRIZ_174!AP84,"N/A")</f>
        <v>0</v>
      </c>
      <c r="AJ85" s="17">
        <f>IFERROR(MATRIZ_174!AO84,"N/A")</f>
        <v>0</v>
      </c>
      <c r="AK85" s="23" t="str">
        <f t="shared" si="31"/>
        <v>N/A</v>
      </c>
      <c r="AL85" s="24" t="str">
        <f t="shared" si="32"/>
        <v>—</v>
      </c>
    </row>
    <row r="86" spans="1:38" ht="16.05" customHeight="1" x14ac:dyDescent="0.3">
      <c r="A86" s="13" t="s">
        <v>262</v>
      </c>
      <c r="B86" s="14" t="s">
        <v>263</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f>IFERROR((K86+M86+MATRIZ_174!O85)/3,0)</f>
        <v>0</v>
      </c>
      <c r="U86" s="18">
        <f>IFERROR(MIN(100,ROUND(MATRIZ_174!M85,1)),0)</f>
        <v>50</v>
      </c>
      <c r="V86" s="18">
        <f t="shared" si="26"/>
        <v>50</v>
      </c>
      <c r="W86" s="18">
        <f>IFERROR(IF(MATRIZ_174!R85=0,65,IF(MATRIZ_174!R85/MATRIZ_174!Q85&gt;=2,35,IF(MATRIZ_174!R85/MATRIZ_174!Q85&gt;=0.5,50,65))),65)</f>
        <v>65</v>
      </c>
      <c r="X86" s="18">
        <f>IFERROR(MIN(100,IF(MATRIZ_174!O85=0,70,30)+IF(MATRIZ_174!U85="",0,0.3*(100-MATRIZ_174!U85*100))),70)</f>
        <v>70</v>
      </c>
      <c r="Y86" s="18">
        <f>IF(OR(MATRIZ_174!P85="ASOCIACION",MATRIZ_174!P85="PENDIENTE"),65,40)</f>
        <v>65</v>
      </c>
      <c r="Z86" s="19" t="str">
        <f t="shared" si="27"/>
        <v>—</v>
      </c>
      <c r="AA86" s="20">
        <f t="shared" si="28"/>
        <v>60</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f>IFERROR(MATRIZ_174!AP85,"N/A")</f>
        <v>0.26041666666666669</v>
      </c>
      <c r="AJ86" s="17">
        <f>IFERROR(MATRIZ_174!AO85,"N/A")</f>
        <v>0</v>
      </c>
      <c r="AK86" s="23" t="str">
        <f t="shared" si="31"/>
        <v>N/A</v>
      </c>
      <c r="AL86" s="24" t="str">
        <f t="shared" si="32"/>
        <v>—</v>
      </c>
    </row>
    <row r="87" spans="1:38" ht="16.05" customHeight="1" x14ac:dyDescent="0.3">
      <c r="A87" s="13" t="s">
        <v>264</v>
      </c>
      <c r="B87" s="14" t="s">
        <v>265</v>
      </c>
      <c r="C87" s="13" t="s">
        <v>257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f>IFERROR((K87+M87+MATRIZ_174!O86)/3,0)</f>
        <v>0</v>
      </c>
      <c r="U87" s="18">
        <f>IFERROR(MIN(100,ROUND(MATRIZ_174!M86,1)),0)</f>
        <v>0</v>
      </c>
      <c r="V87" s="18">
        <f t="shared" si="26"/>
        <v>50</v>
      </c>
      <c r="W87" s="18">
        <f>IFERROR(IF(MATRIZ_174!R86=0,65,IF(MATRIZ_174!R86/MATRIZ_174!Q86&gt;=2,35,IF(MATRIZ_174!R86/MATRIZ_174!Q86&gt;=0.5,50,65))),65)</f>
        <v>65</v>
      </c>
      <c r="X87" s="18">
        <f>IFERROR(MIN(100,IF(MATRIZ_174!O86=0,70,30)+IF(MATRIZ_174!U86="",0,0.3*(100-MATRIZ_174!U86*100))),70)</f>
        <v>70</v>
      </c>
      <c r="Y87" s="18">
        <f>IF(OR(MATRIZ_174!P86="ASOCIACION",MATRIZ_174!P86="PENDIENTE"),65,40)</f>
        <v>65</v>
      </c>
      <c r="Z87" s="19" t="str">
        <f t="shared" si="27"/>
        <v>—</v>
      </c>
      <c r="AA87" s="20">
        <f t="shared" si="28"/>
        <v>50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f>IFERROR(MATRIZ_174!AP86,"N/A")</f>
        <v>0</v>
      </c>
      <c r="AJ87" s="17">
        <f>IFERROR(MATRIZ_174!AO86,"N/A")</f>
        <v>0</v>
      </c>
      <c r="AK87" s="23" t="str">
        <f t="shared" si="31"/>
        <v>N/A</v>
      </c>
      <c r="AL87" s="24" t="str">
        <f t="shared" si="32"/>
        <v>—</v>
      </c>
    </row>
    <row r="88" spans="1:38" ht="16.05" customHeight="1" x14ac:dyDescent="0.3">
      <c r="A88" s="13" t="s">
        <v>266</v>
      </c>
      <c r="B88" s="14" t="s">
        <v>267</v>
      </c>
      <c r="C88" s="13" t="s">
        <v>257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f>IFERROR((K88+M88+MATRIZ_174!O87)/3,0)</f>
        <v>0</v>
      </c>
      <c r="U88" s="18">
        <f>IFERROR(MIN(100,ROUND(MATRIZ_174!M87,1)),0)</f>
        <v>0</v>
      </c>
      <c r="V88" s="18">
        <f t="shared" si="26"/>
        <v>50</v>
      </c>
      <c r="W88" s="18">
        <f>IFERROR(IF(MATRIZ_174!R87=0,65,IF(MATRIZ_174!R87/MATRIZ_174!Q87&gt;=2,35,IF(MATRIZ_174!R87/MATRIZ_174!Q87&gt;=0.5,50,65))),65)</f>
        <v>65</v>
      </c>
      <c r="X88" s="18">
        <f>IFERROR(MIN(100,IF(MATRIZ_174!O87=0,70,30)+IF(MATRIZ_174!U87="",0,0.3*(100-MATRIZ_174!U87*100))),70)</f>
        <v>70</v>
      </c>
      <c r="Y88" s="18">
        <f>IF(OR(MATRIZ_174!P87="ASOCIACION",MATRIZ_174!P87="PENDIENTE"),65,40)</f>
        <v>65</v>
      </c>
      <c r="Z88" s="19" t="str">
        <f t="shared" si="27"/>
        <v>—</v>
      </c>
      <c r="AA88" s="20">
        <f t="shared" si="28"/>
        <v>50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f>IFERROR(MATRIZ_174!AP87,"N/A")</f>
        <v>0</v>
      </c>
      <c r="AJ88" s="17">
        <f>IFERROR(MATRIZ_174!AO87,"N/A")</f>
        <v>0</v>
      </c>
      <c r="AK88" s="23" t="str">
        <f t="shared" si="31"/>
        <v>N/A</v>
      </c>
      <c r="AL88" s="24" t="str">
        <f t="shared" si="32"/>
        <v>—</v>
      </c>
    </row>
    <row r="89" spans="1:38" ht="16.05" customHeight="1" x14ac:dyDescent="0.3">
      <c r="A89" s="13" t="s">
        <v>268</v>
      </c>
      <c r="B89" s="14" t="s">
        <v>269</v>
      </c>
      <c r="C89" s="13" t="s">
        <v>257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f>IFERROR((K89+M89+MATRIZ_174!O88)/3,0)</f>
        <v>0</v>
      </c>
      <c r="U89" s="18">
        <f>IFERROR(MIN(100,ROUND(MATRIZ_174!M88,1)),0)</f>
        <v>0</v>
      </c>
      <c r="V89" s="18">
        <f t="shared" si="26"/>
        <v>50</v>
      </c>
      <c r="W89" s="18">
        <f>IFERROR(IF(MATRIZ_174!R88=0,65,IF(MATRIZ_174!R88/MATRIZ_174!Q88&gt;=2,35,IF(MATRIZ_174!R88/MATRIZ_174!Q88&gt;=0.5,50,65))),65)</f>
        <v>65</v>
      </c>
      <c r="X89" s="18">
        <f>IFERROR(MIN(100,IF(MATRIZ_174!O88=0,70,30)+IF(MATRIZ_174!U88="",0,0.3*(100-MATRIZ_174!U88*100))),70)</f>
        <v>70</v>
      </c>
      <c r="Y89" s="18">
        <f>IF(OR(MATRIZ_174!P88="ASOCIACION",MATRIZ_174!P88="PENDIENTE"),65,40)</f>
        <v>65</v>
      </c>
      <c r="Z89" s="19" t="str">
        <f t="shared" si="27"/>
        <v>—</v>
      </c>
      <c r="AA89" s="20">
        <f t="shared" si="28"/>
        <v>50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f>IFERROR(MATRIZ_174!AP88,"N/A")</f>
        <v>0</v>
      </c>
      <c r="AJ89" s="17">
        <f>IFERROR(MATRIZ_174!AO88,"N/A")</f>
        <v>0</v>
      </c>
      <c r="AK89" s="23" t="str">
        <f t="shared" si="31"/>
        <v>N/A</v>
      </c>
      <c r="AL89" s="24" t="str">
        <f t="shared" si="32"/>
        <v>—</v>
      </c>
    </row>
    <row r="90" spans="1:38" ht="16.05" customHeight="1" x14ac:dyDescent="0.3">
      <c r="A90" s="13" t="s">
        <v>270</v>
      </c>
      <c r="B90" s="14" t="s">
        <v>271</v>
      </c>
      <c r="C90" s="13" t="s">
        <v>257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f>IFERROR((K90+M90+MATRIZ_174!O89)/3,0)</f>
        <v>0</v>
      </c>
      <c r="U90" s="18">
        <f>IFERROR(MIN(100,ROUND(MATRIZ_174!M89,1)),0)</f>
        <v>0</v>
      </c>
      <c r="V90" s="18">
        <f t="shared" si="26"/>
        <v>50</v>
      </c>
      <c r="W90" s="18">
        <f>IFERROR(IF(MATRIZ_174!R89=0,65,IF(MATRIZ_174!R89/MATRIZ_174!Q89&gt;=2,35,IF(MATRIZ_174!R89/MATRIZ_174!Q89&gt;=0.5,50,65))),65)</f>
        <v>65</v>
      </c>
      <c r="X90" s="18">
        <f>IFERROR(MIN(100,IF(MATRIZ_174!O89=0,70,30)+IF(MATRIZ_174!U89="",0,0.3*(100-MATRIZ_174!U89*100))),70)</f>
        <v>70</v>
      </c>
      <c r="Y90" s="18">
        <f>IF(OR(MATRIZ_174!P89="ASOCIACION",MATRIZ_174!P89="PENDIENTE"),65,40)</f>
        <v>65</v>
      </c>
      <c r="Z90" s="19" t="str">
        <f t="shared" si="27"/>
        <v>—</v>
      </c>
      <c r="AA90" s="20">
        <f t="shared" si="28"/>
        <v>50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f>IFERROR(MATRIZ_174!AP89,"N/A")</f>
        <v>0</v>
      </c>
      <c r="AJ90" s="17">
        <f>IFERROR(MATRIZ_174!AO89,"N/A")</f>
        <v>0</v>
      </c>
      <c r="AK90" s="23" t="str">
        <f t="shared" si="31"/>
        <v>N/A</v>
      </c>
      <c r="AL90" s="24" t="str">
        <f t="shared" si="32"/>
        <v>—</v>
      </c>
    </row>
    <row r="91" spans="1:38" ht="16.05" customHeight="1" x14ac:dyDescent="0.3">
      <c r="A91" s="13" t="s">
        <v>272</v>
      </c>
      <c r="B91" s="14" t="s">
        <v>273</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f>IFERROR((K91+M91+MATRIZ_174!O90)/3,0)</f>
        <v>0</v>
      </c>
      <c r="U91" s="18">
        <f>IFERROR(MIN(100,ROUND(MATRIZ_174!M90,1)),0)</f>
        <v>0</v>
      </c>
      <c r="V91" s="18">
        <f t="shared" si="26"/>
        <v>50</v>
      </c>
      <c r="W91" s="18">
        <f>IFERROR(IF(MATRIZ_174!R90=0,65,IF(MATRIZ_174!R90/MATRIZ_174!Q90&gt;=2,35,IF(MATRIZ_174!R90/MATRIZ_174!Q90&gt;=0.5,50,65))),65)</f>
        <v>65</v>
      </c>
      <c r="X91" s="18">
        <f>IFERROR(MIN(100,IF(MATRIZ_174!O90=0,70,30)+IF(MATRIZ_174!U90="",0,0.3*(100-MATRIZ_174!U90*100))),70)</f>
        <v>70</v>
      </c>
      <c r="Y91" s="18">
        <f>IF(OR(MATRIZ_174!P90="ASOCIACION",MATRIZ_174!P90="PENDIENTE"),65,40)</f>
        <v>65</v>
      </c>
      <c r="Z91" s="19" t="str">
        <f t="shared" si="27"/>
        <v>—</v>
      </c>
      <c r="AA91" s="20">
        <f t="shared" si="28"/>
        <v>50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f>IFERROR(MATRIZ_174!AP90,"N/A")</f>
        <v>0</v>
      </c>
      <c r="AJ91" s="17">
        <f>IFERROR(MATRIZ_174!AO90,"N/A")</f>
        <v>0</v>
      </c>
      <c r="AK91" s="23" t="str">
        <f t="shared" si="31"/>
        <v>N/A</v>
      </c>
      <c r="AL91" s="24" t="str">
        <f t="shared" si="32"/>
        <v>—</v>
      </c>
    </row>
    <row r="92" spans="1:38" ht="16.05" customHeight="1" x14ac:dyDescent="0.3">
      <c r="A92" s="13" t="s">
        <v>274</v>
      </c>
      <c r="B92" s="14" t="s">
        <v>275</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f>IFERROR((K92+M92+MATRIZ_174!O91)/3,0)</f>
        <v>0</v>
      </c>
      <c r="U92" s="18">
        <f>IFERROR(MIN(100,ROUND(MATRIZ_174!M91,1)),0)</f>
        <v>0</v>
      </c>
      <c r="V92" s="18">
        <f t="shared" si="26"/>
        <v>50</v>
      </c>
      <c r="W92" s="18">
        <f>IFERROR(IF(MATRIZ_174!R91=0,65,IF(MATRIZ_174!R91/MATRIZ_174!Q91&gt;=2,35,IF(MATRIZ_174!R91/MATRIZ_174!Q91&gt;=0.5,50,65))),65)</f>
        <v>65</v>
      </c>
      <c r="X92" s="18">
        <f>IFERROR(MIN(100,IF(MATRIZ_174!O91=0,70,30)+IF(MATRIZ_174!U91="",0,0.3*(100-MATRIZ_174!U91*100))),70)</f>
        <v>70</v>
      </c>
      <c r="Y92" s="18">
        <f>IF(OR(MATRIZ_174!P91="ASOCIACION",MATRIZ_174!P91="PENDIENTE"),65,40)</f>
        <v>65</v>
      </c>
      <c r="Z92" s="19" t="str">
        <f t="shared" si="27"/>
        <v>—</v>
      </c>
      <c r="AA92" s="20">
        <f t="shared" si="28"/>
        <v>50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f>IFERROR(MATRIZ_174!AP91,"N/A")</f>
        <v>0</v>
      </c>
      <c r="AJ92" s="17">
        <f>IFERROR(MATRIZ_174!AO91,"N/A")</f>
        <v>0</v>
      </c>
      <c r="AK92" s="23" t="str">
        <f t="shared" si="31"/>
        <v>N/A</v>
      </c>
      <c r="AL92" s="24" t="str">
        <f t="shared" si="32"/>
        <v>—</v>
      </c>
    </row>
    <row r="93" spans="1:38" ht="16.05" customHeight="1" x14ac:dyDescent="0.3">
      <c r="A93" s="13" t="s">
        <v>276</v>
      </c>
      <c r="B93" s="14" t="s">
        <v>277</v>
      </c>
      <c r="C93" s="13" t="s">
        <v>154</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f>IFERROR((K93+M93+MATRIZ_174!O92)/3,0)</f>
        <v>0</v>
      </c>
      <c r="U93" s="18">
        <f>IFERROR(MIN(100,ROUND(MATRIZ_174!M92,1)),0)</f>
        <v>50</v>
      </c>
      <c r="V93" s="18">
        <f t="shared" si="26"/>
        <v>50</v>
      </c>
      <c r="W93" s="18">
        <f>IFERROR(IF(MATRIZ_174!R92=0,65,IF(MATRIZ_174!R92/MATRIZ_174!Q92&gt;=2,35,IF(MATRIZ_174!R92/MATRIZ_174!Q92&gt;=0.5,50,65))),65)</f>
        <v>65</v>
      </c>
      <c r="X93" s="18">
        <f>IFERROR(MIN(100,IF(MATRIZ_174!O92=0,70,30)+IF(MATRIZ_174!U92="",0,0.3*(100-MATRIZ_174!U92*100))),70)</f>
        <v>70</v>
      </c>
      <c r="Y93" s="18">
        <f>IF(OR(MATRIZ_174!P92="ASOCIACION",MATRIZ_174!P92="PENDIENTE"),65,40)</f>
        <v>65</v>
      </c>
      <c r="Z93" s="19" t="str">
        <f t="shared" si="27"/>
        <v>—</v>
      </c>
      <c r="AA93" s="20">
        <f t="shared" si="28"/>
        <v>60</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f>IFERROR(MATRIZ_174!AP92,"N/A")</f>
        <v>0.26041666666666669</v>
      </c>
      <c r="AJ93" s="17">
        <f>IFERROR(MATRIZ_174!AO92,"N/A")</f>
        <v>0</v>
      </c>
      <c r="AK93" s="23" t="str">
        <f t="shared" si="31"/>
        <v>N/A</v>
      </c>
      <c r="AL93" s="24" t="str">
        <f t="shared" si="32"/>
        <v>—</v>
      </c>
    </row>
    <row r="94" spans="1:38" ht="16.05" customHeight="1" x14ac:dyDescent="0.3">
      <c r="A94" s="13" t="s">
        <v>278</v>
      </c>
      <c r="B94" s="14" t="s">
        <v>279</v>
      </c>
      <c r="C94" s="13" t="s">
        <v>143</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f>IFERROR((K94+M94+MATRIZ_174!O93)/3,0)</f>
        <v>0</v>
      </c>
      <c r="U94" s="18">
        <f>IFERROR(MIN(100,ROUND(MATRIZ_174!M93,1)),0)</f>
        <v>0</v>
      </c>
      <c r="V94" s="18">
        <f t="shared" si="26"/>
        <v>50</v>
      </c>
      <c r="W94" s="18">
        <f>IFERROR(IF(MATRIZ_174!R93=0,65,IF(MATRIZ_174!R93/MATRIZ_174!Q93&gt;=2,35,IF(MATRIZ_174!R93/MATRIZ_174!Q93&gt;=0.5,50,65))),65)</f>
        <v>65</v>
      </c>
      <c r="X94" s="18">
        <f>IFERROR(MIN(100,IF(MATRIZ_174!O93=0,70,30)+IF(MATRIZ_174!U93="",0,0.3*(100-MATRIZ_174!U93*100))),70)</f>
        <v>70</v>
      </c>
      <c r="Y94" s="18">
        <f>IF(OR(MATRIZ_174!P93="ASOCIACION",MATRIZ_174!P93="PENDIENTE"),65,40)</f>
        <v>65</v>
      </c>
      <c r="Z94" s="19" t="str">
        <f t="shared" si="27"/>
        <v>—</v>
      </c>
      <c r="AA94" s="20">
        <f t="shared" si="28"/>
        <v>50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f>IFERROR(MATRIZ_174!AP93,"N/A")</f>
        <v>0</v>
      </c>
      <c r="AJ94" s="17">
        <f>IFERROR(MATRIZ_174!AO93,"N/A")</f>
        <v>0</v>
      </c>
      <c r="AK94" s="23" t="str">
        <f t="shared" si="31"/>
        <v>N/A</v>
      </c>
      <c r="AL94" s="24" t="str">
        <f t="shared" si="32"/>
        <v>—</v>
      </c>
    </row>
    <row r="95" spans="1:38" ht="16.05" customHeight="1" x14ac:dyDescent="0.3">
      <c r="A95" s="13" t="s">
        <v>280</v>
      </c>
      <c r="B95" s="14" t="s">
        <v>281</v>
      </c>
      <c r="C95" s="13" t="s">
        <v>143</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f>IFERROR((K95+M95+MATRIZ_174!O94)/3,0)</f>
        <v>0</v>
      </c>
      <c r="U95" s="18">
        <f>IFERROR(MIN(100,ROUND(MATRIZ_174!M94,1)),0)</f>
        <v>50</v>
      </c>
      <c r="V95" s="18">
        <f t="shared" si="26"/>
        <v>50</v>
      </c>
      <c r="W95" s="18">
        <f>IFERROR(IF(MATRIZ_174!R94=0,65,IF(MATRIZ_174!R94/MATRIZ_174!Q94&gt;=2,35,IF(MATRIZ_174!R94/MATRIZ_174!Q94&gt;=0.5,50,65))),65)</f>
        <v>65</v>
      </c>
      <c r="X95" s="18">
        <f>IFERROR(MIN(100,IF(MATRIZ_174!O94=0,70,30)+IF(MATRIZ_174!U94="",0,0.3*(100-MATRIZ_174!U94*100))),70)</f>
        <v>70</v>
      </c>
      <c r="Y95" s="18">
        <f>IF(OR(MATRIZ_174!P94="ASOCIACION",MATRIZ_174!P94="PENDIENTE"),65,40)</f>
        <v>65</v>
      </c>
      <c r="Z95" s="19" t="str">
        <f t="shared" si="27"/>
        <v>—</v>
      </c>
      <c r="AA95" s="20">
        <f t="shared" si="28"/>
        <v>60</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f>IFERROR(MATRIZ_174!AP94,"N/A")</f>
        <v>0.26041666666666669</v>
      </c>
      <c r="AJ95" s="17">
        <f>IFERROR(MATRIZ_174!AO94,"N/A")</f>
        <v>0</v>
      </c>
      <c r="AK95" s="23" t="str">
        <f t="shared" si="31"/>
        <v>N/A</v>
      </c>
      <c r="AL95" s="24" t="str">
        <f t="shared" si="32"/>
        <v>—</v>
      </c>
    </row>
    <row r="96" spans="1:38" ht="16.05" customHeight="1" x14ac:dyDescent="0.3">
      <c r="A96" s="13" t="s">
        <v>282</v>
      </c>
      <c r="B96" s="14" t="s">
        <v>283</v>
      </c>
      <c r="C96" s="13" t="s">
        <v>123</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f>IFERROR((K96+M96+MATRIZ_174!O95)/3,0)</f>
        <v>0</v>
      </c>
      <c r="U96" s="18">
        <f>IFERROR(MIN(100,ROUND(MATRIZ_174!M95,1)),0)</f>
        <v>0</v>
      </c>
      <c r="V96" s="18">
        <f t="shared" si="26"/>
        <v>50</v>
      </c>
      <c r="W96" s="18">
        <f>IFERROR(IF(MATRIZ_174!R95=0,65,IF(MATRIZ_174!R95/MATRIZ_174!Q95&gt;=2,35,IF(MATRIZ_174!R95/MATRIZ_174!Q95&gt;=0.5,50,65))),65)</f>
        <v>65</v>
      </c>
      <c r="X96" s="18">
        <f>IFERROR(MIN(100,IF(MATRIZ_174!O95=0,70,30)+IF(MATRIZ_174!U95="",0,0.3*(100-MATRIZ_174!U95*100))),70)</f>
        <v>70</v>
      </c>
      <c r="Y96" s="18">
        <f>IF(OR(MATRIZ_174!P95="ASOCIACION",MATRIZ_174!P95="PENDIENTE"),65,40)</f>
        <v>65</v>
      </c>
      <c r="Z96" s="19" t="str">
        <f t="shared" si="27"/>
        <v>—</v>
      </c>
      <c r="AA96" s="20">
        <f t="shared" si="28"/>
        <v>50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f>IFERROR(MATRIZ_174!AP95,"N/A")</f>
        <v>0</v>
      </c>
      <c r="AJ96" s="17">
        <f>IFERROR(MATRIZ_174!AO95,"N/A")</f>
        <v>0</v>
      </c>
      <c r="AK96" s="23" t="str">
        <f t="shared" si="31"/>
        <v>N/A</v>
      </c>
      <c r="AL96" s="24" t="str">
        <f t="shared" si="32"/>
        <v>—</v>
      </c>
    </row>
    <row r="97" spans="1:38" ht="16.05" customHeight="1" x14ac:dyDescent="0.3">
      <c r="A97" s="13" t="s">
        <v>284</v>
      </c>
      <c r="B97" s="14" t="s">
        <v>285</v>
      </c>
      <c r="C97" s="13" t="s">
        <v>123</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f>IFERROR((K97+M97+MATRIZ_174!O96)/3,0)</f>
        <v>0</v>
      </c>
      <c r="U97" s="18">
        <f>IFERROR(MIN(100,ROUND(MATRIZ_174!M96,1)),0)</f>
        <v>0</v>
      </c>
      <c r="V97" s="18">
        <f t="shared" si="26"/>
        <v>50</v>
      </c>
      <c r="W97" s="18">
        <f>IFERROR(IF(MATRIZ_174!R96=0,65,IF(MATRIZ_174!R96/MATRIZ_174!Q96&gt;=2,35,IF(MATRIZ_174!R96/MATRIZ_174!Q96&gt;=0.5,50,65))),65)</f>
        <v>65</v>
      </c>
      <c r="X97" s="18">
        <f>IFERROR(MIN(100,IF(MATRIZ_174!O96=0,70,30)+IF(MATRIZ_174!U96="",0,0.3*(100-MATRIZ_174!U96*100))),70)</f>
        <v>70</v>
      </c>
      <c r="Y97" s="18">
        <f>IF(OR(MATRIZ_174!P96="ASOCIACION",MATRIZ_174!P96="PENDIENTE"),65,40)</f>
        <v>65</v>
      </c>
      <c r="Z97" s="19" t="str">
        <f t="shared" si="27"/>
        <v>—</v>
      </c>
      <c r="AA97" s="20">
        <f t="shared" si="28"/>
        <v>50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f>IFERROR(MATRIZ_174!AP96,"N/A")</f>
        <v>0</v>
      </c>
      <c r="AJ97" s="17">
        <f>IFERROR(MATRIZ_174!AO96,"N/A")</f>
        <v>0</v>
      </c>
      <c r="AK97" s="23" t="str">
        <f t="shared" si="31"/>
        <v>N/A</v>
      </c>
      <c r="AL97" s="24" t="str">
        <f t="shared" si="32"/>
        <v>—</v>
      </c>
    </row>
    <row r="98" spans="1:38" ht="16.05" customHeight="1" x14ac:dyDescent="0.3">
      <c r="A98" s="13" t="s">
        <v>286</v>
      </c>
      <c r="B98" s="14" t="s">
        <v>287</v>
      </c>
      <c r="C98" s="13" t="s">
        <v>123</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f>IFERROR((K98+M98+MATRIZ_174!O97)/3,0)</f>
        <v>0</v>
      </c>
      <c r="U98" s="18">
        <f>IFERROR(MIN(100,ROUND(MATRIZ_174!M97,1)),0)</f>
        <v>0</v>
      </c>
      <c r="V98" s="18">
        <f t="shared" si="26"/>
        <v>50</v>
      </c>
      <c r="W98" s="18">
        <f>IFERROR(IF(MATRIZ_174!R97=0,65,IF(MATRIZ_174!R97/MATRIZ_174!Q97&gt;=2,35,IF(MATRIZ_174!R97/MATRIZ_174!Q97&gt;=0.5,50,65))),65)</f>
        <v>65</v>
      </c>
      <c r="X98" s="18">
        <f>IFERROR(MIN(100,IF(MATRIZ_174!O97=0,70,30)+IF(MATRIZ_174!U97="",0,0.3*(100-MATRIZ_174!U97*100))),70)</f>
        <v>70</v>
      </c>
      <c r="Y98" s="18">
        <f>IF(OR(MATRIZ_174!P97="ASOCIACION",MATRIZ_174!P97="PENDIENTE"),65,40)</f>
        <v>65</v>
      </c>
      <c r="Z98" s="19" t="str">
        <f t="shared" si="27"/>
        <v>—</v>
      </c>
      <c r="AA98" s="20">
        <f t="shared" si="28"/>
        <v>50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f>IFERROR(MATRIZ_174!AP97,"N/A")</f>
        <v>0</v>
      </c>
      <c r="AJ98" s="17">
        <f>IFERROR(MATRIZ_174!AO97,"N/A")</f>
        <v>0</v>
      </c>
      <c r="AK98" s="23" t="str">
        <f t="shared" si="31"/>
        <v>N/A</v>
      </c>
      <c r="AL98" s="24" t="str">
        <f t="shared" si="32"/>
        <v>—</v>
      </c>
    </row>
    <row r="99" spans="1:38" ht="16.05" customHeight="1" x14ac:dyDescent="0.3">
      <c r="A99" s="13" t="s">
        <v>288</v>
      </c>
      <c r="B99" s="14" t="s">
        <v>289</v>
      </c>
      <c r="C99" s="13" t="s">
        <v>123</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f>IFERROR((K99+M99+MATRIZ_174!O98)/3,0)</f>
        <v>0</v>
      </c>
      <c r="U99" s="18">
        <f>IFERROR(MIN(100,ROUND(MATRIZ_174!M98,1)),0)</f>
        <v>0</v>
      </c>
      <c r="V99" s="18">
        <f t="shared" si="26"/>
        <v>50</v>
      </c>
      <c r="W99" s="18">
        <f>IFERROR(IF(MATRIZ_174!R98=0,65,IF(MATRIZ_174!R98/MATRIZ_174!Q98&gt;=2,35,IF(MATRIZ_174!R98/MATRIZ_174!Q98&gt;=0.5,50,65))),65)</f>
        <v>65</v>
      </c>
      <c r="X99" s="18">
        <f>IFERROR(MIN(100,IF(MATRIZ_174!O98=0,70,30)+IF(MATRIZ_174!U98="",0,0.3*(100-MATRIZ_174!U98*100))),70)</f>
        <v>70</v>
      </c>
      <c r="Y99" s="18">
        <f>IF(OR(MATRIZ_174!P98="ASOCIACION",MATRIZ_174!P98="PENDIENTE"),65,40)</f>
        <v>65</v>
      </c>
      <c r="Z99" s="19" t="str">
        <f t="shared" si="27"/>
        <v>—</v>
      </c>
      <c r="AA99" s="20">
        <f t="shared" si="28"/>
        <v>50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f>IFERROR(MATRIZ_174!AP98,"N/A")</f>
        <v>0</v>
      </c>
      <c r="AJ99" s="17">
        <f>IFERROR(MATRIZ_174!AO98,"N/A")</f>
        <v>0</v>
      </c>
      <c r="AK99" s="23" t="str">
        <f t="shared" si="31"/>
        <v>N/A</v>
      </c>
      <c r="AL99" s="24" t="str">
        <f t="shared" si="32"/>
        <v>—</v>
      </c>
    </row>
    <row r="100" spans="1:38" ht="16.05" customHeight="1" x14ac:dyDescent="0.3">
      <c r="A100" s="13" t="s">
        <v>290</v>
      </c>
      <c r="B100" s="14" t="s">
        <v>291</v>
      </c>
      <c r="C100" s="13" t="s">
        <v>123</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f>IFERROR((K100+M100+MATRIZ_174!O99)/3,0)</f>
        <v>0</v>
      </c>
      <c r="U100" s="18">
        <f>IFERROR(MIN(100,ROUND(MATRIZ_174!M99,1)),0)</f>
        <v>0</v>
      </c>
      <c r="V100" s="18">
        <f t="shared" ref="V100:V131" si="37">IF(OR(NOT(ISNUMBER(F100)),F100=0),50,F100)</f>
        <v>50</v>
      </c>
      <c r="W100" s="18">
        <f>IFERROR(IF(MATRIZ_174!R99=0,65,IF(MATRIZ_174!R99/MATRIZ_174!Q99&gt;=2,35,IF(MATRIZ_174!R99/MATRIZ_174!Q99&gt;=0.5,50,65))),65)</f>
        <v>65</v>
      </c>
      <c r="X100" s="18">
        <f>IFERROR(MIN(100,IF(MATRIZ_174!O99=0,70,30)+IF(MATRIZ_174!U99="",0,0.3*(100-MATRIZ_174!U99*100))),70)</f>
        <v>70</v>
      </c>
      <c r="Y100" s="18">
        <f>IF(OR(MATRIZ_174!P99="ASOCIACION",MATRIZ_174!P99="PENDIENTE"),65,40)</f>
        <v>65</v>
      </c>
      <c r="Z100" s="19" t="str">
        <f t="shared" ref="Z100:Z131" si="38">IF(COUNT(F100:M100)&lt;8,"—",IFERROR(ROUND(AVERAGE(P100:T100),1),"—"))</f>
        <v>—</v>
      </c>
      <c r="AA100" s="20">
        <f t="shared" ref="AA100:AA131" si="39">IFERROR(ROUND(AVERAGE(U100,V100,W100,X100,Y100),1),0)</f>
        <v>50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f>IFERROR(MATRIZ_174!AP99,"N/A")</f>
        <v>0</v>
      </c>
      <c r="AJ100" s="17">
        <f>IFERROR(MATRIZ_174!AO99,"N/A")</f>
        <v>0</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293</v>
      </c>
      <c r="B101" s="14" t="s">
        <v>294</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f>IFERROR((K101+M101+MATRIZ_174!O100)/3,0)</f>
        <v>0</v>
      </c>
      <c r="U101" s="18">
        <f>IFERROR(MIN(100,ROUND(MATRIZ_174!M100,1)),0)</f>
        <v>0</v>
      </c>
      <c r="V101" s="18">
        <f t="shared" si="37"/>
        <v>50</v>
      </c>
      <c r="W101" s="18">
        <f>IFERROR(IF(MATRIZ_174!R100=0,65,IF(MATRIZ_174!R100/MATRIZ_174!Q100&gt;=2,35,IF(MATRIZ_174!R100/MATRIZ_174!Q100&gt;=0.5,50,65))),65)</f>
        <v>65</v>
      </c>
      <c r="X101" s="18">
        <f>IFERROR(MIN(100,IF(MATRIZ_174!O100=0,70,30)+IF(MATRIZ_174!U100="",0,0.3*(100-MATRIZ_174!U100*100))),70)</f>
        <v>70</v>
      </c>
      <c r="Y101" s="18">
        <f>IF(OR(MATRIZ_174!P100="ASOCIACION",MATRIZ_174!P100="PENDIENTE"),65,40)</f>
        <v>65</v>
      </c>
      <c r="Z101" s="19" t="str">
        <f t="shared" si="38"/>
        <v>—</v>
      </c>
      <c r="AA101" s="20">
        <f t="shared" si="39"/>
        <v>50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t="str">
        <f t="shared" si="42"/>
        <v>N/A</v>
      </c>
      <c r="AL101" s="24" t="str">
        <f t="shared" si="43"/>
        <v>—</v>
      </c>
    </row>
    <row r="102" spans="1:38" ht="16.05" customHeight="1" x14ac:dyDescent="0.3">
      <c r="A102" s="13" t="s">
        <v>295</v>
      </c>
      <c r="B102" s="14" t="s">
        <v>296</v>
      </c>
      <c r="C102" s="13" t="s">
        <v>116</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f>IFERROR((K102+M102+MATRIZ_174!O101)/3,0)</f>
        <v>0</v>
      </c>
      <c r="U102" s="18">
        <f>IFERROR(MIN(100,ROUND(MATRIZ_174!M101,1)),0)</f>
        <v>0</v>
      </c>
      <c r="V102" s="18">
        <f t="shared" si="37"/>
        <v>50</v>
      </c>
      <c r="W102" s="18">
        <f>IFERROR(IF(MATRIZ_174!R101=0,65,IF(MATRIZ_174!R101/MATRIZ_174!Q101&gt;=2,35,IF(MATRIZ_174!R101/MATRIZ_174!Q101&gt;=0.5,50,65))),65)</f>
        <v>65</v>
      </c>
      <c r="X102" s="18">
        <f>IFERROR(MIN(100,IF(MATRIZ_174!O101=0,70,30)+IF(MATRIZ_174!U101="",0,0.3*(100-MATRIZ_174!U101*100))),70)</f>
        <v>70</v>
      </c>
      <c r="Y102" s="18">
        <f>IF(OR(MATRIZ_174!P101="ASOCIACION",MATRIZ_174!P101="PENDIENTE"),65,40)</f>
        <v>65</v>
      </c>
      <c r="Z102" s="19" t="str">
        <f t="shared" si="38"/>
        <v>—</v>
      </c>
      <c r="AA102" s="20">
        <f t="shared" si="39"/>
        <v>50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t="str">
        <f t="shared" si="42"/>
        <v>N/A</v>
      </c>
      <c r="AL102" s="24" t="str">
        <f t="shared" si="43"/>
        <v>—</v>
      </c>
    </row>
    <row r="103" spans="1:38" ht="16.05" customHeight="1" x14ac:dyDescent="0.3">
      <c r="A103" s="13" t="s">
        <v>297</v>
      </c>
      <c r="B103" s="14" t="s">
        <v>298</v>
      </c>
      <c r="C103" s="13" t="s">
        <v>123</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f>IFERROR((K103+M103+MATRIZ_174!O102)/3,0)</f>
        <v>0</v>
      </c>
      <c r="U103" s="18">
        <f>IFERROR(MIN(100,ROUND(MATRIZ_174!M102,1)),0)</f>
        <v>0</v>
      </c>
      <c r="V103" s="18">
        <f t="shared" si="37"/>
        <v>50</v>
      </c>
      <c r="W103" s="18">
        <f>IFERROR(IF(MATRIZ_174!R102=0,65,IF(MATRIZ_174!R102/MATRIZ_174!Q102&gt;=2,35,IF(MATRIZ_174!R102/MATRIZ_174!Q102&gt;=0.5,50,65))),65)</f>
        <v>65</v>
      </c>
      <c r="X103" s="18">
        <f>IFERROR(MIN(100,IF(MATRIZ_174!O102=0,70,30)+IF(MATRIZ_174!U102="",0,0.3*(100-MATRIZ_174!U102*100))),70)</f>
        <v>70</v>
      </c>
      <c r="Y103" s="18">
        <f>IF(OR(MATRIZ_174!P102="ASOCIACION",MATRIZ_174!P102="PENDIENTE"),65,40)</f>
        <v>65</v>
      </c>
      <c r="Z103" s="19" t="str">
        <f t="shared" si="38"/>
        <v>—</v>
      </c>
      <c r="AA103" s="20">
        <f t="shared" si="39"/>
        <v>50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t="str">
        <f t="shared" si="42"/>
        <v>N/A</v>
      </c>
      <c r="AL103" s="24" t="str">
        <f t="shared" si="43"/>
        <v>—</v>
      </c>
    </row>
    <row r="104" spans="1:38" ht="16.05" customHeight="1" x14ac:dyDescent="0.3">
      <c r="A104" s="13" t="s">
        <v>299</v>
      </c>
      <c r="B104" s="14" t="s">
        <v>300</v>
      </c>
      <c r="C104" s="13" t="s">
        <v>196</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f>IFERROR((K104+M104+MATRIZ_174!O103)/3,0)</f>
        <v>0</v>
      </c>
      <c r="U104" s="18">
        <f>IFERROR(MIN(100,ROUND(MATRIZ_174!M103,1)),0)</f>
        <v>0</v>
      </c>
      <c r="V104" s="18">
        <f t="shared" si="37"/>
        <v>50</v>
      </c>
      <c r="W104" s="18">
        <f>IFERROR(IF(MATRIZ_174!R103=0,65,IF(MATRIZ_174!R103/MATRIZ_174!Q103&gt;=2,35,IF(MATRIZ_174!R103/MATRIZ_174!Q103&gt;=0.5,50,65))),65)</f>
        <v>65</v>
      </c>
      <c r="X104" s="18">
        <f>IFERROR(MIN(100,IF(MATRIZ_174!O103=0,70,30)+IF(MATRIZ_174!U103="",0,0.3*(100-MATRIZ_174!U103*100))),70)</f>
        <v>70</v>
      </c>
      <c r="Y104" s="18">
        <f>IF(OR(MATRIZ_174!P103="ASOCIACION",MATRIZ_174!P103="PENDIENTE"),65,40)</f>
        <v>65</v>
      </c>
      <c r="Z104" s="19" t="str">
        <f t="shared" si="38"/>
        <v>—</v>
      </c>
      <c r="AA104" s="20">
        <f t="shared" si="39"/>
        <v>50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t="str">
        <f t="shared" si="42"/>
        <v>N/A</v>
      </c>
      <c r="AL104" s="24" t="str">
        <f t="shared" si="43"/>
        <v>—</v>
      </c>
    </row>
    <row r="105" spans="1:38" ht="16.05" customHeight="1" x14ac:dyDescent="0.3">
      <c r="A105" s="13" t="s">
        <v>301</v>
      </c>
      <c r="B105" s="14" t="s">
        <v>302</v>
      </c>
      <c r="C105" s="13" t="s">
        <v>248</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f>IFERROR((K105+M105+MATRIZ_174!O104)/3,0)</f>
        <v>0</v>
      </c>
      <c r="U105" s="18">
        <f>IFERROR(MIN(100,ROUND(MATRIZ_174!M104,1)),0)</f>
        <v>0</v>
      </c>
      <c r="V105" s="18">
        <f t="shared" si="37"/>
        <v>50</v>
      </c>
      <c r="W105" s="18">
        <f>IFERROR(IF(MATRIZ_174!R104=0,65,IF(MATRIZ_174!R104/MATRIZ_174!Q104&gt;=2,35,IF(MATRIZ_174!R104/MATRIZ_174!Q104&gt;=0.5,50,65))),65)</f>
        <v>65</v>
      </c>
      <c r="X105" s="18">
        <f>IFERROR(MIN(100,IF(MATRIZ_174!O104=0,70,30)+IF(MATRIZ_174!U104="",0,0.3*(100-MATRIZ_174!U104*100))),70)</f>
        <v>70</v>
      </c>
      <c r="Y105" s="18">
        <f>IF(OR(MATRIZ_174!P104="ASOCIACION",MATRIZ_174!P104="PENDIENTE"),65,40)</f>
        <v>65</v>
      </c>
      <c r="Z105" s="19" t="str">
        <f t="shared" si="38"/>
        <v>—</v>
      </c>
      <c r="AA105" s="20">
        <f t="shared" si="39"/>
        <v>50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t="str">
        <f t="shared" si="42"/>
        <v>N/A</v>
      </c>
      <c r="AL105" s="24" t="str">
        <f t="shared" si="43"/>
        <v>—</v>
      </c>
    </row>
    <row r="106" spans="1:38" ht="16.05" customHeight="1" x14ac:dyDescent="0.3">
      <c r="A106" s="13" t="s">
        <v>303</v>
      </c>
      <c r="B106" s="14" t="s">
        <v>304</v>
      </c>
      <c r="C106" s="13" t="s">
        <v>116</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f>IFERROR((K106+M106+MATRIZ_174!O105)/3,0)</f>
        <v>0</v>
      </c>
      <c r="U106" s="18">
        <f>IFERROR(MIN(100,ROUND(MATRIZ_174!M105,1)),0)</f>
        <v>0</v>
      </c>
      <c r="V106" s="18">
        <f t="shared" si="37"/>
        <v>50</v>
      </c>
      <c r="W106" s="18">
        <f>IFERROR(IF(MATRIZ_174!R105=0,65,IF(MATRIZ_174!R105/MATRIZ_174!Q105&gt;=2,35,IF(MATRIZ_174!R105/MATRIZ_174!Q105&gt;=0.5,50,65))),65)</f>
        <v>65</v>
      </c>
      <c r="X106" s="18">
        <f>IFERROR(MIN(100,IF(MATRIZ_174!O105=0,70,30)+IF(MATRIZ_174!U105="",0,0.3*(100-MATRIZ_174!U105*100))),70)</f>
        <v>70</v>
      </c>
      <c r="Y106" s="18">
        <f>IF(OR(MATRIZ_174!P105="ASOCIACION",MATRIZ_174!P105="PENDIENTE"),65,40)</f>
        <v>65</v>
      </c>
      <c r="Z106" s="19" t="str">
        <f t="shared" si="38"/>
        <v>—</v>
      </c>
      <c r="AA106" s="20">
        <f t="shared" si="39"/>
        <v>50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t="str">
        <f t="shared" si="42"/>
        <v>N/A</v>
      </c>
      <c r="AL106" s="24" t="str">
        <f t="shared" si="43"/>
        <v>—</v>
      </c>
    </row>
    <row r="107" spans="1:38" ht="16.05" customHeight="1" x14ac:dyDescent="0.3">
      <c r="A107" s="13" t="s">
        <v>305</v>
      </c>
      <c r="B107" s="14" t="s">
        <v>306</v>
      </c>
      <c r="C107" s="13" t="s">
        <v>143</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IFERROR((K107+M107+MATRIZ_174!O106)/3,0)</f>
        <v>0</v>
      </c>
      <c r="U107" s="18">
        <f>IFERROR(MIN(100,ROUND(MATRIZ_174!M106,1)),0)</f>
        <v>49.6</v>
      </c>
      <c r="V107" s="18">
        <f t="shared" si="37"/>
        <v>50</v>
      </c>
      <c r="W107" s="18">
        <f>IFERROR(IF(MATRIZ_174!R106=0,65,IF(MATRIZ_174!R106/MATRIZ_174!Q106&gt;=2,35,IF(MATRIZ_174!R106/MATRIZ_174!Q106&gt;=0.5,50,65))),65)</f>
        <v>35</v>
      </c>
      <c r="X107" s="18">
        <f>IFERROR(MIN(100,IF(MATRIZ_174!O106=0,70,30)+IF(MATRIZ_174!U106="",0,0.3*(100-MATRIZ_174!U106*100))),70)</f>
        <v>70</v>
      </c>
      <c r="Y107" s="18">
        <f>IF(OR(MATRIZ_174!P106="ASOCIACION",MATRIZ_174!P106="PENDIENTE"),65,40)</f>
        <v>65</v>
      </c>
      <c r="Z107" s="19" t="str">
        <f t="shared" si="38"/>
        <v>—</v>
      </c>
      <c r="AA107" s="20">
        <f t="shared" si="39"/>
        <v>53.9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f>IFERROR(MATRIZ_174!AP106,"N/A")</f>
        <v>0.25874999999999998</v>
      </c>
      <c r="AJ107" s="17">
        <f>IFERROR(MATRIZ_174!AO106,"N/A")</f>
        <v>0</v>
      </c>
      <c r="AK107" s="23" t="str">
        <f t="shared" si="42"/>
        <v>N/A</v>
      </c>
      <c r="AL107" s="24" t="str">
        <f t="shared" si="43"/>
        <v>—</v>
      </c>
    </row>
    <row r="108" spans="1:38" ht="16.05" customHeight="1" x14ac:dyDescent="0.3">
      <c r="A108" s="13" t="s">
        <v>307</v>
      </c>
      <c r="B108" s="14" t="s">
        <v>308</v>
      </c>
      <c r="C108" s="13" t="s">
        <v>113</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f>IFERROR((K108+M108+MATRIZ_174!O107)/3,0)</f>
        <v>0</v>
      </c>
      <c r="U108" s="18">
        <f>IFERROR(MIN(100,ROUND(MATRIZ_174!M107,1)),0)</f>
        <v>0</v>
      </c>
      <c r="V108" s="18">
        <f t="shared" si="37"/>
        <v>50</v>
      </c>
      <c r="W108" s="18">
        <f>IFERROR(IF(MATRIZ_174!R107=0,65,IF(MATRIZ_174!R107/MATRIZ_174!Q107&gt;=2,35,IF(MATRIZ_174!R107/MATRIZ_174!Q107&gt;=0.5,50,65))),65)</f>
        <v>65</v>
      </c>
      <c r="X108" s="18">
        <f>IFERROR(MIN(100,IF(MATRIZ_174!O107=0,70,30)+IF(MATRIZ_174!U107="",0,0.3*(100-MATRIZ_174!U107*100))),70)</f>
        <v>70</v>
      </c>
      <c r="Y108" s="18">
        <f>IF(OR(MATRIZ_174!P107="ASOCIACION",MATRIZ_174!P107="PENDIENTE"),65,40)</f>
        <v>65</v>
      </c>
      <c r="Z108" s="19" t="str">
        <f t="shared" si="38"/>
        <v>—</v>
      </c>
      <c r="AA108" s="20">
        <f t="shared" si="39"/>
        <v>50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t="str">
        <f t="shared" si="42"/>
        <v>N/A</v>
      </c>
      <c r="AL108" s="24" t="str">
        <f t="shared" si="43"/>
        <v>—</v>
      </c>
    </row>
    <row r="109" spans="1:38" ht="16.05" customHeight="1" x14ac:dyDescent="0.3">
      <c r="A109" s="13" t="s">
        <v>309</v>
      </c>
      <c r="B109" s="14" t="s">
        <v>310</v>
      </c>
      <c r="C109" s="13" t="s">
        <v>113</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f>IFERROR((K109+M109+MATRIZ_174!O108)/3,0)</f>
        <v>0</v>
      </c>
      <c r="U109" s="18">
        <f>IFERROR(MIN(100,ROUND(MATRIZ_174!M108,1)),0)</f>
        <v>50</v>
      </c>
      <c r="V109" s="18">
        <f t="shared" si="37"/>
        <v>50</v>
      </c>
      <c r="W109" s="18">
        <f>IFERROR(IF(MATRIZ_174!R108=0,65,IF(MATRIZ_174!R108/MATRIZ_174!Q108&gt;=2,35,IF(MATRIZ_174!R108/MATRIZ_174!Q108&gt;=0.5,50,65))),65)</f>
        <v>65</v>
      </c>
      <c r="X109" s="18">
        <f>IFERROR(MIN(100,IF(MATRIZ_174!O108=0,70,30)+IF(MATRIZ_174!U108="",0,0.3*(100-MATRIZ_174!U108*100))),70)</f>
        <v>70</v>
      </c>
      <c r="Y109" s="18">
        <f>IF(OR(MATRIZ_174!P108="ASOCIACION",MATRIZ_174!P108="PENDIENTE"),65,40)</f>
        <v>65</v>
      </c>
      <c r="Z109" s="19" t="str">
        <f t="shared" si="38"/>
        <v>—</v>
      </c>
      <c r="AA109" s="20">
        <f t="shared" si="39"/>
        <v>60</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f>IFERROR(MATRIZ_174!AP108,"N/A")</f>
        <v>0.26041666666666669</v>
      </c>
      <c r="AJ109" s="17">
        <f>IFERROR(MATRIZ_174!AO108,"N/A")</f>
        <v>0</v>
      </c>
      <c r="AK109" s="23" t="str">
        <f t="shared" si="42"/>
        <v>N/A</v>
      </c>
      <c r="AL109" s="24" t="str">
        <f t="shared" si="43"/>
        <v>—</v>
      </c>
    </row>
    <row r="110" spans="1:38" ht="16.05" customHeight="1" x14ac:dyDescent="0.3">
      <c r="A110" s="13" t="s">
        <v>311</v>
      </c>
      <c r="B110" s="14" t="s">
        <v>312</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f>IFERROR((K110+M110+MATRIZ_174!O109)/3,0)</f>
        <v>0</v>
      </c>
      <c r="U110" s="18">
        <f>IFERROR(MIN(100,ROUND(MATRIZ_174!M109,1)),0)</f>
        <v>0</v>
      </c>
      <c r="V110" s="18">
        <f t="shared" si="37"/>
        <v>50</v>
      </c>
      <c r="W110" s="18">
        <f>IFERROR(IF(MATRIZ_174!R109=0,65,IF(MATRIZ_174!R109/MATRIZ_174!Q109&gt;=2,35,IF(MATRIZ_174!R109/MATRIZ_174!Q109&gt;=0.5,50,65))),65)</f>
        <v>65</v>
      </c>
      <c r="X110" s="18">
        <f>IFERROR(MIN(100,IF(MATRIZ_174!O109=0,70,30)+IF(MATRIZ_174!U109="",0,0.3*(100-MATRIZ_174!U109*100))),70)</f>
        <v>70</v>
      </c>
      <c r="Y110" s="18">
        <f>IF(OR(MATRIZ_174!P109="ASOCIACION",MATRIZ_174!P109="PENDIENTE"),65,40)</f>
        <v>65</v>
      </c>
      <c r="Z110" s="19" t="str">
        <f t="shared" si="38"/>
        <v>—</v>
      </c>
      <c r="AA110" s="20">
        <f t="shared" si="39"/>
        <v>50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t="str">
        <f t="shared" si="42"/>
        <v>N/A</v>
      </c>
      <c r="AL110" s="24" t="str">
        <f t="shared" si="43"/>
        <v>—</v>
      </c>
    </row>
    <row r="111" spans="1:38" ht="16.05" customHeight="1" x14ac:dyDescent="0.3">
      <c r="A111" s="13" t="s">
        <v>313</v>
      </c>
      <c r="B111" s="14" t="s">
        <v>314</v>
      </c>
      <c r="C111" s="13" t="s">
        <v>123</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f>IFERROR((K111+M111+MATRIZ_174!O110)/3,0)</f>
        <v>0</v>
      </c>
      <c r="U111" s="18">
        <f>IFERROR(MIN(100,ROUND(MATRIZ_174!M110,1)),0)</f>
        <v>0</v>
      </c>
      <c r="V111" s="18">
        <f t="shared" si="37"/>
        <v>50</v>
      </c>
      <c r="W111" s="18">
        <f>IFERROR(IF(MATRIZ_174!R110=0,65,IF(MATRIZ_174!R110/MATRIZ_174!Q110&gt;=2,35,IF(MATRIZ_174!R110/MATRIZ_174!Q110&gt;=0.5,50,65))),65)</f>
        <v>65</v>
      </c>
      <c r="X111" s="18">
        <f>IFERROR(MIN(100,IF(MATRIZ_174!O110=0,70,30)+IF(MATRIZ_174!U110="",0,0.3*(100-MATRIZ_174!U110*100))),70)</f>
        <v>70</v>
      </c>
      <c r="Y111" s="18">
        <f>IF(OR(MATRIZ_174!P110="ASOCIACION",MATRIZ_174!P110="PENDIENTE"),65,40)</f>
        <v>65</v>
      </c>
      <c r="Z111" s="19" t="str">
        <f t="shared" si="38"/>
        <v>—</v>
      </c>
      <c r="AA111" s="20">
        <f t="shared" si="39"/>
        <v>50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t="str">
        <f t="shared" si="42"/>
        <v>N/A</v>
      </c>
      <c r="AL111" s="24" t="str">
        <f t="shared" si="43"/>
        <v>—</v>
      </c>
    </row>
    <row r="112" spans="1:38" ht="16.05" customHeight="1" x14ac:dyDescent="0.3">
      <c r="A112" s="13" t="s">
        <v>315</v>
      </c>
      <c r="B112" s="14" t="s">
        <v>316</v>
      </c>
      <c r="C112" s="13" t="s">
        <v>116</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f>IFERROR((K112+M112+MATRIZ_174!O111)/3,0)</f>
        <v>0</v>
      </c>
      <c r="U112" s="18">
        <f>IFERROR(MIN(100,ROUND(MATRIZ_174!M111,1)),0)</f>
        <v>0</v>
      </c>
      <c r="V112" s="18">
        <f t="shared" si="37"/>
        <v>50</v>
      </c>
      <c r="W112" s="18">
        <f>IFERROR(IF(MATRIZ_174!R111=0,65,IF(MATRIZ_174!R111/MATRIZ_174!Q111&gt;=2,35,IF(MATRIZ_174!R111/MATRIZ_174!Q111&gt;=0.5,50,65))),65)</f>
        <v>65</v>
      </c>
      <c r="X112" s="18">
        <f>IFERROR(MIN(100,IF(MATRIZ_174!O111=0,70,30)+IF(MATRIZ_174!U111="",0,0.3*(100-MATRIZ_174!U111*100))),70)</f>
        <v>70</v>
      </c>
      <c r="Y112" s="18">
        <f>IF(OR(MATRIZ_174!P111="ASOCIACION",MATRIZ_174!P111="PENDIENTE"),65,40)</f>
        <v>65</v>
      </c>
      <c r="Z112" s="19" t="str">
        <f t="shared" si="38"/>
        <v>—</v>
      </c>
      <c r="AA112" s="20">
        <f t="shared" si="39"/>
        <v>50</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t="str">
        <f t="shared" si="42"/>
        <v>N/A</v>
      </c>
      <c r="AL112" s="24" t="str">
        <f t="shared" si="43"/>
        <v>—</v>
      </c>
    </row>
    <row r="113" spans="1:38" ht="16.05" customHeight="1" x14ac:dyDescent="0.3">
      <c r="A113" s="13" t="s">
        <v>317</v>
      </c>
      <c r="B113" s="14" t="s">
        <v>318</v>
      </c>
      <c r="C113" s="13" t="s">
        <v>123</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f>IFERROR((K113+M113+MATRIZ_174!O112)/3,0)</f>
        <v>0</v>
      </c>
      <c r="U113" s="18">
        <f>IFERROR(MIN(100,ROUND(MATRIZ_174!M112,1)),0)</f>
        <v>0</v>
      </c>
      <c r="V113" s="18">
        <f t="shared" si="37"/>
        <v>50</v>
      </c>
      <c r="W113" s="18">
        <f>IFERROR(IF(MATRIZ_174!R112=0,65,IF(MATRIZ_174!R112/MATRIZ_174!Q112&gt;=2,35,IF(MATRIZ_174!R112/MATRIZ_174!Q112&gt;=0.5,50,65))),65)</f>
        <v>65</v>
      </c>
      <c r="X113" s="18">
        <f>IFERROR(MIN(100,IF(MATRIZ_174!O112=0,70,30)+IF(MATRIZ_174!U112="",0,0.3*(100-MATRIZ_174!U112*100))),70)</f>
        <v>70</v>
      </c>
      <c r="Y113" s="18">
        <f>IF(OR(MATRIZ_174!P112="ASOCIACION",MATRIZ_174!P112="PENDIENTE"),65,40)</f>
        <v>65</v>
      </c>
      <c r="Z113" s="19" t="str">
        <f t="shared" si="38"/>
        <v>—</v>
      </c>
      <c r="AA113" s="20">
        <f t="shared" si="39"/>
        <v>50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t="str">
        <f t="shared" si="42"/>
        <v>N/A</v>
      </c>
      <c r="AL113" s="24" t="str">
        <f t="shared" si="43"/>
        <v>—</v>
      </c>
    </row>
    <row r="114" spans="1:38" ht="16.05" customHeight="1" x14ac:dyDescent="0.3">
      <c r="A114" s="13" t="s">
        <v>319</v>
      </c>
      <c r="B114" s="14" t="s">
        <v>320</v>
      </c>
      <c r="C114" s="13" t="s">
        <v>154</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f>IFERROR((K114+M114+MATRIZ_174!O113)/3,0)</f>
        <v>0</v>
      </c>
      <c r="U114" s="18">
        <f>IFERROR(MIN(100,ROUND(MATRIZ_174!M113,1)),0)</f>
        <v>0</v>
      </c>
      <c r="V114" s="18">
        <f t="shared" si="37"/>
        <v>50</v>
      </c>
      <c r="W114" s="18">
        <f>IFERROR(IF(MATRIZ_174!R113=0,65,IF(MATRIZ_174!R113/MATRIZ_174!Q113&gt;=2,35,IF(MATRIZ_174!R113/MATRIZ_174!Q113&gt;=0.5,50,65))),65)</f>
        <v>65</v>
      </c>
      <c r="X114" s="18">
        <f>IFERROR(MIN(100,IF(MATRIZ_174!O113=0,70,30)+IF(MATRIZ_174!U113="",0,0.3*(100-MATRIZ_174!U113*100))),70)</f>
        <v>70</v>
      </c>
      <c r="Y114" s="18">
        <f>IF(OR(MATRIZ_174!P113="ASOCIACION",MATRIZ_174!P113="PENDIENTE"),65,40)</f>
        <v>65</v>
      </c>
      <c r="Z114" s="19" t="str">
        <f t="shared" si="38"/>
        <v>—</v>
      </c>
      <c r="AA114" s="20">
        <f t="shared" si="39"/>
        <v>50</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t="str">
        <f t="shared" si="42"/>
        <v>N/A</v>
      </c>
      <c r="AL114" s="24" t="str">
        <f t="shared" si="43"/>
        <v>—</v>
      </c>
    </row>
    <row r="115" spans="1:38" ht="16.05" customHeight="1" x14ac:dyDescent="0.3">
      <c r="A115" s="13" t="s">
        <v>321</v>
      </c>
      <c r="B115" s="14" t="s">
        <v>322</v>
      </c>
      <c r="C115" s="13" t="s">
        <v>248</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f>IFERROR((K115+M115+MATRIZ_174!O114)/3,0)</f>
        <v>0</v>
      </c>
      <c r="U115" s="18">
        <f>IFERROR(MIN(100,ROUND(MATRIZ_174!M114,1)),0)</f>
        <v>0</v>
      </c>
      <c r="V115" s="18">
        <f t="shared" si="37"/>
        <v>50</v>
      </c>
      <c r="W115" s="18">
        <f>IFERROR(IF(MATRIZ_174!R114=0,65,IF(MATRIZ_174!R114/MATRIZ_174!Q114&gt;=2,35,IF(MATRIZ_174!R114/MATRIZ_174!Q114&gt;=0.5,50,65))),65)</f>
        <v>65</v>
      </c>
      <c r="X115" s="18">
        <f>IFERROR(MIN(100,IF(MATRIZ_174!O114=0,70,30)+IF(MATRIZ_174!U114="",0,0.3*(100-MATRIZ_174!U114*100))),70)</f>
        <v>70</v>
      </c>
      <c r="Y115" s="18">
        <f>IF(OR(MATRIZ_174!P114="ASOCIACION",MATRIZ_174!P114="PENDIENTE"),65,40)</f>
        <v>65</v>
      </c>
      <c r="Z115" s="19" t="str">
        <f t="shared" si="38"/>
        <v>—</v>
      </c>
      <c r="AA115" s="20">
        <f t="shared" si="39"/>
        <v>50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t="str">
        <f t="shared" si="42"/>
        <v>N/A</v>
      </c>
      <c r="AL115" s="24" t="str">
        <f t="shared" si="43"/>
        <v>—</v>
      </c>
    </row>
    <row r="116" spans="1:38" ht="16.05" customHeight="1" x14ac:dyDescent="0.3">
      <c r="A116" s="13" t="s">
        <v>323</v>
      </c>
      <c r="B116" s="14" t="s">
        <v>324</v>
      </c>
      <c r="C116" s="13" t="s">
        <v>143</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f>IFERROR((K116+M116+MATRIZ_174!O115)/3,0)</f>
        <v>0</v>
      </c>
      <c r="U116" s="18">
        <f>IFERROR(MIN(100,ROUND(MATRIZ_174!M115,1)),0)</f>
        <v>0</v>
      </c>
      <c r="V116" s="18">
        <f t="shared" si="37"/>
        <v>50</v>
      </c>
      <c r="W116" s="18">
        <f>IFERROR(IF(MATRIZ_174!R115=0,65,IF(MATRIZ_174!R115/MATRIZ_174!Q115&gt;=2,35,IF(MATRIZ_174!R115/MATRIZ_174!Q115&gt;=0.5,50,65))),65)</f>
        <v>65</v>
      </c>
      <c r="X116" s="18">
        <f>IFERROR(MIN(100,IF(MATRIZ_174!O115=0,70,30)+IF(MATRIZ_174!U115="",0,0.3*(100-MATRIZ_174!U115*100))),70)</f>
        <v>70</v>
      </c>
      <c r="Y116" s="18">
        <f>IF(OR(MATRIZ_174!P115="ASOCIACION",MATRIZ_174!P115="PENDIENTE"),65,40)</f>
        <v>65</v>
      </c>
      <c r="Z116" s="19" t="str">
        <f t="shared" si="38"/>
        <v>—</v>
      </c>
      <c r="AA116" s="20">
        <f t="shared" si="39"/>
        <v>50</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t="str">
        <f t="shared" si="42"/>
        <v>N/A</v>
      </c>
      <c r="AL116" s="24" t="str">
        <f t="shared" si="43"/>
        <v>—</v>
      </c>
    </row>
    <row r="117" spans="1:38" ht="16.05" customHeight="1" x14ac:dyDescent="0.3">
      <c r="A117" s="13" t="s">
        <v>325</v>
      </c>
      <c r="B117" s="14" t="s">
        <v>326</v>
      </c>
      <c r="C117" s="13" t="s">
        <v>248</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f>IFERROR((K117+M117+MATRIZ_174!O116)/3,0)</f>
        <v>0</v>
      </c>
      <c r="U117" s="18">
        <f>IFERROR(MIN(100,ROUND(MATRIZ_174!M116,1)),0)</f>
        <v>0</v>
      </c>
      <c r="V117" s="18">
        <f t="shared" si="37"/>
        <v>50</v>
      </c>
      <c r="W117" s="18">
        <f>IFERROR(IF(MATRIZ_174!R116=0,65,IF(MATRIZ_174!R116/MATRIZ_174!Q116&gt;=2,35,IF(MATRIZ_174!R116/MATRIZ_174!Q116&gt;=0.5,50,65))),65)</f>
        <v>65</v>
      </c>
      <c r="X117" s="18">
        <f>IFERROR(MIN(100,IF(MATRIZ_174!O116=0,70,30)+IF(MATRIZ_174!U116="",0,0.3*(100-MATRIZ_174!U116*100))),70)</f>
        <v>70</v>
      </c>
      <c r="Y117" s="18">
        <f>IF(OR(MATRIZ_174!P116="ASOCIACION",MATRIZ_174!P116="PENDIENTE"),65,40)</f>
        <v>65</v>
      </c>
      <c r="Z117" s="19" t="str">
        <f t="shared" si="38"/>
        <v>—</v>
      </c>
      <c r="AA117" s="20">
        <f t="shared" si="39"/>
        <v>50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t="str">
        <f t="shared" si="42"/>
        <v>N/A</v>
      </c>
      <c r="AL117" s="24" t="str">
        <f t="shared" si="43"/>
        <v>—</v>
      </c>
    </row>
    <row r="118" spans="1:38" ht="16.05" customHeight="1" x14ac:dyDescent="0.3">
      <c r="A118" s="13" t="s">
        <v>327</v>
      </c>
      <c r="B118" s="14" t="s">
        <v>328</v>
      </c>
      <c r="C118" s="13" t="s">
        <v>183</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f>IFERROR((K118+M118+MATRIZ_174!O117)/3,0)</f>
        <v>0</v>
      </c>
      <c r="U118" s="18">
        <f>IFERROR(MIN(100,ROUND(MATRIZ_174!M117,1)),0)</f>
        <v>0</v>
      </c>
      <c r="V118" s="18">
        <f t="shared" si="37"/>
        <v>50</v>
      </c>
      <c r="W118" s="18">
        <f>IFERROR(IF(MATRIZ_174!R117=0,65,IF(MATRIZ_174!R117/MATRIZ_174!Q117&gt;=2,35,IF(MATRIZ_174!R117/MATRIZ_174!Q117&gt;=0.5,50,65))),65)</f>
        <v>65</v>
      </c>
      <c r="X118" s="18">
        <f>IFERROR(MIN(100,IF(MATRIZ_174!O117=0,70,30)+IF(MATRIZ_174!U117="",0,0.3*(100-MATRIZ_174!U117*100))),70)</f>
        <v>70</v>
      </c>
      <c r="Y118" s="18">
        <f>IF(OR(MATRIZ_174!P117="ASOCIACION",MATRIZ_174!P117="PENDIENTE"),65,40)</f>
        <v>65</v>
      </c>
      <c r="Z118" s="19" t="str">
        <f t="shared" si="38"/>
        <v>—</v>
      </c>
      <c r="AA118" s="20">
        <f t="shared" si="39"/>
        <v>50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t="str">
        <f t="shared" si="42"/>
        <v>N/A</v>
      </c>
      <c r="AL118" s="24" t="str">
        <f t="shared" si="43"/>
        <v>—</v>
      </c>
    </row>
    <row r="119" spans="1:38" ht="16.05" customHeight="1" x14ac:dyDescent="0.3">
      <c r="A119" s="13" t="s">
        <v>329</v>
      </c>
      <c r="B119" s="14" t="s">
        <v>330</v>
      </c>
      <c r="C119" s="13" t="s">
        <v>113</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f>IFERROR((K119+M119+MATRIZ_174!O118)/3,0)</f>
        <v>0</v>
      </c>
      <c r="U119" s="18">
        <f>IFERROR(MIN(100,ROUND(MATRIZ_174!M118,1)),0)</f>
        <v>0</v>
      </c>
      <c r="V119" s="18">
        <f t="shared" si="37"/>
        <v>50</v>
      </c>
      <c r="W119" s="18">
        <f>IFERROR(IF(MATRIZ_174!R118=0,65,IF(MATRIZ_174!R118/MATRIZ_174!Q118&gt;=2,35,IF(MATRIZ_174!R118/MATRIZ_174!Q118&gt;=0.5,50,65))),65)</f>
        <v>65</v>
      </c>
      <c r="X119" s="18">
        <f>IFERROR(MIN(100,IF(MATRIZ_174!O118=0,70,30)+IF(MATRIZ_174!U118="",0,0.3*(100-MATRIZ_174!U118*100))),70)</f>
        <v>70</v>
      </c>
      <c r="Y119" s="18">
        <f>IF(OR(MATRIZ_174!P118="ASOCIACION",MATRIZ_174!P118="PENDIENTE"),65,40)</f>
        <v>65</v>
      </c>
      <c r="Z119" s="19" t="str">
        <f t="shared" si="38"/>
        <v>—</v>
      </c>
      <c r="AA119" s="20">
        <f t="shared" si="39"/>
        <v>50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t="str">
        <f t="shared" si="42"/>
        <v>N/A</v>
      </c>
      <c r="AL119" s="24" t="str">
        <f t="shared" si="43"/>
        <v>—</v>
      </c>
    </row>
    <row r="120" spans="1:38" ht="16.05" customHeight="1" x14ac:dyDescent="0.3">
      <c r="A120" s="13" t="s">
        <v>331</v>
      </c>
      <c r="B120" s="14" t="s">
        <v>332</v>
      </c>
      <c r="C120" s="13" t="s">
        <v>113</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f>IFERROR((K120+M120+MATRIZ_174!O119)/3,0)</f>
        <v>0</v>
      </c>
      <c r="U120" s="18">
        <f>IFERROR(MIN(100,ROUND(MATRIZ_174!M119,1)),0)</f>
        <v>0</v>
      </c>
      <c r="V120" s="18">
        <f t="shared" si="37"/>
        <v>50</v>
      </c>
      <c r="W120" s="18">
        <f>IFERROR(IF(MATRIZ_174!R119=0,65,IF(MATRIZ_174!R119/MATRIZ_174!Q119&gt;=2,35,IF(MATRIZ_174!R119/MATRIZ_174!Q119&gt;=0.5,50,65))),65)</f>
        <v>65</v>
      </c>
      <c r="X120" s="18">
        <f>IFERROR(MIN(100,IF(MATRIZ_174!O119=0,70,30)+IF(MATRIZ_174!U119="",0,0.3*(100-MATRIZ_174!U119*100))),70)</f>
        <v>70</v>
      </c>
      <c r="Y120" s="18">
        <f>IF(OR(MATRIZ_174!P119="ASOCIACION",MATRIZ_174!P119="PENDIENTE"),65,40)</f>
        <v>65</v>
      </c>
      <c r="Z120" s="19" t="str">
        <f t="shared" si="38"/>
        <v>—</v>
      </c>
      <c r="AA120" s="20">
        <f t="shared" si="39"/>
        <v>50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t="str">
        <f t="shared" si="42"/>
        <v>N/A</v>
      </c>
      <c r="AL120" s="24" t="str">
        <f t="shared" si="43"/>
        <v>—</v>
      </c>
    </row>
    <row r="121" spans="1:38" ht="16.05" customHeight="1" x14ac:dyDescent="0.3">
      <c r="A121" s="13" t="s">
        <v>333</v>
      </c>
      <c r="B121" s="14" t="s">
        <v>334</v>
      </c>
      <c r="C121" s="13" t="s">
        <v>154</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f>IFERROR((K121+M121+MATRIZ_174!O120)/3,0)</f>
        <v>0</v>
      </c>
      <c r="U121" s="18">
        <f>IFERROR(MIN(100,ROUND(MATRIZ_174!M120,1)),0)</f>
        <v>0</v>
      </c>
      <c r="V121" s="18">
        <f t="shared" si="37"/>
        <v>50</v>
      </c>
      <c r="W121" s="18">
        <f>IFERROR(IF(MATRIZ_174!R120=0,65,IF(MATRIZ_174!R120/MATRIZ_174!Q120&gt;=2,35,IF(MATRIZ_174!R120/MATRIZ_174!Q120&gt;=0.5,50,65))),65)</f>
        <v>65</v>
      </c>
      <c r="X121" s="18">
        <f>IFERROR(MIN(100,IF(MATRIZ_174!O120=0,70,30)+IF(MATRIZ_174!U120="",0,0.3*(100-MATRIZ_174!U120*100))),70)</f>
        <v>70</v>
      </c>
      <c r="Y121" s="18">
        <f>IF(OR(MATRIZ_174!P120="ASOCIACION",MATRIZ_174!P120="PENDIENTE"),65,40)</f>
        <v>65</v>
      </c>
      <c r="Z121" s="19" t="str">
        <f t="shared" si="38"/>
        <v>—</v>
      </c>
      <c r="AA121" s="20">
        <f t="shared" si="39"/>
        <v>50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t="str">
        <f t="shared" si="42"/>
        <v>N/A</v>
      </c>
      <c r="AL121" s="24" t="str">
        <f t="shared" si="43"/>
        <v>—</v>
      </c>
    </row>
    <row r="122" spans="1:38" ht="16.05" customHeight="1" x14ac:dyDescent="0.3">
      <c r="A122" s="13" t="s">
        <v>335</v>
      </c>
      <c r="B122" s="14" t="s">
        <v>336</v>
      </c>
      <c r="C122" s="13" t="s">
        <v>257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f>IFERROR((K122+M122+MATRIZ_174!O121)/3,0)</f>
        <v>0</v>
      </c>
      <c r="U122" s="18">
        <f>IFERROR(MIN(100,ROUND(MATRIZ_174!M121,1)),0)</f>
        <v>0</v>
      </c>
      <c r="V122" s="18">
        <f t="shared" si="37"/>
        <v>50</v>
      </c>
      <c r="W122" s="18">
        <f>IFERROR(IF(MATRIZ_174!R121=0,65,IF(MATRIZ_174!R121/MATRIZ_174!Q121&gt;=2,35,IF(MATRIZ_174!R121/MATRIZ_174!Q121&gt;=0.5,50,65))),65)</f>
        <v>65</v>
      </c>
      <c r="X122" s="18">
        <f>IFERROR(MIN(100,IF(MATRIZ_174!O121=0,70,30)+IF(MATRIZ_174!U121="",0,0.3*(100-MATRIZ_174!U121*100))),70)</f>
        <v>70</v>
      </c>
      <c r="Y122" s="18">
        <f>IF(OR(MATRIZ_174!P121="ASOCIACION",MATRIZ_174!P121="PENDIENTE"),65,40)</f>
        <v>65</v>
      </c>
      <c r="Z122" s="19" t="str">
        <f t="shared" si="38"/>
        <v>—</v>
      </c>
      <c r="AA122" s="20">
        <f t="shared" si="39"/>
        <v>50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t="str">
        <f t="shared" si="42"/>
        <v>N/A</v>
      </c>
      <c r="AL122" s="24" t="str">
        <f t="shared" si="43"/>
        <v>—</v>
      </c>
    </row>
    <row r="123" spans="1:38" ht="16.05" customHeight="1" x14ac:dyDescent="0.3">
      <c r="A123" s="13" t="s">
        <v>337</v>
      </c>
      <c r="B123" s="14" t="s">
        <v>338</v>
      </c>
      <c r="C123" s="13" t="s">
        <v>123</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f>IFERROR((K123+M123+MATRIZ_174!O122)/3,0)</f>
        <v>0</v>
      </c>
      <c r="U123" s="18">
        <f>IFERROR(MIN(100,ROUND(MATRIZ_174!M122,1)),0)</f>
        <v>0</v>
      </c>
      <c r="V123" s="18">
        <f t="shared" si="37"/>
        <v>50</v>
      </c>
      <c r="W123" s="18">
        <f>IFERROR(IF(MATRIZ_174!R122=0,65,IF(MATRIZ_174!R122/MATRIZ_174!Q122&gt;=2,35,IF(MATRIZ_174!R122/MATRIZ_174!Q122&gt;=0.5,50,65))),65)</f>
        <v>65</v>
      </c>
      <c r="X123" s="18">
        <f>IFERROR(MIN(100,IF(MATRIZ_174!O122=0,70,30)+IF(MATRIZ_174!U122="",0,0.3*(100-MATRIZ_174!U122*100))),70)</f>
        <v>70</v>
      </c>
      <c r="Y123" s="18">
        <f>IF(OR(MATRIZ_174!P122="ASOCIACION",MATRIZ_174!P122="PENDIENTE"),65,40)</f>
        <v>65</v>
      </c>
      <c r="Z123" s="19" t="str">
        <f t="shared" si="38"/>
        <v>—</v>
      </c>
      <c r="AA123" s="20">
        <f t="shared" si="39"/>
        <v>50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t="str">
        <f t="shared" si="42"/>
        <v>N/A</v>
      </c>
      <c r="AL123" s="24" t="str">
        <f t="shared" si="43"/>
        <v>—</v>
      </c>
    </row>
    <row r="124" spans="1:38" ht="16.05" customHeight="1" x14ac:dyDescent="0.3">
      <c r="A124" s="13" t="s">
        <v>339</v>
      </c>
      <c r="B124" s="14" t="s">
        <v>340</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f>IFERROR((K124+M124+MATRIZ_174!O123)/3,0)</f>
        <v>0</v>
      </c>
      <c r="U124" s="18">
        <f>IFERROR(MIN(100,ROUND(MATRIZ_174!M123,1)),0)</f>
        <v>0</v>
      </c>
      <c r="V124" s="18">
        <f t="shared" si="37"/>
        <v>50</v>
      </c>
      <c r="W124" s="18">
        <f>IFERROR(IF(MATRIZ_174!R123=0,65,IF(MATRIZ_174!R123/MATRIZ_174!Q123&gt;=2,35,IF(MATRIZ_174!R123/MATRIZ_174!Q123&gt;=0.5,50,65))),65)</f>
        <v>65</v>
      </c>
      <c r="X124" s="18">
        <f>IFERROR(MIN(100,IF(MATRIZ_174!O123=0,70,30)+IF(MATRIZ_174!U123="",0,0.3*(100-MATRIZ_174!U123*100))),70)</f>
        <v>70</v>
      </c>
      <c r="Y124" s="18">
        <f>IF(OR(MATRIZ_174!P123="ASOCIACION",MATRIZ_174!P123="PENDIENTE"),65,40)</f>
        <v>65</v>
      </c>
      <c r="Z124" s="19" t="str">
        <f t="shared" si="38"/>
        <v>—</v>
      </c>
      <c r="AA124" s="20">
        <f t="shared" si="39"/>
        <v>50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t="str">
        <f t="shared" si="42"/>
        <v>N/A</v>
      </c>
      <c r="AL124" s="24" t="str">
        <f t="shared" si="43"/>
        <v>—</v>
      </c>
    </row>
    <row r="125" spans="1:38" ht="16.05" customHeight="1" x14ac:dyDescent="0.3">
      <c r="A125" s="13" t="s">
        <v>341</v>
      </c>
      <c r="B125" s="14" t="s">
        <v>342</v>
      </c>
      <c r="C125" s="13" t="s">
        <v>116</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IFERROR((K125+M125+MATRIZ_174!O124)/3,0)</f>
        <v>0</v>
      </c>
      <c r="U125" s="18">
        <f>IFERROR(MIN(100,ROUND(MATRIZ_174!M124,1)),0)</f>
        <v>0</v>
      </c>
      <c r="V125" s="18">
        <f t="shared" si="37"/>
        <v>50</v>
      </c>
      <c r="W125" s="18">
        <f>IFERROR(IF(MATRIZ_174!R124=0,65,IF(MATRIZ_174!R124/MATRIZ_174!Q124&gt;=2,35,IF(MATRIZ_174!R124/MATRIZ_174!Q124&gt;=0.5,50,65))),65)</f>
        <v>35</v>
      </c>
      <c r="X125" s="18">
        <f>IFERROR(MIN(100,IF(MATRIZ_174!O124=0,70,30)+IF(MATRIZ_174!U124="",0,0.3*(100-MATRIZ_174!U124*100))),70)</f>
        <v>70</v>
      </c>
      <c r="Y125" s="18">
        <f>IF(OR(MATRIZ_174!P124="ASOCIACION",MATRIZ_174!P124="PENDIENTE"),65,40)</f>
        <v>65</v>
      </c>
      <c r="Z125" s="19" t="str">
        <f t="shared" si="38"/>
        <v>—</v>
      </c>
      <c r="AA125" s="20">
        <f t="shared" si="39"/>
        <v>44</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f>IFERROR(MATRIZ_174!AP124,"N/A")</f>
        <v>5.2083333333333336E-2</v>
      </c>
      <c r="AJ125" s="17">
        <f>IFERROR(MATRIZ_174!AO124,"N/A")</f>
        <v>0</v>
      </c>
      <c r="AK125" s="23" t="str">
        <f t="shared" si="42"/>
        <v>N/A</v>
      </c>
      <c r="AL125" s="24" t="str">
        <f t="shared" si="43"/>
        <v>—</v>
      </c>
    </row>
    <row r="126" spans="1:38" ht="16.05" customHeight="1" x14ac:dyDescent="0.3">
      <c r="A126" s="13" t="s">
        <v>345</v>
      </c>
      <c r="B126" s="14" t="s">
        <v>346</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f>IFERROR((K126+M126+MATRIZ_174!O125)/3,0)</f>
        <v>0</v>
      </c>
      <c r="U126" s="18">
        <f>IFERROR(MIN(100,ROUND(MATRIZ_174!M125,1)),0)</f>
        <v>0</v>
      </c>
      <c r="V126" s="18">
        <f t="shared" si="37"/>
        <v>50</v>
      </c>
      <c r="W126" s="18">
        <f>IFERROR(IF(MATRIZ_174!R125=0,65,IF(MATRIZ_174!R125/MATRIZ_174!Q125&gt;=2,35,IF(MATRIZ_174!R125/MATRIZ_174!Q125&gt;=0.5,50,65))),65)</f>
        <v>65</v>
      </c>
      <c r="X126" s="18">
        <f>IFERROR(MIN(100,IF(MATRIZ_174!O125=0,70,30)+IF(MATRIZ_174!U125="",0,0.3*(100-MATRIZ_174!U125*100))),70)</f>
        <v>70</v>
      </c>
      <c r="Y126" s="18">
        <f>IF(OR(MATRIZ_174!P125="ASOCIACION",MATRIZ_174!P125="PENDIENTE"),65,40)</f>
        <v>65</v>
      </c>
      <c r="Z126" s="19" t="str">
        <f t="shared" si="38"/>
        <v>—</v>
      </c>
      <c r="AA126" s="20">
        <f t="shared" si="39"/>
        <v>50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t="str">
        <f t="shared" si="42"/>
        <v>N/A</v>
      </c>
      <c r="AL126" s="24" t="str">
        <f t="shared" si="43"/>
        <v>—</v>
      </c>
    </row>
    <row r="127" spans="1:38" ht="16.05" customHeight="1" x14ac:dyDescent="0.3">
      <c r="A127" s="13" t="s">
        <v>347</v>
      </c>
      <c r="B127" s="14" t="s">
        <v>348</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f>IFERROR((K127+M127+MATRIZ_174!O126)/3,0)</f>
        <v>0</v>
      </c>
      <c r="U127" s="18">
        <f>IFERROR(MIN(100,ROUND(MATRIZ_174!M126,1)),0)</f>
        <v>0</v>
      </c>
      <c r="V127" s="18">
        <f t="shared" si="37"/>
        <v>50</v>
      </c>
      <c r="W127" s="18">
        <f>IFERROR(IF(MATRIZ_174!R126=0,65,IF(MATRIZ_174!R126/MATRIZ_174!Q126&gt;=2,35,IF(MATRIZ_174!R126/MATRIZ_174!Q126&gt;=0.5,50,65))),65)</f>
        <v>65</v>
      </c>
      <c r="X127" s="18">
        <f>IFERROR(MIN(100,IF(MATRIZ_174!O126=0,70,30)+IF(MATRIZ_174!U126="",0,0.3*(100-MATRIZ_174!U126*100))),70)</f>
        <v>70</v>
      </c>
      <c r="Y127" s="18">
        <f>IF(OR(MATRIZ_174!P126="ASOCIACION",MATRIZ_174!P126="PENDIENTE"),65,40)</f>
        <v>65</v>
      </c>
      <c r="Z127" s="19" t="str">
        <f t="shared" si="38"/>
        <v>—</v>
      </c>
      <c r="AA127" s="20">
        <f t="shared" si="39"/>
        <v>50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t="str">
        <f t="shared" si="42"/>
        <v>N/A</v>
      </c>
      <c r="AL127" s="24" t="str">
        <f t="shared" si="43"/>
        <v>—</v>
      </c>
    </row>
    <row r="128" spans="1:38" ht="16.05" customHeight="1" x14ac:dyDescent="0.3">
      <c r="A128" s="13" t="s">
        <v>349</v>
      </c>
      <c r="B128" s="14" t="s">
        <v>350</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f>IFERROR((K128+M128+MATRIZ_174!O127)/3,0)</f>
        <v>0</v>
      </c>
      <c r="U128" s="18">
        <f>IFERROR(MIN(100,ROUND(MATRIZ_174!M127,1)),0)</f>
        <v>0</v>
      </c>
      <c r="V128" s="18">
        <f t="shared" si="37"/>
        <v>50</v>
      </c>
      <c r="W128" s="18">
        <f>IFERROR(IF(MATRIZ_174!R127=0,65,IF(MATRIZ_174!R127/MATRIZ_174!Q127&gt;=2,35,IF(MATRIZ_174!R127/MATRIZ_174!Q127&gt;=0.5,50,65))),65)</f>
        <v>65</v>
      </c>
      <c r="X128" s="18">
        <f>IFERROR(MIN(100,IF(MATRIZ_174!O127=0,70,30)+IF(MATRIZ_174!U127="",0,0.3*(100-MATRIZ_174!U127*100))),70)</f>
        <v>70</v>
      </c>
      <c r="Y128" s="18">
        <f>IF(OR(MATRIZ_174!P127="ASOCIACION",MATRIZ_174!P127="PENDIENTE"),65,40)</f>
        <v>65</v>
      </c>
      <c r="Z128" s="19" t="str">
        <f t="shared" si="38"/>
        <v>—</v>
      </c>
      <c r="AA128" s="20">
        <f t="shared" si="39"/>
        <v>50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t="str">
        <f t="shared" si="42"/>
        <v>N/A</v>
      </c>
      <c r="AL128" s="24" t="str">
        <f t="shared" si="43"/>
        <v>—</v>
      </c>
    </row>
    <row r="129" spans="1:38" ht="16.05" customHeight="1" x14ac:dyDescent="0.3">
      <c r="A129" s="13" t="s">
        <v>351</v>
      </c>
      <c r="B129" s="14" t="s">
        <v>352</v>
      </c>
      <c r="C129" s="13" t="s">
        <v>116</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f>IFERROR((K129+M129+MATRIZ_174!O128)/3,0)</f>
        <v>0</v>
      </c>
      <c r="U129" s="18">
        <f>IFERROR(MIN(100,ROUND(MATRIZ_174!M128,1)),0)</f>
        <v>50</v>
      </c>
      <c r="V129" s="18">
        <f t="shared" si="37"/>
        <v>50</v>
      </c>
      <c r="W129" s="18">
        <f>IFERROR(IF(MATRIZ_174!R128=0,65,IF(MATRIZ_174!R128/MATRIZ_174!Q128&gt;=2,35,IF(MATRIZ_174!R128/MATRIZ_174!Q128&gt;=0.5,50,65))),65)</f>
        <v>65</v>
      </c>
      <c r="X129" s="18">
        <f>IFERROR(MIN(100,IF(MATRIZ_174!O128=0,70,30)+IF(MATRIZ_174!U128="",0,0.3*(100-MATRIZ_174!U128*100))),70)</f>
        <v>70</v>
      </c>
      <c r="Y129" s="18">
        <f>IF(OR(MATRIZ_174!P128="ASOCIACION",MATRIZ_174!P128="PENDIENTE"),65,40)</f>
        <v>65</v>
      </c>
      <c r="Z129" s="19" t="str">
        <f t="shared" si="38"/>
        <v>—</v>
      </c>
      <c r="AA129" s="20">
        <f t="shared" si="39"/>
        <v>60</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f>IFERROR(MATRIZ_174!AP128,"N/A")</f>
        <v>0.26041666666666669</v>
      </c>
      <c r="AJ129" s="17">
        <f>IFERROR(MATRIZ_174!AO128,"N/A")</f>
        <v>0</v>
      </c>
      <c r="AK129" s="23" t="str">
        <f t="shared" si="42"/>
        <v>N/A</v>
      </c>
      <c r="AL129" s="24" t="str">
        <f t="shared" si="43"/>
        <v>—</v>
      </c>
    </row>
    <row r="130" spans="1:38" ht="16.05" customHeight="1" x14ac:dyDescent="0.3">
      <c r="A130" s="13" t="s">
        <v>353</v>
      </c>
      <c r="B130" s="14" t="s">
        <v>354</v>
      </c>
      <c r="C130" s="13" t="s">
        <v>113</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f>IFERROR((K130+M130+MATRIZ_174!O129)/3,0)</f>
        <v>0</v>
      </c>
      <c r="U130" s="18">
        <f>IFERROR(MIN(100,ROUND(MATRIZ_174!M129,1)),0)</f>
        <v>0</v>
      </c>
      <c r="V130" s="18">
        <f t="shared" si="37"/>
        <v>50</v>
      </c>
      <c r="W130" s="18">
        <f>IFERROR(IF(MATRIZ_174!R129=0,65,IF(MATRIZ_174!R129/MATRIZ_174!Q129&gt;=2,35,IF(MATRIZ_174!R129/MATRIZ_174!Q129&gt;=0.5,50,65))),65)</f>
        <v>65</v>
      </c>
      <c r="X130" s="18">
        <f>IFERROR(MIN(100,IF(MATRIZ_174!O129=0,70,30)+IF(MATRIZ_174!U129="",0,0.3*(100-MATRIZ_174!U129*100))),70)</f>
        <v>70</v>
      </c>
      <c r="Y130" s="18">
        <f>IF(OR(MATRIZ_174!P129="ASOCIACION",MATRIZ_174!P129="PENDIENTE"),65,40)</f>
        <v>65</v>
      </c>
      <c r="Z130" s="19" t="str">
        <f t="shared" si="38"/>
        <v>—</v>
      </c>
      <c r="AA130" s="20">
        <f t="shared" si="39"/>
        <v>50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t="str">
        <f t="shared" si="42"/>
        <v>N/A</v>
      </c>
      <c r="AL130" s="24" t="str">
        <f t="shared" si="43"/>
        <v>—</v>
      </c>
    </row>
    <row r="131" spans="1:38" ht="16.05" customHeight="1" x14ac:dyDescent="0.3">
      <c r="A131" s="13" t="s">
        <v>355</v>
      </c>
      <c r="B131" s="14" t="s">
        <v>356</v>
      </c>
      <c r="C131" s="13" t="s">
        <v>257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IFERROR((K131+M131+MATRIZ_174!O130)/3,0)</f>
        <v>0</v>
      </c>
      <c r="U131" s="18">
        <f>IFERROR(MIN(100,ROUND(MATRIZ_174!M130,1)),0)</f>
        <v>0</v>
      </c>
      <c r="V131" s="18">
        <f t="shared" si="37"/>
        <v>50</v>
      </c>
      <c r="W131" s="18">
        <f>IFERROR(IF(MATRIZ_174!R130=0,65,IF(MATRIZ_174!R130/MATRIZ_174!Q130&gt;=2,35,IF(MATRIZ_174!R130/MATRIZ_174!Q130&gt;=0.5,50,65))),65)</f>
        <v>50</v>
      </c>
      <c r="X131" s="18">
        <f>IFERROR(MIN(100,IF(MATRIZ_174!O130=0,70,30)+IF(MATRIZ_174!U130="",0,0.3*(100-MATRIZ_174!U130*100))),70)</f>
        <v>70</v>
      </c>
      <c r="Y131" s="18">
        <f>IF(OR(MATRIZ_174!P130="ASOCIACION",MATRIZ_174!P130="PENDIENTE"),65,40)</f>
        <v>65</v>
      </c>
      <c r="Z131" s="19" t="str">
        <f t="shared" si="38"/>
        <v>—</v>
      </c>
      <c r="AA131" s="20">
        <f t="shared" si="39"/>
        <v>47</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f>IFERROR(MATRIZ_174!AP130,"N/A")</f>
        <v>5.2083333333333336E-2</v>
      </c>
      <c r="AJ131" s="17">
        <f>IFERROR(MATRIZ_174!AO130,"N/A")</f>
        <v>0</v>
      </c>
      <c r="AK131" s="23" t="str">
        <f t="shared" si="42"/>
        <v>N/A</v>
      </c>
      <c r="AL131" s="24" t="str">
        <f t="shared" si="43"/>
        <v>—</v>
      </c>
    </row>
    <row r="132" spans="1:38" ht="16.05" customHeight="1" x14ac:dyDescent="0.3">
      <c r="A132" s="13" t="s">
        <v>358</v>
      </c>
      <c r="B132" s="14" t="s">
        <v>359</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f>IFERROR((K132+M132+MATRIZ_174!O131)/3,0)</f>
        <v>0</v>
      </c>
      <c r="U132" s="18">
        <f>IFERROR(MIN(100,ROUND(MATRIZ_174!M131,1)),0)</f>
        <v>0</v>
      </c>
      <c r="V132" s="18">
        <f t="shared" ref="V132:V163" si="48">IF(OR(NOT(ISNUMBER(F132)),F132=0),50,F132)</f>
        <v>50</v>
      </c>
      <c r="W132" s="18">
        <f>IFERROR(IF(MATRIZ_174!R131=0,65,IF(MATRIZ_174!R131/MATRIZ_174!Q131&gt;=2,35,IF(MATRIZ_174!R131/MATRIZ_174!Q131&gt;=0.5,50,65))),65)</f>
        <v>65</v>
      </c>
      <c r="X132" s="18">
        <f>IFERROR(MIN(100,IF(MATRIZ_174!O131=0,70,30)+IF(MATRIZ_174!U131="",0,0.3*(100-MATRIZ_174!U131*100))),70)</f>
        <v>70</v>
      </c>
      <c r="Y132" s="18">
        <f>IF(OR(MATRIZ_174!P131="ASOCIACION",MATRIZ_174!P131="PENDIENTE"),65,40)</f>
        <v>65</v>
      </c>
      <c r="Z132" s="19" t="str">
        <f t="shared" ref="Z132:Z163" si="49">IF(COUNT(F132:M132)&lt;8,"—",IFERROR(ROUND(AVERAGE(P132:T132),1),"—"))</f>
        <v>—</v>
      </c>
      <c r="AA132" s="20">
        <f t="shared" ref="AA132:AA163" si="50">IFERROR(ROUND(AVERAGE(U132,V132,W132,X132,Y132),1),0)</f>
        <v>50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360</v>
      </c>
      <c r="B133" s="14" t="s">
        <v>361</v>
      </c>
      <c r="C133" s="13" t="s">
        <v>113</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f>IFERROR((K133+M133+MATRIZ_174!O132)/3,0)</f>
        <v>0</v>
      </c>
      <c r="U133" s="18">
        <f>IFERROR(MIN(100,ROUND(MATRIZ_174!M132,1)),0)</f>
        <v>0</v>
      </c>
      <c r="V133" s="18">
        <f t="shared" si="48"/>
        <v>50</v>
      </c>
      <c r="W133" s="18">
        <f>IFERROR(IF(MATRIZ_174!R132=0,65,IF(MATRIZ_174!R132/MATRIZ_174!Q132&gt;=2,35,IF(MATRIZ_174!R132/MATRIZ_174!Q132&gt;=0.5,50,65))),65)</f>
        <v>65</v>
      </c>
      <c r="X133" s="18">
        <f>IFERROR(MIN(100,IF(MATRIZ_174!O132=0,70,30)+IF(MATRIZ_174!U132="",0,0.3*(100-MATRIZ_174!U132*100))),70)</f>
        <v>70</v>
      </c>
      <c r="Y133" s="18">
        <f>IF(OR(MATRIZ_174!P132="ASOCIACION",MATRIZ_174!P132="PENDIENTE"),65,40)</f>
        <v>65</v>
      </c>
      <c r="Z133" s="19" t="str">
        <f t="shared" si="49"/>
        <v>—</v>
      </c>
      <c r="AA133" s="20">
        <f t="shared" si="50"/>
        <v>50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t="str">
        <f t="shared" si="53"/>
        <v>N/A</v>
      </c>
      <c r="AL133" s="24" t="str">
        <f t="shared" si="54"/>
        <v>—</v>
      </c>
    </row>
    <row r="134" spans="1:38" ht="16.05" customHeight="1" x14ac:dyDescent="0.3">
      <c r="A134" s="13" t="s">
        <v>362</v>
      </c>
      <c r="B134" s="14" t="s">
        <v>363</v>
      </c>
      <c r="C134" s="13" t="s">
        <v>107</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f>IFERROR((K134+M134+MATRIZ_174!O133)/3,0)</f>
        <v>0</v>
      </c>
      <c r="U134" s="18">
        <f>IFERROR(MIN(100,ROUND(MATRIZ_174!M133,1)),0)</f>
        <v>0</v>
      </c>
      <c r="V134" s="18">
        <f t="shared" si="48"/>
        <v>50</v>
      </c>
      <c r="W134" s="18">
        <f>IFERROR(IF(MATRIZ_174!R133=0,65,IF(MATRIZ_174!R133/MATRIZ_174!Q133&gt;=2,35,IF(MATRIZ_174!R133/MATRIZ_174!Q133&gt;=0.5,50,65))),65)</f>
        <v>65</v>
      </c>
      <c r="X134" s="18">
        <f>IFERROR(MIN(100,IF(MATRIZ_174!O133=0,70,30)+IF(MATRIZ_174!U133="",0,0.3*(100-MATRIZ_174!U133*100))),70)</f>
        <v>70</v>
      </c>
      <c r="Y134" s="18">
        <f>IF(OR(MATRIZ_174!P133="ASOCIACION",MATRIZ_174!P133="PENDIENTE"),65,40)</f>
        <v>65</v>
      </c>
      <c r="Z134" s="19" t="str">
        <f t="shared" si="49"/>
        <v>—</v>
      </c>
      <c r="AA134" s="20">
        <f t="shared" si="50"/>
        <v>50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t="str">
        <f t="shared" si="53"/>
        <v>N/A</v>
      </c>
      <c r="AL134" s="24" t="str">
        <f t="shared" si="54"/>
        <v>—</v>
      </c>
    </row>
    <row r="135" spans="1:38" ht="16.05" customHeight="1" x14ac:dyDescent="0.3">
      <c r="A135" s="13" t="s">
        <v>364</v>
      </c>
      <c r="B135" s="14" t="s">
        <v>365</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IFERROR((K135+M135+MATRIZ_174!O134)/3,0)</f>
        <v>0</v>
      </c>
      <c r="U135" s="18">
        <f>IFERROR(MIN(100,ROUND(MATRIZ_174!M134,1)),0)</f>
        <v>0</v>
      </c>
      <c r="V135" s="18">
        <f t="shared" si="48"/>
        <v>50</v>
      </c>
      <c r="W135" s="18">
        <f>IFERROR(IF(MATRIZ_174!R134=0,65,IF(MATRIZ_174!R134/MATRIZ_174!Q134&gt;=2,35,IF(MATRIZ_174!R134/MATRIZ_174!Q134&gt;=0.5,50,65))),65)</f>
        <v>35</v>
      </c>
      <c r="X135" s="18">
        <f>IFERROR(MIN(100,IF(MATRIZ_174!O134=0,70,30)+IF(MATRIZ_174!U134="",0,0.3*(100-MATRIZ_174!U134*100))),70)</f>
        <v>70</v>
      </c>
      <c r="Y135" s="18">
        <f>IF(OR(MATRIZ_174!P134="ASOCIACION",MATRIZ_174!P134="PENDIENTE"),65,40)</f>
        <v>65</v>
      </c>
      <c r="Z135" s="19" t="str">
        <f t="shared" si="49"/>
        <v>—</v>
      </c>
      <c r="AA135" s="20">
        <f t="shared" si="50"/>
        <v>44</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f>IFERROR(MATRIZ_174!AP134,"N/A")</f>
        <v>5.2083333333333336E-2</v>
      </c>
      <c r="AJ135" s="17">
        <f>IFERROR(MATRIZ_174!AO134,"N/A")</f>
        <v>0</v>
      </c>
      <c r="AK135" s="23" t="str">
        <f t="shared" si="53"/>
        <v>N/A</v>
      </c>
      <c r="AL135" s="24" t="str">
        <f t="shared" si="54"/>
        <v>—</v>
      </c>
    </row>
    <row r="136" spans="1:38" ht="16.05" customHeight="1" x14ac:dyDescent="0.3">
      <c r="A136" s="13" t="s">
        <v>368</v>
      </c>
      <c r="B136" s="14" t="s">
        <v>369</v>
      </c>
      <c r="C136" s="13" t="s">
        <v>143</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IFERROR((K136+M136+MATRIZ_174!O135)/3,0)</f>
        <v>0</v>
      </c>
      <c r="U136" s="18">
        <f>IFERROR(MIN(100,ROUND(MATRIZ_174!M135,1)),0)</f>
        <v>66.900000000000006</v>
      </c>
      <c r="V136" s="18">
        <f t="shared" si="48"/>
        <v>50</v>
      </c>
      <c r="W136" s="18">
        <f>IFERROR(IF(MATRIZ_174!R135=0,65,IF(MATRIZ_174!R135/MATRIZ_174!Q135&gt;=2,35,IF(MATRIZ_174!R135/MATRIZ_174!Q135&gt;=0.5,50,65))),65)</f>
        <v>50</v>
      </c>
      <c r="X136" s="18">
        <f>IFERROR(MIN(100,IF(MATRIZ_174!O135=0,70,30)+IF(MATRIZ_174!U135="",0,0.3*(100-MATRIZ_174!U135*100))),70)</f>
        <v>70</v>
      </c>
      <c r="Y136" s="18">
        <f>IF(OR(MATRIZ_174!P135="ASOCIACION",MATRIZ_174!P135="PENDIENTE"),65,40)</f>
        <v>65</v>
      </c>
      <c r="Z136" s="19" t="str">
        <f t="shared" si="49"/>
        <v>—</v>
      </c>
      <c r="AA136" s="20">
        <f t="shared" si="50"/>
        <v>60.4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f>IFERROR(MATRIZ_174!AP135,"N/A")</f>
        <v>0.33083333333333337</v>
      </c>
      <c r="AJ136" s="17">
        <f>IFERROR(MATRIZ_174!AO135,"N/A")</f>
        <v>0</v>
      </c>
      <c r="AK136" s="23" t="str">
        <f t="shared" si="53"/>
        <v>N/A</v>
      </c>
      <c r="AL136" s="24" t="str">
        <f t="shared" si="54"/>
        <v>—</v>
      </c>
    </row>
    <row r="137" spans="1:38" ht="16.05" customHeight="1" x14ac:dyDescent="0.3">
      <c r="A137" s="13" t="s">
        <v>371</v>
      </c>
      <c r="B137" s="14" t="s">
        <v>372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f>IFERROR((K137+M137+MATRIZ_174!O136)/3,0)</f>
        <v>0</v>
      </c>
      <c r="U137" s="18">
        <f>IFERROR(MIN(100,ROUND(MATRIZ_174!M136,1)),0)</f>
        <v>0</v>
      </c>
      <c r="V137" s="18">
        <f t="shared" si="48"/>
        <v>50</v>
      </c>
      <c r="W137" s="18">
        <f>IFERROR(IF(MATRIZ_174!R136=0,65,IF(MATRIZ_174!R136/MATRIZ_174!Q136&gt;=2,35,IF(MATRIZ_174!R136/MATRIZ_174!Q136&gt;=0.5,50,65))),65)</f>
        <v>65</v>
      </c>
      <c r="X137" s="18">
        <f>IFERROR(MIN(100,IF(MATRIZ_174!O136=0,70,30)+IF(MATRIZ_174!U136="",0,0.3*(100-MATRIZ_174!U136*100))),70)</f>
        <v>70</v>
      </c>
      <c r="Y137" s="18">
        <f>IF(OR(MATRIZ_174!P136="ASOCIACION",MATRIZ_174!P136="PENDIENTE"),65,40)</f>
        <v>65</v>
      </c>
      <c r="Z137" s="19" t="str">
        <f t="shared" si="49"/>
        <v>—</v>
      </c>
      <c r="AA137" s="20">
        <f t="shared" si="50"/>
        <v>50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t="str">
        <f t="shared" si="53"/>
        <v>N/A</v>
      </c>
      <c r="AL137" s="24" t="str">
        <f t="shared" si="54"/>
        <v>—</v>
      </c>
    </row>
    <row r="138" spans="1:38" ht="16.05" customHeight="1" x14ac:dyDescent="0.3">
      <c r="A138" s="13" t="s">
        <v>373</v>
      </c>
      <c r="B138" s="14" t="s">
        <v>374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f>IFERROR((K138+M138+MATRIZ_174!O137)/3,0)</f>
        <v>0</v>
      </c>
      <c r="U138" s="18">
        <f>IFERROR(MIN(100,ROUND(MATRIZ_174!M137,1)),0)</f>
        <v>0</v>
      </c>
      <c r="V138" s="18">
        <f t="shared" si="48"/>
        <v>50</v>
      </c>
      <c r="W138" s="18">
        <f>IFERROR(IF(MATRIZ_174!R137=0,65,IF(MATRIZ_174!R137/MATRIZ_174!Q137&gt;=2,35,IF(MATRIZ_174!R137/MATRIZ_174!Q137&gt;=0.5,50,65))),65)</f>
        <v>65</v>
      </c>
      <c r="X138" s="18">
        <f>IFERROR(MIN(100,IF(MATRIZ_174!O137=0,70,30)+IF(MATRIZ_174!U137="",0,0.3*(100-MATRIZ_174!U137*100))),70)</f>
        <v>70</v>
      </c>
      <c r="Y138" s="18">
        <f>IF(OR(MATRIZ_174!P137="ASOCIACION",MATRIZ_174!P137="PENDIENTE"),65,40)</f>
        <v>65</v>
      </c>
      <c r="Z138" s="19" t="str">
        <f t="shared" si="49"/>
        <v>—</v>
      </c>
      <c r="AA138" s="20">
        <f t="shared" si="50"/>
        <v>50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t="str">
        <f t="shared" si="53"/>
        <v>N/A</v>
      </c>
      <c r="AL138" s="24" t="str">
        <f t="shared" si="54"/>
        <v>—</v>
      </c>
    </row>
    <row r="139" spans="1:38" ht="16.05" customHeight="1" x14ac:dyDescent="0.3">
      <c r="A139" s="13" t="s">
        <v>375</v>
      </c>
      <c r="B139" s="14" t="s">
        <v>376</v>
      </c>
      <c r="C139" s="13" t="s">
        <v>116</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f>IFERROR((K139+M139+MATRIZ_174!O138)/3,0)</f>
        <v>0</v>
      </c>
      <c r="U139" s="18">
        <f>IFERROR(MIN(100,ROUND(MATRIZ_174!M138,1)),0)</f>
        <v>50</v>
      </c>
      <c r="V139" s="18">
        <f t="shared" si="48"/>
        <v>50</v>
      </c>
      <c r="W139" s="18">
        <f>IFERROR(IF(MATRIZ_174!R138=0,65,IF(MATRIZ_174!R138/MATRIZ_174!Q138&gt;=2,35,IF(MATRIZ_174!R138/MATRIZ_174!Q138&gt;=0.5,50,65))),65)</f>
        <v>65</v>
      </c>
      <c r="X139" s="18">
        <f>IFERROR(MIN(100,IF(MATRIZ_174!O138=0,70,30)+IF(MATRIZ_174!U138="",0,0.3*(100-MATRIZ_174!U138*100))),70)</f>
        <v>70</v>
      </c>
      <c r="Y139" s="18">
        <f>IF(OR(MATRIZ_174!P138="ASOCIACION",MATRIZ_174!P138="PENDIENTE"),65,40)</f>
        <v>65</v>
      </c>
      <c r="Z139" s="19" t="str">
        <f t="shared" si="49"/>
        <v>—</v>
      </c>
      <c r="AA139" s="20">
        <f t="shared" si="50"/>
        <v>60</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f>IFERROR(MATRIZ_174!AP138,"N/A")</f>
        <v>0.20833333333333334</v>
      </c>
      <c r="AJ139" s="17">
        <f>IFERROR(MATRIZ_174!AO138,"N/A")</f>
        <v>0</v>
      </c>
      <c r="AK139" s="23" t="str">
        <f t="shared" si="53"/>
        <v>N/A</v>
      </c>
      <c r="AL139" s="24" t="str">
        <f t="shared" si="54"/>
        <v>—</v>
      </c>
    </row>
    <row r="140" spans="1:38" ht="16.05" customHeight="1" x14ac:dyDescent="0.3">
      <c r="A140" s="13" t="s">
        <v>377</v>
      </c>
      <c r="B140" s="14" t="s">
        <v>378</v>
      </c>
      <c r="C140" s="13" t="s">
        <v>196</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f>IFERROR((K140+M140+MATRIZ_174!O139)/3,0)</f>
        <v>0</v>
      </c>
      <c r="U140" s="18">
        <f>IFERROR(MIN(100,ROUND(MATRIZ_174!M139,1)),0)</f>
        <v>0</v>
      </c>
      <c r="V140" s="18">
        <f t="shared" si="48"/>
        <v>50</v>
      </c>
      <c r="W140" s="18">
        <f>IFERROR(IF(MATRIZ_174!R139=0,65,IF(MATRIZ_174!R139/MATRIZ_174!Q139&gt;=2,35,IF(MATRIZ_174!R139/MATRIZ_174!Q139&gt;=0.5,50,65))),65)</f>
        <v>65</v>
      </c>
      <c r="X140" s="18">
        <f>IFERROR(MIN(100,IF(MATRIZ_174!O139=0,70,30)+IF(MATRIZ_174!U139="",0,0.3*(100-MATRIZ_174!U139*100))),70)</f>
        <v>70</v>
      </c>
      <c r="Y140" s="18">
        <f>IF(OR(MATRIZ_174!P139="ASOCIACION",MATRIZ_174!P139="PENDIENTE"),65,40)</f>
        <v>65</v>
      </c>
      <c r="Z140" s="19" t="str">
        <f t="shared" si="49"/>
        <v>—</v>
      </c>
      <c r="AA140" s="20">
        <f t="shared" si="50"/>
        <v>50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t="str">
        <f t="shared" si="53"/>
        <v>N/A</v>
      </c>
      <c r="AL140" s="24" t="str">
        <f t="shared" si="54"/>
        <v>—</v>
      </c>
    </row>
    <row r="141" spans="1:38" ht="16.05" customHeight="1" x14ac:dyDescent="0.3">
      <c r="A141" s="13" t="s">
        <v>379</v>
      </c>
      <c r="B141" s="14" t="s">
        <v>380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f>IFERROR((K141+M141+MATRIZ_174!O140)/3,0)</f>
        <v>0</v>
      </c>
      <c r="U141" s="18">
        <f>IFERROR(MIN(100,ROUND(MATRIZ_174!M140,1)),0)</f>
        <v>0</v>
      </c>
      <c r="V141" s="18">
        <f t="shared" si="48"/>
        <v>50</v>
      </c>
      <c r="W141" s="18">
        <f>IFERROR(IF(MATRIZ_174!R140=0,65,IF(MATRIZ_174!R140/MATRIZ_174!Q140&gt;=2,35,IF(MATRIZ_174!R140/MATRIZ_174!Q140&gt;=0.5,50,65))),65)</f>
        <v>65</v>
      </c>
      <c r="X141" s="18">
        <f>IFERROR(MIN(100,IF(MATRIZ_174!O140=0,70,30)+IF(MATRIZ_174!U140="",0,0.3*(100-MATRIZ_174!U140*100))),70)</f>
        <v>70</v>
      </c>
      <c r="Y141" s="18">
        <f>IF(OR(MATRIZ_174!P140="ASOCIACION",MATRIZ_174!P140="PENDIENTE"),65,40)</f>
        <v>65</v>
      </c>
      <c r="Z141" s="19" t="str">
        <f t="shared" si="49"/>
        <v>—</v>
      </c>
      <c r="AA141" s="20">
        <f t="shared" si="50"/>
        <v>50</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t="str">
        <f t="shared" si="53"/>
        <v>N/A</v>
      </c>
      <c r="AL141" s="24" t="str">
        <f t="shared" si="54"/>
        <v>—</v>
      </c>
    </row>
    <row r="142" spans="1:38" ht="16.05" customHeight="1" x14ac:dyDescent="0.3">
      <c r="A142" s="13" t="s">
        <v>381</v>
      </c>
      <c r="B142" s="14" t="s">
        <v>382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f>IFERROR((K142+M142+MATRIZ_174!O141)/3,0)</f>
        <v>0</v>
      </c>
      <c r="U142" s="18">
        <f>IFERROR(MIN(100,ROUND(MATRIZ_174!M141,1)),0)</f>
        <v>0</v>
      </c>
      <c r="V142" s="18">
        <f t="shared" si="48"/>
        <v>50</v>
      </c>
      <c r="W142" s="18">
        <f>IFERROR(IF(MATRIZ_174!R141=0,65,IF(MATRIZ_174!R141/MATRIZ_174!Q141&gt;=2,35,IF(MATRIZ_174!R141/MATRIZ_174!Q141&gt;=0.5,50,65))),65)</f>
        <v>65</v>
      </c>
      <c r="X142" s="18">
        <f>IFERROR(MIN(100,IF(MATRIZ_174!O141=0,70,30)+IF(MATRIZ_174!U141="",0,0.3*(100-MATRIZ_174!U141*100))),70)</f>
        <v>70</v>
      </c>
      <c r="Y142" s="18">
        <f>IF(OR(MATRIZ_174!P141="ASOCIACION",MATRIZ_174!P141="PENDIENTE"),65,40)</f>
        <v>65</v>
      </c>
      <c r="Z142" s="19" t="str">
        <f t="shared" si="49"/>
        <v>—</v>
      </c>
      <c r="AA142" s="20">
        <f t="shared" si="50"/>
        <v>50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t="str">
        <f t="shared" si="53"/>
        <v>N/A</v>
      </c>
      <c r="AL142" s="24" t="str">
        <f t="shared" si="54"/>
        <v>—</v>
      </c>
    </row>
    <row r="143" spans="1:38" ht="16.05" customHeight="1" x14ac:dyDescent="0.3">
      <c r="A143" s="13" t="s">
        <v>383</v>
      </c>
      <c r="B143" s="14" t="s">
        <v>384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f>IFERROR((K143+M143+MATRIZ_174!O142)/3,0)</f>
        <v>0</v>
      </c>
      <c r="U143" s="18">
        <f>IFERROR(MIN(100,ROUND(MATRIZ_174!M142,1)),0)</f>
        <v>0</v>
      </c>
      <c r="V143" s="18">
        <f t="shared" si="48"/>
        <v>50</v>
      </c>
      <c r="W143" s="18">
        <f>IFERROR(IF(MATRIZ_174!R142=0,65,IF(MATRIZ_174!R142/MATRIZ_174!Q142&gt;=2,35,IF(MATRIZ_174!R142/MATRIZ_174!Q142&gt;=0.5,50,65))),65)</f>
        <v>65</v>
      </c>
      <c r="X143" s="18">
        <f>IFERROR(MIN(100,IF(MATRIZ_174!O142=0,70,30)+IF(MATRIZ_174!U142="",0,0.3*(100-MATRIZ_174!U142*100))),70)</f>
        <v>70</v>
      </c>
      <c r="Y143" s="18">
        <f>IF(OR(MATRIZ_174!P142="ASOCIACION",MATRIZ_174!P142="PENDIENTE"),65,40)</f>
        <v>65</v>
      </c>
      <c r="Z143" s="19" t="str">
        <f t="shared" si="49"/>
        <v>—</v>
      </c>
      <c r="AA143" s="20">
        <f t="shared" si="50"/>
        <v>50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t="str">
        <f t="shared" si="53"/>
        <v>N/A</v>
      </c>
      <c r="AL143" s="24" t="str">
        <f t="shared" si="54"/>
        <v>—</v>
      </c>
    </row>
    <row r="144" spans="1:38" ht="16.05" customHeight="1" x14ac:dyDescent="0.3">
      <c r="A144" s="13" t="s">
        <v>385</v>
      </c>
      <c r="B144" s="14" t="s">
        <v>386</v>
      </c>
      <c r="C144" s="13" t="s">
        <v>143</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IFERROR((K144+M144+MATRIZ_174!O143)/3,0)</f>
        <v>0</v>
      </c>
      <c r="U144" s="18">
        <f>IFERROR(MIN(100,ROUND(MATRIZ_174!M143,1)),0)</f>
        <v>71</v>
      </c>
      <c r="V144" s="18">
        <f t="shared" si="48"/>
        <v>50</v>
      </c>
      <c r="W144" s="18">
        <f>IFERROR(IF(MATRIZ_174!R143=0,65,IF(MATRIZ_174!R143/MATRIZ_174!Q143&gt;=2,35,IF(MATRIZ_174!R143/MATRIZ_174!Q143&gt;=0.5,50,65))),65)</f>
        <v>35</v>
      </c>
      <c r="X144" s="18">
        <f>IFERROR(MIN(100,IF(MATRIZ_174!O143=0,70,30)+IF(MATRIZ_174!U143="",0,0.3*(100-MATRIZ_174!U143*100))),70)</f>
        <v>70</v>
      </c>
      <c r="Y144" s="18">
        <f>IF(OR(MATRIZ_174!P143="ASOCIACION",MATRIZ_174!P143="PENDIENTE"),65,40)</f>
        <v>65</v>
      </c>
      <c r="Z144" s="19" t="str">
        <f t="shared" si="49"/>
        <v>—</v>
      </c>
      <c r="AA144" s="20">
        <f t="shared" si="50"/>
        <v>58.2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f>IFERROR(MATRIZ_174!AP143,"N/A")</f>
        <v>0.34791666666666665</v>
      </c>
      <c r="AJ144" s="17">
        <f>IFERROR(MATRIZ_174!AO143,"N/A")</f>
        <v>0</v>
      </c>
      <c r="AK144" s="23" t="str">
        <f t="shared" si="53"/>
        <v>N/A</v>
      </c>
      <c r="AL144" s="24" t="str">
        <f t="shared" si="54"/>
        <v>—</v>
      </c>
    </row>
    <row r="145" spans="1:38" ht="16.05" customHeight="1" x14ac:dyDescent="0.3">
      <c r="A145" s="13" t="s">
        <v>388</v>
      </c>
      <c r="B145" s="14" t="s">
        <v>389</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f>IFERROR((K145+M145+MATRIZ_174!O144)/3,0)</f>
        <v>0</v>
      </c>
      <c r="U145" s="18">
        <f>IFERROR(MIN(100,ROUND(MATRIZ_174!M144,1)),0)</f>
        <v>0</v>
      </c>
      <c r="V145" s="18">
        <f t="shared" si="48"/>
        <v>50</v>
      </c>
      <c r="W145" s="18">
        <f>IFERROR(IF(MATRIZ_174!R144=0,65,IF(MATRIZ_174!R144/MATRIZ_174!Q144&gt;=2,35,IF(MATRIZ_174!R144/MATRIZ_174!Q144&gt;=0.5,50,65))),65)</f>
        <v>65</v>
      </c>
      <c r="X145" s="18">
        <f>IFERROR(MIN(100,IF(MATRIZ_174!O144=0,70,30)+IF(MATRIZ_174!U144="",0,0.3*(100-MATRIZ_174!U144*100))),70)</f>
        <v>70</v>
      </c>
      <c r="Y145" s="18">
        <f>IF(OR(MATRIZ_174!P144="ASOCIACION",MATRIZ_174!P144="PENDIENTE"),65,40)</f>
        <v>65</v>
      </c>
      <c r="Z145" s="19" t="str">
        <f t="shared" si="49"/>
        <v>—</v>
      </c>
      <c r="AA145" s="20">
        <f t="shared" si="50"/>
        <v>50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t="str">
        <f t="shared" si="53"/>
        <v>N/A</v>
      </c>
      <c r="AL145" s="24" t="str">
        <f t="shared" si="54"/>
        <v>—</v>
      </c>
    </row>
    <row r="146" spans="1:38" ht="16.05" customHeight="1" x14ac:dyDescent="0.3">
      <c r="A146" s="13" t="s">
        <v>390</v>
      </c>
      <c r="B146" s="14" t="s">
        <v>391</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f>IFERROR((K146+M146+MATRIZ_174!O145)/3,0)</f>
        <v>0</v>
      </c>
      <c r="U146" s="18">
        <f>IFERROR(MIN(100,ROUND(MATRIZ_174!M145,1)),0)</f>
        <v>0</v>
      </c>
      <c r="V146" s="18">
        <f t="shared" si="48"/>
        <v>50</v>
      </c>
      <c r="W146" s="18">
        <f>IFERROR(IF(MATRIZ_174!R145=0,65,IF(MATRIZ_174!R145/MATRIZ_174!Q145&gt;=2,35,IF(MATRIZ_174!R145/MATRIZ_174!Q145&gt;=0.5,50,65))),65)</f>
        <v>65</v>
      </c>
      <c r="X146" s="18">
        <f>IFERROR(MIN(100,IF(MATRIZ_174!O145=0,70,30)+IF(MATRIZ_174!U145="",0,0.3*(100-MATRIZ_174!U145*100))),70)</f>
        <v>70</v>
      </c>
      <c r="Y146" s="18">
        <f>IF(OR(MATRIZ_174!P145="ASOCIACION",MATRIZ_174!P145="PENDIENTE"),65,40)</f>
        <v>65</v>
      </c>
      <c r="Z146" s="19" t="str">
        <f t="shared" si="49"/>
        <v>—</v>
      </c>
      <c r="AA146" s="20">
        <f t="shared" si="50"/>
        <v>50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t="str">
        <f t="shared" si="53"/>
        <v>N/A</v>
      </c>
      <c r="AL146" s="24" t="str">
        <f t="shared" si="54"/>
        <v>—</v>
      </c>
    </row>
    <row r="147" spans="1:38" ht="16.05" customHeight="1" x14ac:dyDescent="0.3">
      <c r="A147" s="13" t="s">
        <v>392</v>
      </c>
      <c r="B147" s="14" t="s">
        <v>393</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IFERROR((K147+M147+MATRIZ_174!O146)/3,0)</f>
        <v>0</v>
      </c>
      <c r="U147" s="18">
        <f>IFERROR(MIN(100,ROUND(MATRIZ_174!M146,1)),0)</f>
        <v>100</v>
      </c>
      <c r="V147" s="18">
        <f t="shared" si="48"/>
        <v>50</v>
      </c>
      <c r="W147" s="18">
        <f>IFERROR(IF(MATRIZ_174!R146=0,65,IF(MATRIZ_174!R146/MATRIZ_174!Q146&gt;=2,35,IF(MATRIZ_174!R146/MATRIZ_174!Q146&gt;=0.5,50,65))),65)</f>
        <v>35</v>
      </c>
      <c r="X147" s="18">
        <f>IFERROR(MIN(100,IF(MATRIZ_174!O146=0,70,30)+IF(MATRIZ_174!U146="",0,0.3*(100-MATRIZ_174!U146*100))),70)</f>
        <v>70</v>
      </c>
      <c r="Y147" s="18">
        <f>IF(OR(MATRIZ_174!P146="ASOCIACION",MATRIZ_174!P146="PENDIENTE"),65,40)</f>
        <v>65</v>
      </c>
      <c r="Z147" s="19" t="str">
        <f t="shared" si="49"/>
        <v>—</v>
      </c>
      <c r="AA147" s="20">
        <f t="shared" si="50"/>
        <v>64</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f>IFERROR(MATRIZ_174!AP146,"N/A")</f>
        <v>0.46875</v>
      </c>
      <c r="AJ147" s="17">
        <f>IFERROR(MATRIZ_174!AO146,"N/A")</f>
        <v>0</v>
      </c>
      <c r="AK147" s="23" t="str">
        <f t="shared" si="53"/>
        <v>N/A</v>
      </c>
      <c r="AL147" s="24" t="str">
        <f t="shared" si="54"/>
        <v>—</v>
      </c>
    </row>
    <row r="148" spans="1:38" ht="16.05" customHeight="1" x14ac:dyDescent="0.3">
      <c r="A148" s="13" t="s">
        <v>395</v>
      </c>
      <c r="B148" s="14" t="s">
        <v>396</v>
      </c>
      <c r="C148" s="13" t="s">
        <v>248</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f>IFERROR((K148+M148+MATRIZ_174!O147)/3,0)</f>
        <v>0</v>
      </c>
      <c r="U148" s="18">
        <f>IFERROR(MIN(100,ROUND(MATRIZ_174!M147,1)),0)</f>
        <v>50</v>
      </c>
      <c r="V148" s="18">
        <f t="shared" si="48"/>
        <v>50</v>
      </c>
      <c r="W148" s="18">
        <f>IFERROR(IF(MATRIZ_174!R147=0,65,IF(MATRIZ_174!R147/MATRIZ_174!Q147&gt;=2,35,IF(MATRIZ_174!R147/MATRIZ_174!Q147&gt;=0.5,50,65))),65)</f>
        <v>65</v>
      </c>
      <c r="X148" s="18">
        <f>IFERROR(MIN(100,IF(MATRIZ_174!O147=0,70,30)+IF(MATRIZ_174!U147="",0,0.3*(100-MATRIZ_174!U147*100))),70)</f>
        <v>70</v>
      </c>
      <c r="Y148" s="18">
        <f>IF(OR(MATRIZ_174!P147="ASOCIACION",MATRIZ_174!P147="PENDIENTE"),65,40)</f>
        <v>65</v>
      </c>
      <c r="Z148" s="19" t="str">
        <f t="shared" si="49"/>
        <v>—</v>
      </c>
      <c r="AA148" s="20">
        <f t="shared" si="50"/>
        <v>60</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f>IFERROR(MATRIZ_174!AP147,"N/A")</f>
        <v>0.20833333333333334</v>
      </c>
      <c r="AJ148" s="17">
        <f>IFERROR(MATRIZ_174!AO147,"N/A")</f>
        <v>0</v>
      </c>
      <c r="AK148" s="23" t="str">
        <f t="shared" si="53"/>
        <v>N/A</v>
      </c>
      <c r="AL148" s="24" t="str">
        <f t="shared" si="54"/>
        <v>—</v>
      </c>
    </row>
    <row r="149" spans="1:38" ht="16.05" customHeight="1" x14ac:dyDescent="0.3">
      <c r="A149" s="13" t="s">
        <v>397</v>
      </c>
      <c r="B149" s="14" t="s">
        <v>398</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f>IFERROR((K149+M149+MATRIZ_174!O148)/3,0)</f>
        <v>0</v>
      </c>
      <c r="U149" s="18">
        <f>IFERROR(MIN(100,ROUND(MATRIZ_174!M148,1)),0)</f>
        <v>0</v>
      </c>
      <c r="V149" s="18">
        <f t="shared" si="48"/>
        <v>50</v>
      </c>
      <c r="W149" s="18">
        <f>IFERROR(IF(MATRIZ_174!R148=0,65,IF(MATRIZ_174!R148/MATRIZ_174!Q148&gt;=2,35,IF(MATRIZ_174!R148/MATRIZ_174!Q148&gt;=0.5,50,65))),65)</f>
        <v>65</v>
      </c>
      <c r="X149" s="18">
        <f>IFERROR(MIN(100,IF(MATRIZ_174!O148=0,70,30)+IF(MATRIZ_174!U148="",0,0.3*(100-MATRIZ_174!U148*100))),70)</f>
        <v>70</v>
      </c>
      <c r="Y149" s="18">
        <f>IF(OR(MATRIZ_174!P148="ASOCIACION",MATRIZ_174!P148="PENDIENTE"),65,40)</f>
        <v>65</v>
      </c>
      <c r="Z149" s="19" t="str">
        <f t="shared" si="49"/>
        <v>—</v>
      </c>
      <c r="AA149" s="20">
        <f t="shared" si="50"/>
        <v>50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t="str">
        <f t="shared" si="53"/>
        <v>N/A</v>
      </c>
      <c r="AL149" s="24" t="str">
        <f t="shared" si="54"/>
        <v>—</v>
      </c>
    </row>
    <row r="150" spans="1:38" ht="16.05" customHeight="1" x14ac:dyDescent="0.3">
      <c r="A150" s="13" t="s">
        <v>399</v>
      </c>
      <c r="B150" s="14" t="s">
        <v>400</v>
      </c>
      <c r="C150" s="13" t="s">
        <v>154</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IFERROR((K150+M150+MATRIZ_174!O149)/3,0)</f>
        <v>0</v>
      </c>
      <c r="U150" s="18">
        <f>IFERROR(MIN(100,ROUND(MATRIZ_174!M149,1)),0)</f>
        <v>0</v>
      </c>
      <c r="V150" s="18">
        <f t="shared" si="48"/>
        <v>50</v>
      </c>
      <c r="W150" s="18">
        <f>IFERROR(IF(MATRIZ_174!R149=0,65,IF(MATRIZ_174!R149/MATRIZ_174!Q149&gt;=2,35,IF(MATRIZ_174!R149/MATRIZ_174!Q149&gt;=0.5,50,65))),65)</f>
        <v>35</v>
      </c>
      <c r="X150" s="18">
        <f>IFERROR(MIN(100,IF(MATRIZ_174!O149=0,70,30)+IF(MATRIZ_174!U149="",0,0.3*(100-MATRIZ_174!U149*100))),70)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f>IFERROR(MATRIZ_174!AP149,"N/A")</f>
        <v>0.21875</v>
      </c>
      <c r="AJ150" s="17">
        <f>IFERROR(MATRIZ_174!AO149,"N/A")</f>
        <v>0</v>
      </c>
      <c r="AK150" s="23" t="str">
        <f t="shared" si="53"/>
        <v>N/A</v>
      </c>
      <c r="AL150" s="24" t="str">
        <f t="shared" si="54"/>
        <v>—</v>
      </c>
    </row>
    <row r="151" spans="1:38" ht="16.05" customHeight="1" x14ac:dyDescent="0.3">
      <c r="A151" s="13" t="s">
        <v>401</v>
      </c>
      <c r="B151" s="14" t="s">
        <v>402</v>
      </c>
      <c r="C151" s="13" t="s">
        <v>107</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f>IFERROR((K151+M151+MATRIZ_174!O150)/3,0)</f>
        <v>0</v>
      </c>
      <c r="U151" s="18">
        <f>IFERROR(MIN(100,ROUND(MATRIZ_174!M150,1)),0)</f>
        <v>0</v>
      </c>
      <c r="V151" s="18">
        <f t="shared" si="48"/>
        <v>50</v>
      </c>
      <c r="W151" s="18">
        <f>IFERROR(IF(MATRIZ_174!R150=0,65,IF(MATRIZ_174!R150/MATRIZ_174!Q150&gt;=2,35,IF(MATRIZ_174!R150/MATRIZ_174!Q150&gt;=0.5,50,65))),65)</f>
        <v>65</v>
      </c>
      <c r="X151" s="18">
        <f>IFERROR(MIN(100,IF(MATRIZ_174!O150=0,70,30)+IF(MATRIZ_174!U150="",0,0.3*(100-MATRIZ_174!U150*100))),70)</f>
        <v>70</v>
      </c>
      <c r="Y151" s="18">
        <f>IF(OR(MATRIZ_174!P150="ASOCIACION",MATRIZ_174!P150="PENDIENTE"),65,40)</f>
        <v>65</v>
      </c>
      <c r="Z151" s="19" t="str">
        <f t="shared" si="49"/>
        <v>—</v>
      </c>
      <c r="AA151" s="20">
        <f t="shared" si="50"/>
        <v>50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t="str">
        <f t="shared" si="53"/>
        <v>N/A</v>
      </c>
      <c r="AL151" s="24" t="str">
        <f t="shared" si="54"/>
        <v>—</v>
      </c>
    </row>
    <row r="152" spans="1:38" ht="16.05" customHeight="1" x14ac:dyDescent="0.3">
      <c r="A152" s="13" t="s">
        <v>403</v>
      </c>
      <c r="B152" s="14" t="s">
        <v>404</v>
      </c>
      <c r="C152" s="13" t="s">
        <v>183</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f>IFERROR((K152+M152+MATRIZ_174!O151)/3,0)</f>
        <v>0</v>
      </c>
      <c r="U152" s="18">
        <f>IFERROR(MIN(100,ROUND(MATRIZ_174!M151,1)),0)</f>
        <v>0</v>
      </c>
      <c r="V152" s="18">
        <f t="shared" si="48"/>
        <v>50</v>
      </c>
      <c r="W152" s="18">
        <f>IFERROR(IF(MATRIZ_174!R151=0,65,IF(MATRIZ_174!R151/MATRIZ_174!Q151&gt;=2,35,IF(MATRIZ_174!R151/MATRIZ_174!Q151&gt;=0.5,50,65))),65)</f>
        <v>65</v>
      </c>
      <c r="X152" s="18">
        <f>IFERROR(MIN(100,IF(MATRIZ_174!O151=0,70,30)+IF(MATRIZ_174!U151="",0,0.3*(100-MATRIZ_174!U151*100))),70)</f>
        <v>70</v>
      </c>
      <c r="Y152" s="18">
        <f>IF(OR(MATRIZ_174!P151="ASOCIACION",MATRIZ_174!P151="PENDIENTE"),65,40)</f>
        <v>65</v>
      </c>
      <c r="Z152" s="19" t="str">
        <f t="shared" si="49"/>
        <v>—</v>
      </c>
      <c r="AA152" s="20">
        <f t="shared" si="50"/>
        <v>50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t="str">
        <f t="shared" si="53"/>
        <v>N/A</v>
      </c>
      <c r="AL152" s="24" t="str">
        <f t="shared" si="54"/>
        <v>—</v>
      </c>
    </row>
    <row r="153" spans="1:38" ht="16.05" customHeight="1" x14ac:dyDescent="0.3">
      <c r="A153" s="13" t="s">
        <v>405</v>
      </c>
      <c r="B153" s="14" t="s">
        <v>406</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f>IFERROR((K153+M153+MATRIZ_174!O152)/3,0)</f>
        <v>0</v>
      </c>
      <c r="U153" s="18">
        <f>IFERROR(MIN(100,ROUND(MATRIZ_174!M152,1)),0)</f>
        <v>0</v>
      </c>
      <c r="V153" s="18">
        <f t="shared" si="48"/>
        <v>50</v>
      </c>
      <c r="W153" s="18">
        <f>IFERROR(IF(MATRIZ_174!R152=0,65,IF(MATRIZ_174!R152/MATRIZ_174!Q152&gt;=2,35,IF(MATRIZ_174!R152/MATRIZ_174!Q152&gt;=0.5,50,65))),65)</f>
        <v>65</v>
      </c>
      <c r="X153" s="18">
        <f>IFERROR(MIN(100,IF(MATRIZ_174!O152=0,70,30)+IF(MATRIZ_174!U152="",0,0.3*(100-MATRIZ_174!U152*100))),70)</f>
        <v>70</v>
      </c>
      <c r="Y153" s="18">
        <f>IF(OR(MATRIZ_174!P152="ASOCIACION",MATRIZ_174!P152="PENDIENTE"),65,40)</f>
        <v>65</v>
      </c>
      <c r="Z153" s="19" t="str">
        <f t="shared" si="49"/>
        <v>—</v>
      </c>
      <c r="AA153" s="20">
        <f t="shared" si="50"/>
        <v>50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t="str">
        <f t="shared" si="53"/>
        <v>N/A</v>
      </c>
      <c r="AL153" s="24" t="str">
        <f t="shared" si="54"/>
        <v>—</v>
      </c>
    </row>
    <row r="154" spans="1:38" ht="16.05" customHeight="1" x14ac:dyDescent="0.3">
      <c r="A154" s="13" t="s">
        <v>407</v>
      </c>
      <c r="B154" s="14" t="s">
        <v>408</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f>IFERROR((K154+M154+MATRIZ_174!O153)/3,0)</f>
        <v>0</v>
      </c>
      <c r="U154" s="18">
        <f>IFERROR(MIN(100,ROUND(MATRIZ_174!M153,1)),0)</f>
        <v>0</v>
      </c>
      <c r="V154" s="18">
        <f t="shared" si="48"/>
        <v>50</v>
      </c>
      <c r="W154" s="18">
        <f>IFERROR(IF(MATRIZ_174!R153=0,65,IF(MATRIZ_174!R153/MATRIZ_174!Q153&gt;=2,35,IF(MATRIZ_174!R153/MATRIZ_174!Q153&gt;=0.5,50,65))),65)</f>
        <v>65</v>
      </c>
      <c r="X154" s="18">
        <f>IFERROR(MIN(100,IF(MATRIZ_174!O153=0,70,30)+IF(MATRIZ_174!U153="",0,0.3*(100-MATRIZ_174!U153*100))),70)</f>
        <v>70</v>
      </c>
      <c r="Y154" s="18">
        <f>IF(OR(MATRIZ_174!P153="ASOCIACION",MATRIZ_174!P153="PENDIENTE"),65,40)</f>
        <v>65</v>
      </c>
      <c r="Z154" s="19" t="str">
        <f t="shared" si="49"/>
        <v>—</v>
      </c>
      <c r="AA154" s="20">
        <f t="shared" si="50"/>
        <v>50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t="str">
        <f t="shared" si="53"/>
        <v>N/A</v>
      </c>
      <c r="AL154" s="24" t="str">
        <f t="shared" si="54"/>
        <v>—</v>
      </c>
    </row>
    <row r="155" spans="1:38" ht="16.05" customHeight="1" x14ac:dyDescent="0.3">
      <c r="A155" s="13" t="s">
        <v>409</v>
      </c>
      <c r="B155" s="14" t="s">
        <v>410</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IFERROR((K155+M155+MATRIZ_174!O154)/3,0)</f>
        <v>0</v>
      </c>
      <c r="U155" s="18">
        <f>IFERROR(MIN(100,ROUND(MATRIZ_174!M154,1)),0)</f>
        <v>0</v>
      </c>
      <c r="V155" s="18">
        <f t="shared" si="48"/>
        <v>50</v>
      </c>
      <c r="W155" s="18">
        <f>IFERROR(IF(MATRIZ_174!R154=0,65,IF(MATRIZ_174!R154/MATRIZ_174!Q154&gt;=2,35,IF(MATRIZ_174!R154/MATRIZ_174!Q154&gt;=0.5,50,65))),65)</f>
        <v>35</v>
      </c>
      <c r="X155" s="18">
        <f>IFERROR(MIN(100,IF(MATRIZ_174!O154=0,70,30)+IF(MATRIZ_174!U154="",0,0.3*(100-MATRIZ_174!U154*100))),70)</f>
        <v>70</v>
      </c>
      <c r="Y155" s="18">
        <f>IF(OR(MATRIZ_174!P154="ASOCIACION",MATRIZ_174!P154="PENDIENTE"),65,40)</f>
        <v>65</v>
      </c>
      <c r="Z155" s="19" t="str">
        <f t="shared" si="49"/>
        <v>—</v>
      </c>
      <c r="AA155" s="20">
        <f t="shared" si="50"/>
        <v>44</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f>IFERROR(MATRIZ_174!AP154,"N/A")</f>
        <v>5.2083333333333336E-2</v>
      </c>
      <c r="AJ155" s="17">
        <f>IFERROR(MATRIZ_174!AO154,"N/A")</f>
        <v>0</v>
      </c>
      <c r="AK155" s="23" t="str">
        <f t="shared" si="53"/>
        <v>N/A</v>
      </c>
      <c r="AL155" s="24" t="str">
        <f t="shared" si="54"/>
        <v>—</v>
      </c>
    </row>
    <row r="156" spans="1:38" ht="16.05" customHeight="1" x14ac:dyDescent="0.3">
      <c r="A156" s="13" t="s">
        <v>411</v>
      </c>
      <c r="B156" s="14" t="s">
        <v>412</v>
      </c>
      <c r="C156" s="13" t="s">
        <v>113</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f>IFERROR((K156+M156+MATRIZ_174!O155)/3,0)</f>
        <v>0</v>
      </c>
      <c r="U156" s="18">
        <f>IFERROR(MIN(100,ROUND(MATRIZ_174!M155,1)),0)</f>
        <v>0</v>
      </c>
      <c r="V156" s="18">
        <f t="shared" si="48"/>
        <v>50</v>
      </c>
      <c r="W156" s="18">
        <f>IFERROR(IF(MATRIZ_174!R155=0,65,IF(MATRIZ_174!R155/MATRIZ_174!Q155&gt;=2,35,IF(MATRIZ_174!R155/MATRIZ_174!Q155&gt;=0.5,50,65))),65)</f>
        <v>65</v>
      </c>
      <c r="X156" s="18">
        <f>IFERROR(MIN(100,IF(MATRIZ_174!O155=0,70,30)+IF(MATRIZ_174!U155="",0,0.3*(100-MATRIZ_174!U155*100))),70)</f>
        <v>70</v>
      </c>
      <c r="Y156" s="18">
        <f>IF(OR(MATRIZ_174!P155="ASOCIACION",MATRIZ_174!P155="PENDIENTE"),65,40)</f>
        <v>65</v>
      </c>
      <c r="Z156" s="19" t="str">
        <f t="shared" si="49"/>
        <v>—</v>
      </c>
      <c r="AA156" s="20">
        <f t="shared" si="50"/>
        <v>50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t="str">
        <f t="shared" si="53"/>
        <v>N/A</v>
      </c>
      <c r="AL156" s="24" t="str">
        <f t="shared" si="54"/>
        <v>—</v>
      </c>
    </row>
    <row r="157" spans="1:38" ht="16.05" customHeight="1" x14ac:dyDescent="0.3">
      <c r="A157" s="13" t="s">
        <v>413</v>
      </c>
      <c r="B157" s="14" t="s">
        <v>414</v>
      </c>
      <c r="C157" s="13" t="s">
        <v>183</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f>IFERROR((K157+M157+MATRIZ_174!O156)/3,0)</f>
        <v>0</v>
      </c>
      <c r="U157" s="18">
        <f>IFERROR(MIN(100,ROUND(MATRIZ_174!M156,1)),0)</f>
        <v>0</v>
      </c>
      <c r="V157" s="18">
        <f t="shared" si="48"/>
        <v>50</v>
      </c>
      <c r="W157" s="18">
        <f>IFERROR(IF(MATRIZ_174!R156=0,65,IF(MATRIZ_174!R156/MATRIZ_174!Q156&gt;=2,35,IF(MATRIZ_174!R156/MATRIZ_174!Q156&gt;=0.5,50,65))),65)</f>
        <v>65</v>
      </c>
      <c r="X157" s="18">
        <f>IFERROR(MIN(100,IF(MATRIZ_174!O156=0,70,30)+IF(MATRIZ_174!U156="",0,0.3*(100-MATRIZ_174!U156*100))),70)</f>
        <v>70</v>
      </c>
      <c r="Y157" s="18">
        <f>IF(OR(MATRIZ_174!P156="ASOCIACION",MATRIZ_174!P156="PENDIENTE"),65,40)</f>
        <v>65</v>
      </c>
      <c r="Z157" s="19" t="str">
        <f t="shared" si="49"/>
        <v>—</v>
      </c>
      <c r="AA157" s="20">
        <f t="shared" si="50"/>
        <v>50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t="str">
        <f t="shared" si="53"/>
        <v>N/A</v>
      </c>
      <c r="AL157" s="24" t="str">
        <f t="shared" si="54"/>
        <v>—</v>
      </c>
    </row>
    <row r="158" spans="1:38" ht="16.05" customHeight="1" x14ac:dyDescent="0.3">
      <c r="A158" s="13" t="s">
        <v>415</v>
      </c>
      <c r="B158" s="14" t="s">
        <v>416</v>
      </c>
      <c r="C158" s="13" t="s">
        <v>143</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IFERROR((K158+M158+MATRIZ_174!O157)/3,0)</f>
        <v>0</v>
      </c>
      <c r="U158" s="18">
        <f>IFERROR(MIN(100,ROUND(MATRIZ_174!M157,1)),0)</f>
        <v>8.1</v>
      </c>
      <c r="V158" s="18">
        <f t="shared" si="48"/>
        <v>50</v>
      </c>
      <c r="W158" s="18">
        <f>IFERROR(IF(MATRIZ_174!R157=0,65,IF(MATRIZ_174!R157/MATRIZ_174!Q157&gt;=2,35,IF(MATRIZ_174!R157/MATRIZ_174!Q157&gt;=0.5,50,65))),65)</f>
        <v>35</v>
      </c>
      <c r="X158" s="18">
        <f>IFERROR(MIN(100,IF(MATRIZ_174!O157=0,70,30)+IF(MATRIZ_174!U157="",0,0.3*(100-MATRIZ_174!U157*100))),70)</f>
        <v>70</v>
      </c>
      <c r="Y158" s="18">
        <f>IF(OR(MATRIZ_174!P157="ASOCIACION",MATRIZ_174!P157="PENDIENTE"),65,40)</f>
        <v>65</v>
      </c>
      <c r="Z158" s="19" t="str">
        <f t="shared" si="49"/>
        <v>—</v>
      </c>
      <c r="AA158" s="20">
        <f t="shared" si="50"/>
        <v>45.6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f>IFERROR(MATRIZ_174!AP157,"N/A")</f>
        <v>8.5833333333333331E-2</v>
      </c>
      <c r="AJ158" s="17">
        <f>IFERROR(MATRIZ_174!AO157,"N/A")</f>
        <v>0</v>
      </c>
      <c r="AK158" s="23" t="str">
        <f t="shared" si="53"/>
        <v>N/A</v>
      </c>
      <c r="AL158" s="24" t="str">
        <f t="shared" si="54"/>
        <v>—</v>
      </c>
    </row>
    <row r="159" spans="1:38" ht="16.05" customHeight="1" x14ac:dyDescent="0.3">
      <c r="A159" s="13" t="s">
        <v>418</v>
      </c>
      <c r="B159" s="14" t="s">
        <v>419</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f>IFERROR((K159+M159+MATRIZ_174!O158)/3,0)</f>
        <v>0</v>
      </c>
      <c r="U159" s="18">
        <f>IFERROR(MIN(100,ROUND(MATRIZ_174!M158,1)),0)</f>
        <v>0</v>
      </c>
      <c r="V159" s="18">
        <f t="shared" si="48"/>
        <v>50</v>
      </c>
      <c r="W159" s="18">
        <f>IFERROR(IF(MATRIZ_174!R158=0,65,IF(MATRIZ_174!R158/MATRIZ_174!Q158&gt;=2,35,IF(MATRIZ_174!R158/MATRIZ_174!Q158&gt;=0.5,50,65))),65)</f>
        <v>65</v>
      </c>
      <c r="X159" s="18">
        <f>IFERROR(MIN(100,IF(MATRIZ_174!O158=0,70,30)+IF(MATRIZ_174!U158="",0,0.3*(100-MATRIZ_174!U158*100))),70)</f>
        <v>70</v>
      </c>
      <c r="Y159" s="18">
        <f>IF(OR(MATRIZ_174!P158="ASOCIACION",MATRIZ_174!P158="PENDIENTE"),65,40)</f>
        <v>65</v>
      </c>
      <c r="Z159" s="19" t="str">
        <f t="shared" si="49"/>
        <v>—</v>
      </c>
      <c r="AA159" s="20">
        <f t="shared" si="50"/>
        <v>50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t="str">
        <f t="shared" si="53"/>
        <v>N/A</v>
      </c>
      <c r="AL159" s="24" t="str">
        <f t="shared" si="54"/>
        <v>—</v>
      </c>
    </row>
    <row r="160" spans="1:38" ht="16.05" customHeight="1" x14ac:dyDescent="0.3">
      <c r="A160" s="13" t="s">
        <v>420</v>
      </c>
      <c r="B160" s="14" t="s">
        <v>421</v>
      </c>
      <c r="C160" s="13" t="s">
        <v>143</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f>IFERROR((K160+M160+MATRIZ_174!O159)/3,0)</f>
        <v>0</v>
      </c>
      <c r="U160" s="18">
        <f>IFERROR(MIN(100,ROUND(MATRIZ_174!M159,1)),0)</f>
        <v>0</v>
      </c>
      <c r="V160" s="18">
        <f t="shared" si="48"/>
        <v>50</v>
      </c>
      <c r="W160" s="18">
        <f>IFERROR(IF(MATRIZ_174!R159=0,65,IF(MATRIZ_174!R159/MATRIZ_174!Q159&gt;=2,35,IF(MATRIZ_174!R159/MATRIZ_174!Q159&gt;=0.5,50,65))),65)</f>
        <v>65</v>
      </c>
      <c r="X160" s="18">
        <f>IFERROR(MIN(100,IF(MATRIZ_174!O159=0,70,30)+IF(MATRIZ_174!U159="",0,0.3*(100-MATRIZ_174!U159*100))),70)</f>
        <v>70</v>
      </c>
      <c r="Y160" s="18">
        <f>IF(OR(MATRIZ_174!P159="ASOCIACION",MATRIZ_174!P159="PENDIENTE"),65,40)</f>
        <v>65</v>
      </c>
      <c r="Z160" s="19" t="str">
        <f t="shared" si="49"/>
        <v>—</v>
      </c>
      <c r="AA160" s="20">
        <f t="shared" si="50"/>
        <v>50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t="str">
        <f t="shared" si="53"/>
        <v>N/A</v>
      </c>
      <c r="AL160" s="24" t="str">
        <f t="shared" si="54"/>
        <v>—</v>
      </c>
    </row>
    <row r="161" spans="1:38" ht="16.05" customHeight="1" x14ac:dyDescent="0.3">
      <c r="A161" s="13" t="s">
        <v>422</v>
      </c>
      <c r="B161" s="14" t="s">
        <v>423</v>
      </c>
      <c r="C161" s="13" t="s">
        <v>107</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f>IFERROR((K161+M161+MATRIZ_174!O160)/3,0)</f>
        <v>0</v>
      </c>
      <c r="U161" s="18">
        <f>IFERROR(MIN(100,ROUND(MATRIZ_174!M160,1)),0)</f>
        <v>0</v>
      </c>
      <c r="V161" s="18">
        <f t="shared" si="48"/>
        <v>50</v>
      </c>
      <c r="W161" s="18">
        <f>IFERROR(IF(MATRIZ_174!R160=0,65,IF(MATRIZ_174!R160/MATRIZ_174!Q160&gt;=2,35,IF(MATRIZ_174!R160/MATRIZ_174!Q160&gt;=0.5,50,65))),65)</f>
        <v>65</v>
      </c>
      <c r="X161" s="18">
        <f>IFERROR(MIN(100,IF(MATRIZ_174!O160=0,70,30)+IF(MATRIZ_174!U160="",0,0.3*(100-MATRIZ_174!U160*100))),70)</f>
        <v>70</v>
      </c>
      <c r="Y161" s="18">
        <f>IF(OR(MATRIZ_174!P160="ASOCIACION",MATRIZ_174!P160="PENDIENTE"),65,40)</f>
        <v>65</v>
      </c>
      <c r="Z161" s="19" t="str">
        <f t="shared" si="49"/>
        <v>—</v>
      </c>
      <c r="AA161" s="20">
        <f t="shared" si="50"/>
        <v>50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t="str">
        <f t="shared" si="53"/>
        <v>N/A</v>
      </c>
      <c r="AL161" s="24" t="str">
        <f t="shared" si="54"/>
        <v>—</v>
      </c>
    </row>
    <row r="162" spans="1:38" ht="16.05" customHeight="1" x14ac:dyDescent="0.3">
      <c r="A162" s="13" t="s">
        <v>425</v>
      </c>
      <c r="B162" s="14" t="s">
        <v>426</v>
      </c>
      <c r="C162" s="13" t="s">
        <v>183</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f>IFERROR((K162+M162+MATRIZ_174!O161)/3,0)</f>
        <v>0</v>
      </c>
      <c r="U162" s="18">
        <f>IFERROR(MIN(100,ROUND(MATRIZ_174!M161,1)),0)</f>
        <v>0</v>
      </c>
      <c r="V162" s="18">
        <f t="shared" si="48"/>
        <v>50</v>
      </c>
      <c r="W162" s="18">
        <f>IFERROR(IF(MATRIZ_174!R161=0,65,IF(MATRIZ_174!R161/MATRIZ_174!Q161&gt;=2,35,IF(MATRIZ_174!R161/MATRIZ_174!Q161&gt;=0.5,50,65))),65)</f>
        <v>65</v>
      </c>
      <c r="X162" s="18">
        <f>IFERROR(MIN(100,IF(MATRIZ_174!O161=0,70,30)+IF(MATRIZ_174!U161="",0,0.3*(100-MATRIZ_174!U161*100))),70)</f>
        <v>70</v>
      </c>
      <c r="Y162" s="18">
        <f>IF(OR(MATRIZ_174!P161="ASOCIACION",MATRIZ_174!P161="PENDIENTE"),65,40)</f>
        <v>65</v>
      </c>
      <c r="Z162" s="19" t="str">
        <f t="shared" si="49"/>
        <v>—</v>
      </c>
      <c r="AA162" s="20">
        <f t="shared" si="50"/>
        <v>50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t="str">
        <f t="shared" si="53"/>
        <v>N/A</v>
      </c>
      <c r="AL162" s="24" t="str">
        <f t="shared" si="54"/>
        <v>—</v>
      </c>
    </row>
    <row r="163" spans="1:38" ht="16.05" customHeight="1" x14ac:dyDescent="0.3">
      <c r="A163" s="13" t="s">
        <v>427</v>
      </c>
      <c r="B163" s="14" t="s">
        <v>428</v>
      </c>
      <c r="C163" s="13" t="s">
        <v>107</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f>IFERROR((K163+M163+MATRIZ_174!O162)/3,0)</f>
        <v>0</v>
      </c>
      <c r="U163" s="18">
        <f>IFERROR(MIN(100,ROUND(MATRIZ_174!M162,1)),0)</f>
        <v>0</v>
      </c>
      <c r="V163" s="18">
        <f t="shared" si="48"/>
        <v>50</v>
      </c>
      <c r="W163" s="18">
        <f>IFERROR(IF(MATRIZ_174!R162=0,65,IF(MATRIZ_174!R162/MATRIZ_174!Q162&gt;=2,35,IF(MATRIZ_174!R162/MATRIZ_174!Q162&gt;=0.5,50,65))),65)</f>
        <v>65</v>
      </c>
      <c r="X163" s="18">
        <f>IFERROR(MIN(100,IF(MATRIZ_174!O162=0,70,30)+IF(MATRIZ_174!U162="",0,0.3*(100-MATRIZ_174!U162*100))),70)</f>
        <v>70</v>
      </c>
      <c r="Y163" s="18">
        <f>IF(OR(MATRIZ_174!P162="ASOCIACION",MATRIZ_174!P162="PENDIENTE"),65,40)</f>
        <v>65</v>
      </c>
      <c r="Z163" s="19" t="str">
        <f t="shared" si="49"/>
        <v>—</v>
      </c>
      <c r="AA163" s="20">
        <f t="shared" si="50"/>
        <v>50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t="str">
        <f t="shared" si="53"/>
        <v>N/A</v>
      </c>
      <c r="AL163" s="24" t="str">
        <f t="shared" si="54"/>
        <v>—</v>
      </c>
    </row>
    <row r="164" spans="1:38" ht="16.05" customHeight="1" x14ac:dyDescent="0.3">
      <c r="A164" s="13" t="s">
        <v>429</v>
      </c>
      <c r="B164" s="14" t="s">
        <v>430</v>
      </c>
      <c r="C164" s="13" t="s">
        <v>154</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f>IFERROR((K164+M164+MATRIZ_174!O163)/3,0)</f>
        <v>0</v>
      </c>
      <c r="U164" s="18">
        <f>IFERROR(MIN(100,ROUND(MATRIZ_174!M163,1)),0)</f>
        <v>50</v>
      </c>
      <c r="V164" s="18">
        <f t="shared" ref="V164:V177" si="59">IF(OR(NOT(ISNUMBER(F164)),F164=0),50,F164)</f>
        <v>50</v>
      </c>
      <c r="W164" s="18">
        <f>IFERROR(IF(MATRIZ_174!R163=0,65,IF(MATRIZ_174!R163/MATRIZ_174!Q163&gt;=2,35,IF(MATRIZ_174!R163/MATRIZ_174!Q163&gt;=0.5,50,65))),65)</f>
        <v>65</v>
      </c>
      <c r="X164" s="18">
        <f>IFERROR(MIN(100,IF(MATRIZ_174!O163=0,70,30)+IF(MATRIZ_174!U163="",0,0.3*(100-MATRIZ_174!U163*100))),70)</f>
        <v>70</v>
      </c>
      <c r="Y164" s="18">
        <f>IF(OR(MATRIZ_174!P163="ASOCIACION",MATRIZ_174!P163="PENDIENTE"),65,40)</f>
        <v>65</v>
      </c>
      <c r="Z164" s="19" t="str">
        <f t="shared" ref="Z164:Z177" si="60">IF(COUNT(F164:M164)&lt;8,"—",IFERROR(ROUND(AVERAGE(P164:T164),1),"—"))</f>
        <v>—</v>
      </c>
      <c r="AA164" s="20">
        <f t="shared" ref="AA164:AA177" si="61">IFERROR(ROUND(AVERAGE(U164,V164,W164,X164,Y164),1),0)</f>
        <v>60</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f>IFERROR(MATRIZ_174!AP163,"N/A")</f>
        <v>0.26041666666666669</v>
      </c>
      <c r="AJ164" s="17">
        <f>IFERROR(MATRIZ_174!AO163,"N/A")</f>
        <v>0</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431</v>
      </c>
      <c r="B165" s="14" t="s">
        <v>432</v>
      </c>
      <c r="C165" s="13" t="s">
        <v>116</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f>IFERROR((K165+M165+MATRIZ_174!O164)/3,0)</f>
        <v>0</v>
      </c>
      <c r="U165" s="18">
        <f>IFERROR(MIN(100,ROUND(MATRIZ_174!M164,1)),0)</f>
        <v>0</v>
      </c>
      <c r="V165" s="18">
        <f t="shared" si="59"/>
        <v>50</v>
      </c>
      <c r="W165" s="18">
        <f>IFERROR(IF(MATRIZ_174!R164=0,65,IF(MATRIZ_174!R164/MATRIZ_174!Q164&gt;=2,35,IF(MATRIZ_174!R164/MATRIZ_174!Q164&gt;=0.5,50,65))),65)</f>
        <v>65</v>
      </c>
      <c r="X165" s="18">
        <f>IFERROR(MIN(100,IF(MATRIZ_174!O164=0,70,30)+IF(MATRIZ_174!U164="",0,0.3*(100-MATRIZ_174!U164*100))),70)</f>
        <v>70</v>
      </c>
      <c r="Y165" s="18">
        <f>IF(OR(MATRIZ_174!P164="ASOCIACION",MATRIZ_174!P164="PENDIENTE"),65,40)</f>
        <v>65</v>
      </c>
      <c r="Z165" s="19" t="str">
        <f t="shared" si="60"/>
        <v>—</v>
      </c>
      <c r="AA165" s="20">
        <f t="shared" si="61"/>
        <v>50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t="str">
        <f t="shared" si="64"/>
        <v>N/A</v>
      </c>
      <c r="AL165" s="24" t="str">
        <f t="shared" si="65"/>
        <v>—</v>
      </c>
    </row>
    <row r="166" spans="1:38" ht="16.05" customHeight="1" x14ac:dyDescent="0.3">
      <c r="A166" s="13" t="s">
        <v>433</v>
      </c>
      <c r="B166" s="14" t="s">
        <v>434</v>
      </c>
      <c r="C166" s="13" t="s">
        <v>183</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f>IFERROR((K166+M166+MATRIZ_174!O165)/3,0)</f>
        <v>0</v>
      </c>
      <c r="U166" s="18">
        <f>IFERROR(MIN(100,ROUND(MATRIZ_174!M165,1)),0)</f>
        <v>0</v>
      </c>
      <c r="V166" s="18">
        <f t="shared" si="59"/>
        <v>50</v>
      </c>
      <c r="W166" s="18">
        <f>IFERROR(IF(MATRIZ_174!R165=0,65,IF(MATRIZ_174!R165/MATRIZ_174!Q165&gt;=2,35,IF(MATRIZ_174!R165/MATRIZ_174!Q165&gt;=0.5,50,65))),65)</f>
        <v>65</v>
      </c>
      <c r="X166" s="18">
        <f>IFERROR(MIN(100,IF(MATRIZ_174!O165=0,70,30)+IF(MATRIZ_174!U165="",0,0.3*(100-MATRIZ_174!U165*100))),70)</f>
        <v>70</v>
      </c>
      <c r="Y166" s="18">
        <f>IF(OR(MATRIZ_174!P165="ASOCIACION",MATRIZ_174!P165="PENDIENTE"),65,40)</f>
        <v>65</v>
      </c>
      <c r="Z166" s="19" t="str">
        <f t="shared" si="60"/>
        <v>—</v>
      </c>
      <c r="AA166" s="20">
        <f t="shared" si="61"/>
        <v>50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t="str">
        <f t="shared" si="64"/>
        <v>N/A</v>
      </c>
      <c r="AL166" s="24" t="str">
        <f t="shared" si="65"/>
        <v>—</v>
      </c>
    </row>
    <row r="167" spans="1:38" ht="16.05" customHeight="1" x14ac:dyDescent="0.3">
      <c r="A167" s="13" t="s">
        <v>435</v>
      </c>
      <c r="B167" s="14" t="s">
        <v>436</v>
      </c>
      <c r="C167" s="13" t="s">
        <v>248</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f>IFERROR((K167+M167+MATRIZ_174!O166)/3,0)</f>
        <v>0</v>
      </c>
      <c r="U167" s="18">
        <f>IFERROR(MIN(100,ROUND(MATRIZ_174!M166,1)),0)</f>
        <v>0</v>
      </c>
      <c r="V167" s="18">
        <f t="shared" si="59"/>
        <v>50</v>
      </c>
      <c r="W167" s="18">
        <f>IFERROR(IF(MATRIZ_174!R166=0,65,IF(MATRIZ_174!R166/MATRIZ_174!Q166&gt;=2,35,IF(MATRIZ_174!R166/MATRIZ_174!Q166&gt;=0.5,50,65))),65)</f>
        <v>65</v>
      </c>
      <c r="X167" s="18">
        <f>IFERROR(MIN(100,IF(MATRIZ_174!O166=0,70,30)+IF(MATRIZ_174!U166="",0,0.3*(100-MATRIZ_174!U166*100))),70)</f>
        <v>70</v>
      </c>
      <c r="Y167" s="18">
        <f>IF(OR(MATRIZ_174!P166="ASOCIACION",MATRIZ_174!P166="PENDIENTE"),65,40)</f>
        <v>65</v>
      </c>
      <c r="Z167" s="19" t="str">
        <f t="shared" si="60"/>
        <v>—</v>
      </c>
      <c r="AA167" s="20">
        <f t="shared" si="61"/>
        <v>50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t="str">
        <f t="shared" si="64"/>
        <v>N/A</v>
      </c>
      <c r="AL167" s="24" t="str">
        <f t="shared" si="65"/>
        <v>—</v>
      </c>
    </row>
    <row r="168" spans="1:38" ht="16.05" customHeight="1" x14ac:dyDescent="0.3">
      <c r="A168" s="13" t="s">
        <v>437</v>
      </c>
      <c r="B168" s="14" t="s">
        <v>438</v>
      </c>
      <c r="C168" s="13" t="s">
        <v>143</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f>IFERROR((K168+M168+MATRIZ_174!O167)/3,0)</f>
        <v>0</v>
      </c>
      <c r="U168" s="18">
        <f>IFERROR(MIN(100,ROUND(MATRIZ_174!M167,1)),0)</f>
        <v>0</v>
      </c>
      <c r="V168" s="18">
        <f t="shared" si="59"/>
        <v>50</v>
      </c>
      <c r="W168" s="18">
        <f>IFERROR(IF(MATRIZ_174!R167=0,65,IF(MATRIZ_174!R167/MATRIZ_174!Q167&gt;=2,35,IF(MATRIZ_174!R167/MATRIZ_174!Q167&gt;=0.5,50,65))),65)</f>
        <v>65</v>
      </c>
      <c r="X168" s="18">
        <f>IFERROR(MIN(100,IF(MATRIZ_174!O167=0,70,30)+IF(MATRIZ_174!U167="",0,0.3*(100-MATRIZ_174!U167*100))),70)</f>
        <v>70</v>
      </c>
      <c r="Y168" s="18">
        <f>IF(OR(MATRIZ_174!P167="ASOCIACION",MATRIZ_174!P167="PENDIENTE"),65,40)</f>
        <v>65</v>
      </c>
      <c r="Z168" s="19" t="str">
        <f t="shared" si="60"/>
        <v>—</v>
      </c>
      <c r="AA168" s="20">
        <f t="shared" si="61"/>
        <v>50</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t="str">
        <f t="shared" si="64"/>
        <v>N/A</v>
      </c>
      <c r="AL168" s="24" t="str">
        <f t="shared" si="65"/>
        <v>—</v>
      </c>
    </row>
    <row r="169" spans="1:38" ht="16.05" customHeight="1" x14ac:dyDescent="0.3">
      <c r="A169" s="13" t="s">
        <v>439</v>
      </c>
      <c r="B169" s="14" t="s">
        <v>440</v>
      </c>
      <c r="C169" s="13" t="s">
        <v>116</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f>IFERROR((K169+M169+MATRIZ_174!O168)/3,0)</f>
        <v>0</v>
      </c>
      <c r="U169" s="18">
        <f>IFERROR(MIN(100,ROUND(MATRIZ_174!M168,1)),0)</f>
        <v>0</v>
      </c>
      <c r="V169" s="18">
        <f t="shared" si="59"/>
        <v>50</v>
      </c>
      <c r="W169" s="18">
        <f>IFERROR(IF(MATRIZ_174!R168=0,65,IF(MATRIZ_174!R168/MATRIZ_174!Q168&gt;=2,35,IF(MATRIZ_174!R168/MATRIZ_174!Q168&gt;=0.5,50,65))),65)</f>
        <v>65</v>
      </c>
      <c r="X169" s="18">
        <f>IFERROR(MIN(100,IF(MATRIZ_174!O168=0,70,30)+IF(MATRIZ_174!U168="",0,0.3*(100-MATRIZ_174!U168*100))),70)</f>
        <v>70</v>
      </c>
      <c r="Y169" s="18">
        <f>IF(OR(MATRIZ_174!P168="ASOCIACION",MATRIZ_174!P168="PENDIENTE"),65,40)</f>
        <v>65</v>
      </c>
      <c r="Z169" s="19" t="str">
        <f t="shared" si="60"/>
        <v>—</v>
      </c>
      <c r="AA169" s="20">
        <f t="shared" si="61"/>
        <v>50</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t="str">
        <f t="shared" si="64"/>
        <v>N/A</v>
      </c>
      <c r="AL169" s="24" t="str">
        <f t="shared" si="65"/>
        <v>—</v>
      </c>
    </row>
    <row r="170" spans="1:38" ht="16.05" customHeight="1" x14ac:dyDescent="0.3">
      <c r="A170" s="13" t="s">
        <v>441</v>
      </c>
      <c r="B170" s="14" t="s">
        <v>442</v>
      </c>
      <c r="C170" s="13" t="s">
        <v>154</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f>IFERROR((K170+M170+MATRIZ_174!O169)/3,0)</f>
        <v>0</v>
      </c>
      <c r="U170" s="18">
        <f>IFERROR(MIN(100,ROUND(MATRIZ_174!M169,1)),0)</f>
        <v>0</v>
      </c>
      <c r="V170" s="18">
        <f t="shared" si="59"/>
        <v>50</v>
      </c>
      <c r="W170" s="18">
        <f>IFERROR(IF(MATRIZ_174!R169=0,65,IF(MATRIZ_174!R169/MATRIZ_174!Q169&gt;=2,35,IF(MATRIZ_174!R169/MATRIZ_174!Q169&gt;=0.5,50,65))),65)</f>
        <v>65</v>
      </c>
      <c r="X170" s="18">
        <f>IFERROR(MIN(100,IF(MATRIZ_174!O169=0,70,30)+IF(MATRIZ_174!U169="",0,0.3*(100-MATRIZ_174!U169*100))),70)</f>
        <v>70</v>
      </c>
      <c r="Y170" s="18">
        <f>IF(OR(MATRIZ_174!P169="ASOCIACION",MATRIZ_174!P169="PENDIENTE"),65,40)</f>
        <v>65</v>
      </c>
      <c r="Z170" s="19" t="str">
        <f t="shared" si="60"/>
        <v>—</v>
      </c>
      <c r="AA170" s="20">
        <f t="shared" si="61"/>
        <v>50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t="str">
        <f t="shared" si="64"/>
        <v>N/A</v>
      </c>
      <c r="AL170" s="24" t="str">
        <f t="shared" si="65"/>
        <v>—</v>
      </c>
    </row>
    <row r="171" spans="1:38" ht="16.05" customHeight="1" x14ac:dyDescent="0.3">
      <c r="A171" s="13" t="s">
        <v>443</v>
      </c>
      <c r="B171" s="14" t="s">
        <v>444</v>
      </c>
      <c r="C171" s="13" t="s">
        <v>113</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f>IFERROR((K171+M171+MATRIZ_174!O170)/3,0)</f>
        <v>0</v>
      </c>
      <c r="U171" s="18">
        <f>IFERROR(MIN(100,ROUND(MATRIZ_174!M170,1)),0)</f>
        <v>0</v>
      </c>
      <c r="V171" s="18">
        <f t="shared" si="59"/>
        <v>50</v>
      </c>
      <c r="W171" s="18">
        <f>IFERROR(IF(MATRIZ_174!R170=0,65,IF(MATRIZ_174!R170/MATRIZ_174!Q170&gt;=2,35,IF(MATRIZ_174!R170/MATRIZ_174!Q170&gt;=0.5,50,65))),65)</f>
        <v>65</v>
      </c>
      <c r="X171" s="18">
        <f>IFERROR(MIN(100,IF(MATRIZ_174!O170=0,70,30)+IF(MATRIZ_174!U170="",0,0.3*(100-MATRIZ_174!U170*100))),70)</f>
        <v>70</v>
      </c>
      <c r="Y171" s="18">
        <f>IF(OR(MATRIZ_174!P170="ASOCIACION",MATRIZ_174!P170="PENDIENTE"),65,40)</f>
        <v>65</v>
      </c>
      <c r="Z171" s="19" t="str">
        <f t="shared" si="60"/>
        <v>—</v>
      </c>
      <c r="AA171" s="20">
        <f t="shared" si="61"/>
        <v>50</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t="str">
        <f t="shared" si="64"/>
        <v>N/A</v>
      </c>
      <c r="AL171" s="24" t="str">
        <f t="shared" si="65"/>
        <v>—</v>
      </c>
    </row>
    <row r="172" spans="1:38" ht="16.05" customHeight="1" x14ac:dyDescent="0.3">
      <c r="A172" s="13" t="s">
        <v>445</v>
      </c>
      <c r="B172" s="14" t="s">
        <v>446</v>
      </c>
      <c r="C172" s="13" t="s">
        <v>143</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IFERROR((K172+M172+MATRIZ_174!O171)/3,0)</f>
        <v>0</v>
      </c>
      <c r="U172" s="18">
        <f>IFERROR(MIN(100,ROUND(MATRIZ_174!M171,1)),0)</f>
        <v>0</v>
      </c>
      <c r="V172" s="18">
        <f t="shared" si="59"/>
        <v>50</v>
      </c>
      <c r="W172" s="18">
        <f>IFERROR(IF(MATRIZ_174!R171=0,65,IF(MATRIZ_174!R171/MATRIZ_174!Q171&gt;=2,35,IF(MATRIZ_174!R171/MATRIZ_174!Q171&gt;=0.5,50,65))),65)</f>
        <v>50</v>
      </c>
      <c r="X172" s="18">
        <f>IFERROR(MIN(100,IF(MATRIZ_174!O171=0,70,30)+IF(MATRIZ_174!U171="",0,0.3*(100-MATRIZ_174!U171*100))),70)</f>
        <v>30</v>
      </c>
      <c r="Y172" s="18">
        <f>IF(OR(MATRIZ_174!P171="ASOCIACION",MATRIZ_174!P171="PENDIENTE"),65,40)</f>
        <v>65</v>
      </c>
      <c r="Z172" s="19" t="str">
        <f t="shared" si="60"/>
        <v>—</v>
      </c>
      <c r="AA172" s="20">
        <f t="shared" si="61"/>
        <v>39</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f>IFERROR(MATRIZ_174!AP171,"N/A")</f>
        <v>0.15208333333333332</v>
      </c>
      <c r="AJ172" s="17">
        <f>IFERROR(MATRIZ_174!AO171,"N/A")</f>
        <v>0</v>
      </c>
      <c r="AK172" s="23" t="str">
        <f t="shared" si="64"/>
        <v>N/A</v>
      </c>
      <c r="AL172" s="24" t="str">
        <f t="shared" si="65"/>
        <v>—</v>
      </c>
    </row>
    <row r="173" spans="1:38" ht="16.05" customHeight="1" x14ac:dyDescent="0.3">
      <c r="A173" s="13" t="s">
        <v>447</v>
      </c>
      <c r="B173" s="14" t="s">
        <v>448</v>
      </c>
      <c r="C173" s="13" t="s">
        <v>116</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f>IFERROR((K173+M173+MATRIZ_174!O172)/3,0)</f>
        <v>0</v>
      </c>
      <c r="U173" s="18">
        <f>IFERROR(MIN(100,ROUND(MATRIZ_174!M172,1)),0)</f>
        <v>0</v>
      </c>
      <c r="V173" s="18">
        <f t="shared" si="59"/>
        <v>50</v>
      </c>
      <c r="W173" s="18">
        <f>IFERROR(IF(MATRIZ_174!R172=0,65,IF(MATRIZ_174!R172/MATRIZ_174!Q172&gt;=2,35,IF(MATRIZ_174!R172/MATRIZ_174!Q172&gt;=0.5,50,65))),65)</f>
        <v>65</v>
      </c>
      <c r="X173" s="18">
        <f>IFERROR(MIN(100,IF(MATRIZ_174!O172=0,70,30)+IF(MATRIZ_174!U172="",0,0.3*(100-MATRIZ_174!U172*100))),70)</f>
        <v>70</v>
      </c>
      <c r="Y173" s="18">
        <f>IF(OR(MATRIZ_174!P172="ASOCIACION",MATRIZ_174!P172="PENDIENTE"),65,40)</f>
        <v>65</v>
      </c>
      <c r="Z173" s="19" t="str">
        <f t="shared" si="60"/>
        <v>—</v>
      </c>
      <c r="AA173" s="20">
        <f t="shared" si="61"/>
        <v>50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t="str">
        <f t="shared" si="64"/>
        <v>N/A</v>
      </c>
      <c r="AL173" s="24" t="str">
        <f t="shared" si="65"/>
        <v>—</v>
      </c>
    </row>
    <row r="174" spans="1:38" ht="16.05" customHeight="1" x14ac:dyDescent="0.3">
      <c r="A174" s="13" t="s">
        <v>449</v>
      </c>
      <c r="B174" s="14" t="s">
        <v>450</v>
      </c>
      <c r="C174" s="13" t="s">
        <v>183</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f>IFERROR((K174+M174+MATRIZ_174!O173)/3,0)</f>
        <v>0</v>
      </c>
      <c r="U174" s="18">
        <f>IFERROR(MIN(100,ROUND(MATRIZ_174!M173,1)),0)</f>
        <v>0</v>
      </c>
      <c r="V174" s="18">
        <f t="shared" si="59"/>
        <v>50</v>
      </c>
      <c r="W174" s="18">
        <f>IFERROR(IF(MATRIZ_174!R173=0,65,IF(MATRIZ_174!R173/MATRIZ_174!Q173&gt;=2,35,IF(MATRIZ_174!R173/MATRIZ_174!Q173&gt;=0.5,50,65))),65)</f>
        <v>65</v>
      </c>
      <c r="X174" s="18">
        <f>IFERROR(MIN(100,IF(MATRIZ_174!O173=0,70,30)+IF(MATRIZ_174!U173="",0,0.3*(100-MATRIZ_174!U173*100))),70)</f>
        <v>70</v>
      </c>
      <c r="Y174" s="18">
        <f>IF(OR(MATRIZ_174!P173="ASOCIACION",MATRIZ_174!P173="PENDIENTE"),65,40)</f>
        <v>65</v>
      </c>
      <c r="Z174" s="19" t="str">
        <f t="shared" si="60"/>
        <v>—</v>
      </c>
      <c r="AA174" s="20">
        <f t="shared" si="61"/>
        <v>50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t="str">
        <f t="shared" si="64"/>
        <v>N/A</v>
      </c>
      <c r="AL174" s="24" t="str">
        <f t="shared" si="65"/>
        <v>—</v>
      </c>
    </row>
    <row r="175" spans="1:38" ht="16.05" customHeight="1" x14ac:dyDescent="0.3">
      <c r="A175" s="13" t="s">
        <v>451</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f>IFERROR((K175+M175+MATRIZ_174!O174)/3,0)</f>
        <v>0</v>
      </c>
      <c r="U175" s="18">
        <f>IFERROR(MIN(100,ROUND(MATRIZ_174!M174,1)),0)</f>
        <v>0</v>
      </c>
      <c r="V175" s="18">
        <f t="shared" si="59"/>
        <v>50</v>
      </c>
      <c r="W175" s="18">
        <f>IFERROR(IF(MATRIZ_174!R174=0,65,IF(MATRIZ_174!R174/MATRIZ_174!Q174&gt;=2,35,IF(MATRIZ_174!R174/MATRIZ_174!Q174&gt;=0.5,50,65))),65)</f>
        <v>65</v>
      </c>
      <c r="X175" s="18">
        <f>IFERROR(MIN(100,IF(MATRIZ_174!O174=0,70,30)+IF(MATRIZ_174!U174="",0,0.3*(100-MATRIZ_174!U174*100))),70)</f>
        <v>70</v>
      </c>
      <c r="Y175" s="18">
        <f>IF(OR(MATRIZ_174!P174="ASOCIACION",MATRIZ_174!P174="PENDIENTE"),65,40)</f>
        <v>65</v>
      </c>
      <c r="Z175" s="19" t="str">
        <f t="shared" si="60"/>
        <v>—</v>
      </c>
      <c r="AA175" s="20">
        <f t="shared" si="61"/>
        <v>50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t="str">
        <f t="shared" si="64"/>
        <v>N/A</v>
      </c>
      <c r="AL175" s="24" t="str">
        <f t="shared" si="65"/>
        <v>—</v>
      </c>
    </row>
    <row r="176" spans="1:38" ht="16.05" customHeight="1" x14ac:dyDescent="0.3">
      <c r="A176" s="13" t="s">
        <v>453</v>
      </c>
      <c r="B176" s="14" t="s">
        <v>454</v>
      </c>
      <c r="C176" s="13" t="s">
        <v>113</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f>IFERROR((K176+M176+MATRIZ_174!O175)/3,0)</f>
        <v>0</v>
      </c>
      <c r="U176" s="18">
        <f>IFERROR(MIN(100,ROUND(MATRIZ_174!M175,1)),0)</f>
        <v>50</v>
      </c>
      <c r="V176" s="18">
        <f t="shared" si="59"/>
        <v>50</v>
      </c>
      <c r="W176" s="18">
        <f>IFERROR(IF(MATRIZ_174!R175=0,65,IF(MATRIZ_174!R175/MATRIZ_174!Q175&gt;=2,35,IF(MATRIZ_174!R175/MATRIZ_174!Q175&gt;=0.5,50,65))),65)</f>
        <v>65</v>
      </c>
      <c r="X176" s="18">
        <f>IFERROR(MIN(100,IF(MATRIZ_174!O175=0,70,30)+IF(MATRIZ_174!U175="",0,0.3*(100-MATRIZ_174!U175*100))),70)</f>
        <v>70</v>
      </c>
      <c r="Y176" s="18">
        <f>IF(OR(MATRIZ_174!P175="ASOCIACION",MATRIZ_174!P175="PENDIENTE"),65,40)</f>
        <v>65</v>
      </c>
      <c r="Z176" s="19" t="str">
        <f t="shared" si="60"/>
        <v>—</v>
      </c>
      <c r="AA176" s="20">
        <f t="shared" si="61"/>
        <v>60</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f>IFERROR(MATRIZ_174!AP175,"N/A")</f>
        <v>0.26041666666666669</v>
      </c>
      <c r="AJ176" s="17">
        <f>IFERROR(MATRIZ_174!AO175,"N/A")</f>
        <v>0</v>
      </c>
      <c r="AK176" s="23" t="str">
        <f t="shared" si="64"/>
        <v>N/A</v>
      </c>
      <c r="AL176" s="24" t="str">
        <f t="shared" si="65"/>
        <v>—</v>
      </c>
    </row>
    <row r="177" spans="1:38" ht="16.05" customHeight="1" x14ac:dyDescent="0.3">
      <c r="A177" s="13" t="s">
        <v>455</v>
      </c>
      <c r="B177" s="14" t="s">
        <v>456</v>
      </c>
      <c r="C177" s="13" t="s">
        <v>116</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f>IFERROR((K177+M177+MATRIZ_174!O176)/3,0)</f>
        <v>0</v>
      </c>
      <c r="U177" s="18">
        <f>IFERROR(MIN(100,ROUND(MATRIZ_174!M176,1)),0)</f>
        <v>0</v>
      </c>
      <c r="V177" s="18">
        <f t="shared" si="59"/>
        <v>50</v>
      </c>
      <c r="W177" s="18">
        <f>IFERROR(IF(MATRIZ_174!R176=0,65,IF(MATRIZ_174!R176/MATRIZ_174!Q176&gt;=2,35,IF(MATRIZ_174!R176/MATRIZ_174!Q176&gt;=0.5,50,65))),65)</f>
        <v>65</v>
      </c>
      <c r="X177" s="18">
        <f>IFERROR(MIN(100,IF(MATRIZ_174!O176=0,70,30)+IF(MATRIZ_174!U176="",0,0.3*(100-MATRIZ_174!U176*100))),70)</f>
        <v>70</v>
      </c>
      <c r="Y177" s="18">
        <f>IF(OR(MATRIZ_174!P176="ASOCIACION",MATRIZ_174!P176="PENDIENTE"),65,40)</f>
        <v>65</v>
      </c>
      <c r="Z177" s="19" t="str">
        <f t="shared" si="60"/>
        <v>—</v>
      </c>
      <c r="AA177" s="20">
        <f t="shared" si="61"/>
        <v>50</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t="str">
        <f t="shared" si="64"/>
        <v>N/A</v>
      </c>
      <c r="AL177" s="24" t="str">
        <f t="shared" si="65"/>
        <v>—</v>
      </c>
    </row>
    <row r="178" spans="1:38" ht="22.05" customHeight="1" x14ac:dyDescent="0.3">
      <c r="A178" s="72" t="s">
        <v>947</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51.320689655172409</v>
      </c>
      <c r="AB178" s="26" t="str">
        <f>IFERROR(AVERAGE(AB4:AB177),"—")</f>
        <v>—</v>
      </c>
      <c r="AC178" s="25" t="s">
        <v>948</v>
      </c>
      <c r="AD178" s="25"/>
      <c r="AE178" s="25"/>
      <c r="AF178" s="25"/>
      <c r="AG178" s="25"/>
      <c r="AH178" s="25"/>
      <c r="AI178" s="25"/>
      <c r="AJ178" s="25"/>
      <c r="AK178" s="25"/>
      <c r="AL178" s="26" t="str">
        <f>IFERROR(AVERAGE(AL4:AL177),"—")</f>
        <v>—</v>
      </c>
    </row>
    <row r="180" spans="1:38" ht="30" customHeight="1" x14ac:dyDescent="0.3">
      <c r="A180" s="75" t="s">
        <v>1089</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1541</v>
      </c>
    </row>
    <row r="183" spans="1:38" x14ac:dyDescent="0.3">
      <c r="A183" t="s">
        <v>619</v>
      </c>
      <c r="B183">
        <f>COUNT(E$4:E$177)</f>
        <v>0</v>
      </c>
      <c r="C183" t="str">
        <f t="shared" ref="C183:C197" si="66">IF(B183=174,"completo",IF(B183=0,"pendiente","parcial"))</f>
        <v>pendiente</v>
      </c>
    </row>
    <row r="184" spans="1:38" x14ac:dyDescent="0.3">
      <c r="A184" t="s">
        <v>1090</v>
      </c>
      <c r="B184">
        <f>COUNT(F$4:F$177)</f>
        <v>0</v>
      </c>
      <c r="C184" t="str">
        <f t="shared" si="66"/>
        <v>pendiente</v>
      </c>
    </row>
    <row r="185" spans="1:38" x14ac:dyDescent="0.3">
      <c r="A185" t="s">
        <v>1542</v>
      </c>
      <c r="B185">
        <f>COUNT(G$4:G$177)</f>
        <v>174</v>
      </c>
      <c r="C185" t="str">
        <f t="shared" si="66"/>
        <v>completo</v>
      </c>
    </row>
    <row r="186" spans="1:38" x14ac:dyDescent="0.3">
      <c r="A186" t="s">
        <v>1091</v>
      </c>
      <c r="B186">
        <f>COUNT(H$4:H$177)</f>
        <v>0</v>
      </c>
      <c r="C186" t="str">
        <f t="shared" si="66"/>
        <v>pendiente</v>
      </c>
    </row>
    <row r="187" spans="1:38" x14ac:dyDescent="0.3">
      <c r="A187" t="s">
        <v>722</v>
      </c>
      <c r="B187">
        <f>COUNT(I$4:I$177)</f>
        <v>0</v>
      </c>
      <c r="C187" t="str">
        <f t="shared" si="66"/>
        <v>pendiente</v>
      </c>
    </row>
    <row r="188" spans="1:38" x14ac:dyDescent="0.3">
      <c r="A188" t="s">
        <v>1092</v>
      </c>
      <c r="B188">
        <f>COUNT(J$4:J$177)</f>
        <v>0</v>
      </c>
      <c r="C188" t="str">
        <f t="shared" si="66"/>
        <v>pendiente</v>
      </c>
    </row>
    <row r="189" spans="1:38" x14ac:dyDescent="0.3">
      <c r="A189" t="s">
        <v>1093</v>
      </c>
      <c r="B189">
        <f>COUNT(K$4:K$177)</f>
        <v>0</v>
      </c>
      <c r="C189" t="str">
        <f t="shared" si="66"/>
        <v>pendiente</v>
      </c>
    </row>
    <row r="190" spans="1:38" x14ac:dyDescent="0.3">
      <c r="A190" t="s">
        <v>921</v>
      </c>
      <c r="B190">
        <f>COUNT(L$4:L$177)</f>
        <v>0</v>
      </c>
      <c r="C190" t="str">
        <f t="shared" si="66"/>
        <v>pendiente</v>
      </c>
    </row>
    <row r="191" spans="1:38" x14ac:dyDescent="0.3">
      <c r="A191" t="s">
        <v>1094</v>
      </c>
      <c r="B191">
        <f>COUNT(M$4:M$177)</f>
        <v>0</v>
      </c>
      <c r="C191" t="str">
        <f t="shared" si="66"/>
        <v>pendiente</v>
      </c>
    </row>
    <row r="192" spans="1:38" x14ac:dyDescent="0.3">
      <c r="A192" t="s">
        <v>1095</v>
      </c>
      <c r="B192">
        <f>COUNT(N$4:N$177)</f>
        <v>0</v>
      </c>
      <c r="C192" t="str">
        <f t="shared" si="66"/>
        <v>pendiente</v>
      </c>
    </row>
    <row r="193" spans="1:3" x14ac:dyDescent="0.3">
      <c r="A193" t="s">
        <v>1096</v>
      </c>
      <c r="B193">
        <f>COUNT(O$4:O$177)</f>
        <v>0</v>
      </c>
      <c r="C193" t="str">
        <f t="shared" si="66"/>
        <v>pendiente</v>
      </c>
    </row>
    <row r="194" spans="1:3" x14ac:dyDescent="0.3">
      <c r="A194" t="s">
        <v>1100</v>
      </c>
      <c r="B194">
        <f>COUNT(NORMALIZADO!BV3:BV176)</f>
        <v>0</v>
      </c>
      <c r="C194" t="str">
        <f t="shared" si="66"/>
        <v>pendiente</v>
      </c>
    </row>
    <row r="195" spans="1:3" x14ac:dyDescent="0.3">
      <c r="A195" t="s">
        <v>1097</v>
      </c>
      <c r="B195">
        <f>COUNT(NORMALIZADO!BW3:BW176)</f>
        <v>0</v>
      </c>
      <c r="C195" t="str">
        <f t="shared" si="66"/>
        <v>pendiente</v>
      </c>
    </row>
    <row r="196" spans="1:3" x14ac:dyDescent="0.3">
      <c r="A196" t="s">
        <v>1098</v>
      </c>
      <c r="B196">
        <f>COUNT(NORMALIZADO!BX3:BX176)</f>
        <v>0</v>
      </c>
      <c r="C196" t="str">
        <f t="shared" si="66"/>
        <v>pendiente</v>
      </c>
    </row>
    <row r="197" spans="1:3" x14ac:dyDescent="0.3">
      <c r="A197" t="s">
        <v>1099</v>
      </c>
      <c r="B197">
        <f>COUNT(NORMALIZADO!BY3:BY176)</f>
        <v>0</v>
      </c>
      <c r="C197" t="str">
        <f t="shared" si="66"/>
        <v>pendiente</v>
      </c>
    </row>
    <row r="198" spans="1:3" x14ac:dyDescent="0.3">
      <c r="A198" t="s">
        <v>1543</v>
      </c>
      <c r="B198">
        <f>COUNT(AK4:AK177)</f>
        <v>0</v>
      </c>
      <c r="C198" t="str">
        <f>IF(B198=0,"pendiente",IF(B198=174,"completo","parcial"))</f>
        <v>pendiente</v>
      </c>
    </row>
    <row r="199" spans="1:3" x14ac:dyDescent="0.3">
      <c r="A199" t="s">
        <v>1544</v>
      </c>
      <c r="B199">
        <f>COUNT(Z4:Z177)</f>
        <v>0</v>
      </c>
      <c r="C199" t="str">
        <f>IF(B199=0,"pendiente",IF(B199=174,"completo","parcial"))</f>
        <v>pendiente</v>
      </c>
    </row>
    <row r="201" spans="1:3" x14ac:dyDescent="0.3">
      <c r="A201" t="s">
        <v>1106</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949</v>
      </c>
      <c r="B1" s="65"/>
      <c r="C1" s="65"/>
      <c r="D1" s="65"/>
    </row>
    <row r="2" spans="1:4" x14ac:dyDescent="0.3">
      <c r="A2" s="65" t="s">
        <v>950</v>
      </c>
      <c r="B2" s="65"/>
      <c r="C2" s="65"/>
      <c r="D2" s="65"/>
    </row>
    <row r="3" spans="1:4" x14ac:dyDescent="0.3">
      <c r="A3" t="s">
        <v>951</v>
      </c>
      <c r="B3" t="s">
        <v>952</v>
      </c>
    </row>
    <row r="4" spans="1:4" x14ac:dyDescent="0.3">
      <c r="A4" t="s">
        <v>953</v>
      </c>
      <c r="B4" t="s">
        <v>954</v>
      </c>
    </row>
    <row r="5" spans="1:4" x14ac:dyDescent="0.3">
      <c r="A5" t="s">
        <v>955</v>
      </c>
      <c r="B5" t="s">
        <v>956</v>
      </c>
    </row>
    <row r="6" spans="1:4" x14ac:dyDescent="0.3">
      <c r="A6" t="s">
        <v>957</v>
      </c>
      <c r="B6" t="s">
        <v>958</v>
      </c>
    </row>
    <row r="7" spans="1:4" x14ac:dyDescent="0.3">
      <c r="A7" t="s">
        <v>959</v>
      </c>
      <c r="B7" t="s">
        <v>960</v>
      </c>
    </row>
    <row r="8" spans="1:4" x14ac:dyDescent="0.3">
      <c r="A8" t="s">
        <v>961</v>
      </c>
      <c r="B8" t="s">
        <v>962</v>
      </c>
    </row>
    <row r="10" spans="1:4" x14ac:dyDescent="0.3">
      <c r="A10" s="65" t="s">
        <v>963</v>
      </c>
      <c r="B10" s="65"/>
      <c r="C10" s="65"/>
      <c r="D10" s="65"/>
    </row>
    <row r="11" spans="1:4" x14ac:dyDescent="0.3">
      <c r="A11" t="s">
        <v>964</v>
      </c>
      <c r="B11" t="s">
        <v>965</v>
      </c>
      <c r="C11" t="s">
        <v>966</v>
      </c>
      <c r="D11" t="s">
        <v>967</v>
      </c>
    </row>
    <row r="12" spans="1:4" ht="18" customHeight="1" x14ac:dyDescent="0.3">
      <c r="A12" t="s">
        <v>968</v>
      </c>
      <c r="B12" t="s">
        <v>969</v>
      </c>
      <c r="C12" t="s">
        <v>970</v>
      </c>
      <c r="D12">
        <v>20</v>
      </c>
    </row>
    <row r="13" spans="1:4" ht="18" customHeight="1" x14ac:dyDescent="0.3">
      <c r="A13" t="s">
        <v>971</v>
      </c>
      <c r="B13" t="s">
        <v>972</v>
      </c>
      <c r="C13" t="s">
        <v>973</v>
      </c>
      <c r="D13">
        <v>16</v>
      </c>
    </row>
    <row r="14" spans="1:4" ht="18" customHeight="1" x14ac:dyDescent="0.3">
      <c r="A14" t="s">
        <v>974</v>
      </c>
      <c r="B14" t="s">
        <v>975</v>
      </c>
      <c r="C14" t="s">
        <v>976</v>
      </c>
      <c r="D14">
        <v>12</v>
      </c>
    </row>
    <row r="15" spans="1:4" ht="18" customHeight="1" x14ac:dyDescent="0.3">
      <c r="A15" t="s">
        <v>977</v>
      </c>
      <c r="B15" t="s">
        <v>978</v>
      </c>
      <c r="C15" t="s">
        <v>979</v>
      </c>
      <c r="D15">
        <v>8</v>
      </c>
    </row>
    <row r="16" spans="1:4" ht="18" customHeight="1" x14ac:dyDescent="0.3">
      <c r="A16" t="s">
        <v>980</v>
      </c>
      <c r="B16" t="s">
        <v>981</v>
      </c>
      <c r="C16" t="s">
        <v>982</v>
      </c>
      <c r="D16">
        <v>12</v>
      </c>
    </row>
    <row r="17" spans="1:4" ht="18" customHeight="1" x14ac:dyDescent="0.3">
      <c r="A17" t="s">
        <v>983</v>
      </c>
      <c r="B17" t="s">
        <v>984</v>
      </c>
      <c r="C17" t="s">
        <v>985</v>
      </c>
      <c r="D17">
        <v>8</v>
      </c>
    </row>
    <row r="18" spans="1:4" ht="18" customHeight="1" x14ac:dyDescent="0.3">
      <c r="A18" t="s">
        <v>986</v>
      </c>
      <c r="B18" t="s">
        <v>987</v>
      </c>
      <c r="C18" t="s">
        <v>988</v>
      </c>
      <c r="D18">
        <v>4</v>
      </c>
    </row>
    <row r="19" spans="1:4" ht="19.95" customHeight="1" x14ac:dyDescent="0.3">
      <c r="A19" t="s">
        <v>989</v>
      </c>
      <c r="B19" s="65" t="s">
        <v>990</v>
      </c>
      <c r="C19" s="65"/>
      <c r="D19">
        <v>20</v>
      </c>
    </row>
    <row r="20" spans="1:4" x14ac:dyDescent="0.3">
      <c r="A20" t="s">
        <v>991</v>
      </c>
      <c r="D20">
        <f>SUM(D12:D19)</f>
        <v>100</v>
      </c>
    </row>
    <row r="21" spans="1:4" x14ac:dyDescent="0.3">
      <c r="A21" s="65"/>
      <c r="B21" s="65"/>
      <c r="C21" s="65"/>
      <c r="D21" s="65"/>
    </row>
    <row r="22" spans="1:4" x14ac:dyDescent="0.3">
      <c r="A22" t="s">
        <v>992</v>
      </c>
    </row>
    <row r="23" spans="1:4" x14ac:dyDescent="0.3">
      <c r="A23" s="65"/>
      <c r="B23" s="65"/>
      <c r="C23" s="65"/>
      <c r="D23" s="65"/>
    </row>
    <row r="24" spans="1:4" x14ac:dyDescent="0.3">
      <c r="A24" s="77" t="s">
        <v>993</v>
      </c>
      <c r="B24" s="65"/>
      <c r="C24" s="65"/>
      <c r="D24" s="65"/>
    </row>
    <row r="25" spans="1:4" x14ac:dyDescent="0.3">
      <c r="A25" s="52" t="s">
        <v>994</v>
      </c>
    </row>
    <row r="26" spans="1:4" ht="43.2" customHeight="1" x14ac:dyDescent="0.3">
      <c r="A26" s="27" t="s">
        <v>995</v>
      </c>
      <c r="B26" s="27" t="s">
        <v>996</v>
      </c>
      <c r="C26" s="27" t="s">
        <v>997</v>
      </c>
    </row>
    <row r="27" spans="1:4" ht="43.2" customHeight="1" x14ac:dyDescent="0.3">
      <c r="A27" s="28" t="s">
        <v>998</v>
      </c>
      <c r="B27" s="29" t="s">
        <v>999</v>
      </c>
      <c r="C27" s="27" t="s">
        <v>1000</v>
      </c>
    </row>
    <row r="28" spans="1:4" ht="28.8" customHeight="1" x14ac:dyDescent="0.3">
      <c r="A28" s="14"/>
      <c r="B28" s="14"/>
      <c r="C28" s="13"/>
    </row>
    <row r="29" spans="1:4" ht="43.2" customHeight="1" x14ac:dyDescent="0.3">
      <c r="A29" s="28" t="s">
        <v>1001</v>
      </c>
      <c r="B29" s="29" t="s">
        <v>1550</v>
      </c>
      <c r="C29" s="27" t="s">
        <v>1000</v>
      </c>
    </row>
    <row r="30" spans="1:4" ht="28.8" customHeight="1" x14ac:dyDescent="0.3">
      <c r="A30" s="14"/>
      <c r="B30" s="14"/>
      <c r="C30" s="13"/>
    </row>
    <row r="31" spans="1:4" ht="28.8" customHeight="1" x14ac:dyDescent="0.3">
      <c r="A31" s="28" t="s">
        <v>1002</v>
      </c>
      <c r="B31" s="29" t="s">
        <v>1003</v>
      </c>
      <c r="C31" s="27" t="s">
        <v>1000</v>
      </c>
    </row>
    <row r="32" spans="1:4" x14ac:dyDescent="0.3">
      <c r="A32" s="14"/>
      <c r="B32" s="14"/>
      <c r="C32" s="13"/>
    </row>
    <row r="33" spans="1:3" ht="28.8" customHeight="1" x14ac:dyDescent="0.3">
      <c r="A33" s="30" t="s">
        <v>1004</v>
      </c>
      <c r="B33" s="31" t="s">
        <v>1005</v>
      </c>
      <c r="C33" s="32" t="s">
        <v>1006</v>
      </c>
    </row>
    <row r="34" spans="1:3" ht="28.8" customHeight="1" x14ac:dyDescent="0.3">
      <c r="A34" s="33" t="s">
        <v>1007</v>
      </c>
      <c r="B34" s="34" t="s">
        <v>1008</v>
      </c>
      <c r="C34" s="35" t="s">
        <v>1006</v>
      </c>
    </row>
    <row r="35" spans="1:3" ht="28.8" customHeight="1" x14ac:dyDescent="0.3">
      <c r="A35" s="30" t="s">
        <v>1009</v>
      </c>
      <c r="B35" s="31" t="s">
        <v>1010</v>
      </c>
      <c r="C35" s="32" t="s">
        <v>1006</v>
      </c>
    </row>
    <row r="36" spans="1:3" ht="28.8" customHeight="1" x14ac:dyDescent="0.3">
      <c r="A36" s="33" t="s">
        <v>1011</v>
      </c>
      <c r="B36" s="34" t="s">
        <v>1012</v>
      </c>
      <c r="C36" s="35" t="s">
        <v>1006</v>
      </c>
    </row>
    <row r="37" spans="1:3" ht="28.8" customHeight="1" x14ac:dyDescent="0.3">
      <c r="A37" s="30" t="s">
        <v>1013</v>
      </c>
      <c r="B37" s="31" t="s">
        <v>1014</v>
      </c>
      <c r="C37" s="32" t="s">
        <v>1006</v>
      </c>
    </row>
    <row r="38" spans="1:3" ht="28.8" customHeight="1" x14ac:dyDescent="0.3">
      <c r="A38" s="33" t="s">
        <v>1015</v>
      </c>
      <c r="B38" s="34" t="s">
        <v>1016</v>
      </c>
      <c r="C38" s="35" t="s">
        <v>1000</v>
      </c>
    </row>
    <row r="39" spans="1:3" ht="43.2" customHeight="1" x14ac:dyDescent="0.3">
      <c r="A39" s="14"/>
      <c r="B39" s="14"/>
      <c r="C39" s="13"/>
    </row>
    <row r="40" spans="1:3" ht="28.8" customHeight="1" x14ac:dyDescent="0.3">
      <c r="A40" s="33" t="s">
        <v>1017</v>
      </c>
      <c r="B40" s="34" t="s">
        <v>1018</v>
      </c>
      <c r="C40" s="35" t="s">
        <v>1006</v>
      </c>
    </row>
    <row r="41" spans="1:3" ht="43.2" customHeight="1" x14ac:dyDescent="0.3">
      <c r="A41" s="30" t="s">
        <v>1019</v>
      </c>
      <c r="B41" s="31" t="s">
        <v>1020</v>
      </c>
      <c r="C41" s="32" t="s">
        <v>1006</v>
      </c>
    </row>
    <row r="42" spans="1:3" ht="43.2" customHeight="1" x14ac:dyDescent="0.3">
      <c r="A42" s="33" t="s">
        <v>1021</v>
      </c>
      <c r="B42" s="34" t="s">
        <v>1022</v>
      </c>
      <c r="C42" s="35" t="s">
        <v>1006</v>
      </c>
    </row>
    <row r="43" spans="1:3" ht="43.2" customHeight="1" x14ac:dyDescent="0.3">
      <c r="A43" s="30" t="s">
        <v>1023</v>
      </c>
      <c r="B43" s="31" t="s">
        <v>1087</v>
      </c>
      <c r="C43" s="32" t="s">
        <v>1006</v>
      </c>
    </row>
    <row r="44" spans="1:3" ht="28.8" customHeight="1" x14ac:dyDescent="0.3">
      <c r="A44" s="33" t="s">
        <v>1024</v>
      </c>
      <c r="B44" s="34" t="s">
        <v>1025</v>
      </c>
      <c r="C44" s="35" t="s">
        <v>1006</v>
      </c>
    </row>
    <row r="45" spans="1:3" ht="28.8" customHeight="1" x14ac:dyDescent="0.3">
      <c r="A45" s="30" t="s">
        <v>1026</v>
      </c>
      <c r="B45" s="31" t="s">
        <v>1027</v>
      </c>
      <c r="C45" s="32" t="s">
        <v>1000</v>
      </c>
    </row>
    <row r="46" spans="1:3" x14ac:dyDescent="0.3">
      <c r="A46" s="14"/>
      <c r="B46" s="14"/>
      <c r="C46" s="13"/>
    </row>
    <row r="47" spans="1:3" ht="28.8" customHeight="1" x14ac:dyDescent="0.3">
      <c r="A47" s="30" t="s">
        <v>1028</v>
      </c>
      <c r="B47" s="31"/>
      <c r="C47" s="32" t="s">
        <v>512</v>
      </c>
    </row>
    <row r="48" spans="1:3" ht="28.8" customHeight="1" x14ac:dyDescent="0.3">
      <c r="A48" s="33" t="s">
        <v>1029</v>
      </c>
      <c r="B48" s="34" t="s">
        <v>1030</v>
      </c>
      <c r="C48" s="35" t="s">
        <v>1031</v>
      </c>
    </row>
    <row r="49" spans="1:2" x14ac:dyDescent="0.3">
      <c r="A49" t="s">
        <v>1032</v>
      </c>
      <c r="B49" t="s">
        <v>1086</v>
      </c>
    </row>
    <row r="50" spans="1:2" x14ac:dyDescent="0.3">
      <c r="A50" t="s">
        <v>1033</v>
      </c>
      <c r="B50" t="s">
        <v>1034</v>
      </c>
    </row>
    <row r="51" spans="1:2" x14ac:dyDescent="0.3">
      <c r="A51" t="s">
        <v>1035</v>
      </c>
      <c r="B51" t="s">
        <v>1036</v>
      </c>
    </row>
    <row r="53" spans="1:2" x14ac:dyDescent="0.3">
      <c r="A53" t="s">
        <v>1102</v>
      </c>
      <c r="B53" t="s">
        <v>1103</v>
      </c>
    </row>
    <row r="54" spans="1:2" x14ac:dyDescent="0.3">
      <c r="A54" s="55" t="s">
        <v>1547</v>
      </c>
    </row>
    <row r="55" spans="1:2" ht="374.4" x14ac:dyDescent="0.3">
      <c r="A55" s="56" t="s">
        <v>1548</v>
      </c>
    </row>
    <row r="56" spans="1:2" x14ac:dyDescent="0.3">
      <c r="A56" s="55" t="s">
        <v>1551</v>
      </c>
    </row>
    <row r="57" spans="1:2" ht="244.8" x14ac:dyDescent="0.3">
      <c r="A57" s="56" t="s">
        <v>1552</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7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3"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3"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1083</v>
      </c>
      <c r="AP2" s="50" t="s">
        <v>61</v>
      </c>
      <c r="AQ2" s="50" t="s">
        <v>1549</v>
      </c>
    </row>
    <row r="3" spans="1:43" ht="16.05" customHeight="1" x14ac:dyDescent="0.3">
      <c r="A3" t="s">
        <v>62</v>
      </c>
      <c r="B3" t="s">
        <v>63</v>
      </c>
      <c r="C3" t="s">
        <v>64</v>
      </c>
      <c r="D3" t="s">
        <v>65</v>
      </c>
      <c r="E3">
        <v>5107246.6199999992</v>
      </c>
      <c r="F3">
        <v>38</v>
      </c>
      <c r="G3" t="s">
        <v>66</v>
      </c>
      <c r="J3" t="s">
        <v>67</v>
      </c>
      <c r="L3">
        <v>2553623.31</v>
      </c>
      <c r="M3">
        <f t="shared" ref="M3:M34" si="0">IF(E3&gt;0,ROUND(L3/E3*100,1),0)</f>
        <v>50</v>
      </c>
      <c r="N3" t="s">
        <v>68</v>
      </c>
      <c r="O3">
        <f t="shared" ref="O3:O34" si="1">IF(H3="SI",1,0)*0.6+IF(I3="SI",1,0)*0.4</f>
        <v>0</v>
      </c>
      <c r="P3" t="s">
        <v>68</v>
      </c>
      <c r="S3">
        <f t="shared" ref="S3:S34" si="2">IFERROR(ROUND(AP3*100,1),"N/A")</f>
        <v>26</v>
      </c>
      <c r="T3" t="str">
        <f t="shared" ref="T3:T34" si="3">IF(NOT(ISNUMBER(S3)),"—",IF(AQ3&lt;6,"⬜  Parcial · Inst. 2 pendiente",IF(S3&lt;34,"🔴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N/A")</f>
        <v>0.26041666666666669</v>
      </c>
      <c r="AQ3">
        <f>IF(ISNUMBER(M3),1,0)+IF(ISNUMBER(SCORECARDS!H3),1,0)+IF(ISNUMBER(SCORECARDS!I3),1,0)+IF(ISNUMBER(SCORECARDS!J3),1,0)+IF(ISNUMBER(ISCAM_Score!K4),1,0)+IF(ISNUMBER(O3),1,0)+IF(COUNT(W3:Z3)&gt;0,1,0)</f>
        <v>3</v>
      </c>
    </row>
    <row r="4" spans="1:43" ht="16.05" customHeight="1" x14ac:dyDescent="0.3">
      <c r="A4" t="s">
        <v>70</v>
      </c>
      <c r="B4" t="s">
        <v>71</v>
      </c>
      <c r="C4" t="s">
        <v>72</v>
      </c>
      <c r="D4" t="s">
        <v>73</v>
      </c>
      <c r="E4">
        <v>0</v>
      </c>
      <c r="G4" t="s">
        <v>74</v>
      </c>
      <c r="J4" t="s">
        <v>67</v>
      </c>
      <c r="L4">
        <v>0</v>
      </c>
      <c r="M4">
        <f t="shared" si="0"/>
        <v>0</v>
      </c>
      <c r="N4" t="s">
        <v>68</v>
      </c>
      <c r="O4">
        <f t="shared" si="1"/>
        <v>0</v>
      </c>
      <c r="P4" t="s">
        <v>68</v>
      </c>
      <c r="S4">
        <f t="shared" si="2"/>
        <v>0</v>
      </c>
      <c r="T4" t="str">
        <f t="shared" si="3"/>
        <v>⬜  Parcial · Inst. 2 pendiente</v>
      </c>
      <c r="U4" s="53">
        <v>1</v>
      </c>
      <c r="V4" t="s">
        <v>69</v>
      </c>
      <c r="W4">
        <f>IF(NORMALIZADO!BV4="",0,NORMALIZADO!BV4)</f>
        <v>0</v>
      </c>
      <c r="X4">
        <f>IF(NORMALIZADO!BW4="",0,NORMALIZADO!BW4)</f>
        <v>0</v>
      </c>
      <c r="Y4">
        <f>IF(NORMALIZADO!BX4="",0,NORMALIZADO!BX4)</f>
        <v>0</v>
      </c>
      <c r="Z4">
        <f>IF(NORMALIZADO!BY4="",0,NORMALIZADO!BY4)</f>
        <v>0</v>
      </c>
      <c r="AA4">
        <v>0</v>
      </c>
      <c r="AB4">
        <v>0</v>
      </c>
      <c r="AC4">
        <v>0</v>
      </c>
      <c r="AD4">
        <v>0</v>
      </c>
      <c r="AE4">
        <v>0</v>
      </c>
      <c r="AF4">
        <v>0</v>
      </c>
      <c r="AG4">
        <v>0</v>
      </c>
      <c r="AH4">
        <v>0</v>
      </c>
      <c r="AI4">
        <v>0</v>
      </c>
      <c r="AJ4">
        <v>0</v>
      </c>
      <c r="AK4">
        <v>0</v>
      </c>
      <c r="AL4">
        <v>0</v>
      </c>
      <c r="AM4">
        <v>0</v>
      </c>
      <c r="AN4">
        <v>0</v>
      </c>
      <c r="AO4">
        <f t="shared" si="4"/>
        <v>0</v>
      </c>
      <c r="AP4">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N/A")</f>
        <v>0</v>
      </c>
      <c r="AQ4">
        <f>IF(ISNUMBER(M4),1,0)+IF(ISNUMBER(SCORECARDS!H4),1,0)+IF(ISNUMBER(SCORECARDS!I4),1,0)+IF(ISNUMBER(SCORECARDS!J4),1,0)+IF(ISNUMBER(ISCAM_Score!K5),1,0)+IF(ISNUMBER(O4),1,0)+IF(COUNT(W4:Z4)&gt;0,1,0)</f>
        <v>3</v>
      </c>
    </row>
    <row r="5" spans="1:43" ht="16.05" customHeight="1" x14ac:dyDescent="0.3">
      <c r="A5" t="s">
        <v>75</v>
      </c>
      <c r="B5" t="s">
        <v>76</v>
      </c>
      <c r="C5" t="s">
        <v>77</v>
      </c>
      <c r="E5">
        <v>9603968.1199999992</v>
      </c>
      <c r="F5">
        <v>41</v>
      </c>
      <c r="G5" t="s">
        <v>66</v>
      </c>
      <c r="J5" t="s">
        <v>67</v>
      </c>
      <c r="L5">
        <v>4801984.0599999996</v>
      </c>
      <c r="M5">
        <f t="shared" si="0"/>
        <v>50</v>
      </c>
      <c r="N5" t="s">
        <v>68</v>
      </c>
      <c r="O5">
        <f t="shared" si="1"/>
        <v>0</v>
      </c>
      <c r="P5" t="s">
        <v>68</v>
      </c>
      <c r="S5">
        <f t="shared" si="2"/>
        <v>26</v>
      </c>
      <c r="T5" t="str">
        <f t="shared" si="3"/>
        <v>⬜  Parcial · Inst. 2 pendiente</v>
      </c>
      <c r="U5" s="53">
        <v>1</v>
      </c>
      <c r="V5" t="s">
        <v>69</v>
      </c>
      <c r="W5">
        <f>IF(NORMALIZADO!BV5="",1,NORMALIZADO!BV5)</f>
        <v>1</v>
      </c>
      <c r="X5">
        <f>IF(NORMALIZADO!BW5="",0,NORMALIZADO!BW5)</f>
        <v>0</v>
      </c>
      <c r="Y5">
        <f>IF(NORMALIZADO!BX5="",0,NORMALIZADO!BX5)</f>
        <v>0</v>
      </c>
      <c r="Z5">
        <f>IF(NORMALIZADO!BY5="",0,NORMALIZADO!BY5)</f>
        <v>0</v>
      </c>
      <c r="AA5">
        <v>0</v>
      </c>
      <c r="AB5">
        <v>0</v>
      </c>
      <c r="AC5">
        <v>0</v>
      </c>
      <c r="AD5">
        <v>0</v>
      </c>
      <c r="AE5">
        <v>0</v>
      </c>
      <c r="AF5">
        <v>0</v>
      </c>
      <c r="AG5">
        <v>0</v>
      </c>
      <c r="AH5">
        <v>0</v>
      </c>
      <c r="AI5">
        <v>0</v>
      </c>
      <c r="AJ5">
        <v>0</v>
      </c>
      <c r="AK5">
        <v>0</v>
      </c>
      <c r="AL5">
        <v>0</v>
      </c>
      <c r="AM5">
        <v>0</v>
      </c>
      <c r="AN5">
        <v>0</v>
      </c>
      <c r="AO5">
        <f t="shared" si="4"/>
        <v>0</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N/A")</f>
        <v>0.26041666666666669</v>
      </c>
      <c r="AQ5">
        <f>IF(ISNUMBER(M5),1,0)+IF(ISNUMBER(SCORECARDS!H5),1,0)+IF(ISNUMBER(SCORECARDS!I5),1,0)+IF(ISNUMBER(SCORECARDS!J5),1,0)+IF(ISNUMBER(ISCAM_Score!K6),1,0)+IF(ISNUMBER(O5),1,0)+IF(COUNT(W5:Z5)&gt;0,1,0)</f>
        <v>3</v>
      </c>
    </row>
    <row r="6" spans="1:43" ht="16.05" customHeight="1" x14ac:dyDescent="0.3">
      <c r="A6" t="s">
        <v>78</v>
      </c>
      <c r="B6" t="s">
        <v>79</v>
      </c>
      <c r="C6" t="s">
        <v>80</v>
      </c>
      <c r="G6" t="s">
        <v>74</v>
      </c>
      <c r="H6" t="s">
        <v>81</v>
      </c>
      <c r="I6" t="s">
        <v>82</v>
      </c>
      <c r="J6" t="s">
        <v>67</v>
      </c>
      <c r="L6">
        <v>0</v>
      </c>
      <c r="M6">
        <f t="shared" si="0"/>
        <v>0</v>
      </c>
      <c r="N6" t="s">
        <v>68</v>
      </c>
      <c r="O6">
        <f t="shared" si="1"/>
        <v>0</v>
      </c>
      <c r="P6" t="s">
        <v>68</v>
      </c>
      <c r="Q6">
        <v>44</v>
      </c>
      <c r="R6">
        <v>44</v>
      </c>
      <c r="S6">
        <f t="shared" si="2"/>
        <v>5.2</v>
      </c>
      <c r="T6" t="str">
        <f t="shared" si="3"/>
        <v>⬜  Parcial · Inst. 2 pendiente</v>
      </c>
      <c r="U6" s="53">
        <v>1</v>
      </c>
      <c r="V6" t="s">
        <v>69</v>
      </c>
      <c r="W6">
        <f>IF(NORMALIZADO!BV6="",1,NORMALIZADO!BV6)</f>
        <v>1</v>
      </c>
      <c r="X6">
        <f>IF(NORMALIZADO!BW6="",0,NORMALIZADO!BW6)</f>
        <v>0</v>
      </c>
      <c r="Y6">
        <f>IF(NORMALIZADO!BX6="",0,NORMALIZADO!BX6)</f>
        <v>0</v>
      </c>
      <c r="Z6">
        <f>IF(NORMALIZADO!BY6="",0,NORMALIZADO!BY6)</f>
        <v>0</v>
      </c>
      <c r="AA6">
        <v>0</v>
      </c>
      <c r="AB6">
        <v>0</v>
      </c>
      <c r="AC6">
        <v>0</v>
      </c>
      <c r="AD6">
        <v>0</v>
      </c>
      <c r="AE6">
        <v>0</v>
      </c>
      <c r="AF6">
        <v>0</v>
      </c>
      <c r="AG6">
        <v>0</v>
      </c>
      <c r="AH6">
        <v>0</v>
      </c>
      <c r="AI6">
        <v>0</v>
      </c>
      <c r="AJ6">
        <v>0</v>
      </c>
      <c r="AK6">
        <v>0</v>
      </c>
      <c r="AL6">
        <v>0</v>
      </c>
      <c r="AM6">
        <v>0</v>
      </c>
      <c r="AN6">
        <v>0</v>
      </c>
      <c r="AO6">
        <f t="shared" si="4"/>
        <v>0</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N/A")</f>
        <v>5.2083333333333336E-2</v>
      </c>
      <c r="AQ6">
        <f>IF(ISNUMBER(M6),1,0)+IF(ISNUMBER(SCORECARDS!H6),1,0)+IF(ISNUMBER(SCORECARDS!I6),1,0)+IF(ISNUMBER(SCORECARDS!J6),1,0)+IF(ISNUMBER(ISCAM_Score!K7),1,0)+IF(ISNUMBER(O6),1,0)+IF(COUNT(W6:Z6)&gt;0,1,0)</f>
        <v>3</v>
      </c>
    </row>
    <row r="7" spans="1:43" ht="16.05" customHeight="1" x14ac:dyDescent="0.3">
      <c r="A7" t="s">
        <v>83</v>
      </c>
      <c r="B7" t="s">
        <v>84</v>
      </c>
      <c r="C7" t="s">
        <v>80</v>
      </c>
      <c r="D7" t="s">
        <v>65</v>
      </c>
      <c r="G7" t="s">
        <v>74</v>
      </c>
      <c r="H7" t="s">
        <v>81</v>
      </c>
      <c r="J7" t="s">
        <v>67</v>
      </c>
      <c r="K7" t="s">
        <v>85</v>
      </c>
      <c r="L7">
        <v>0</v>
      </c>
      <c r="M7">
        <f t="shared" si="0"/>
        <v>0</v>
      </c>
      <c r="N7" t="s">
        <v>68</v>
      </c>
      <c r="O7">
        <f t="shared" si="1"/>
        <v>0</v>
      </c>
      <c r="P7" t="s">
        <v>68</v>
      </c>
      <c r="Q7">
        <v>100</v>
      </c>
      <c r="R7">
        <v>218</v>
      </c>
      <c r="S7">
        <f t="shared" si="2"/>
        <v>5.2</v>
      </c>
      <c r="T7" t="str">
        <f t="shared" si="3"/>
        <v>⬜  Parcial · Inst. 2 pendiente</v>
      </c>
      <c r="U7" s="53">
        <v>1</v>
      </c>
      <c r="V7" t="s">
        <v>69</v>
      </c>
      <c r="W7">
        <f>IF(NORMALIZADO!BV7="",1,NORMALIZADO!BV7)</f>
        <v>1</v>
      </c>
      <c r="X7">
        <f>IF(NORMALIZADO!BW7="",0,NORMALIZADO!BW7)</f>
        <v>0</v>
      </c>
      <c r="Y7">
        <f>IF(NORMALIZADO!BX7="",0,NORMALIZADO!BX7)</f>
        <v>0</v>
      </c>
      <c r="Z7">
        <f>IF(NORMALIZADO!BY7="",0,NORMALIZADO!BY7)</f>
        <v>0</v>
      </c>
      <c r="AA7">
        <v>0</v>
      </c>
      <c r="AB7">
        <v>0</v>
      </c>
      <c r="AC7">
        <v>0</v>
      </c>
      <c r="AD7">
        <v>0</v>
      </c>
      <c r="AE7">
        <v>0</v>
      </c>
      <c r="AF7">
        <v>0</v>
      </c>
      <c r="AG7">
        <v>0</v>
      </c>
      <c r="AH7">
        <v>0</v>
      </c>
      <c r="AI7">
        <v>0</v>
      </c>
      <c r="AJ7">
        <v>0</v>
      </c>
      <c r="AK7">
        <v>0</v>
      </c>
      <c r="AL7">
        <v>0</v>
      </c>
      <c r="AM7">
        <v>0</v>
      </c>
      <c r="AN7">
        <v>0</v>
      </c>
      <c r="AO7">
        <f t="shared" si="4"/>
        <v>0</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N/A")</f>
        <v>5.2083333333333336E-2</v>
      </c>
      <c r="AQ7">
        <f>IF(ISNUMBER(M7),1,0)+IF(ISNUMBER(SCORECARDS!H7),1,0)+IF(ISNUMBER(SCORECARDS!I7),1,0)+IF(ISNUMBER(SCORECARDS!J7),1,0)+IF(ISNUMBER(ISCAM_Score!K8),1,0)+IF(ISNUMBER(O7),1,0)+IF(COUNT(W7:Z7)&gt;0,1,0)</f>
        <v>3</v>
      </c>
    </row>
    <row r="8" spans="1:43" ht="16.05" customHeight="1" x14ac:dyDescent="0.3">
      <c r="A8" t="s">
        <v>86</v>
      </c>
      <c r="B8" t="s">
        <v>87</v>
      </c>
      <c r="C8" t="s">
        <v>80</v>
      </c>
      <c r="D8" t="s">
        <v>65</v>
      </c>
      <c r="E8">
        <v>2477083.5</v>
      </c>
      <c r="F8">
        <v>14</v>
      </c>
      <c r="G8" t="s">
        <v>66</v>
      </c>
      <c r="J8" t="s">
        <v>67</v>
      </c>
      <c r="L8">
        <v>1238541.75</v>
      </c>
      <c r="M8">
        <f t="shared" si="0"/>
        <v>50</v>
      </c>
      <c r="N8" t="s">
        <v>68</v>
      </c>
      <c r="O8">
        <f t="shared" si="1"/>
        <v>0</v>
      </c>
      <c r="P8" t="s">
        <v>68</v>
      </c>
      <c r="S8">
        <f t="shared" si="2"/>
        <v>26</v>
      </c>
      <c r="T8" t="str">
        <f t="shared" si="3"/>
        <v>⬜  Parcial · Inst. 2 pendiente</v>
      </c>
      <c r="U8" s="53">
        <v>1</v>
      </c>
      <c r="V8" t="s">
        <v>69</v>
      </c>
      <c r="W8">
        <f>IF(NORMALIZADO!BV8="",1,NORMALIZADO!BV8)</f>
        <v>1</v>
      </c>
      <c r="X8">
        <f>IF(NORMALIZADO!BW8="",0,NORMALIZADO!BW8)</f>
        <v>0</v>
      </c>
      <c r="Y8">
        <f>IF(NORMALIZADO!BX8="",0,NORMALIZADO!BX8)</f>
        <v>0</v>
      </c>
      <c r="Z8">
        <f>IF(NORMALIZADO!BY8="",0,NORMALIZADO!BY8)</f>
        <v>0</v>
      </c>
      <c r="AA8">
        <v>0</v>
      </c>
      <c r="AB8">
        <v>0</v>
      </c>
      <c r="AC8">
        <v>0</v>
      </c>
      <c r="AD8">
        <v>0</v>
      </c>
      <c r="AE8">
        <v>0</v>
      </c>
      <c r="AF8">
        <v>0</v>
      </c>
      <c r="AG8">
        <v>0</v>
      </c>
      <c r="AH8">
        <v>0</v>
      </c>
      <c r="AI8">
        <v>0</v>
      </c>
      <c r="AJ8">
        <v>0</v>
      </c>
      <c r="AK8">
        <v>0</v>
      </c>
      <c r="AL8">
        <v>0</v>
      </c>
      <c r="AM8">
        <v>0</v>
      </c>
      <c r="AN8">
        <v>0</v>
      </c>
      <c r="AO8">
        <f t="shared" si="4"/>
        <v>0</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N/A")</f>
        <v>0.26041666666666669</v>
      </c>
      <c r="AQ8">
        <f>IF(ISNUMBER(M8),1,0)+IF(ISNUMBER(SCORECARDS!H8),1,0)+IF(ISNUMBER(SCORECARDS!I8),1,0)+IF(ISNUMBER(SCORECARDS!J8),1,0)+IF(ISNUMBER(ISCAM_Score!K9),1,0)+IF(ISNUMBER(O8),1,0)+IF(COUNT(W8:Z8)&gt;0,1,0)</f>
        <v>3</v>
      </c>
    </row>
    <row r="9" spans="1:43" ht="16.05" customHeight="1" x14ac:dyDescent="0.3">
      <c r="A9" t="s">
        <v>88</v>
      </c>
      <c r="B9" t="s">
        <v>89</v>
      </c>
      <c r="C9" t="s">
        <v>80</v>
      </c>
      <c r="D9" t="s">
        <v>65</v>
      </c>
      <c r="E9">
        <v>1689820.33</v>
      </c>
      <c r="F9">
        <v>5</v>
      </c>
      <c r="G9" t="s">
        <v>66</v>
      </c>
      <c r="J9" t="s">
        <v>67</v>
      </c>
      <c r="L9">
        <v>0</v>
      </c>
      <c r="M9">
        <f t="shared" si="0"/>
        <v>0</v>
      </c>
      <c r="N9" t="s">
        <v>68</v>
      </c>
      <c r="O9">
        <f t="shared" si="1"/>
        <v>0</v>
      </c>
      <c r="P9" t="s">
        <v>68</v>
      </c>
      <c r="S9">
        <f t="shared" si="2"/>
        <v>0</v>
      </c>
      <c r="T9" t="str">
        <f t="shared" si="3"/>
        <v>⬜  Parcial · Inst. 2 pendiente</v>
      </c>
      <c r="U9" s="53">
        <v>1</v>
      </c>
      <c r="V9" t="s">
        <v>69</v>
      </c>
      <c r="W9">
        <f>IF(NORMALIZADO!BV9="",0,NORMALIZADO!BV9)</f>
        <v>0</v>
      </c>
      <c r="X9">
        <f>IF(NORMALIZADO!BW9="",0,NORMALIZADO!BW9)</f>
        <v>0</v>
      </c>
      <c r="Y9">
        <f>IF(NORMALIZADO!BX9="",0,NORMALIZADO!BX9)</f>
        <v>0</v>
      </c>
      <c r="Z9">
        <f>IF(NORMALIZADO!BY9="",0,NORMALIZADO!BY9)</f>
        <v>0</v>
      </c>
      <c r="AA9">
        <v>0</v>
      </c>
      <c r="AB9">
        <v>0</v>
      </c>
      <c r="AC9">
        <v>0</v>
      </c>
      <c r="AD9">
        <v>0</v>
      </c>
      <c r="AE9">
        <v>0</v>
      </c>
      <c r="AF9">
        <v>0</v>
      </c>
      <c r="AG9">
        <v>0</v>
      </c>
      <c r="AH9">
        <v>0</v>
      </c>
      <c r="AI9">
        <v>0</v>
      </c>
      <c r="AJ9">
        <v>0</v>
      </c>
      <c r="AK9">
        <v>0</v>
      </c>
      <c r="AL9">
        <v>0</v>
      </c>
      <c r="AM9">
        <v>0</v>
      </c>
      <c r="AN9">
        <v>0</v>
      </c>
      <c r="AO9">
        <f t="shared" si="4"/>
        <v>0</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N/A")</f>
        <v>0</v>
      </c>
      <c r="AQ9">
        <f>IF(ISNUMBER(M9),1,0)+IF(ISNUMBER(SCORECARDS!H9),1,0)+IF(ISNUMBER(SCORECARDS!I9),1,0)+IF(ISNUMBER(SCORECARDS!J9),1,0)+IF(ISNUMBER(ISCAM_Score!K10),1,0)+IF(ISNUMBER(O9),1,0)+IF(COUNT(W9:Z9)&gt;0,1,0)</f>
        <v>3</v>
      </c>
    </row>
    <row r="10" spans="1:43" ht="16.05" customHeight="1" x14ac:dyDescent="0.3">
      <c r="A10" t="s">
        <v>90</v>
      </c>
      <c r="B10" t="s">
        <v>91</v>
      </c>
      <c r="C10" t="s">
        <v>80</v>
      </c>
      <c r="D10" t="s">
        <v>65</v>
      </c>
      <c r="E10">
        <v>0</v>
      </c>
      <c r="G10" t="s">
        <v>74</v>
      </c>
      <c r="H10" t="s">
        <v>81</v>
      </c>
      <c r="I10" t="s">
        <v>92</v>
      </c>
      <c r="J10" t="s">
        <v>67</v>
      </c>
      <c r="K10" t="s">
        <v>85</v>
      </c>
      <c r="L10">
        <v>0</v>
      </c>
      <c r="M10">
        <f t="shared" si="0"/>
        <v>0</v>
      </c>
      <c r="N10" t="s">
        <v>68</v>
      </c>
      <c r="O10">
        <f t="shared" si="1"/>
        <v>0</v>
      </c>
      <c r="P10" t="s">
        <v>68</v>
      </c>
      <c r="Q10">
        <v>177</v>
      </c>
      <c r="R10">
        <v>469</v>
      </c>
      <c r="S10">
        <f t="shared" si="2"/>
        <v>5.2</v>
      </c>
      <c r="T10" t="str">
        <f t="shared" si="3"/>
        <v>⬜  Parcial · Inst. 2 pendiente</v>
      </c>
      <c r="U10" s="53">
        <v>1</v>
      </c>
      <c r="V10" t="s">
        <v>69</v>
      </c>
      <c r="W10">
        <f>IF(NORMALIZADO!BV10="",1,NORMALIZADO!BV10)</f>
        <v>1</v>
      </c>
      <c r="X10">
        <f>IF(NORMALIZADO!BW10="",0,NORMALIZADO!BW10)</f>
        <v>0</v>
      </c>
      <c r="Y10">
        <f>IF(NORMALIZADO!BX10="",0,NORMALIZADO!BX10)</f>
        <v>0</v>
      </c>
      <c r="Z10">
        <f>IF(NORMALIZADO!BY10="",0,NORMALIZADO!BY10)</f>
        <v>0</v>
      </c>
      <c r="AA10">
        <v>0</v>
      </c>
      <c r="AB10">
        <v>0</v>
      </c>
      <c r="AC10">
        <v>0</v>
      </c>
      <c r="AD10">
        <v>0</v>
      </c>
      <c r="AE10">
        <v>0</v>
      </c>
      <c r="AF10">
        <v>0</v>
      </c>
      <c r="AG10">
        <v>0</v>
      </c>
      <c r="AH10">
        <v>0</v>
      </c>
      <c r="AI10">
        <v>0</v>
      </c>
      <c r="AJ10">
        <v>0</v>
      </c>
      <c r="AK10">
        <v>0</v>
      </c>
      <c r="AL10">
        <v>0</v>
      </c>
      <c r="AM10">
        <v>0</v>
      </c>
      <c r="AN10">
        <v>0</v>
      </c>
      <c r="AO10">
        <f t="shared" si="4"/>
        <v>0</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N/A")</f>
        <v>5.2083333333333336E-2</v>
      </c>
      <c r="AQ10">
        <f>IF(ISNUMBER(M10),1,0)+IF(ISNUMBER(SCORECARDS!H10),1,0)+IF(ISNUMBER(SCORECARDS!I10),1,0)+IF(ISNUMBER(SCORECARDS!J10),1,0)+IF(ISNUMBER(ISCAM_Score!K11),1,0)+IF(ISNUMBER(O10),1,0)+IF(COUNT(W10:Z10)&gt;0,1,0)</f>
        <v>3</v>
      </c>
    </row>
    <row r="11" spans="1:43" ht="16.05" customHeight="1" x14ac:dyDescent="0.3">
      <c r="A11" t="s">
        <v>93</v>
      </c>
      <c r="B11" t="s">
        <v>94</v>
      </c>
      <c r="C11" t="s">
        <v>80</v>
      </c>
      <c r="D11" t="s">
        <v>65</v>
      </c>
      <c r="E11">
        <v>681394.36</v>
      </c>
      <c r="F11">
        <v>6</v>
      </c>
      <c r="G11" t="s">
        <v>66</v>
      </c>
      <c r="J11" t="s">
        <v>67</v>
      </c>
      <c r="L11">
        <v>0</v>
      </c>
      <c r="M11">
        <f t="shared" si="0"/>
        <v>0</v>
      </c>
      <c r="N11" t="s">
        <v>68</v>
      </c>
      <c r="O11">
        <f t="shared" si="1"/>
        <v>0</v>
      </c>
      <c r="P11" t="s">
        <v>68</v>
      </c>
      <c r="S11">
        <f t="shared" si="2"/>
        <v>0</v>
      </c>
      <c r="T11" t="str">
        <f t="shared" si="3"/>
        <v>⬜  Parcial · Inst. 2 pendiente</v>
      </c>
      <c r="U11" s="53">
        <v>1</v>
      </c>
      <c r="V11" t="s">
        <v>69</v>
      </c>
      <c r="W11">
        <f>IF(NORMALIZADO!BV11="",0,NORMALIZADO!BV11)</f>
        <v>0</v>
      </c>
      <c r="X11">
        <f>IF(NORMALIZADO!BW11="",0,NORMALIZADO!BW11)</f>
        <v>0</v>
      </c>
      <c r="Y11">
        <f>IF(NORMALIZADO!BX11="",0,NORMALIZADO!BX11)</f>
        <v>0</v>
      </c>
      <c r="Z11">
        <f>IF(NORMALIZADO!BY11="",0,NORMALIZADO!BY11)</f>
        <v>0</v>
      </c>
      <c r="AA11">
        <v>0</v>
      </c>
      <c r="AB11">
        <v>0</v>
      </c>
      <c r="AC11">
        <v>0</v>
      </c>
      <c r="AD11">
        <v>0</v>
      </c>
      <c r="AE11">
        <v>0</v>
      </c>
      <c r="AF11">
        <v>0</v>
      </c>
      <c r="AG11">
        <v>0</v>
      </c>
      <c r="AH11">
        <v>0</v>
      </c>
      <c r="AI11">
        <v>0</v>
      </c>
      <c r="AJ11">
        <v>0</v>
      </c>
      <c r="AK11">
        <v>0</v>
      </c>
      <c r="AL11">
        <v>0</v>
      </c>
      <c r="AM11">
        <v>0</v>
      </c>
      <c r="AN11">
        <v>0</v>
      </c>
      <c r="AO11">
        <f t="shared" si="4"/>
        <v>0</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N/A")</f>
        <v>0</v>
      </c>
      <c r="AQ11">
        <f>IF(ISNUMBER(M11),1,0)+IF(ISNUMBER(SCORECARDS!H11),1,0)+IF(ISNUMBER(SCORECARDS!I11),1,0)+IF(ISNUMBER(SCORECARDS!J11),1,0)+IF(ISNUMBER(ISCAM_Score!K12),1,0)+IF(ISNUMBER(O11),1,0)+IF(COUNT(W11:Z11)&gt;0,1,0)</f>
        <v>3</v>
      </c>
    </row>
    <row r="12" spans="1:43" ht="16.05" customHeight="1" x14ac:dyDescent="0.3">
      <c r="A12" t="s">
        <v>95</v>
      </c>
      <c r="B12" t="s">
        <v>96</v>
      </c>
      <c r="C12" t="s">
        <v>80</v>
      </c>
      <c r="D12" t="s">
        <v>65</v>
      </c>
      <c r="E12">
        <v>4445611.5999999978</v>
      </c>
      <c r="F12">
        <v>33</v>
      </c>
      <c r="G12" t="s">
        <v>66</v>
      </c>
      <c r="H12" t="s">
        <v>81</v>
      </c>
      <c r="I12" t="s">
        <v>92</v>
      </c>
      <c r="J12" t="s">
        <v>67</v>
      </c>
      <c r="K12" t="s">
        <v>85</v>
      </c>
      <c r="L12">
        <v>894391.27</v>
      </c>
      <c r="M12">
        <f t="shared" si="0"/>
        <v>20.100000000000001</v>
      </c>
      <c r="N12" t="s">
        <v>68</v>
      </c>
      <c r="O12">
        <f t="shared" si="1"/>
        <v>0</v>
      </c>
      <c r="P12" t="s">
        <v>68</v>
      </c>
      <c r="Q12">
        <v>660</v>
      </c>
      <c r="R12">
        <v>1670</v>
      </c>
      <c r="S12">
        <f t="shared" si="2"/>
        <v>13.6</v>
      </c>
      <c r="T12" t="str">
        <f t="shared" si="3"/>
        <v>⬜  Parcial · Inst. 2 pendiente</v>
      </c>
      <c r="U12" s="54">
        <v>0.75</v>
      </c>
      <c r="V12" t="s">
        <v>97</v>
      </c>
      <c r="W12">
        <f>IF(NORMALIZADO!BV12="",1,NORMALIZADO!BV12)</f>
        <v>1</v>
      </c>
      <c r="X12">
        <f>IF(NORMALIZADO!BW12="",0,NORMALIZADO!BW12)</f>
        <v>0</v>
      </c>
      <c r="Y12">
        <f>IF(NORMALIZADO!BX12="",0,NORMALIZADO!BX12)</f>
        <v>0</v>
      </c>
      <c r="Z12">
        <f>IF(NORMALIZADO!BY12="",0,NORMALIZADO!BY12)</f>
        <v>0</v>
      </c>
      <c r="AA12">
        <v>0</v>
      </c>
      <c r="AB12">
        <v>0</v>
      </c>
      <c r="AC12">
        <v>0</v>
      </c>
      <c r="AD12">
        <v>0</v>
      </c>
      <c r="AE12">
        <v>0</v>
      </c>
      <c r="AF12">
        <v>0</v>
      </c>
      <c r="AG12">
        <v>0</v>
      </c>
      <c r="AH12">
        <v>0</v>
      </c>
      <c r="AI12">
        <v>0</v>
      </c>
      <c r="AJ12">
        <v>0</v>
      </c>
      <c r="AK12">
        <v>0</v>
      </c>
      <c r="AL12">
        <v>0</v>
      </c>
      <c r="AM12">
        <v>0</v>
      </c>
      <c r="AN12">
        <v>0</v>
      </c>
      <c r="AO12">
        <f t="shared" si="4"/>
        <v>0</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N/A")</f>
        <v>0.13583333333333333</v>
      </c>
      <c r="AQ12">
        <f>IF(ISNUMBER(M12),1,0)+IF(ISNUMBER(SCORECARDS!H12),1,0)+IF(ISNUMBER(SCORECARDS!I12),1,0)+IF(ISNUMBER(SCORECARDS!J12),1,0)+IF(ISNUMBER(ISCAM_Score!K13),1,0)+IF(ISNUMBER(O12),1,0)+IF(COUNT(W12:Z12)&gt;0,1,0)</f>
        <v>3</v>
      </c>
    </row>
    <row r="13" spans="1:43" ht="16.05" customHeight="1" x14ac:dyDescent="0.3">
      <c r="A13" t="s">
        <v>98</v>
      </c>
      <c r="B13" t="s">
        <v>99</v>
      </c>
      <c r="C13" t="s">
        <v>80</v>
      </c>
      <c r="D13" t="s">
        <v>65</v>
      </c>
      <c r="E13">
        <v>0</v>
      </c>
      <c r="G13" t="s">
        <v>74</v>
      </c>
      <c r="H13" t="s">
        <v>81</v>
      </c>
      <c r="I13" t="s">
        <v>100</v>
      </c>
      <c r="J13" t="s">
        <v>67</v>
      </c>
      <c r="K13" t="s">
        <v>85</v>
      </c>
      <c r="L13">
        <v>0</v>
      </c>
      <c r="M13">
        <f t="shared" si="0"/>
        <v>0</v>
      </c>
      <c r="N13" t="s">
        <v>68</v>
      </c>
      <c r="O13">
        <f t="shared" si="1"/>
        <v>0</v>
      </c>
      <c r="P13" t="s">
        <v>68</v>
      </c>
      <c r="Q13">
        <v>49</v>
      </c>
      <c r="R13">
        <v>136.9</v>
      </c>
      <c r="S13">
        <f t="shared" si="2"/>
        <v>5.2</v>
      </c>
      <c r="T13" t="str">
        <f t="shared" si="3"/>
        <v>⬜  Parcial · Inst. 2 pendiente</v>
      </c>
      <c r="U13" s="53">
        <v>1</v>
      </c>
      <c r="V13" t="s">
        <v>69</v>
      </c>
      <c r="W13">
        <f>IF(NORMALIZADO!BV13="",1,NORMALIZADO!BV13)</f>
        <v>1</v>
      </c>
      <c r="X13">
        <f>IF(NORMALIZADO!BW13="",0,NORMALIZADO!BW13)</f>
        <v>0</v>
      </c>
      <c r="Y13">
        <f>IF(NORMALIZADO!BX13="",0,NORMALIZADO!BX13)</f>
        <v>0</v>
      </c>
      <c r="Z13">
        <f>IF(NORMALIZADO!BY13="",0,NORMALIZADO!BY13)</f>
        <v>0</v>
      </c>
      <c r="AA13">
        <v>0</v>
      </c>
      <c r="AB13">
        <v>0</v>
      </c>
      <c r="AC13">
        <v>0</v>
      </c>
      <c r="AD13">
        <v>0</v>
      </c>
      <c r="AE13">
        <v>0</v>
      </c>
      <c r="AF13">
        <v>0</v>
      </c>
      <c r="AG13">
        <v>0</v>
      </c>
      <c r="AH13">
        <v>0</v>
      </c>
      <c r="AI13">
        <v>0</v>
      </c>
      <c r="AJ13">
        <v>0</v>
      </c>
      <c r="AK13">
        <v>0</v>
      </c>
      <c r="AL13">
        <v>0</v>
      </c>
      <c r="AM13">
        <v>0</v>
      </c>
      <c r="AN13">
        <v>0</v>
      </c>
      <c r="AO13">
        <f t="shared" si="4"/>
        <v>0</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N/A")</f>
        <v>5.2083333333333336E-2</v>
      </c>
      <c r="AQ13">
        <f>IF(ISNUMBER(M13),1,0)+IF(ISNUMBER(SCORECARDS!H13),1,0)+IF(ISNUMBER(SCORECARDS!I13),1,0)+IF(ISNUMBER(SCORECARDS!J13),1,0)+IF(ISNUMBER(ISCAM_Score!K14),1,0)+IF(ISNUMBER(O13),1,0)+IF(COUNT(W13:Z13)&gt;0,1,0)</f>
        <v>3</v>
      </c>
    </row>
    <row r="14" spans="1:43" ht="16.05" customHeight="1" x14ac:dyDescent="0.3">
      <c r="A14" t="s">
        <v>101</v>
      </c>
      <c r="B14" t="s">
        <v>102</v>
      </c>
      <c r="C14" t="s">
        <v>72</v>
      </c>
      <c r="D14" t="s">
        <v>73</v>
      </c>
      <c r="E14">
        <v>4030694.66</v>
      </c>
      <c r="F14">
        <v>14</v>
      </c>
      <c r="G14" t="s">
        <v>66</v>
      </c>
      <c r="J14" t="s">
        <v>67</v>
      </c>
      <c r="L14">
        <v>2015347.33</v>
      </c>
      <c r="M14">
        <f t="shared" si="0"/>
        <v>50</v>
      </c>
      <c r="N14" t="s">
        <v>68</v>
      </c>
      <c r="O14">
        <f t="shared" si="1"/>
        <v>0</v>
      </c>
      <c r="P14" t="s">
        <v>68</v>
      </c>
      <c r="S14">
        <f t="shared" si="2"/>
        <v>26</v>
      </c>
      <c r="T14" t="str">
        <f t="shared" si="3"/>
        <v>⬜  Parcial · Inst. 2 pendiente</v>
      </c>
      <c r="U14" s="53">
        <v>1</v>
      </c>
      <c r="V14" t="s">
        <v>69</v>
      </c>
      <c r="W14">
        <f>IF(NORMALIZADO!BV14="",1,NORMALIZADO!BV14)</f>
        <v>1</v>
      </c>
      <c r="X14">
        <f>IF(NORMALIZADO!BW14="",0,NORMALIZADO!BW14)</f>
        <v>0</v>
      </c>
      <c r="Y14">
        <f>IF(NORMALIZADO!BX14="",0,NORMALIZADO!BX14)</f>
        <v>0</v>
      </c>
      <c r="Z14">
        <f>IF(NORMALIZADO!BY14="",0,NORMALIZADO!BY14)</f>
        <v>0</v>
      </c>
      <c r="AA14">
        <v>0</v>
      </c>
      <c r="AB14">
        <v>0</v>
      </c>
      <c r="AC14">
        <v>0</v>
      </c>
      <c r="AD14">
        <v>0</v>
      </c>
      <c r="AE14">
        <v>0</v>
      </c>
      <c r="AF14">
        <v>0</v>
      </c>
      <c r="AG14">
        <v>0</v>
      </c>
      <c r="AH14">
        <v>0</v>
      </c>
      <c r="AI14">
        <v>0</v>
      </c>
      <c r="AJ14">
        <v>0</v>
      </c>
      <c r="AK14">
        <v>0</v>
      </c>
      <c r="AL14">
        <v>0</v>
      </c>
      <c r="AM14">
        <v>0</v>
      </c>
      <c r="AN14">
        <v>0</v>
      </c>
      <c r="AO14">
        <f t="shared" si="4"/>
        <v>0</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N/A")</f>
        <v>0.26041666666666669</v>
      </c>
      <c r="AQ14">
        <f>IF(ISNUMBER(M14),1,0)+IF(ISNUMBER(SCORECARDS!H14),1,0)+IF(ISNUMBER(SCORECARDS!I14),1,0)+IF(ISNUMBER(SCORECARDS!J14),1,0)+IF(ISNUMBER(ISCAM_Score!K15),1,0)+IF(ISNUMBER(O14),1,0)+IF(COUNT(W14:Z14)&gt;0,1,0)</f>
        <v>3</v>
      </c>
    </row>
    <row r="15" spans="1:43" ht="16.05" customHeight="1" x14ac:dyDescent="0.3">
      <c r="A15" t="s">
        <v>103</v>
      </c>
      <c r="B15" t="s">
        <v>104</v>
      </c>
      <c r="C15" t="s">
        <v>64</v>
      </c>
      <c r="D15" t="s">
        <v>65</v>
      </c>
      <c r="G15" t="s">
        <v>74</v>
      </c>
      <c r="J15" t="s">
        <v>67</v>
      </c>
      <c r="L15">
        <v>0</v>
      </c>
      <c r="M15">
        <f t="shared" si="0"/>
        <v>0</v>
      </c>
      <c r="N15" t="s">
        <v>68</v>
      </c>
      <c r="O15">
        <f t="shared" si="1"/>
        <v>0</v>
      </c>
      <c r="P15" t="s">
        <v>68</v>
      </c>
      <c r="S15">
        <f t="shared" si="2"/>
        <v>0</v>
      </c>
      <c r="T15" t="str">
        <f t="shared" si="3"/>
        <v>⬜  Parcial · Inst. 2 pendiente</v>
      </c>
      <c r="U15" s="53">
        <v>1</v>
      </c>
      <c r="V15" t="s">
        <v>69</v>
      </c>
      <c r="W15">
        <f>IF(NORMALIZADO!BV15="",0,NORMALIZADO!BV15)</f>
        <v>0</v>
      </c>
      <c r="X15">
        <f>IF(NORMALIZADO!BW15="",0,NORMALIZADO!BW15)</f>
        <v>0</v>
      </c>
      <c r="Y15">
        <f>IF(NORMALIZADO!BX15="",0,NORMALIZADO!BX15)</f>
        <v>0</v>
      </c>
      <c r="Z15">
        <f>IF(NORMALIZADO!BY15="",0,NORMALIZADO!BY15)</f>
        <v>0</v>
      </c>
      <c r="AA15">
        <v>0</v>
      </c>
      <c r="AB15">
        <v>0</v>
      </c>
      <c r="AC15">
        <v>0</v>
      </c>
      <c r="AD15">
        <v>0</v>
      </c>
      <c r="AE15">
        <v>0</v>
      </c>
      <c r="AF15">
        <v>0</v>
      </c>
      <c r="AG15">
        <v>0</v>
      </c>
      <c r="AH15">
        <v>0</v>
      </c>
      <c r="AI15">
        <v>0</v>
      </c>
      <c r="AJ15">
        <v>0</v>
      </c>
      <c r="AK15">
        <v>0</v>
      </c>
      <c r="AL15">
        <v>0</v>
      </c>
      <c r="AM15">
        <v>0</v>
      </c>
      <c r="AN15">
        <v>0</v>
      </c>
      <c r="AO15">
        <f t="shared" si="4"/>
        <v>0</v>
      </c>
      <c r="AP15">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N/A")</f>
        <v>0</v>
      </c>
      <c r="AQ15">
        <f>IF(ISNUMBER(M15),1,0)+IF(ISNUMBER(SCORECARDS!H15),1,0)+IF(ISNUMBER(SCORECARDS!I15),1,0)+IF(ISNUMBER(SCORECARDS!J15),1,0)+IF(ISNUMBER(ISCAM_Score!K16),1,0)+IF(ISNUMBER(O15),1,0)+IF(COUNT(W15:Z15)&gt;0,1,0)</f>
        <v>3</v>
      </c>
    </row>
    <row r="16" spans="1:43" ht="16.05" customHeight="1" x14ac:dyDescent="0.3">
      <c r="A16" t="s">
        <v>105</v>
      </c>
      <c r="B16" t="s">
        <v>106</v>
      </c>
      <c r="C16" t="s">
        <v>107</v>
      </c>
      <c r="D16" t="s">
        <v>65</v>
      </c>
      <c r="G16" t="s">
        <v>74</v>
      </c>
      <c r="J16" t="s">
        <v>67</v>
      </c>
      <c r="L16">
        <v>0</v>
      </c>
      <c r="M16">
        <f t="shared" si="0"/>
        <v>0</v>
      </c>
      <c r="N16" t="s">
        <v>68</v>
      </c>
      <c r="O16">
        <f t="shared" si="1"/>
        <v>0</v>
      </c>
      <c r="P16" t="s">
        <v>68</v>
      </c>
      <c r="S16">
        <f t="shared" si="2"/>
        <v>0</v>
      </c>
      <c r="T16" t="str">
        <f t="shared" si="3"/>
        <v>⬜  Parcial · Inst. 2 pendiente</v>
      </c>
      <c r="U16" s="53">
        <v>1</v>
      </c>
      <c r="V16" t="s">
        <v>69</v>
      </c>
      <c r="W16">
        <f>IF(NORMALIZADO!BV16="",0,NORMALIZADO!BV16)</f>
        <v>0</v>
      </c>
      <c r="X16">
        <f>IF(NORMALIZADO!BW16="",0,NORMALIZADO!BW16)</f>
        <v>0</v>
      </c>
      <c r="Y16">
        <f>IF(NORMALIZADO!BX16="",0,NORMALIZADO!BX16)</f>
        <v>0</v>
      </c>
      <c r="Z16">
        <f>IF(NORMALIZADO!BY16="",0,NORMALIZADO!BY16)</f>
        <v>0</v>
      </c>
      <c r="AA16">
        <v>0</v>
      </c>
      <c r="AB16">
        <v>0</v>
      </c>
      <c r="AC16">
        <v>0</v>
      </c>
      <c r="AD16">
        <v>0</v>
      </c>
      <c r="AE16">
        <v>0</v>
      </c>
      <c r="AF16">
        <v>0</v>
      </c>
      <c r="AG16">
        <v>0</v>
      </c>
      <c r="AH16">
        <v>0</v>
      </c>
      <c r="AI16">
        <v>0</v>
      </c>
      <c r="AJ16">
        <v>0</v>
      </c>
      <c r="AK16">
        <v>0</v>
      </c>
      <c r="AL16">
        <v>0</v>
      </c>
      <c r="AM16">
        <v>0</v>
      </c>
      <c r="AN16">
        <v>0</v>
      </c>
      <c r="AO16">
        <f t="shared" si="4"/>
        <v>0</v>
      </c>
      <c r="AP16">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N/A")</f>
        <v>0</v>
      </c>
      <c r="AQ16">
        <f>IF(ISNUMBER(M16),1,0)+IF(ISNUMBER(SCORECARDS!H16),1,0)+IF(ISNUMBER(SCORECARDS!I16),1,0)+IF(ISNUMBER(SCORECARDS!J16),1,0)+IF(ISNUMBER(ISCAM_Score!K17),1,0)+IF(ISNUMBER(O16),1,0)+IF(COUNT(W16:Z16)&gt;0,1,0)</f>
        <v>3</v>
      </c>
    </row>
    <row r="17" spans="1:43" ht="16.05" customHeight="1" x14ac:dyDescent="0.3">
      <c r="A17" t="s">
        <v>108</v>
      </c>
      <c r="B17" t="s">
        <v>109</v>
      </c>
      <c r="C17" t="s">
        <v>80</v>
      </c>
      <c r="G17" t="s">
        <v>74</v>
      </c>
      <c r="H17" t="s">
        <v>81</v>
      </c>
      <c r="I17" t="s">
        <v>82</v>
      </c>
      <c r="J17" t="s">
        <v>110</v>
      </c>
      <c r="L17">
        <v>0</v>
      </c>
      <c r="M17">
        <f t="shared" si="0"/>
        <v>0</v>
      </c>
      <c r="N17" t="s">
        <v>68</v>
      </c>
      <c r="O17">
        <f t="shared" si="1"/>
        <v>0</v>
      </c>
      <c r="P17" t="s">
        <v>68</v>
      </c>
      <c r="Q17">
        <v>74</v>
      </c>
      <c r="R17">
        <v>150</v>
      </c>
      <c r="S17">
        <f t="shared" si="2"/>
        <v>5.2</v>
      </c>
      <c r="T17" t="str">
        <f t="shared" si="3"/>
        <v>⬜  Parcial · Inst. 2 pendiente</v>
      </c>
      <c r="U17" s="53">
        <v>1</v>
      </c>
      <c r="V17" t="s">
        <v>69</v>
      </c>
      <c r="W17">
        <f>IF(NORMALIZADO!BV17="",1,NORMALIZADO!BV17)</f>
        <v>1</v>
      </c>
      <c r="X17">
        <f>IF(NORMALIZADO!BW17="",0,NORMALIZADO!BW17)</f>
        <v>0</v>
      </c>
      <c r="Y17">
        <f>IF(NORMALIZADO!BX17="",0,NORMALIZADO!BX17)</f>
        <v>0</v>
      </c>
      <c r="Z17">
        <f>IF(NORMALIZADO!BY17="",0,NORMALIZADO!BY17)</f>
        <v>0</v>
      </c>
      <c r="AA17">
        <v>0</v>
      </c>
      <c r="AB17">
        <v>0</v>
      </c>
      <c r="AC17">
        <v>0</v>
      </c>
      <c r="AD17">
        <v>0</v>
      </c>
      <c r="AE17">
        <v>0</v>
      </c>
      <c r="AF17">
        <v>0</v>
      </c>
      <c r="AG17">
        <v>0</v>
      </c>
      <c r="AH17">
        <v>0</v>
      </c>
      <c r="AI17">
        <v>0</v>
      </c>
      <c r="AJ17">
        <v>0</v>
      </c>
      <c r="AK17">
        <v>0</v>
      </c>
      <c r="AL17">
        <v>0</v>
      </c>
      <c r="AM17">
        <v>0</v>
      </c>
      <c r="AN17">
        <v>0</v>
      </c>
      <c r="AO17">
        <f t="shared" si="4"/>
        <v>0</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N/A")</f>
        <v>5.2083333333333336E-2</v>
      </c>
      <c r="AQ17">
        <f>IF(ISNUMBER(M17),1,0)+IF(ISNUMBER(SCORECARDS!H17),1,0)+IF(ISNUMBER(SCORECARDS!I17),1,0)+IF(ISNUMBER(SCORECARDS!J17),1,0)+IF(ISNUMBER(ISCAM_Score!K18),1,0)+IF(ISNUMBER(O17),1,0)+IF(COUNT(W17:Z17)&gt;0,1,0)</f>
        <v>3</v>
      </c>
    </row>
    <row r="18" spans="1:43" ht="16.05" customHeight="1" x14ac:dyDescent="0.3">
      <c r="A18" t="s">
        <v>111</v>
      </c>
      <c r="B18" t="s">
        <v>112</v>
      </c>
      <c r="C18" t="s">
        <v>113</v>
      </c>
      <c r="D18" t="s">
        <v>73</v>
      </c>
      <c r="G18" t="s">
        <v>74</v>
      </c>
      <c r="J18" t="s">
        <v>67</v>
      </c>
      <c r="L18">
        <v>0</v>
      </c>
      <c r="M18">
        <f t="shared" si="0"/>
        <v>0</v>
      </c>
      <c r="N18" t="s">
        <v>68</v>
      </c>
      <c r="O18">
        <f t="shared" si="1"/>
        <v>0</v>
      </c>
      <c r="P18" t="s">
        <v>68</v>
      </c>
      <c r="S18">
        <f t="shared" si="2"/>
        <v>0</v>
      </c>
      <c r="T18" t="str">
        <f t="shared" si="3"/>
        <v>⬜  Parcial · Inst. 2 pendiente</v>
      </c>
      <c r="U18" s="53">
        <v>1</v>
      </c>
      <c r="V18" t="s">
        <v>69</v>
      </c>
      <c r="W18">
        <f>IF(NORMALIZADO!BV18="",0,NORMALIZADO!BV18)</f>
        <v>0</v>
      </c>
      <c r="X18">
        <f>IF(NORMALIZADO!BW18="",0,NORMALIZADO!BW18)</f>
        <v>0</v>
      </c>
      <c r="Y18">
        <f>IF(NORMALIZADO!BX18="",0,NORMALIZADO!BX18)</f>
        <v>0</v>
      </c>
      <c r="Z18">
        <f>IF(NORMALIZADO!BY18="",0,NORMALIZADO!BY18)</f>
        <v>0</v>
      </c>
      <c r="AA18">
        <v>0</v>
      </c>
      <c r="AB18">
        <v>0</v>
      </c>
      <c r="AC18">
        <v>0</v>
      </c>
      <c r="AD18">
        <v>0</v>
      </c>
      <c r="AE18">
        <v>0</v>
      </c>
      <c r="AF18">
        <v>0</v>
      </c>
      <c r="AG18">
        <v>0</v>
      </c>
      <c r="AH18">
        <v>0</v>
      </c>
      <c r="AI18">
        <v>0</v>
      </c>
      <c r="AJ18">
        <v>0</v>
      </c>
      <c r="AK18">
        <v>0</v>
      </c>
      <c r="AL18">
        <v>0</v>
      </c>
      <c r="AM18">
        <v>0</v>
      </c>
      <c r="AN18">
        <v>0</v>
      </c>
      <c r="AO18">
        <f t="shared" si="4"/>
        <v>0</v>
      </c>
      <c r="AP18">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N/A")</f>
        <v>0</v>
      </c>
      <c r="AQ18">
        <f>IF(ISNUMBER(M18),1,0)+IF(ISNUMBER(SCORECARDS!H18),1,0)+IF(ISNUMBER(SCORECARDS!I18),1,0)+IF(ISNUMBER(SCORECARDS!J18),1,0)+IF(ISNUMBER(ISCAM_Score!K19),1,0)+IF(ISNUMBER(O18),1,0)+IF(COUNT(W18:Z18)&gt;0,1,0)</f>
        <v>3</v>
      </c>
    </row>
    <row r="19" spans="1:43" ht="16.05" customHeight="1" x14ac:dyDescent="0.3">
      <c r="A19" t="s">
        <v>114</v>
      </c>
      <c r="B19" t="s">
        <v>115</v>
      </c>
      <c r="C19" t="s">
        <v>116</v>
      </c>
      <c r="D19" t="s">
        <v>65</v>
      </c>
      <c r="E19">
        <v>9070756.8800000008</v>
      </c>
      <c r="F19">
        <v>41</v>
      </c>
      <c r="G19" t="s">
        <v>66</v>
      </c>
      <c r="J19" t="s">
        <v>67</v>
      </c>
      <c r="L19">
        <v>4535378.4400000004</v>
      </c>
      <c r="M19">
        <f t="shared" si="0"/>
        <v>50</v>
      </c>
      <c r="N19" t="s">
        <v>68</v>
      </c>
      <c r="O19">
        <f t="shared" si="1"/>
        <v>0</v>
      </c>
      <c r="P19" t="s">
        <v>68</v>
      </c>
      <c r="S19">
        <f t="shared" si="2"/>
        <v>26</v>
      </c>
      <c r="T19" t="str">
        <f t="shared" si="3"/>
        <v>⬜  Parcial · Inst. 2 pendiente</v>
      </c>
      <c r="U19" s="53">
        <v>1</v>
      </c>
      <c r="V19" t="s">
        <v>69</v>
      </c>
      <c r="W19">
        <f>IF(NORMALIZADO!BV19="",1,NORMALIZADO!BV19)</f>
        <v>1</v>
      </c>
      <c r="X19">
        <f>IF(NORMALIZADO!BW19="",0,NORMALIZADO!BW19)</f>
        <v>0</v>
      </c>
      <c r="Y19">
        <f>IF(NORMALIZADO!BX19="",0,NORMALIZADO!BX19)</f>
        <v>0</v>
      </c>
      <c r="Z19">
        <f>IF(NORMALIZADO!BY19="",0,NORMALIZADO!BY19)</f>
        <v>0</v>
      </c>
      <c r="AA19">
        <v>0</v>
      </c>
      <c r="AB19">
        <v>0</v>
      </c>
      <c r="AC19">
        <v>0</v>
      </c>
      <c r="AD19">
        <v>0</v>
      </c>
      <c r="AE19">
        <v>0</v>
      </c>
      <c r="AF19">
        <v>0</v>
      </c>
      <c r="AG19">
        <v>0</v>
      </c>
      <c r="AH19">
        <v>0</v>
      </c>
      <c r="AI19">
        <v>0</v>
      </c>
      <c r="AJ19">
        <v>0</v>
      </c>
      <c r="AK19">
        <v>0</v>
      </c>
      <c r="AL19">
        <v>0</v>
      </c>
      <c r="AM19">
        <v>0</v>
      </c>
      <c r="AN19">
        <v>0</v>
      </c>
      <c r="AO19">
        <f t="shared" si="4"/>
        <v>0</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N/A")</f>
        <v>0.26041666666666669</v>
      </c>
      <c r="AQ19">
        <f>IF(ISNUMBER(M19),1,0)+IF(ISNUMBER(SCORECARDS!H19),1,0)+IF(ISNUMBER(SCORECARDS!I19),1,0)+IF(ISNUMBER(SCORECARDS!J19),1,0)+IF(ISNUMBER(ISCAM_Score!K20),1,0)+IF(ISNUMBER(O19),1,0)+IF(COUNT(W19:Z19)&gt;0,1,0)</f>
        <v>3</v>
      </c>
    </row>
    <row r="20" spans="1:43" ht="16.05" customHeight="1" x14ac:dyDescent="0.3">
      <c r="A20" t="s">
        <v>117</v>
      </c>
      <c r="B20" t="s">
        <v>118</v>
      </c>
      <c r="C20" t="s">
        <v>80</v>
      </c>
      <c r="G20" t="s">
        <v>74</v>
      </c>
      <c r="H20" t="s">
        <v>81</v>
      </c>
      <c r="I20" t="s">
        <v>82</v>
      </c>
      <c r="J20" t="s">
        <v>67</v>
      </c>
      <c r="L20">
        <v>0</v>
      </c>
      <c r="M20">
        <f t="shared" si="0"/>
        <v>0</v>
      </c>
      <c r="N20" t="s">
        <v>68</v>
      </c>
      <c r="O20">
        <f t="shared" si="1"/>
        <v>0</v>
      </c>
      <c r="P20" t="s">
        <v>68</v>
      </c>
      <c r="Q20">
        <v>36</v>
      </c>
      <c r="R20">
        <v>38</v>
      </c>
      <c r="S20">
        <f t="shared" si="2"/>
        <v>5.2</v>
      </c>
      <c r="T20" t="str">
        <f t="shared" si="3"/>
        <v>⬜  Parcial · Inst. 2 pendiente</v>
      </c>
      <c r="U20" s="53">
        <v>1</v>
      </c>
      <c r="V20" t="s">
        <v>69</v>
      </c>
      <c r="W20">
        <f>IF(NORMALIZADO!BV20="",1,NORMALIZADO!BV20)</f>
        <v>1</v>
      </c>
      <c r="X20">
        <f>IF(NORMALIZADO!BW20="",0,NORMALIZADO!BW20)</f>
        <v>0</v>
      </c>
      <c r="Y20">
        <f>IF(NORMALIZADO!BX20="",0,NORMALIZADO!BX20)</f>
        <v>0</v>
      </c>
      <c r="Z20">
        <f>IF(NORMALIZADO!BY20="",0,NORMALIZADO!BY20)</f>
        <v>0</v>
      </c>
      <c r="AA20">
        <v>0</v>
      </c>
      <c r="AB20">
        <v>0</v>
      </c>
      <c r="AC20">
        <v>0</v>
      </c>
      <c r="AD20">
        <v>0</v>
      </c>
      <c r="AE20">
        <v>0</v>
      </c>
      <c r="AF20">
        <v>0</v>
      </c>
      <c r="AG20">
        <v>0</v>
      </c>
      <c r="AH20">
        <v>0</v>
      </c>
      <c r="AI20">
        <v>0</v>
      </c>
      <c r="AJ20">
        <v>0</v>
      </c>
      <c r="AK20">
        <v>0</v>
      </c>
      <c r="AL20">
        <v>0</v>
      </c>
      <c r="AM20">
        <v>0</v>
      </c>
      <c r="AN20">
        <v>0</v>
      </c>
      <c r="AO20">
        <f t="shared" si="4"/>
        <v>0</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N/A")</f>
        <v>5.2083333333333336E-2</v>
      </c>
      <c r="AQ20">
        <f>IF(ISNUMBER(M20),1,0)+IF(ISNUMBER(SCORECARDS!H20),1,0)+IF(ISNUMBER(SCORECARDS!I20),1,0)+IF(ISNUMBER(SCORECARDS!J20),1,0)+IF(ISNUMBER(ISCAM_Score!K21),1,0)+IF(ISNUMBER(O20),1,0)+IF(COUNT(W20:Z20)&gt;0,1,0)</f>
        <v>3</v>
      </c>
    </row>
    <row r="21" spans="1:43" ht="16.05" customHeight="1" x14ac:dyDescent="0.3">
      <c r="A21" t="s">
        <v>119</v>
      </c>
      <c r="B21" t="s">
        <v>120</v>
      </c>
      <c r="C21" t="s">
        <v>113</v>
      </c>
      <c r="D21" t="s">
        <v>73</v>
      </c>
      <c r="E21">
        <v>0</v>
      </c>
      <c r="G21" t="s">
        <v>74</v>
      </c>
      <c r="J21" t="s">
        <v>110</v>
      </c>
      <c r="L21">
        <v>0</v>
      </c>
      <c r="M21">
        <f t="shared" si="0"/>
        <v>0</v>
      </c>
      <c r="N21" t="s">
        <v>68</v>
      </c>
      <c r="O21">
        <f t="shared" si="1"/>
        <v>0</v>
      </c>
      <c r="P21" t="s">
        <v>68</v>
      </c>
      <c r="S21">
        <f t="shared" si="2"/>
        <v>0</v>
      </c>
      <c r="T21" t="str">
        <f t="shared" si="3"/>
        <v>⬜  Parcial · Inst. 2 pendiente</v>
      </c>
      <c r="U21" s="53">
        <v>1</v>
      </c>
      <c r="V21" t="s">
        <v>69</v>
      </c>
      <c r="W21">
        <f>IF(NORMALIZADO!BV21="",0,NORMALIZADO!BV21)</f>
        <v>0</v>
      </c>
      <c r="X21">
        <f>IF(NORMALIZADO!BW21="",0,NORMALIZADO!BW21)</f>
        <v>0</v>
      </c>
      <c r="Y21">
        <f>IF(NORMALIZADO!BX21="",0,NORMALIZADO!BX21)</f>
        <v>0</v>
      </c>
      <c r="Z21">
        <f>IF(NORMALIZADO!BY21="",0,NORMALIZADO!BY21)</f>
        <v>0</v>
      </c>
      <c r="AA21">
        <v>0</v>
      </c>
      <c r="AB21">
        <v>0</v>
      </c>
      <c r="AC21">
        <v>0</v>
      </c>
      <c r="AD21">
        <v>0</v>
      </c>
      <c r="AE21">
        <v>0</v>
      </c>
      <c r="AF21">
        <v>0</v>
      </c>
      <c r="AG21">
        <v>0</v>
      </c>
      <c r="AH21">
        <v>0</v>
      </c>
      <c r="AI21">
        <v>0</v>
      </c>
      <c r="AJ21">
        <v>0</v>
      </c>
      <c r="AK21">
        <v>0</v>
      </c>
      <c r="AL21">
        <v>0</v>
      </c>
      <c r="AM21">
        <v>0</v>
      </c>
      <c r="AN21">
        <v>0</v>
      </c>
      <c r="AO21">
        <f t="shared" si="4"/>
        <v>0</v>
      </c>
      <c r="AP21">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N/A")</f>
        <v>0</v>
      </c>
      <c r="AQ21">
        <f>IF(ISNUMBER(M21),1,0)+IF(ISNUMBER(SCORECARDS!H21),1,0)+IF(ISNUMBER(SCORECARDS!I21),1,0)+IF(ISNUMBER(SCORECARDS!J21),1,0)+IF(ISNUMBER(ISCAM_Score!K22),1,0)+IF(ISNUMBER(O21),1,0)+IF(COUNT(W21:Z21)&gt;0,1,0)</f>
        <v>3</v>
      </c>
    </row>
    <row r="22" spans="1:43" ht="16.05" customHeight="1" x14ac:dyDescent="0.3">
      <c r="A22" t="s">
        <v>121</v>
      </c>
      <c r="B22" t="s">
        <v>122</v>
      </c>
      <c r="C22" t="s">
        <v>123</v>
      </c>
      <c r="D22" t="s">
        <v>65</v>
      </c>
      <c r="E22">
        <v>0</v>
      </c>
      <c r="G22" t="s">
        <v>74</v>
      </c>
      <c r="J22" t="s">
        <v>67</v>
      </c>
      <c r="L22">
        <v>0</v>
      </c>
      <c r="M22">
        <f t="shared" si="0"/>
        <v>0</v>
      </c>
      <c r="N22" t="s">
        <v>68</v>
      </c>
      <c r="O22">
        <f t="shared" si="1"/>
        <v>0</v>
      </c>
      <c r="P22" t="s">
        <v>68</v>
      </c>
      <c r="S22">
        <f t="shared" si="2"/>
        <v>0</v>
      </c>
      <c r="T22" t="str">
        <f t="shared" si="3"/>
        <v>⬜  Parcial · Inst. 2 pendiente</v>
      </c>
      <c r="U22" s="53">
        <v>1</v>
      </c>
      <c r="V22" t="s">
        <v>69</v>
      </c>
      <c r="W22">
        <f>IF(NORMALIZADO!BV22="",0,NORMALIZADO!BV22)</f>
        <v>0</v>
      </c>
      <c r="X22">
        <f>IF(NORMALIZADO!BW22="",0,NORMALIZADO!BW22)</f>
        <v>0</v>
      </c>
      <c r="Y22">
        <f>IF(NORMALIZADO!BX22="",0,NORMALIZADO!BX22)</f>
        <v>0</v>
      </c>
      <c r="Z22">
        <f>IF(NORMALIZADO!BY22="",0,NORMALIZADO!BY22)</f>
        <v>0</v>
      </c>
      <c r="AA22">
        <v>0</v>
      </c>
      <c r="AB22">
        <v>0</v>
      </c>
      <c r="AC22">
        <v>0</v>
      </c>
      <c r="AD22">
        <v>0</v>
      </c>
      <c r="AE22">
        <v>0</v>
      </c>
      <c r="AF22">
        <v>0</v>
      </c>
      <c r="AG22">
        <v>0</v>
      </c>
      <c r="AH22">
        <v>0</v>
      </c>
      <c r="AI22">
        <v>0</v>
      </c>
      <c r="AJ22">
        <v>0</v>
      </c>
      <c r="AK22">
        <v>0</v>
      </c>
      <c r="AL22">
        <v>0</v>
      </c>
      <c r="AM22">
        <v>0</v>
      </c>
      <c r="AN22">
        <v>0</v>
      </c>
      <c r="AO22">
        <f t="shared" si="4"/>
        <v>0</v>
      </c>
      <c r="AP22">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N/A")</f>
        <v>0</v>
      </c>
      <c r="AQ22">
        <f>IF(ISNUMBER(M22),1,0)+IF(ISNUMBER(SCORECARDS!H22),1,0)+IF(ISNUMBER(SCORECARDS!I22),1,0)+IF(ISNUMBER(SCORECARDS!J22),1,0)+IF(ISNUMBER(ISCAM_Score!K23),1,0)+IF(ISNUMBER(O22),1,0)+IF(COUNT(W22:Z22)&gt;0,1,0)</f>
        <v>3</v>
      </c>
    </row>
    <row r="23" spans="1:43" ht="16.05" customHeight="1" x14ac:dyDescent="0.3">
      <c r="A23" t="s">
        <v>124</v>
      </c>
      <c r="B23" t="s">
        <v>125</v>
      </c>
      <c r="C23" t="s">
        <v>113</v>
      </c>
      <c r="D23" t="s">
        <v>73</v>
      </c>
      <c r="G23" t="s">
        <v>74</v>
      </c>
      <c r="J23" t="s">
        <v>67</v>
      </c>
      <c r="L23">
        <v>0</v>
      </c>
      <c r="M23">
        <f t="shared" si="0"/>
        <v>0</v>
      </c>
      <c r="N23" t="s">
        <v>68</v>
      </c>
      <c r="O23">
        <f t="shared" si="1"/>
        <v>0</v>
      </c>
      <c r="P23" t="s">
        <v>68</v>
      </c>
      <c r="S23">
        <f t="shared" si="2"/>
        <v>0</v>
      </c>
      <c r="T23" t="str">
        <f t="shared" si="3"/>
        <v>⬜  Parcial · Inst. 2 pendiente</v>
      </c>
      <c r="U23" s="53">
        <v>1</v>
      </c>
      <c r="V23" t="s">
        <v>69</v>
      </c>
      <c r="W23">
        <f>IF(NORMALIZADO!BV23="",0,NORMALIZADO!BV23)</f>
        <v>0</v>
      </c>
      <c r="X23">
        <f>IF(NORMALIZADO!BW23="",0,NORMALIZADO!BW23)</f>
        <v>0</v>
      </c>
      <c r="Y23">
        <f>IF(NORMALIZADO!BX23="",0,NORMALIZADO!BX23)</f>
        <v>0</v>
      </c>
      <c r="Z23">
        <f>IF(NORMALIZADO!BY23="",0,NORMALIZADO!BY23)</f>
        <v>0</v>
      </c>
      <c r="AA23">
        <v>0</v>
      </c>
      <c r="AB23">
        <v>0</v>
      </c>
      <c r="AC23">
        <v>0</v>
      </c>
      <c r="AD23">
        <v>0</v>
      </c>
      <c r="AE23">
        <v>0</v>
      </c>
      <c r="AF23">
        <v>0</v>
      </c>
      <c r="AG23">
        <v>0</v>
      </c>
      <c r="AH23">
        <v>0</v>
      </c>
      <c r="AI23">
        <v>0</v>
      </c>
      <c r="AJ23">
        <v>0</v>
      </c>
      <c r="AK23">
        <v>0</v>
      </c>
      <c r="AL23">
        <v>0</v>
      </c>
      <c r="AM23">
        <v>0</v>
      </c>
      <c r="AN23">
        <v>0</v>
      </c>
      <c r="AO23">
        <f t="shared" si="4"/>
        <v>0</v>
      </c>
      <c r="AP23">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N/A")</f>
        <v>0</v>
      </c>
      <c r="AQ23">
        <f>IF(ISNUMBER(M23),1,0)+IF(ISNUMBER(SCORECARDS!H23),1,0)+IF(ISNUMBER(SCORECARDS!I23),1,0)+IF(ISNUMBER(SCORECARDS!J23),1,0)+IF(ISNUMBER(ISCAM_Score!K24),1,0)+IF(ISNUMBER(O23),1,0)+IF(COUNT(W23:Z23)&gt;0,1,0)</f>
        <v>3</v>
      </c>
    </row>
    <row r="24" spans="1:43" ht="16.05" customHeight="1" x14ac:dyDescent="0.3">
      <c r="A24" t="s">
        <v>126</v>
      </c>
      <c r="B24" t="s">
        <v>127</v>
      </c>
      <c r="C24" t="s">
        <v>113</v>
      </c>
      <c r="D24" t="s">
        <v>73</v>
      </c>
      <c r="E24">
        <v>0</v>
      </c>
      <c r="G24" t="s">
        <v>74</v>
      </c>
      <c r="J24" t="s">
        <v>128</v>
      </c>
      <c r="L24">
        <v>0</v>
      </c>
      <c r="M24">
        <f t="shared" si="0"/>
        <v>0</v>
      </c>
      <c r="N24" t="s">
        <v>68</v>
      </c>
      <c r="O24">
        <f t="shared" si="1"/>
        <v>0</v>
      </c>
      <c r="P24" t="s">
        <v>68</v>
      </c>
      <c r="S24">
        <f t="shared" si="2"/>
        <v>0</v>
      </c>
      <c r="T24" t="str">
        <f t="shared" si="3"/>
        <v>⬜  Parcial · Inst. 2 pendiente</v>
      </c>
      <c r="U24" s="53">
        <v>1</v>
      </c>
      <c r="V24" t="s">
        <v>69</v>
      </c>
      <c r="W24">
        <f>IF(NORMALIZADO!BV24="",0,NORMALIZADO!BV24)</f>
        <v>0</v>
      </c>
      <c r="X24">
        <f>IF(NORMALIZADO!BW24="",0,NORMALIZADO!BW24)</f>
        <v>0</v>
      </c>
      <c r="Y24">
        <f>IF(NORMALIZADO!BX24="",0,NORMALIZADO!BX24)</f>
        <v>0</v>
      </c>
      <c r="Z24">
        <f>IF(NORMALIZADO!BY24="",0,NORMALIZADO!BY24)</f>
        <v>0</v>
      </c>
      <c r="AA24">
        <v>0</v>
      </c>
      <c r="AB24">
        <v>0</v>
      </c>
      <c r="AC24">
        <v>0</v>
      </c>
      <c r="AD24">
        <v>0</v>
      </c>
      <c r="AE24">
        <v>0</v>
      </c>
      <c r="AF24">
        <v>0</v>
      </c>
      <c r="AG24">
        <v>0</v>
      </c>
      <c r="AH24">
        <v>0</v>
      </c>
      <c r="AI24">
        <v>0</v>
      </c>
      <c r="AJ24">
        <v>0</v>
      </c>
      <c r="AK24">
        <v>0</v>
      </c>
      <c r="AL24">
        <v>0</v>
      </c>
      <c r="AM24">
        <v>0</v>
      </c>
      <c r="AN24">
        <v>0</v>
      </c>
      <c r="AO24">
        <f t="shared" si="4"/>
        <v>0</v>
      </c>
      <c r="AP24">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N/A")</f>
        <v>0</v>
      </c>
      <c r="AQ24">
        <f>IF(ISNUMBER(M24),1,0)+IF(ISNUMBER(SCORECARDS!H24),1,0)+IF(ISNUMBER(SCORECARDS!I24),1,0)+IF(ISNUMBER(SCORECARDS!J24),1,0)+IF(ISNUMBER(ISCAM_Score!K25),1,0)+IF(ISNUMBER(O24),1,0)+IF(COUNT(W24:Z24)&gt;0,1,0)</f>
        <v>3</v>
      </c>
    </row>
    <row r="25" spans="1:43" ht="16.05" customHeight="1" x14ac:dyDescent="0.3">
      <c r="A25" t="s">
        <v>129</v>
      </c>
      <c r="B25" t="s">
        <v>130</v>
      </c>
      <c r="C25" t="s">
        <v>113</v>
      </c>
      <c r="D25" t="s">
        <v>73</v>
      </c>
      <c r="E25">
        <v>0</v>
      </c>
      <c r="G25" t="s">
        <v>74</v>
      </c>
      <c r="J25" t="s">
        <v>67</v>
      </c>
      <c r="L25">
        <v>0</v>
      </c>
      <c r="M25">
        <f t="shared" si="0"/>
        <v>0</v>
      </c>
      <c r="N25" t="s">
        <v>68</v>
      </c>
      <c r="O25">
        <f t="shared" si="1"/>
        <v>0</v>
      </c>
      <c r="P25" t="s">
        <v>68</v>
      </c>
      <c r="S25">
        <f t="shared" si="2"/>
        <v>0</v>
      </c>
      <c r="T25" t="str">
        <f t="shared" si="3"/>
        <v>⬜  Parcial · Inst. 2 pendiente</v>
      </c>
      <c r="U25" s="53">
        <v>1</v>
      </c>
      <c r="V25" t="s">
        <v>69</v>
      </c>
      <c r="W25">
        <f>IF(NORMALIZADO!BV25="",0,NORMALIZADO!BV25)</f>
        <v>0</v>
      </c>
      <c r="X25">
        <f>IF(NORMALIZADO!BW25="",0,NORMALIZADO!BW25)</f>
        <v>0</v>
      </c>
      <c r="Y25">
        <f>IF(NORMALIZADO!BX25="",0,NORMALIZADO!BX25)</f>
        <v>0</v>
      </c>
      <c r="Z25">
        <f>IF(NORMALIZADO!BY25="",0,NORMALIZADO!BY25)</f>
        <v>0</v>
      </c>
      <c r="AA25">
        <v>0</v>
      </c>
      <c r="AB25">
        <v>0</v>
      </c>
      <c r="AC25">
        <v>0</v>
      </c>
      <c r="AD25">
        <v>0</v>
      </c>
      <c r="AE25">
        <v>0</v>
      </c>
      <c r="AF25">
        <v>0</v>
      </c>
      <c r="AG25">
        <v>0</v>
      </c>
      <c r="AH25">
        <v>0</v>
      </c>
      <c r="AI25">
        <v>0</v>
      </c>
      <c r="AJ25">
        <v>0</v>
      </c>
      <c r="AK25">
        <v>0</v>
      </c>
      <c r="AL25">
        <v>0</v>
      </c>
      <c r="AM25">
        <v>0</v>
      </c>
      <c r="AN25">
        <v>0</v>
      </c>
      <c r="AO25">
        <f t="shared" si="4"/>
        <v>0</v>
      </c>
      <c r="AP25">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N/A")</f>
        <v>0</v>
      </c>
      <c r="AQ25">
        <f>IF(ISNUMBER(M25),1,0)+IF(ISNUMBER(SCORECARDS!H25),1,0)+IF(ISNUMBER(SCORECARDS!I25),1,0)+IF(ISNUMBER(SCORECARDS!J25),1,0)+IF(ISNUMBER(ISCAM_Score!K26),1,0)+IF(ISNUMBER(O25),1,0)+IF(COUNT(W25:Z25)&gt;0,1,0)</f>
        <v>3</v>
      </c>
    </row>
    <row r="26" spans="1:43" ht="16.05" customHeight="1" x14ac:dyDescent="0.3">
      <c r="A26" t="s">
        <v>131</v>
      </c>
      <c r="B26" t="s">
        <v>132</v>
      </c>
      <c r="C26" t="s">
        <v>113</v>
      </c>
      <c r="D26" t="s">
        <v>65</v>
      </c>
      <c r="G26" t="s">
        <v>74</v>
      </c>
      <c r="J26" t="s">
        <v>67</v>
      </c>
      <c r="L26">
        <v>0</v>
      </c>
      <c r="M26">
        <f t="shared" si="0"/>
        <v>0</v>
      </c>
      <c r="N26" t="s">
        <v>68</v>
      </c>
      <c r="O26">
        <f t="shared" si="1"/>
        <v>0</v>
      </c>
      <c r="P26" t="s">
        <v>68</v>
      </c>
      <c r="S26">
        <f t="shared" si="2"/>
        <v>0</v>
      </c>
      <c r="T26" t="str">
        <f t="shared" si="3"/>
        <v>⬜  Parcial · Inst. 2 pendiente</v>
      </c>
      <c r="U26" s="53">
        <v>1</v>
      </c>
      <c r="V26" t="s">
        <v>69</v>
      </c>
      <c r="W26">
        <f>IF(NORMALIZADO!BV26="",0,NORMALIZADO!BV26)</f>
        <v>0</v>
      </c>
      <c r="X26">
        <f>IF(NORMALIZADO!BW26="",0,NORMALIZADO!BW26)</f>
        <v>0</v>
      </c>
      <c r="Y26">
        <f>IF(NORMALIZADO!BX26="",0,NORMALIZADO!BX26)</f>
        <v>0</v>
      </c>
      <c r="Z26">
        <f>IF(NORMALIZADO!BY26="",0,NORMALIZADO!BY26)</f>
        <v>0</v>
      </c>
      <c r="AA26">
        <v>0</v>
      </c>
      <c r="AB26">
        <v>0</v>
      </c>
      <c r="AC26">
        <v>0</v>
      </c>
      <c r="AD26">
        <v>0</v>
      </c>
      <c r="AE26">
        <v>0</v>
      </c>
      <c r="AF26">
        <v>0</v>
      </c>
      <c r="AG26">
        <v>0</v>
      </c>
      <c r="AH26">
        <v>0</v>
      </c>
      <c r="AI26">
        <v>0</v>
      </c>
      <c r="AJ26">
        <v>0</v>
      </c>
      <c r="AK26">
        <v>0</v>
      </c>
      <c r="AL26">
        <v>0</v>
      </c>
      <c r="AM26">
        <v>0</v>
      </c>
      <c r="AN26">
        <v>0</v>
      </c>
      <c r="AO26">
        <f t="shared" si="4"/>
        <v>0</v>
      </c>
      <c r="AP26">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N/A")</f>
        <v>0</v>
      </c>
      <c r="AQ26">
        <f>IF(ISNUMBER(M26),1,0)+IF(ISNUMBER(SCORECARDS!H26),1,0)+IF(ISNUMBER(SCORECARDS!I26),1,0)+IF(ISNUMBER(SCORECARDS!J26),1,0)+IF(ISNUMBER(ISCAM_Score!K27),1,0)+IF(ISNUMBER(O26),1,0)+IF(COUNT(W26:Z26)&gt;0,1,0)</f>
        <v>3</v>
      </c>
    </row>
    <row r="27" spans="1:43" ht="16.05" customHeight="1" x14ac:dyDescent="0.3">
      <c r="A27" t="s">
        <v>133</v>
      </c>
      <c r="B27" t="s">
        <v>134</v>
      </c>
      <c r="C27" t="s">
        <v>113</v>
      </c>
      <c r="D27" t="s">
        <v>73</v>
      </c>
      <c r="E27">
        <v>0</v>
      </c>
      <c r="G27" t="s">
        <v>74</v>
      </c>
      <c r="J27" t="s">
        <v>67</v>
      </c>
      <c r="L27">
        <v>0</v>
      </c>
      <c r="M27">
        <f t="shared" si="0"/>
        <v>0</v>
      </c>
      <c r="N27" t="s">
        <v>68</v>
      </c>
      <c r="O27">
        <f t="shared" si="1"/>
        <v>0</v>
      </c>
      <c r="P27" t="s">
        <v>68</v>
      </c>
      <c r="S27">
        <f t="shared" si="2"/>
        <v>0</v>
      </c>
      <c r="T27" t="str">
        <f t="shared" si="3"/>
        <v>⬜  Parcial · Inst. 2 pendiente</v>
      </c>
      <c r="U27" s="53">
        <v>1</v>
      </c>
      <c r="V27" t="s">
        <v>69</v>
      </c>
      <c r="W27">
        <f>IF(NORMALIZADO!BV27="",0,NORMALIZADO!BV27)</f>
        <v>0</v>
      </c>
      <c r="X27">
        <f>IF(NORMALIZADO!BW27="",0,NORMALIZADO!BW27)</f>
        <v>0</v>
      </c>
      <c r="Y27">
        <f>IF(NORMALIZADO!BX27="",0,NORMALIZADO!BX27)</f>
        <v>0</v>
      </c>
      <c r="Z27">
        <f>IF(NORMALIZADO!BY27="",0,NORMALIZADO!BY27)</f>
        <v>0</v>
      </c>
      <c r="AA27">
        <v>0</v>
      </c>
      <c r="AB27">
        <v>0</v>
      </c>
      <c r="AC27">
        <v>0</v>
      </c>
      <c r="AD27">
        <v>0</v>
      </c>
      <c r="AE27">
        <v>0</v>
      </c>
      <c r="AF27">
        <v>0</v>
      </c>
      <c r="AG27">
        <v>0</v>
      </c>
      <c r="AH27">
        <v>0</v>
      </c>
      <c r="AI27">
        <v>0</v>
      </c>
      <c r="AJ27">
        <v>0</v>
      </c>
      <c r="AK27">
        <v>0</v>
      </c>
      <c r="AL27">
        <v>0</v>
      </c>
      <c r="AM27">
        <v>0</v>
      </c>
      <c r="AN27">
        <v>0</v>
      </c>
      <c r="AO27">
        <f t="shared" si="4"/>
        <v>0</v>
      </c>
      <c r="AP27">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N/A")</f>
        <v>0</v>
      </c>
      <c r="AQ27">
        <f>IF(ISNUMBER(M27),1,0)+IF(ISNUMBER(SCORECARDS!H27),1,0)+IF(ISNUMBER(SCORECARDS!I27),1,0)+IF(ISNUMBER(SCORECARDS!J27),1,0)+IF(ISNUMBER(ISCAM_Score!K28),1,0)+IF(ISNUMBER(O27),1,0)+IF(COUNT(W27:Z27)&gt;0,1,0)</f>
        <v>3</v>
      </c>
    </row>
    <row r="28" spans="1:43" ht="16.05" customHeight="1" x14ac:dyDescent="0.3">
      <c r="A28" t="s">
        <v>135</v>
      </c>
      <c r="B28" t="s">
        <v>136</v>
      </c>
      <c r="C28" t="s">
        <v>113</v>
      </c>
      <c r="D28" t="s">
        <v>73</v>
      </c>
      <c r="G28" t="s">
        <v>74</v>
      </c>
      <c r="J28" t="s">
        <v>67</v>
      </c>
      <c r="L28">
        <v>0</v>
      </c>
      <c r="M28">
        <f t="shared" si="0"/>
        <v>0</v>
      </c>
      <c r="N28" t="s">
        <v>68</v>
      </c>
      <c r="O28">
        <f t="shared" si="1"/>
        <v>0</v>
      </c>
      <c r="P28" t="s">
        <v>68</v>
      </c>
      <c r="S28">
        <f t="shared" si="2"/>
        <v>0</v>
      </c>
      <c r="T28" t="str">
        <f t="shared" si="3"/>
        <v>⬜  Parcial · Inst. 2 pendiente</v>
      </c>
      <c r="U28" s="53">
        <v>1</v>
      </c>
      <c r="V28" t="s">
        <v>69</v>
      </c>
      <c r="W28">
        <f>IF(NORMALIZADO!BV28="",0,NORMALIZADO!BV28)</f>
        <v>0</v>
      </c>
      <c r="X28">
        <f>IF(NORMALIZADO!BW28="",0,NORMALIZADO!BW28)</f>
        <v>0</v>
      </c>
      <c r="Y28">
        <f>IF(NORMALIZADO!BX28="",0,NORMALIZADO!BX28)</f>
        <v>0</v>
      </c>
      <c r="Z28">
        <f>IF(NORMALIZADO!BY28="",0,NORMALIZADO!BY28)</f>
        <v>0</v>
      </c>
      <c r="AA28">
        <v>0</v>
      </c>
      <c r="AB28">
        <v>0</v>
      </c>
      <c r="AC28">
        <v>0</v>
      </c>
      <c r="AD28">
        <v>0</v>
      </c>
      <c r="AE28">
        <v>0</v>
      </c>
      <c r="AF28">
        <v>0</v>
      </c>
      <c r="AG28">
        <v>0</v>
      </c>
      <c r="AH28">
        <v>0</v>
      </c>
      <c r="AI28">
        <v>0</v>
      </c>
      <c r="AJ28">
        <v>0</v>
      </c>
      <c r="AK28">
        <v>0</v>
      </c>
      <c r="AL28">
        <v>0</v>
      </c>
      <c r="AM28">
        <v>0</v>
      </c>
      <c r="AN28">
        <v>0</v>
      </c>
      <c r="AO28">
        <f t="shared" si="4"/>
        <v>0</v>
      </c>
      <c r="AP28">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N/A")</f>
        <v>0</v>
      </c>
      <c r="AQ28">
        <f>IF(ISNUMBER(M28),1,0)+IF(ISNUMBER(SCORECARDS!H28),1,0)+IF(ISNUMBER(SCORECARDS!I28),1,0)+IF(ISNUMBER(SCORECARDS!J28),1,0)+IF(ISNUMBER(ISCAM_Score!K29),1,0)+IF(ISNUMBER(O28),1,0)+IF(COUNT(W28:Z28)&gt;0,1,0)</f>
        <v>3</v>
      </c>
    </row>
    <row r="29" spans="1:43" ht="16.05" customHeight="1" x14ac:dyDescent="0.3">
      <c r="A29" t="s">
        <v>137</v>
      </c>
      <c r="B29" t="s">
        <v>138</v>
      </c>
      <c r="C29" t="s">
        <v>113</v>
      </c>
      <c r="D29" t="s">
        <v>73</v>
      </c>
      <c r="G29" t="s">
        <v>74</v>
      </c>
      <c r="J29" t="s">
        <v>67</v>
      </c>
      <c r="L29">
        <v>0</v>
      </c>
      <c r="M29">
        <f t="shared" si="0"/>
        <v>0</v>
      </c>
      <c r="N29" t="s">
        <v>68</v>
      </c>
      <c r="O29">
        <f t="shared" si="1"/>
        <v>0</v>
      </c>
      <c r="P29" t="s">
        <v>68</v>
      </c>
      <c r="S29">
        <f t="shared" si="2"/>
        <v>0</v>
      </c>
      <c r="T29" t="str">
        <f t="shared" si="3"/>
        <v>⬜  Parcial · Inst. 2 pendiente</v>
      </c>
      <c r="U29" s="53">
        <v>1</v>
      </c>
      <c r="V29" t="s">
        <v>69</v>
      </c>
      <c r="W29">
        <f>IF(NORMALIZADO!BV29="",0,NORMALIZADO!BV29)</f>
        <v>0</v>
      </c>
      <c r="X29">
        <f>IF(NORMALIZADO!BW29="",0,NORMALIZADO!BW29)</f>
        <v>0</v>
      </c>
      <c r="Y29">
        <f>IF(NORMALIZADO!BX29="",0,NORMALIZADO!BX29)</f>
        <v>0</v>
      </c>
      <c r="Z29">
        <f>IF(NORMALIZADO!BY29="",0,NORMALIZADO!BY29)</f>
        <v>0</v>
      </c>
      <c r="AA29">
        <v>0</v>
      </c>
      <c r="AB29">
        <v>0</v>
      </c>
      <c r="AC29">
        <v>0</v>
      </c>
      <c r="AD29">
        <v>0</v>
      </c>
      <c r="AE29">
        <v>0</v>
      </c>
      <c r="AF29">
        <v>0</v>
      </c>
      <c r="AG29">
        <v>0</v>
      </c>
      <c r="AH29">
        <v>0</v>
      </c>
      <c r="AI29">
        <v>0</v>
      </c>
      <c r="AJ29">
        <v>0</v>
      </c>
      <c r="AK29">
        <v>0</v>
      </c>
      <c r="AL29">
        <v>0</v>
      </c>
      <c r="AM29">
        <v>0</v>
      </c>
      <c r="AN29">
        <v>0</v>
      </c>
      <c r="AO29">
        <f t="shared" si="4"/>
        <v>0</v>
      </c>
      <c r="AP29">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N/A")</f>
        <v>0</v>
      </c>
      <c r="AQ29">
        <f>IF(ISNUMBER(M29),1,0)+IF(ISNUMBER(SCORECARDS!H29),1,0)+IF(ISNUMBER(SCORECARDS!I29),1,0)+IF(ISNUMBER(SCORECARDS!J29),1,0)+IF(ISNUMBER(ISCAM_Score!K30),1,0)+IF(ISNUMBER(O29),1,0)+IF(COUNT(W29:Z29)&gt;0,1,0)</f>
        <v>3</v>
      </c>
    </row>
    <row r="30" spans="1:43" ht="16.05" customHeight="1" x14ac:dyDescent="0.3">
      <c r="A30" t="s">
        <v>139</v>
      </c>
      <c r="B30" t="s">
        <v>140</v>
      </c>
      <c r="C30" t="s">
        <v>64</v>
      </c>
      <c r="D30" t="s">
        <v>73</v>
      </c>
      <c r="G30" t="s">
        <v>74</v>
      </c>
      <c r="J30" t="s">
        <v>67</v>
      </c>
      <c r="L30">
        <v>0</v>
      </c>
      <c r="M30">
        <f t="shared" si="0"/>
        <v>0</v>
      </c>
      <c r="N30" t="s">
        <v>68</v>
      </c>
      <c r="O30">
        <f t="shared" si="1"/>
        <v>0</v>
      </c>
      <c r="P30" t="s">
        <v>68</v>
      </c>
      <c r="S30">
        <f t="shared" si="2"/>
        <v>0</v>
      </c>
      <c r="T30" t="str">
        <f t="shared" si="3"/>
        <v>⬜  Parcial · Inst. 2 pendiente</v>
      </c>
      <c r="U30" s="53">
        <v>1</v>
      </c>
      <c r="V30" t="s">
        <v>69</v>
      </c>
      <c r="W30">
        <f>IF(NORMALIZADO!BV30="",0,NORMALIZADO!BV30)</f>
        <v>0</v>
      </c>
      <c r="X30">
        <f>IF(NORMALIZADO!BW30="",0,NORMALIZADO!BW30)</f>
        <v>0</v>
      </c>
      <c r="Y30">
        <f>IF(NORMALIZADO!BX30="",0,NORMALIZADO!BX30)</f>
        <v>0</v>
      </c>
      <c r="Z30">
        <f>IF(NORMALIZADO!BY30="",0,NORMALIZADO!BY30)</f>
        <v>0</v>
      </c>
      <c r="AA30">
        <v>0</v>
      </c>
      <c r="AB30">
        <v>0</v>
      </c>
      <c r="AC30">
        <v>0</v>
      </c>
      <c r="AD30">
        <v>0</v>
      </c>
      <c r="AE30">
        <v>0</v>
      </c>
      <c r="AF30">
        <v>0</v>
      </c>
      <c r="AG30">
        <v>0</v>
      </c>
      <c r="AH30">
        <v>0</v>
      </c>
      <c r="AI30">
        <v>0</v>
      </c>
      <c r="AJ30">
        <v>0</v>
      </c>
      <c r="AK30">
        <v>0</v>
      </c>
      <c r="AL30">
        <v>0</v>
      </c>
      <c r="AM30">
        <v>0</v>
      </c>
      <c r="AN30">
        <v>0</v>
      </c>
      <c r="AO30">
        <f t="shared" si="4"/>
        <v>0</v>
      </c>
      <c r="AP30">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N/A")</f>
        <v>0</v>
      </c>
      <c r="AQ30">
        <f>IF(ISNUMBER(M30),1,0)+IF(ISNUMBER(SCORECARDS!H30),1,0)+IF(ISNUMBER(SCORECARDS!I30),1,0)+IF(ISNUMBER(SCORECARDS!J30),1,0)+IF(ISNUMBER(ISCAM_Score!K31),1,0)+IF(ISNUMBER(O30),1,0)+IF(COUNT(W30:Z30)&gt;0,1,0)</f>
        <v>3</v>
      </c>
    </row>
    <row r="31" spans="1:43" ht="16.05" customHeight="1" x14ac:dyDescent="0.3">
      <c r="A31" t="s">
        <v>141</v>
      </c>
      <c r="B31" t="s">
        <v>142</v>
      </c>
      <c r="C31" t="s">
        <v>143</v>
      </c>
      <c r="D31" t="s">
        <v>65</v>
      </c>
      <c r="E31">
        <v>0</v>
      </c>
      <c r="G31" t="s">
        <v>74</v>
      </c>
      <c r="J31" t="s">
        <v>67</v>
      </c>
      <c r="L31">
        <v>0</v>
      </c>
      <c r="M31">
        <f t="shared" si="0"/>
        <v>0</v>
      </c>
      <c r="N31" t="s">
        <v>68</v>
      </c>
      <c r="O31">
        <f t="shared" si="1"/>
        <v>0</v>
      </c>
      <c r="P31" t="s">
        <v>68</v>
      </c>
      <c r="S31">
        <f t="shared" si="2"/>
        <v>0</v>
      </c>
      <c r="T31" t="str">
        <f t="shared" si="3"/>
        <v>⬜  Parcial · Inst. 2 pendiente</v>
      </c>
      <c r="U31" s="53">
        <v>1</v>
      </c>
      <c r="V31" t="s">
        <v>69</v>
      </c>
      <c r="W31">
        <f>IF(NORMALIZADO!BV31="",0,NORMALIZADO!BV31)</f>
        <v>0</v>
      </c>
      <c r="X31">
        <f>IF(NORMALIZADO!BW31="",0,NORMALIZADO!BW31)</f>
        <v>0</v>
      </c>
      <c r="Y31">
        <f>IF(NORMALIZADO!BX31="",0,NORMALIZADO!BX31)</f>
        <v>0</v>
      </c>
      <c r="Z31">
        <f>IF(NORMALIZADO!BY31="",0,NORMALIZADO!BY31)</f>
        <v>0</v>
      </c>
      <c r="AA31">
        <v>0</v>
      </c>
      <c r="AB31">
        <v>0</v>
      </c>
      <c r="AC31">
        <v>0</v>
      </c>
      <c r="AD31">
        <v>0</v>
      </c>
      <c r="AE31">
        <v>0</v>
      </c>
      <c r="AF31">
        <v>0</v>
      </c>
      <c r="AG31">
        <v>0</v>
      </c>
      <c r="AH31">
        <v>0</v>
      </c>
      <c r="AI31">
        <v>0</v>
      </c>
      <c r="AJ31">
        <v>0</v>
      </c>
      <c r="AK31">
        <v>0</v>
      </c>
      <c r="AL31">
        <v>0</v>
      </c>
      <c r="AM31">
        <v>0</v>
      </c>
      <c r="AN31">
        <v>0</v>
      </c>
      <c r="AO31">
        <f t="shared" si="4"/>
        <v>0</v>
      </c>
      <c r="AP31">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N/A")</f>
        <v>0</v>
      </c>
      <c r="AQ31">
        <f>IF(ISNUMBER(M31),1,0)+IF(ISNUMBER(SCORECARDS!H31),1,0)+IF(ISNUMBER(SCORECARDS!I31),1,0)+IF(ISNUMBER(SCORECARDS!J31),1,0)+IF(ISNUMBER(ISCAM_Score!K32),1,0)+IF(ISNUMBER(O31),1,0)+IF(COUNT(W31:Z31)&gt;0,1,0)</f>
        <v>3</v>
      </c>
    </row>
    <row r="32" spans="1:43" ht="16.05" customHeight="1" x14ac:dyDescent="0.3">
      <c r="A32" t="s">
        <v>144</v>
      </c>
      <c r="B32" t="s">
        <v>145</v>
      </c>
      <c r="C32" t="s">
        <v>143</v>
      </c>
      <c r="D32" t="s">
        <v>73</v>
      </c>
      <c r="E32">
        <v>0</v>
      </c>
      <c r="G32" t="s">
        <v>74</v>
      </c>
      <c r="J32" t="s">
        <v>67</v>
      </c>
      <c r="L32">
        <v>0</v>
      </c>
      <c r="M32">
        <f t="shared" si="0"/>
        <v>0</v>
      </c>
      <c r="N32" t="s">
        <v>68</v>
      </c>
      <c r="O32">
        <f t="shared" si="1"/>
        <v>0</v>
      </c>
      <c r="P32" t="s">
        <v>68</v>
      </c>
      <c r="S32">
        <f t="shared" si="2"/>
        <v>0</v>
      </c>
      <c r="T32" t="str">
        <f t="shared" si="3"/>
        <v>⬜  Parcial · Inst. 2 pendiente</v>
      </c>
      <c r="U32" s="53">
        <v>1</v>
      </c>
      <c r="V32" t="s">
        <v>69</v>
      </c>
      <c r="W32">
        <f>IF(NORMALIZADO!BV32="",0,NORMALIZADO!BV32)</f>
        <v>0</v>
      </c>
      <c r="X32">
        <f>IF(NORMALIZADO!BW32="",0,NORMALIZADO!BW32)</f>
        <v>0</v>
      </c>
      <c r="Y32">
        <f>IF(NORMALIZADO!BX32="",0,NORMALIZADO!BX32)</f>
        <v>0</v>
      </c>
      <c r="Z32">
        <f>IF(NORMALIZADO!BY32="",0,NORMALIZADO!BY32)</f>
        <v>0</v>
      </c>
      <c r="AA32">
        <v>0</v>
      </c>
      <c r="AB32">
        <v>0</v>
      </c>
      <c r="AC32">
        <v>0</v>
      </c>
      <c r="AD32">
        <v>0</v>
      </c>
      <c r="AE32">
        <v>0</v>
      </c>
      <c r="AF32">
        <v>0</v>
      </c>
      <c r="AG32">
        <v>0</v>
      </c>
      <c r="AH32">
        <v>0</v>
      </c>
      <c r="AI32">
        <v>0</v>
      </c>
      <c r="AJ32">
        <v>0</v>
      </c>
      <c r="AK32">
        <v>0</v>
      </c>
      <c r="AL32">
        <v>0</v>
      </c>
      <c r="AM32">
        <v>0</v>
      </c>
      <c r="AN32">
        <v>0</v>
      </c>
      <c r="AO32">
        <f t="shared" si="4"/>
        <v>0</v>
      </c>
      <c r="AP32">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N/A")</f>
        <v>0</v>
      </c>
      <c r="AQ32">
        <f>IF(ISNUMBER(M32),1,0)+IF(ISNUMBER(SCORECARDS!H32),1,0)+IF(ISNUMBER(SCORECARDS!I32),1,0)+IF(ISNUMBER(SCORECARDS!J32),1,0)+IF(ISNUMBER(ISCAM_Score!K33),1,0)+IF(ISNUMBER(O32),1,0)+IF(COUNT(W32:Z32)&gt;0,1,0)</f>
        <v>3</v>
      </c>
    </row>
    <row r="33" spans="1:43" ht="16.05" customHeight="1" x14ac:dyDescent="0.3">
      <c r="A33" t="s">
        <v>146</v>
      </c>
      <c r="B33" t="s">
        <v>147</v>
      </c>
      <c r="C33" t="s">
        <v>143</v>
      </c>
      <c r="D33" t="s">
        <v>65</v>
      </c>
      <c r="E33">
        <v>0</v>
      </c>
      <c r="G33" t="s">
        <v>74</v>
      </c>
      <c r="J33" t="s">
        <v>67</v>
      </c>
      <c r="L33">
        <v>0</v>
      </c>
      <c r="M33">
        <f t="shared" si="0"/>
        <v>0</v>
      </c>
      <c r="N33" t="s">
        <v>68</v>
      </c>
      <c r="O33">
        <f t="shared" si="1"/>
        <v>0</v>
      </c>
      <c r="P33" t="s">
        <v>68</v>
      </c>
      <c r="S33">
        <f t="shared" si="2"/>
        <v>0</v>
      </c>
      <c r="T33" t="str">
        <f t="shared" si="3"/>
        <v>⬜  Parcial · Inst. 2 pendiente</v>
      </c>
      <c r="U33" s="53">
        <v>1</v>
      </c>
      <c r="V33" t="s">
        <v>69</v>
      </c>
      <c r="W33">
        <f>IF(NORMALIZADO!BV33="",0,NORMALIZADO!BV33)</f>
        <v>0</v>
      </c>
      <c r="X33">
        <f>IF(NORMALIZADO!BW33="",0,NORMALIZADO!BW33)</f>
        <v>0</v>
      </c>
      <c r="Y33">
        <f>IF(NORMALIZADO!BX33="",0,NORMALIZADO!BX33)</f>
        <v>0</v>
      </c>
      <c r="Z33">
        <f>IF(NORMALIZADO!BY33="",0,NORMALIZADO!BY33)</f>
        <v>0</v>
      </c>
      <c r="AA33">
        <v>0</v>
      </c>
      <c r="AB33">
        <v>0</v>
      </c>
      <c r="AC33">
        <v>0</v>
      </c>
      <c r="AD33">
        <v>0</v>
      </c>
      <c r="AE33">
        <v>0</v>
      </c>
      <c r="AF33">
        <v>0</v>
      </c>
      <c r="AG33">
        <v>0</v>
      </c>
      <c r="AH33">
        <v>0</v>
      </c>
      <c r="AI33">
        <v>0</v>
      </c>
      <c r="AJ33">
        <v>0</v>
      </c>
      <c r="AK33">
        <v>0</v>
      </c>
      <c r="AL33">
        <v>0</v>
      </c>
      <c r="AM33">
        <v>0</v>
      </c>
      <c r="AN33">
        <v>0</v>
      </c>
      <c r="AO33">
        <f t="shared" si="4"/>
        <v>0</v>
      </c>
      <c r="AP33">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N/A")</f>
        <v>0</v>
      </c>
      <c r="AQ33">
        <f>IF(ISNUMBER(M33),1,0)+IF(ISNUMBER(SCORECARDS!H33),1,0)+IF(ISNUMBER(SCORECARDS!I33),1,0)+IF(ISNUMBER(SCORECARDS!J33),1,0)+IF(ISNUMBER(ISCAM_Score!K34),1,0)+IF(ISNUMBER(O33),1,0)+IF(COUNT(W33:Z33)&gt;0,1,0)</f>
        <v>3</v>
      </c>
    </row>
    <row r="34" spans="1:43" ht="16.05" customHeight="1" x14ac:dyDescent="0.3">
      <c r="A34" t="s">
        <v>148</v>
      </c>
      <c r="B34" t="s">
        <v>149</v>
      </c>
      <c r="C34" t="s">
        <v>143</v>
      </c>
      <c r="D34" t="s">
        <v>65</v>
      </c>
      <c r="G34" t="s">
        <v>74</v>
      </c>
      <c r="J34" t="s">
        <v>67</v>
      </c>
      <c r="L34">
        <v>0</v>
      </c>
      <c r="M34">
        <f t="shared" si="0"/>
        <v>0</v>
      </c>
      <c r="N34" t="s">
        <v>68</v>
      </c>
      <c r="O34">
        <f t="shared" si="1"/>
        <v>0</v>
      </c>
      <c r="P34" t="s">
        <v>68</v>
      </c>
      <c r="S34">
        <f t="shared" si="2"/>
        <v>0</v>
      </c>
      <c r="T34" t="str">
        <f t="shared" si="3"/>
        <v>⬜  Parcial · Inst. 2 pendiente</v>
      </c>
      <c r="U34" s="53">
        <v>1</v>
      </c>
      <c r="V34" t="s">
        <v>69</v>
      </c>
      <c r="W34">
        <f>IF(NORMALIZADO!BV34="",0,NORMALIZADO!BV34)</f>
        <v>0</v>
      </c>
      <c r="X34">
        <f>IF(NORMALIZADO!BW34="",0,NORMALIZADO!BW34)</f>
        <v>0</v>
      </c>
      <c r="Y34">
        <f>IF(NORMALIZADO!BX34="",0,NORMALIZADO!BX34)</f>
        <v>0</v>
      </c>
      <c r="Z34">
        <f>IF(NORMALIZADO!BY34="",0,NORMALIZADO!BY34)</f>
        <v>0</v>
      </c>
      <c r="AA34">
        <v>0</v>
      </c>
      <c r="AB34">
        <v>0</v>
      </c>
      <c r="AC34">
        <v>0</v>
      </c>
      <c r="AD34">
        <v>0</v>
      </c>
      <c r="AE34">
        <v>0</v>
      </c>
      <c r="AF34">
        <v>0</v>
      </c>
      <c r="AG34">
        <v>0</v>
      </c>
      <c r="AH34">
        <v>0</v>
      </c>
      <c r="AI34">
        <v>0</v>
      </c>
      <c r="AJ34">
        <v>0</v>
      </c>
      <c r="AK34">
        <v>0</v>
      </c>
      <c r="AL34">
        <v>0</v>
      </c>
      <c r="AM34">
        <v>0</v>
      </c>
      <c r="AN34">
        <v>0</v>
      </c>
      <c r="AO34">
        <f t="shared" si="4"/>
        <v>0</v>
      </c>
      <c r="AP34">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N/A")</f>
        <v>0</v>
      </c>
      <c r="AQ34">
        <f>IF(ISNUMBER(M34),1,0)+IF(ISNUMBER(SCORECARDS!H34),1,0)+IF(ISNUMBER(SCORECARDS!I34),1,0)+IF(ISNUMBER(SCORECARDS!J34),1,0)+IF(ISNUMBER(ISCAM_Score!K35),1,0)+IF(ISNUMBER(O34),1,0)+IF(COUNT(W34:Z34)&gt;0,1,0)</f>
        <v>3</v>
      </c>
    </row>
    <row r="35" spans="1:43" ht="16.05" customHeight="1" x14ac:dyDescent="0.3">
      <c r="A35" t="s">
        <v>150</v>
      </c>
      <c r="B35" t="s">
        <v>151</v>
      </c>
      <c r="C35" t="s">
        <v>80</v>
      </c>
      <c r="D35" t="s">
        <v>73</v>
      </c>
      <c r="E35">
        <v>1931452.7</v>
      </c>
      <c r="F35">
        <v>7</v>
      </c>
      <c r="G35" t="s">
        <v>66</v>
      </c>
      <c r="J35" t="s">
        <v>67</v>
      </c>
      <c r="L35">
        <v>965726.35</v>
      </c>
      <c r="M35">
        <f t="shared" ref="M35:M66" si="5">IF(E35&gt;0,ROUND(L35/E35*100,1),0)</f>
        <v>50</v>
      </c>
      <c r="N35" t="s">
        <v>68</v>
      </c>
      <c r="O35">
        <f t="shared" ref="O35:O66" si="6">IF(H35="SI",1,0)*0.6+IF(I35="SI",1,0)*0.4</f>
        <v>0</v>
      </c>
      <c r="P35" t="s">
        <v>68</v>
      </c>
      <c r="S35">
        <f t="shared" ref="S35:S66" si="7">IFERROR(ROUND(AP35*100,1),"N/A")</f>
        <v>26</v>
      </c>
      <c r="T35" t="str">
        <f t="shared" ref="T35:T66" si="8">IF(NOT(ISNUMBER(S35)),"—",IF(AQ35&lt;6,"⬜  Parcial · Inst. 2 pendiente",IF(S35&lt;34,"🔴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N/A")</f>
        <v>0.26041666666666669</v>
      </c>
      <c r="AQ35">
        <f>IF(ISNUMBER(M35),1,0)+IF(ISNUMBER(SCORECARDS!H35),1,0)+IF(ISNUMBER(SCORECARDS!I35),1,0)+IF(ISNUMBER(SCORECARDS!J35),1,0)+IF(ISNUMBER(ISCAM_Score!K36),1,0)+IF(ISNUMBER(O35),1,0)+IF(COUNT(W35:Z35)&gt;0,1,0)</f>
        <v>3</v>
      </c>
    </row>
    <row r="36" spans="1:43" ht="16.05" customHeight="1" x14ac:dyDescent="0.3">
      <c r="A36" t="s">
        <v>152</v>
      </c>
      <c r="B36" t="s">
        <v>153</v>
      </c>
      <c r="C36" t="s">
        <v>154</v>
      </c>
      <c r="D36" t="s">
        <v>65</v>
      </c>
      <c r="E36">
        <v>4538578.93</v>
      </c>
      <c r="F36">
        <v>24</v>
      </c>
      <c r="G36" t="s">
        <v>66</v>
      </c>
      <c r="H36" t="s">
        <v>66</v>
      </c>
      <c r="I36" t="s">
        <v>66</v>
      </c>
      <c r="J36" t="s">
        <v>67</v>
      </c>
      <c r="L36">
        <v>965167.45</v>
      </c>
      <c r="M36">
        <f t="shared" si="5"/>
        <v>21.3</v>
      </c>
      <c r="N36" t="s">
        <v>68</v>
      </c>
      <c r="O36">
        <f t="shared" si="6"/>
        <v>1</v>
      </c>
      <c r="P36" t="s">
        <v>68</v>
      </c>
      <c r="Q36">
        <v>178</v>
      </c>
      <c r="R36">
        <v>437</v>
      </c>
      <c r="S36">
        <f t="shared" si="7"/>
        <v>30.8</v>
      </c>
      <c r="T36" t="str">
        <f t="shared" si="8"/>
        <v>⬜  Parcial · Inst. 2 pendiente</v>
      </c>
      <c r="U36" s="53">
        <v>1</v>
      </c>
      <c r="V36" t="s">
        <v>69</v>
      </c>
      <c r="W36">
        <f>IF(NORMALIZADO!BV36="",1,NORMALIZADO!BV36)</f>
        <v>1</v>
      </c>
      <c r="X36">
        <f>IF(NORMALIZADO!BW36="",0,NORMALIZADO!BW36)</f>
        <v>0</v>
      </c>
      <c r="Y36">
        <f>IF(NORMALIZADO!BX36="",0,NORMALIZADO!BX36)</f>
        <v>0</v>
      </c>
      <c r="Z36">
        <f>IF(NORMALIZADO!BY36="",0,NORMALIZADO!BY36)</f>
        <v>0</v>
      </c>
      <c r="AA36">
        <v>0</v>
      </c>
      <c r="AB36">
        <v>0</v>
      </c>
      <c r="AC36">
        <v>0</v>
      </c>
      <c r="AD36">
        <v>0</v>
      </c>
      <c r="AE36">
        <v>0</v>
      </c>
      <c r="AF36">
        <v>0</v>
      </c>
      <c r="AG36">
        <v>0</v>
      </c>
      <c r="AH36">
        <v>0</v>
      </c>
      <c r="AI36">
        <v>0</v>
      </c>
      <c r="AJ36">
        <v>0</v>
      </c>
      <c r="AK36">
        <v>0</v>
      </c>
      <c r="AL36">
        <v>0</v>
      </c>
      <c r="AM36">
        <v>0</v>
      </c>
      <c r="AN36">
        <v>0</v>
      </c>
      <c r="AO36">
        <f t="shared" si="9"/>
        <v>0</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N/A")</f>
        <v>0.3075</v>
      </c>
      <c r="AQ36">
        <f>IF(ISNUMBER(M36),1,0)+IF(ISNUMBER(SCORECARDS!H36),1,0)+IF(ISNUMBER(SCORECARDS!I36),1,0)+IF(ISNUMBER(SCORECARDS!J36),1,0)+IF(ISNUMBER(ISCAM_Score!K37),1,0)+IF(ISNUMBER(O36),1,0)+IF(COUNT(W36:Z36)&gt;0,1,0)</f>
        <v>3</v>
      </c>
    </row>
    <row r="37" spans="1:43" ht="16.05" customHeight="1" x14ac:dyDescent="0.3">
      <c r="A37" t="s">
        <v>155</v>
      </c>
      <c r="B37" t="s">
        <v>156</v>
      </c>
      <c r="C37" t="s">
        <v>116</v>
      </c>
      <c r="D37" t="s">
        <v>65</v>
      </c>
      <c r="E37">
        <v>0</v>
      </c>
      <c r="G37" t="s">
        <v>74</v>
      </c>
      <c r="J37" t="s">
        <v>67</v>
      </c>
      <c r="L37">
        <v>0</v>
      </c>
      <c r="M37">
        <f t="shared" si="5"/>
        <v>0</v>
      </c>
      <c r="N37" t="s">
        <v>68</v>
      </c>
      <c r="O37">
        <f t="shared" si="6"/>
        <v>0</v>
      </c>
      <c r="P37" t="s">
        <v>68</v>
      </c>
      <c r="S37">
        <f t="shared" si="7"/>
        <v>0</v>
      </c>
      <c r="T37" t="str">
        <f t="shared" si="8"/>
        <v>⬜  Parcial · Inst. 2 pendiente</v>
      </c>
      <c r="U37" s="53">
        <v>1</v>
      </c>
      <c r="V37" t="s">
        <v>69</v>
      </c>
      <c r="W37">
        <f>IF(NORMALIZADO!BV37="",0,NORMALIZADO!BV37)</f>
        <v>0</v>
      </c>
      <c r="X37">
        <f>IF(NORMALIZADO!BW37="",0,NORMALIZADO!BW37)</f>
        <v>0</v>
      </c>
      <c r="Y37">
        <f>IF(NORMALIZADO!BX37="",0,NORMALIZADO!BX37)</f>
        <v>0</v>
      </c>
      <c r="Z37">
        <f>IF(NORMALIZADO!BY37="",0,NORMALIZADO!BY37)</f>
        <v>0</v>
      </c>
      <c r="AA37">
        <v>0</v>
      </c>
      <c r="AB37">
        <v>0</v>
      </c>
      <c r="AC37">
        <v>0</v>
      </c>
      <c r="AD37">
        <v>0</v>
      </c>
      <c r="AE37">
        <v>0</v>
      </c>
      <c r="AF37">
        <v>0</v>
      </c>
      <c r="AG37">
        <v>0</v>
      </c>
      <c r="AH37">
        <v>0</v>
      </c>
      <c r="AI37">
        <v>0</v>
      </c>
      <c r="AJ37">
        <v>0</v>
      </c>
      <c r="AK37">
        <v>0</v>
      </c>
      <c r="AL37">
        <v>0</v>
      </c>
      <c r="AM37">
        <v>0</v>
      </c>
      <c r="AN37">
        <v>0</v>
      </c>
      <c r="AO37">
        <f t="shared" si="9"/>
        <v>0</v>
      </c>
      <c r="AP37">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N/A")</f>
        <v>0</v>
      </c>
      <c r="AQ37">
        <f>IF(ISNUMBER(M37),1,0)+IF(ISNUMBER(SCORECARDS!H37),1,0)+IF(ISNUMBER(SCORECARDS!I37),1,0)+IF(ISNUMBER(SCORECARDS!J37),1,0)+IF(ISNUMBER(ISCAM_Score!K38),1,0)+IF(ISNUMBER(O37),1,0)+IF(COUNT(W37:Z37)&gt;0,1,0)</f>
        <v>3</v>
      </c>
    </row>
    <row r="38" spans="1:43" ht="16.05" customHeight="1" x14ac:dyDescent="0.3">
      <c r="A38" t="s">
        <v>157</v>
      </c>
      <c r="B38" t="s">
        <v>158</v>
      </c>
      <c r="C38" t="s">
        <v>116</v>
      </c>
      <c r="G38" t="s">
        <v>74</v>
      </c>
      <c r="J38" t="s">
        <v>128</v>
      </c>
      <c r="L38">
        <v>0</v>
      </c>
      <c r="M38">
        <f t="shared" si="5"/>
        <v>0</v>
      </c>
      <c r="N38" t="s">
        <v>68</v>
      </c>
      <c r="O38">
        <f t="shared" si="6"/>
        <v>0</v>
      </c>
      <c r="P38" t="s">
        <v>68</v>
      </c>
      <c r="S38">
        <f t="shared" si="7"/>
        <v>0</v>
      </c>
      <c r="T38" t="str">
        <f t="shared" si="8"/>
        <v>⬜  Parcial · Inst. 2 pendiente</v>
      </c>
      <c r="U38" s="53">
        <v>1</v>
      </c>
      <c r="V38" t="s">
        <v>69</v>
      </c>
      <c r="W38">
        <f>IF(NORMALIZADO!BV38="",0,NORMALIZADO!BV38)</f>
        <v>0</v>
      </c>
      <c r="X38">
        <f>IF(NORMALIZADO!BW38="",0,NORMALIZADO!BW38)</f>
        <v>0</v>
      </c>
      <c r="Y38">
        <f>IF(NORMALIZADO!BX38="",0,NORMALIZADO!BX38)</f>
        <v>0</v>
      </c>
      <c r="Z38">
        <f>IF(NORMALIZADO!BY38="",0,NORMALIZADO!BY38)</f>
        <v>0</v>
      </c>
      <c r="AA38">
        <v>0</v>
      </c>
      <c r="AB38">
        <v>0</v>
      </c>
      <c r="AC38">
        <v>0</v>
      </c>
      <c r="AD38">
        <v>0</v>
      </c>
      <c r="AE38">
        <v>0</v>
      </c>
      <c r="AF38">
        <v>0</v>
      </c>
      <c r="AG38">
        <v>0</v>
      </c>
      <c r="AH38">
        <v>0</v>
      </c>
      <c r="AI38">
        <v>0</v>
      </c>
      <c r="AJ38">
        <v>0</v>
      </c>
      <c r="AK38">
        <v>0</v>
      </c>
      <c r="AL38">
        <v>0</v>
      </c>
      <c r="AM38">
        <v>0</v>
      </c>
      <c r="AN38">
        <v>0</v>
      </c>
      <c r="AO38">
        <f t="shared" si="9"/>
        <v>0</v>
      </c>
      <c r="AP38">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N/A")</f>
        <v>0</v>
      </c>
      <c r="AQ38">
        <f>IF(ISNUMBER(M38),1,0)+IF(ISNUMBER(SCORECARDS!H38),1,0)+IF(ISNUMBER(SCORECARDS!I38),1,0)+IF(ISNUMBER(SCORECARDS!J38),1,0)+IF(ISNUMBER(ISCAM_Score!K39),1,0)+IF(ISNUMBER(O38),1,0)+IF(COUNT(W38:Z38)&gt;0,1,0)</f>
        <v>3</v>
      </c>
    </row>
    <row r="39" spans="1:43" ht="16.05" customHeight="1" x14ac:dyDescent="0.3">
      <c r="A39" t="s">
        <v>159</v>
      </c>
      <c r="B39" t="s">
        <v>160</v>
      </c>
      <c r="C39" t="s">
        <v>116</v>
      </c>
      <c r="D39" t="s">
        <v>73</v>
      </c>
      <c r="E39">
        <v>1175215.28</v>
      </c>
      <c r="F39">
        <v>7</v>
      </c>
      <c r="G39" t="s">
        <v>66</v>
      </c>
      <c r="J39" t="s">
        <v>67</v>
      </c>
      <c r="L39">
        <v>587607.64</v>
      </c>
      <c r="M39">
        <f t="shared" si="5"/>
        <v>50</v>
      </c>
      <c r="N39" t="s">
        <v>68</v>
      </c>
      <c r="O39">
        <f t="shared" si="6"/>
        <v>0</v>
      </c>
      <c r="P39" t="s">
        <v>68</v>
      </c>
      <c r="S39">
        <f t="shared" si="7"/>
        <v>26</v>
      </c>
      <c r="T39" t="str">
        <f t="shared" si="8"/>
        <v>⬜  Parcial · Inst. 2 pendiente</v>
      </c>
      <c r="U39" s="53">
        <v>1</v>
      </c>
      <c r="V39" t="s">
        <v>69</v>
      </c>
      <c r="W39">
        <f>IF(NORMALIZADO!BV39="",1,NORMALIZADO!BV39)</f>
        <v>1</v>
      </c>
      <c r="X39">
        <f>IF(NORMALIZADO!BW39="",0,NORMALIZADO!BW39)</f>
        <v>0</v>
      </c>
      <c r="Y39">
        <f>IF(NORMALIZADO!BX39="",0,NORMALIZADO!BX39)</f>
        <v>0</v>
      </c>
      <c r="Z39">
        <f>IF(NORMALIZADO!BY39="",0,NORMALIZADO!BY39)</f>
        <v>0</v>
      </c>
      <c r="AA39">
        <v>0</v>
      </c>
      <c r="AB39">
        <v>0</v>
      </c>
      <c r="AC39">
        <v>0</v>
      </c>
      <c r="AD39">
        <v>0</v>
      </c>
      <c r="AE39">
        <v>0</v>
      </c>
      <c r="AF39">
        <v>0</v>
      </c>
      <c r="AG39">
        <v>0</v>
      </c>
      <c r="AH39">
        <v>0</v>
      </c>
      <c r="AI39">
        <v>0</v>
      </c>
      <c r="AJ39">
        <v>0</v>
      </c>
      <c r="AK39">
        <v>0</v>
      </c>
      <c r="AL39">
        <v>0</v>
      </c>
      <c r="AM39">
        <v>0</v>
      </c>
      <c r="AN39">
        <v>0</v>
      </c>
      <c r="AO39">
        <f t="shared" si="9"/>
        <v>0</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N/A")</f>
        <v>0.26041666666666669</v>
      </c>
      <c r="AQ39">
        <f>IF(ISNUMBER(M39),1,0)+IF(ISNUMBER(SCORECARDS!H39),1,0)+IF(ISNUMBER(SCORECARDS!I39),1,0)+IF(ISNUMBER(SCORECARDS!J39),1,0)+IF(ISNUMBER(ISCAM_Score!K40),1,0)+IF(ISNUMBER(O39),1,0)+IF(COUNT(W39:Z39)&gt;0,1,0)</f>
        <v>3</v>
      </c>
    </row>
    <row r="40" spans="1:43" ht="16.05" customHeight="1" x14ac:dyDescent="0.3">
      <c r="A40" t="s">
        <v>161</v>
      </c>
      <c r="B40" t="s">
        <v>162</v>
      </c>
      <c r="C40" t="s">
        <v>116</v>
      </c>
      <c r="D40" t="s">
        <v>73</v>
      </c>
      <c r="E40">
        <v>1684429.98</v>
      </c>
      <c r="F40">
        <v>14</v>
      </c>
      <c r="G40" t="s">
        <v>66</v>
      </c>
      <c r="J40" t="s">
        <v>67</v>
      </c>
      <c r="L40">
        <v>842214.99</v>
      </c>
      <c r="M40">
        <f t="shared" si="5"/>
        <v>50</v>
      </c>
      <c r="N40" t="s">
        <v>68</v>
      </c>
      <c r="O40">
        <f t="shared" si="6"/>
        <v>0</v>
      </c>
      <c r="P40" t="s">
        <v>68</v>
      </c>
      <c r="S40">
        <f t="shared" si="7"/>
        <v>26</v>
      </c>
      <c r="T40" t="str">
        <f t="shared" si="8"/>
        <v>⬜  Parcial · Inst. 2 pendiente</v>
      </c>
      <c r="U40" s="53">
        <v>1</v>
      </c>
      <c r="V40" t="s">
        <v>69</v>
      </c>
      <c r="W40">
        <f>IF(NORMALIZADO!BV40="",1,NORMALIZADO!BV40)</f>
        <v>1</v>
      </c>
      <c r="X40">
        <f>IF(NORMALIZADO!BW40="",0,NORMALIZADO!BW40)</f>
        <v>0</v>
      </c>
      <c r="Y40">
        <f>IF(NORMALIZADO!BX40="",0,NORMALIZADO!BX40)</f>
        <v>0</v>
      </c>
      <c r="Z40">
        <f>IF(NORMALIZADO!BY40="",0,NORMALIZADO!BY40)</f>
        <v>0</v>
      </c>
      <c r="AA40">
        <v>0</v>
      </c>
      <c r="AB40">
        <v>0</v>
      </c>
      <c r="AC40">
        <v>0</v>
      </c>
      <c r="AD40">
        <v>0</v>
      </c>
      <c r="AE40">
        <v>0</v>
      </c>
      <c r="AF40">
        <v>0</v>
      </c>
      <c r="AG40">
        <v>0</v>
      </c>
      <c r="AH40">
        <v>0</v>
      </c>
      <c r="AI40">
        <v>0</v>
      </c>
      <c r="AJ40">
        <v>0</v>
      </c>
      <c r="AK40">
        <v>0</v>
      </c>
      <c r="AL40">
        <v>0</v>
      </c>
      <c r="AM40">
        <v>0</v>
      </c>
      <c r="AN40">
        <v>0</v>
      </c>
      <c r="AO40">
        <f t="shared" si="9"/>
        <v>0</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N/A")</f>
        <v>0.26041666666666669</v>
      </c>
      <c r="AQ40">
        <f>IF(ISNUMBER(M40),1,0)+IF(ISNUMBER(SCORECARDS!H40),1,0)+IF(ISNUMBER(SCORECARDS!I40),1,0)+IF(ISNUMBER(SCORECARDS!J40),1,0)+IF(ISNUMBER(ISCAM_Score!K41),1,0)+IF(ISNUMBER(O40),1,0)+IF(COUNT(W40:Z40)&gt;0,1,0)</f>
        <v>3</v>
      </c>
    </row>
    <row r="41" spans="1:43" ht="16.05" customHeight="1" x14ac:dyDescent="0.3">
      <c r="A41" t="s">
        <v>163</v>
      </c>
      <c r="B41" t="s">
        <v>164</v>
      </c>
      <c r="C41" t="s">
        <v>116</v>
      </c>
      <c r="D41" t="s">
        <v>65</v>
      </c>
      <c r="E41">
        <v>0</v>
      </c>
      <c r="G41" t="s">
        <v>74</v>
      </c>
      <c r="J41" t="s">
        <v>128</v>
      </c>
      <c r="L41">
        <v>0</v>
      </c>
      <c r="M41">
        <f t="shared" si="5"/>
        <v>0</v>
      </c>
      <c r="N41" t="s">
        <v>68</v>
      </c>
      <c r="O41">
        <f t="shared" si="6"/>
        <v>0</v>
      </c>
      <c r="P41" t="s">
        <v>68</v>
      </c>
      <c r="S41">
        <f t="shared" si="7"/>
        <v>0</v>
      </c>
      <c r="T41" t="str">
        <f t="shared" si="8"/>
        <v>⬜  Parcial · Inst. 2 pendiente</v>
      </c>
      <c r="U41" s="53">
        <v>1</v>
      </c>
      <c r="V41" t="s">
        <v>69</v>
      </c>
      <c r="W41">
        <f>IF(NORMALIZADO!BV41="",0,NORMALIZADO!BV41)</f>
        <v>0</v>
      </c>
      <c r="X41">
        <f>IF(NORMALIZADO!BW41="",0,NORMALIZADO!BW41)</f>
        <v>0</v>
      </c>
      <c r="Y41">
        <f>IF(NORMALIZADO!BX41="",0,NORMALIZADO!BX41)</f>
        <v>0</v>
      </c>
      <c r="Z41">
        <f>IF(NORMALIZADO!BY41="",0,NORMALIZADO!BY41)</f>
        <v>0</v>
      </c>
      <c r="AA41">
        <v>0</v>
      </c>
      <c r="AB41">
        <v>0</v>
      </c>
      <c r="AC41">
        <v>0</v>
      </c>
      <c r="AD41">
        <v>0</v>
      </c>
      <c r="AE41">
        <v>0</v>
      </c>
      <c r="AF41">
        <v>0</v>
      </c>
      <c r="AG41">
        <v>0</v>
      </c>
      <c r="AH41">
        <v>0</v>
      </c>
      <c r="AI41">
        <v>0</v>
      </c>
      <c r="AJ41">
        <v>0</v>
      </c>
      <c r="AK41">
        <v>0</v>
      </c>
      <c r="AL41">
        <v>0</v>
      </c>
      <c r="AM41">
        <v>0</v>
      </c>
      <c r="AN41">
        <v>0</v>
      </c>
      <c r="AO41">
        <f t="shared" si="9"/>
        <v>0</v>
      </c>
      <c r="AP41">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N/A")</f>
        <v>0</v>
      </c>
      <c r="AQ41">
        <f>IF(ISNUMBER(M41),1,0)+IF(ISNUMBER(SCORECARDS!H41),1,0)+IF(ISNUMBER(SCORECARDS!I41),1,0)+IF(ISNUMBER(SCORECARDS!J41),1,0)+IF(ISNUMBER(ISCAM_Score!K42),1,0)+IF(ISNUMBER(O41),1,0)+IF(COUNT(W41:Z41)&gt;0,1,0)</f>
        <v>3</v>
      </c>
    </row>
    <row r="42" spans="1:43" ht="16.05" customHeight="1" x14ac:dyDescent="0.3">
      <c r="A42" t="s">
        <v>165</v>
      </c>
      <c r="B42" t="s">
        <v>166</v>
      </c>
      <c r="C42" t="s">
        <v>107</v>
      </c>
      <c r="D42" t="s">
        <v>73</v>
      </c>
      <c r="E42">
        <v>817000</v>
      </c>
      <c r="F42">
        <v>6</v>
      </c>
      <c r="G42" t="s">
        <v>66</v>
      </c>
      <c r="J42" t="s">
        <v>67</v>
      </c>
      <c r="L42">
        <v>408500</v>
      </c>
      <c r="M42">
        <f t="shared" si="5"/>
        <v>50</v>
      </c>
      <c r="N42" t="s">
        <v>68</v>
      </c>
      <c r="O42">
        <f t="shared" si="6"/>
        <v>0</v>
      </c>
      <c r="P42" t="s">
        <v>68</v>
      </c>
      <c r="S42">
        <f t="shared" si="7"/>
        <v>20.8</v>
      </c>
      <c r="T42" t="str">
        <f t="shared" si="8"/>
        <v>⬜  Parcial · Inst. 2 pendiente</v>
      </c>
      <c r="U42" s="53">
        <v>1</v>
      </c>
      <c r="V42" t="s">
        <v>69</v>
      </c>
      <c r="W42">
        <f>IF(NORMALIZADO!BV42="",0,NORMALIZADO!BV42)</f>
        <v>0</v>
      </c>
      <c r="X42">
        <f>IF(NORMALIZADO!BW42="",0,NORMALIZADO!BW42)</f>
        <v>0</v>
      </c>
      <c r="Y42">
        <f>IF(NORMALIZADO!BX42="",0,NORMALIZADO!BX42)</f>
        <v>0</v>
      </c>
      <c r="Z42">
        <f>IF(NORMALIZADO!BY42="",0,NORMALIZADO!BY42)</f>
        <v>0</v>
      </c>
      <c r="AA42">
        <v>0</v>
      </c>
      <c r="AB42">
        <v>0</v>
      </c>
      <c r="AC42">
        <v>0</v>
      </c>
      <c r="AD42">
        <v>0</v>
      </c>
      <c r="AE42">
        <v>0</v>
      </c>
      <c r="AF42">
        <v>0</v>
      </c>
      <c r="AG42">
        <v>0</v>
      </c>
      <c r="AH42">
        <v>0</v>
      </c>
      <c r="AI42">
        <v>0</v>
      </c>
      <c r="AJ42">
        <v>0</v>
      </c>
      <c r="AK42">
        <v>0</v>
      </c>
      <c r="AL42">
        <v>0</v>
      </c>
      <c r="AM42">
        <v>0</v>
      </c>
      <c r="AN42">
        <v>0</v>
      </c>
      <c r="AO42">
        <f t="shared" si="9"/>
        <v>0</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N/A")</f>
        <v>0.20833333333333334</v>
      </c>
      <c r="AQ42">
        <f>IF(ISNUMBER(M42),1,0)+IF(ISNUMBER(SCORECARDS!H42),1,0)+IF(ISNUMBER(SCORECARDS!I42),1,0)+IF(ISNUMBER(SCORECARDS!J42),1,0)+IF(ISNUMBER(ISCAM_Score!K43),1,0)+IF(ISNUMBER(O42),1,0)+IF(COUNT(W42:Z42)&gt;0,1,0)</f>
        <v>3</v>
      </c>
    </row>
    <row r="43" spans="1:43" ht="16.05" customHeight="1" x14ac:dyDescent="0.3">
      <c r="A43" t="s">
        <v>167</v>
      </c>
      <c r="B43" t="s">
        <v>168</v>
      </c>
      <c r="C43" t="s">
        <v>77</v>
      </c>
      <c r="D43" t="s">
        <v>65</v>
      </c>
      <c r="E43">
        <v>0</v>
      </c>
      <c r="G43" t="s">
        <v>74</v>
      </c>
      <c r="J43" t="s">
        <v>110</v>
      </c>
      <c r="L43">
        <v>0</v>
      </c>
      <c r="M43">
        <f t="shared" si="5"/>
        <v>0</v>
      </c>
      <c r="N43" t="s">
        <v>68</v>
      </c>
      <c r="O43">
        <f t="shared" si="6"/>
        <v>0</v>
      </c>
      <c r="P43" t="s">
        <v>68</v>
      </c>
      <c r="S43">
        <f t="shared" si="7"/>
        <v>0</v>
      </c>
      <c r="T43" t="str">
        <f t="shared" si="8"/>
        <v>⬜  Parcial · Inst. 2 pendiente</v>
      </c>
      <c r="U43" s="53">
        <v>1</v>
      </c>
      <c r="V43" t="s">
        <v>69</v>
      </c>
      <c r="W43">
        <f>IF(NORMALIZADO!BV43="",0,NORMALIZADO!BV43)</f>
        <v>0</v>
      </c>
      <c r="X43">
        <f>IF(NORMALIZADO!BW43="",0,NORMALIZADO!BW43)</f>
        <v>0</v>
      </c>
      <c r="Y43">
        <f>IF(NORMALIZADO!BX43="",0,NORMALIZADO!BX43)</f>
        <v>0</v>
      </c>
      <c r="Z43">
        <f>IF(NORMALIZADO!BY43="",0,NORMALIZADO!BY43)</f>
        <v>0</v>
      </c>
      <c r="AA43">
        <v>0</v>
      </c>
      <c r="AB43">
        <v>0</v>
      </c>
      <c r="AC43">
        <v>0</v>
      </c>
      <c r="AD43">
        <v>0</v>
      </c>
      <c r="AE43">
        <v>0</v>
      </c>
      <c r="AF43">
        <v>0</v>
      </c>
      <c r="AG43">
        <v>0</v>
      </c>
      <c r="AH43">
        <v>0</v>
      </c>
      <c r="AI43">
        <v>0</v>
      </c>
      <c r="AJ43">
        <v>0</v>
      </c>
      <c r="AK43">
        <v>0</v>
      </c>
      <c r="AL43">
        <v>0</v>
      </c>
      <c r="AM43">
        <v>0</v>
      </c>
      <c r="AN43">
        <v>0</v>
      </c>
      <c r="AO43">
        <f t="shared" si="9"/>
        <v>0</v>
      </c>
      <c r="AP43">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N/A")</f>
        <v>0</v>
      </c>
      <c r="AQ43">
        <f>IF(ISNUMBER(M43),1,0)+IF(ISNUMBER(SCORECARDS!H43),1,0)+IF(ISNUMBER(SCORECARDS!I43),1,0)+IF(ISNUMBER(SCORECARDS!J43),1,0)+IF(ISNUMBER(ISCAM_Score!K44),1,0)+IF(ISNUMBER(O43),1,0)+IF(COUNT(W43:Z43)&gt;0,1,0)</f>
        <v>3</v>
      </c>
    </row>
    <row r="44" spans="1:43" ht="16.05" customHeight="1" x14ac:dyDescent="0.3">
      <c r="A44" t="s">
        <v>169</v>
      </c>
      <c r="B44" t="s">
        <v>170</v>
      </c>
      <c r="C44" t="s">
        <v>77</v>
      </c>
      <c r="D44" t="s">
        <v>65</v>
      </c>
      <c r="E44">
        <v>0</v>
      </c>
      <c r="G44" t="s">
        <v>74</v>
      </c>
      <c r="J44" t="s">
        <v>67</v>
      </c>
      <c r="L44">
        <v>0</v>
      </c>
      <c r="M44">
        <f t="shared" si="5"/>
        <v>0</v>
      </c>
      <c r="N44" t="s">
        <v>68</v>
      </c>
      <c r="O44">
        <f t="shared" si="6"/>
        <v>0</v>
      </c>
      <c r="P44" t="s">
        <v>68</v>
      </c>
      <c r="S44">
        <f t="shared" si="7"/>
        <v>0</v>
      </c>
      <c r="T44" t="str">
        <f t="shared" si="8"/>
        <v>⬜  Parcial · Inst. 2 pendiente</v>
      </c>
      <c r="U44" s="53">
        <v>1</v>
      </c>
      <c r="V44" t="s">
        <v>69</v>
      </c>
      <c r="W44">
        <f>IF(NORMALIZADO!BV44="",0,NORMALIZADO!BV44)</f>
        <v>0</v>
      </c>
      <c r="X44">
        <f>IF(NORMALIZADO!BW44="",0,NORMALIZADO!BW44)</f>
        <v>0</v>
      </c>
      <c r="Y44">
        <f>IF(NORMALIZADO!BX44="",0,NORMALIZADO!BX44)</f>
        <v>0</v>
      </c>
      <c r="Z44">
        <f>IF(NORMALIZADO!BY44="",0,NORMALIZADO!BY44)</f>
        <v>0</v>
      </c>
      <c r="AA44">
        <v>0</v>
      </c>
      <c r="AB44">
        <v>0</v>
      </c>
      <c r="AC44">
        <v>0</v>
      </c>
      <c r="AD44">
        <v>0</v>
      </c>
      <c r="AE44">
        <v>0</v>
      </c>
      <c r="AF44">
        <v>0</v>
      </c>
      <c r="AG44">
        <v>0</v>
      </c>
      <c r="AH44">
        <v>0</v>
      </c>
      <c r="AI44">
        <v>0</v>
      </c>
      <c r="AJ44">
        <v>0</v>
      </c>
      <c r="AK44">
        <v>0</v>
      </c>
      <c r="AL44">
        <v>0</v>
      </c>
      <c r="AM44">
        <v>0</v>
      </c>
      <c r="AN44">
        <v>0</v>
      </c>
      <c r="AO44">
        <f t="shared" si="9"/>
        <v>0</v>
      </c>
      <c r="AP44">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N/A")</f>
        <v>0</v>
      </c>
      <c r="AQ44">
        <f>IF(ISNUMBER(M44),1,0)+IF(ISNUMBER(SCORECARDS!H44),1,0)+IF(ISNUMBER(SCORECARDS!I44),1,0)+IF(ISNUMBER(SCORECARDS!J44),1,0)+IF(ISNUMBER(ISCAM_Score!K45),1,0)+IF(ISNUMBER(O44),1,0)+IF(COUNT(W44:Z44)&gt;0,1,0)</f>
        <v>3</v>
      </c>
    </row>
    <row r="45" spans="1:43" ht="16.05" customHeight="1" x14ac:dyDescent="0.3">
      <c r="A45" t="s">
        <v>171</v>
      </c>
      <c r="B45" t="s">
        <v>172</v>
      </c>
      <c r="C45" t="s">
        <v>77</v>
      </c>
      <c r="D45" t="s">
        <v>65</v>
      </c>
      <c r="E45">
        <v>13207692.050000001</v>
      </c>
      <c r="F45">
        <v>41</v>
      </c>
      <c r="G45" t="s">
        <v>66</v>
      </c>
      <c r="J45" t="s">
        <v>67</v>
      </c>
      <c r="L45">
        <v>6603846.0300000003</v>
      </c>
      <c r="M45">
        <f t="shared" si="5"/>
        <v>50</v>
      </c>
      <c r="N45" t="s">
        <v>68</v>
      </c>
      <c r="O45">
        <f t="shared" si="6"/>
        <v>0</v>
      </c>
      <c r="P45" t="s">
        <v>68</v>
      </c>
      <c r="S45">
        <f t="shared" si="7"/>
        <v>26</v>
      </c>
      <c r="T45" t="str">
        <f t="shared" si="8"/>
        <v>⬜  Parcial · Inst. 2 pendiente</v>
      </c>
      <c r="U45" s="53">
        <v>1</v>
      </c>
      <c r="V45" t="s">
        <v>69</v>
      </c>
      <c r="W45">
        <f>IF(NORMALIZADO!BV45="",1,NORMALIZADO!BV45)</f>
        <v>1</v>
      </c>
      <c r="X45">
        <f>IF(NORMALIZADO!BW45="",0,NORMALIZADO!BW45)</f>
        <v>0</v>
      </c>
      <c r="Y45">
        <f>IF(NORMALIZADO!BX45="",0,NORMALIZADO!BX45)</f>
        <v>0</v>
      </c>
      <c r="Z45">
        <f>IF(NORMALIZADO!BY45="",0,NORMALIZADO!BY45)</f>
        <v>0</v>
      </c>
      <c r="AA45">
        <v>0</v>
      </c>
      <c r="AB45">
        <v>0</v>
      </c>
      <c r="AC45">
        <v>0</v>
      </c>
      <c r="AD45">
        <v>0</v>
      </c>
      <c r="AE45">
        <v>0</v>
      </c>
      <c r="AF45">
        <v>0</v>
      </c>
      <c r="AG45">
        <v>0</v>
      </c>
      <c r="AH45">
        <v>0</v>
      </c>
      <c r="AI45">
        <v>0</v>
      </c>
      <c r="AJ45">
        <v>0</v>
      </c>
      <c r="AK45">
        <v>0</v>
      </c>
      <c r="AL45">
        <v>0</v>
      </c>
      <c r="AM45">
        <v>0</v>
      </c>
      <c r="AN45">
        <v>0</v>
      </c>
      <c r="AO45">
        <f t="shared" si="9"/>
        <v>0</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N/A")</f>
        <v>0.26041666666666669</v>
      </c>
      <c r="AQ45">
        <f>IF(ISNUMBER(M45),1,0)+IF(ISNUMBER(SCORECARDS!H45),1,0)+IF(ISNUMBER(SCORECARDS!I45),1,0)+IF(ISNUMBER(SCORECARDS!J45),1,0)+IF(ISNUMBER(ISCAM_Score!K46),1,0)+IF(ISNUMBER(O45),1,0)+IF(COUNT(W45:Z45)&gt;0,1,0)</f>
        <v>3</v>
      </c>
    </row>
    <row r="46" spans="1:43" ht="16.05" customHeight="1" x14ac:dyDescent="0.3">
      <c r="A46" t="s">
        <v>173</v>
      </c>
      <c r="B46" t="s">
        <v>174</v>
      </c>
      <c r="C46" t="s">
        <v>77</v>
      </c>
      <c r="E46">
        <v>0</v>
      </c>
      <c r="G46" t="s">
        <v>74</v>
      </c>
      <c r="J46" t="s">
        <v>110</v>
      </c>
      <c r="L46">
        <v>0</v>
      </c>
      <c r="M46">
        <f t="shared" si="5"/>
        <v>0</v>
      </c>
      <c r="N46" t="s">
        <v>68</v>
      </c>
      <c r="O46">
        <f t="shared" si="6"/>
        <v>0</v>
      </c>
      <c r="P46" t="s">
        <v>68</v>
      </c>
      <c r="S46">
        <f t="shared" si="7"/>
        <v>0</v>
      </c>
      <c r="T46" t="str">
        <f t="shared" si="8"/>
        <v>⬜  Parcial · Inst. 2 pendiente</v>
      </c>
      <c r="U46" s="53">
        <v>1</v>
      </c>
      <c r="V46" t="s">
        <v>69</v>
      </c>
      <c r="W46">
        <f>IF(NORMALIZADO!BV46="",0,NORMALIZADO!BV46)</f>
        <v>0</v>
      </c>
      <c r="X46">
        <f>IF(NORMALIZADO!BW46="",0,NORMALIZADO!BW46)</f>
        <v>0</v>
      </c>
      <c r="Y46">
        <f>IF(NORMALIZADO!BX46="",0,NORMALIZADO!BX46)</f>
        <v>0</v>
      </c>
      <c r="Z46">
        <f>IF(NORMALIZADO!BY46="",0,NORMALIZADO!BY46)</f>
        <v>0</v>
      </c>
      <c r="AA46">
        <v>0</v>
      </c>
      <c r="AB46">
        <v>0</v>
      </c>
      <c r="AC46">
        <v>0</v>
      </c>
      <c r="AD46">
        <v>0</v>
      </c>
      <c r="AE46">
        <v>0</v>
      </c>
      <c r="AF46">
        <v>0</v>
      </c>
      <c r="AG46">
        <v>0</v>
      </c>
      <c r="AH46">
        <v>0</v>
      </c>
      <c r="AI46">
        <v>0</v>
      </c>
      <c r="AJ46">
        <v>0</v>
      </c>
      <c r="AK46">
        <v>0</v>
      </c>
      <c r="AL46">
        <v>0</v>
      </c>
      <c r="AM46">
        <v>0</v>
      </c>
      <c r="AN46">
        <v>0</v>
      </c>
      <c r="AO46">
        <f t="shared" si="9"/>
        <v>0</v>
      </c>
      <c r="AP46">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N/A")</f>
        <v>0</v>
      </c>
      <c r="AQ46">
        <f>IF(ISNUMBER(M46),1,0)+IF(ISNUMBER(SCORECARDS!H46),1,0)+IF(ISNUMBER(SCORECARDS!I46),1,0)+IF(ISNUMBER(SCORECARDS!J46),1,0)+IF(ISNUMBER(ISCAM_Score!K47),1,0)+IF(ISNUMBER(O46),1,0)+IF(COUNT(W46:Z46)&gt;0,1,0)</f>
        <v>3</v>
      </c>
    </row>
    <row r="47" spans="1:43" ht="16.05" customHeight="1" x14ac:dyDescent="0.3">
      <c r="A47" t="s">
        <v>175</v>
      </c>
      <c r="B47" t="s">
        <v>176</v>
      </c>
      <c r="C47" t="s">
        <v>77</v>
      </c>
      <c r="D47" t="s">
        <v>73</v>
      </c>
      <c r="G47" t="s">
        <v>74</v>
      </c>
      <c r="J47" t="s">
        <v>67</v>
      </c>
      <c r="L47">
        <v>0</v>
      </c>
      <c r="M47">
        <f t="shared" si="5"/>
        <v>0</v>
      </c>
      <c r="N47" t="s">
        <v>68</v>
      </c>
      <c r="O47">
        <f t="shared" si="6"/>
        <v>0</v>
      </c>
      <c r="P47" t="s">
        <v>68</v>
      </c>
      <c r="S47">
        <f t="shared" si="7"/>
        <v>0</v>
      </c>
      <c r="T47" t="str">
        <f t="shared" si="8"/>
        <v>⬜  Parcial · Inst. 2 pendiente</v>
      </c>
      <c r="U47" s="53">
        <v>1</v>
      </c>
      <c r="V47" t="s">
        <v>69</v>
      </c>
      <c r="W47">
        <f>IF(NORMALIZADO!BV47="",0,NORMALIZADO!BV47)</f>
        <v>0</v>
      </c>
      <c r="X47">
        <f>IF(NORMALIZADO!BW47="",0,NORMALIZADO!BW47)</f>
        <v>0</v>
      </c>
      <c r="Y47">
        <f>IF(NORMALIZADO!BX47="",0,NORMALIZADO!BX47)</f>
        <v>0</v>
      </c>
      <c r="Z47">
        <f>IF(NORMALIZADO!BY47="",0,NORMALIZADO!BY47)</f>
        <v>0</v>
      </c>
      <c r="AA47">
        <v>0</v>
      </c>
      <c r="AB47">
        <v>0</v>
      </c>
      <c r="AC47">
        <v>0</v>
      </c>
      <c r="AD47">
        <v>0</v>
      </c>
      <c r="AE47">
        <v>0</v>
      </c>
      <c r="AF47">
        <v>0</v>
      </c>
      <c r="AG47">
        <v>0</v>
      </c>
      <c r="AH47">
        <v>0</v>
      </c>
      <c r="AI47">
        <v>0</v>
      </c>
      <c r="AJ47">
        <v>0</v>
      </c>
      <c r="AK47">
        <v>0</v>
      </c>
      <c r="AL47">
        <v>0</v>
      </c>
      <c r="AM47">
        <v>0</v>
      </c>
      <c r="AN47">
        <v>0</v>
      </c>
      <c r="AO47">
        <f t="shared" si="9"/>
        <v>0</v>
      </c>
      <c r="AP47">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N/A")</f>
        <v>0</v>
      </c>
      <c r="AQ47">
        <f>IF(ISNUMBER(M47),1,0)+IF(ISNUMBER(SCORECARDS!H47),1,0)+IF(ISNUMBER(SCORECARDS!I47),1,0)+IF(ISNUMBER(SCORECARDS!J47),1,0)+IF(ISNUMBER(ISCAM_Score!K48),1,0)+IF(ISNUMBER(O47),1,0)+IF(COUNT(W47:Z47)&gt;0,1,0)</f>
        <v>3</v>
      </c>
    </row>
    <row r="48" spans="1:43" ht="16.05" customHeight="1" x14ac:dyDescent="0.3">
      <c r="A48" t="s">
        <v>177</v>
      </c>
      <c r="B48" t="s">
        <v>178</v>
      </c>
      <c r="C48" t="s">
        <v>77</v>
      </c>
      <c r="D48" t="s">
        <v>73</v>
      </c>
      <c r="E48">
        <v>30342293.079999998</v>
      </c>
      <c r="F48">
        <v>108</v>
      </c>
      <c r="G48" t="s">
        <v>66</v>
      </c>
      <c r="J48" t="s">
        <v>67</v>
      </c>
      <c r="L48">
        <v>15171146.539999999</v>
      </c>
      <c r="M48">
        <f t="shared" si="5"/>
        <v>50</v>
      </c>
      <c r="N48" t="s">
        <v>68</v>
      </c>
      <c r="O48">
        <f t="shared" si="6"/>
        <v>0</v>
      </c>
      <c r="P48" t="s">
        <v>68</v>
      </c>
      <c r="S48">
        <f t="shared" si="7"/>
        <v>26</v>
      </c>
      <c r="T48" t="str">
        <f t="shared" si="8"/>
        <v>⬜  Parcial · Inst. 2 pendiente</v>
      </c>
      <c r="U48" s="53">
        <v>1</v>
      </c>
      <c r="V48" t="s">
        <v>69</v>
      </c>
      <c r="W48">
        <f>IF(NORMALIZADO!BV48="",1,NORMALIZADO!BV48)</f>
        <v>1</v>
      </c>
      <c r="X48">
        <f>IF(NORMALIZADO!BW48="",0,NORMALIZADO!BW48)</f>
        <v>0</v>
      </c>
      <c r="Y48">
        <f>IF(NORMALIZADO!BX48="",0,NORMALIZADO!BX48)</f>
        <v>0</v>
      </c>
      <c r="Z48">
        <f>IF(NORMALIZADO!BY48="",0,NORMALIZADO!BY48)</f>
        <v>0</v>
      </c>
      <c r="AA48">
        <v>0</v>
      </c>
      <c r="AB48">
        <v>0</v>
      </c>
      <c r="AC48">
        <v>0</v>
      </c>
      <c r="AD48">
        <v>0</v>
      </c>
      <c r="AE48">
        <v>0</v>
      </c>
      <c r="AF48">
        <v>0</v>
      </c>
      <c r="AG48">
        <v>0</v>
      </c>
      <c r="AH48">
        <v>0</v>
      </c>
      <c r="AI48">
        <v>0</v>
      </c>
      <c r="AJ48">
        <v>0</v>
      </c>
      <c r="AK48">
        <v>0</v>
      </c>
      <c r="AL48">
        <v>0</v>
      </c>
      <c r="AM48">
        <v>0</v>
      </c>
      <c r="AN48">
        <v>0</v>
      </c>
      <c r="AO48">
        <f t="shared" si="9"/>
        <v>0</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N/A")</f>
        <v>0.26041666666666669</v>
      </c>
      <c r="AQ48">
        <f>IF(ISNUMBER(M48),1,0)+IF(ISNUMBER(SCORECARDS!H48),1,0)+IF(ISNUMBER(SCORECARDS!I48),1,0)+IF(ISNUMBER(SCORECARDS!J48),1,0)+IF(ISNUMBER(ISCAM_Score!K49),1,0)+IF(ISNUMBER(O48),1,0)+IF(COUNT(W48:Z48)&gt;0,1,0)</f>
        <v>3</v>
      </c>
    </row>
    <row r="49" spans="1:43" ht="16.05" customHeight="1" x14ac:dyDescent="0.3">
      <c r="A49" t="s">
        <v>179</v>
      </c>
      <c r="B49" t="s">
        <v>180</v>
      </c>
      <c r="C49" t="s">
        <v>77</v>
      </c>
      <c r="D49" t="s">
        <v>73</v>
      </c>
      <c r="E49">
        <v>2290978.7000000002</v>
      </c>
      <c r="F49">
        <v>10</v>
      </c>
      <c r="G49" t="s">
        <v>66</v>
      </c>
      <c r="J49" t="s">
        <v>67</v>
      </c>
      <c r="L49">
        <v>1145489.3500000001</v>
      </c>
      <c r="M49">
        <f t="shared" si="5"/>
        <v>50</v>
      </c>
      <c r="N49" t="s">
        <v>68</v>
      </c>
      <c r="O49">
        <f t="shared" si="6"/>
        <v>0</v>
      </c>
      <c r="P49" t="s">
        <v>68</v>
      </c>
      <c r="S49">
        <f t="shared" si="7"/>
        <v>26</v>
      </c>
      <c r="T49" t="str">
        <f t="shared" si="8"/>
        <v>⬜  Parcial · Inst. 2 pendiente</v>
      </c>
      <c r="U49" s="53">
        <v>1</v>
      </c>
      <c r="V49" t="s">
        <v>69</v>
      </c>
      <c r="W49">
        <f>IF(NORMALIZADO!BV49="",1,NORMALIZADO!BV49)</f>
        <v>1</v>
      </c>
      <c r="X49">
        <f>IF(NORMALIZADO!BW49="",0,NORMALIZADO!BW49)</f>
        <v>0</v>
      </c>
      <c r="Y49">
        <f>IF(NORMALIZADO!BX49="",0,NORMALIZADO!BX49)</f>
        <v>0</v>
      </c>
      <c r="Z49">
        <f>IF(NORMALIZADO!BY49="",0,NORMALIZADO!BY49)</f>
        <v>0</v>
      </c>
      <c r="AA49">
        <v>0</v>
      </c>
      <c r="AB49">
        <v>0</v>
      </c>
      <c r="AC49">
        <v>0</v>
      </c>
      <c r="AD49">
        <v>0</v>
      </c>
      <c r="AE49">
        <v>0</v>
      </c>
      <c r="AF49">
        <v>0</v>
      </c>
      <c r="AG49">
        <v>0</v>
      </c>
      <c r="AH49">
        <v>0</v>
      </c>
      <c r="AI49">
        <v>0</v>
      </c>
      <c r="AJ49">
        <v>0</v>
      </c>
      <c r="AK49">
        <v>0</v>
      </c>
      <c r="AL49">
        <v>0</v>
      </c>
      <c r="AM49">
        <v>0</v>
      </c>
      <c r="AN49">
        <v>0</v>
      </c>
      <c r="AO49">
        <f t="shared" si="9"/>
        <v>0</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N/A")</f>
        <v>0.26041666666666669</v>
      </c>
      <c r="AQ49">
        <f>IF(ISNUMBER(M49),1,0)+IF(ISNUMBER(SCORECARDS!H49),1,0)+IF(ISNUMBER(SCORECARDS!I49),1,0)+IF(ISNUMBER(SCORECARDS!J49),1,0)+IF(ISNUMBER(ISCAM_Score!K50),1,0)+IF(ISNUMBER(O49),1,0)+IF(COUNT(W49:Z49)&gt;0,1,0)</f>
        <v>3</v>
      </c>
    </row>
    <row r="50" spans="1:43" ht="16.05" customHeight="1" x14ac:dyDescent="0.3">
      <c r="A50" t="s">
        <v>181</v>
      </c>
      <c r="B50" t="s">
        <v>182</v>
      </c>
      <c r="C50" t="s">
        <v>183</v>
      </c>
      <c r="D50" t="s">
        <v>65</v>
      </c>
      <c r="G50" t="s">
        <v>74</v>
      </c>
      <c r="J50" t="s">
        <v>128</v>
      </c>
      <c r="L50">
        <v>0</v>
      </c>
      <c r="M50">
        <f t="shared" si="5"/>
        <v>0</v>
      </c>
      <c r="N50" t="s">
        <v>68</v>
      </c>
      <c r="O50">
        <f t="shared" si="6"/>
        <v>0</v>
      </c>
      <c r="P50" t="s">
        <v>68</v>
      </c>
      <c r="S50">
        <f t="shared" si="7"/>
        <v>0</v>
      </c>
      <c r="T50" t="str">
        <f t="shared" si="8"/>
        <v>⬜  Parcial · Inst. 2 pendiente</v>
      </c>
      <c r="U50" s="53">
        <v>1</v>
      </c>
      <c r="V50" t="s">
        <v>69</v>
      </c>
      <c r="W50">
        <f>IF(NORMALIZADO!BV50="",0,NORMALIZADO!BV50)</f>
        <v>0</v>
      </c>
      <c r="X50">
        <f>IF(NORMALIZADO!BW50="",0,NORMALIZADO!BW50)</f>
        <v>0</v>
      </c>
      <c r="Y50">
        <f>IF(NORMALIZADO!BX50="",0,NORMALIZADO!BX50)</f>
        <v>0</v>
      </c>
      <c r="Z50">
        <f>IF(NORMALIZADO!BY50="",0,NORMALIZADO!BY50)</f>
        <v>0</v>
      </c>
      <c r="AA50">
        <v>0</v>
      </c>
      <c r="AB50">
        <v>0</v>
      </c>
      <c r="AC50">
        <v>0</v>
      </c>
      <c r="AD50">
        <v>0</v>
      </c>
      <c r="AE50">
        <v>0</v>
      </c>
      <c r="AF50">
        <v>0</v>
      </c>
      <c r="AG50">
        <v>0</v>
      </c>
      <c r="AH50">
        <v>0</v>
      </c>
      <c r="AI50">
        <v>0</v>
      </c>
      <c r="AJ50">
        <v>0</v>
      </c>
      <c r="AK50">
        <v>0</v>
      </c>
      <c r="AL50">
        <v>0</v>
      </c>
      <c r="AM50">
        <v>0</v>
      </c>
      <c r="AN50">
        <v>0</v>
      </c>
      <c r="AO50">
        <f t="shared" si="9"/>
        <v>0</v>
      </c>
      <c r="AP50">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N/A")</f>
        <v>0</v>
      </c>
      <c r="AQ50">
        <f>IF(ISNUMBER(M50),1,0)+IF(ISNUMBER(SCORECARDS!H50),1,0)+IF(ISNUMBER(SCORECARDS!I50),1,0)+IF(ISNUMBER(SCORECARDS!J50),1,0)+IF(ISNUMBER(ISCAM_Score!K51),1,0)+IF(ISNUMBER(O50),1,0)+IF(COUNT(W50:Z50)&gt;0,1,0)</f>
        <v>3</v>
      </c>
    </row>
    <row r="51" spans="1:43" ht="16.05" customHeight="1" x14ac:dyDescent="0.3">
      <c r="A51" t="s">
        <v>184</v>
      </c>
      <c r="B51" t="s">
        <v>185</v>
      </c>
      <c r="C51" t="s">
        <v>154</v>
      </c>
      <c r="D51" t="s">
        <v>73</v>
      </c>
      <c r="G51" t="s">
        <v>74</v>
      </c>
      <c r="J51" t="s">
        <v>67</v>
      </c>
      <c r="L51">
        <v>0</v>
      </c>
      <c r="M51">
        <f t="shared" si="5"/>
        <v>0</v>
      </c>
      <c r="N51" t="s">
        <v>68</v>
      </c>
      <c r="O51">
        <f t="shared" si="6"/>
        <v>0</v>
      </c>
      <c r="P51" t="s">
        <v>68</v>
      </c>
      <c r="S51">
        <f t="shared" si="7"/>
        <v>0</v>
      </c>
      <c r="T51" t="str">
        <f t="shared" si="8"/>
        <v>⬜  Parcial · Inst. 2 pendiente</v>
      </c>
      <c r="U51" s="53">
        <v>1</v>
      </c>
      <c r="V51" t="s">
        <v>69</v>
      </c>
      <c r="W51">
        <f>IF(NORMALIZADO!BV51="",0,NORMALIZADO!BV51)</f>
        <v>0</v>
      </c>
      <c r="X51">
        <f>IF(NORMALIZADO!BW51="",0,NORMALIZADO!BW51)</f>
        <v>0</v>
      </c>
      <c r="Y51">
        <f>IF(NORMALIZADO!BX51="",0,NORMALIZADO!BX51)</f>
        <v>0</v>
      </c>
      <c r="Z51">
        <f>IF(NORMALIZADO!BY51="",0,NORMALIZADO!BY51)</f>
        <v>0</v>
      </c>
      <c r="AA51">
        <v>0</v>
      </c>
      <c r="AB51">
        <v>0</v>
      </c>
      <c r="AC51">
        <v>0</v>
      </c>
      <c r="AD51">
        <v>0</v>
      </c>
      <c r="AE51">
        <v>0</v>
      </c>
      <c r="AF51">
        <v>0</v>
      </c>
      <c r="AG51">
        <v>0</v>
      </c>
      <c r="AH51">
        <v>0</v>
      </c>
      <c r="AI51">
        <v>0</v>
      </c>
      <c r="AJ51">
        <v>0</v>
      </c>
      <c r="AK51">
        <v>0</v>
      </c>
      <c r="AL51">
        <v>0</v>
      </c>
      <c r="AM51">
        <v>0</v>
      </c>
      <c r="AN51">
        <v>0</v>
      </c>
      <c r="AO51">
        <f t="shared" si="9"/>
        <v>0</v>
      </c>
      <c r="AP51">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N/A")</f>
        <v>0</v>
      </c>
      <c r="AQ51">
        <f>IF(ISNUMBER(M51),1,0)+IF(ISNUMBER(SCORECARDS!H51),1,0)+IF(ISNUMBER(SCORECARDS!I51),1,0)+IF(ISNUMBER(SCORECARDS!J51),1,0)+IF(ISNUMBER(ISCAM_Score!K52),1,0)+IF(ISNUMBER(O51),1,0)+IF(COUNT(W51:Z51)&gt;0,1,0)</f>
        <v>3</v>
      </c>
    </row>
    <row r="52" spans="1:43" ht="16.05" customHeight="1" x14ac:dyDescent="0.3">
      <c r="A52" t="s">
        <v>186</v>
      </c>
      <c r="B52" t="s">
        <v>187</v>
      </c>
      <c r="C52" t="s">
        <v>80</v>
      </c>
      <c r="D52" t="s">
        <v>73</v>
      </c>
      <c r="G52" t="s">
        <v>74</v>
      </c>
      <c r="J52" t="s">
        <v>67</v>
      </c>
      <c r="L52">
        <v>0</v>
      </c>
      <c r="M52">
        <f t="shared" si="5"/>
        <v>0</v>
      </c>
      <c r="N52" t="s">
        <v>68</v>
      </c>
      <c r="O52">
        <f t="shared" si="6"/>
        <v>0</v>
      </c>
      <c r="P52" t="s">
        <v>68</v>
      </c>
      <c r="S52">
        <f t="shared" si="7"/>
        <v>0</v>
      </c>
      <c r="T52" t="str">
        <f t="shared" si="8"/>
        <v>⬜  Parcial · Inst. 2 pendiente</v>
      </c>
      <c r="U52" s="53">
        <v>1</v>
      </c>
      <c r="V52" t="s">
        <v>69</v>
      </c>
      <c r="W52">
        <f>IF(NORMALIZADO!BV52="",0,NORMALIZADO!BV52)</f>
        <v>0</v>
      </c>
      <c r="X52">
        <f>IF(NORMALIZADO!BW52="",0,NORMALIZADO!BW52)</f>
        <v>0</v>
      </c>
      <c r="Y52">
        <f>IF(NORMALIZADO!BX52="",0,NORMALIZADO!BX52)</f>
        <v>0</v>
      </c>
      <c r="Z52">
        <f>IF(NORMALIZADO!BY52="",0,NORMALIZADO!BY52)</f>
        <v>0</v>
      </c>
      <c r="AA52">
        <v>0</v>
      </c>
      <c r="AB52">
        <v>0</v>
      </c>
      <c r="AC52">
        <v>0</v>
      </c>
      <c r="AD52">
        <v>0</v>
      </c>
      <c r="AE52">
        <v>0</v>
      </c>
      <c r="AF52">
        <v>0</v>
      </c>
      <c r="AG52">
        <v>0</v>
      </c>
      <c r="AH52">
        <v>0</v>
      </c>
      <c r="AI52">
        <v>0</v>
      </c>
      <c r="AJ52">
        <v>0</v>
      </c>
      <c r="AK52">
        <v>0</v>
      </c>
      <c r="AL52">
        <v>0</v>
      </c>
      <c r="AM52">
        <v>0</v>
      </c>
      <c r="AN52">
        <v>0</v>
      </c>
      <c r="AO52">
        <f t="shared" si="9"/>
        <v>0</v>
      </c>
      <c r="AP52">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N/A")</f>
        <v>0</v>
      </c>
      <c r="AQ52">
        <f>IF(ISNUMBER(M52),1,0)+IF(ISNUMBER(SCORECARDS!H52),1,0)+IF(ISNUMBER(SCORECARDS!I52),1,0)+IF(ISNUMBER(SCORECARDS!J52),1,0)+IF(ISNUMBER(ISCAM_Score!K53),1,0)+IF(ISNUMBER(O52),1,0)+IF(COUNT(W52:Z52)&gt;0,1,0)</f>
        <v>3</v>
      </c>
    </row>
    <row r="53" spans="1:43" ht="16.05" customHeight="1" x14ac:dyDescent="0.3">
      <c r="A53" t="s">
        <v>188</v>
      </c>
      <c r="B53" t="s">
        <v>189</v>
      </c>
      <c r="C53" t="s">
        <v>143</v>
      </c>
      <c r="D53" t="s">
        <v>73</v>
      </c>
      <c r="E53">
        <v>0</v>
      </c>
      <c r="G53" t="s">
        <v>74</v>
      </c>
      <c r="J53" t="s">
        <v>67</v>
      </c>
      <c r="L53">
        <v>0</v>
      </c>
      <c r="M53">
        <f t="shared" si="5"/>
        <v>0</v>
      </c>
      <c r="N53" t="s">
        <v>68</v>
      </c>
      <c r="O53">
        <f t="shared" si="6"/>
        <v>0</v>
      </c>
      <c r="P53" t="s">
        <v>68</v>
      </c>
      <c r="S53">
        <f t="shared" si="7"/>
        <v>0</v>
      </c>
      <c r="T53" t="str">
        <f t="shared" si="8"/>
        <v>⬜  Parcial · Inst. 2 pendiente</v>
      </c>
      <c r="U53" s="53">
        <v>1</v>
      </c>
      <c r="V53" t="s">
        <v>69</v>
      </c>
      <c r="W53">
        <f>IF(NORMALIZADO!BV53="",0,NORMALIZADO!BV53)</f>
        <v>0</v>
      </c>
      <c r="X53">
        <f>IF(NORMALIZADO!BW53="",0,NORMALIZADO!BW53)</f>
        <v>0</v>
      </c>
      <c r="Y53">
        <f>IF(NORMALIZADO!BX53="",0,NORMALIZADO!BX53)</f>
        <v>0</v>
      </c>
      <c r="Z53">
        <f>IF(NORMALIZADO!BY53="",0,NORMALIZADO!BY53)</f>
        <v>0</v>
      </c>
      <c r="AA53">
        <v>0</v>
      </c>
      <c r="AB53">
        <v>0</v>
      </c>
      <c r="AC53">
        <v>0</v>
      </c>
      <c r="AD53">
        <v>0</v>
      </c>
      <c r="AE53">
        <v>0</v>
      </c>
      <c r="AF53">
        <v>0</v>
      </c>
      <c r="AG53">
        <v>0</v>
      </c>
      <c r="AH53">
        <v>0</v>
      </c>
      <c r="AI53">
        <v>0</v>
      </c>
      <c r="AJ53">
        <v>0</v>
      </c>
      <c r="AK53">
        <v>0</v>
      </c>
      <c r="AL53">
        <v>0</v>
      </c>
      <c r="AM53">
        <v>0</v>
      </c>
      <c r="AN53">
        <v>0</v>
      </c>
      <c r="AO53">
        <f t="shared" si="9"/>
        <v>0</v>
      </c>
      <c r="AP53">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N/A")</f>
        <v>0</v>
      </c>
      <c r="AQ53">
        <f>IF(ISNUMBER(M53),1,0)+IF(ISNUMBER(SCORECARDS!H53),1,0)+IF(ISNUMBER(SCORECARDS!I53),1,0)+IF(ISNUMBER(SCORECARDS!J53),1,0)+IF(ISNUMBER(ISCAM_Score!K54),1,0)+IF(ISNUMBER(O53),1,0)+IF(COUNT(W53:Z53)&gt;0,1,0)</f>
        <v>3</v>
      </c>
    </row>
    <row r="54" spans="1:43" ht="16.05" customHeight="1" x14ac:dyDescent="0.3">
      <c r="A54" t="s">
        <v>190</v>
      </c>
      <c r="B54" t="s">
        <v>191</v>
      </c>
      <c r="C54" t="s">
        <v>143</v>
      </c>
      <c r="D54" t="s">
        <v>73</v>
      </c>
      <c r="G54" t="s">
        <v>74</v>
      </c>
      <c r="J54" t="s">
        <v>110</v>
      </c>
      <c r="L54">
        <v>0</v>
      </c>
      <c r="M54">
        <f t="shared" si="5"/>
        <v>0</v>
      </c>
      <c r="N54" t="s">
        <v>68</v>
      </c>
      <c r="O54">
        <f t="shared" si="6"/>
        <v>0</v>
      </c>
      <c r="P54" t="s">
        <v>68</v>
      </c>
      <c r="S54">
        <f t="shared" si="7"/>
        <v>0</v>
      </c>
      <c r="T54" t="str">
        <f t="shared" si="8"/>
        <v>⬜  Parcial · Inst. 2 pendiente</v>
      </c>
      <c r="U54" s="53">
        <v>1</v>
      </c>
      <c r="V54" t="s">
        <v>69</v>
      </c>
      <c r="W54">
        <f>IF(NORMALIZADO!BV54="",0,NORMALIZADO!BV54)</f>
        <v>0</v>
      </c>
      <c r="X54">
        <f>IF(NORMALIZADO!BW54="",0,NORMALIZADO!BW54)</f>
        <v>0</v>
      </c>
      <c r="Y54">
        <f>IF(NORMALIZADO!BX54="",0,NORMALIZADO!BX54)</f>
        <v>0</v>
      </c>
      <c r="Z54">
        <f>IF(NORMALIZADO!BY54="",0,NORMALIZADO!BY54)</f>
        <v>0</v>
      </c>
      <c r="AA54">
        <v>0</v>
      </c>
      <c r="AB54">
        <v>0</v>
      </c>
      <c r="AC54">
        <v>0</v>
      </c>
      <c r="AD54">
        <v>0</v>
      </c>
      <c r="AE54">
        <v>0</v>
      </c>
      <c r="AF54">
        <v>0</v>
      </c>
      <c r="AG54">
        <v>0</v>
      </c>
      <c r="AH54">
        <v>0</v>
      </c>
      <c r="AI54">
        <v>0</v>
      </c>
      <c r="AJ54">
        <v>0</v>
      </c>
      <c r="AK54">
        <v>0</v>
      </c>
      <c r="AL54">
        <v>0</v>
      </c>
      <c r="AM54">
        <v>0</v>
      </c>
      <c r="AN54">
        <v>0</v>
      </c>
      <c r="AO54">
        <f t="shared" si="9"/>
        <v>0</v>
      </c>
      <c r="AP54">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N/A")</f>
        <v>0</v>
      </c>
      <c r="AQ54">
        <f>IF(ISNUMBER(M54),1,0)+IF(ISNUMBER(SCORECARDS!H54),1,0)+IF(ISNUMBER(SCORECARDS!I54),1,0)+IF(ISNUMBER(SCORECARDS!J54),1,0)+IF(ISNUMBER(ISCAM_Score!K55),1,0)+IF(ISNUMBER(O54),1,0)+IF(COUNT(W54:Z54)&gt;0,1,0)</f>
        <v>3</v>
      </c>
    </row>
    <row r="55" spans="1:43" ht="16.05" customHeight="1" x14ac:dyDescent="0.3">
      <c r="A55" t="s">
        <v>192</v>
      </c>
      <c r="B55" t="s">
        <v>193</v>
      </c>
      <c r="C55" t="s">
        <v>143</v>
      </c>
      <c r="D55" t="s">
        <v>73</v>
      </c>
      <c r="G55" t="s">
        <v>74</v>
      </c>
      <c r="J55" t="s">
        <v>67</v>
      </c>
      <c r="L55">
        <v>0</v>
      </c>
      <c r="M55">
        <f t="shared" si="5"/>
        <v>0</v>
      </c>
      <c r="N55" t="s">
        <v>68</v>
      </c>
      <c r="O55">
        <f t="shared" si="6"/>
        <v>0</v>
      </c>
      <c r="P55" t="s">
        <v>68</v>
      </c>
      <c r="S55">
        <f t="shared" si="7"/>
        <v>0</v>
      </c>
      <c r="T55" t="str">
        <f t="shared" si="8"/>
        <v>⬜  Parcial · Inst. 2 pendiente</v>
      </c>
      <c r="U55" s="53">
        <v>1</v>
      </c>
      <c r="V55" t="s">
        <v>69</v>
      </c>
      <c r="W55">
        <f>IF(NORMALIZADO!BV55="",0,NORMALIZADO!BV55)</f>
        <v>0</v>
      </c>
      <c r="X55">
        <f>IF(NORMALIZADO!BW55="",0,NORMALIZADO!BW55)</f>
        <v>0</v>
      </c>
      <c r="Y55">
        <f>IF(NORMALIZADO!BX55="",0,NORMALIZADO!BX55)</f>
        <v>0</v>
      </c>
      <c r="Z55">
        <f>IF(NORMALIZADO!BY55="",0,NORMALIZADO!BY55)</f>
        <v>0</v>
      </c>
      <c r="AA55">
        <v>0</v>
      </c>
      <c r="AB55">
        <v>0</v>
      </c>
      <c r="AC55">
        <v>0</v>
      </c>
      <c r="AD55">
        <v>0</v>
      </c>
      <c r="AE55">
        <v>0</v>
      </c>
      <c r="AF55">
        <v>0</v>
      </c>
      <c r="AG55">
        <v>0</v>
      </c>
      <c r="AH55">
        <v>0</v>
      </c>
      <c r="AI55">
        <v>0</v>
      </c>
      <c r="AJ55">
        <v>0</v>
      </c>
      <c r="AK55">
        <v>0</v>
      </c>
      <c r="AL55">
        <v>0</v>
      </c>
      <c r="AM55">
        <v>0</v>
      </c>
      <c r="AN55">
        <v>0</v>
      </c>
      <c r="AO55">
        <f t="shared" si="9"/>
        <v>0</v>
      </c>
      <c r="AP55">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N/A")</f>
        <v>0</v>
      </c>
      <c r="AQ55">
        <f>IF(ISNUMBER(M55),1,0)+IF(ISNUMBER(SCORECARDS!H55),1,0)+IF(ISNUMBER(SCORECARDS!I55),1,0)+IF(ISNUMBER(SCORECARDS!J55),1,0)+IF(ISNUMBER(ISCAM_Score!K56),1,0)+IF(ISNUMBER(O55),1,0)+IF(COUNT(W55:Z55)&gt;0,1,0)</f>
        <v>3</v>
      </c>
    </row>
    <row r="56" spans="1:43" ht="16.05" customHeight="1" x14ac:dyDescent="0.3">
      <c r="A56" t="s">
        <v>194</v>
      </c>
      <c r="B56" t="s">
        <v>195</v>
      </c>
      <c r="C56" t="s">
        <v>196</v>
      </c>
      <c r="D56" t="s">
        <v>73</v>
      </c>
      <c r="G56" t="s">
        <v>74</v>
      </c>
      <c r="J56" t="s">
        <v>67</v>
      </c>
      <c r="L56">
        <v>0</v>
      </c>
      <c r="M56">
        <f t="shared" si="5"/>
        <v>0</v>
      </c>
      <c r="N56" t="s">
        <v>68</v>
      </c>
      <c r="O56">
        <f t="shared" si="6"/>
        <v>0</v>
      </c>
      <c r="P56" t="s">
        <v>68</v>
      </c>
      <c r="S56">
        <f t="shared" si="7"/>
        <v>0</v>
      </c>
      <c r="T56" t="str">
        <f t="shared" si="8"/>
        <v>⬜  Parcial · Inst. 2 pendiente</v>
      </c>
      <c r="U56" s="53">
        <v>1</v>
      </c>
      <c r="V56" t="s">
        <v>69</v>
      </c>
      <c r="W56">
        <f>IF(NORMALIZADO!BV56="",0,NORMALIZADO!BV56)</f>
        <v>0</v>
      </c>
      <c r="X56">
        <f>IF(NORMALIZADO!BW56="",0,NORMALIZADO!BW56)</f>
        <v>0</v>
      </c>
      <c r="Y56">
        <f>IF(NORMALIZADO!BX56="",0,NORMALIZADO!BX56)</f>
        <v>0</v>
      </c>
      <c r="Z56">
        <f>IF(NORMALIZADO!BY56="",0,NORMALIZADO!BY56)</f>
        <v>0</v>
      </c>
      <c r="AA56">
        <v>0</v>
      </c>
      <c r="AB56">
        <v>0</v>
      </c>
      <c r="AC56">
        <v>0</v>
      </c>
      <c r="AD56">
        <v>0</v>
      </c>
      <c r="AE56">
        <v>0</v>
      </c>
      <c r="AF56">
        <v>0</v>
      </c>
      <c r="AG56">
        <v>0</v>
      </c>
      <c r="AH56">
        <v>0</v>
      </c>
      <c r="AI56">
        <v>0</v>
      </c>
      <c r="AJ56">
        <v>0</v>
      </c>
      <c r="AK56">
        <v>0</v>
      </c>
      <c r="AL56">
        <v>0</v>
      </c>
      <c r="AM56">
        <v>0</v>
      </c>
      <c r="AN56">
        <v>0</v>
      </c>
      <c r="AO56">
        <f t="shared" si="9"/>
        <v>0</v>
      </c>
      <c r="AP56">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N/A")</f>
        <v>0</v>
      </c>
      <c r="AQ56">
        <f>IF(ISNUMBER(M56),1,0)+IF(ISNUMBER(SCORECARDS!H56),1,0)+IF(ISNUMBER(SCORECARDS!I56),1,0)+IF(ISNUMBER(SCORECARDS!J56),1,0)+IF(ISNUMBER(ISCAM_Score!K57),1,0)+IF(ISNUMBER(O56),1,0)+IF(COUNT(W56:Z56)&gt;0,1,0)</f>
        <v>3</v>
      </c>
    </row>
    <row r="57" spans="1:43" ht="16.05" customHeight="1" x14ac:dyDescent="0.3">
      <c r="A57" t="s">
        <v>197</v>
      </c>
      <c r="B57" t="s">
        <v>198</v>
      </c>
      <c r="C57" t="s">
        <v>80</v>
      </c>
      <c r="D57" t="s">
        <v>73</v>
      </c>
      <c r="G57" t="s">
        <v>74</v>
      </c>
      <c r="J57" t="s">
        <v>67</v>
      </c>
      <c r="L57">
        <v>0</v>
      </c>
      <c r="M57">
        <f t="shared" si="5"/>
        <v>0</v>
      </c>
      <c r="N57" t="s">
        <v>68</v>
      </c>
      <c r="O57">
        <f t="shared" si="6"/>
        <v>0</v>
      </c>
      <c r="P57" t="s">
        <v>68</v>
      </c>
      <c r="S57">
        <f t="shared" si="7"/>
        <v>0</v>
      </c>
      <c r="T57" t="str">
        <f t="shared" si="8"/>
        <v>⬜  Parcial · Inst. 2 pendiente</v>
      </c>
      <c r="U57" s="53">
        <v>1</v>
      </c>
      <c r="V57" t="s">
        <v>69</v>
      </c>
      <c r="W57">
        <f>IF(NORMALIZADO!BV57="",0,NORMALIZADO!BV57)</f>
        <v>0</v>
      </c>
      <c r="X57">
        <f>IF(NORMALIZADO!BW57="",0,NORMALIZADO!BW57)</f>
        <v>0</v>
      </c>
      <c r="Y57">
        <f>IF(NORMALIZADO!BX57="",0,NORMALIZADO!BX57)</f>
        <v>0</v>
      </c>
      <c r="Z57">
        <f>IF(NORMALIZADO!BY57="",0,NORMALIZADO!BY57)</f>
        <v>0</v>
      </c>
      <c r="AA57">
        <v>0</v>
      </c>
      <c r="AB57">
        <v>0</v>
      </c>
      <c r="AC57">
        <v>0</v>
      </c>
      <c r="AD57">
        <v>0</v>
      </c>
      <c r="AE57">
        <v>0</v>
      </c>
      <c r="AF57">
        <v>0</v>
      </c>
      <c r="AG57">
        <v>0</v>
      </c>
      <c r="AH57">
        <v>0</v>
      </c>
      <c r="AI57">
        <v>0</v>
      </c>
      <c r="AJ57">
        <v>0</v>
      </c>
      <c r="AK57">
        <v>0</v>
      </c>
      <c r="AL57">
        <v>0</v>
      </c>
      <c r="AM57">
        <v>0</v>
      </c>
      <c r="AN57">
        <v>0</v>
      </c>
      <c r="AO57">
        <f t="shared" si="9"/>
        <v>0</v>
      </c>
      <c r="AP57">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N/A")</f>
        <v>0</v>
      </c>
      <c r="AQ57">
        <f>IF(ISNUMBER(M57),1,0)+IF(ISNUMBER(SCORECARDS!H57),1,0)+IF(ISNUMBER(SCORECARDS!I57),1,0)+IF(ISNUMBER(SCORECARDS!J57),1,0)+IF(ISNUMBER(ISCAM_Score!K58),1,0)+IF(ISNUMBER(O57),1,0)+IF(COUNT(W57:Z57)&gt;0,1,0)</f>
        <v>3</v>
      </c>
    </row>
    <row r="58" spans="1:43" ht="16.05" customHeight="1" x14ac:dyDescent="0.3">
      <c r="A58" t="s">
        <v>199</v>
      </c>
      <c r="B58" t="s">
        <v>200</v>
      </c>
      <c r="C58" t="s">
        <v>107</v>
      </c>
      <c r="D58" t="s">
        <v>73</v>
      </c>
      <c r="E58">
        <v>105840</v>
      </c>
      <c r="F58">
        <v>7</v>
      </c>
      <c r="G58" t="s">
        <v>66</v>
      </c>
      <c r="J58" t="s">
        <v>67</v>
      </c>
      <c r="L58">
        <v>52920</v>
      </c>
      <c r="M58">
        <f t="shared" si="5"/>
        <v>50</v>
      </c>
      <c r="N58" t="s">
        <v>68</v>
      </c>
      <c r="O58">
        <f t="shared" si="6"/>
        <v>0</v>
      </c>
      <c r="P58" t="s">
        <v>68</v>
      </c>
      <c r="S58">
        <f t="shared" si="7"/>
        <v>20.8</v>
      </c>
      <c r="T58" t="str">
        <f t="shared" si="8"/>
        <v>⬜  Parcial · Inst. 2 pendiente</v>
      </c>
      <c r="U58" s="53">
        <v>1</v>
      </c>
      <c r="V58" t="s">
        <v>69</v>
      </c>
      <c r="W58">
        <f>IF(NORMALIZADO!BV58="",0,NORMALIZADO!BV58)</f>
        <v>0</v>
      </c>
      <c r="X58">
        <f>IF(NORMALIZADO!BW58="",0,NORMALIZADO!BW58)</f>
        <v>0</v>
      </c>
      <c r="Y58">
        <f>IF(NORMALIZADO!BX58="",0,NORMALIZADO!BX58)</f>
        <v>0</v>
      </c>
      <c r="Z58">
        <f>IF(NORMALIZADO!BY58="",0,NORMALIZADO!BY58)</f>
        <v>0</v>
      </c>
      <c r="AA58">
        <v>0</v>
      </c>
      <c r="AB58">
        <v>0</v>
      </c>
      <c r="AC58">
        <v>0</v>
      </c>
      <c r="AD58">
        <v>0</v>
      </c>
      <c r="AE58">
        <v>0</v>
      </c>
      <c r="AF58">
        <v>0</v>
      </c>
      <c r="AG58">
        <v>0</v>
      </c>
      <c r="AH58">
        <v>0</v>
      </c>
      <c r="AI58">
        <v>0</v>
      </c>
      <c r="AJ58">
        <v>0</v>
      </c>
      <c r="AK58">
        <v>0</v>
      </c>
      <c r="AL58">
        <v>0</v>
      </c>
      <c r="AM58">
        <v>0</v>
      </c>
      <c r="AN58">
        <v>0</v>
      </c>
      <c r="AO58">
        <f t="shared" si="9"/>
        <v>0</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N/A")</f>
        <v>0.20833333333333334</v>
      </c>
      <c r="AQ58">
        <f>IF(ISNUMBER(M58),1,0)+IF(ISNUMBER(SCORECARDS!H58),1,0)+IF(ISNUMBER(SCORECARDS!I58),1,0)+IF(ISNUMBER(SCORECARDS!J58),1,0)+IF(ISNUMBER(ISCAM_Score!K59),1,0)+IF(ISNUMBER(O58),1,0)+IF(COUNT(W58:Z58)&gt;0,1,0)</f>
        <v>3</v>
      </c>
    </row>
    <row r="59" spans="1:43" ht="16.05" customHeight="1" x14ac:dyDescent="0.3">
      <c r="A59" t="s">
        <v>201</v>
      </c>
      <c r="B59" t="s">
        <v>202</v>
      </c>
      <c r="C59" t="s">
        <v>107</v>
      </c>
      <c r="D59" t="s">
        <v>73</v>
      </c>
      <c r="G59" t="s">
        <v>74</v>
      </c>
      <c r="J59" t="s">
        <v>128</v>
      </c>
      <c r="L59">
        <v>0</v>
      </c>
      <c r="M59">
        <f t="shared" si="5"/>
        <v>0</v>
      </c>
      <c r="N59" t="s">
        <v>68</v>
      </c>
      <c r="O59">
        <f t="shared" si="6"/>
        <v>0</v>
      </c>
      <c r="P59" t="s">
        <v>68</v>
      </c>
      <c r="S59">
        <f t="shared" si="7"/>
        <v>0</v>
      </c>
      <c r="T59" t="str">
        <f t="shared" si="8"/>
        <v>⬜  Parcial · Inst. 2 pendiente</v>
      </c>
      <c r="U59" s="53">
        <v>1</v>
      </c>
      <c r="V59" t="s">
        <v>69</v>
      </c>
      <c r="W59">
        <f>IF(NORMALIZADO!BV59="",0,NORMALIZADO!BV59)</f>
        <v>0</v>
      </c>
      <c r="X59">
        <f>IF(NORMALIZADO!BW59="",0,NORMALIZADO!BW59)</f>
        <v>0</v>
      </c>
      <c r="Y59">
        <f>IF(NORMALIZADO!BX59="",0,NORMALIZADO!BX59)</f>
        <v>0</v>
      </c>
      <c r="Z59">
        <f>IF(NORMALIZADO!BY59="",0,NORMALIZADO!BY59)</f>
        <v>0</v>
      </c>
      <c r="AA59">
        <v>0</v>
      </c>
      <c r="AB59">
        <v>0</v>
      </c>
      <c r="AC59">
        <v>0</v>
      </c>
      <c r="AD59">
        <v>0</v>
      </c>
      <c r="AE59">
        <v>0</v>
      </c>
      <c r="AF59">
        <v>0</v>
      </c>
      <c r="AG59">
        <v>0</v>
      </c>
      <c r="AH59">
        <v>0</v>
      </c>
      <c r="AI59">
        <v>0</v>
      </c>
      <c r="AJ59">
        <v>0</v>
      </c>
      <c r="AK59">
        <v>0</v>
      </c>
      <c r="AL59">
        <v>0</v>
      </c>
      <c r="AM59">
        <v>0</v>
      </c>
      <c r="AN59">
        <v>0</v>
      </c>
      <c r="AO59">
        <f t="shared" si="9"/>
        <v>0</v>
      </c>
      <c r="AP59">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N/A")</f>
        <v>0</v>
      </c>
      <c r="AQ59">
        <f>IF(ISNUMBER(M59),1,0)+IF(ISNUMBER(SCORECARDS!H59),1,0)+IF(ISNUMBER(SCORECARDS!I59),1,0)+IF(ISNUMBER(SCORECARDS!J59),1,0)+IF(ISNUMBER(ISCAM_Score!K60),1,0)+IF(ISNUMBER(O59),1,0)+IF(COUNT(W59:Z59)&gt;0,1,0)</f>
        <v>3</v>
      </c>
    </row>
    <row r="60" spans="1:43" ht="16.05" customHeight="1" x14ac:dyDescent="0.3">
      <c r="A60" t="s">
        <v>203</v>
      </c>
      <c r="B60" t="s">
        <v>204</v>
      </c>
      <c r="C60" t="s">
        <v>205</v>
      </c>
      <c r="D60" t="s">
        <v>65</v>
      </c>
      <c r="E60">
        <v>10746930.949999999</v>
      </c>
      <c r="F60">
        <v>59</v>
      </c>
      <c r="G60" t="s">
        <v>66</v>
      </c>
      <c r="J60" t="s">
        <v>67</v>
      </c>
      <c r="L60">
        <v>5373465.4699999997</v>
      </c>
      <c r="M60">
        <f t="shared" si="5"/>
        <v>50</v>
      </c>
      <c r="N60" t="s">
        <v>68</v>
      </c>
      <c r="O60">
        <f t="shared" si="6"/>
        <v>0</v>
      </c>
      <c r="P60" t="s">
        <v>68</v>
      </c>
      <c r="S60">
        <f t="shared" si="7"/>
        <v>26</v>
      </c>
      <c r="T60" t="str">
        <f t="shared" si="8"/>
        <v>⬜  Parcial · Inst. 2 pendiente</v>
      </c>
      <c r="U60" s="53">
        <v>1</v>
      </c>
      <c r="V60" t="s">
        <v>69</v>
      </c>
      <c r="W60">
        <f>IF(NORMALIZADO!BV60="",1,NORMALIZADO!BV60)</f>
        <v>1</v>
      </c>
      <c r="X60">
        <f>IF(NORMALIZADO!BW60="",0,NORMALIZADO!BW60)</f>
        <v>0</v>
      </c>
      <c r="Y60">
        <f>IF(NORMALIZADO!BX60="",0,NORMALIZADO!BX60)</f>
        <v>0</v>
      </c>
      <c r="Z60">
        <f>IF(NORMALIZADO!BY60="",0,NORMALIZADO!BY60)</f>
        <v>0</v>
      </c>
      <c r="AA60">
        <v>0</v>
      </c>
      <c r="AB60">
        <v>0</v>
      </c>
      <c r="AC60">
        <v>0</v>
      </c>
      <c r="AD60">
        <v>0</v>
      </c>
      <c r="AE60">
        <v>0</v>
      </c>
      <c r="AF60">
        <v>0</v>
      </c>
      <c r="AG60">
        <v>0</v>
      </c>
      <c r="AH60">
        <v>0</v>
      </c>
      <c r="AI60">
        <v>0</v>
      </c>
      <c r="AJ60">
        <v>0</v>
      </c>
      <c r="AK60">
        <v>0</v>
      </c>
      <c r="AL60">
        <v>0</v>
      </c>
      <c r="AM60">
        <v>0</v>
      </c>
      <c r="AN60">
        <v>0</v>
      </c>
      <c r="AO60">
        <f t="shared" si="9"/>
        <v>0</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N/A")</f>
        <v>0.26041666666666669</v>
      </c>
      <c r="AQ60">
        <f>IF(ISNUMBER(M60),1,0)+IF(ISNUMBER(SCORECARDS!H60),1,0)+IF(ISNUMBER(SCORECARDS!I60),1,0)+IF(ISNUMBER(SCORECARDS!J60),1,0)+IF(ISNUMBER(ISCAM_Score!K61),1,0)+IF(ISNUMBER(O60),1,0)+IF(COUNT(W60:Z60)&gt;0,1,0)</f>
        <v>3</v>
      </c>
    </row>
    <row r="61" spans="1:43" ht="16.05" customHeight="1" x14ac:dyDescent="0.3">
      <c r="A61" t="s">
        <v>206</v>
      </c>
      <c r="B61" t="s">
        <v>207</v>
      </c>
      <c r="C61" t="s">
        <v>123</v>
      </c>
      <c r="D61" t="s">
        <v>65</v>
      </c>
      <c r="G61" t="s">
        <v>74</v>
      </c>
      <c r="J61" t="s">
        <v>67</v>
      </c>
      <c r="L61">
        <v>0</v>
      </c>
      <c r="M61">
        <f t="shared" si="5"/>
        <v>0</v>
      </c>
      <c r="N61" t="s">
        <v>68</v>
      </c>
      <c r="O61">
        <f t="shared" si="6"/>
        <v>0</v>
      </c>
      <c r="P61" t="s">
        <v>68</v>
      </c>
      <c r="S61">
        <f t="shared" si="7"/>
        <v>0</v>
      </c>
      <c r="T61" t="str">
        <f t="shared" si="8"/>
        <v>⬜  Parcial · Inst. 2 pendiente</v>
      </c>
      <c r="U61" s="53">
        <v>1</v>
      </c>
      <c r="V61" t="s">
        <v>69</v>
      </c>
      <c r="W61">
        <f>IF(NORMALIZADO!BV61="",0,NORMALIZADO!BV61)</f>
        <v>0</v>
      </c>
      <c r="X61">
        <f>IF(NORMALIZADO!BW61="",0,NORMALIZADO!BW61)</f>
        <v>0</v>
      </c>
      <c r="Y61">
        <f>IF(NORMALIZADO!BX61="",0,NORMALIZADO!BX61)</f>
        <v>0</v>
      </c>
      <c r="Z61">
        <f>IF(NORMALIZADO!BY61="",0,NORMALIZADO!BY61)</f>
        <v>0</v>
      </c>
      <c r="AA61">
        <v>0</v>
      </c>
      <c r="AB61">
        <v>0</v>
      </c>
      <c r="AC61">
        <v>0</v>
      </c>
      <c r="AD61">
        <v>0</v>
      </c>
      <c r="AE61">
        <v>0</v>
      </c>
      <c r="AF61">
        <v>0</v>
      </c>
      <c r="AG61">
        <v>0</v>
      </c>
      <c r="AH61">
        <v>0</v>
      </c>
      <c r="AI61">
        <v>0</v>
      </c>
      <c r="AJ61">
        <v>0</v>
      </c>
      <c r="AK61">
        <v>0</v>
      </c>
      <c r="AL61">
        <v>0</v>
      </c>
      <c r="AM61">
        <v>0</v>
      </c>
      <c r="AN61">
        <v>0</v>
      </c>
      <c r="AO61">
        <f t="shared" si="9"/>
        <v>0</v>
      </c>
      <c r="AP61">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N/A")</f>
        <v>0</v>
      </c>
      <c r="AQ61">
        <f>IF(ISNUMBER(M61),1,0)+IF(ISNUMBER(SCORECARDS!H61),1,0)+IF(ISNUMBER(SCORECARDS!I61),1,0)+IF(ISNUMBER(SCORECARDS!J61),1,0)+IF(ISNUMBER(ISCAM_Score!K62),1,0)+IF(ISNUMBER(O61),1,0)+IF(COUNT(W61:Z61)&gt;0,1,0)</f>
        <v>3</v>
      </c>
    </row>
    <row r="62" spans="1:43" ht="16.05" customHeight="1" x14ac:dyDescent="0.3">
      <c r="A62" t="s">
        <v>208</v>
      </c>
      <c r="B62" t="s">
        <v>209</v>
      </c>
      <c r="C62" t="s">
        <v>107</v>
      </c>
      <c r="D62" t="s">
        <v>65</v>
      </c>
      <c r="G62" t="s">
        <v>74</v>
      </c>
      <c r="J62" t="s">
        <v>128</v>
      </c>
      <c r="L62">
        <v>0</v>
      </c>
      <c r="M62">
        <f t="shared" si="5"/>
        <v>0</v>
      </c>
      <c r="N62" t="s">
        <v>68</v>
      </c>
      <c r="O62">
        <f t="shared" si="6"/>
        <v>0</v>
      </c>
      <c r="P62" t="s">
        <v>68</v>
      </c>
      <c r="S62">
        <f t="shared" si="7"/>
        <v>0</v>
      </c>
      <c r="T62" t="str">
        <f t="shared" si="8"/>
        <v>⬜  Parcial · Inst. 2 pendiente</v>
      </c>
      <c r="U62" s="53">
        <v>1</v>
      </c>
      <c r="V62" t="s">
        <v>69</v>
      </c>
      <c r="W62">
        <f>IF(NORMALIZADO!BV62="",0,NORMALIZADO!BV62)</f>
        <v>0</v>
      </c>
      <c r="X62">
        <f>IF(NORMALIZADO!BW62="",0,NORMALIZADO!BW62)</f>
        <v>0</v>
      </c>
      <c r="Y62">
        <f>IF(NORMALIZADO!BX62="",0,NORMALIZADO!BX62)</f>
        <v>0</v>
      </c>
      <c r="Z62">
        <f>IF(NORMALIZADO!BY62="",0,NORMALIZADO!BY62)</f>
        <v>0</v>
      </c>
      <c r="AA62">
        <v>0</v>
      </c>
      <c r="AB62">
        <v>0</v>
      </c>
      <c r="AC62">
        <v>0</v>
      </c>
      <c r="AD62">
        <v>0</v>
      </c>
      <c r="AE62">
        <v>0</v>
      </c>
      <c r="AF62">
        <v>0</v>
      </c>
      <c r="AG62">
        <v>0</v>
      </c>
      <c r="AH62">
        <v>0</v>
      </c>
      <c r="AI62">
        <v>0</v>
      </c>
      <c r="AJ62">
        <v>0</v>
      </c>
      <c r="AK62">
        <v>0</v>
      </c>
      <c r="AL62">
        <v>0</v>
      </c>
      <c r="AM62">
        <v>0</v>
      </c>
      <c r="AN62">
        <v>0</v>
      </c>
      <c r="AO62">
        <f t="shared" si="9"/>
        <v>0</v>
      </c>
      <c r="AP62">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N/A")</f>
        <v>0</v>
      </c>
      <c r="AQ62">
        <f>IF(ISNUMBER(M62),1,0)+IF(ISNUMBER(SCORECARDS!H62),1,0)+IF(ISNUMBER(SCORECARDS!I62),1,0)+IF(ISNUMBER(SCORECARDS!J62),1,0)+IF(ISNUMBER(ISCAM_Score!K63),1,0)+IF(ISNUMBER(O62),1,0)+IF(COUNT(W62:Z62)&gt;0,1,0)</f>
        <v>3</v>
      </c>
    </row>
    <row r="63" spans="1:43" ht="16.05" customHeight="1" x14ac:dyDescent="0.3">
      <c r="A63" t="s">
        <v>210</v>
      </c>
      <c r="B63" t="s">
        <v>211</v>
      </c>
      <c r="C63" t="s">
        <v>107</v>
      </c>
      <c r="D63" t="s">
        <v>65</v>
      </c>
      <c r="G63" t="s">
        <v>74</v>
      </c>
      <c r="J63" t="s">
        <v>128</v>
      </c>
      <c r="L63">
        <v>0</v>
      </c>
      <c r="M63">
        <f t="shared" si="5"/>
        <v>0</v>
      </c>
      <c r="N63" t="s">
        <v>68</v>
      </c>
      <c r="O63">
        <f t="shared" si="6"/>
        <v>0</v>
      </c>
      <c r="P63" t="s">
        <v>68</v>
      </c>
      <c r="S63">
        <f t="shared" si="7"/>
        <v>0</v>
      </c>
      <c r="T63" t="str">
        <f t="shared" si="8"/>
        <v>⬜  Parcial · Inst. 2 pendiente</v>
      </c>
      <c r="U63" s="53">
        <v>1</v>
      </c>
      <c r="V63" t="s">
        <v>69</v>
      </c>
      <c r="W63">
        <f>IF(NORMALIZADO!BV63="",0,NORMALIZADO!BV63)</f>
        <v>0</v>
      </c>
      <c r="X63">
        <f>IF(NORMALIZADO!BW63="",0,NORMALIZADO!BW63)</f>
        <v>0</v>
      </c>
      <c r="Y63">
        <f>IF(NORMALIZADO!BX63="",0,NORMALIZADO!BX63)</f>
        <v>0</v>
      </c>
      <c r="Z63">
        <f>IF(NORMALIZADO!BY63="",0,NORMALIZADO!BY63)</f>
        <v>0</v>
      </c>
      <c r="AA63">
        <v>0</v>
      </c>
      <c r="AB63">
        <v>0</v>
      </c>
      <c r="AC63">
        <v>0</v>
      </c>
      <c r="AD63">
        <v>0</v>
      </c>
      <c r="AE63">
        <v>0</v>
      </c>
      <c r="AF63">
        <v>0</v>
      </c>
      <c r="AG63">
        <v>0</v>
      </c>
      <c r="AH63">
        <v>0</v>
      </c>
      <c r="AI63">
        <v>0</v>
      </c>
      <c r="AJ63">
        <v>0</v>
      </c>
      <c r="AK63">
        <v>0</v>
      </c>
      <c r="AL63">
        <v>0</v>
      </c>
      <c r="AM63">
        <v>0</v>
      </c>
      <c r="AN63">
        <v>0</v>
      </c>
      <c r="AO63">
        <f t="shared" si="9"/>
        <v>0</v>
      </c>
      <c r="AP63">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N/A")</f>
        <v>0</v>
      </c>
      <c r="AQ63">
        <f>IF(ISNUMBER(M63),1,0)+IF(ISNUMBER(SCORECARDS!H63),1,0)+IF(ISNUMBER(SCORECARDS!I63),1,0)+IF(ISNUMBER(SCORECARDS!J63),1,0)+IF(ISNUMBER(ISCAM_Score!K64),1,0)+IF(ISNUMBER(O63),1,0)+IF(COUNT(W63:Z63)&gt;0,1,0)</f>
        <v>3</v>
      </c>
    </row>
    <row r="64" spans="1:43" ht="16.05" customHeight="1" x14ac:dyDescent="0.3">
      <c r="A64" t="s">
        <v>212</v>
      </c>
      <c r="B64" t="s">
        <v>213</v>
      </c>
      <c r="C64" t="s">
        <v>143</v>
      </c>
      <c r="D64" t="s">
        <v>65</v>
      </c>
      <c r="E64">
        <v>0</v>
      </c>
      <c r="G64" t="s">
        <v>74</v>
      </c>
      <c r="J64" t="s">
        <v>67</v>
      </c>
      <c r="L64">
        <v>0</v>
      </c>
      <c r="M64">
        <f t="shared" si="5"/>
        <v>0</v>
      </c>
      <c r="N64" t="s">
        <v>68</v>
      </c>
      <c r="O64">
        <f t="shared" si="6"/>
        <v>0</v>
      </c>
      <c r="P64" t="s">
        <v>68</v>
      </c>
      <c r="S64">
        <f t="shared" si="7"/>
        <v>0</v>
      </c>
      <c r="T64" t="str">
        <f t="shared" si="8"/>
        <v>⬜  Parcial · Inst. 2 pendiente</v>
      </c>
      <c r="U64" s="53">
        <v>1</v>
      </c>
      <c r="V64" t="s">
        <v>69</v>
      </c>
      <c r="W64">
        <f>IF(NORMALIZADO!BV64="",0,NORMALIZADO!BV64)</f>
        <v>0</v>
      </c>
      <c r="X64">
        <f>IF(NORMALIZADO!BW64="",0,NORMALIZADO!BW64)</f>
        <v>0</v>
      </c>
      <c r="Y64">
        <f>IF(NORMALIZADO!BX64="",0,NORMALIZADO!BX64)</f>
        <v>0</v>
      </c>
      <c r="Z64">
        <f>IF(NORMALIZADO!BY64="",0,NORMALIZADO!BY64)</f>
        <v>0</v>
      </c>
      <c r="AA64">
        <v>0</v>
      </c>
      <c r="AB64">
        <v>0</v>
      </c>
      <c r="AC64">
        <v>0</v>
      </c>
      <c r="AD64">
        <v>0</v>
      </c>
      <c r="AE64">
        <v>0</v>
      </c>
      <c r="AF64">
        <v>0</v>
      </c>
      <c r="AG64">
        <v>0</v>
      </c>
      <c r="AH64">
        <v>0</v>
      </c>
      <c r="AI64">
        <v>0</v>
      </c>
      <c r="AJ64">
        <v>0</v>
      </c>
      <c r="AK64">
        <v>0</v>
      </c>
      <c r="AL64">
        <v>0</v>
      </c>
      <c r="AM64">
        <v>0</v>
      </c>
      <c r="AN64">
        <v>0</v>
      </c>
      <c r="AO64">
        <f t="shared" si="9"/>
        <v>0</v>
      </c>
      <c r="AP64">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N/A")</f>
        <v>0</v>
      </c>
      <c r="AQ64">
        <f>IF(ISNUMBER(M64),1,0)+IF(ISNUMBER(SCORECARDS!H64),1,0)+IF(ISNUMBER(SCORECARDS!I64),1,0)+IF(ISNUMBER(SCORECARDS!J64),1,0)+IF(ISNUMBER(ISCAM_Score!K65),1,0)+IF(ISNUMBER(O64),1,0)+IF(COUNT(W64:Z64)&gt;0,1,0)</f>
        <v>3</v>
      </c>
    </row>
    <row r="65" spans="1:43" ht="16.05" customHeight="1" x14ac:dyDescent="0.3">
      <c r="A65" t="s">
        <v>214</v>
      </c>
      <c r="B65" t="s">
        <v>215</v>
      </c>
      <c r="C65" t="s">
        <v>143</v>
      </c>
      <c r="D65" t="s">
        <v>73</v>
      </c>
      <c r="E65">
        <v>1984.05</v>
      </c>
      <c r="F65">
        <v>1</v>
      </c>
      <c r="G65" t="s">
        <v>66</v>
      </c>
      <c r="J65" t="s">
        <v>67</v>
      </c>
      <c r="L65">
        <v>0</v>
      </c>
      <c r="M65">
        <f t="shared" si="5"/>
        <v>0</v>
      </c>
      <c r="N65" t="s">
        <v>68</v>
      </c>
      <c r="O65">
        <f t="shared" si="6"/>
        <v>0</v>
      </c>
      <c r="P65" t="s">
        <v>68</v>
      </c>
      <c r="S65">
        <f t="shared" si="7"/>
        <v>0</v>
      </c>
      <c r="T65" t="str">
        <f t="shared" si="8"/>
        <v>⬜  Parcial · Inst. 2 pendiente</v>
      </c>
      <c r="U65" s="53">
        <v>1</v>
      </c>
      <c r="V65" t="s">
        <v>69</v>
      </c>
      <c r="W65">
        <f>IF(NORMALIZADO!BV65="",0,NORMALIZADO!BV65)</f>
        <v>0</v>
      </c>
      <c r="X65">
        <f>IF(NORMALIZADO!BW65="",0,NORMALIZADO!BW65)</f>
        <v>0</v>
      </c>
      <c r="Y65">
        <f>IF(NORMALIZADO!BX65="",0,NORMALIZADO!BX65)</f>
        <v>0</v>
      </c>
      <c r="Z65">
        <f>IF(NORMALIZADO!BY65="",0,NORMALIZADO!BY65)</f>
        <v>0</v>
      </c>
      <c r="AA65">
        <v>0</v>
      </c>
      <c r="AB65">
        <v>0</v>
      </c>
      <c r="AC65">
        <v>0</v>
      </c>
      <c r="AD65">
        <v>0</v>
      </c>
      <c r="AE65">
        <v>0</v>
      </c>
      <c r="AF65">
        <v>0</v>
      </c>
      <c r="AG65">
        <v>0</v>
      </c>
      <c r="AH65">
        <v>0</v>
      </c>
      <c r="AI65">
        <v>0</v>
      </c>
      <c r="AJ65">
        <v>0</v>
      </c>
      <c r="AK65">
        <v>0</v>
      </c>
      <c r="AL65">
        <v>0</v>
      </c>
      <c r="AM65">
        <v>0</v>
      </c>
      <c r="AN65">
        <v>0</v>
      </c>
      <c r="AO65">
        <f t="shared" si="9"/>
        <v>0</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N/A")</f>
        <v>0</v>
      </c>
      <c r="AQ65">
        <f>IF(ISNUMBER(M65),1,0)+IF(ISNUMBER(SCORECARDS!H65),1,0)+IF(ISNUMBER(SCORECARDS!I65),1,0)+IF(ISNUMBER(SCORECARDS!J65),1,0)+IF(ISNUMBER(ISCAM_Score!K66),1,0)+IF(ISNUMBER(O65),1,0)+IF(COUNT(W65:Z65)&gt;0,1,0)</f>
        <v>3</v>
      </c>
    </row>
    <row r="66" spans="1:43" ht="16.05" customHeight="1" x14ac:dyDescent="0.3">
      <c r="A66" t="s">
        <v>216</v>
      </c>
      <c r="B66" t="s">
        <v>217</v>
      </c>
      <c r="C66" t="s">
        <v>80</v>
      </c>
      <c r="D66" t="s">
        <v>65</v>
      </c>
      <c r="G66" t="s">
        <v>74</v>
      </c>
      <c r="J66" t="s">
        <v>67</v>
      </c>
      <c r="L66">
        <v>0</v>
      </c>
      <c r="M66">
        <f t="shared" si="5"/>
        <v>0</v>
      </c>
      <c r="N66" t="s">
        <v>68</v>
      </c>
      <c r="O66">
        <f t="shared" si="6"/>
        <v>0</v>
      </c>
      <c r="P66" t="s">
        <v>68</v>
      </c>
      <c r="S66">
        <f t="shared" si="7"/>
        <v>0</v>
      </c>
      <c r="T66" t="str">
        <f t="shared" si="8"/>
        <v>⬜  Parcial · Inst. 2 pendiente</v>
      </c>
      <c r="U66" s="53">
        <v>1</v>
      </c>
      <c r="V66" t="s">
        <v>69</v>
      </c>
      <c r="W66">
        <f>IF(NORMALIZADO!BV66="",0,NORMALIZADO!BV66)</f>
        <v>0</v>
      </c>
      <c r="X66">
        <f>IF(NORMALIZADO!BW66="",0,NORMALIZADO!BW66)</f>
        <v>0</v>
      </c>
      <c r="Y66">
        <f>IF(NORMALIZADO!BX66="",0,NORMALIZADO!BX66)</f>
        <v>0</v>
      </c>
      <c r="Z66">
        <f>IF(NORMALIZADO!BY66="",0,NORMALIZADO!BY66)</f>
        <v>0</v>
      </c>
      <c r="AA66">
        <v>0</v>
      </c>
      <c r="AB66">
        <v>0</v>
      </c>
      <c r="AC66">
        <v>0</v>
      </c>
      <c r="AD66">
        <v>0</v>
      </c>
      <c r="AE66">
        <v>0</v>
      </c>
      <c r="AF66">
        <v>0</v>
      </c>
      <c r="AG66">
        <v>0</v>
      </c>
      <c r="AH66">
        <v>0</v>
      </c>
      <c r="AI66">
        <v>0</v>
      </c>
      <c r="AJ66">
        <v>0</v>
      </c>
      <c r="AK66">
        <v>0</v>
      </c>
      <c r="AL66">
        <v>0</v>
      </c>
      <c r="AM66">
        <v>0</v>
      </c>
      <c r="AN66">
        <v>0</v>
      </c>
      <c r="AO66">
        <f t="shared" si="9"/>
        <v>0</v>
      </c>
      <c r="AP66">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N/A")</f>
        <v>0</v>
      </c>
      <c r="AQ66">
        <f>IF(ISNUMBER(M66),1,0)+IF(ISNUMBER(SCORECARDS!H66),1,0)+IF(ISNUMBER(SCORECARDS!I66),1,0)+IF(ISNUMBER(SCORECARDS!J66),1,0)+IF(ISNUMBER(ISCAM_Score!K67),1,0)+IF(ISNUMBER(O66),1,0)+IF(COUNT(W66:Z66)&gt;0,1,0)</f>
        <v>3</v>
      </c>
    </row>
    <row r="67" spans="1:43" ht="16.05" customHeight="1" x14ac:dyDescent="0.3">
      <c r="A67" t="s">
        <v>218</v>
      </c>
      <c r="B67" t="s">
        <v>219</v>
      </c>
      <c r="C67" t="s">
        <v>116</v>
      </c>
      <c r="D67" t="s">
        <v>65</v>
      </c>
      <c r="G67" t="s">
        <v>74</v>
      </c>
      <c r="J67" t="s">
        <v>67</v>
      </c>
      <c r="L67">
        <v>0</v>
      </c>
      <c r="M67">
        <f t="shared" ref="M67:M98" si="10">IF(E67&gt;0,ROUND(L67/E67*100,1),0)</f>
        <v>0</v>
      </c>
      <c r="N67" t="s">
        <v>68</v>
      </c>
      <c r="O67">
        <f t="shared" ref="O67:O98" si="11">IF(H67="SI",1,0)*0.6+IF(I67="SI",1,0)*0.4</f>
        <v>0</v>
      </c>
      <c r="P67" t="s">
        <v>68</v>
      </c>
      <c r="S67">
        <f t="shared" ref="S67:S98" si="12">IFERROR(ROUND(AP67*100,1),"N/A")</f>
        <v>0</v>
      </c>
      <c r="T67" t="str">
        <f t="shared" ref="T67:T98" si="13">IF(NOT(ISNUMBER(S67)),"—",IF(AQ67&lt;6,"⬜  Parcial · Inst. 2 pendiente",IF(S67&lt;34,"🔴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N/A")</f>
        <v>0</v>
      </c>
      <c r="AQ67">
        <f>IF(ISNUMBER(M67),1,0)+IF(ISNUMBER(SCORECARDS!H67),1,0)+IF(ISNUMBER(SCORECARDS!I67),1,0)+IF(ISNUMBER(SCORECARDS!J67),1,0)+IF(ISNUMBER(ISCAM_Score!K68),1,0)+IF(ISNUMBER(O67),1,0)+IF(COUNT(W67:Z67)&gt;0,1,0)</f>
        <v>3</v>
      </c>
    </row>
    <row r="68" spans="1:43" ht="16.05" customHeight="1" x14ac:dyDescent="0.3">
      <c r="A68" t="s">
        <v>220</v>
      </c>
      <c r="B68" t="s">
        <v>221</v>
      </c>
      <c r="C68" t="s">
        <v>116</v>
      </c>
      <c r="D68" t="s">
        <v>65</v>
      </c>
      <c r="G68" t="s">
        <v>74</v>
      </c>
      <c r="J68" t="s">
        <v>67</v>
      </c>
      <c r="L68">
        <v>0</v>
      </c>
      <c r="M68">
        <f t="shared" si="10"/>
        <v>0</v>
      </c>
      <c r="N68" t="s">
        <v>68</v>
      </c>
      <c r="O68">
        <f t="shared" si="11"/>
        <v>0</v>
      </c>
      <c r="P68" t="s">
        <v>68</v>
      </c>
      <c r="S68">
        <f t="shared" si="12"/>
        <v>0</v>
      </c>
      <c r="T68" t="str">
        <f t="shared" si="13"/>
        <v>⬜  Parcial · Inst. 2 pendiente</v>
      </c>
      <c r="U68" s="53">
        <v>1</v>
      </c>
      <c r="V68" t="s">
        <v>69</v>
      </c>
      <c r="W68">
        <f>IF(NORMALIZADO!BV68="",0,NORMALIZADO!BV68)</f>
        <v>0</v>
      </c>
      <c r="X68">
        <f>IF(NORMALIZADO!BW68="",0,NORMALIZADO!BW68)</f>
        <v>0</v>
      </c>
      <c r="Y68">
        <f>IF(NORMALIZADO!BX68="",0,NORMALIZADO!BX68)</f>
        <v>0</v>
      </c>
      <c r="Z68">
        <f>IF(NORMALIZADO!BY68="",0,NORMALIZADO!BY68)</f>
        <v>0</v>
      </c>
      <c r="AA68">
        <v>0</v>
      </c>
      <c r="AB68">
        <v>0</v>
      </c>
      <c r="AC68">
        <v>0</v>
      </c>
      <c r="AD68">
        <v>0</v>
      </c>
      <c r="AE68">
        <v>0</v>
      </c>
      <c r="AF68">
        <v>0</v>
      </c>
      <c r="AG68">
        <v>0</v>
      </c>
      <c r="AH68">
        <v>0</v>
      </c>
      <c r="AI68">
        <v>0</v>
      </c>
      <c r="AJ68">
        <v>0</v>
      </c>
      <c r="AK68">
        <v>0</v>
      </c>
      <c r="AL68">
        <v>0</v>
      </c>
      <c r="AM68">
        <v>0</v>
      </c>
      <c r="AN68">
        <v>0</v>
      </c>
      <c r="AO68">
        <f t="shared" si="14"/>
        <v>0</v>
      </c>
      <c r="AP68">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N/A")</f>
        <v>0</v>
      </c>
      <c r="AQ68">
        <f>IF(ISNUMBER(M68),1,0)+IF(ISNUMBER(SCORECARDS!H68),1,0)+IF(ISNUMBER(SCORECARDS!I68),1,0)+IF(ISNUMBER(SCORECARDS!J68),1,0)+IF(ISNUMBER(ISCAM_Score!K69),1,0)+IF(ISNUMBER(O68),1,0)+IF(COUNT(W68:Z68)&gt;0,1,0)</f>
        <v>3</v>
      </c>
    </row>
    <row r="69" spans="1:43" ht="16.05" customHeight="1" x14ac:dyDescent="0.3">
      <c r="A69" t="s">
        <v>222</v>
      </c>
      <c r="B69" t="s">
        <v>223</v>
      </c>
      <c r="C69" t="s">
        <v>183</v>
      </c>
      <c r="D69" t="s">
        <v>65</v>
      </c>
      <c r="G69" t="s">
        <v>74</v>
      </c>
      <c r="J69" t="s">
        <v>128</v>
      </c>
      <c r="L69">
        <v>0</v>
      </c>
      <c r="M69">
        <f t="shared" si="10"/>
        <v>0</v>
      </c>
      <c r="N69" t="s">
        <v>68</v>
      </c>
      <c r="O69">
        <f t="shared" si="11"/>
        <v>0</v>
      </c>
      <c r="P69" t="s">
        <v>68</v>
      </c>
      <c r="S69">
        <f t="shared" si="12"/>
        <v>0</v>
      </c>
      <c r="T69" t="str">
        <f t="shared" si="13"/>
        <v>⬜  Parcial · Inst. 2 pendiente</v>
      </c>
      <c r="U69" s="53">
        <v>1</v>
      </c>
      <c r="V69" t="s">
        <v>69</v>
      </c>
      <c r="W69">
        <f>IF(NORMALIZADO!BV69="",0,NORMALIZADO!BV69)</f>
        <v>0</v>
      </c>
      <c r="X69">
        <f>IF(NORMALIZADO!BW69="",0,NORMALIZADO!BW69)</f>
        <v>0</v>
      </c>
      <c r="Y69">
        <f>IF(NORMALIZADO!BX69="",0,NORMALIZADO!BX69)</f>
        <v>0</v>
      </c>
      <c r="Z69">
        <f>IF(NORMALIZADO!BY69="",0,NORMALIZADO!BY69)</f>
        <v>0</v>
      </c>
      <c r="AA69">
        <v>0</v>
      </c>
      <c r="AB69">
        <v>0</v>
      </c>
      <c r="AC69">
        <v>0</v>
      </c>
      <c r="AD69">
        <v>0</v>
      </c>
      <c r="AE69">
        <v>0</v>
      </c>
      <c r="AF69">
        <v>0</v>
      </c>
      <c r="AG69">
        <v>0</v>
      </c>
      <c r="AH69">
        <v>0</v>
      </c>
      <c r="AI69">
        <v>0</v>
      </c>
      <c r="AJ69">
        <v>0</v>
      </c>
      <c r="AK69">
        <v>0</v>
      </c>
      <c r="AL69">
        <v>0</v>
      </c>
      <c r="AM69">
        <v>0</v>
      </c>
      <c r="AN69">
        <v>0</v>
      </c>
      <c r="AO69">
        <f t="shared" si="14"/>
        <v>0</v>
      </c>
      <c r="AP69">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N/A")</f>
        <v>0</v>
      </c>
      <c r="AQ69">
        <f>IF(ISNUMBER(M69),1,0)+IF(ISNUMBER(SCORECARDS!H69),1,0)+IF(ISNUMBER(SCORECARDS!I69),1,0)+IF(ISNUMBER(SCORECARDS!J69),1,0)+IF(ISNUMBER(ISCAM_Score!K70),1,0)+IF(ISNUMBER(O69),1,0)+IF(COUNT(W69:Z69)&gt;0,1,0)</f>
        <v>3</v>
      </c>
    </row>
    <row r="70" spans="1:43" ht="16.05" customHeight="1" x14ac:dyDescent="0.3">
      <c r="A70" t="s">
        <v>224</v>
      </c>
      <c r="B70" t="s">
        <v>225</v>
      </c>
      <c r="C70" t="s">
        <v>143</v>
      </c>
      <c r="D70" t="s">
        <v>65</v>
      </c>
      <c r="E70">
        <v>13246408.59</v>
      </c>
      <c r="F70">
        <v>46</v>
      </c>
      <c r="G70" t="s">
        <v>66</v>
      </c>
      <c r="H70" t="s">
        <v>226</v>
      </c>
      <c r="I70" t="s">
        <v>226</v>
      </c>
      <c r="J70" t="s">
        <v>67</v>
      </c>
      <c r="K70" t="s">
        <v>227</v>
      </c>
      <c r="L70">
        <v>7878141.7300000004</v>
      </c>
      <c r="M70">
        <f t="shared" si="10"/>
        <v>59.5</v>
      </c>
      <c r="N70" t="s">
        <v>68</v>
      </c>
      <c r="O70">
        <f t="shared" si="11"/>
        <v>0</v>
      </c>
      <c r="P70" t="s">
        <v>68</v>
      </c>
      <c r="Q70">
        <v>622</v>
      </c>
      <c r="R70">
        <v>4031</v>
      </c>
      <c r="S70">
        <f t="shared" si="12"/>
        <v>30</v>
      </c>
      <c r="T70" t="str">
        <f t="shared" si="13"/>
        <v>⬜  Parcial · Inst. 2 pendiente</v>
      </c>
      <c r="U70" s="53">
        <v>1</v>
      </c>
      <c r="V70" t="s">
        <v>69</v>
      </c>
      <c r="W70">
        <f>IF(NORMALIZADO!BV70="",1,NORMALIZADO!BV70)</f>
        <v>1</v>
      </c>
      <c r="X70">
        <f>IF(NORMALIZADO!BW70="",0,NORMALIZADO!BW70)</f>
        <v>0</v>
      </c>
      <c r="Y70">
        <f>IF(NORMALIZADO!BX70="",0,NORMALIZADO!BX70)</f>
        <v>0</v>
      </c>
      <c r="Z70">
        <f>IF(NORMALIZADO!BY70="",0,NORMALIZADO!BY70)</f>
        <v>0</v>
      </c>
      <c r="AA70">
        <v>0</v>
      </c>
      <c r="AB70">
        <v>0</v>
      </c>
      <c r="AC70">
        <v>0</v>
      </c>
      <c r="AD70">
        <v>0</v>
      </c>
      <c r="AE70">
        <v>0</v>
      </c>
      <c r="AF70">
        <v>0</v>
      </c>
      <c r="AG70">
        <v>0</v>
      </c>
      <c r="AH70">
        <v>0</v>
      </c>
      <c r="AI70">
        <v>0</v>
      </c>
      <c r="AJ70">
        <v>0</v>
      </c>
      <c r="AK70">
        <v>0</v>
      </c>
      <c r="AL70">
        <v>0</v>
      </c>
      <c r="AM70">
        <v>0</v>
      </c>
      <c r="AN70">
        <v>0</v>
      </c>
      <c r="AO70">
        <f t="shared" si="14"/>
        <v>0</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N/A")</f>
        <v>0.3</v>
      </c>
      <c r="AQ70">
        <f>IF(ISNUMBER(M70),1,0)+IF(ISNUMBER(SCORECARDS!H70),1,0)+IF(ISNUMBER(SCORECARDS!I70),1,0)+IF(ISNUMBER(SCORECARDS!J70),1,0)+IF(ISNUMBER(ISCAM_Score!K71),1,0)+IF(ISNUMBER(O70),1,0)+IF(COUNT(W70:Z70)&gt;0,1,0)</f>
        <v>3</v>
      </c>
    </row>
    <row r="71" spans="1:43" ht="16.05" customHeight="1" x14ac:dyDescent="0.3">
      <c r="A71" t="s">
        <v>228</v>
      </c>
      <c r="B71" t="s">
        <v>229</v>
      </c>
      <c r="C71" t="s">
        <v>143</v>
      </c>
      <c r="D71" t="s">
        <v>73</v>
      </c>
      <c r="G71" t="s">
        <v>74</v>
      </c>
      <c r="J71" t="s">
        <v>67</v>
      </c>
      <c r="L71">
        <v>0</v>
      </c>
      <c r="M71">
        <f t="shared" si="10"/>
        <v>0</v>
      </c>
      <c r="N71" t="s">
        <v>68</v>
      </c>
      <c r="O71">
        <f t="shared" si="11"/>
        <v>0</v>
      </c>
      <c r="P71" t="s">
        <v>68</v>
      </c>
      <c r="S71">
        <f t="shared" si="12"/>
        <v>0</v>
      </c>
      <c r="T71" t="str">
        <f t="shared" si="13"/>
        <v>⬜  Parcial · Inst. 2 pendiente</v>
      </c>
      <c r="U71" s="53">
        <v>1</v>
      </c>
      <c r="V71" t="s">
        <v>69</v>
      </c>
      <c r="W71">
        <f>IF(NORMALIZADO!BV71="",0,NORMALIZADO!BV71)</f>
        <v>0</v>
      </c>
      <c r="X71">
        <f>IF(NORMALIZADO!BW71="",0,NORMALIZADO!BW71)</f>
        <v>0</v>
      </c>
      <c r="Y71">
        <f>IF(NORMALIZADO!BX71="",0,NORMALIZADO!BX71)</f>
        <v>0</v>
      </c>
      <c r="Z71">
        <f>IF(NORMALIZADO!BY71="",0,NORMALIZADO!BY71)</f>
        <v>0</v>
      </c>
      <c r="AA71">
        <v>0</v>
      </c>
      <c r="AB71">
        <v>0</v>
      </c>
      <c r="AC71">
        <v>0</v>
      </c>
      <c r="AD71">
        <v>0</v>
      </c>
      <c r="AE71">
        <v>0</v>
      </c>
      <c r="AF71">
        <v>0</v>
      </c>
      <c r="AG71">
        <v>0</v>
      </c>
      <c r="AH71">
        <v>0</v>
      </c>
      <c r="AI71">
        <v>0</v>
      </c>
      <c r="AJ71">
        <v>0</v>
      </c>
      <c r="AK71">
        <v>0</v>
      </c>
      <c r="AL71">
        <v>0</v>
      </c>
      <c r="AM71">
        <v>0</v>
      </c>
      <c r="AN71">
        <v>0</v>
      </c>
      <c r="AO71">
        <f t="shared" si="14"/>
        <v>0</v>
      </c>
      <c r="AP71">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N/A")</f>
        <v>0</v>
      </c>
      <c r="AQ71">
        <f>IF(ISNUMBER(M71),1,0)+IF(ISNUMBER(SCORECARDS!H71),1,0)+IF(ISNUMBER(SCORECARDS!I71),1,0)+IF(ISNUMBER(SCORECARDS!J71),1,0)+IF(ISNUMBER(ISCAM_Score!K72),1,0)+IF(ISNUMBER(O71),1,0)+IF(COUNT(W71:Z71)&gt;0,1,0)</f>
        <v>3</v>
      </c>
    </row>
    <row r="72" spans="1:43" ht="16.05" customHeight="1" x14ac:dyDescent="0.3">
      <c r="A72" t="s">
        <v>230</v>
      </c>
      <c r="B72" t="s">
        <v>231</v>
      </c>
      <c r="C72" t="s">
        <v>143</v>
      </c>
      <c r="D72" t="s">
        <v>73</v>
      </c>
      <c r="E72">
        <v>2826075</v>
      </c>
      <c r="F72">
        <v>12</v>
      </c>
      <c r="G72" t="s">
        <v>66</v>
      </c>
      <c r="J72" t="s">
        <v>67</v>
      </c>
      <c r="L72">
        <v>1413037.5</v>
      </c>
      <c r="M72">
        <f t="shared" si="10"/>
        <v>50</v>
      </c>
      <c r="N72" t="s">
        <v>68</v>
      </c>
      <c r="O72">
        <f t="shared" si="11"/>
        <v>0</v>
      </c>
      <c r="P72" t="s">
        <v>68</v>
      </c>
      <c r="S72">
        <f t="shared" si="12"/>
        <v>26</v>
      </c>
      <c r="T72" t="str">
        <f t="shared" si="13"/>
        <v>⬜  Parcial · Inst. 2 pendiente</v>
      </c>
      <c r="U72" s="53">
        <v>1</v>
      </c>
      <c r="V72" t="s">
        <v>69</v>
      </c>
      <c r="W72">
        <f>IF(NORMALIZADO!BV72="",1,NORMALIZADO!BV72)</f>
        <v>1</v>
      </c>
      <c r="X72">
        <f>IF(NORMALIZADO!BW72="",0,NORMALIZADO!BW72)</f>
        <v>0</v>
      </c>
      <c r="Y72">
        <f>IF(NORMALIZADO!BX72="",0,NORMALIZADO!BX72)</f>
        <v>0</v>
      </c>
      <c r="Z72">
        <f>IF(NORMALIZADO!BY72="",0,NORMALIZADO!BY72)</f>
        <v>0</v>
      </c>
      <c r="AA72">
        <v>0</v>
      </c>
      <c r="AB72">
        <v>0</v>
      </c>
      <c r="AC72">
        <v>0</v>
      </c>
      <c r="AD72">
        <v>0</v>
      </c>
      <c r="AE72">
        <v>0</v>
      </c>
      <c r="AF72">
        <v>0</v>
      </c>
      <c r="AG72">
        <v>0</v>
      </c>
      <c r="AH72">
        <v>0</v>
      </c>
      <c r="AI72">
        <v>0</v>
      </c>
      <c r="AJ72">
        <v>0</v>
      </c>
      <c r="AK72">
        <v>0</v>
      </c>
      <c r="AL72">
        <v>0</v>
      </c>
      <c r="AM72">
        <v>0</v>
      </c>
      <c r="AN72">
        <v>0</v>
      </c>
      <c r="AO72">
        <f t="shared" si="14"/>
        <v>0</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N/A")</f>
        <v>0.26041666666666669</v>
      </c>
      <c r="AQ72">
        <f>IF(ISNUMBER(M72),1,0)+IF(ISNUMBER(SCORECARDS!H72),1,0)+IF(ISNUMBER(SCORECARDS!I72),1,0)+IF(ISNUMBER(SCORECARDS!J72),1,0)+IF(ISNUMBER(ISCAM_Score!K73),1,0)+IF(ISNUMBER(O72),1,0)+IF(COUNT(W72:Z72)&gt;0,1,0)</f>
        <v>3</v>
      </c>
    </row>
    <row r="73" spans="1:43" ht="16.05" customHeight="1" x14ac:dyDescent="0.3">
      <c r="A73" t="s">
        <v>232</v>
      </c>
      <c r="B73" t="s">
        <v>233</v>
      </c>
      <c r="C73" t="s">
        <v>143</v>
      </c>
      <c r="D73" t="s">
        <v>65</v>
      </c>
      <c r="E73">
        <v>1187600.46</v>
      </c>
      <c r="F73">
        <v>6</v>
      </c>
      <c r="G73" t="s">
        <v>66</v>
      </c>
      <c r="H73" t="s">
        <v>234</v>
      </c>
      <c r="I73" t="s">
        <v>235</v>
      </c>
      <c r="J73" t="s">
        <v>67</v>
      </c>
      <c r="K73" t="s">
        <v>227</v>
      </c>
      <c r="L73">
        <v>1187600.48</v>
      </c>
      <c r="M73">
        <f t="shared" si="10"/>
        <v>100</v>
      </c>
      <c r="N73" t="s">
        <v>68</v>
      </c>
      <c r="O73">
        <f t="shared" si="11"/>
        <v>0</v>
      </c>
      <c r="P73" t="s">
        <v>68</v>
      </c>
      <c r="Q73">
        <v>416</v>
      </c>
      <c r="R73">
        <v>1248</v>
      </c>
      <c r="S73">
        <f t="shared" si="12"/>
        <v>46.9</v>
      </c>
      <c r="T73" t="str">
        <f t="shared" si="13"/>
        <v>⬜  Parcial · Inst. 2 pendiente</v>
      </c>
      <c r="U73" s="53">
        <v>1</v>
      </c>
      <c r="V73" t="s">
        <v>69</v>
      </c>
      <c r="W73">
        <f>IF(NORMALIZADO!BV73="",1,NORMALIZADO!BV73)</f>
        <v>1</v>
      </c>
      <c r="X73">
        <f>IF(NORMALIZADO!BW73="",0,NORMALIZADO!BW73)</f>
        <v>0</v>
      </c>
      <c r="Y73">
        <f>IF(NORMALIZADO!BX73="",0,NORMALIZADO!BX73)</f>
        <v>0</v>
      </c>
      <c r="Z73">
        <f>IF(NORMALIZADO!BY73="",0,NORMALIZADO!BY73)</f>
        <v>0</v>
      </c>
      <c r="AA73">
        <v>0</v>
      </c>
      <c r="AB73">
        <v>0</v>
      </c>
      <c r="AC73">
        <v>0</v>
      </c>
      <c r="AD73">
        <v>0</v>
      </c>
      <c r="AE73">
        <v>0</v>
      </c>
      <c r="AF73">
        <v>0</v>
      </c>
      <c r="AG73">
        <v>0</v>
      </c>
      <c r="AH73">
        <v>0</v>
      </c>
      <c r="AI73">
        <v>0</v>
      </c>
      <c r="AJ73">
        <v>0</v>
      </c>
      <c r="AK73">
        <v>0</v>
      </c>
      <c r="AL73">
        <v>0</v>
      </c>
      <c r="AM73">
        <v>0</v>
      </c>
      <c r="AN73">
        <v>0</v>
      </c>
      <c r="AO73">
        <f t="shared" si="14"/>
        <v>0</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N/A")</f>
        <v>0.46875</v>
      </c>
      <c r="AQ73">
        <f>IF(ISNUMBER(M73),1,0)+IF(ISNUMBER(SCORECARDS!H73),1,0)+IF(ISNUMBER(SCORECARDS!I73),1,0)+IF(ISNUMBER(SCORECARDS!J73),1,0)+IF(ISNUMBER(ISCAM_Score!K74),1,0)+IF(ISNUMBER(O73),1,0)+IF(COUNT(W73:Z73)&gt;0,1,0)</f>
        <v>3</v>
      </c>
    </row>
    <row r="74" spans="1:43" ht="16.05" customHeight="1" x14ac:dyDescent="0.3">
      <c r="A74" t="s">
        <v>236</v>
      </c>
      <c r="B74" t="s">
        <v>237</v>
      </c>
      <c r="C74" t="s">
        <v>143</v>
      </c>
      <c r="D74" t="s">
        <v>73</v>
      </c>
      <c r="E74">
        <v>24285431.82</v>
      </c>
      <c r="F74">
        <v>111</v>
      </c>
      <c r="G74" t="s">
        <v>66</v>
      </c>
      <c r="J74" t="s">
        <v>67</v>
      </c>
      <c r="L74">
        <v>12142715.91</v>
      </c>
      <c r="M74">
        <f t="shared" si="10"/>
        <v>50</v>
      </c>
      <c r="N74" t="s">
        <v>68</v>
      </c>
      <c r="O74">
        <f t="shared" si="11"/>
        <v>0</v>
      </c>
      <c r="P74" t="s">
        <v>68</v>
      </c>
      <c r="S74">
        <f t="shared" si="12"/>
        <v>26</v>
      </c>
      <c r="T74" t="str">
        <f t="shared" si="13"/>
        <v>⬜  Parcial · Inst. 2 pendiente</v>
      </c>
      <c r="U74" s="53">
        <v>1</v>
      </c>
      <c r="V74" t="s">
        <v>69</v>
      </c>
      <c r="W74">
        <f>IF(NORMALIZADO!BV74="",1,NORMALIZADO!BV74)</f>
        <v>1</v>
      </c>
      <c r="X74">
        <f>IF(NORMALIZADO!BW74="",0,NORMALIZADO!BW74)</f>
        <v>0</v>
      </c>
      <c r="Y74">
        <f>IF(NORMALIZADO!BX74="",0,NORMALIZADO!BX74)</f>
        <v>0</v>
      </c>
      <c r="Z74">
        <f>IF(NORMALIZADO!BY74="",0,NORMALIZADO!BY74)</f>
        <v>0</v>
      </c>
      <c r="AA74">
        <v>0</v>
      </c>
      <c r="AB74">
        <v>0</v>
      </c>
      <c r="AC74">
        <v>0</v>
      </c>
      <c r="AD74">
        <v>0</v>
      </c>
      <c r="AE74">
        <v>0</v>
      </c>
      <c r="AF74">
        <v>0</v>
      </c>
      <c r="AG74">
        <v>0</v>
      </c>
      <c r="AH74">
        <v>0</v>
      </c>
      <c r="AI74">
        <v>0</v>
      </c>
      <c r="AJ74">
        <v>0</v>
      </c>
      <c r="AK74">
        <v>0</v>
      </c>
      <c r="AL74">
        <v>0</v>
      </c>
      <c r="AM74">
        <v>0</v>
      </c>
      <c r="AN74">
        <v>0</v>
      </c>
      <c r="AO74">
        <f t="shared" si="14"/>
        <v>0</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N/A")</f>
        <v>0.26041666666666669</v>
      </c>
      <c r="AQ74">
        <f>IF(ISNUMBER(M74),1,0)+IF(ISNUMBER(SCORECARDS!H74),1,0)+IF(ISNUMBER(SCORECARDS!I74),1,0)+IF(ISNUMBER(SCORECARDS!J74),1,0)+IF(ISNUMBER(ISCAM_Score!K75),1,0)+IF(ISNUMBER(O74),1,0)+IF(COUNT(W74:Z74)&gt;0,1,0)</f>
        <v>3</v>
      </c>
    </row>
    <row r="75" spans="1:43" ht="16.05" customHeight="1" x14ac:dyDescent="0.3">
      <c r="A75" t="s">
        <v>238</v>
      </c>
      <c r="B75" t="s">
        <v>239</v>
      </c>
      <c r="C75" t="s">
        <v>196</v>
      </c>
      <c r="D75" t="s">
        <v>73</v>
      </c>
      <c r="G75" t="s">
        <v>74</v>
      </c>
      <c r="J75" t="s">
        <v>67</v>
      </c>
      <c r="L75">
        <v>0</v>
      </c>
      <c r="M75">
        <f t="shared" si="10"/>
        <v>0</v>
      </c>
      <c r="N75" t="s">
        <v>68</v>
      </c>
      <c r="O75">
        <f t="shared" si="11"/>
        <v>0</v>
      </c>
      <c r="P75" t="s">
        <v>68</v>
      </c>
      <c r="S75">
        <f t="shared" si="12"/>
        <v>0</v>
      </c>
      <c r="T75" t="str">
        <f t="shared" si="13"/>
        <v>⬜  Parcial · Inst. 2 pendiente</v>
      </c>
      <c r="U75" s="53">
        <v>1</v>
      </c>
      <c r="V75" t="s">
        <v>69</v>
      </c>
      <c r="W75">
        <f>IF(NORMALIZADO!BV75="",0,NORMALIZADO!BV75)</f>
        <v>0</v>
      </c>
      <c r="X75">
        <f>IF(NORMALIZADO!BW75="",0,NORMALIZADO!BW75)</f>
        <v>0</v>
      </c>
      <c r="Y75">
        <f>IF(NORMALIZADO!BX75="",0,NORMALIZADO!BX75)</f>
        <v>0</v>
      </c>
      <c r="Z75">
        <f>IF(NORMALIZADO!BY75="",0,NORMALIZADO!BY75)</f>
        <v>0</v>
      </c>
      <c r="AA75">
        <v>0</v>
      </c>
      <c r="AB75">
        <v>0</v>
      </c>
      <c r="AC75">
        <v>0</v>
      </c>
      <c r="AD75">
        <v>0</v>
      </c>
      <c r="AE75">
        <v>0</v>
      </c>
      <c r="AF75">
        <v>0</v>
      </c>
      <c r="AG75">
        <v>0</v>
      </c>
      <c r="AH75">
        <v>0</v>
      </c>
      <c r="AI75">
        <v>0</v>
      </c>
      <c r="AJ75">
        <v>0</v>
      </c>
      <c r="AK75">
        <v>0</v>
      </c>
      <c r="AL75">
        <v>0</v>
      </c>
      <c r="AM75">
        <v>0</v>
      </c>
      <c r="AN75">
        <v>0</v>
      </c>
      <c r="AO75">
        <f t="shared" si="14"/>
        <v>0</v>
      </c>
      <c r="AP75">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N/A")</f>
        <v>0</v>
      </c>
      <c r="AQ75">
        <f>IF(ISNUMBER(M75),1,0)+IF(ISNUMBER(SCORECARDS!H75),1,0)+IF(ISNUMBER(SCORECARDS!I75),1,0)+IF(ISNUMBER(SCORECARDS!J75),1,0)+IF(ISNUMBER(ISCAM_Score!K76),1,0)+IF(ISNUMBER(O75),1,0)+IF(COUNT(W75:Z75)&gt;0,1,0)</f>
        <v>3</v>
      </c>
    </row>
    <row r="76" spans="1:43" ht="16.05" customHeight="1" x14ac:dyDescent="0.3">
      <c r="A76" t="s">
        <v>240</v>
      </c>
      <c r="B76" t="s">
        <v>241</v>
      </c>
      <c r="C76" t="s">
        <v>196</v>
      </c>
      <c r="D76" t="s">
        <v>73</v>
      </c>
      <c r="G76" t="s">
        <v>74</v>
      </c>
      <c r="J76" t="s">
        <v>67</v>
      </c>
      <c r="L76">
        <v>0</v>
      </c>
      <c r="M76">
        <f t="shared" si="10"/>
        <v>0</v>
      </c>
      <c r="N76" t="s">
        <v>68</v>
      </c>
      <c r="O76">
        <f t="shared" si="11"/>
        <v>0</v>
      </c>
      <c r="P76" t="s">
        <v>68</v>
      </c>
      <c r="S76">
        <f t="shared" si="12"/>
        <v>0</v>
      </c>
      <c r="T76" t="str">
        <f t="shared" si="13"/>
        <v>⬜  Parcial · Inst. 2 pendiente</v>
      </c>
      <c r="U76" s="53">
        <v>1</v>
      </c>
      <c r="V76" t="s">
        <v>69</v>
      </c>
      <c r="W76">
        <f>IF(NORMALIZADO!BV76="",0,NORMALIZADO!BV76)</f>
        <v>0</v>
      </c>
      <c r="X76">
        <f>IF(NORMALIZADO!BW76="",0,NORMALIZADO!BW76)</f>
        <v>0</v>
      </c>
      <c r="Y76">
        <f>IF(NORMALIZADO!BX76="",0,NORMALIZADO!BX76)</f>
        <v>0</v>
      </c>
      <c r="Z76">
        <f>IF(NORMALIZADO!BY76="",0,NORMALIZADO!BY76)</f>
        <v>0</v>
      </c>
      <c r="AA76">
        <v>0</v>
      </c>
      <c r="AB76">
        <v>0</v>
      </c>
      <c r="AC76">
        <v>0</v>
      </c>
      <c r="AD76">
        <v>0</v>
      </c>
      <c r="AE76">
        <v>0</v>
      </c>
      <c r="AF76">
        <v>0</v>
      </c>
      <c r="AG76">
        <v>0</v>
      </c>
      <c r="AH76">
        <v>0</v>
      </c>
      <c r="AI76">
        <v>0</v>
      </c>
      <c r="AJ76">
        <v>0</v>
      </c>
      <c r="AK76">
        <v>0</v>
      </c>
      <c r="AL76">
        <v>0</v>
      </c>
      <c r="AM76">
        <v>0</v>
      </c>
      <c r="AN76">
        <v>0</v>
      </c>
      <c r="AO76">
        <f t="shared" si="14"/>
        <v>0</v>
      </c>
      <c r="AP76">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N/A")</f>
        <v>0</v>
      </c>
      <c r="AQ76">
        <f>IF(ISNUMBER(M76),1,0)+IF(ISNUMBER(SCORECARDS!H76),1,0)+IF(ISNUMBER(SCORECARDS!I76),1,0)+IF(ISNUMBER(SCORECARDS!J76),1,0)+IF(ISNUMBER(ISCAM_Score!K77),1,0)+IF(ISNUMBER(O76),1,0)+IF(COUNT(W76:Z76)&gt;0,1,0)</f>
        <v>3</v>
      </c>
    </row>
    <row r="77" spans="1:43" ht="16.05" customHeight="1" x14ac:dyDescent="0.3">
      <c r="A77" t="s">
        <v>242</v>
      </c>
      <c r="B77" t="s">
        <v>243</v>
      </c>
      <c r="C77" t="s">
        <v>154</v>
      </c>
      <c r="D77" t="s">
        <v>65</v>
      </c>
      <c r="E77">
        <v>16891006.489999998</v>
      </c>
      <c r="F77">
        <v>81</v>
      </c>
      <c r="G77" t="s">
        <v>66</v>
      </c>
      <c r="J77" t="s">
        <v>67</v>
      </c>
      <c r="L77">
        <v>8445503.2400000002</v>
      </c>
      <c r="M77">
        <f t="shared" si="10"/>
        <v>50</v>
      </c>
      <c r="N77" t="s">
        <v>68</v>
      </c>
      <c r="O77">
        <f t="shared" si="11"/>
        <v>0</v>
      </c>
      <c r="P77" t="s">
        <v>68</v>
      </c>
      <c r="S77">
        <f t="shared" si="12"/>
        <v>26</v>
      </c>
      <c r="T77" t="str">
        <f t="shared" si="13"/>
        <v>⬜  Parcial · Inst. 2 pendiente</v>
      </c>
      <c r="U77" s="53">
        <v>1</v>
      </c>
      <c r="V77" t="s">
        <v>69</v>
      </c>
      <c r="W77">
        <f>IF(NORMALIZADO!BV77="",1,NORMALIZADO!BV77)</f>
        <v>1</v>
      </c>
      <c r="X77">
        <f>IF(NORMALIZADO!BW77="",0,NORMALIZADO!BW77)</f>
        <v>0</v>
      </c>
      <c r="Y77">
        <f>IF(NORMALIZADO!BX77="",0,NORMALIZADO!BX77)</f>
        <v>0</v>
      </c>
      <c r="Z77">
        <f>IF(NORMALIZADO!BY77="",0,NORMALIZADO!BY77)</f>
        <v>0</v>
      </c>
      <c r="AA77">
        <v>0</v>
      </c>
      <c r="AB77">
        <v>0</v>
      </c>
      <c r="AC77">
        <v>0</v>
      </c>
      <c r="AD77">
        <v>0</v>
      </c>
      <c r="AE77">
        <v>0</v>
      </c>
      <c r="AF77">
        <v>0</v>
      </c>
      <c r="AG77">
        <v>0</v>
      </c>
      <c r="AH77">
        <v>0</v>
      </c>
      <c r="AI77">
        <v>0</v>
      </c>
      <c r="AJ77">
        <v>0</v>
      </c>
      <c r="AK77">
        <v>0</v>
      </c>
      <c r="AL77">
        <v>0</v>
      </c>
      <c r="AM77">
        <v>0</v>
      </c>
      <c r="AN77">
        <v>0</v>
      </c>
      <c r="AO77">
        <f t="shared" si="14"/>
        <v>0</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N/A")</f>
        <v>0.26041666666666669</v>
      </c>
      <c r="AQ77">
        <f>IF(ISNUMBER(M77),1,0)+IF(ISNUMBER(SCORECARDS!H77),1,0)+IF(ISNUMBER(SCORECARDS!I77),1,0)+IF(ISNUMBER(SCORECARDS!J77),1,0)+IF(ISNUMBER(ISCAM_Score!K78),1,0)+IF(ISNUMBER(O77),1,0)+IF(COUNT(W77:Z77)&gt;0,1,0)</f>
        <v>3</v>
      </c>
    </row>
    <row r="78" spans="1:43" ht="16.05" customHeight="1" x14ac:dyDescent="0.3">
      <c r="A78" t="s">
        <v>244</v>
      </c>
      <c r="B78" t="s">
        <v>245</v>
      </c>
      <c r="C78" t="s">
        <v>123</v>
      </c>
      <c r="D78" t="s">
        <v>73</v>
      </c>
      <c r="G78" t="s">
        <v>74</v>
      </c>
      <c r="J78" t="s">
        <v>110</v>
      </c>
      <c r="L78">
        <v>0</v>
      </c>
      <c r="M78">
        <f t="shared" si="10"/>
        <v>0</v>
      </c>
      <c r="N78" t="s">
        <v>68</v>
      </c>
      <c r="O78">
        <f t="shared" si="11"/>
        <v>0</v>
      </c>
      <c r="P78" t="s">
        <v>68</v>
      </c>
      <c r="S78">
        <f t="shared" si="12"/>
        <v>0</v>
      </c>
      <c r="T78" t="str">
        <f t="shared" si="13"/>
        <v>⬜  Parcial · Inst. 2 pendiente</v>
      </c>
      <c r="U78" s="53">
        <v>1</v>
      </c>
      <c r="V78" t="s">
        <v>69</v>
      </c>
      <c r="W78">
        <f>IF(NORMALIZADO!BV78="",0,NORMALIZADO!BV78)</f>
        <v>0</v>
      </c>
      <c r="X78">
        <f>IF(NORMALIZADO!BW78="",0,NORMALIZADO!BW78)</f>
        <v>0</v>
      </c>
      <c r="Y78">
        <f>IF(NORMALIZADO!BX78="",0,NORMALIZADO!BX78)</f>
        <v>0</v>
      </c>
      <c r="Z78">
        <f>IF(NORMALIZADO!BY78="",0,NORMALIZADO!BY78)</f>
        <v>0</v>
      </c>
      <c r="AA78">
        <v>0</v>
      </c>
      <c r="AB78">
        <v>0</v>
      </c>
      <c r="AC78">
        <v>0</v>
      </c>
      <c r="AD78">
        <v>0</v>
      </c>
      <c r="AE78">
        <v>0</v>
      </c>
      <c r="AF78">
        <v>0</v>
      </c>
      <c r="AG78">
        <v>0</v>
      </c>
      <c r="AH78">
        <v>0</v>
      </c>
      <c r="AI78">
        <v>0</v>
      </c>
      <c r="AJ78">
        <v>0</v>
      </c>
      <c r="AK78">
        <v>0</v>
      </c>
      <c r="AL78">
        <v>0</v>
      </c>
      <c r="AM78">
        <v>0</v>
      </c>
      <c r="AN78">
        <v>0</v>
      </c>
      <c r="AO78">
        <f t="shared" si="14"/>
        <v>0</v>
      </c>
      <c r="AP78">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N/A")</f>
        <v>0</v>
      </c>
      <c r="AQ78">
        <f>IF(ISNUMBER(M78),1,0)+IF(ISNUMBER(SCORECARDS!H78),1,0)+IF(ISNUMBER(SCORECARDS!I78),1,0)+IF(ISNUMBER(SCORECARDS!J78),1,0)+IF(ISNUMBER(ISCAM_Score!K79),1,0)+IF(ISNUMBER(O78),1,0)+IF(COUNT(W78:Z78)&gt;0,1,0)</f>
        <v>3</v>
      </c>
    </row>
    <row r="79" spans="1:43" ht="16.05" customHeight="1" x14ac:dyDescent="0.3">
      <c r="A79" t="s">
        <v>246</v>
      </c>
      <c r="B79" t="s">
        <v>247</v>
      </c>
      <c r="C79" t="s">
        <v>248</v>
      </c>
      <c r="D79" t="s">
        <v>73</v>
      </c>
      <c r="E79">
        <v>0</v>
      </c>
      <c r="G79" t="s">
        <v>74</v>
      </c>
      <c r="J79" t="s">
        <v>67</v>
      </c>
      <c r="L79">
        <v>0</v>
      </c>
      <c r="M79">
        <f t="shared" si="10"/>
        <v>0</v>
      </c>
      <c r="N79" t="s">
        <v>68</v>
      </c>
      <c r="O79">
        <f t="shared" si="11"/>
        <v>0</v>
      </c>
      <c r="P79" t="s">
        <v>68</v>
      </c>
      <c r="S79">
        <f t="shared" si="12"/>
        <v>0</v>
      </c>
      <c r="T79" t="str">
        <f t="shared" si="13"/>
        <v>⬜  Parcial · Inst. 2 pendiente</v>
      </c>
      <c r="U79" s="53">
        <v>1</v>
      </c>
      <c r="V79" t="s">
        <v>69</v>
      </c>
      <c r="W79">
        <f>IF(NORMALIZADO!BV79="",0,NORMALIZADO!BV79)</f>
        <v>0</v>
      </c>
      <c r="X79">
        <f>IF(NORMALIZADO!BW79="",0,NORMALIZADO!BW79)</f>
        <v>0</v>
      </c>
      <c r="Y79">
        <f>IF(NORMALIZADO!BX79="",0,NORMALIZADO!BX79)</f>
        <v>0</v>
      </c>
      <c r="Z79">
        <f>IF(NORMALIZADO!BY79="",0,NORMALIZADO!BY79)</f>
        <v>0</v>
      </c>
      <c r="AA79">
        <v>0</v>
      </c>
      <c r="AB79">
        <v>0</v>
      </c>
      <c r="AC79">
        <v>0</v>
      </c>
      <c r="AD79">
        <v>0</v>
      </c>
      <c r="AE79">
        <v>0</v>
      </c>
      <c r="AF79">
        <v>0</v>
      </c>
      <c r="AG79">
        <v>0</v>
      </c>
      <c r="AH79">
        <v>0</v>
      </c>
      <c r="AI79">
        <v>0</v>
      </c>
      <c r="AJ79">
        <v>0</v>
      </c>
      <c r="AK79">
        <v>0</v>
      </c>
      <c r="AL79">
        <v>0</v>
      </c>
      <c r="AM79">
        <v>0</v>
      </c>
      <c r="AN79">
        <v>0</v>
      </c>
      <c r="AO79">
        <f t="shared" si="14"/>
        <v>0</v>
      </c>
      <c r="AP79">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N/A")</f>
        <v>0</v>
      </c>
      <c r="AQ79">
        <f>IF(ISNUMBER(M79),1,0)+IF(ISNUMBER(SCORECARDS!H79),1,0)+IF(ISNUMBER(SCORECARDS!I79),1,0)+IF(ISNUMBER(SCORECARDS!J79),1,0)+IF(ISNUMBER(ISCAM_Score!K80),1,0)+IF(ISNUMBER(O79),1,0)+IF(COUNT(W79:Z79)&gt;0,1,0)</f>
        <v>3</v>
      </c>
    </row>
    <row r="80" spans="1:43" ht="16.05" customHeight="1" x14ac:dyDescent="0.3">
      <c r="A80" t="s">
        <v>249</v>
      </c>
      <c r="B80" t="s">
        <v>250</v>
      </c>
      <c r="C80" t="s">
        <v>116</v>
      </c>
      <c r="D80" t="s">
        <v>65</v>
      </c>
      <c r="E80">
        <v>0</v>
      </c>
      <c r="G80" t="s">
        <v>74</v>
      </c>
      <c r="H80" t="s">
        <v>251</v>
      </c>
      <c r="I80" t="s">
        <v>74</v>
      </c>
      <c r="J80" t="s">
        <v>110</v>
      </c>
      <c r="K80" t="s">
        <v>252</v>
      </c>
      <c r="L80">
        <v>0</v>
      </c>
      <c r="M80">
        <f t="shared" si="10"/>
        <v>0</v>
      </c>
      <c r="N80" t="s">
        <v>68</v>
      </c>
      <c r="O80">
        <f t="shared" si="11"/>
        <v>0</v>
      </c>
      <c r="P80" t="s">
        <v>68</v>
      </c>
      <c r="Q80">
        <v>351</v>
      </c>
      <c r="R80">
        <v>1045.5999999999999</v>
      </c>
      <c r="S80">
        <f t="shared" si="12"/>
        <v>5.2</v>
      </c>
      <c r="T80" t="str">
        <f t="shared" si="13"/>
        <v>⬜  Parcial · Inst. 2 pendiente</v>
      </c>
      <c r="U80" s="53">
        <v>1</v>
      </c>
      <c r="V80" t="s">
        <v>69</v>
      </c>
      <c r="W80">
        <f>IF(NORMALIZADO!BV80="",1,NORMALIZADO!BV80)</f>
        <v>1</v>
      </c>
      <c r="X80">
        <f>IF(NORMALIZADO!BW80="",0,NORMALIZADO!BW80)</f>
        <v>0</v>
      </c>
      <c r="Y80">
        <f>IF(NORMALIZADO!BX80="",0,NORMALIZADO!BX80)</f>
        <v>0</v>
      </c>
      <c r="Z80">
        <f>IF(NORMALIZADO!BY80="",0,NORMALIZADO!BY80)</f>
        <v>0</v>
      </c>
      <c r="AA80">
        <v>0</v>
      </c>
      <c r="AB80">
        <v>0</v>
      </c>
      <c r="AC80">
        <v>0</v>
      </c>
      <c r="AD80">
        <v>0</v>
      </c>
      <c r="AE80">
        <v>0</v>
      </c>
      <c r="AF80">
        <v>0</v>
      </c>
      <c r="AG80">
        <v>0</v>
      </c>
      <c r="AH80">
        <v>0</v>
      </c>
      <c r="AI80">
        <v>0</v>
      </c>
      <c r="AJ80">
        <v>0</v>
      </c>
      <c r="AK80">
        <v>0</v>
      </c>
      <c r="AL80">
        <v>0</v>
      </c>
      <c r="AM80">
        <v>0</v>
      </c>
      <c r="AN80">
        <v>0</v>
      </c>
      <c r="AO80">
        <f t="shared" si="14"/>
        <v>0</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N/A")</f>
        <v>5.2083333333333336E-2</v>
      </c>
      <c r="AQ80">
        <f>IF(ISNUMBER(M80),1,0)+IF(ISNUMBER(SCORECARDS!H80),1,0)+IF(ISNUMBER(SCORECARDS!I80),1,0)+IF(ISNUMBER(SCORECARDS!J80),1,0)+IF(ISNUMBER(ISCAM_Score!K81),1,0)+IF(ISNUMBER(O80),1,0)+IF(COUNT(W80:Z80)&gt;0,1,0)</f>
        <v>3</v>
      </c>
    </row>
    <row r="81" spans="1:43" ht="16.05" customHeight="1" x14ac:dyDescent="0.3">
      <c r="A81" t="s">
        <v>253</v>
      </c>
      <c r="B81" t="s">
        <v>254</v>
      </c>
      <c r="C81" t="s">
        <v>80</v>
      </c>
      <c r="D81" t="s">
        <v>73</v>
      </c>
      <c r="E81">
        <v>0</v>
      </c>
      <c r="G81" t="s">
        <v>74</v>
      </c>
      <c r="J81" t="s">
        <v>67</v>
      </c>
      <c r="L81">
        <v>0</v>
      </c>
      <c r="M81">
        <f t="shared" si="10"/>
        <v>0</v>
      </c>
      <c r="N81" t="s">
        <v>68</v>
      </c>
      <c r="O81">
        <f t="shared" si="11"/>
        <v>0</v>
      </c>
      <c r="P81" t="s">
        <v>68</v>
      </c>
      <c r="S81">
        <f t="shared" si="12"/>
        <v>0</v>
      </c>
      <c r="T81" t="str">
        <f t="shared" si="13"/>
        <v>⬜  Parcial · Inst. 2 pendiente</v>
      </c>
      <c r="U81" s="53">
        <v>1</v>
      </c>
      <c r="V81" t="s">
        <v>69</v>
      </c>
      <c r="W81">
        <f>IF(NORMALIZADO!BV81="",0,NORMALIZADO!BV81)</f>
        <v>0</v>
      </c>
      <c r="X81">
        <f>IF(NORMALIZADO!BW81="",0,NORMALIZADO!BW81)</f>
        <v>0</v>
      </c>
      <c r="Y81">
        <f>IF(NORMALIZADO!BX81="",0,NORMALIZADO!BX81)</f>
        <v>0</v>
      </c>
      <c r="Z81">
        <f>IF(NORMALIZADO!BY81="",0,NORMALIZADO!BY81)</f>
        <v>0</v>
      </c>
      <c r="AA81">
        <v>0</v>
      </c>
      <c r="AB81">
        <v>0</v>
      </c>
      <c r="AC81">
        <v>0</v>
      </c>
      <c r="AD81">
        <v>0</v>
      </c>
      <c r="AE81">
        <v>0</v>
      </c>
      <c r="AF81">
        <v>0</v>
      </c>
      <c r="AG81">
        <v>0</v>
      </c>
      <c r="AH81">
        <v>0</v>
      </c>
      <c r="AI81">
        <v>0</v>
      </c>
      <c r="AJ81">
        <v>0</v>
      </c>
      <c r="AK81">
        <v>0</v>
      </c>
      <c r="AL81">
        <v>0</v>
      </c>
      <c r="AM81">
        <v>0</v>
      </c>
      <c r="AN81">
        <v>0</v>
      </c>
      <c r="AO81">
        <f t="shared" si="14"/>
        <v>0</v>
      </c>
      <c r="AP81">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N/A")</f>
        <v>0</v>
      </c>
      <c r="AQ81">
        <f>IF(ISNUMBER(M81),1,0)+IF(ISNUMBER(SCORECARDS!H81),1,0)+IF(ISNUMBER(SCORECARDS!I81),1,0)+IF(ISNUMBER(SCORECARDS!J81),1,0)+IF(ISNUMBER(ISCAM_Score!K82),1,0)+IF(ISNUMBER(O81),1,0)+IF(COUNT(W81:Z81)&gt;0,1,0)</f>
        <v>3</v>
      </c>
    </row>
    <row r="82" spans="1:43" ht="16.05" customHeight="1" x14ac:dyDescent="0.3">
      <c r="A82" t="s">
        <v>255</v>
      </c>
      <c r="B82" t="s">
        <v>256</v>
      </c>
      <c r="C82" t="s">
        <v>257</v>
      </c>
      <c r="D82" t="s">
        <v>65</v>
      </c>
      <c r="E82">
        <v>1435723.71</v>
      </c>
      <c r="F82">
        <v>10</v>
      </c>
      <c r="G82" t="s">
        <v>66</v>
      </c>
      <c r="J82" t="s">
        <v>67</v>
      </c>
      <c r="L82">
        <v>717861.85</v>
      </c>
      <c r="M82">
        <f t="shared" si="10"/>
        <v>50</v>
      </c>
      <c r="N82" t="s">
        <v>68</v>
      </c>
      <c r="O82">
        <f t="shared" si="11"/>
        <v>0</v>
      </c>
      <c r="P82" t="s">
        <v>68</v>
      </c>
      <c r="S82">
        <f t="shared" si="12"/>
        <v>26</v>
      </c>
      <c r="T82" t="str">
        <f t="shared" si="13"/>
        <v>⬜  Parcial · Inst. 2 pendiente</v>
      </c>
      <c r="U82" s="53">
        <v>1</v>
      </c>
      <c r="V82" t="s">
        <v>69</v>
      </c>
      <c r="W82">
        <f>IF(NORMALIZADO!BV82="",1,NORMALIZADO!BV82)</f>
        <v>1</v>
      </c>
      <c r="X82">
        <f>IF(NORMALIZADO!BW82="",0,NORMALIZADO!BW82)</f>
        <v>0</v>
      </c>
      <c r="Y82">
        <f>IF(NORMALIZADO!BX82="",0,NORMALIZADO!BX82)</f>
        <v>0</v>
      </c>
      <c r="Z82">
        <f>IF(NORMALIZADO!BY82="",0,NORMALIZADO!BY82)</f>
        <v>0</v>
      </c>
      <c r="AA82">
        <v>0</v>
      </c>
      <c r="AB82">
        <v>0</v>
      </c>
      <c r="AC82">
        <v>0</v>
      </c>
      <c r="AD82">
        <v>0</v>
      </c>
      <c r="AE82">
        <v>0</v>
      </c>
      <c r="AF82">
        <v>0</v>
      </c>
      <c r="AG82">
        <v>0</v>
      </c>
      <c r="AH82">
        <v>0</v>
      </c>
      <c r="AI82">
        <v>0</v>
      </c>
      <c r="AJ82">
        <v>0</v>
      </c>
      <c r="AK82">
        <v>0</v>
      </c>
      <c r="AL82">
        <v>0</v>
      </c>
      <c r="AM82">
        <v>0</v>
      </c>
      <c r="AN82">
        <v>0</v>
      </c>
      <c r="AO82">
        <f t="shared" si="14"/>
        <v>0</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N/A")</f>
        <v>0.26041666666666669</v>
      </c>
      <c r="AQ82">
        <f>IF(ISNUMBER(M82),1,0)+IF(ISNUMBER(SCORECARDS!H82),1,0)+IF(ISNUMBER(SCORECARDS!I82),1,0)+IF(ISNUMBER(SCORECARDS!J82),1,0)+IF(ISNUMBER(ISCAM_Score!K83),1,0)+IF(ISNUMBER(O82),1,0)+IF(COUNT(W82:Z82)&gt;0,1,0)</f>
        <v>3</v>
      </c>
    </row>
    <row r="83" spans="1:43" ht="16.05" customHeight="1" x14ac:dyDescent="0.3">
      <c r="A83" t="s">
        <v>258</v>
      </c>
      <c r="B83" t="s">
        <v>259</v>
      </c>
      <c r="C83" t="s">
        <v>257</v>
      </c>
      <c r="D83" t="s">
        <v>65</v>
      </c>
      <c r="G83" t="s">
        <v>74</v>
      </c>
      <c r="J83" t="s">
        <v>67</v>
      </c>
      <c r="L83">
        <v>0</v>
      </c>
      <c r="M83">
        <f t="shared" si="10"/>
        <v>0</v>
      </c>
      <c r="N83" t="s">
        <v>68</v>
      </c>
      <c r="O83">
        <f t="shared" si="11"/>
        <v>0</v>
      </c>
      <c r="P83" t="s">
        <v>68</v>
      </c>
      <c r="S83">
        <f t="shared" si="12"/>
        <v>0</v>
      </c>
      <c r="T83" t="str">
        <f t="shared" si="13"/>
        <v>⬜  Parcial · Inst. 2 pendiente</v>
      </c>
      <c r="U83" s="53">
        <v>1</v>
      </c>
      <c r="V83" t="s">
        <v>69</v>
      </c>
      <c r="W83">
        <f>IF(NORMALIZADO!BV83="",0,NORMALIZADO!BV83)</f>
        <v>0</v>
      </c>
      <c r="X83">
        <f>IF(NORMALIZADO!BW83="",0,NORMALIZADO!BW83)</f>
        <v>0</v>
      </c>
      <c r="Y83">
        <f>IF(NORMALIZADO!BX83="",0,NORMALIZADO!BX83)</f>
        <v>0</v>
      </c>
      <c r="Z83">
        <f>IF(NORMALIZADO!BY83="",0,NORMALIZADO!BY83)</f>
        <v>0</v>
      </c>
      <c r="AA83">
        <v>0</v>
      </c>
      <c r="AB83">
        <v>0</v>
      </c>
      <c r="AC83">
        <v>0</v>
      </c>
      <c r="AD83">
        <v>0</v>
      </c>
      <c r="AE83">
        <v>0</v>
      </c>
      <c r="AF83">
        <v>0</v>
      </c>
      <c r="AG83">
        <v>0</v>
      </c>
      <c r="AH83">
        <v>0</v>
      </c>
      <c r="AI83">
        <v>0</v>
      </c>
      <c r="AJ83">
        <v>0</v>
      </c>
      <c r="AK83">
        <v>0</v>
      </c>
      <c r="AL83">
        <v>0</v>
      </c>
      <c r="AM83">
        <v>0</v>
      </c>
      <c r="AN83">
        <v>0</v>
      </c>
      <c r="AO83">
        <f t="shared" si="14"/>
        <v>0</v>
      </c>
      <c r="AP83">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N/A")</f>
        <v>0</v>
      </c>
      <c r="AQ83">
        <f>IF(ISNUMBER(M83),1,0)+IF(ISNUMBER(SCORECARDS!H83),1,0)+IF(ISNUMBER(SCORECARDS!I83),1,0)+IF(ISNUMBER(SCORECARDS!J83),1,0)+IF(ISNUMBER(ISCAM_Score!K84),1,0)+IF(ISNUMBER(O83),1,0)+IF(COUNT(W83:Z83)&gt;0,1,0)</f>
        <v>3</v>
      </c>
    </row>
    <row r="84" spans="1:43" ht="16.05" customHeight="1" x14ac:dyDescent="0.3">
      <c r="A84" t="s">
        <v>260</v>
      </c>
      <c r="B84" t="s">
        <v>261</v>
      </c>
      <c r="C84" t="s">
        <v>77</v>
      </c>
      <c r="D84" t="s">
        <v>73</v>
      </c>
      <c r="E84">
        <v>113466.98</v>
      </c>
      <c r="F84">
        <v>10</v>
      </c>
      <c r="G84" t="s">
        <v>66</v>
      </c>
      <c r="J84" t="s">
        <v>67</v>
      </c>
      <c r="L84">
        <v>0</v>
      </c>
      <c r="M84">
        <f t="shared" si="10"/>
        <v>0</v>
      </c>
      <c r="N84" t="s">
        <v>68</v>
      </c>
      <c r="O84">
        <f t="shared" si="11"/>
        <v>0</v>
      </c>
      <c r="P84" t="s">
        <v>68</v>
      </c>
      <c r="S84">
        <f t="shared" si="12"/>
        <v>0</v>
      </c>
      <c r="T84" t="str">
        <f t="shared" si="13"/>
        <v>⬜  Parcial · Inst. 2 pendiente</v>
      </c>
      <c r="U84" s="53">
        <v>1</v>
      </c>
      <c r="V84" t="s">
        <v>69</v>
      </c>
      <c r="W84">
        <f>IF(NORMALIZADO!BV84="",0,NORMALIZADO!BV84)</f>
        <v>0</v>
      </c>
      <c r="X84">
        <f>IF(NORMALIZADO!BW84="",0,NORMALIZADO!BW84)</f>
        <v>0</v>
      </c>
      <c r="Y84">
        <f>IF(NORMALIZADO!BX84="",0,NORMALIZADO!BX84)</f>
        <v>0</v>
      </c>
      <c r="Z84">
        <f>IF(NORMALIZADO!BY84="",0,NORMALIZADO!BY84)</f>
        <v>0</v>
      </c>
      <c r="AA84">
        <v>0</v>
      </c>
      <c r="AB84">
        <v>0</v>
      </c>
      <c r="AC84">
        <v>0</v>
      </c>
      <c r="AD84">
        <v>0</v>
      </c>
      <c r="AE84">
        <v>0</v>
      </c>
      <c r="AF84">
        <v>0</v>
      </c>
      <c r="AG84">
        <v>0</v>
      </c>
      <c r="AH84">
        <v>0</v>
      </c>
      <c r="AI84">
        <v>0</v>
      </c>
      <c r="AJ84">
        <v>0</v>
      </c>
      <c r="AK84">
        <v>0</v>
      </c>
      <c r="AL84">
        <v>0</v>
      </c>
      <c r="AM84">
        <v>0</v>
      </c>
      <c r="AN84">
        <v>0</v>
      </c>
      <c r="AO84">
        <f t="shared" si="14"/>
        <v>0</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N/A")</f>
        <v>0</v>
      </c>
      <c r="AQ84">
        <f>IF(ISNUMBER(M84),1,0)+IF(ISNUMBER(SCORECARDS!H84),1,0)+IF(ISNUMBER(SCORECARDS!I84),1,0)+IF(ISNUMBER(SCORECARDS!J84),1,0)+IF(ISNUMBER(ISCAM_Score!K85),1,0)+IF(ISNUMBER(O84),1,0)+IF(COUNT(W84:Z84)&gt;0,1,0)</f>
        <v>3</v>
      </c>
    </row>
    <row r="85" spans="1:43" ht="16.05" customHeight="1" x14ac:dyDescent="0.3">
      <c r="A85" t="s">
        <v>262</v>
      </c>
      <c r="B85" t="s">
        <v>263</v>
      </c>
      <c r="C85" t="s">
        <v>77</v>
      </c>
      <c r="D85" t="s">
        <v>65</v>
      </c>
      <c r="E85">
        <v>5355025.2299999986</v>
      </c>
      <c r="F85">
        <v>27</v>
      </c>
      <c r="G85" t="s">
        <v>66</v>
      </c>
      <c r="J85" t="s">
        <v>67</v>
      </c>
      <c r="L85">
        <v>2677512.61</v>
      </c>
      <c r="M85">
        <f t="shared" si="10"/>
        <v>50</v>
      </c>
      <c r="N85" t="s">
        <v>68</v>
      </c>
      <c r="O85">
        <f t="shared" si="11"/>
        <v>0</v>
      </c>
      <c r="P85" t="s">
        <v>68</v>
      </c>
      <c r="S85">
        <f t="shared" si="12"/>
        <v>26</v>
      </c>
      <c r="T85" t="str">
        <f t="shared" si="13"/>
        <v>⬜  Parcial · Inst. 2 pendiente</v>
      </c>
      <c r="U85" s="53">
        <v>1</v>
      </c>
      <c r="V85" t="s">
        <v>69</v>
      </c>
      <c r="W85">
        <f>IF(NORMALIZADO!BV85="",1,NORMALIZADO!BV85)</f>
        <v>1</v>
      </c>
      <c r="X85">
        <f>IF(NORMALIZADO!BW85="",0,NORMALIZADO!BW85)</f>
        <v>0</v>
      </c>
      <c r="Y85">
        <f>IF(NORMALIZADO!BX85="",0,NORMALIZADO!BX85)</f>
        <v>0</v>
      </c>
      <c r="Z85">
        <f>IF(NORMALIZADO!BY85="",0,NORMALIZADO!BY85)</f>
        <v>0</v>
      </c>
      <c r="AA85">
        <v>0</v>
      </c>
      <c r="AB85">
        <v>0</v>
      </c>
      <c r="AC85">
        <v>0</v>
      </c>
      <c r="AD85">
        <v>0</v>
      </c>
      <c r="AE85">
        <v>0</v>
      </c>
      <c r="AF85">
        <v>0</v>
      </c>
      <c r="AG85">
        <v>0</v>
      </c>
      <c r="AH85">
        <v>0</v>
      </c>
      <c r="AI85">
        <v>0</v>
      </c>
      <c r="AJ85">
        <v>0</v>
      </c>
      <c r="AK85">
        <v>0</v>
      </c>
      <c r="AL85">
        <v>0</v>
      </c>
      <c r="AM85">
        <v>0</v>
      </c>
      <c r="AN85">
        <v>0</v>
      </c>
      <c r="AO85">
        <f t="shared" si="14"/>
        <v>0</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N/A")</f>
        <v>0.26041666666666669</v>
      </c>
      <c r="AQ85">
        <f>IF(ISNUMBER(M85),1,0)+IF(ISNUMBER(SCORECARDS!H85),1,0)+IF(ISNUMBER(SCORECARDS!I85),1,0)+IF(ISNUMBER(SCORECARDS!J85),1,0)+IF(ISNUMBER(ISCAM_Score!K86),1,0)+IF(ISNUMBER(O85),1,0)+IF(COUNT(W85:Z85)&gt;0,1,0)</f>
        <v>3</v>
      </c>
    </row>
    <row r="86" spans="1:43" ht="16.05" customHeight="1" x14ac:dyDescent="0.3">
      <c r="A86" t="s">
        <v>264</v>
      </c>
      <c r="B86" t="s">
        <v>265</v>
      </c>
      <c r="C86" t="s">
        <v>257</v>
      </c>
      <c r="D86" t="s">
        <v>73</v>
      </c>
      <c r="G86" t="s">
        <v>74</v>
      </c>
      <c r="J86" t="s">
        <v>67</v>
      </c>
      <c r="L86">
        <v>0</v>
      </c>
      <c r="M86">
        <f t="shared" si="10"/>
        <v>0</v>
      </c>
      <c r="N86" t="s">
        <v>68</v>
      </c>
      <c r="O86">
        <f t="shared" si="11"/>
        <v>0</v>
      </c>
      <c r="P86" t="s">
        <v>68</v>
      </c>
      <c r="S86">
        <f t="shared" si="12"/>
        <v>0</v>
      </c>
      <c r="T86" t="str">
        <f t="shared" si="13"/>
        <v>⬜  Parcial · Inst. 2 pendiente</v>
      </c>
      <c r="U86" s="53">
        <v>1</v>
      </c>
      <c r="V86" t="s">
        <v>69</v>
      </c>
      <c r="W86">
        <f>IF(NORMALIZADO!BV86="",0,NORMALIZADO!BV86)</f>
        <v>0</v>
      </c>
      <c r="X86">
        <f>IF(NORMALIZADO!BW86="",0,NORMALIZADO!BW86)</f>
        <v>0</v>
      </c>
      <c r="Y86">
        <f>IF(NORMALIZADO!BX86="",0,NORMALIZADO!BX86)</f>
        <v>0</v>
      </c>
      <c r="Z86">
        <f>IF(NORMALIZADO!BY86="",0,NORMALIZADO!BY86)</f>
        <v>0</v>
      </c>
      <c r="AA86">
        <v>0</v>
      </c>
      <c r="AB86">
        <v>0</v>
      </c>
      <c r="AC86">
        <v>0</v>
      </c>
      <c r="AD86">
        <v>0</v>
      </c>
      <c r="AE86">
        <v>0</v>
      </c>
      <c r="AF86">
        <v>0</v>
      </c>
      <c r="AG86">
        <v>0</v>
      </c>
      <c r="AH86">
        <v>0</v>
      </c>
      <c r="AI86">
        <v>0</v>
      </c>
      <c r="AJ86">
        <v>0</v>
      </c>
      <c r="AK86">
        <v>0</v>
      </c>
      <c r="AL86">
        <v>0</v>
      </c>
      <c r="AM86">
        <v>0</v>
      </c>
      <c r="AN86">
        <v>0</v>
      </c>
      <c r="AO86">
        <f t="shared" si="14"/>
        <v>0</v>
      </c>
      <c r="AP86">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N/A")</f>
        <v>0</v>
      </c>
      <c r="AQ86">
        <f>IF(ISNUMBER(M86),1,0)+IF(ISNUMBER(SCORECARDS!H86),1,0)+IF(ISNUMBER(SCORECARDS!I86),1,0)+IF(ISNUMBER(SCORECARDS!J86),1,0)+IF(ISNUMBER(ISCAM_Score!K87),1,0)+IF(ISNUMBER(O86),1,0)+IF(COUNT(W86:Z86)&gt;0,1,0)</f>
        <v>3</v>
      </c>
    </row>
    <row r="87" spans="1:43" ht="16.05" customHeight="1" x14ac:dyDescent="0.3">
      <c r="A87" t="s">
        <v>266</v>
      </c>
      <c r="B87" t="s">
        <v>267</v>
      </c>
      <c r="C87" t="s">
        <v>257</v>
      </c>
      <c r="D87" t="s">
        <v>73</v>
      </c>
      <c r="G87" t="s">
        <v>74</v>
      </c>
      <c r="J87" t="s">
        <v>67</v>
      </c>
      <c r="L87">
        <v>0</v>
      </c>
      <c r="M87">
        <f t="shared" si="10"/>
        <v>0</v>
      </c>
      <c r="N87" t="s">
        <v>68</v>
      </c>
      <c r="O87">
        <f t="shared" si="11"/>
        <v>0</v>
      </c>
      <c r="P87" t="s">
        <v>68</v>
      </c>
      <c r="S87">
        <f t="shared" si="12"/>
        <v>0</v>
      </c>
      <c r="T87" t="str">
        <f t="shared" si="13"/>
        <v>⬜  Parcial · Inst. 2 pendiente</v>
      </c>
      <c r="U87" s="53">
        <v>1</v>
      </c>
      <c r="V87" t="s">
        <v>69</v>
      </c>
      <c r="W87">
        <f>IF(NORMALIZADO!BV87="",0,NORMALIZADO!BV87)</f>
        <v>0</v>
      </c>
      <c r="X87">
        <f>IF(NORMALIZADO!BW87="",0,NORMALIZADO!BW87)</f>
        <v>0</v>
      </c>
      <c r="Y87">
        <f>IF(NORMALIZADO!BX87="",0,NORMALIZADO!BX87)</f>
        <v>0</v>
      </c>
      <c r="Z87">
        <f>IF(NORMALIZADO!BY87="",0,NORMALIZADO!BY87)</f>
        <v>0</v>
      </c>
      <c r="AA87">
        <v>0</v>
      </c>
      <c r="AB87">
        <v>0</v>
      </c>
      <c r="AC87">
        <v>0</v>
      </c>
      <c r="AD87">
        <v>0</v>
      </c>
      <c r="AE87">
        <v>0</v>
      </c>
      <c r="AF87">
        <v>0</v>
      </c>
      <c r="AG87">
        <v>0</v>
      </c>
      <c r="AH87">
        <v>0</v>
      </c>
      <c r="AI87">
        <v>0</v>
      </c>
      <c r="AJ87">
        <v>0</v>
      </c>
      <c r="AK87">
        <v>0</v>
      </c>
      <c r="AL87">
        <v>0</v>
      </c>
      <c r="AM87">
        <v>0</v>
      </c>
      <c r="AN87">
        <v>0</v>
      </c>
      <c r="AO87">
        <f t="shared" si="14"/>
        <v>0</v>
      </c>
      <c r="AP87">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N/A")</f>
        <v>0</v>
      </c>
      <c r="AQ87">
        <f>IF(ISNUMBER(M87),1,0)+IF(ISNUMBER(SCORECARDS!H87),1,0)+IF(ISNUMBER(SCORECARDS!I87),1,0)+IF(ISNUMBER(SCORECARDS!J87),1,0)+IF(ISNUMBER(ISCAM_Score!K88),1,0)+IF(ISNUMBER(O87),1,0)+IF(COUNT(W87:Z87)&gt;0,1,0)</f>
        <v>3</v>
      </c>
    </row>
    <row r="88" spans="1:43" ht="16.05" customHeight="1" x14ac:dyDescent="0.3">
      <c r="A88" t="s">
        <v>268</v>
      </c>
      <c r="B88" t="s">
        <v>269</v>
      </c>
      <c r="C88" t="s">
        <v>257</v>
      </c>
      <c r="D88" t="s">
        <v>73</v>
      </c>
      <c r="G88" t="s">
        <v>74</v>
      </c>
      <c r="J88" t="s">
        <v>67</v>
      </c>
      <c r="L88">
        <v>0</v>
      </c>
      <c r="M88">
        <f t="shared" si="10"/>
        <v>0</v>
      </c>
      <c r="N88" t="s">
        <v>68</v>
      </c>
      <c r="O88">
        <f t="shared" si="11"/>
        <v>0</v>
      </c>
      <c r="P88" t="s">
        <v>68</v>
      </c>
      <c r="S88">
        <f t="shared" si="12"/>
        <v>0</v>
      </c>
      <c r="T88" t="str">
        <f t="shared" si="13"/>
        <v>⬜  Parcial · Inst. 2 pendiente</v>
      </c>
      <c r="U88" s="53">
        <v>1</v>
      </c>
      <c r="V88" t="s">
        <v>69</v>
      </c>
      <c r="W88">
        <f>IF(NORMALIZADO!BV88="",0,NORMALIZADO!BV88)</f>
        <v>0</v>
      </c>
      <c r="X88">
        <f>IF(NORMALIZADO!BW88="",0,NORMALIZADO!BW88)</f>
        <v>0</v>
      </c>
      <c r="Y88">
        <f>IF(NORMALIZADO!BX88="",0,NORMALIZADO!BX88)</f>
        <v>0</v>
      </c>
      <c r="Z88">
        <f>IF(NORMALIZADO!BY88="",0,NORMALIZADO!BY88)</f>
        <v>0</v>
      </c>
      <c r="AA88">
        <v>0</v>
      </c>
      <c r="AB88">
        <v>0</v>
      </c>
      <c r="AC88">
        <v>0</v>
      </c>
      <c r="AD88">
        <v>0</v>
      </c>
      <c r="AE88">
        <v>0</v>
      </c>
      <c r="AF88">
        <v>0</v>
      </c>
      <c r="AG88">
        <v>0</v>
      </c>
      <c r="AH88">
        <v>0</v>
      </c>
      <c r="AI88">
        <v>0</v>
      </c>
      <c r="AJ88">
        <v>0</v>
      </c>
      <c r="AK88">
        <v>0</v>
      </c>
      <c r="AL88">
        <v>0</v>
      </c>
      <c r="AM88">
        <v>0</v>
      </c>
      <c r="AN88">
        <v>0</v>
      </c>
      <c r="AO88">
        <f t="shared" si="14"/>
        <v>0</v>
      </c>
      <c r="AP88">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N/A")</f>
        <v>0</v>
      </c>
      <c r="AQ88">
        <f>IF(ISNUMBER(M88),1,0)+IF(ISNUMBER(SCORECARDS!H88),1,0)+IF(ISNUMBER(SCORECARDS!I88),1,0)+IF(ISNUMBER(SCORECARDS!J88),1,0)+IF(ISNUMBER(ISCAM_Score!K89),1,0)+IF(ISNUMBER(O88),1,0)+IF(COUNT(W88:Z88)&gt;0,1,0)</f>
        <v>3</v>
      </c>
    </row>
    <row r="89" spans="1:43" ht="16.05" customHeight="1" x14ac:dyDescent="0.3">
      <c r="A89" t="s">
        <v>270</v>
      </c>
      <c r="B89" t="s">
        <v>271</v>
      </c>
      <c r="C89" t="s">
        <v>257</v>
      </c>
      <c r="D89" t="s">
        <v>65</v>
      </c>
      <c r="E89">
        <v>0</v>
      </c>
      <c r="G89" t="s">
        <v>74</v>
      </c>
      <c r="J89" t="s">
        <v>67</v>
      </c>
      <c r="L89">
        <v>0</v>
      </c>
      <c r="M89">
        <f t="shared" si="10"/>
        <v>0</v>
      </c>
      <c r="N89" t="s">
        <v>68</v>
      </c>
      <c r="O89">
        <f t="shared" si="11"/>
        <v>0</v>
      </c>
      <c r="P89" t="s">
        <v>68</v>
      </c>
      <c r="S89">
        <f t="shared" si="12"/>
        <v>0</v>
      </c>
      <c r="T89" t="str">
        <f t="shared" si="13"/>
        <v>⬜  Parcial · Inst. 2 pendiente</v>
      </c>
      <c r="U89" s="53">
        <v>1</v>
      </c>
      <c r="V89" t="s">
        <v>69</v>
      </c>
      <c r="W89">
        <f>IF(NORMALIZADO!BV89="",0,NORMALIZADO!BV89)</f>
        <v>0</v>
      </c>
      <c r="X89">
        <f>IF(NORMALIZADO!BW89="",0,NORMALIZADO!BW89)</f>
        <v>0</v>
      </c>
      <c r="Y89">
        <f>IF(NORMALIZADO!BX89="",0,NORMALIZADO!BX89)</f>
        <v>0</v>
      </c>
      <c r="Z89">
        <f>IF(NORMALIZADO!BY89="",0,NORMALIZADO!BY89)</f>
        <v>0</v>
      </c>
      <c r="AA89">
        <v>0</v>
      </c>
      <c r="AB89">
        <v>0</v>
      </c>
      <c r="AC89">
        <v>0</v>
      </c>
      <c r="AD89">
        <v>0</v>
      </c>
      <c r="AE89">
        <v>0</v>
      </c>
      <c r="AF89">
        <v>0</v>
      </c>
      <c r="AG89">
        <v>0</v>
      </c>
      <c r="AH89">
        <v>0</v>
      </c>
      <c r="AI89">
        <v>0</v>
      </c>
      <c r="AJ89">
        <v>0</v>
      </c>
      <c r="AK89">
        <v>0</v>
      </c>
      <c r="AL89">
        <v>0</v>
      </c>
      <c r="AM89">
        <v>0</v>
      </c>
      <c r="AN89">
        <v>0</v>
      </c>
      <c r="AO89">
        <f t="shared" si="14"/>
        <v>0</v>
      </c>
      <c r="AP89">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N/A")</f>
        <v>0</v>
      </c>
      <c r="AQ89">
        <f>IF(ISNUMBER(M89),1,0)+IF(ISNUMBER(SCORECARDS!H89),1,0)+IF(ISNUMBER(SCORECARDS!I89),1,0)+IF(ISNUMBER(SCORECARDS!J89),1,0)+IF(ISNUMBER(ISCAM_Score!K90),1,0)+IF(ISNUMBER(O89),1,0)+IF(COUNT(W89:Z89)&gt;0,1,0)</f>
        <v>3</v>
      </c>
    </row>
    <row r="90" spans="1:43" ht="16.05" customHeight="1" x14ac:dyDescent="0.3">
      <c r="A90" t="s">
        <v>272</v>
      </c>
      <c r="B90" t="s">
        <v>273</v>
      </c>
      <c r="C90" t="s">
        <v>77</v>
      </c>
      <c r="D90" t="s">
        <v>73</v>
      </c>
      <c r="G90" t="s">
        <v>74</v>
      </c>
      <c r="J90" t="s">
        <v>128</v>
      </c>
      <c r="L90">
        <v>0</v>
      </c>
      <c r="M90">
        <f t="shared" si="10"/>
        <v>0</v>
      </c>
      <c r="N90" t="s">
        <v>68</v>
      </c>
      <c r="O90">
        <f t="shared" si="11"/>
        <v>0</v>
      </c>
      <c r="P90" t="s">
        <v>68</v>
      </c>
      <c r="S90">
        <f t="shared" si="12"/>
        <v>0</v>
      </c>
      <c r="T90" t="str">
        <f t="shared" si="13"/>
        <v>⬜  Parcial · Inst. 2 pendiente</v>
      </c>
      <c r="U90" s="53">
        <v>1</v>
      </c>
      <c r="V90" t="s">
        <v>69</v>
      </c>
      <c r="W90">
        <f>IF(NORMALIZADO!BV90="",0,NORMALIZADO!BV90)</f>
        <v>0</v>
      </c>
      <c r="X90">
        <f>IF(NORMALIZADO!BW90="",0,NORMALIZADO!BW90)</f>
        <v>0</v>
      </c>
      <c r="Y90">
        <f>IF(NORMALIZADO!BX90="",0,NORMALIZADO!BX90)</f>
        <v>0</v>
      </c>
      <c r="Z90">
        <f>IF(NORMALIZADO!BY90="",0,NORMALIZADO!BY90)</f>
        <v>0</v>
      </c>
      <c r="AA90">
        <v>0</v>
      </c>
      <c r="AB90">
        <v>0</v>
      </c>
      <c r="AC90">
        <v>0</v>
      </c>
      <c r="AD90">
        <v>0</v>
      </c>
      <c r="AE90">
        <v>0</v>
      </c>
      <c r="AF90">
        <v>0</v>
      </c>
      <c r="AG90">
        <v>0</v>
      </c>
      <c r="AH90">
        <v>0</v>
      </c>
      <c r="AI90">
        <v>0</v>
      </c>
      <c r="AJ90">
        <v>0</v>
      </c>
      <c r="AK90">
        <v>0</v>
      </c>
      <c r="AL90">
        <v>0</v>
      </c>
      <c r="AM90">
        <v>0</v>
      </c>
      <c r="AN90">
        <v>0</v>
      </c>
      <c r="AO90">
        <f t="shared" si="14"/>
        <v>0</v>
      </c>
      <c r="AP90">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N/A")</f>
        <v>0</v>
      </c>
      <c r="AQ90">
        <f>IF(ISNUMBER(M90),1,0)+IF(ISNUMBER(SCORECARDS!H90),1,0)+IF(ISNUMBER(SCORECARDS!I90),1,0)+IF(ISNUMBER(SCORECARDS!J90),1,0)+IF(ISNUMBER(ISCAM_Score!K91),1,0)+IF(ISNUMBER(O90),1,0)+IF(COUNT(W90:Z90)&gt;0,1,0)</f>
        <v>3</v>
      </c>
    </row>
    <row r="91" spans="1:43" ht="16.05" customHeight="1" x14ac:dyDescent="0.3">
      <c r="A91" t="s">
        <v>274</v>
      </c>
      <c r="B91" t="s">
        <v>275</v>
      </c>
      <c r="C91" t="s">
        <v>77</v>
      </c>
      <c r="D91" t="s">
        <v>65</v>
      </c>
      <c r="E91">
        <v>0</v>
      </c>
      <c r="G91" t="s">
        <v>74</v>
      </c>
      <c r="J91" t="s">
        <v>110</v>
      </c>
      <c r="L91">
        <v>0</v>
      </c>
      <c r="M91">
        <f t="shared" si="10"/>
        <v>0</v>
      </c>
      <c r="N91" t="s">
        <v>68</v>
      </c>
      <c r="O91">
        <f t="shared" si="11"/>
        <v>0</v>
      </c>
      <c r="P91" t="s">
        <v>68</v>
      </c>
      <c r="S91">
        <f t="shared" si="12"/>
        <v>0</v>
      </c>
      <c r="T91" t="str">
        <f t="shared" si="13"/>
        <v>⬜  Parcial · Inst. 2 pendiente</v>
      </c>
      <c r="U91" s="53">
        <v>1</v>
      </c>
      <c r="V91" t="s">
        <v>69</v>
      </c>
      <c r="W91">
        <f>IF(NORMALIZADO!BV91="",0,NORMALIZADO!BV91)</f>
        <v>0</v>
      </c>
      <c r="X91">
        <f>IF(NORMALIZADO!BW91="",0,NORMALIZADO!BW91)</f>
        <v>0</v>
      </c>
      <c r="Y91">
        <f>IF(NORMALIZADO!BX91="",0,NORMALIZADO!BX91)</f>
        <v>0</v>
      </c>
      <c r="Z91">
        <f>IF(NORMALIZADO!BY91="",0,NORMALIZADO!BY91)</f>
        <v>0</v>
      </c>
      <c r="AA91">
        <v>0</v>
      </c>
      <c r="AB91">
        <v>0</v>
      </c>
      <c r="AC91">
        <v>0</v>
      </c>
      <c r="AD91">
        <v>0</v>
      </c>
      <c r="AE91">
        <v>0</v>
      </c>
      <c r="AF91">
        <v>0</v>
      </c>
      <c r="AG91">
        <v>0</v>
      </c>
      <c r="AH91">
        <v>0</v>
      </c>
      <c r="AI91">
        <v>0</v>
      </c>
      <c r="AJ91">
        <v>0</v>
      </c>
      <c r="AK91">
        <v>0</v>
      </c>
      <c r="AL91">
        <v>0</v>
      </c>
      <c r="AM91">
        <v>0</v>
      </c>
      <c r="AN91">
        <v>0</v>
      </c>
      <c r="AO91">
        <f t="shared" si="14"/>
        <v>0</v>
      </c>
      <c r="AP91">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N/A")</f>
        <v>0</v>
      </c>
      <c r="AQ91">
        <f>IF(ISNUMBER(M91),1,0)+IF(ISNUMBER(SCORECARDS!H91),1,0)+IF(ISNUMBER(SCORECARDS!I91),1,0)+IF(ISNUMBER(SCORECARDS!J91),1,0)+IF(ISNUMBER(ISCAM_Score!K92),1,0)+IF(ISNUMBER(O91),1,0)+IF(COUNT(W91:Z91)&gt;0,1,0)</f>
        <v>3</v>
      </c>
    </row>
    <row r="92" spans="1:43" ht="16.05" customHeight="1" x14ac:dyDescent="0.3">
      <c r="A92" t="s">
        <v>276</v>
      </c>
      <c r="B92" t="s">
        <v>277</v>
      </c>
      <c r="C92" t="s">
        <v>154</v>
      </c>
      <c r="D92" t="s">
        <v>65</v>
      </c>
      <c r="E92">
        <v>9585341.8000000007</v>
      </c>
      <c r="F92">
        <v>58</v>
      </c>
      <c r="G92" t="s">
        <v>66</v>
      </c>
      <c r="J92" t="s">
        <v>67</v>
      </c>
      <c r="L92">
        <v>4792670.9000000004</v>
      </c>
      <c r="M92">
        <f t="shared" si="10"/>
        <v>50</v>
      </c>
      <c r="N92" t="s">
        <v>68</v>
      </c>
      <c r="O92">
        <f t="shared" si="11"/>
        <v>0</v>
      </c>
      <c r="P92" t="s">
        <v>68</v>
      </c>
      <c r="S92">
        <f t="shared" si="12"/>
        <v>26</v>
      </c>
      <c r="T92" t="str">
        <f t="shared" si="13"/>
        <v>⬜  Parcial · Inst. 2 pendiente</v>
      </c>
      <c r="U92" s="53">
        <v>1</v>
      </c>
      <c r="V92" t="s">
        <v>69</v>
      </c>
      <c r="W92">
        <f>IF(NORMALIZADO!BV92="",1,NORMALIZADO!BV92)</f>
        <v>1</v>
      </c>
      <c r="X92">
        <f>IF(NORMALIZADO!BW92="",0,NORMALIZADO!BW92)</f>
        <v>0</v>
      </c>
      <c r="Y92">
        <f>IF(NORMALIZADO!BX92="",0,NORMALIZADO!BX92)</f>
        <v>0</v>
      </c>
      <c r="Z92">
        <f>IF(NORMALIZADO!BY92="",0,NORMALIZADO!BY92)</f>
        <v>0</v>
      </c>
      <c r="AA92">
        <v>0</v>
      </c>
      <c r="AB92">
        <v>0</v>
      </c>
      <c r="AC92">
        <v>0</v>
      </c>
      <c r="AD92">
        <v>0</v>
      </c>
      <c r="AE92">
        <v>0</v>
      </c>
      <c r="AF92">
        <v>0</v>
      </c>
      <c r="AG92">
        <v>0</v>
      </c>
      <c r="AH92">
        <v>0</v>
      </c>
      <c r="AI92">
        <v>0</v>
      </c>
      <c r="AJ92">
        <v>0</v>
      </c>
      <c r="AK92">
        <v>0</v>
      </c>
      <c r="AL92">
        <v>0</v>
      </c>
      <c r="AM92">
        <v>0</v>
      </c>
      <c r="AN92">
        <v>0</v>
      </c>
      <c r="AO92">
        <f t="shared" si="14"/>
        <v>0</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N/A")</f>
        <v>0.26041666666666669</v>
      </c>
      <c r="AQ92">
        <f>IF(ISNUMBER(M92),1,0)+IF(ISNUMBER(SCORECARDS!H92),1,0)+IF(ISNUMBER(SCORECARDS!I92),1,0)+IF(ISNUMBER(SCORECARDS!J92),1,0)+IF(ISNUMBER(ISCAM_Score!K93),1,0)+IF(ISNUMBER(O92),1,0)+IF(COUNT(W92:Z92)&gt;0,1,0)</f>
        <v>3</v>
      </c>
    </row>
    <row r="93" spans="1:43" ht="16.05" customHeight="1" x14ac:dyDescent="0.3">
      <c r="A93" t="s">
        <v>278</v>
      </c>
      <c r="B93" t="s">
        <v>279</v>
      </c>
      <c r="C93" t="s">
        <v>143</v>
      </c>
      <c r="G93" t="s">
        <v>74</v>
      </c>
      <c r="J93" t="s">
        <v>67</v>
      </c>
      <c r="L93">
        <v>0</v>
      </c>
      <c r="M93">
        <f t="shared" si="10"/>
        <v>0</v>
      </c>
      <c r="N93" t="s">
        <v>68</v>
      </c>
      <c r="O93">
        <f t="shared" si="11"/>
        <v>0</v>
      </c>
      <c r="P93" t="s">
        <v>68</v>
      </c>
      <c r="S93">
        <f t="shared" si="12"/>
        <v>0</v>
      </c>
      <c r="T93" t="str">
        <f t="shared" si="13"/>
        <v>⬜  Parcial · Inst. 2 pendiente</v>
      </c>
      <c r="U93" s="53">
        <v>1</v>
      </c>
      <c r="V93" t="s">
        <v>69</v>
      </c>
      <c r="W93">
        <f>IF(NORMALIZADO!BV93="",0,NORMALIZADO!BV93)</f>
        <v>0</v>
      </c>
      <c r="X93">
        <f>IF(NORMALIZADO!BW93="",0,NORMALIZADO!BW93)</f>
        <v>0</v>
      </c>
      <c r="Y93">
        <f>IF(NORMALIZADO!BX93="",0,NORMALIZADO!BX93)</f>
        <v>0</v>
      </c>
      <c r="Z93">
        <f>IF(NORMALIZADO!BY93="",0,NORMALIZADO!BY93)</f>
        <v>0</v>
      </c>
      <c r="AA93">
        <v>0</v>
      </c>
      <c r="AB93">
        <v>0</v>
      </c>
      <c r="AC93">
        <v>0</v>
      </c>
      <c r="AD93">
        <v>0</v>
      </c>
      <c r="AE93">
        <v>0</v>
      </c>
      <c r="AF93">
        <v>0</v>
      </c>
      <c r="AG93">
        <v>0</v>
      </c>
      <c r="AH93">
        <v>0</v>
      </c>
      <c r="AI93">
        <v>0</v>
      </c>
      <c r="AJ93">
        <v>0</v>
      </c>
      <c r="AK93">
        <v>0</v>
      </c>
      <c r="AL93">
        <v>0</v>
      </c>
      <c r="AM93">
        <v>0</v>
      </c>
      <c r="AN93">
        <v>0</v>
      </c>
      <c r="AO93">
        <f t="shared" si="14"/>
        <v>0</v>
      </c>
      <c r="AP93">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N/A")</f>
        <v>0</v>
      </c>
      <c r="AQ93">
        <f>IF(ISNUMBER(M93),1,0)+IF(ISNUMBER(SCORECARDS!H93),1,0)+IF(ISNUMBER(SCORECARDS!I93),1,0)+IF(ISNUMBER(SCORECARDS!J93),1,0)+IF(ISNUMBER(ISCAM_Score!K94),1,0)+IF(ISNUMBER(O93),1,0)+IF(COUNT(W93:Z93)&gt;0,1,0)</f>
        <v>3</v>
      </c>
    </row>
    <row r="94" spans="1:43" ht="16.05" customHeight="1" x14ac:dyDescent="0.3">
      <c r="A94" t="s">
        <v>280</v>
      </c>
      <c r="B94" t="s">
        <v>281</v>
      </c>
      <c r="C94" t="s">
        <v>143</v>
      </c>
      <c r="E94">
        <v>3777944.83</v>
      </c>
      <c r="F94">
        <v>14</v>
      </c>
      <c r="G94" t="s">
        <v>66</v>
      </c>
      <c r="J94" t="s">
        <v>67</v>
      </c>
      <c r="L94">
        <v>1888972.42</v>
      </c>
      <c r="M94">
        <f t="shared" si="10"/>
        <v>50</v>
      </c>
      <c r="N94" t="s">
        <v>68</v>
      </c>
      <c r="O94">
        <f t="shared" si="11"/>
        <v>0</v>
      </c>
      <c r="P94" t="s">
        <v>68</v>
      </c>
      <c r="S94">
        <f t="shared" si="12"/>
        <v>26</v>
      </c>
      <c r="T94" t="str">
        <f t="shared" si="13"/>
        <v>⬜  Parcial · Inst. 2 pendiente</v>
      </c>
      <c r="U94" s="53">
        <v>1</v>
      </c>
      <c r="V94" t="s">
        <v>69</v>
      </c>
      <c r="W94">
        <f>IF(NORMALIZADO!BV94="",1,NORMALIZADO!BV94)</f>
        <v>1</v>
      </c>
      <c r="X94">
        <f>IF(NORMALIZADO!BW94="",0,NORMALIZADO!BW94)</f>
        <v>0</v>
      </c>
      <c r="Y94">
        <f>IF(NORMALIZADO!BX94="",0,NORMALIZADO!BX94)</f>
        <v>0</v>
      </c>
      <c r="Z94">
        <f>IF(NORMALIZADO!BY94="",0,NORMALIZADO!BY94)</f>
        <v>0</v>
      </c>
      <c r="AA94">
        <v>0</v>
      </c>
      <c r="AB94">
        <v>0</v>
      </c>
      <c r="AC94">
        <v>0</v>
      </c>
      <c r="AD94">
        <v>0</v>
      </c>
      <c r="AE94">
        <v>0</v>
      </c>
      <c r="AF94">
        <v>0</v>
      </c>
      <c r="AG94">
        <v>0</v>
      </c>
      <c r="AH94">
        <v>0</v>
      </c>
      <c r="AI94">
        <v>0</v>
      </c>
      <c r="AJ94">
        <v>0</v>
      </c>
      <c r="AK94">
        <v>0</v>
      </c>
      <c r="AL94">
        <v>0</v>
      </c>
      <c r="AM94">
        <v>0</v>
      </c>
      <c r="AN94">
        <v>0</v>
      </c>
      <c r="AO94">
        <f t="shared" si="14"/>
        <v>0</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N/A")</f>
        <v>0.26041666666666669</v>
      </c>
      <c r="AQ94">
        <f>IF(ISNUMBER(M94),1,0)+IF(ISNUMBER(SCORECARDS!H94),1,0)+IF(ISNUMBER(SCORECARDS!I94),1,0)+IF(ISNUMBER(SCORECARDS!J94),1,0)+IF(ISNUMBER(ISCAM_Score!K95),1,0)+IF(ISNUMBER(O94),1,0)+IF(COUNT(W94:Z94)&gt;0,1,0)</f>
        <v>3</v>
      </c>
    </row>
    <row r="95" spans="1:43" ht="16.05" customHeight="1" x14ac:dyDescent="0.3">
      <c r="A95" t="s">
        <v>282</v>
      </c>
      <c r="B95" t="s">
        <v>283</v>
      </c>
      <c r="C95" t="s">
        <v>123</v>
      </c>
      <c r="D95" t="s">
        <v>73</v>
      </c>
      <c r="G95" t="s">
        <v>74</v>
      </c>
      <c r="J95" t="s">
        <v>67</v>
      </c>
      <c r="L95">
        <v>0</v>
      </c>
      <c r="M95">
        <f t="shared" si="10"/>
        <v>0</v>
      </c>
      <c r="N95" t="s">
        <v>68</v>
      </c>
      <c r="O95">
        <f t="shared" si="11"/>
        <v>0</v>
      </c>
      <c r="P95" t="s">
        <v>68</v>
      </c>
      <c r="S95">
        <f t="shared" si="12"/>
        <v>0</v>
      </c>
      <c r="T95" t="str">
        <f t="shared" si="13"/>
        <v>⬜  Parcial · Inst. 2 pendiente</v>
      </c>
      <c r="U95" s="53">
        <v>1</v>
      </c>
      <c r="V95" t="s">
        <v>69</v>
      </c>
      <c r="W95">
        <f>IF(NORMALIZADO!BV95="",0,NORMALIZADO!BV95)</f>
        <v>0</v>
      </c>
      <c r="X95">
        <f>IF(NORMALIZADO!BW95="",0,NORMALIZADO!BW95)</f>
        <v>0</v>
      </c>
      <c r="Y95">
        <f>IF(NORMALIZADO!BX95="",0,NORMALIZADO!BX95)</f>
        <v>0</v>
      </c>
      <c r="Z95">
        <f>IF(NORMALIZADO!BY95="",0,NORMALIZADO!BY95)</f>
        <v>0</v>
      </c>
      <c r="AA95">
        <v>0</v>
      </c>
      <c r="AB95">
        <v>0</v>
      </c>
      <c r="AC95">
        <v>0</v>
      </c>
      <c r="AD95">
        <v>0</v>
      </c>
      <c r="AE95">
        <v>0</v>
      </c>
      <c r="AF95">
        <v>0</v>
      </c>
      <c r="AG95">
        <v>0</v>
      </c>
      <c r="AH95">
        <v>0</v>
      </c>
      <c r="AI95">
        <v>0</v>
      </c>
      <c r="AJ95">
        <v>0</v>
      </c>
      <c r="AK95">
        <v>0</v>
      </c>
      <c r="AL95">
        <v>0</v>
      </c>
      <c r="AM95">
        <v>0</v>
      </c>
      <c r="AN95">
        <v>0</v>
      </c>
      <c r="AO95">
        <f t="shared" si="14"/>
        <v>0</v>
      </c>
      <c r="AP95">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N/A")</f>
        <v>0</v>
      </c>
      <c r="AQ95">
        <f>IF(ISNUMBER(M95),1,0)+IF(ISNUMBER(SCORECARDS!H95),1,0)+IF(ISNUMBER(SCORECARDS!I95),1,0)+IF(ISNUMBER(SCORECARDS!J95),1,0)+IF(ISNUMBER(ISCAM_Score!K96),1,0)+IF(ISNUMBER(O95),1,0)+IF(COUNT(W95:Z95)&gt;0,1,0)</f>
        <v>3</v>
      </c>
    </row>
    <row r="96" spans="1:43" ht="16.05" customHeight="1" x14ac:dyDescent="0.3">
      <c r="A96" t="s">
        <v>284</v>
      </c>
      <c r="B96" t="s">
        <v>285</v>
      </c>
      <c r="C96" t="s">
        <v>123</v>
      </c>
      <c r="D96" t="s">
        <v>73</v>
      </c>
      <c r="E96">
        <v>0</v>
      </c>
      <c r="G96" t="s">
        <v>74</v>
      </c>
      <c r="J96" t="s">
        <v>67</v>
      </c>
      <c r="L96">
        <v>0</v>
      </c>
      <c r="M96">
        <f t="shared" si="10"/>
        <v>0</v>
      </c>
      <c r="N96" t="s">
        <v>68</v>
      </c>
      <c r="O96">
        <f t="shared" si="11"/>
        <v>0</v>
      </c>
      <c r="P96" t="s">
        <v>68</v>
      </c>
      <c r="S96">
        <f t="shared" si="12"/>
        <v>0</v>
      </c>
      <c r="T96" t="str">
        <f t="shared" si="13"/>
        <v>⬜  Parcial · Inst. 2 pendiente</v>
      </c>
      <c r="U96" s="53">
        <v>1</v>
      </c>
      <c r="V96" t="s">
        <v>69</v>
      </c>
      <c r="W96">
        <f>IF(NORMALIZADO!BV96="",0,NORMALIZADO!BV96)</f>
        <v>0</v>
      </c>
      <c r="X96">
        <f>IF(NORMALIZADO!BW96="",0,NORMALIZADO!BW96)</f>
        <v>0</v>
      </c>
      <c r="Y96">
        <f>IF(NORMALIZADO!BX96="",0,NORMALIZADO!BX96)</f>
        <v>0</v>
      </c>
      <c r="Z96">
        <f>IF(NORMALIZADO!BY96="",0,NORMALIZADO!BY96)</f>
        <v>0</v>
      </c>
      <c r="AA96">
        <v>0</v>
      </c>
      <c r="AB96">
        <v>0</v>
      </c>
      <c r="AC96">
        <v>0</v>
      </c>
      <c r="AD96">
        <v>0</v>
      </c>
      <c r="AE96">
        <v>0</v>
      </c>
      <c r="AF96">
        <v>0</v>
      </c>
      <c r="AG96">
        <v>0</v>
      </c>
      <c r="AH96">
        <v>0</v>
      </c>
      <c r="AI96">
        <v>0</v>
      </c>
      <c r="AJ96">
        <v>0</v>
      </c>
      <c r="AK96">
        <v>0</v>
      </c>
      <c r="AL96">
        <v>0</v>
      </c>
      <c r="AM96">
        <v>0</v>
      </c>
      <c r="AN96">
        <v>0</v>
      </c>
      <c r="AO96">
        <f t="shared" si="14"/>
        <v>0</v>
      </c>
      <c r="AP96">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N/A")</f>
        <v>0</v>
      </c>
      <c r="AQ96">
        <f>IF(ISNUMBER(M96),1,0)+IF(ISNUMBER(SCORECARDS!H96),1,0)+IF(ISNUMBER(SCORECARDS!I96),1,0)+IF(ISNUMBER(SCORECARDS!J96),1,0)+IF(ISNUMBER(ISCAM_Score!K97),1,0)+IF(ISNUMBER(O96),1,0)+IF(COUNT(W96:Z96)&gt;0,1,0)</f>
        <v>3</v>
      </c>
    </row>
    <row r="97" spans="1:43" ht="16.05" customHeight="1" x14ac:dyDescent="0.3">
      <c r="A97" t="s">
        <v>286</v>
      </c>
      <c r="B97" t="s">
        <v>287</v>
      </c>
      <c r="C97" t="s">
        <v>123</v>
      </c>
      <c r="D97" t="s">
        <v>73</v>
      </c>
      <c r="G97" t="s">
        <v>74</v>
      </c>
      <c r="J97" t="s">
        <v>128</v>
      </c>
      <c r="L97">
        <v>0</v>
      </c>
      <c r="M97">
        <f t="shared" si="10"/>
        <v>0</v>
      </c>
      <c r="N97" t="s">
        <v>68</v>
      </c>
      <c r="O97">
        <f t="shared" si="11"/>
        <v>0</v>
      </c>
      <c r="P97" t="s">
        <v>68</v>
      </c>
      <c r="S97">
        <f t="shared" si="12"/>
        <v>0</v>
      </c>
      <c r="T97" t="str">
        <f t="shared" si="13"/>
        <v>⬜  Parcial · Inst. 2 pendiente</v>
      </c>
      <c r="U97" s="53">
        <v>1</v>
      </c>
      <c r="V97" t="s">
        <v>69</v>
      </c>
      <c r="W97">
        <f>IF(NORMALIZADO!BV97="",0,NORMALIZADO!BV97)</f>
        <v>0</v>
      </c>
      <c r="X97">
        <f>IF(NORMALIZADO!BW97="",0,NORMALIZADO!BW97)</f>
        <v>0</v>
      </c>
      <c r="Y97">
        <f>IF(NORMALIZADO!BX97="",0,NORMALIZADO!BX97)</f>
        <v>0</v>
      </c>
      <c r="Z97">
        <f>IF(NORMALIZADO!BY97="",0,NORMALIZADO!BY97)</f>
        <v>0</v>
      </c>
      <c r="AA97">
        <v>0</v>
      </c>
      <c r="AB97">
        <v>0</v>
      </c>
      <c r="AC97">
        <v>0</v>
      </c>
      <c r="AD97">
        <v>0</v>
      </c>
      <c r="AE97">
        <v>0</v>
      </c>
      <c r="AF97">
        <v>0</v>
      </c>
      <c r="AG97">
        <v>0</v>
      </c>
      <c r="AH97">
        <v>0</v>
      </c>
      <c r="AI97">
        <v>0</v>
      </c>
      <c r="AJ97">
        <v>0</v>
      </c>
      <c r="AK97">
        <v>0</v>
      </c>
      <c r="AL97">
        <v>0</v>
      </c>
      <c r="AM97">
        <v>0</v>
      </c>
      <c r="AN97">
        <v>0</v>
      </c>
      <c r="AO97">
        <f t="shared" si="14"/>
        <v>0</v>
      </c>
      <c r="AP97">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N/A")</f>
        <v>0</v>
      </c>
      <c r="AQ97">
        <f>IF(ISNUMBER(M97),1,0)+IF(ISNUMBER(SCORECARDS!H97),1,0)+IF(ISNUMBER(SCORECARDS!I97),1,0)+IF(ISNUMBER(SCORECARDS!J97),1,0)+IF(ISNUMBER(ISCAM_Score!K98),1,0)+IF(ISNUMBER(O97),1,0)+IF(COUNT(W97:Z97)&gt;0,1,0)</f>
        <v>3</v>
      </c>
    </row>
    <row r="98" spans="1:43" ht="16.05" customHeight="1" x14ac:dyDescent="0.3">
      <c r="A98" t="s">
        <v>288</v>
      </c>
      <c r="B98" t="s">
        <v>289</v>
      </c>
      <c r="C98" t="s">
        <v>123</v>
      </c>
      <c r="D98" t="s">
        <v>73</v>
      </c>
      <c r="G98" t="s">
        <v>74</v>
      </c>
      <c r="J98" t="s">
        <v>67</v>
      </c>
      <c r="L98">
        <v>0</v>
      </c>
      <c r="M98">
        <f t="shared" si="10"/>
        <v>0</v>
      </c>
      <c r="N98" t="s">
        <v>68</v>
      </c>
      <c r="O98">
        <f t="shared" si="11"/>
        <v>0</v>
      </c>
      <c r="P98" t="s">
        <v>68</v>
      </c>
      <c r="S98">
        <f t="shared" si="12"/>
        <v>0</v>
      </c>
      <c r="T98" t="str">
        <f t="shared" si="13"/>
        <v>⬜  Parcial · Inst. 2 pendiente</v>
      </c>
      <c r="U98" s="53">
        <v>1</v>
      </c>
      <c r="V98" t="s">
        <v>69</v>
      </c>
      <c r="W98">
        <f>IF(NORMALIZADO!BV98="",0,NORMALIZADO!BV98)</f>
        <v>0</v>
      </c>
      <c r="X98">
        <f>IF(NORMALIZADO!BW98="",0,NORMALIZADO!BW98)</f>
        <v>0</v>
      </c>
      <c r="Y98">
        <f>IF(NORMALIZADO!BX98="",0,NORMALIZADO!BX98)</f>
        <v>0</v>
      </c>
      <c r="Z98">
        <f>IF(NORMALIZADO!BY98="",0,NORMALIZADO!BY98)</f>
        <v>0</v>
      </c>
      <c r="AA98">
        <v>0</v>
      </c>
      <c r="AB98">
        <v>0</v>
      </c>
      <c r="AC98">
        <v>0</v>
      </c>
      <c r="AD98">
        <v>0</v>
      </c>
      <c r="AE98">
        <v>0</v>
      </c>
      <c r="AF98">
        <v>0</v>
      </c>
      <c r="AG98">
        <v>0</v>
      </c>
      <c r="AH98">
        <v>0</v>
      </c>
      <c r="AI98">
        <v>0</v>
      </c>
      <c r="AJ98">
        <v>0</v>
      </c>
      <c r="AK98">
        <v>0</v>
      </c>
      <c r="AL98">
        <v>0</v>
      </c>
      <c r="AM98">
        <v>0</v>
      </c>
      <c r="AN98">
        <v>0</v>
      </c>
      <c r="AO98">
        <f t="shared" si="14"/>
        <v>0</v>
      </c>
      <c r="AP98">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N/A")</f>
        <v>0</v>
      </c>
      <c r="AQ98">
        <f>IF(ISNUMBER(M98),1,0)+IF(ISNUMBER(SCORECARDS!H98),1,0)+IF(ISNUMBER(SCORECARDS!I98),1,0)+IF(ISNUMBER(SCORECARDS!J98),1,0)+IF(ISNUMBER(ISCAM_Score!K99),1,0)+IF(ISNUMBER(O98),1,0)+IF(COUNT(W98:Z98)&gt;0,1,0)</f>
        <v>3</v>
      </c>
    </row>
    <row r="99" spans="1:43" ht="16.05" customHeight="1" x14ac:dyDescent="0.3">
      <c r="A99" t="s">
        <v>290</v>
      </c>
      <c r="B99" t="s">
        <v>291</v>
      </c>
      <c r="C99" t="s">
        <v>123</v>
      </c>
      <c r="D99" t="s">
        <v>292</v>
      </c>
      <c r="G99" t="s">
        <v>74</v>
      </c>
      <c r="J99" t="s">
        <v>128</v>
      </c>
      <c r="L99">
        <v>0</v>
      </c>
      <c r="M99">
        <f t="shared" ref="M99:M130" si="15">IF(E99&gt;0,ROUND(L99/E99*100,1),0)</f>
        <v>0</v>
      </c>
      <c r="N99" t="s">
        <v>68</v>
      </c>
      <c r="O99">
        <f t="shared" ref="O99:O130" si="16">IF(H99="SI",1,0)*0.6+IF(I99="SI",1,0)*0.4</f>
        <v>0</v>
      </c>
      <c r="P99" t="s">
        <v>68</v>
      </c>
      <c r="S99">
        <f t="shared" ref="S99:S130" si="17">IFERROR(ROUND(AP99*100,1),"N/A")</f>
        <v>0</v>
      </c>
      <c r="T99" t="str">
        <f t="shared" ref="T99:T130" si="18">IF(NOT(ISNUMBER(S99)),"—",IF(AQ99&lt;6,"⬜  Parcial · Inst. 2 pendiente",IF(S99&lt;34,"🔴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N/A")</f>
        <v>0</v>
      </c>
      <c r="AQ99">
        <f>IF(ISNUMBER(M99),1,0)+IF(ISNUMBER(SCORECARDS!H99),1,0)+IF(ISNUMBER(SCORECARDS!I99),1,0)+IF(ISNUMBER(SCORECARDS!J99),1,0)+IF(ISNUMBER(ISCAM_Score!K100),1,0)+IF(ISNUMBER(O99),1,0)+IF(COUNT(W99:Z99)&gt;0,1,0)</f>
        <v>3</v>
      </c>
    </row>
    <row r="100" spans="1:43" ht="16.05" customHeight="1" x14ac:dyDescent="0.3">
      <c r="A100" t="s">
        <v>293</v>
      </c>
      <c r="B100" t="s">
        <v>294</v>
      </c>
      <c r="C100" t="s">
        <v>80</v>
      </c>
      <c r="D100" t="s">
        <v>73</v>
      </c>
      <c r="G100" t="s">
        <v>74</v>
      </c>
      <c r="J100" t="s">
        <v>67</v>
      </c>
      <c r="L100">
        <v>0</v>
      </c>
      <c r="M100">
        <f t="shared" si="15"/>
        <v>0</v>
      </c>
      <c r="N100" t="s">
        <v>68</v>
      </c>
      <c r="O100">
        <f t="shared" si="16"/>
        <v>0</v>
      </c>
      <c r="P100" t="s">
        <v>68</v>
      </c>
      <c r="S100">
        <f t="shared" si="17"/>
        <v>0</v>
      </c>
      <c r="T100" t="str">
        <f t="shared" si="18"/>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A100">
        <v>0</v>
      </c>
      <c r="AB100">
        <v>0</v>
      </c>
      <c r="AC100">
        <v>0</v>
      </c>
      <c r="AD100">
        <v>0</v>
      </c>
      <c r="AE100">
        <v>0</v>
      </c>
      <c r="AF100">
        <v>0</v>
      </c>
      <c r="AG100">
        <v>0</v>
      </c>
      <c r="AH100">
        <v>0</v>
      </c>
      <c r="AI100">
        <v>0</v>
      </c>
      <c r="AJ100">
        <v>0</v>
      </c>
      <c r="AK100">
        <v>0</v>
      </c>
      <c r="AL100">
        <v>0</v>
      </c>
      <c r="AM100">
        <v>0</v>
      </c>
      <c r="AN100">
        <v>0</v>
      </c>
      <c r="AO100">
        <f t="shared" si="19"/>
        <v>0</v>
      </c>
      <c r="AP100">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N/A")</f>
        <v>0</v>
      </c>
      <c r="AQ100">
        <f>IF(ISNUMBER(M100),1,0)+IF(ISNUMBER(SCORECARDS!H100),1,0)+IF(ISNUMBER(SCORECARDS!I100),1,0)+IF(ISNUMBER(SCORECARDS!J100),1,0)+IF(ISNUMBER(ISCAM_Score!K101),1,0)+IF(ISNUMBER(O100),1,0)+IF(COUNT(W100:Z100)&gt;0,1,0)</f>
        <v>3</v>
      </c>
    </row>
    <row r="101" spans="1:43" ht="16.05" customHeight="1" x14ac:dyDescent="0.3">
      <c r="A101" t="s">
        <v>295</v>
      </c>
      <c r="B101" t="s">
        <v>296</v>
      </c>
      <c r="C101" t="s">
        <v>116</v>
      </c>
      <c r="D101" t="s">
        <v>65</v>
      </c>
      <c r="G101" t="s">
        <v>74</v>
      </c>
      <c r="J101" t="s">
        <v>67</v>
      </c>
      <c r="L101">
        <v>0</v>
      </c>
      <c r="M101">
        <f t="shared" si="15"/>
        <v>0</v>
      </c>
      <c r="N101" t="s">
        <v>68</v>
      </c>
      <c r="O101">
        <f t="shared" si="16"/>
        <v>0</v>
      </c>
      <c r="P101" t="s">
        <v>68</v>
      </c>
      <c r="S101">
        <f t="shared" si="17"/>
        <v>0</v>
      </c>
      <c r="T101" t="str">
        <f t="shared" si="18"/>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A101">
        <v>0</v>
      </c>
      <c r="AB101">
        <v>0</v>
      </c>
      <c r="AC101">
        <v>0</v>
      </c>
      <c r="AD101">
        <v>0</v>
      </c>
      <c r="AE101">
        <v>0</v>
      </c>
      <c r="AF101">
        <v>0</v>
      </c>
      <c r="AG101">
        <v>0</v>
      </c>
      <c r="AH101">
        <v>0</v>
      </c>
      <c r="AI101">
        <v>0</v>
      </c>
      <c r="AJ101">
        <v>0</v>
      </c>
      <c r="AK101">
        <v>0</v>
      </c>
      <c r="AL101">
        <v>0</v>
      </c>
      <c r="AM101">
        <v>0</v>
      </c>
      <c r="AN101">
        <v>0</v>
      </c>
      <c r="AO101">
        <f t="shared" si="19"/>
        <v>0</v>
      </c>
      <c r="AP101">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N/A")</f>
        <v>0</v>
      </c>
      <c r="AQ101">
        <f>IF(ISNUMBER(M101),1,0)+IF(ISNUMBER(SCORECARDS!H101),1,0)+IF(ISNUMBER(SCORECARDS!I101),1,0)+IF(ISNUMBER(SCORECARDS!J101),1,0)+IF(ISNUMBER(ISCAM_Score!K102),1,0)+IF(ISNUMBER(O101),1,0)+IF(COUNT(W101:Z101)&gt;0,1,0)</f>
        <v>3</v>
      </c>
    </row>
    <row r="102" spans="1:43" ht="16.05" customHeight="1" x14ac:dyDescent="0.3">
      <c r="A102" t="s">
        <v>297</v>
      </c>
      <c r="B102" t="s">
        <v>298</v>
      </c>
      <c r="C102" t="s">
        <v>123</v>
      </c>
      <c r="D102" t="s">
        <v>73</v>
      </c>
      <c r="G102" t="s">
        <v>74</v>
      </c>
      <c r="J102" t="s">
        <v>67</v>
      </c>
      <c r="L102">
        <v>0</v>
      </c>
      <c r="M102">
        <f t="shared" si="15"/>
        <v>0</v>
      </c>
      <c r="N102" t="s">
        <v>68</v>
      </c>
      <c r="O102">
        <f t="shared" si="16"/>
        <v>0</v>
      </c>
      <c r="P102" t="s">
        <v>68</v>
      </c>
      <c r="S102">
        <f t="shared" si="17"/>
        <v>0</v>
      </c>
      <c r="T102" t="str">
        <f t="shared" si="18"/>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A102">
        <v>0</v>
      </c>
      <c r="AB102">
        <v>0</v>
      </c>
      <c r="AC102">
        <v>0</v>
      </c>
      <c r="AD102">
        <v>0</v>
      </c>
      <c r="AE102">
        <v>0</v>
      </c>
      <c r="AF102">
        <v>0</v>
      </c>
      <c r="AG102">
        <v>0</v>
      </c>
      <c r="AH102">
        <v>0</v>
      </c>
      <c r="AI102">
        <v>0</v>
      </c>
      <c r="AJ102">
        <v>0</v>
      </c>
      <c r="AK102">
        <v>0</v>
      </c>
      <c r="AL102">
        <v>0</v>
      </c>
      <c r="AM102">
        <v>0</v>
      </c>
      <c r="AN102">
        <v>0</v>
      </c>
      <c r="AO102">
        <f t="shared" si="19"/>
        <v>0</v>
      </c>
      <c r="AP102">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N/A")</f>
        <v>0</v>
      </c>
      <c r="AQ102">
        <f>IF(ISNUMBER(M102),1,0)+IF(ISNUMBER(SCORECARDS!H102),1,0)+IF(ISNUMBER(SCORECARDS!I102),1,0)+IF(ISNUMBER(SCORECARDS!J102),1,0)+IF(ISNUMBER(ISCAM_Score!K103),1,0)+IF(ISNUMBER(O102),1,0)+IF(COUNT(W102:Z102)&gt;0,1,0)</f>
        <v>3</v>
      </c>
    </row>
    <row r="103" spans="1:43" ht="16.05" customHeight="1" x14ac:dyDescent="0.3">
      <c r="A103" t="s">
        <v>299</v>
      </c>
      <c r="B103" t="s">
        <v>300</v>
      </c>
      <c r="C103" t="s">
        <v>196</v>
      </c>
      <c r="D103" t="s">
        <v>73</v>
      </c>
      <c r="G103" t="s">
        <v>74</v>
      </c>
      <c r="J103" t="s">
        <v>67</v>
      </c>
      <c r="L103">
        <v>0</v>
      </c>
      <c r="M103">
        <f t="shared" si="15"/>
        <v>0</v>
      </c>
      <c r="N103" t="s">
        <v>68</v>
      </c>
      <c r="O103">
        <f t="shared" si="16"/>
        <v>0</v>
      </c>
      <c r="P103" t="s">
        <v>68</v>
      </c>
      <c r="S103">
        <f t="shared" si="17"/>
        <v>0</v>
      </c>
      <c r="T103" t="str">
        <f t="shared" si="18"/>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A103">
        <v>0</v>
      </c>
      <c r="AB103">
        <v>0</v>
      </c>
      <c r="AC103">
        <v>0</v>
      </c>
      <c r="AD103">
        <v>0</v>
      </c>
      <c r="AE103">
        <v>0</v>
      </c>
      <c r="AF103">
        <v>0</v>
      </c>
      <c r="AG103">
        <v>0</v>
      </c>
      <c r="AH103">
        <v>0</v>
      </c>
      <c r="AI103">
        <v>0</v>
      </c>
      <c r="AJ103">
        <v>0</v>
      </c>
      <c r="AK103">
        <v>0</v>
      </c>
      <c r="AL103">
        <v>0</v>
      </c>
      <c r="AM103">
        <v>0</v>
      </c>
      <c r="AN103">
        <v>0</v>
      </c>
      <c r="AO103">
        <f t="shared" si="19"/>
        <v>0</v>
      </c>
      <c r="AP103">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N/A")</f>
        <v>0</v>
      </c>
      <c r="AQ103">
        <f>IF(ISNUMBER(M103),1,0)+IF(ISNUMBER(SCORECARDS!H103),1,0)+IF(ISNUMBER(SCORECARDS!I103),1,0)+IF(ISNUMBER(SCORECARDS!J103),1,0)+IF(ISNUMBER(ISCAM_Score!K104),1,0)+IF(ISNUMBER(O103),1,0)+IF(COUNT(W103:Z103)&gt;0,1,0)</f>
        <v>3</v>
      </c>
    </row>
    <row r="104" spans="1:43" ht="16.05" customHeight="1" x14ac:dyDescent="0.3">
      <c r="A104" t="s">
        <v>301</v>
      </c>
      <c r="B104" t="s">
        <v>302</v>
      </c>
      <c r="C104" t="s">
        <v>248</v>
      </c>
      <c r="D104" t="s">
        <v>73</v>
      </c>
      <c r="E104">
        <v>0</v>
      </c>
      <c r="G104" t="s">
        <v>74</v>
      </c>
      <c r="J104" t="s">
        <v>67</v>
      </c>
      <c r="L104">
        <v>0</v>
      </c>
      <c r="M104">
        <f t="shared" si="15"/>
        <v>0</v>
      </c>
      <c r="N104" t="s">
        <v>68</v>
      </c>
      <c r="O104">
        <f t="shared" si="16"/>
        <v>0</v>
      </c>
      <c r="P104" t="s">
        <v>68</v>
      </c>
      <c r="S104">
        <f t="shared" si="17"/>
        <v>0</v>
      </c>
      <c r="T104" t="str">
        <f t="shared" si="18"/>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A104">
        <v>0</v>
      </c>
      <c r="AB104">
        <v>0</v>
      </c>
      <c r="AC104">
        <v>0</v>
      </c>
      <c r="AD104">
        <v>0</v>
      </c>
      <c r="AE104">
        <v>0</v>
      </c>
      <c r="AF104">
        <v>0</v>
      </c>
      <c r="AG104">
        <v>0</v>
      </c>
      <c r="AH104">
        <v>0</v>
      </c>
      <c r="AI104">
        <v>0</v>
      </c>
      <c r="AJ104">
        <v>0</v>
      </c>
      <c r="AK104">
        <v>0</v>
      </c>
      <c r="AL104">
        <v>0</v>
      </c>
      <c r="AM104">
        <v>0</v>
      </c>
      <c r="AN104">
        <v>0</v>
      </c>
      <c r="AO104">
        <f t="shared" si="19"/>
        <v>0</v>
      </c>
      <c r="AP104">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N/A")</f>
        <v>0</v>
      </c>
      <c r="AQ104">
        <f>IF(ISNUMBER(M104),1,0)+IF(ISNUMBER(SCORECARDS!H104),1,0)+IF(ISNUMBER(SCORECARDS!I104),1,0)+IF(ISNUMBER(SCORECARDS!J104),1,0)+IF(ISNUMBER(ISCAM_Score!K105),1,0)+IF(ISNUMBER(O104),1,0)+IF(COUNT(W104:Z104)&gt;0,1,0)</f>
        <v>3</v>
      </c>
    </row>
    <row r="105" spans="1:43" ht="16.05" customHeight="1" x14ac:dyDescent="0.3">
      <c r="A105" t="s">
        <v>303</v>
      </c>
      <c r="B105" t="s">
        <v>304</v>
      </c>
      <c r="C105" t="s">
        <v>116</v>
      </c>
      <c r="D105" t="s">
        <v>65</v>
      </c>
      <c r="E105">
        <v>0</v>
      </c>
      <c r="G105" t="s">
        <v>74</v>
      </c>
      <c r="J105" t="s">
        <v>67</v>
      </c>
      <c r="L105">
        <v>0</v>
      </c>
      <c r="M105">
        <f t="shared" si="15"/>
        <v>0</v>
      </c>
      <c r="N105" t="s">
        <v>68</v>
      </c>
      <c r="O105">
        <f t="shared" si="16"/>
        <v>0</v>
      </c>
      <c r="P105" t="s">
        <v>68</v>
      </c>
      <c r="S105">
        <f t="shared" si="17"/>
        <v>0</v>
      </c>
      <c r="T105" t="str">
        <f t="shared" si="18"/>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A105">
        <v>0</v>
      </c>
      <c r="AB105">
        <v>0</v>
      </c>
      <c r="AC105">
        <v>0</v>
      </c>
      <c r="AD105">
        <v>0</v>
      </c>
      <c r="AE105">
        <v>0</v>
      </c>
      <c r="AF105">
        <v>0</v>
      </c>
      <c r="AG105">
        <v>0</v>
      </c>
      <c r="AH105">
        <v>0</v>
      </c>
      <c r="AI105">
        <v>0</v>
      </c>
      <c r="AJ105">
        <v>0</v>
      </c>
      <c r="AK105">
        <v>0</v>
      </c>
      <c r="AL105">
        <v>0</v>
      </c>
      <c r="AM105">
        <v>0</v>
      </c>
      <c r="AN105">
        <v>0</v>
      </c>
      <c r="AO105">
        <f t="shared" si="19"/>
        <v>0</v>
      </c>
      <c r="AP105">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N/A")</f>
        <v>0</v>
      </c>
      <c r="AQ105">
        <f>IF(ISNUMBER(M105),1,0)+IF(ISNUMBER(SCORECARDS!H105),1,0)+IF(ISNUMBER(SCORECARDS!I105),1,0)+IF(ISNUMBER(SCORECARDS!J105),1,0)+IF(ISNUMBER(ISCAM_Score!K106),1,0)+IF(ISNUMBER(O105),1,0)+IF(COUNT(W105:Z105)&gt;0,1,0)</f>
        <v>3</v>
      </c>
    </row>
    <row r="106" spans="1:43" ht="16.05" customHeight="1" x14ac:dyDescent="0.3">
      <c r="A106" t="s">
        <v>305</v>
      </c>
      <c r="B106" t="s">
        <v>306</v>
      </c>
      <c r="C106" t="s">
        <v>143</v>
      </c>
      <c r="D106" t="s">
        <v>65</v>
      </c>
      <c r="E106">
        <v>4154567.790000001</v>
      </c>
      <c r="F106">
        <v>25</v>
      </c>
      <c r="G106" t="s">
        <v>66</v>
      </c>
      <c r="H106" t="s">
        <v>226</v>
      </c>
      <c r="I106" t="s">
        <v>226</v>
      </c>
      <c r="J106" t="s">
        <v>67</v>
      </c>
      <c r="K106" t="s">
        <v>227</v>
      </c>
      <c r="L106">
        <v>2059443.82</v>
      </c>
      <c r="M106">
        <f t="shared" si="15"/>
        <v>49.6</v>
      </c>
      <c r="N106" t="s">
        <v>68</v>
      </c>
      <c r="O106">
        <f t="shared" si="16"/>
        <v>0</v>
      </c>
      <c r="P106" t="s">
        <v>68</v>
      </c>
      <c r="Q106">
        <v>797</v>
      </c>
      <c r="R106">
        <v>2110</v>
      </c>
      <c r="S106">
        <f t="shared" si="17"/>
        <v>25.9</v>
      </c>
      <c r="T106" t="str">
        <f t="shared" si="18"/>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A106">
        <v>0</v>
      </c>
      <c r="AB106">
        <v>0</v>
      </c>
      <c r="AC106">
        <v>0</v>
      </c>
      <c r="AD106">
        <v>0</v>
      </c>
      <c r="AE106">
        <v>0</v>
      </c>
      <c r="AF106">
        <v>0</v>
      </c>
      <c r="AG106">
        <v>0</v>
      </c>
      <c r="AH106">
        <v>0</v>
      </c>
      <c r="AI106">
        <v>0</v>
      </c>
      <c r="AJ106">
        <v>0</v>
      </c>
      <c r="AK106">
        <v>0</v>
      </c>
      <c r="AL106">
        <v>0</v>
      </c>
      <c r="AM106">
        <v>0</v>
      </c>
      <c r="AN106">
        <v>0</v>
      </c>
      <c r="AO106">
        <f t="shared" si="19"/>
        <v>0</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N/A")</f>
        <v>0.25874999999999998</v>
      </c>
      <c r="AQ106">
        <f>IF(ISNUMBER(M106),1,0)+IF(ISNUMBER(SCORECARDS!H106),1,0)+IF(ISNUMBER(SCORECARDS!I106),1,0)+IF(ISNUMBER(SCORECARDS!J106),1,0)+IF(ISNUMBER(ISCAM_Score!K107),1,0)+IF(ISNUMBER(O106),1,0)+IF(COUNT(W106:Z106)&gt;0,1,0)</f>
        <v>3</v>
      </c>
    </row>
    <row r="107" spans="1:43" ht="16.05" customHeight="1" x14ac:dyDescent="0.3">
      <c r="A107" t="s">
        <v>307</v>
      </c>
      <c r="B107" t="s">
        <v>308</v>
      </c>
      <c r="C107" t="s">
        <v>113</v>
      </c>
      <c r="D107" t="s">
        <v>73</v>
      </c>
      <c r="G107" t="s">
        <v>74</v>
      </c>
      <c r="J107" t="s">
        <v>67</v>
      </c>
      <c r="L107">
        <v>0</v>
      </c>
      <c r="M107">
        <f t="shared" si="15"/>
        <v>0</v>
      </c>
      <c r="N107" t="s">
        <v>68</v>
      </c>
      <c r="O107">
        <f t="shared" si="16"/>
        <v>0</v>
      </c>
      <c r="P107" t="s">
        <v>68</v>
      </c>
      <c r="S107">
        <f t="shared" si="17"/>
        <v>0</v>
      </c>
      <c r="T107" t="str">
        <f t="shared" si="18"/>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A107">
        <v>0</v>
      </c>
      <c r="AB107">
        <v>0</v>
      </c>
      <c r="AC107">
        <v>0</v>
      </c>
      <c r="AD107">
        <v>0</v>
      </c>
      <c r="AE107">
        <v>0</v>
      </c>
      <c r="AF107">
        <v>0</v>
      </c>
      <c r="AG107">
        <v>0</v>
      </c>
      <c r="AH107">
        <v>0</v>
      </c>
      <c r="AI107">
        <v>0</v>
      </c>
      <c r="AJ107">
        <v>0</v>
      </c>
      <c r="AK107">
        <v>0</v>
      </c>
      <c r="AL107">
        <v>0</v>
      </c>
      <c r="AM107">
        <v>0</v>
      </c>
      <c r="AN107">
        <v>0</v>
      </c>
      <c r="AO107">
        <f t="shared" si="19"/>
        <v>0</v>
      </c>
      <c r="AP107">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N/A")</f>
        <v>0</v>
      </c>
      <c r="AQ107">
        <f>IF(ISNUMBER(M107),1,0)+IF(ISNUMBER(SCORECARDS!H107),1,0)+IF(ISNUMBER(SCORECARDS!I107),1,0)+IF(ISNUMBER(SCORECARDS!J107),1,0)+IF(ISNUMBER(ISCAM_Score!K108),1,0)+IF(ISNUMBER(O107),1,0)+IF(COUNT(W107:Z107)&gt;0,1,0)</f>
        <v>3</v>
      </c>
    </row>
    <row r="108" spans="1:43" ht="16.05" customHeight="1" x14ac:dyDescent="0.3">
      <c r="A108" t="s">
        <v>309</v>
      </c>
      <c r="B108" t="s">
        <v>310</v>
      </c>
      <c r="C108" t="s">
        <v>113</v>
      </c>
      <c r="D108" t="s">
        <v>73</v>
      </c>
      <c r="E108">
        <v>21233720.820000011</v>
      </c>
      <c r="F108">
        <v>93</v>
      </c>
      <c r="G108" t="s">
        <v>66</v>
      </c>
      <c r="J108" t="s">
        <v>67</v>
      </c>
      <c r="L108">
        <v>10616860.41</v>
      </c>
      <c r="M108">
        <f t="shared" si="15"/>
        <v>50</v>
      </c>
      <c r="N108" t="s">
        <v>68</v>
      </c>
      <c r="O108">
        <f t="shared" si="16"/>
        <v>0</v>
      </c>
      <c r="P108" t="s">
        <v>68</v>
      </c>
      <c r="S108">
        <f t="shared" si="17"/>
        <v>26</v>
      </c>
      <c r="T108" t="str">
        <f t="shared" si="18"/>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A108">
        <v>0</v>
      </c>
      <c r="AB108">
        <v>0</v>
      </c>
      <c r="AC108">
        <v>0</v>
      </c>
      <c r="AD108">
        <v>0</v>
      </c>
      <c r="AE108">
        <v>0</v>
      </c>
      <c r="AF108">
        <v>0</v>
      </c>
      <c r="AG108">
        <v>0</v>
      </c>
      <c r="AH108">
        <v>0</v>
      </c>
      <c r="AI108">
        <v>0</v>
      </c>
      <c r="AJ108">
        <v>0</v>
      </c>
      <c r="AK108">
        <v>0</v>
      </c>
      <c r="AL108">
        <v>0</v>
      </c>
      <c r="AM108">
        <v>0</v>
      </c>
      <c r="AN108">
        <v>0</v>
      </c>
      <c r="AO108">
        <f t="shared" si="19"/>
        <v>0</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N/A")</f>
        <v>0.26041666666666669</v>
      </c>
      <c r="AQ108">
        <f>IF(ISNUMBER(M108),1,0)+IF(ISNUMBER(SCORECARDS!H108),1,0)+IF(ISNUMBER(SCORECARDS!I108),1,0)+IF(ISNUMBER(SCORECARDS!J108),1,0)+IF(ISNUMBER(ISCAM_Score!K109),1,0)+IF(ISNUMBER(O108),1,0)+IF(COUNT(W108:Z108)&gt;0,1,0)</f>
        <v>3</v>
      </c>
    </row>
    <row r="109" spans="1:43" ht="16.05" customHeight="1" x14ac:dyDescent="0.3">
      <c r="A109" t="s">
        <v>311</v>
      </c>
      <c r="B109" t="s">
        <v>312</v>
      </c>
      <c r="C109" t="s">
        <v>72</v>
      </c>
      <c r="D109" t="s">
        <v>73</v>
      </c>
      <c r="G109" t="s">
        <v>74</v>
      </c>
      <c r="J109" t="s">
        <v>128</v>
      </c>
      <c r="L109">
        <v>0</v>
      </c>
      <c r="M109">
        <f t="shared" si="15"/>
        <v>0</v>
      </c>
      <c r="N109" t="s">
        <v>68</v>
      </c>
      <c r="O109">
        <f t="shared" si="16"/>
        <v>0</v>
      </c>
      <c r="P109" t="s">
        <v>68</v>
      </c>
      <c r="S109">
        <f t="shared" si="17"/>
        <v>0</v>
      </c>
      <c r="T109" t="str">
        <f t="shared" si="18"/>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A109">
        <v>0</v>
      </c>
      <c r="AB109">
        <v>0</v>
      </c>
      <c r="AC109">
        <v>0</v>
      </c>
      <c r="AD109">
        <v>0</v>
      </c>
      <c r="AE109">
        <v>0</v>
      </c>
      <c r="AF109">
        <v>0</v>
      </c>
      <c r="AG109">
        <v>0</v>
      </c>
      <c r="AH109">
        <v>0</v>
      </c>
      <c r="AI109">
        <v>0</v>
      </c>
      <c r="AJ109">
        <v>0</v>
      </c>
      <c r="AK109">
        <v>0</v>
      </c>
      <c r="AL109">
        <v>0</v>
      </c>
      <c r="AM109">
        <v>0</v>
      </c>
      <c r="AN109">
        <v>0</v>
      </c>
      <c r="AO109">
        <f t="shared" si="19"/>
        <v>0</v>
      </c>
      <c r="AP109">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N/A")</f>
        <v>0</v>
      </c>
      <c r="AQ109">
        <f>IF(ISNUMBER(M109),1,0)+IF(ISNUMBER(SCORECARDS!H109),1,0)+IF(ISNUMBER(SCORECARDS!I109),1,0)+IF(ISNUMBER(SCORECARDS!J109),1,0)+IF(ISNUMBER(ISCAM_Score!K110),1,0)+IF(ISNUMBER(O109),1,0)+IF(COUNT(W109:Z109)&gt;0,1,0)</f>
        <v>3</v>
      </c>
    </row>
    <row r="110" spans="1:43" ht="16.05" customHeight="1" x14ac:dyDescent="0.3">
      <c r="A110" t="s">
        <v>313</v>
      </c>
      <c r="B110" t="s">
        <v>314</v>
      </c>
      <c r="C110" t="s">
        <v>123</v>
      </c>
      <c r="D110" t="s">
        <v>73</v>
      </c>
      <c r="G110" t="s">
        <v>74</v>
      </c>
      <c r="J110" t="s">
        <v>67</v>
      </c>
      <c r="L110">
        <v>0</v>
      </c>
      <c r="M110">
        <f t="shared" si="15"/>
        <v>0</v>
      </c>
      <c r="N110" t="s">
        <v>68</v>
      </c>
      <c r="O110">
        <f t="shared" si="16"/>
        <v>0</v>
      </c>
      <c r="P110" t="s">
        <v>68</v>
      </c>
      <c r="S110">
        <f t="shared" si="17"/>
        <v>0</v>
      </c>
      <c r="T110" t="str">
        <f t="shared" si="18"/>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A110">
        <v>0</v>
      </c>
      <c r="AB110">
        <v>0</v>
      </c>
      <c r="AC110">
        <v>0</v>
      </c>
      <c r="AD110">
        <v>0</v>
      </c>
      <c r="AE110">
        <v>0</v>
      </c>
      <c r="AF110">
        <v>0</v>
      </c>
      <c r="AG110">
        <v>0</v>
      </c>
      <c r="AH110">
        <v>0</v>
      </c>
      <c r="AI110">
        <v>0</v>
      </c>
      <c r="AJ110">
        <v>0</v>
      </c>
      <c r="AK110">
        <v>0</v>
      </c>
      <c r="AL110">
        <v>0</v>
      </c>
      <c r="AM110">
        <v>0</v>
      </c>
      <c r="AN110">
        <v>0</v>
      </c>
      <c r="AO110">
        <f t="shared" si="19"/>
        <v>0</v>
      </c>
      <c r="AP110">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N/A")</f>
        <v>0</v>
      </c>
      <c r="AQ110">
        <f>IF(ISNUMBER(M110),1,0)+IF(ISNUMBER(SCORECARDS!H110),1,0)+IF(ISNUMBER(SCORECARDS!I110),1,0)+IF(ISNUMBER(SCORECARDS!J110),1,0)+IF(ISNUMBER(ISCAM_Score!K111),1,0)+IF(ISNUMBER(O110),1,0)+IF(COUNT(W110:Z110)&gt;0,1,0)</f>
        <v>3</v>
      </c>
    </row>
    <row r="111" spans="1:43" ht="16.05" customHeight="1" x14ac:dyDescent="0.3">
      <c r="A111" t="s">
        <v>315</v>
      </c>
      <c r="B111" t="s">
        <v>316</v>
      </c>
      <c r="C111" t="s">
        <v>116</v>
      </c>
      <c r="D111" t="s">
        <v>65</v>
      </c>
      <c r="E111">
        <v>3887946.29</v>
      </c>
      <c r="F111">
        <v>16</v>
      </c>
      <c r="G111" t="s">
        <v>66</v>
      </c>
      <c r="J111" t="s">
        <v>67</v>
      </c>
      <c r="L111">
        <v>0</v>
      </c>
      <c r="M111">
        <f t="shared" si="15"/>
        <v>0</v>
      </c>
      <c r="N111" t="s">
        <v>68</v>
      </c>
      <c r="O111">
        <f t="shared" si="16"/>
        <v>0</v>
      </c>
      <c r="P111" t="s">
        <v>68</v>
      </c>
      <c r="S111">
        <f t="shared" si="17"/>
        <v>0</v>
      </c>
      <c r="T111" t="str">
        <f t="shared" si="18"/>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A111">
        <v>0</v>
      </c>
      <c r="AB111">
        <v>0</v>
      </c>
      <c r="AC111">
        <v>0</v>
      </c>
      <c r="AD111">
        <v>0</v>
      </c>
      <c r="AE111">
        <v>0</v>
      </c>
      <c r="AF111">
        <v>0</v>
      </c>
      <c r="AG111">
        <v>0</v>
      </c>
      <c r="AH111">
        <v>0</v>
      </c>
      <c r="AI111">
        <v>0</v>
      </c>
      <c r="AJ111">
        <v>0</v>
      </c>
      <c r="AK111">
        <v>0</v>
      </c>
      <c r="AL111">
        <v>0</v>
      </c>
      <c r="AM111">
        <v>0</v>
      </c>
      <c r="AN111">
        <v>0</v>
      </c>
      <c r="AO111">
        <f t="shared" si="19"/>
        <v>0</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N/A")</f>
        <v>0</v>
      </c>
      <c r="AQ111">
        <f>IF(ISNUMBER(M111),1,0)+IF(ISNUMBER(SCORECARDS!H111),1,0)+IF(ISNUMBER(SCORECARDS!I111),1,0)+IF(ISNUMBER(SCORECARDS!J111),1,0)+IF(ISNUMBER(ISCAM_Score!K112),1,0)+IF(ISNUMBER(O111),1,0)+IF(COUNT(W111:Z111)&gt;0,1,0)</f>
        <v>3</v>
      </c>
    </row>
    <row r="112" spans="1:43" ht="16.05" customHeight="1" x14ac:dyDescent="0.3">
      <c r="A112" t="s">
        <v>317</v>
      </c>
      <c r="B112" t="s">
        <v>318</v>
      </c>
      <c r="C112" t="s">
        <v>123</v>
      </c>
      <c r="D112" t="s">
        <v>73</v>
      </c>
      <c r="G112" t="s">
        <v>74</v>
      </c>
      <c r="J112" t="s">
        <v>67</v>
      </c>
      <c r="L112">
        <v>0</v>
      </c>
      <c r="M112">
        <f t="shared" si="15"/>
        <v>0</v>
      </c>
      <c r="N112" t="s">
        <v>68</v>
      </c>
      <c r="O112">
        <f t="shared" si="16"/>
        <v>0</v>
      </c>
      <c r="P112" t="s">
        <v>68</v>
      </c>
      <c r="S112">
        <f t="shared" si="17"/>
        <v>0</v>
      </c>
      <c r="T112" t="str">
        <f t="shared" si="18"/>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A112">
        <v>0</v>
      </c>
      <c r="AB112">
        <v>0</v>
      </c>
      <c r="AC112">
        <v>0</v>
      </c>
      <c r="AD112">
        <v>0</v>
      </c>
      <c r="AE112">
        <v>0</v>
      </c>
      <c r="AF112">
        <v>0</v>
      </c>
      <c r="AG112">
        <v>0</v>
      </c>
      <c r="AH112">
        <v>0</v>
      </c>
      <c r="AI112">
        <v>0</v>
      </c>
      <c r="AJ112">
        <v>0</v>
      </c>
      <c r="AK112">
        <v>0</v>
      </c>
      <c r="AL112">
        <v>0</v>
      </c>
      <c r="AM112">
        <v>0</v>
      </c>
      <c r="AN112">
        <v>0</v>
      </c>
      <c r="AO112">
        <f t="shared" si="19"/>
        <v>0</v>
      </c>
      <c r="AP112">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N/A")</f>
        <v>0</v>
      </c>
      <c r="AQ112">
        <f>IF(ISNUMBER(M112),1,0)+IF(ISNUMBER(SCORECARDS!H112),1,0)+IF(ISNUMBER(SCORECARDS!I112),1,0)+IF(ISNUMBER(SCORECARDS!J112),1,0)+IF(ISNUMBER(ISCAM_Score!K113),1,0)+IF(ISNUMBER(O112),1,0)+IF(COUNT(W112:Z112)&gt;0,1,0)</f>
        <v>3</v>
      </c>
    </row>
    <row r="113" spans="1:43" ht="16.05" customHeight="1" x14ac:dyDescent="0.3">
      <c r="A113" t="s">
        <v>319</v>
      </c>
      <c r="B113" t="s">
        <v>320</v>
      </c>
      <c r="C113" t="s">
        <v>154</v>
      </c>
      <c r="D113" t="s">
        <v>65</v>
      </c>
      <c r="E113">
        <v>464428.88</v>
      </c>
      <c r="F113">
        <v>3</v>
      </c>
      <c r="G113" t="s">
        <v>66</v>
      </c>
      <c r="J113" t="s">
        <v>67</v>
      </c>
      <c r="L113">
        <v>0</v>
      </c>
      <c r="M113">
        <f t="shared" si="15"/>
        <v>0</v>
      </c>
      <c r="N113" t="s">
        <v>68</v>
      </c>
      <c r="O113">
        <f t="shared" si="16"/>
        <v>0</v>
      </c>
      <c r="P113" t="s">
        <v>68</v>
      </c>
      <c r="S113">
        <f t="shared" si="17"/>
        <v>0</v>
      </c>
      <c r="T113" t="str">
        <f t="shared" si="18"/>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A113">
        <v>0</v>
      </c>
      <c r="AB113">
        <v>0</v>
      </c>
      <c r="AC113">
        <v>0</v>
      </c>
      <c r="AD113">
        <v>0</v>
      </c>
      <c r="AE113">
        <v>0</v>
      </c>
      <c r="AF113">
        <v>0</v>
      </c>
      <c r="AG113">
        <v>0</v>
      </c>
      <c r="AH113">
        <v>0</v>
      </c>
      <c r="AI113">
        <v>0</v>
      </c>
      <c r="AJ113">
        <v>0</v>
      </c>
      <c r="AK113">
        <v>0</v>
      </c>
      <c r="AL113">
        <v>0</v>
      </c>
      <c r="AM113">
        <v>0</v>
      </c>
      <c r="AN113">
        <v>0</v>
      </c>
      <c r="AO113">
        <f t="shared" si="19"/>
        <v>0</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N/A")</f>
        <v>0</v>
      </c>
      <c r="AQ113">
        <f>IF(ISNUMBER(M113),1,0)+IF(ISNUMBER(SCORECARDS!H113),1,0)+IF(ISNUMBER(SCORECARDS!I113),1,0)+IF(ISNUMBER(SCORECARDS!J113),1,0)+IF(ISNUMBER(ISCAM_Score!K114),1,0)+IF(ISNUMBER(O113),1,0)+IF(COUNT(W113:Z113)&gt;0,1,0)</f>
        <v>3</v>
      </c>
    </row>
    <row r="114" spans="1:43" ht="16.05" customHeight="1" x14ac:dyDescent="0.3">
      <c r="A114" t="s">
        <v>321</v>
      </c>
      <c r="B114" t="s">
        <v>322</v>
      </c>
      <c r="C114" t="s">
        <v>248</v>
      </c>
      <c r="D114" t="s">
        <v>73</v>
      </c>
      <c r="G114" t="s">
        <v>74</v>
      </c>
      <c r="J114" t="s">
        <v>67</v>
      </c>
      <c r="L114">
        <v>0</v>
      </c>
      <c r="M114">
        <f t="shared" si="15"/>
        <v>0</v>
      </c>
      <c r="N114" t="s">
        <v>68</v>
      </c>
      <c r="O114">
        <f t="shared" si="16"/>
        <v>0</v>
      </c>
      <c r="P114" t="s">
        <v>68</v>
      </c>
      <c r="S114">
        <f t="shared" si="17"/>
        <v>0</v>
      </c>
      <c r="T114" t="str">
        <f t="shared" si="18"/>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A114">
        <v>0</v>
      </c>
      <c r="AB114">
        <v>0</v>
      </c>
      <c r="AC114">
        <v>0</v>
      </c>
      <c r="AD114">
        <v>0</v>
      </c>
      <c r="AE114">
        <v>0</v>
      </c>
      <c r="AF114">
        <v>0</v>
      </c>
      <c r="AG114">
        <v>0</v>
      </c>
      <c r="AH114">
        <v>0</v>
      </c>
      <c r="AI114">
        <v>0</v>
      </c>
      <c r="AJ114">
        <v>0</v>
      </c>
      <c r="AK114">
        <v>0</v>
      </c>
      <c r="AL114">
        <v>0</v>
      </c>
      <c r="AM114">
        <v>0</v>
      </c>
      <c r="AN114">
        <v>0</v>
      </c>
      <c r="AO114">
        <f t="shared" si="19"/>
        <v>0</v>
      </c>
      <c r="AP114">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N/A")</f>
        <v>0</v>
      </c>
      <c r="AQ114">
        <f>IF(ISNUMBER(M114),1,0)+IF(ISNUMBER(SCORECARDS!H114),1,0)+IF(ISNUMBER(SCORECARDS!I114),1,0)+IF(ISNUMBER(SCORECARDS!J114),1,0)+IF(ISNUMBER(ISCAM_Score!K115),1,0)+IF(ISNUMBER(O114),1,0)+IF(COUNT(W114:Z114)&gt;0,1,0)</f>
        <v>3</v>
      </c>
    </row>
    <row r="115" spans="1:43" ht="16.05" customHeight="1" x14ac:dyDescent="0.3">
      <c r="A115" t="s">
        <v>323</v>
      </c>
      <c r="B115" t="s">
        <v>324</v>
      </c>
      <c r="C115" t="s">
        <v>143</v>
      </c>
      <c r="D115" t="s">
        <v>65</v>
      </c>
      <c r="E115">
        <v>1789601.59</v>
      </c>
      <c r="F115">
        <v>11</v>
      </c>
      <c r="G115" t="s">
        <v>66</v>
      </c>
      <c r="J115" t="s">
        <v>67</v>
      </c>
      <c r="L115">
        <v>0</v>
      </c>
      <c r="M115">
        <f t="shared" si="15"/>
        <v>0</v>
      </c>
      <c r="N115" t="s">
        <v>68</v>
      </c>
      <c r="O115">
        <f t="shared" si="16"/>
        <v>0</v>
      </c>
      <c r="P115" t="s">
        <v>68</v>
      </c>
      <c r="S115">
        <f t="shared" si="17"/>
        <v>0</v>
      </c>
      <c r="T115" t="str">
        <f t="shared" si="18"/>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A115">
        <v>0</v>
      </c>
      <c r="AB115">
        <v>0</v>
      </c>
      <c r="AC115">
        <v>0</v>
      </c>
      <c r="AD115">
        <v>0</v>
      </c>
      <c r="AE115">
        <v>0</v>
      </c>
      <c r="AF115">
        <v>0</v>
      </c>
      <c r="AG115">
        <v>0</v>
      </c>
      <c r="AH115">
        <v>0</v>
      </c>
      <c r="AI115">
        <v>0</v>
      </c>
      <c r="AJ115">
        <v>0</v>
      </c>
      <c r="AK115">
        <v>0</v>
      </c>
      <c r="AL115">
        <v>0</v>
      </c>
      <c r="AM115">
        <v>0</v>
      </c>
      <c r="AN115">
        <v>0</v>
      </c>
      <c r="AO115">
        <f t="shared" si="19"/>
        <v>0</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N/A")</f>
        <v>0</v>
      </c>
      <c r="AQ115">
        <f>IF(ISNUMBER(M115),1,0)+IF(ISNUMBER(SCORECARDS!H115),1,0)+IF(ISNUMBER(SCORECARDS!I115),1,0)+IF(ISNUMBER(SCORECARDS!J115),1,0)+IF(ISNUMBER(ISCAM_Score!K116),1,0)+IF(ISNUMBER(O115),1,0)+IF(COUNT(W115:Z115)&gt;0,1,0)</f>
        <v>3</v>
      </c>
    </row>
    <row r="116" spans="1:43" ht="16.05" customHeight="1" x14ac:dyDescent="0.3">
      <c r="A116" t="s">
        <v>325</v>
      </c>
      <c r="B116" t="s">
        <v>326</v>
      </c>
      <c r="C116" t="s">
        <v>248</v>
      </c>
      <c r="D116" t="s">
        <v>73</v>
      </c>
      <c r="G116" t="s">
        <v>74</v>
      </c>
      <c r="J116" t="s">
        <v>67</v>
      </c>
      <c r="L116">
        <v>0</v>
      </c>
      <c r="M116">
        <f t="shared" si="15"/>
        <v>0</v>
      </c>
      <c r="N116" t="s">
        <v>68</v>
      </c>
      <c r="O116">
        <f t="shared" si="16"/>
        <v>0</v>
      </c>
      <c r="P116" t="s">
        <v>68</v>
      </c>
      <c r="S116">
        <f t="shared" si="17"/>
        <v>0</v>
      </c>
      <c r="T116" t="str">
        <f t="shared" si="18"/>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A116">
        <v>0</v>
      </c>
      <c r="AB116">
        <v>0</v>
      </c>
      <c r="AC116">
        <v>0</v>
      </c>
      <c r="AD116">
        <v>0</v>
      </c>
      <c r="AE116">
        <v>0</v>
      </c>
      <c r="AF116">
        <v>0</v>
      </c>
      <c r="AG116">
        <v>0</v>
      </c>
      <c r="AH116">
        <v>0</v>
      </c>
      <c r="AI116">
        <v>0</v>
      </c>
      <c r="AJ116">
        <v>0</v>
      </c>
      <c r="AK116">
        <v>0</v>
      </c>
      <c r="AL116">
        <v>0</v>
      </c>
      <c r="AM116">
        <v>0</v>
      </c>
      <c r="AN116">
        <v>0</v>
      </c>
      <c r="AO116">
        <f t="shared" si="19"/>
        <v>0</v>
      </c>
      <c r="AP116">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N/A")</f>
        <v>0</v>
      </c>
      <c r="AQ116">
        <f>IF(ISNUMBER(M116),1,0)+IF(ISNUMBER(SCORECARDS!H116),1,0)+IF(ISNUMBER(SCORECARDS!I116),1,0)+IF(ISNUMBER(SCORECARDS!J116),1,0)+IF(ISNUMBER(ISCAM_Score!K117),1,0)+IF(ISNUMBER(O116),1,0)+IF(COUNT(W116:Z116)&gt;0,1,0)</f>
        <v>3</v>
      </c>
    </row>
    <row r="117" spans="1:43" ht="16.05" customHeight="1" x14ac:dyDescent="0.3">
      <c r="A117" t="s">
        <v>327</v>
      </c>
      <c r="B117" t="s">
        <v>328</v>
      </c>
      <c r="C117" t="s">
        <v>183</v>
      </c>
      <c r="D117" t="s">
        <v>65</v>
      </c>
      <c r="G117" t="s">
        <v>74</v>
      </c>
      <c r="J117" t="s">
        <v>67</v>
      </c>
      <c r="L117">
        <v>0</v>
      </c>
      <c r="M117">
        <f t="shared" si="15"/>
        <v>0</v>
      </c>
      <c r="N117" t="s">
        <v>68</v>
      </c>
      <c r="O117">
        <f t="shared" si="16"/>
        <v>0</v>
      </c>
      <c r="P117" t="s">
        <v>68</v>
      </c>
      <c r="S117">
        <f t="shared" si="17"/>
        <v>0</v>
      </c>
      <c r="T117" t="str">
        <f t="shared" si="18"/>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A117">
        <v>0</v>
      </c>
      <c r="AB117">
        <v>0</v>
      </c>
      <c r="AC117">
        <v>0</v>
      </c>
      <c r="AD117">
        <v>0</v>
      </c>
      <c r="AE117">
        <v>0</v>
      </c>
      <c r="AF117">
        <v>0</v>
      </c>
      <c r="AG117">
        <v>0</v>
      </c>
      <c r="AH117">
        <v>0</v>
      </c>
      <c r="AI117">
        <v>0</v>
      </c>
      <c r="AJ117">
        <v>0</v>
      </c>
      <c r="AK117">
        <v>0</v>
      </c>
      <c r="AL117">
        <v>0</v>
      </c>
      <c r="AM117">
        <v>0</v>
      </c>
      <c r="AN117">
        <v>0</v>
      </c>
      <c r="AO117">
        <f t="shared" si="19"/>
        <v>0</v>
      </c>
      <c r="AP117">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N/A")</f>
        <v>0</v>
      </c>
      <c r="AQ117">
        <f>IF(ISNUMBER(M117),1,0)+IF(ISNUMBER(SCORECARDS!H117),1,0)+IF(ISNUMBER(SCORECARDS!I117),1,0)+IF(ISNUMBER(SCORECARDS!J117),1,0)+IF(ISNUMBER(ISCAM_Score!K118),1,0)+IF(ISNUMBER(O117),1,0)+IF(COUNT(W117:Z117)&gt;0,1,0)</f>
        <v>3</v>
      </c>
    </row>
    <row r="118" spans="1:43" ht="16.05" customHeight="1" x14ac:dyDescent="0.3">
      <c r="A118" t="s">
        <v>329</v>
      </c>
      <c r="B118" t="s">
        <v>330</v>
      </c>
      <c r="C118" t="s">
        <v>113</v>
      </c>
      <c r="D118" t="s">
        <v>73</v>
      </c>
      <c r="G118" t="s">
        <v>74</v>
      </c>
      <c r="J118" t="s">
        <v>110</v>
      </c>
      <c r="L118">
        <v>0</v>
      </c>
      <c r="M118">
        <f t="shared" si="15"/>
        <v>0</v>
      </c>
      <c r="N118" t="s">
        <v>68</v>
      </c>
      <c r="O118">
        <f t="shared" si="16"/>
        <v>0</v>
      </c>
      <c r="P118" t="s">
        <v>68</v>
      </c>
      <c r="S118">
        <f t="shared" si="17"/>
        <v>0</v>
      </c>
      <c r="T118" t="str">
        <f t="shared" si="18"/>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A118">
        <v>0</v>
      </c>
      <c r="AB118">
        <v>0</v>
      </c>
      <c r="AC118">
        <v>0</v>
      </c>
      <c r="AD118">
        <v>0</v>
      </c>
      <c r="AE118">
        <v>0</v>
      </c>
      <c r="AF118">
        <v>0</v>
      </c>
      <c r="AG118">
        <v>0</v>
      </c>
      <c r="AH118">
        <v>0</v>
      </c>
      <c r="AI118">
        <v>0</v>
      </c>
      <c r="AJ118">
        <v>0</v>
      </c>
      <c r="AK118">
        <v>0</v>
      </c>
      <c r="AL118">
        <v>0</v>
      </c>
      <c r="AM118">
        <v>0</v>
      </c>
      <c r="AN118">
        <v>0</v>
      </c>
      <c r="AO118">
        <f t="shared" si="19"/>
        <v>0</v>
      </c>
      <c r="AP118">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N/A")</f>
        <v>0</v>
      </c>
      <c r="AQ118">
        <f>IF(ISNUMBER(M118),1,0)+IF(ISNUMBER(SCORECARDS!H118),1,0)+IF(ISNUMBER(SCORECARDS!I118),1,0)+IF(ISNUMBER(SCORECARDS!J118),1,0)+IF(ISNUMBER(ISCAM_Score!K119),1,0)+IF(ISNUMBER(O118),1,0)+IF(COUNT(W118:Z118)&gt;0,1,0)</f>
        <v>3</v>
      </c>
    </row>
    <row r="119" spans="1:43" ht="16.05" customHeight="1" x14ac:dyDescent="0.3">
      <c r="A119" t="s">
        <v>331</v>
      </c>
      <c r="B119" t="s">
        <v>332</v>
      </c>
      <c r="C119" t="s">
        <v>113</v>
      </c>
      <c r="D119" t="s">
        <v>73</v>
      </c>
      <c r="G119" t="s">
        <v>74</v>
      </c>
      <c r="J119" t="s">
        <v>67</v>
      </c>
      <c r="L119">
        <v>0</v>
      </c>
      <c r="M119">
        <f t="shared" si="15"/>
        <v>0</v>
      </c>
      <c r="N119" t="s">
        <v>68</v>
      </c>
      <c r="O119">
        <f t="shared" si="16"/>
        <v>0</v>
      </c>
      <c r="P119" t="s">
        <v>68</v>
      </c>
      <c r="S119">
        <f t="shared" si="17"/>
        <v>0</v>
      </c>
      <c r="T119" t="str">
        <f t="shared" si="18"/>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A119">
        <v>0</v>
      </c>
      <c r="AB119">
        <v>0</v>
      </c>
      <c r="AC119">
        <v>0</v>
      </c>
      <c r="AD119">
        <v>0</v>
      </c>
      <c r="AE119">
        <v>0</v>
      </c>
      <c r="AF119">
        <v>0</v>
      </c>
      <c r="AG119">
        <v>0</v>
      </c>
      <c r="AH119">
        <v>0</v>
      </c>
      <c r="AI119">
        <v>0</v>
      </c>
      <c r="AJ119">
        <v>0</v>
      </c>
      <c r="AK119">
        <v>0</v>
      </c>
      <c r="AL119">
        <v>0</v>
      </c>
      <c r="AM119">
        <v>0</v>
      </c>
      <c r="AN119">
        <v>0</v>
      </c>
      <c r="AO119">
        <f t="shared" si="19"/>
        <v>0</v>
      </c>
      <c r="AP119">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N/A")</f>
        <v>0</v>
      </c>
      <c r="AQ119">
        <f>IF(ISNUMBER(M119),1,0)+IF(ISNUMBER(SCORECARDS!H119),1,0)+IF(ISNUMBER(SCORECARDS!I119),1,0)+IF(ISNUMBER(SCORECARDS!J119),1,0)+IF(ISNUMBER(ISCAM_Score!K120),1,0)+IF(ISNUMBER(O119),1,0)+IF(COUNT(W119:Z119)&gt;0,1,0)</f>
        <v>3</v>
      </c>
    </row>
    <row r="120" spans="1:43" ht="16.05" customHeight="1" x14ac:dyDescent="0.3">
      <c r="A120" t="s">
        <v>333</v>
      </c>
      <c r="B120" t="s">
        <v>334</v>
      </c>
      <c r="C120" t="s">
        <v>154</v>
      </c>
      <c r="D120" t="s">
        <v>65</v>
      </c>
      <c r="G120" t="s">
        <v>74</v>
      </c>
      <c r="J120" t="s">
        <v>67</v>
      </c>
      <c r="L120">
        <v>0</v>
      </c>
      <c r="M120">
        <f t="shared" si="15"/>
        <v>0</v>
      </c>
      <c r="N120" t="s">
        <v>68</v>
      </c>
      <c r="O120">
        <f t="shared" si="16"/>
        <v>0</v>
      </c>
      <c r="P120" t="s">
        <v>68</v>
      </c>
      <c r="S120">
        <f t="shared" si="17"/>
        <v>0</v>
      </c>
      <c r="T120" t="str">
        <f t="shared" si="18"/>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A120">
        <v>0</v>
      </c>
      <c r="AB120">
        <v>0</v>
      </c>
      <c r="AC120">
        <v>0</v>
      </c>
      <c r="AD120">
        <v>0</v>
      </c>
      <c r="AE120">
        <v>0</v>
      </c>
      <c r="AF120">
        <v>0</v>
      </c>
      <c r="AG120">
        <v>0</v>
      </c>
      <c r="AH120">
        <v>0</v>
      </c>
      <c r="AI120">
        <v>0</v>
      </c>
      <c r="AJ120">
        <v>0</v>
      </c>
      <c r="AK120">
        <v>0</v>
      </c>
      <c r="AL120">
        <v>0</v>
      </c>
      <c r="AM120">
        <v>0</v>
      </c>
      <c r="AN120">
        <v>0</v>
      </c>
      <c r="AO120">
        <f t="shared" si="19"/>
        <v>0</v>
      </c>
      <c r="AP120">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N/A")</f>
        <v>0</v>
      </c>
      <c r="AQ120">
        <f>IF(ISNUMBER(M120),1,0)+IF(ISNUMBER(SCORECARDS!H120),1,0)+IF(ISNUMBER(SCORECARDS!I120),1,0)+IF(ISNUMBER(SCORECARDS!J120),1,0)+IF(ISNUMBER(ISCAM_Score!K121),1,0)+IF(ISNUMBER(O120),1,0)+IF(COUNT(W120:Z120)&gt;0,1,0)</f>
        <v>3</v>
      </c>
    </row>
    <row r="121" spans="1:43" ht="16.05" customHeight="1" x14ac:dyDescent="0.3">
      <c r="A121" t="s">
        <v>335</v>
      </c>
      <c r="B121" t="s">
        <v>336</v>
      </c>
      <c r="C121" t="s">
        <v>257</v>
      </c>
      <c r="D121" t="s">
        <v>65</v>
      </c>
      <c r="G121" t="s">
        <v>74</v>
      </c>
      <c r="J121" t="s">
        <v>67</v>
      </c>
      <c r="L121">
        <v>0</v>
      </c>
      <c r="M121">
        <f t="shared" si="15"/>
        <v>0</v>
      </c>
      <c r="N121" t="s">
        <v>68</v>
      </c>
      <c r="O121">
        <f t="shared" si="16"/>
        <v>0</v>
      </c>
      <c r="P121" t="s">
        <v>68</v>
      </c>
      <c r="S121">
        <f t="shared" si="17"/>
        <v>0</v>
      </c>
      <c r="T121" t="str">
        <f t="shared" si="18"/>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A121">
        <v>0</v>
      </c>
      <c r="AB121">
        <v>0</v>
      </c>
      <c r="AC121">
        <v>0</v>
      </c>
      <c r="AD121">
        <v>0</v>
      </c>
      <c r="AE121">
        <v>0</v>
      </c>
      <c r="AF121">
        <v>0</v>
      </c>
      <c r="AG121">
        <v>0</v>
      </c>
      <c r="AH121">
        <v>0</v>
      </c>
      <c r="AI121">
        <v>0</v>
      </c>
      <c r="AJ121">
        <v>0</v>
      </c>
      <c r="AK121">
        <v>0</v>
      </c>
      <c r="AL121">
        <v>0</v>
      </c>
      <c r="AM121">
        <v>0</v>
      </c>
      <c r="AN121">
        <v>0</v>
      </c>
      <c r="AO121">
        <f t="shared" si="19"/>
        <v>0</v>
      </c>
      <c r="AP121">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N/A")</f>
        <v>0</v>
      </c>
      <c r="AQ121">
        <f>IF(ISNUMBER(M121),1,0)+IF(ISNUMBER(SCORECARDS!H121),1,0)+IF(ISNUMBER(SCORECARDS!I121),1,0)+IF(ISNUMBER(SCORECARDS!J121),1,0)+IF(ISNUMBER(ISCAM_Score!K122),1,0)+IF(ISNUMBER(O121),1,0)+IF(COUNT(W121:Z121)&gt;0,1,0)</f>
        <v>3</v>
      </c>
    </row>
    <row r="122" spans="1:43" ht="16.05" customHeight="1" x14ac:dyDescent="0.3">
      <c r="A122" t="s">
        <v>337</v>
      </c>
      <c r="B122" t="s">
        <v>338</v>
      </c>
      <c r="C122" t="s">
        <v>123</v>
      </c>
      <c r="D122" t="s">
        <v>65</v>
      </c>
      <c r="G122" t="s">
        <v>74</v>
      </c>
      <c r="J122" t="s">
        <v>67</v>
      </c>
      <c r="L122">
        <v>0</v>
      </c>
      <c r="M122">
        <f t="shared" si="15"/>
        <v>0</v>
      </c>
      <c r="N122" t="s">
        <v>68</v>
      </c>
      <c r="O122">
        <f t="shared" si="16"/>
        <v>0</v>
      </c>
      <c r="P122" t="s">
        <v>68</v>
      </c>
      <c r="S122">
        <f t="shared" si="17"/>
        <v>0</v>
      </c>
      <c r="T122" t="str">
        <f t="shared" si="18"/>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A122">
        <v>0</v>
      </c>
      <c r="AB122">
        <v>0</v>
      </c>
      <c r="AC122">
        <v>0</v>
      </c>
      <c r="AD122">
        <v>0</v>
      </c>
      <c r="AE122">
        <v>0</v>
      </c>
      <c r="AF122">
        <v>0</v>
      </c>
      <c r="AG122">
        <v>0</v>
      </c>
      <c r="AH122">
        <v>0</v>
      </c>
      <c r="AI122">
        <v>0</v>
      </c>
      <c r="AJ122">
        <v>0</v>
      </c>
      <c r="AK122">
        <v>0</v>
      </c>
      <c r="AL122">
        <v>0</v>
      </c>
      <c r="AM122">
        <v>0</v>
      </c>
      <c r="AN122">
        <v>0</v>
      </c>
      <c r="AO122">
        <f t="shared" si="19"/>
        <v>0</v>
      </c>
      <c r="AP122">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N/A")</f>
        <v>0</v>
      </c>
      <c r="AQ122">
        <f>IF(ISNUMBER(M122),1,0)+IF(ISNUMBER(SCORECARDS!H122),1,0)+IF(ISNUMBER(SCORECARDS!I122),1,0)+IF(ISNUMBER(SCORECARDS!J122),1,0)+IF(ISNUMBER(ISCAM_Score!K123),1,0)+IF(ISNUMBER(O122),1,0)+IF(COUNT(W122:Z122)&gt;0,1,0)</f>
        <v>3</v>
      </c>
    </row>
    <row r="123" spans="1:43" ht="16.05" customHeight="1" x14ac:dyDescent="0.3">
      <c r="A123" t="s">
        <v>339</v>
      </c>
      <c r="B123" t="s">
        <v>340</v>
      </c>
      <c r="C123" t="s">
        <v>77</v>
      </c>
      <c r="D123" t="s">
        <v>65</v>
      </c>
      <c r="E123">
        <v>0</v>
      </c>
      <c r="G123" t="s">
        <v>74</v>
      </c>
      <c r="J123" t="s">
        <v>128</v>
      </c>
      <c r="L123">
        <v>0</v>
      </c>
      <c r="M123">
        <f t="shared" si="15"/>
        <v>0</v>
      </c>
      <c r="N123" t="s">
        <v>68</v>
      </c>
      <c r="O123">
        <f t="shared" si="16"/>
        <v>0</v>
      </c>
      <c r="P123" t="s">
        <v>68</v>
      </c>
      <c r="S123">
        <f t="shared" si="17"/>
        <v>0</v>
      </c>
      <c r="T123" t="str">
        <f t="shared" si="18"/>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A123">
        <v>0</v>
      </c>
      <c r="AB123">
        <v>0</v>
      </c>
      <c r="AC123">
        <v>0</v>
      </c>
      <c r="AD123">
        <v>0</v>
      </c>
      <c r="AE123">
        <v>0</v>
      </c>
      <c r="AF123">
        <v>0</v>
      </c>
      <c r="AG123">
        <v>0</v>
      </c>
      <c r="AH123">
        <v>0</v>
      </c>
      <c r="AI123">
        <v>0</v>
      </c>
      <c r="AJ123">
        <v>0</v>
      </c>
      <c r="AK123">
        <v>0</v>
      </c>
      <c r="AL123">
        <v>0</v>
      </c>
      <c r="AM123">
        <v>0</v>
      </c>
      <c r="AN123">
        <v>0</v>
      </c>
      <c r="AO123">
        <f t="shared" si="19"/>
        <v>0</v>
      </c>
      <c r="AP123">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N/A")</f>
        <v>0</v>
      </c>
      <c r="AQ123">
        <f>IF(ISNUMBER(M123),1,0)+IF(ISNUMBER(SCORECARDS!H123),1,0)+IF(ISNUMBER(SCORECARDS!I123),1,0)+IF(ISNUMBER(SCORECARDS!J123),1,0)+IF(ISNUMBER(ISCAM_Score!K124),1,0)+IF(ISNUMBER(O123),1,0)+IF(COUNT(W123:Z123)&gt;0,1,0)</f>
        <v>3</v>
      </c>
    </row>
    <row r="124" spans="1:43" ht="16.05" customHeight="1" x14ac:dyDescent="0.3">
      <c r="A124" t="s">
        <v>341</v>
      </c>
      <c r="B124" t="s">
        <v>342</v>
      </c>
      <c r="C124" t="s">
        <v>116</v>
      </c>
      <c r="D124" t="s">
        <v>65</v>
      </c>
      <c r="E124">
        <v>442439.35</v>
      </c>
      <c r="F124">
        <v>4</v>
      </c>
      <c r="G124" t="s">
        <v>66</v>
      </c>
      <c r="H124" t="s">
        <v>251</v>
      </c>
      <c r="I124" t="s">
        <v>343</v>
      </c>
      <c r="J124" t="s">
        <v>67</v>
      </c>
      <c r="K124" t="s">
        <v>344</v>
      </c>
      <c r="L124">
        <v>0</v>
      </c>
      <c r="M124">
        <f t="shared" si="15"/>
        <v>0</v>
      </c>
      <c r="N124" t="s">
        <v>68</v>
      </c>
      <c r="O124">
        <f t="shared" si="16"/>
        <v>0</v>
      </c>
      <c r="P124" t="s">
        <v>68</v>
      </c>
      <c r="Q124">
        <v>256</v>
      </c>
      <c r="R124">
        <v>685</v>
      </c>
      <c r="S124">
        <f t="shared" si="17"/>
        <v>5.2</v>
      </c>
      <c r="T124" t="str">
        <f t="shared" si="18"/>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A124">
        <v>0</v>
      </c>
      <c r="AB124">
        <v>0</v>
      </c>
      <c r="AC124">
        <v>0</v>
      </c>
      <c r="AD124">
        <v>0</v>
      </c>
      <c r="AE124">
        <v>0</v>
      </c>
      <c r="AF124">
        <v>0</v>
      </c>
      <c r="AG124">
        <v>0</v>
      </c>
      <c r="AH124">
        <v>0</v>
      </c>
      <c r="AI124">
        <v>0</v>
      </c>
      <c r="AJ124">
        <v>0</v>
      </c>
      <c r="AK124">
        <v>0</v>
      </c>
      <c r="AL124">
        <v>0</v>
      </c>
      <c r="AM124">
        <v>0</v>
      </c>
      <c r="AN124">
        <v>0</v>
      </c>
      <c r="AO124">
        <f t="shared" si="19"/>
        <v>0</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N/A")</f>
        <v>5.2083333333333336E-2</v>
      </c>
      <c r="AQ124">
        <f>IF(ISNUMBER(M124),1,0)+IF(ISNUMBER(SCORECARDS!H124),1,0)+IF(ISNUMBER(SCORECARDS!I124),1,0)+IF(ISNUMBER(SCORECARDS!J124),1,0)+IF(ISNUMBER(ISCAM_Score!K125),1,0)+IF(ISNUMBER(O124),1,0)+IF(COUNT(W124:Z124)&gt;0,1,0)</f>
        <v>3</v>
      </c>
    </row>
    <row r="125" spans="1:43" ht="16.05" customHeight="1" x14ac:dyDescent="0.3">
      <c r="A125" t="s">
        <v>345</v>
      </c>
      <c r="B125" t="s">
        <v>346</v>
      </c>
      <c r="C125" t="s">
        <v>77</v>
      </c>
      <c r="D125" t="s">
        <v>73</v>
      </c>
      <c r="G125" t="s">
        <v>74</v>
      </c>
      <c r="J125" t="s">
        <v>67</v>
      </c>
      <c r="L125">
        <v>0</v>
      </c>
      <c r="M125">
        <f t="shared" si="15"/>
        <v>0</v>
      </c>
      <c r="N125" t="s">
        <v>68</v>
      </c>
      <c r="O125">
        <f t="shared" si="16"/>
        <v>0</v>
      </c>
      <c r="P125" t="s">
        <v>68</v>
      </c>
      <c r="S125">
        <f t="shared" si="17"/>
        <v>0</v>
      </c>
      <c r="T125" t="str">
        <f t="shared" si="18"/>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A125">
        <v>0</v>
      </c>
      <c r="AB125">
        <v>0</v>
      </c>
      <c r="AC125">
        <v>0</v>
      </c>
      <c r="AD125">
        <v>0</v>
      </c>
      <c r="AE125">
        <v>0</v>
      </c>
      <c r="AF125">
        <v>0</v>
      </c>
      <c r="AG125">
        <v>0</v>
      </c>
      <c r="AH125">
        <v>0</v>
      </c>
      <c r="AI125">
        <v>0</v>
      </c>
      <c r="AJ125">
        <v>0</v>
      </c>
      <c r="AK125">
        <v>0</v>
      </c>
      <c r="AL125">
        <v>0</v>
      </c>
      <c r="AM125">
        <v>0</v>
      </c>
      <c r="AN125">
        <v>0</v>
      </c>
      <c r="AO125">
        <f t="shared" si="19"/>
        <v>0</v>
      </c>
      <c r="AP125">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N/A")</f>
        <v>0</v>
      </c>
      <c r="AQ125">
        <f>IF(ISNUMBER(M125),1,0)+IF(ISNUMBER(SCORECARDS!H125),1,0)+IF(ISNUMBER(SCORECARDS!I125),1,0)+IF(ISNUMBER(SCORECARDS!J125),1,0)+IF(ISNUMBER(ISCAM_Score!K126),1,0)+IF(ISNUMBER(O125),1,0)+IF(COUNT(W125:Z125)&gt;0,1,0)</f>
        <v>3</v>
      </c>
    </row>
    <row r="126" spans="1:43" ht="16.05" customHeight="1" x14ac:dyDescent="0.3">
      <c r="A126" t="s">
        <v>347</v>
      </c>
      <c r="B126" t="s">
        <v>348</v>
      </c>
      <c r="C126" t="s">
        <v>77</v>
      </c>
      <c r="D126" t="s">
        <v>73</v>
      </c>
      <c r="E126">
        <v>0</v>
      </c>
      <c r="G126" t="s">
        <v>74</v>
      </c>
      <c r="J126" t="s">
        <v>67</v>
      </c>
      <c r="L126">
        <v>0</v>
      </c>
      <c r="M126">
        <f t="shared" si="15"/>
        <v>0</v>
      </c>
      <c r="N126" t="s">
        <v>68</v>
      </c>
      <c r="O126">
        <f t="shared" si="16"/>
        <v>0</v>
      </c>
      <c r="P126" t="s">
        <v>68</v>
      </c>
      <c r="S126">
        <f t="shared" si="17"/>
        <v>0</v>
      </c>
      <c r="T126" t="str">
        <f t="shared" si="18"/>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A126">
        <v>0</v>
      </c>
      <c r="AB126">
        <v>0</v>
      </c>
      <c r="AC126">
        <v>0</v>
      </c>
      <c r="AD126">
        <v>0</v>
      </c>
      <c r="AE126">
        <v>0</v>
      </c>
      <c r="AF126">
        <v>0</v>
      </c>
      <c r="AG126">
        <v>0</v>
      </c>
      <c r="AH126">
        <v>0</v>
      </c>
      <c r="AI126">
        <v>0</v>
      </c>
      <c r="AJ126">
        <v>0</v>
      </c>
      <c r="AK126">
        <v>0</v>
      </c>
      <c r="AL126">
        <v>0</v>
      </c>
      <c r="AM126">
        <v>0</v>
      </c>
      <c r="AN126">
        <v>0</v>
      </c>
      <c r="AO126">
        <f t="shared" si="19"/>
        <v>0</v>
      </c>
      <c r="AP126">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N/A")</f>
        <v>0</v>
      </c>
      <c r="AQ126">
        <f>IF(ISNUMBER(M126),1,0)+IF(ISNUMBER(SCORECARDS!H126),1,0)+IF(ISNUMBER(SCORECARDS!I126),1,0)+IF(ISNUMBER(SCORECARDS!J126),1,0)+IF(ISNUMBER(ISCAM_Score!K127),1,0)+IF(ISNUMBER(O126),1,0)+IF(COUNT(W126:Z126)&gt;0,1,0)</f>
        <v>3</v>
      </c>
    </row>
    <row r="127" spans="1:43" ht="16.05" customHeight="1" x14ac:dyDescent="0.3">
      <c r="A127" t="s">
        <v>349</v>
      </c>
      <c r="B127" t="s">
        <v>350</v>
      </c>
      <c r="C127" t="s">
        <v>77</v>
      </c>
      <c r="D127" t="s">
        <v>73</v>
      </c>
      <c r="E127">
        <v>0</v>
      </c>
      <c r="G127" t="s">
        <v>74</v>
      </c>
      <c r="J127" t="s">
        <v>67</v>
      </c>
      <c r="L127">
        <v>0</v>
      </c>
      <c r="M127">
        <f t="shared" si="15"/>
        <v>0</v>
      </c>
      <c r="N127" t="s">
        <v>68</v>
      </c>
      <c r="O127">
        <f t="shared" si="16"/>
        <v>0</v>
      </c>
      <c r="P127" t="s">
        <v>68</v>
      </c>
      <c r="S127">
        <f t="shared" si="17"/>
        <v>0</v>
      </c>
      <c r="T127" t="str">
        <f t="shared" si="18"/>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A127">
        <v>0</v>
      </c>
      <c r="AB127">
        <v>0</v>
      </c>
      <c r="AC127">
        <v>0</v>
      </c>
      <c r="AD127">
        <v>0</v>
      </c>
      <c r="AE127">
        <v>0</v>
      </c>
      <c r="AF127">
        <v>0</v>
      </c>
      <c r="AG127">
        <v>0</v>
      </c>
      <c r="AH127">
        <v>0</v>
      </c>
      <c r="AI127">
        <v>0</v>
      </c>
      <c r="AJ127">
        <v>0</v>
      </c>
      <c r="AK127">
        <v>0</v>
      </c>
      <c r="AL127">
        <v>0</v>
      </c>
      <c r="AM127">
        <v>0</v>
      </c>
      <c r="AN127">
        <v>0</v>
      </c>
      <c r="AO127">
        <f t="shared" si="19"/>
        <v>0</v>
      </c>
      <c r="AP127">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N/A")</f>
        <v>0</v>
      </c>
      <c r="AQ127">
        <f>IF(ISNUMBER(M127),1,0)+IF(ISNUMBER(SCORECARDS!H127),1,0)+IF(ISNUMBER(SCORECARDS!I127),1,0)+IF(ISNUMBER(SCORECARDS!J127),1,0)+IF(ISNUMBER(ISCAM_Score!K128),1,0)+IF(ISNUMBER(O127),1,0)+IF(COUNT(W127:Z127)&gt;0,1,0)</f>
        <v>3</v>
      </c>
    </row>
    <row r="128" spans="1:43" ht="16.05" customHeight="1" x14ac:dyDescent="0.3">
      <c r="A128" t="s">
        <v>351</v>
      </c>
      <c r="B128" t="s">
        <v>352</v>
      </c>
      <c r="C128" t="s">
        <v>116</v>
      </c>
      <c r="D128" t="s">
        <v>65</v>
      </c>
      <c r="E128">
        <v>13966273.33</v>
      </c>
      <c r="F128">
        <v>80</v>
      </c>
      <c r="G128" t="s">
        <v>66</v>
      </c>
      <c r="J128" t="s">
        <v>67</v>
      </c>
      <c r="L128">
        <v>6983136.6699999999</v>
      </c>
      <c r="M128">
        <f t="shared" si="15"/>
        <v>50</v>
      </c>
      <c r="N128" t="s">
        <v>68</v>
      </c>
      <c r="O128">
        <f t="shared" si="16"/>
        <v>0</v>
      </c>
      <c r="P128" t="s">
        <v>68</v>
      </c>
      <c r="S128">
        <f t="shared" si="17"/>
        <v>26</v>
      </c>
      <c r="T128" t="str">
        <f t="shared" si="18"/>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A128">
        <v>0</v>
      </c>
      <c r="AB128">
        <v>0</v>
      </c>
      <c r="AC128">
        <v>0</v>
      </c>
      <c r="AD128">
        <v>0</v>
      </c>
      <c r="AE128">
        <v>0</v>
      </c>
      <c r="AF128">
        <v>0</v>
      </c>
      <c r="AG128">
        <v>0</v>
      </c>
      <c r="AH128">
        <v>0</v>
      </c>
      <c r="AI128">
        <v>0</v>
      </c>
      <c r="AJ128">
        <v>0</v>
      </c>
      <c r="AK128">
        <v>0</v>
      </c>
      <c r="AL128">
        <v>0</v>
      </c>
      <c r="AM128">
        <v>0</v>
      </c>
      <c r="AN128">
        <v>0</v>
      </c>
      <c r="AO128">
        <f t="shared" si="19"/>
        <v>0</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N/A")</f>
        <v>0.26041666666666669</v>
      </c>
      <c r="AQ128">
        <f>IF(ISNUMBER(M128),1,0)+IF(ISNUMBER(SCORECARDS!H128),1,0)+IF(ISNUMBER(SCORECARDS!I128),1,0)+IF(ISNUMBER(SCORECARDS!J128),1,0)+IF(ISNUMBER(ISCAM_Score!K129),1,0)+IF(ISNUMBER(O128),1,0)+IF(COUNT(W128:Z128)&gt;0,1,0)</f>
        <v>3</v>
      </c>
    </row>
    <row r="129" spans="1:43" ht="16.05" customHeight="1" x14ac:dyDescent="0.3">
      <c r="A129" t="s">
        <v>353</v>
      </c>
      <c r="B129" t="s">
        <v>354</v>
      </c>
      <c r="C129" t="s">
        <v>113</v>
      </c>
      <c r="D129" t="s">
        <v>73</v>
      </c>
      <c r="G129" t="s">
        <v>74</v>
      </c>
      <c r="J129" t="s">
        <v>67</v>
      </c>
      <c r="L129">
        <v>0</v>
      </c>
      <c r="M129">
        <f t="shared" si="15"/>
        <v>0</v>
      </c>
      <c r="N129" t="s">
        <v>68</v>
      </c>
      <c r="O129">
        <f t="shared" si="16"/>
        <v>0</v>
      </c>
      <c r="P129" t="s">
        <v>68</v>
      </c>
      <c r="S129">
        <f t="shared" si="17"/>
        <v>0</v>
      </c>
      <c r="T129" t="str">
        <f t="shared" si="18"/>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A129">
        <v>0</v>
      </c>
      <c r="AB129">
        <v>0</v>
      </c>
      <c r="AC129">
        <v>0</v>
      </c>
      <c r="AD129">
        <v>0</v>
      </c>
      <c r="AE129">
        <v>0</v>
      </c>
      <c r="AF129">
        <v>0</v>
      </c>
      <c r="AG129">
        <v>0</v>
      </c>
      <c r="AH129">
        <v>0</v>
      </c>
      <c r="AI129">
        <v>0</v>
      </c>
      <c r="AJ129">
        <v>0</v>
      </c>
      <c r="AK129">
        <v>0</v>
      </c>
      <c r="AL129">
        <v>0</v>
      </c>
      <c r="AM129">
        <v>0</v>
      </c>
      <c r="AN129">
        <v>0</v>
      </c>
      <c r="AO129">
        <f t="shared" si="19"/>
        <v>0</v>
      </c>
      <c r="AP129">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N/A")</f>
        <v>0</v>
      </c>
      <c r="AQ129">
        <f>IF(ISNUMBER(M129),1,0)+IF(ISNUMBER(SCORECARDS!H129),1,0)+IF(ISNUMBER(SCORECARDS!I129),1,0)+IF(ISNUMBER(SCORECARDS!J129),1,0)+IF(ISNUMBER(ISCAM_Score!K130),1,0)+IF(ISNUMBER(O129),1,0)+IF(COUNT(W129:Z129)&gt;0,1,0)</f>
        <v>3</v>
      </c>
    </row>
    <row r="130" spans="1:43" ht="16.05" customHeight="1" x14ac:dyDescent="0.3">
      <c r="A130" t="s">
        <v>355</v>
      </c>
      <c r="B130" t="s">
        <v>356</v>
      </c>
      <c r="C130" t="s">
        <v>257</v>
      </c>
      <c r="D130" t="s">
        <v>65</v>
      </c>
      <c r="E130">
        <v>826100.75</v>
      </c>
      <c r="F130">
        <v>5</v>
      </c>
      <c r="G130" t="s">
        <v>66</v>
      </c>
      <c r="H130" t="s">
        <v>343</v>
      </c>
      <c r="I130" t="s">
        <v>343</v>
      </c>
      <c r="J130" t="s">
        <v>67</v>
      </c>
      <c r="K130" t="s">
        <v>357</v>
      </c>
      <c r="L130">
        <v>0</v>
      </c>
      <c r="M130">
        <f t="shared" si="15"/>
        <v>0</v>
      </c>
      <c r="N130" t="s">
        <v>68</v>
      </c>
      <c r="O130">
        <f t="shared" si="16"/>
        <v>0</v>
      </c>
      <c r="P130" t="s">
        <v>68</v>
      </c>
      <c r="Q130">
        <v>177</v>
      </c>
      <c r="R130">
        <v>213</v>
      </c>
      <c r="S130">
        <f t="shared" si="17"/>
        <v>5.2</v>
      </c>
      <c r="T130" t="str">
        <f t="shared" si="18"/>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A130">
        <v>0</v>
      </c>
      <c r="AB130">
        <v>0</v>
      </c>
      <c r="AC130">
        <v>0</v>
      </c>
      <c r="AD130">
        <v>0</v>
      </c>
      <c r="AE130">
        <v>0</v>
      </c>
      <c r="AF130">
        <v>0</v>
      </c>
      <c r="AG130">
        <v>0</v>
      </c>
      <c r="AH130">
        <v>0</v>
      </c>
      <c r="AI130">
        <v>0</v>
      </c>
      <c r="AJ130">
        <v>0</v>
      </c>
      <c r="AK130">
        <v>0</v>
      </c>
      <c r="AL130">
        <v>0</v>
      </c>
      <c r="AM130">
        <v>0</v>
      </c>
      <c r="AN130">
        <v>0</v>
      </c>
      <c r="AO130">
        <f t="shared" si="19"/>
        <v>0</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N/A")</f>
        <v>5.2083333333333336E-2</v>
      </c>
      <c r="AQ130">
        <f>IF(ISNUMBER(M130),1,0)+IF(ISNUMBER(SCORECARDS!H130),1,0)+IF(ISNUMBER(SCORECARDS!I130),1,0)+IF(ISNUMBER(SCORECARDS!J130),1,0)+IF(ISNUMBER(ISCAM_Score!K131),1,0)+IF(ISNUMBER(O130),1,0)+IF(COUNT(W130:Z130)&gt;0,1,0)</f>
        <v>3</v>
      </c>
    </row>
    <row r="131" spans="1:43" ht="16.05" customHeight="1" x14ac:dyDescent="0.3">
      <c r="A131" t="s">
        <v>358</v>
      </c>
      <c r="B131" t="s">
        <v>359</v>
      </c>
      <c r="C131" t="s">
        <v>77</v>
      </c>
      <c r="D131" t="s">
        <v>65</v>
      </c>
      <c r="E131">
        <v>0</v>
      </c>
      <c r="G131" t="s">
        <v>74</v>
      </c>
      <c r="J131" t="s">
        <v>128</v>
      </c>
      <c r="L131">
        <v>0</v>
      </c>
      <c r="M131">
        <f t="shared" ref="M131:M162" si="20">IF(E131&gt;0,ROUND(L131/E131*100,1),0)</f>
        <v>0</v>
      </c>
      <c r="N131" t="s">
        <v>68</v>
      </c>
      <c r="O131">
        <f t="shared" ref="O131:O162" si="21">IF(H131="SI",1,0)*0.6+IF(I131="SI",1,0)*0.4</f>
        <v>0</v>
      </c>
      <c r="P131" t="s">
        <v>68</v>
      </c>
      <c r="S131">
        <f t="shared" ref="S131:S162" si="22">IFERROR(ROUND(AP131*100,1),"N/A")</f>
        <v>0</v>
      </c>
      <c r="T131" t="str">
        <f t="shared" ref="T131:T162" si="23">IF(NOT(ISNUMBER(S131)),"—",IF(AQ131&lt;6,"⬜  Parcial · Inst. 2 pendiente",IF(S131&lt;34,"🔴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N/A")</f>
        <v>0</v>
      </c>
      <c r="AQ131">
        <f>IF(ISNUMBER(M131),1,0)+IF(ISNUMBER(SCORECARDS!H131),1,0)+IF(ISNUMBER(SCORECARDS!I131),1,0)+IF(ISNUMBER(SCORECARDS!J131),1,0)+IF(ISNUMBER(ISCAM_Score!K132),1,0)+IF(ISNUMBER(O131),1,0)+IF(COUNT(W131:Z131)&gt;0,1,0)</f>
        <v>3</v>
      </c>
    </row>
    <row r="132" spans="1:43" ht="16.05" customHeight="1" x14ac:dyDescent="0.3">
      <c r="A132" t="s">
        <v>360</v>
      </c>
      <c r="B132" t="s">
        <v>361</v>
      </c>
      <c r="C132" t="s">
        <v>113</v>
      </c>
      <c r="D132" t="s">
        <v>73</v>
      </c>
      <c r="G132" t="s">
        <v>74</v>
      </c>
      <c r="J132" t="s">
        <v>128</v>
      </c>
      <c r="L132">
        <v>0</v>
      </c>
      <c r="M132">
        <f t="shared" si="20"/>
        <v>0</v>
      </c>
      <c r="N132" t="s">
        <v>68</v>
      </c>
      <c r="O132">
        <f t="shared" si="21"/>
        <v>0</v>
      </c>
      <c r="P132" t="s">
        <v>68</v>
      </c>
      <c r="S132">
        <f t="shared" si="22"/>
        <v>0</v>
      </c>
      <c r="T132" t="str">
        <f t="shared" si="23"/>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A132">
        <v>0</v>
      </c>
      <c r="AB132">
        <v>0</v>
      </c>
      <c r="AC132">
        <v>0</v>
      </c>
      <c r="AD132">
        <v>0</v>
      </c>
      <c r="AE132">
        <v>0</v>
      </c>
      <c r="AF132">
        <v>0</v>
      </c>
      <c r="AG132">
        <v>0</v>
      </c>
      <c r="AH132">
        <v>0</v>
      </c>
      <c r="AI132">
        <v>0</v>
      </c>
      <c r="AJ132">
        <v>0</v>
      </c>
      <c r="AK132">
        <v>0</v>
      </c>
      <c r="AL132">
        <v>0</v>
      </c>
      <c r="AM132">
        <v>0</v>
      </c>
      <c r="AN132">
        <v>0</v>
      </c>
      <c r="AO132">
        <f t="shared" si="24"/>
        <v>0</v>
      </c>
      <c r="AP132">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N/A")</f>
        <v>0</v>
      </c>
      <c r="AQ132">
        <f>IF(ISNUMBER(M132),1,0)+IF(ISNUMBER(SCORECARDS!H132),1,0)+IF(ISNUMBER(SCORECARDS!I132),1,0)+IF(ISNUMBER(SCORECARDS!J132),1,0)+IF(ISNUMBER(ISCAM_Score!K133),1,0)+IF(ISNUMBER(O132),1,0)+IF(COUNT(W132:Z132)&gt;0,1,0)</f>
        <v>3</v>
      </c>
    </row>
    <row r="133" spans="1:43" ht="16.05" customHeight="1" x14ac:dyDescent="0.3">
      <c r="A133" t="s">
        <v>362</v>
      </c>
      <c r="B133" t="s">
        <v>363</v>
      </c>
      <c r="C133" t="s">
        <v>107</v>
      </c>
      <c r="D133" t="s">
        <v>73</v>
      </c>
      <c r="G133" t="s">
        <v>74</v>
      </c>
      <c r="J133" t="s">
        <v>67</v>
      </c>
      <c r="L133">
        <v>0</v>
      </c>
      <c r="M133">
        <f t="shared" si="20"/>
        <v>0</v>
      </c>
      <c r="N133" t="s">
        <v>68</v>
      </c>
      <c r="O133">
        <f t="shared" si="21"/>
        <v>0</v>
      </c>
      <c r="P133" t="s">
        <v>68</v>
      </c>
      <c r="S133">
        <f t="shared" si="22"/>
        <v>0</v>
      </c>
      <c r="T133" t="str">
        <f t="shared" si="23"/>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A133">
        <v>0</v>
      </c>
      <c r="AB133">
        <v>0</v>
      </c>
      <c r="AC133">
        <v>0</v>
      </c>
      <c r="AD133">
        <v>0</v>
      </c>
      <c r="AE133">
        <v>0</v>
      </c>
      <c r="AF133">
        <v>0</v>
      </c>
      <c r="AG133">
        <v>0</v>
      </c>
      <c r="AH133">
        <v>0</v>
      </c>
      <c r="AI133">
        <v>0</v>
      </c>
      <c r="AJ133">
        <v>0</v>
      </c>
      <c r="AK133">
        <v>0</v>
      </c>
      <c r="AL133">
        <v>0</v>
      </c>
      <c r="AM133">
        <v>0</v>
      </c>
      <c r="AN133">
        <v>0</v>
      </c>
      <c r="AO133">
        <f t="shared" si="24"/>
        <v>0</v>
      </c>
      <c r="AP133">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N/A")</f>
        <v>0</v>
      </c>
      <c r="AQ133">
        <f>IF(ISNUMBER(M133),1,0)+IF(ISNUMBER(SCORECARDS!H133),1,0)+IF(ISNUMBER(SCORECARDS!I133),1,0)+IF(ISNUMBER(SCORECARDS!J133),1,0)+IF(ISNUMBER(ISCAM_Score!K134),1,0)+IF(ISNUMBER(O133),1,0)+IF(COUNT(W133:Z133)&gt;0,1,0)</f>
        <v>3</v>
      </c>
    </row>
    <row r="134" spans="1:43" ht="16.05" customHeight="1" x14ac:dyDescent="0.3">
      <c r="A134" t="s">
        <v>364</v>
      </c>
      <c r="B134" t="s">
        <v>365</v>
      </c>
      <c r="C134" t="s">
        <v>77</v>
      </c>
      <c r="D134" t="s">
        <v>65</v>
      </c>
      <c r="E134">
        <v>0</v>
      </c>
      <c r="G134" t="s">
        <v>74</v>
      </c>
      <c r="H134" t="s">
        <v>343</v>
      </c>
      <c r="I134" t="s">
        <v>366</v>
      </c>
      <c r="J134" t="s">
        <v>67</v>
      </c>
      <c r="K134" t="s">
        <v>367</v>
      </c>
      <c r="L134">
        <v>0</v>
      </c>
      <c r="M134">
        <f t="shared" si="20"/>
        <v>0</v>
      </c>
      <c r="N134" t="s">
        <v>68</v>
      </c>
      <c r="O134">
        <f t="shared" si="21"/>
        <v>0</v>
      </c>
      <c r="P134" t="s">
        <v>68</v>
      </c>
      <c r="Q134">
        <v>162</v>
      </c>
      <c r="R134">
        <v>454.5</v>
      </c>
      <c r="S134">
        <f t="shared" si="22"/>
        <v>5.2</v>
      </c>
      <c r="T134" t="str">
        <f t="shared" si="23"/>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A134">
        <v>0</v>
      </c>
      <c r="AB134">
        <v>0</v>
      </c>
      <c r="AC134">
        <v>0</v>
      </c>
      <c r="AD134">
        <v>0</v>
      </c>
      <c r="AE134">
        <v>0</v>
      </c>
      <c r="AF134">
        <v>0</v>
      </c>
      <c r="AG134">
        <v>0</v>
      </c>
      <c r="AH134">
        <v>0</v>
      </c>
      <c r="AI134">
        <v>0</v>
      </c>
      <c r="AJ134">
        <v>0</v>
      </c>
      <c r="AK134">
        <v>0</v>
      </c>
      <c r="AL134">
        <v>0</v>
      </c>
      <c r="AM134">
        <v>0</v>
      </c>
      <c r="AN134">
        <v>0</v>
      </c>
      <c r="AO134">
        <f t="shared" si="24"/>
        <v>0</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N/A")</f>
        <v>5.2083333333333336E-2</v>
      </c>
      <c r="AQ134">
        <f>IF(ISNUMBER(M134),1,0)+IF(ISNUMBER(SCORECARDS!H134),1,0)+IF(ISNUMBER(SCORECARDS!I134),1,0)+IF(ISNUMBER(SCORECARDS!J134),1,0)+IF(ISNUMBER(ISCAM_Score!K135),1,0)+IF(ISNUMBER(O134),1,0)+IF(COUNT(W134:Z134)&gt;0,1,0)</f>
        <v>3</v>
      </c>
    </row>
    <row r="135" spans="1:43" ht="16.05" customHeight="1" x14ac:dyDescent="0.3">
      <c r="A135" t="s">
        <v>368</v>
      </c>
      <c r="B135" t="s">
        <v>369</v>
      </c>
      <c r="C135" t="s">
        <v>143</v>
      </c>
      <c r="D135" t="s">
        <v>65</v>
      </c>
      <c r="E135">
        <v>6836861.4500000002</v>
      </c>
      <c r="F135">
        <v>36</v>
      </c>
      <c r="G135" t="s">
        <v>66</v>
      </c>
      <c r="H135" t="s">
        <v>226</v>
      </c>
      <c r="I135" t="s">
        <v>226</v>
      </c>
      <c r="J135" t="s">
        <v>67</v>
      </c>
      <c r="K135" t="s">
        <v>370</v>
      </c>
      <c r="L135">
        <v>4575551.37</v>
      </c>
      <c r="M135">
        <f t="shared" si="20"/>
        <v>66.900000000000006</v>
      </c>
      <c r="N135" t="s">
        <v>68</v>
      </c>
      <c r="O135">
        <f t="shared" si="21"/>
        <v>0</v>
      </c>
      <c r="P135" t="s">
        <v>68</v>
      </c>
      <c r="Q135">
        <v>762</v>
      </c>
      <c r="R135">
        <v>1500</v>
      </c>
      <c r="S135">
        <f t="shared" si="22"/>
        <v>33.1</v>
      </c>
      <c r="T135" t="str">
        <f t="shared" si="23"/>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A135">
        <v>0</v>
      </c>
      <c r="AB135">
        <v>0</v>
      </c>
      <c r="AC135">
        <v>0</v>
      </c>
      <c r="AD135">
        <v>0</v>
      </c>
      <c r="AE135">
        <v>0</v>
      </c>
      <c r="AF135">
        <v>0</v>
      </c>
      <c r="AG135">
        <v>0</v>
      </c>
      <c r="AH135">
        <v>0</v>
      </c>
      <c r="AI135">
        <v>0</v>
      </c>
      <c r="AJ135">
        <v>0</v>
      </c>
      <c r="AK135">
        <v>0</v>
      </c>
      <c r="AL135">
        <v>0</v>
      </c>
      <c r="AM135">
        <v>0</v>
      </c>
      <c r="AN135">
        <v>0</v>
      </c>
      <c r="AO135">
        <f t="shared" si="24"/>
        <v>0</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N/A")</f>
        <v>0.33083333333333337</v>
      </c>
      <c r="AQ135">
        <f>IF(ISNUMBER(M135),1,0)+IF(ISNUMBER(SCORECARDS!H135),1,0)+IF(ISNUMBER(SCORECARDS!I135),1,0)+IF(ISNUMBER(SCORECARDS!J135),1,0)+IF(ISNUMBER(ISCAM_Score!K136),1,0)+IF(ISNUMBER(O135),1,0)+IF(COUNT(W135:Z135)&gt;0,1,0)</f>
        <v>3</v>
      </c>
    </row>
    <row r="136" spans="1:43" ht="16.05" customHeight="1" x14ac:dyDescent="0.3">
      <c r="A136" t="s">
        <v>371</v>
      </c>
      <c r="B136" t="s">
        <v>372</v>
      </c>
      <c r="C136" t="s">
        <v>77</v>
      </c>
      <c r="D136" t="s">
        <v>65</v>
      </c>
      <c r="G136" t="s">
        <v>74</v>
      </c>
      <c r="J136" t="s">
        <v>67</v>
      </c>
      <c r="L136">
        <v>0</v>
      </c>
      <c r="M136">
        <f t="shared" si="20"/>
        <v>0</v>
      </c>
      <c r="N136" t="s">
        <v>68</v>
      </c>
      <c r="O136">
        <f t="shared" si="21"/>
        <v>0</v>
      </c>
      <c r="P136" t="s">
        <v>68</v>
      </c>
      <c r="S136">
        <f t="shared" si="22"/>
        <v>0</v>
      </c>
      <c r="T136" t="str">
        <f t="shared" si="23"/>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A136">
        <v>0</v>
      </c>
      <c r="AB136">
        <v>0</v>
      </c>
      <c r="AC136">
        <v>0</v>
      </c>
      <c r="AD136">
        <v>0</v>
      </c>
      <c r="AE136">
        <v>0</v>
      </c>
      <c r="AF136">
        <v>0</v>
      </c>
      <c r="AG136">
        <v>0</v>
      </c>
      <c r="AH136">
        <v>0</v>
      </c>
      <c r="AI136">
        <v>0</v>
      </c>
      <c r="AJ136">
        <v>0</v>
      </c>
      <c r="AK136">
        <v>0</v>
      </c>
      <c r="AL136">
        <v>0</v>
      </c>
      <c r="AM136">
        <v>0</v>
      </c>
      <c r="AN136">
        <v>0</v>
      </c>
      <c r="AO136">
        <f t="shared" si="24"/>
        <v>0</v>
      </c>
      <c r="AP136">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N/A")</f>
        <v>0</v>
      </c>
      <c r="AQ136">
        <f>IF(ISNUMBER(M136),1,0)+IF(ISNUMBER(SCORECARDS!H136),1,0)+IF(ISNUMBER(SCORECARDS!I136),1,0)+IF(ISNUMBER(SCORECARDS!J136),1,0)+IF(ISNUMBER(ISCAM_Score!K137),1,0)+IF(ISNUMBER(O136),1,0)+IF(COUNT(W136:Z136)&gt;0,1,0)</f>
        <v>3</v>
      </c>
    </row>
    <row r="137" spans="1:43" ht="16.05" customHeight="1" x14ac:dyDescent="0.3">
      <c r="A137" t="s">
        <v>373</v>
      </c>
      <c r="B137" t="s">
        <v>374</v>
      </c>
      <c r="C137" t="s">
        <v>80</v>
      </c>
      <c r="D137" t="s">
        <v>73</v>
      </c>
      <c r="G137" t="s">
        <v>74</v>
      </c>
      <c r="J137" t="s">
        <v>67</v>
      </c>
      <c r="L137">
        <v>0</v>
      </c>
      <c r="M137">
        <f t="shared" si="20"/>
        <v>0</v>
      </c>
      <c r="N137" t="s">
        <v>68</v>
      </c>
      <c r="O137">
        <f t="shared" si="21"/>
        <v>0</v>
      </c>
      <c r="P137" t="s">
        <v>68</v>
      </c>
      <c r="S137">
        <f t="shared" si="22"/>
        <v>0</v>
      </c>
      <c r="T137" t="str">
        <f t="shared" si="23"/>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A137">
        <v>0</v>
      </c>
      <c r="AB137">
        <v>0</v>
      </c>
      <c r="AC137">
        <v>0</v>
      </c>
      <c r="AD137">
        <v>0</v>
      </c>
      <c r="AE137">
        <v>0</v>
      </c>
      <c r="AF137">
        <v>0</v>
      </c>
      <c r="AG137">
        <v>0</v>
      </c>
      <c r="AH137">
        <v>0</v>
      </c>
      <c r="AI137">
        <v>0</v>
      </c>
      <c r="AJ137">
        <v>0</v>
      </c>
      <c r="AK137">
        <v>0</v>
      </c>
      <c r="AL137">
        <v>0</v>
      </c>
      <c r="AM137">
        <v>0</v>
      </c>
      <c r="AN137">
        <v>0</v>
      </c>
      <c r="AO137">
        <f t="shared" si="24"/>
        <v>0</v>
      </c>
      <c r="AP137">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N/A")</f>
        <v>0</v>
      </c>
      <c r="AQ137">
        <f>IF(ISNUMBER(M137),1,0)+IF(ISNUMBER(SCORECARDS!H137),1,0)+IF(ISNUMBER(SCORECARDS!I137),1,0)+IF(ISNUMBER(SCORECARDS!J137),1,0)+IF(ISNUMBER(ISCAM_Score!K138),1,0)+IF(ISNUMBER(O137),1,0)+IF(COUNT(W137:Z137)&gt;0,1,0)</f>
        <v>3</v>
      </c>
    </row>
    <row r="138" spans="1:43" ht="16.05" customHeight="1" x14ac:dyDescent="0.3">
      <c r="A138" t="s">
        <v>375</v>
      </c>
      <c r="B138" t="s">
        <v>376</v>
      </c>
      <c r="C138" t="s">
        <v>116</v>
      </c>
      <c r="D138" t="s">
        <v>65</v>
      </c>
      <c r="E138">
        <v>161000</v>
      </c>
      <c r="F138">
        <v>1</v>
      </c>
      <c r="G138" t="s">
        <v>66</v>
      </c>
      <c r="J138" t="s">
        <v>67</v>
      </c>
      <c r="L138">
        <v>80500</v>
      </c>
      <c r="M138">
        <f t="shared" si="20"/>
        <v>50</v>
      </c>
      <c r="N138" t="s">
        <v>68</v>
      </c>
      <c r="O138">
        <f t="shared" si="21"/>
        <v>0</v>
      </c>
      <c r="P138" t="s">
        <v>68</v>
      </c>
      <c r="S138">
        <f t="shared" si="22"/>
        <v>20.8</v>
      </c>
      <c r="T138" t="str">
        <f t="shared" si="23"/>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A138">
        <v>0</v>
      </c>
      <c r="AB138">
        <v>0</v>
      </c>
      <c r="AC138">
        <v>0</v>
      </c>
      <c r="AD138">
        <v>0</v>
      </c>
      <c r="AE138">
        <v>0</v>
      </c>
      <c r="AF138">
        <v>0</v>
      </c>
      <c r="AG138">
        <v>0</v>
      </c>
      <c r="AH138">
        <v>0</v>
      </c>
      <c r="AI138">
        <v>0</v>
      </c>
      <c r="AJ138">
        <v>0</v>
      </c>
      <c r="AK138">
        <v>0</v>
      </c>
      <c r="AL138">
        <v>0</v>
      </c>
      <c r="AM138">
        <v>0</v>
      </c>
      <c r="AN138">
        <v>0</v>
      </c>
      <c r="AO138">
        <f t="shared" si="24"/>
        <v>0</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N/A")</f>
        <v>0.20833333333333334</v>
      </c>
      <c r="AQ138">
        <f>IF(ISNUMBER(M138),1,0)+IF(ISNUMBER(SCORECARDS!H138),1,0)+IF(ISNUMBER(SCORECARDS!I138),1,0)+IF(ISNUMBER(SCORECARDS!J138),1,0)+IF(ISNUMBER(ISCAM_Score!K139),1,0)+IF(ISNUMBER(O138),1,0)+IF(COUNT(W138:Z138)&gt;0,1,0)</f>
        <v>3</v>
      </c>
    </row>
    <row r="139" spans="1:43" ht="16.05" customHeight="1" x14ac:dyDescent="0.3">
      <c r="A139" t="s">
        <v>377</v>
      </c>
      <c r="B139" t="s">
        <v>378</v>
      </c>
      <c r="C139" t="s">
        <v>196</v>
      </c>
      <c r="D139" t="s">
        <v>73</v>
      </c>
      <c r="G139" t="s">
        <v>74</v>
      </c>
      <c r="J139" t="s">
        <v>67</v>
      </c>
      <c r="L139">
        <v>0</v>
      </c>
      <c r="M139">
        <f t="shared" si="20"/>
        <v>0</v>
      </c>
      <c r="N139" t="s">
        <v>68</v>
      </c>
      <c r="O139">
        <f t="shared" si="21"/>
        <v>0</v>
      </c>
      <c r="P139" t="s">
        <v>68</v>
      </c>
      <c r="S139">
        <f t="shared" si="22"/>
        <v>0</v>
      </c>
      <c r="T139" t="str">
        <f t="shared" si="23"/>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A139">
        <v>0</v>
      </c>
      <c r="AB139">
        <v>0</v>
      </c>
      <c r="AC139">
        <v>0</v>
      </c>
      <c r="AD139">
        <v>0</v>
      </c>
      <c r="AE139">
        <v>0</v>
      </c>
      <c r="AF139">
        <v>0</v>
      </c>
      <c r="AG139">
        <v>0</v>
      </c>
      <c r="AH139">
        <v>0</v>
      </c>
      <c r="AI139">
        <v>0</v>
      </c>
      <c r="AJ139">
        <v>0</v>
      </c>
      <c r="AK139">
        <v>0</v>
      </c>
      <c r="AL139">
        <v>0</v>
      </c>
      <c r="AM139">
        <v>0</v>
      </c>
      <c r="AN139">
        <v>0</v>
      </c>
      <c r="AO139">
        <f t="shared" si="24"/>
        <v>0</v>
      </c>
      <c r="AP139">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N/A")</f>
        <v>0</v>
      </c>
      <c r="AQ139">
        <f>IF(ISNUMBER(M139),1,0)+IF(ISNUMBER(SCORECARDS!H139),1,0)+IF(ISNUMBER(SCORECARDS!I139),1,0)+IF(ISNUMBER(SCORECARDS!J139),1,0)+IF(ISNUMBER(ISCAM_Score!K140),1,0)+IF(ISNUMBER(O139),1,0)+IF(COUNT(W139:Z139)&gt;0,1,0)</f>
        <v>3</v>
      </c>
    </row>
    <row r="140" spans="1:43" ht="16.05" customHeight="1" x14ac:dyDescent="0.3">
      <c r="A140" t="s">
        <v>379</v>
      </c>
      <c r="B140" t="s">
        <v>380</v>
      </c>
      <c r="C140" t="s">
        <v>77</v>
      </c>
      <c r="D140" t="s">
        <v>65</v>
      </c>
      <c r="E140">
        <v>378122</v>
      </c>
      <c r="F140">
        <v>3</v>
      </c>
      <c r="G140" t="s">
        <v>66</v>
      </c>
      <c r="J140" t="s">
        <v>67</v>
      </c>
      <c r="L140">
        <v>0</v>
      </c>
      <c r="M140">
        <f t="shared" si="20"/>
        <v>0</v>
      </c>
      <c r="N140" t="s">
        <v>68</v>
      </c>
      <c r="O140">
        <f t="shared" si="21"/>
        <v>0</v>
      </c>
      <c r="P140" t="s">
        <v>68</v>
      </c>
      <c r="S140">
        <f t="shared" si="22"/>
        <v>0</v>
      </c>
      <c r="T140" t="str">
        <f t="shared" si="23"/>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A140">
        <v>0</v>
      </c>
      <c r="AB140">
        <v>0</v>
      </c>
      <c r="AC140">
        <v>0</v>
      </c>
      <c r="AD140">
        <v>0</v>
      </c>
      <c r="AE140">
        <v>0</v>
      </c>
      <c r="AF140">
        <v>0</v>
      </c>
      <c r="AG140">
        <v>0</v>
      </c>
      <c r="AH140">
        <v>0</v>
      </c>
      <c r="AI140">
        <v>0</v>
      </c>
      <c r="AJ140">
        <v>0</v>
      </c>
      <c r="AK140">
        <v>0</v>
      </c>
      <c r="AL140">
        <v>0</v>
      </c>
      <c r="AM140">
        <v>0</v>
      </c>
      <c r="AN140">
        <v>0</v>
      </c>
      <c r="AO140">
        <f t="shared" si="24"/>
        <v>0</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N/A")</f>
        <v>0</v>
      </c>
      <c r="AQ140">
        <f>IF(ISNUMBER(M140),1,0)+IF(ISNUMBER(SCORECARDS!H140),1,0)+IF(ISNUMBER(SCORECARDS!I140),1,0)+IF(ISNUMBER(SCORECARDS!J140),1,0)+IF(ISNUMBER(ISCAM_Score!K141),1,0)+IF(ISNUMBER(O140),1,0)+IF(COUNT(W140:Z140)&gt;0,1,0)</f>
        <v>3</v>
      </c>
    </row>
    <row r="141" spans="1:43" ht="16.05" customHeight="1" x14ac:dyDescent="0.3">
      <c r="A141" t="s">
        <v>381</v>
      </c>
      <c r="B141" t="s">
        <v>382</v>
      </c>
      <c r="C141" t="s">
        <v>80</v>
      </c>
      <c r="D141" t="s">
        <v>73</v>
      </c>
      <c r="G141" t="s">
        <v>74</v>
      </c>
      <c r="J141" t="s">
        <v>67</v>
      </c>
      <c r="L141">
        <v>0</v>
      </c>
      <c r="M141">
        <f t="shared" si="20"/>
        <v>0</v>
      </c>
      <c r="N141" t="s">
        <v>68</v>
      </c>
      <c r="O141">
        <f t="shared" si="21"/>
        <v>0</v>
      </c>
      <c r="P141" t="s">
        <v>68</v>
      </c>
      <c r="S141">
        <f t="shared" si="22"/>
        <v>0</v>
      </c>
      <c r="T141" t="str">
        <f t="shared" si="23"/>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A141">
        <v>0</v>
      </c>
      <c r="AB141">
        <v>0</v>
      </c>
      <c r="AC141">
        <v>0</v>
      </c>
      <c r="AD141">
        <v>0</v>
      </c>
      <c r="AE141">
        <v>0</v>
      </c>
      <c r="AF141">
        <v>0</v>
      </c>
      <c r="AG141">
        <v>0</v>
      </c>
      <c r="AH141">
        <v>0</v>
      </c>
      <c r="AI141">
        <v>0</v>
      </c>
      <c r="AJ141">
        <v>0</v>
      </c>
      <c r="AK141">
        <v>0</v>
      </c>
      <c r="AL141">
        <v>0</v>
      </c>
      <c r="AM141">
        <v>0</v>
      </c>
      <c r="AN141">
        <v>0</v>
      </c>
      <c r="AO141">
        <f t="shared" si="24"/>
        <v>0</v>
      </c>
      <c r="AP141">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N/A")</f>
        <v>0</v>
      </c>
      <c r="AQ141">
        <f>IF(ISNUMBER(M141),1,0)+IF(ISNUMBER(SCORECARDS!H141),1,0)+IF(ISNUMBER(SCORECARDS!I141),1,0)+IF(ISNUMBER(SCORECARDS!J141),1,0)+IF(ISNUMBER(ISCAM_Score!K142),1,0)+IF(ISNUMBER(O141),1,0)+IF(COUNT(W141:Z141)&gt;0,1,0)</f>
        <v>3</v>
      </c>
    </row>
    <row r="142" spans="1:43" ht="16.05" customHeight="1" x14ac:dyDescent="0.3">
      <c r="A142" t="s">
        <v>383</v>
      </c>
      <c r="B142" t="s">
        <v>384</v>
      </c>
      <c r="C142" t="s">
        <v>80</v>
      </c>
      <c r="D142" t="s">
        <v>73</v>
      </c>
      <c r="G142" t="s">
        <v>74</v>
      </c>
      <c r="J142" t="s">
        <v>67</v>
      </c>
      <c r="L142">
        <v>0</v>
      </c>
      <c r="M142">
        <f t="shared" si="20"/>
        <v>0</v>
      </c>
      <c r="N142" t="s">
        <v>68</v>
      </c>
      <c r="O142">
        <f t="shared" si="21"/>
        <v>0</v>
      </c>
      <c r="P142" t="s">
        <v>68</v>
      </c>
      <c r="S142">
        <f t="shared" si="22"/>
        <v>0</v>
      </c>
      <c r="T142" t="str">
        <f t="shared" si="23"/>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A142">
        <v>0</v>
      </c>
      <c r="AB142">
        <v>0</v>
      </c>
      <c r="AC142">
        <v>0</v>
      </c>
      <c r="AD142">
        <v>0</v>
      </c>
      <c r="AE142">
        <v>0</v>
      </c>
      <c r="AF142">
        <v>0</v>
      </c>
      <c r="AG142">
        <v>0</v>
      </c>
      <c r="AH142">
        <v>0</v>
      </c>
      <c r="AI142">
        <v>0</v>
      </c>
      <c r="AJ142">
        <v>0</v>
      </c>
      <c r="AK142">
        <v>0</v>
      </c>
      <c r="AL142">
        <v>0</v>
      </c>
      <c r="AM142">
        <v>0</v>
      </c>
      <c r="AN142">
        <v>0</v>
      </c>
      <c r="AO142">
        <f t="shared" si="24"/>
        <v>0</v>
      </c>
      <c r="AP142">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N/A")</f>
        <v>0</v>
      </c>
      <c r="AQ142">
        <f>IF(ISNUMBER(M142),1,0)+IF(ISNUMBER(SCORECARDS!H142),1,0)+IF(ISNUMBER(SCORECARDS!I142),1,0)+IF(ISNUMBER(SCORECARDS!J142),1,0)+IF(ISNUMBER(ISCAM_Score!K143),1,0)+IF(ISNUMBER(O142),1,0)+IF(COUNT(W142:Z142)&gt;0,1,0)</f>
        <v>3</v>
      </c>
    </row>
    <row r="143" spans="1:43" ht="16.05" customHeight="1" x14ac:dyDescent="0.3">
      <c r="A143" t="s">
        <v>385</v>
      </c>
      <c r="B143" t="s">
        <v>386</v>
      </c>
      <c r="C143" t="s">
        <v>143</v>
      </c>
      <c r="D143" t="s">
        <v>65</v>
      </c>
      <c r="E143">
        <v>1201126.56</v>
      </c>
      <c r="F143">
        <v>8</v>
      </c>
      <c r="G143" t="s">
        <v>66</v>
      </c>
      <c r="H143" t="s">
        <v>387</v>
      </c>
      <c r="I143" t="s">
        <v>235</v>
      </c>
      <c r="J143" t="s">
        <v>67</v>
      </c>
      <c r="K143" t="s">
        <v>227</v>
      </c>
      <c r="L143">
        <v>852880.44</v>
      </c>
      <c r="M143">
        <f t="shared" si="20"/>
        <v>71</v>
      </c>
      <c r="N143" t="s">
        <v>68</v>
      </c>
      <c r="O143">
        <f t="shared" si="21"/>
        <v>0</v>
      </c>
      <c r="P143" t="s">
        <v>68</v>
      </c>
      <c r="Q143">
        <v>381</v>
      </c>
      <c r="R143">
        <v>1143</v>
      </c>
      <c r="S143">
        <f t="shared" si="22"/>
        <v>34.799999999999997</v>
      </c>
      <c r="T143" t="str">
        <f t="shared" si="23"/>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A143">
        <v>0</v>
      </c>
      <c r="AB143">
        <v>0</v>
      </c>
      <c r="AC143">
        <v>0</v>
      </c>
      <c r="AD143">
        <v>0</v>
      </c>
      <c r="AE143">
        <v>0</v>
      </c>
      <c r="AF143">
        <v>0</v>
      </c>
      <c r="AG143">
        <v>0</v>
      </c>
      <c r="AH143">
        <v>0</v>
      </c>
      <c r="AI143">
        <v>0</v>
      </c>
      <c r="AJ143">
        <v>0</v>
      </c>
      <c r="AK143">
        <v>0</v>
      </c>
      <c r="AL143">
        <v>0</v>
      </c>
      <c r="AM143">
        <v>0</v>
      </c>
      <c r="AN143">
        <v>0</v>
      </c>
      <c r="AO143">
        <f t="shared" si="24"/>
        <v>0</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N/A")</f>
        <v>0.34791666666666665</v>
      </c>
      <c r="AQ143">
        <f>IF(ISNUMBER(M143),1,0)+IF(ISNUMBER(SCORECARDS!H143),1,0)+IF(ISNUMBER(SCORECARDS!I143),1,0)+IF(ISNUMBER(SCORECARDS!J143),1,0)+IF(ISNUMBER(ISCAM_Score!K144),1,0)+IF(ISNUMBER(O143),1,0)+IF(COUNT(W143:Z143)&gt;0,1,0)</f>
        <v>3</v>
      </c>
    </row>
    <row r="144" spans="1:43" ht="16.05" customHeight="1" x14ac:dyDescent="0.3">
      <c r="A144" t="s">
        <v>388</v>
      </c>
      <c r="B144" t="s">
        <v>389</v>
      </c>
      <c r="C144" t="s">
        <v>80</v>
      </c>
      <c r="D144" t="s">
        <v>73</v>
      </c>
      <c r="G144" t="s">
        <v>74</v>
      </c>
      <c r="J144" t="s">
        <v>67</v>
      </c>
      <c r="L144">
        <v>0</v>
      </c>
      <c r="M144">
        <f t="shared" si="20"/>
        <v>0</v>
      </c>
      <c r="N144" t="s">
        <v>68</v>
      </c>
      <c r="O144">
        <f t="shared" si="21"/>
        <v>0</v>
      </c>
      <c r="P144" t="s">
        <v>68</v>
      </c>
      <c r="S144">
        <f t="shared" si="22"/>
        <v>0</v>
      </c>
      <c r="T144" t="str">
        <f t="shared" si="23"/>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A144">
        <v>0</v>
      </c>
      <c r="AB144">
        <v>0</v>
      </c>
      <c r="AC144">
        <v>0</v>
      </c>
      <c r="AD144">
        <v>0</v>
      </c>
      <c r="AE144">
        <v>0</v>
      </c>
      <c r="AF144">
        <v>0</v>
      </c>
      <c r="AG144">
        <v>0</v>
      </c>
      <c r="AH144">
        <v>0</v>
      </c>
      <c r="AI144">
        <v>0</v>
      </c>
      <c r="AJ144">
        <v>0</v>
      </c>
      <c r="AK144">
        <v>0</v>
      </c>
      <c r="AL144">
        <v>0</v>
      </c>
      <c r="AM144">
        <v>0</v>
      </c>
      <c r="AN144">
        <v>0</v>
      </c>
      <c r="AO144">
        <f t="shared" si="24"/>
        <v>0</v>
      </c>
      <c r="AP144">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N/A")</f>
        <v>0</v>
      </c>
      <c r="AQ144">
        <f>IF(ISNUMBER(M144),1,0)+IF(ISNUMBER(SCORECARDS!H144),1,0)+IF(ISNUMBER(SCORECARDS!I144),1,0)+IF(ISNUMBER(SCORECARDS!J144),1,0)+IF(ISNUMBER(ISCAM_Score!K145),1,0)+IF(ISNUMBER(O144),1,0)+IF(COUNT(W144:Z144)&gt;0,1,0)</f>
        <v>3</v>
      </c>
    </row>
    <row r="145" spans="1:43" ht="16.05" customHeight="1" x14ac:dyDescent="0.3">
      <c r="A145" t="s">
        <v>390</v>
      </c>
      <c r="B145" t="s">
        <v>391</v>
      </c>
      <c r="C145" t="s">
        <v>80</v>
      </c>
      <c r="D145" t="s">
        <v>73</v>
      </c>
      <c r="G145" t="s">
        <v>74</v>
      </c>
      <c r="J145" t="s">
        <v>67</v>
      </c>
      <c r="L145">
        <v>0</v>
      </c>
      <c r="M145">
        <f t="shared" si="20"/>
        <v>0</v>
      </c>
      <c r="N145" t="s">
        <v>68</v>
      </c>
      <c r="O145">
        <f t="shared" si="21"/>
        <v>0</v>
      </c>
      <c r="P145" t="s">
        <v>68</v>
      </c>
      <c r="S145">
        <f t="shared" si="22"/>
        <v>0</v>
      </c>
      <c r="T145" t="str">
        <f t="shared" si="23"/>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A145">
        <v>0</v>
      </c>
      <c r="AB145">
        <v>0</v>
      </c>
      <c r="AC145">
        <v>0</v>
      </c>
      <c r="AD145">
        <v>0</v>
      </c>
      <c r="AE145">
        <v>0</v>
      </c>
      <c r="AF145">
        <v>0</v>
      </c>
      <c r="AG145">
        <v>0</v>
      </c>
      <c r="AH145">
        <v>0</v>
      </c>
      <c r="AI145">
        <v>0</v>
      </c>
      <c r="AJ145">
        <v>0</v>
      </c>
      <c r="AK145">
        <v>0</v>
      </c>
      <c r="AL145">
        <v>0</v>
      </c>
      <c r="AM145">
        <v>0</v>
      </c>
      <c r="AN145">
        <v>0</v>
      </c>
      <c r="AO145">
        <f t="shared" si="24"/>
        <v>0</v>
      </c>
      <c r="AP145">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N/A")</f>
        <v>0</v>
      </c>
      <c r="AQ145">
        <f>IF(ISNUMBER(M145),1,0)+IF(ISNUMBER(SCORECARDS!H145),1,0)+IF(ISNUMBER(SCORECARDS!I145),1,0)+IF(ISNUMBER(SCORECARDS!J145),1,0)+IF(ISNUMBER(ISCAM_Score!K146),1,0)+IF(ISNUMBER(O145),1,0)+IF(COUNT(W145:Z145)&gt;0,1,0)</f>
        <v>3</v>
      </c>
    </row>
    <row r="146" spans="1:43" ht="16.05" customHeight="1" x14ac:dyDescent="0.3">
      <c r="A146" t="s">
        <v>392</v>
      </c>
      <c r="B146" t="s">
        <v>393</v>
      </c>
      <c r="C146" t="s">
        <v>77</v>
      </c>
      <c r="D146" t="s">
        <v>65</v>
      </c>
      <c r="E146">
        <v>332555.15999999997</v>
      </c>
      <c r="F146">
        <v>2</v>
      </c>
      <c r="G146" t="s">
        <v>66</v>
      </c>
      <c r="H146" t="s">
        <v>394</v>
      </c>
      <c r="I146" t="s">
        <v>235</v>
      </c>
      <c r="J146" t="s">
        <v>67</v>
      </c>
      <c r="K146" t="s">
        <v>85</v>
      </c>
      <c r="L146">
        <v>332555.15999999997</v>
      </c>
      <c r="M146">
        <f t="shared" si="20"/>
        <v>100</v>
      </c>
      <c r="N146" t="s">
        <v>68</v>
      </c>
      <c r="O146">
        <f t="shared" si="21"/>
        <v>0</v>
      </c>
      <c r="P146" t="s">
        <v>68</v>
      </c>
      <c r="Q146">
        <v>203</v>
      </c>
      <c r="R146">
        <v>609</v>
      </c>
      <c r="S146">
        <f t="shared" si="22"/>
        <v>46.9</v>
      </c>
      <c r="T146" t="str">
        <f t="shared" si="23"/>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A146">
        <v>0</v>
      </c>
      <c r="AB146">
        <v>0</v>
      </c>
      <c r="AC146">
        <v>0</v>
      </c>
      <c r="AD146">
        <v>0</v>
      </c>
      <c r="AE146">
        <v>0</v>
      </c>
      <c r="AF146">
        <v>0</v>
      </c>
      <c r="AG146">
        <v>0</v>
      </c>
      <c r="AH146">
        <v>0</v>
      </c>
      <c r="AI146">
        <v>0</v>
      </c>
      <c r="AJ146">
        <v>0</v>
      </c>
      <c r="AK146">
        <v>0</v>
      </c>
      <c r="AL146">
        <v>0</v>
      </c>
      <c r="AM146">
        <v>0</v>
      </c>
      <c r="AN146">
        <v>0</v>
      </c>
      <c r="AO146">
        <f t="shared" si="24"/>
        <v>0</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N/A")</f>
        <v>0.46875</v>
      </c>
      <c r="AQ146">
        <f>IF(ISNUMBER(M146),1,0)+IF(ISNUMBER(SCORECARDS!H146),1,0)+IF(ISNUMBER(SCORECARDS!I146),1,0)+IF(ISNUMBER(SCORECARDS!J146),1,0)+IF(ISNUMBER(ISCAM_Score!K147),1,0)+IF(ISNUMBER(O146),1,0)+IF(COUNT(W146:Z146)&gt;0,1,0)</f>
        <v>3</v>
      </c>
    </row>
    <row r="147" spans="1:43" ht="16.05" customHeight="1" x14ac:dyDescent="0.3">
      <c r="A147" t="s">
        <v>395</v>
      </c>
      <c r="B147" t="s">
        <v>396</v>
      </c>
      <c r="C147" t="s">
        <v>248</v>
      </c>
      <c r="D147" t="s">
        <v>73</v>
      </c>
      <c r="E147">
        <v>543961.38</v>
      </c>
      <c r="F147">
        <v>5</v>
      </c>
      <c r="G147" t="s">
        <v>66</v>
      </c>
      <c r="J147" t="s">
        <v>67</v>
      </c>
      <c r="L147">
        <v>271980.69</v>
      </c>
      <c r="M147">
        <f t="shared" si="20"/>
        <v>50</v>
      </c>
      <c r="N147" t="s">
        <v>68</v>
      </c>
      <c r="O147">
        <f t="shared" si="21"/>
        <v>0</v>
      </c>
      <c r="P147" t="s">
        <v>68</v>
      </c>
      <c r="S147">
        <f t="shared" si="22"/>
        <v>20.8</v>
      </c>
      <c r="T147" t="str">
        <f t="shared" si="23"/>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A147">
        <v>0</v>
      </c>
      <c r="AB147">
        <v>0</v>
      </c>
      <c r="AC147">
        <v>0</v>
      </c>
      <c r="AD147">
        <v>0</v>
      </c>
      <c r="AE147">
        <v>0</v>
      </c>
      <c r="AF147">
        <v>0</v>
      </c>
      <c r="AG147">
        <v>0</v>
      </c>
      <c r="AH147">
        <v>0</v>
      </c>
      <c r="AI147">
        <v>0</v>
      </c>
      <c r="AJ147">
        <v>0</v>
      </c>
      <c r="AK147">
        <v>0</v>
      </c>
      <c r="AL147">
        <v>0</v>
      </c>
      <c r="AM147">
        <v>0</v>
      </c>
      <c r="AN147">
        <v>0</v>
      </c>
      <c r="AO147">
        <f t="shared" si="24"/>
        <v>0</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N/A")</f>
        <v>0.20833333333333334</v>
      </c>
      <c r="AQ147">
        <f>IF(ISNUMBER(M147),1,0)+IF(ISNUMBER(SCORECARDS!H147),1,0)+IF(ISNUMBER(SCORECARDS!I147),1,0)+IF(ISNUMBER(SCORECARDS!J147),1,0)+IF(ISNUMBER(ISCAM_Score!K148),1,0)+IF(ISNUMBER(O147),1,0)+IF(COUNT(W147:Z147)&gt;0,1,0)</f>
        <v>3</v>
      </c>
    </row>
    <row r="148" spans="1:43" ht="16.05" customHeight="1" x14ac:dyDescent="0.3">
      <c r="A148" t="s">
        <v>397</v>
      </c>
      <c r="B148" t="s">
        <v>398</v>
      </c>
      <c r="C148" t="s">
        <v>80</v>
      </c>
      <c r="D148" t="s">
        <v>73</v>
      </c>
      <c r="G148" t="s">
        <v>74</v>
      </c>
      <c r="J148" t="s">
        <v>67</v>
      </c>
      <c r="L148">
        <v>0</v>
      </c>
      <c r="M148">
        <f t="shared" si="20"/>
        <v>0</v>
      </c>
      <c r="N148" t="s">
        <v>68</v>
      </c>
      <c r="O148">
        <f t="shared" si="21"/>
        <v>0</v>
      </c>
      <c r="P148" t="s">
        <v>68</v>
      </c>
      <c r="S148">
        <f t="shared" si="22"/>
        <v>0</v>
      </c>
      <c r="T148" t="str">
        <f t="shared" si="23"/>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A148">
        <v>0</v>
      </c>
      <c r="AB148">
        <v>0</v>
      </c>
      <c r="AC148">
        <v>0</v>
      </c>
      <c r="AD148">
        <v>0</v>
      </c>
      <c r="AE148">
        <v>0</v>
      </c>
      <c r="AF148">
        <v>0</v>
      </c>
      <c r="AG148">
        <v>0</v>
      </c>
      <c r="AH148">
        <v>0</v>
      </c>
      <c r="AI148">
        <v>0</v>
      </c>
      <c r="AJ148">
        <v>0</v>
      </c>
      <c r="AK148">
        <v>0</v>
      </c>
      <c r="AL148">
        <v>0</v>
      </c>
      <c r="AM148">
        <v>0</v>
      </c>
      <c r="AN148">
        <v>0</v>
      </c>
      <c r="AO148">
        <f t="shared" si="24"/>
        <v>0</v>
      </c>
      <c r="AP148">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N/A")</f>
        <v>0</v>
      </c>
      <c r="AQ148">
        <f>IF(ISNUMBER(M148),1,0)+IF(ISNUMBER(SCORECARDS!H148),1,0)+IF(ISNUMBER(SCORECARDS!I148),1,0)+IF(ISNUMBER(SCORECARDS!J148),1,0)+IF(ISNUMBER(ISCAM_Score!K149),1,0)+IF(ISNUMBER(O148),1,0)+IF(COUNT(W148:Z148)&gt;0,1,0)</f>
        <v>3</v>
      </c>
    </row>
    <row r="149" spans="1:43" ht="16.05" customHeight="1" x14ac:dyDescent="0.3">
      <c r="A149" t="s">
        <v>399</v>
      </c>
      <c r="B149" t="s">
        <v>400</v>
      </c>
      <c r="C149" t="s">
        <v>154</v>
      </c>
      <c r="D149" t="s">
        <v>65</v>
      </c>
      <c r="E149">
        <v>7275.18</v>
      </c>
      <c r="F149">
        <v>1</v>
      </c>
      <c r="G149" t="s">
        <v>66</v>
      </c>
      <c r="H149" t="s">
        <v>66</v>
      </c>
      <c r="I149" t="s">
        <v>66</v>
      </c>
      <c r="J149" t="s">
        <v>67</v>
      </c>
      <c r="L149">
        <v>0</v>
      </c>
      <c r="M149">
        <f t="shared" si="20"/>
        <v>0</v>
      </c>
      <c r="N149" t="s">
        <v>68</v>
      </c>
      <c r="O149">
        <f t="shared" si="21"/>
        <v>1</v>
      </c>
      <c r="P149" t="s">
        <v>68</v>
      </c>
      <c r="Q149">
        <v>305</v>
      </c>
      <c r="R149">
        <v>699</v>
      </c>
      <c r="S149">
        <f t="shared" si="22"/>
        <v>21.9</v>
      </c>
      <c r="T149" t="str">
        <f t="shared" si="23"/>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A149">
        <v>0</v>
      </c>
      <c r="AB149">
        <v>0</v>
      </c>
      <c r="AC149">
        <v>0</v>
      </c>
      <c r="AD149">
        <v>0</v>
      </c>
      <c r="AE149">
        <v>0</v>
      </c>
      <c r="AF149">
        <v>0</v>
      </c>
      <c r="AG149">
        <v>0</v>
      </c>
      <c r="AH149">
        <v>0</v>
      </c>
      <c r="AI149">
        <v>0</v>
      </c>
      <c r="AJ149">
        <v>0</v>
      </c>
      <c r="AK149">
        <v>0</v>
      </c>
      <c r="AL149">
        <v>0</v>
      </c>
      <c r="AM149">
        <v>0</v>
      </c>
      <c r="AN149">
        <v>0</v>
      </c>
      <c r="AO149">
        <f t="shared" si="24"/>
        <v>0</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N/A")</f>
        <v>0.21875</v>
      </c>
      <c r="AQ149">
        <f>IF(ISNUMBER(M149),1,0)+IF(ISNUMBER(SCORECARDS!H149),1,0)+IF(ISNUMBER(SCORECARDS!I149),1,0)+IF(ISNUMBER(SCORECARDS!J149),1,0)+IF(ISNUMBER(ISCAM_Score!K150),1,0)+IF(ISNUMBER(O149),1,0)+IF(COUNT(W149:Z149)&gt;0,1,0)</f>
        <v>3</v>
      </c>
    </row>
    <row r="150" spans="1:43" ht="16.05" customHeight="1" x14ac:dyDescent="0.3">
      <c r="A150" t="s">
        <v>401</v>
      </c>
      <c r="B150" t="s">
        <v>402</v>
      </c>
      <c r="C150" t="s">
        <v>107</v>
      </c>
      <c r="D150" t="s">
        <v>65</v>
      </c>
      <c r="G150" t="s">
        <v>74</v>
      </c>
      <c r="J150" t="s">
        <v>128</v>
      </c>
      <c r="L150">
        <v>0</v>
      </c>
      <c r="M150">
        <f t="shared" si="20"/>
        <v>0</v>
      </c>
      <c r="N150" t="s">
        <v>68</v>
      </c>
      <c r="O150">
        <f t="shared" si="21"/>
        <v>0</v>
      </c>
      <c r="P150" t="s">
        <v>68</v>
      </c>
      <c r="S150">
        <f t="shared" si="22"/>
        <v>0</v>
      </c>
      <c r="T150" t="str">
        <f t="shared" si="23"/>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A150">
        <v>0</v>
      </c>
      <c r="AB150">
        <v>0</v>
      </c>
      <c r="AC150">
        <v>0</v>
      </c>
      <c r="AD150">
        <v>0</v>
      </c>
      <c r="AE150">
        <v>0</v>
      </c>
      <c r="AF150">
        <v>0</v>
      </c>
      <c r="AG150">
        <v>0</v>
      </c>
      <c r="AH150">
        <v>0</v>
      </c>
      <c r="AI150">
        <v>0</v>
      </c>
      <c r="AJ150">
        <v>0</v>
      </c>
      <c r="AK150">
        <v>0</v>
      </c>
      <c r="AL150">
        <v>0</v>
      </c>
      <c r="AM150">
        <v>0</v>
      </c>
      <c r="AN150">
        <v>0</v>
      </c>
      <c r="AO150">
        <f t="shared" si="24"/>
        <v>0</v>
      </c>
      <c r="AP150">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N/A")</f>
        <v>0</v>
      </c>
      <c r="AQ150">
        <f>IF(ISNUMBER(M150),1,0)+IF(ISNUMBER(SCORECARDS!H150),1,0)+IF(ISNUMBER(SCORECARDS!I150),1,0)+IF(ISNUMBER(SCORECARDS!J150),1,0)+IF(ISNUMBER(ISCAM_Score!K151),1,0)+IF(ISNUMBER(O150),1,0)+IF(COUNT(W150:Z150)&gt;0,1,0)</f>
        <v>3</v>
      </c>
    </row>
    <row r="151" spans="1:43" ht="16.05" customHeight="1" x14ac:dyDescent="0.3">
      <c r="A151" t="s">
        <v>403</v>
      </c>
      <c r="B151" t="s">
        <v>404</v>
      </c>
      <c r="C151" t="s">
        <v>183</v>
      </c>
      <c r="D151" t="s">
        <v>65</v>
      </c>
      <c r="G151" t="s">
        <v>74</v>
      </c>
      <c r="J151" t="s">
        <v>67</v>
      </c>
      <c r="L151">
        <v>0</v>
      </c>
      <c r="M151">
        <f t="shared" si="20"/>
        <v>0</v>
      </c>
      <c r="N151" t="s">
        <v>68</v>
      </c>
      <c r="O151">
        <f t="shared" si="21"/>
        <v>0</v>
      </c>
      <c r="P151" t="s">
        <v>68</v>
      </c>
      <c r="S151">
        <f t="shared" si="22"/>
        <v>0</v>
      </c>
      <c r="T151" t="str">
        <f t="shared" si="23"/>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A151">
        <v>0</v>
      </c>
      <c r="AB151">
        <v>0</v>
      </c>
      <c r="AC151">
        <v>0</v>
      </c>
      <c r="AD151">
        <v>0</v>
      </c>
      <c r="AE151">
        <v>0</v>
      </c>
      <c r="AF151">
        <v>0</v>
      </c>
      <c r="AG151">
        <v>0</v>
      </c>
      <c r="AH151">
        <v>0</v>
      </c>
      <c r="AI151">
        <v>0</v>
      </c>
      <c r="AJ151">
        <v>0</v>
      </c>
      <c r="AK151">
        <v>0</v>
      </c>
      <c r="AL151">
        <v>0</v>
      </c>
      <c r="AM151">
        <v>0</v>
      </c>
      <c r="AN151">
        <v>0</v>
      </c>
      <c r="AO151">
        <f t="shared" si="24"/>
        <v>0</v>
      </c>
      <c r="AP151">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N/A")</f>
        <v>0</v>
      </c>
      <c r="AQ151">
        <f>IF(ISNUMBER(M151),1,0)+IF(ISNUMBER(SCORECARDS!H151),1,0)+IF(ISNUMBER(SCORECARDS!I151),1,0)+IF(ISNUMBER(SCORECARDS!J151),1,0)+IF(ISNUMBER(ISCAM_Score!K152),1,0)+IF(ISNUMBER(O151),1,0)+IF(COUNT(W151:Z151)&gt;0,1,0)</f>
        <v>3</v>
      </c>
    </row>
    <row r="152" spans="1:43" ht="16.05" customHeight="1" x14ac:dyDescent="0.3">
      <c r="A152" t="s">
        <v>405</v>
      </c>
      <c r="B152" t="s">
        <v>406</v>
      </c>
      <c r="C152" t="s">
        <v>80</v>
      </c>
      <c r="D152" t="s">
        <v>73</v>
      </c>
      <c r="G152" t="s">
        <v>74</v>
      </c>
      <c r="J152" t="s">
        <v>67</v>
      </c>
      <c r="L152">
        <v>0</v>
      </c>
      <c r="M152">
        <f t="shared" si="20"/>
        <v>0</v>
      </c>
      <c r="N152" t="s">
        <v>68</v>
      </c>
      <c r="O152">
        <f t="shared" si="21"/>
        <v>0</v>
      </c>
      <c r="P152" t="s">
        <v>68</v>
      </c>
      <c r="S152">
        <f t="shared" si="22"/>
        <v>0</v>
      </c>
      <c r="T152" t="str">
        <f t="shared" si="23"/>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A152">
        <v>0</v>
      </c>
      <c r="AB152">
        <v>0</v>
      </c>
      <c r="AC152">
        <v>0</v>
      </c>
      <c r="AD152">
        <v>0</v>
      </c>
      <c r="AE152">
        <v>0</v>
      </c>
      <c r="AF152">
        <v>0</v>
      </c>
      <c r="AG152">
        <v>0</v>
      </c>
      <c r="AH152">
        <v>0</v>
      </c>
      <c r="AI152">
        <v>0</v>
      </c>
      <c r="AJ152">
        <v>0</v>
      </c>
      <c r="AK152">
        <v>0</v>
      </c>
      <c r="AL152">
        <v>0</v>
      </c>
      <c r="AM152">
        <v>0</v>
      </c>
      <c r="AN152">
        <v>0</v>
      </c>
      <c r="AO152">
        <f t="shared" si="24"/>
        <v>0</v>
      </c>
      <c r="AP152">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N/A")</f>
        <v>0</v>
      </c>
      <c r="AQ152">
        <f>IF(ISNUMBER(M152),1,0)+IF(ISNUMBER(SCORECARDS!H152),1,0)+IF(ISNUMBER(SCORECARDS!I152),1,0)+IF(ISNUMBER(SCORECARDS!J152),1,0)+IF(ISNUMBER(ISCAM_Score!K153),1,0)+IF(ISNUMBER(O152),1,0)+IF(COUNT(W152:Z152)&gt;0,1,0)</f>
        <v>3</v>
      </c>
    </row>
    <row r="153" spans="1:43" ht="16.05" customHeight="1" x14ac:dyDescent="0.3">
      <c r="A153" t="s">
        <v>407</v>
      </c>
      <c r="B153" t="s">
        <v>408</v>
      </c>
      <c r="C153" t="s">
        <v>80</v>
      </c>
      <c r="D153" t="s">
        <v>73</v>
      </c>
      <c r="G153" t="s">
        <v>74</v>
      </c>
      <c r="J153" t="s">
        <v>67</v>
      </c>
      <c r="L153">
        <v>0</v>
      </c>
      <c r="M153">
        <f t="shared" si="20"/>
        <v>0</v>
      </c>
      <c r="N153" t="s">
        <v>68</v>
      </c>
      <c r="O153">
        <f t="shared" si="21"/>
        <v>0</v>
      </c>
      <c r="P153" t="s">
        <v>68</v>
      </c>
      <c r="S153">
        <f t="shared" si="22"/>
        <v>0</v>
      </c>
      <c r="T153" t="str">
        <f t="shared" si="23"/>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A153">
        <v>0</v>
      </c>
      <c r="AB153">
        <v>0</v>
      </c>
      <c r="AC153">
        <v>0</v>
      </c>
      <c r="AD153">
        <v>0</v>
      </c>
      <c r="AE153">
        <v>0</v>
      </c>
      <c r="AF153">
        <v>0</v>
      </c>
      <c r="AG153">
        <v>0</v>
      </c>
      <c r="AH153">
        <v>0</v>
      </c>
      <c r="AI153">
        <v>0</v>
      </c>
      <c r="AJ153">
        <v>0</v>
      </c>
      <c r="AK153">
        <v>0</v>
      </c>
      <c r="AL153">
        <v>0</v>
      </c>
      <c r="AM153">
        <v>0</v>
      </c>
      <c r="AN153">
        <v>0</v>
      </c>
      <c r="AO153">
        <f t="shared" si="24"/>
        <v>0</v>
      </c>
      <c r="AP153">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N/A")</f>
        <v>0</v>
      </c>
      <c r="AQ153">
        <f>IF(ISNUMBER(M153),1,0)+IF(ISNUMBER(SCORECARDS!H153),1,0)+IF(ISNUMBER(SCORECARDS!I153),1,0)+IF(ISNUMBER(SCORECARDS!J153),1,0)+IF(ISNUMBER(ISCAM_Score!K154),1,0)+IF(ISNUMBER(O153),1,0)+IF(COUNT(W153:Z153)&gt;0,1,0)</f>
        <v>3</v>
      </c>
    </row>
    <row r="154" spans="1:43" ht="16.05" customHeight="1" x14ac:dyDescent="0.3">
      <c r="A154" t="s">
        <v>409</v>
      </c>
      <c r="B154" t="s">
        <v>410</v>
      </c>
      <c r="C154" t="s">
        <v>77</v>
      </c>
      <c r="D154" t="s">
        <v>65</v>
      </c>
      <c r="E154">
        <v>147669.48000000001</v>
      </c>
      <c r="F154">
        <v>1</v>
      </c>
      <c r="G154" t="s">
        <v>66</v>
      </c>
      <c r="I154" t="s">
        <v>235</v>
      </c>
      <c r="J154" t="s">
        <v>67</v>
      </c>
      <c r="K154" t="s">
        <v>85</v>
      </c>
      <c r="L154">
        <v>0</v>
      </c>
      <c r="M154">
        <f t="shared" si="20"/>
        <v>0</v>
      </c>
      <c r="N154" t="s">
        <v>68</v>
      </c>
      <c r="O154">
        <f t="shared" si="21"/>
        <v>0</v>
      </c>
      <c r="P154" t="s">
        <v>68</v>
      </c>
      <c r="Q154">
        <v>257</v>
      </c>
      <c r="R154">
        <v>771</v>
      </c>
      <c r="S154">
        <f t="shared" si="22"/>
        <v>5.2</v>
      </c>
      <c r="T154" t="str">
        <f t="shared" si="23"/>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A154">
        <v>0</v>
      </c>
      <c r="AB154">
        <v>0</v>
      </c>
      <c r="AC154">
        <v>0</v>
      </c>
      <c r="AD154">
        <v>0</v>
      </c>
      <c r="AE154">
        <v>0</v>
      </c>
      <c r="AF154">
        <v>0</v>
      </c>
      <c r="AG154">
        <v>0</v>
      </c>
      <c r="AH154">
        <v>0</v>
      </c>
      <c r="AI154">
        <v>0</v>
      </c>
      <c r="AJ154">
        <v>0</v>
      </c>
      <c r="AK154">
        <v>0</v>
      </c>
      <c r="AL154">
        <v>0</v>
      </c>
      <c r="AM154">
        <v>0</v>
      </c>
      <c r="AN154">
        <v>0</v>
      </c>
      <c r="AO154">
        <f t="shared" si="24"/>
        <v>0</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N/A")</f>
        <v>5.2083333333333336E-2</v>
      </c>
      <c r="AQ154">
        <f>IF(ISNUMBER(M154),1,0)+IF(ISNUMBER(SCORECARDS!H154),1,0)+IF(ISNUMBER(SCORECARDS!I154),1,0)+IF(ISNUMBER(SCORECARDS!J154),1,0)+IF(ISNUMBER(ISCAM_Score!K155),1,0)+IF(ISNUMBER(O154),1,0)+IF(COUNT(W154:Z154)&gt;0,1,0)</f>
        <v>3</v>
      </c>
    </row>
    <row r="155" spans="1:43" ht="16.05" customHeight="1" x14ac:dyDescent="0.3">
      <c r="A155" t="s">
        <v>411</v>
      </c>
      <c r="B155" t="s">
        <v>412</v>
      </c>
      <c r="C155" t="s">
        <v>113</v>
      </c>
      <c r="D155" t="s">
        <v>73</v>
      </c>
      <c r="G155" t="s">
        <v>74</v>
      </c>
      <c r="J155" t="s">
        <v>67</v>
      </c>
      <c r="L155">
        <v>0</v>
      </c>
      <c r="M155">
        <f t="shared" si="20"/>
        <v>0</v>
      </c>
      <c r="N155" t="s">
        <v>68</v>
      </c>
      <c r="O155">
        <f t="shared" si="21"/>
        <v>0</v>
      </c>
      <c r="P155" t="s">
        <v>68</v>
      </c>
      <c r="S155">
        <f t="shared" si="22"/>
        <v>0</v>
      </c>
      <c r="T155" t="str">
        <f t="shared" si="23"/>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A155">
        <v>0</v>
      </c>
      <c r="AB155">
        <v>0</v>
      </c>
      <c r="AC155">
        <v>0</v>
      </c>
      <c r="AD155">
        <v>0</v>
      </c>
      <c r="AE155">
        <v>0</v>
      </c>
      <c r="AF155">
        <v>0</v>
      </c>
      <c r="AG155">
        <v>0</v>
      </c>
      <c r="AH155">
        <v>0</v>
      </c>
      <c r="AI155">
        <v>0</v>
      </c>
      <c r="AJ155">
        <v>0</v>
      </c>
      <c r="AK155">
        <v>0</v>
      </c>
      <c r="AL155">
        <v>0</v>
      </c>
      <c r="AM155">
        <v>0</v>
      </c>
      <c r="AN155">
        <v>0</v>
      </c>
      <c r="AO155">
        <f t="shared" si="24"/>
        <v>0</v>
      </c>
      <c r="AP155">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N/A")</f>
        <v>0</v>
      </c>
      <c r="AQ155">
        <f>IF(ISNUMBER(M155),1,0)+IF(ISNUMBER(SCORECARDS!H155),1,0)+IF(ISNUMBER(SCORECARDS!I155),1,0)+IF(ISNUMBER(SCORECARDS!J155),1,0)+IF(ISNUMBER(ISCAM_Score!K156),1,0)+IF(ISNUMBER(O155),1,0)+IF(COUNT(W155:Z155)&gt;0,1,0)</f>
        <v>3</v>
      </c>
    </row>
    <row r="156" spans="1:43" ht="16.05" customHeight="1" x14ac:dyDescent="0.3">
      <c r="A156" t="s">
        <v>413</v>
      </c>
      <c r="B156" t="s">
        <v>414</v>
      </c>
      <c r="C156" t="s">
        <v>183</v>
      </c>
      <c r="D156" t="s">
        <v>65</v>
      </c>
      <c r="G156" t="s">
        <v>74</v>
      </c>
      <c r="J156" t="s">
        <v>128</v>
      </c>
      <c r="L156">
        <v>0</v>
      </c>
      <c r="M156">
        <f t="shared" si="20"/>
        <v>0</v>
      </c>
      <c r="N156" t="s">
        <v>68</v>
      </c>
      <c r="O156">
        <f t="shared" si="21"/>
        <v>0</v>
      </c>
      <c r="P156" t="s">
        <v>68</v>
      </c>
      <c r="S156">
        <f t="shared" si="22"/>
        <v>0</v>
      </c>
      <c r="T156" t="str">
        <f t="shared" si="23"/>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A156">
        <v>0</v>
      </c>
      <c r="AB156">
        <v>0</v>
      </c>
      <c r="AC156">
        <v>0</v>
      </c>
      <c r="AD156">
        <v>0</v>
      </c>
      <c r="AE156">
        <v>0</v>
      </c>
      <c r="AF156">
        <v>0</v>
      </c>
      <c r="AG156">
        <v>0</v>
      </c>
      <c r="AH156">
        <v>0</v>
      </c>
      <c r="AI156">
        <v>0</v>
      </c>
      <c r="AJ156">
        <v>0</v>
      </c>
      <c r="AK156">
        <v>0</v>
      </c>
      <c r="AL156">
        <v>0</v>
      </c>
      <c r="AM156">
        <v>0</v>
      </c>
      <c r="AN156">
        <v>0</v>
      </c>
      <c r="AO156">
        <f t="shared" si="24"/>
        <v>0</v>
      </c>
      <c r="AP156">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N/A")</f>
        <v>0</v>
      </c>
      <c r="AQ156">
        <f>IF(ISNUMBER(M156),1,0)+IF(ISNUMBER(SCORECARDS!H156),1,0)+IF(ISNUMBER(SCORECARDS!I156),1,0)+IF(ISNUMBER(SCORECARDS!J156),1,0)+IF(ISNUMBER(ISCAM_Score!K157),1,0)+IF(ISNUMBER(O156),1,0)+IF(COUNT(W156:Z156)&gt;0,1,0)</f>
        <v>3</v>
      </c>
    </row>
    <row r="157" spans="1:43" ht="16.05" customHeight="1" x14ac:dyDescent="0.3">
      <c r="A157" t="s">
        <v>415</v>
      </c>
      <c r="B157" t="s">
        <v>416</v>
      </c>
      <c r="C157" t="s">
        <v>143</v>
      </c>
      <c r="D157" t="s">
        <v>65</v>
      </c>
      <c r="E157">
        <v>940783.32</v>
      </c>
      <c r="F157">
        <v>7</v>
      </c>
      <c r="G157" t="s">
        <v>66</v>
      </c>
      <c r="H157" t="s">
        <v>226</v>
      </c>
      <c r="I157" t="s">
        <v>226</v>
      </c>
      <c r="J157" t="s">
        <v>67</v>
      </c>
      <c r="K157" t="s">
        <v>417</v>
      </c>
      <c r="L157">
        <v>76135.47</v>
      </c>
      <c r="M157">
        <f t="shared" si="20"/>
        <v>8.1</v>
      </c>
      <c r="N157" t="s">
        <v>68</v>
      </c>
      <c r="O157">
        <f t="shared" si="21"/>
        <v>0</v>
      </c>
      <c r="P157" t="s">
        <v>68</v>
      </c>
      <c r="Q157">
        <v>187</v>
      </c>
      <c r="R157">
        <v>600</v>
      </c>
      <c r="S157">
        <f t="shared" si="22"/>
        <v>8.6</v>
      </c>
      <c r="T157" t="str">
        <f t="shared" si="23"/>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A157">
        <v>0</v>
      </c>
      <c r="AB157">
        <v>0</v>
      </c>
      <c r="AC157">
        <v>0</v>
      </c>
      <c r="AD157">
        <v>0</v>
      </c>
      <c r="AE157">
        <v>0</v>
      </c>
      <c r="AF157">
        <v>0</v>
      </c>
      <c r="AG157">
        <v>0</v>
      </c>
      <c r="AH157">
        <v>0</v>
      </c>
      <c r="AI157">
        <v>0</v>
      </c>
      <c r="AJ157">
        <v>0</v>
      </c>
      <c r="AK157">
        <v>0</v>
      </c>
      <c r="AL157">
        <v>0</v>
      </c>
      <c r="AM157">
        <v>0</v>
      </c>
      <c r="AN157">
        <v>0</v>
      </c>
      <c r="AO157">
        <f t="shared" si="24"/>
        <v>0</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N/A")</f>
        <v>8.5833333333333331E-2</v>
      </c>
      <c r="AQ157">
        <f>IF(ISNUMBER(M157),1,0)+IF(ISNUMBER(SCORECARDS!H157),1,0)+IF(ISNUMBER(SCORECARDS!I157),1,0)+IF(ISNUMBER(SCORECARDS!J157),1,0)+IF(ISNUMBER(ISCAM_Score!K158),1,0)+IF(ISNUMBER(O157),1,0)+IF(COUNT(W157:Z157)&gt;0,1,0)</f>
        <v>3</v>
      </c>
    </row>
    <row r="158" spans="1:43" ht="16.05" customHeight="1" x14ac:dyDescent="0.3">
      <c r="A158" t="s">
        <v>418</v>
      </c>
      <c r="B158" t="s">
        <v>419</v>
      </c>
      <c r="C158" t="s">
        <v>77</v>
      </c>
      <c r="G158" t="s">
        <v>74</v>
      </c>
      <c r="J158" t="s">
        <v>67</v>
      </c>
      <c r="L158">
        <v>0</v>
      </c>
      <c r="M158">
        <f t="shared" si="20"/>
        <v>0</v>
      </c>
      <c r="N158" t="s">
        <v>68</v>
      </c>
      <c r="O158">
        <f t="shared" si="21"/>
        <v>0</v>
      </c>
      <c r="P158" t="s">
        <v>68</v>
      </c>
      <c r="S158">
        <f t="shared" si="22"/>
        <v>0</v>
      </c>
      <c r="T158" t="str">
        <f t="shared" si="23"/>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A158">
        <v>0</v>
      </c>
      <c r="AB158">
        <v>0</v>
      </c>
      <c r="AC158">
        <v>0</v>
      </c>
      <c r="AD158">
        <v>0</v>
      </c>
      <c r="AE158">
        <v>0</v>
      </c>
      <c r="AF158">
        <v>0</v>
      </c>
      <c r="AG158">
        <v>0</v>
      </c>
      <c r="AH158">
        <v>0</v>
      </c>
      <c r="AI158">
        <v>0</v>
      </c>
      <c r="AJ158">
        <v>0</v>
      </c>
      <c r="AK158">
        <v>0</v>
      </c>
      <c r="AL158">
        <v>0</v>
      </c>
      <c r="AM158">
        <v>0</v>
      </c>
      <c r="AN158">
        <v>0</v>
      </c>
      <c r="AO158">
        <f t="shared" si="24"/>
        <v>0</v>
      </c>
      <c r="AP158">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N/A")</f>
        <v>0</v>
      </c>
      <c r="AQ158">
        <f>IF(ISNUMBER(M158),1,0)+IF(ISNUMBER(SCORECARDS!H158),1,0)+IF(ISNUMBER(SCORECARDS!I158),1,0)+IF(ISNUMBER(SCORECARDS!J158),1,0)+IF(ISNUMBER(ISCAM_Score!K159),1,0)+IF(ISNUMBER(O158),1,0)+IF(COUNT(W158:Z158)&gt;0,1,0)</f>
        <v>3</v>
      </c>
    </row>
    <row r="159" spans="1:43" ht="16.05" customHeight="1" x14ac:dyDescent="0.3">
      <c r="A159" t="s">
        <v>420</v>
      </c>
      <c r="B159" t="s">
        <v>421</v>
      </c>
      <c r="C159" t="s">
        <v>143</v>
      </c>
      <c r="D159" t="s">
        <v>73</v>
      </c>
      <c r="G159" t="s">
        <v>74</v>
      </c>
      <c r="J159" t="s">
        <v>67</v>
      </c>
      <c r="L159">
        <v>0</v>
      </c>
      <c r="M159">
        <f t="shared" si="20"/>
        <v>0</v>
      </c>
      <c r="N159" t="s">
        <v>68</v>
      </c>
      <c r="O159">
        <f t="shared" si="21"/>
        <v>0</v>
      </c>
      <c r="P159" t="s">
        <v>68</v>
      </c>
      <c r="S159">
        <f t="shared" si="22"/>
        <v>0</v>
      </c>
      <c r="T159" t="str">
        <f t="shared" si="23"/>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A159">
        <v>0</v>
      </c>
      <c r="AB159">
        <v>0</v>
      </c>
      <c r="AC159">
        <v>0</v>
      </c>
      <c r="AD159">
        <v>0</v>
      </c>
      <c r="AE159">
        <v>0</v>
      </c>
      <c r="AF159">
        <v>0</v>
      </c>
      <c r="AG159">
        <v>0</v>
      </c>
      <c r="AH159">
        <v>0</v>
      </c>
      <c r="AI159">
        <v>0</v>
      </c>
      <c r="AJ159">
        <v>0</v>
      </c>
      <c r="AK159">
        <v>0</v>
      </c>
      <c r="AL159">
        <v>0</v>
      </c>
      <c r="AM159">
        <v>0</v>
      </c>
      <c r="AN159">
        <v>0</v>
      </c>
      <c r="AO159">
        <f t="shared" si="24"/>
        <v>0</v>
      </c>
      <c r="AP159">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N/A")</f>
        <v>0</v>
      </c>
      <c r="AQ159">
        <f>IF(ISNUMBER(M159),1,0)+IF(ISNUMBER(SCORECARDS!H159),1,0)+IF(ISNUMBER(SCORECARDS!I159),1,0)+IF(ISNUMBER(SCORECARDS!J159),1,0)+IF(ISNUMBER(ISCAM_Score!K160),1,0)+IF(ISNUMBER(O159),1,0)+IF(COUNT(W159:Z159)&gt;0,1,0)</f>
        <v>3</v>
      </c>
    </row>
    <row r="160" spans="1:43" ht="16.05" customHeight="1" x14ac:dyDescent="0.3">
      <c r="A160" t="s">
        <v>422</v>
      </c>
      <c r="B160" t="s">
        <v>423</v>
      </c>
      <c r="C160" t="s">
        <v>107</v>
      </c>
      <c r="D160" t="s">
        <v>65</v>
      </c>
      <c r="G160" t="s">
        <v>74</v>
      </c>
      <c r="J160" t="s">
        <v>424</v>
      </c>
      <c r="L160">
        <v>0</v>
      </c>
      <c r="M160">
        <f t="shared" si="20"/>
        <v>0</v>
      </c>
      <c r="N160" t="s">
        <v>68</v>
      </c>
      <c r="O160">
        <f t="shared" si="21"/>
        <v>0</v>
      </c>
      <c r="P160" t="s">
        <v>68</v>
      </c>
      <c r="S160">
        <f t="shared" si="22"/>
        <v>0</v>
      </c>
      <c r="T160" t="str">
        <f t="shared" si="23"/>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A160">
        <v>0</v>
      </c>
      <c r="AB160">
        <v>0</v>
      </c>
      <c r="AC160">
        <v>0</v>
      </c>
      <c r="AD160">
        <v>0</v>
      </c>
      <c r="AE160">
        <v>0</v>
      </c>
      <c r="AF160">
        <v>0</v>
      </c>
      <c r="AG160">
        <v>0</v>
      </c>
      <c r="AH160">
        <v>0</v>
      </c>
      <c r="AI160">
        <v>0</v>
      </c>
      <c r="AJ160">
        <v>0</v>
      </c>
      <c r="AK160">
        <v>0</v>
      </c>
      <c r="AL160">
        <v>0</v>
      </c>
      <c r="AM160">
        <v>0</v>
      </c>
      <c r="AN160">
        <v>0</v>
      </c>
      <c r="AO160">
        <f t="shared" si="24"/>
        <v>0</v>
      </c>
      <c r="AP160">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N/A")</f>
        <v>0</v>
      </c>
      <c r="AQ160">
        <f>IF(ISNUMBER(M160),1,0)+IF(ISNUMBER(SCORECARDS!H160),1,0)+IF(ISNUMBER(SCORECARDS!I160),1,0)+IF(ISNUMBER(SCORECARDS!J160),1,0)+IF(ISNUMBER(ISCAM_Score!K161),1,0)+IF(ISNUMBER(O160),1,0)+IF(COUNT(W160:Z160)&gt;0,1,0)</f>
        <v>3</v>
      </c>
    </row>
    <row r="161" spans="1:43" ht="16.05" customHeight="1" x14ac:dyDescent="0.3">
      <c r="A161" t="s">
        <v>425</v>
      </c>
      <c r="B161" t="s">
        <v>426</v>
      </c>
      <c r="C161" t="s">
        <v>183</v>
      </c>
      <c r="D161" t="s">
        <v>65</v>
      </c>
      <c r="G161" t="s">
        <v>74</v>
      </c>
      <c r="J161" t="s">
        <v>67</v>
      </c>
      <c r="L161">
        <v>0</v>
      </c>
      <c r="M161">
        <f t="shared" si="20"/>
        <v>0</v>
      </c>
      <c r="N161" t="s">
        <v>68</v>
      </c>
      <c r="O161">
        <f t="shared" si="21"/>
        <v>0</v>
      </c>
      <c r="P161" t="s">
        <v>68</v>
      </c>
      <c r="S161">
        <f t="shared" si="22"/>
        <v>0</v>
      </c>
      <c r="T161" t="str">
        <f t="shared" si="23"/>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A161">
        <v>0</v>
      </c>
      <c r="AB161">
        <v>0</v>
      </c>
      <c r="AC161">
        <v>0</v>
      </c>
      <c r="AD161">
        <v>0</v>
      </c>
      <c r="AE161">
        <v>0</v>
      </c>
      <c r="AF161">
        <v>0</v>
      </c>
      <c r="AG161">
        <v>0</v>
      </c>
      <c r="AH161">
        <v>0</v>
      </c>
      <c r="AI161">
        <v>0</v>
      </c>
      <c r="AJ161">
        <v>0</v>
      </c>
      <c r="AK161">
        <v>0</v>
      </c>
      <c r="AL161">
        <v>0</v>
      </c>
      <c r="AM161">
        <v>0</v>
      </c>
      <c r="AN161">
        <v>0</v>
      </c>
      <c r="AO161">
        <f t="shared" si="24"/>
        <v>0</v>
      </c>
      <c r="AP161">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N/A")</f>
        <v>0</v>
      </c>
      <c r="AQ161">
        <f>IF(ISNUMBER(M161),1,0)+IF(ISNUMBER(SCORECARDS!H161),1,0)+IF(ISNUMBER(SCORECARDS!I161),1,0)+IF(ISNUMBER(SCORECARDS!J161),1,0)+IF(ISNUMBER(ISCAM_Score!K162),1,0)+IF(ISNUMBER(O161),1,0)+IF(COUNT(W161:Z161)&gt;0,1,0)</f>
        <v>3</v>
      </c>
    </row>
    <row r="162" spans="1:43" ht="16.05" customHeight="1" x14ac:dyDescent="0.3">
      <c r="A162" t="s">
        <v>427</v>
      </c>
      <c r="B162" t="s">
        <v>428</v>
      </c>
      <c r="C162" t="s">
        <v>107</v>
      </c>
      <c r="D162" t="s">
        <v>65</v>
      </c>
      <c r="G162" t="s">
        <v>74</v>
      </c>
      <c r="J162" t="s">
        <v>67</v>
      </c>
      <c r="L162">
        <v>0</v>
      </c>
      <c r="M162">
        <f t="shared" si="20"/>
        <v>0</v>
      </c>
      <c r="N162" t="s">
        <v>68</v>
      </c>
      <c r="O162">
        <f t="shared" si="21"/>
        <v>0</v>
      </c>
      <c r="P162" t="s">
        <v>68</v>
      </c>
      <c r="S162">
        <f t="shared" si="22"/>
        <v>0</v>
      </c>
      <c r="T162" t="str">
        <f t="shared" si="23"/>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A162">
        <v>0</v>
      </c>
      <c r="AB162">
        <v>0</v>
      </c>
      <c r="AC162">
        <v>0</v>
      </c>
      <c r="AD162">
        <v>0</v>
      </c>
      <c r="AE162">
        <v>0</v>
      </c>
      <c r="AF162">
        <v>0</v>
      </c>
      <c r="AG162">
        <v>0</v>
      </c>
      <c r="AH162">
        <v>0</v>
      </c>
      <c r="AI162">
        <v>0</v>
      </c>
      <c r="AJ162">
        <v>0</v>
      </c>
      <c r="AK162">
        <v>0</v>
      </c>
      <c r="AL162">
        <v>0</v>
      </c>
      <c r="AM162">
        <v>0</v>
      </c>
      <c r="AN162">
        <v>0</v>
      </c>
      <c r="AO162">
        <f t="shared" si="24"/>
        <v>0</v>
      </c>
      <c r="AP162">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N/A")</f>
        <v>0</v>
      </c>
      <c r="AQ162">
        <f>IF(ISNUMBER(M162),1,0)+IF(ISNUMBER(SCORECARDS!H162),1,0)+IF(ISNUMBER(SCORECARDS!I162),1,0)+IF(ISNUMBER(SCORECARDS!J162),1,0)+IF(ISNUMBER(ISCAM_Score!K163),1,0)+IF(ISNUMBER(O162),1,0)+IF(COUNT(W162:Z162)&gt;0,1,0)</f>
        <v>3</v>
      </c>
    </row>
    <row r="163" spans="1:43" ht="16.05" customHeight="1" x14ac:dyDescent="0.3">
      <c r="A163" t="s">
        <v>429</v>
      </c>
      <c r="B163" t="s">
        <v>430</v>
      </c>
      <c r="C163" t="s">
        <v>154</v>
      </c>
      <c r="D163" t="s">
        <v>65</v>
      </c>
      <c r="E163">
        <v>3002219.02</v>
      </c>
      <c r="F163">
        <v>19</v>
      </c>
      <c r="G163" t="s">
        <v>66</v>
      </c>
      <c r="J163" t="s">
        <v>67</v>
      </c>
      <c r="L163">
        <v>1501109.51</v>
      </c>
      <c r="M163">
        <f t="shared" ref="M163:M176" si="25">IF(E163&gt;0,ROUND(L163/E163*100,1),0)</f>
        <v>50</v>
      </c>
      <c r="N163" t="s">
        <v>68</v>
      </c>
      <c r="O163">
        <f t="shared" ref="O163:O176" si="26">IF(H163="SI",1,0)*0.6+IF(I163="SI",1,0)*0.4</f>
        <v>0</v>
      </c>
      <c r="P163" t="s">
        <v>68</v>
      </c>
      <c r="S163">
        <f t="shared" ref="S163:S176" si="27">IFERROR(ROUND(AP163*100,1),"N/A")</f>
        <v>26</v>
      </c>
      <c r="T163" t="str">
        <f t="shared" ref="T163:T176" si="28">IF(NOT(ISNUMBER(S163)),"—",IF(AQ163&lt;6,"⬜  Parcial · Inst. 2 pendiente",IF(S163&lt;34,"🔴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A163">
        <v>0</v>
      </c>
      <c r="AB163">
        <v>0</v>
      </c>
      <c r="AC163">
        <v>0</v>
      </c>
      <c r="AD163">
        <v>0</v>
      </c>
      <c r="AE163">
        <v>0</v>
      </c>
      <c r="AF163">
        <v>0</v>
      </c>
      <c r="AG163">
        <v>0</v>
      </c>
      <c r="AH163">
        <v>0</v>
      </c>
      <c r="AI163">
        <v>0</v>
      </c>
      <c r="AJ163">
        <v>0</v>
      </c>
      <c r="AK163">
        <v>0</v>
      </c>
      <c r="AL163">
        <v>0</v>
      </c>
      <c r="AM163">
        <v>0</v>
      </c>
      <c r="AN163">
        <v>0</v>
      </c>
      <c r="AO163">
        <f t="shared" ref="AO163:AO176" si="29">IFERROR(AVERAGE(AA163,AB163,AC163,AD163,AE163,AF163,AG163,AH163,AI163,AJ163,AK163,AL163,AM163,AN163),"N/A")</f>
        <v>0</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N/A")</f>
        <v>0.26041666666666669</v>
      </c>
      <c r="AQ163">
        <f>IF(ISNUMBER(M163),1,0)+IF(ISNUMBER(SCORECARDS!H163),1,0)+IF(ISNUMBER(SCORECARDS!I163),1,0)+IF(ISNUMBER(SCORECARDS!J163),1,0)+IF(ISNUMBER(ISCAM_Score!K164),1,0)+IF(ISNUMBER(O163),1,0)+IF(COUNT(W163:Z163)&gt;0,1,0)</f>
        <v>3</v>
      </c>
    </row>
    <row r="164" spans="1:43" ht="16.05" customHeight="1" x14ac:dyDescent="0.3">
      <c r="A164" t="s">
        <v>431</v>
      </c>
      <c r="B164" t="s">
        <v>432</v>
      </c>
      <c r="C164" t="s">
        <v>116</v>
      </c>
      <c r="D164" t="s">
        <v>73</v>
      </c>
      <c r="G164" t="s">
        <v>74</v>
      </c>
      <c r="J164" t="s">
        <v>67</v>
      </c>
      <c r="L164">
        <v>0</v>
      </c>
      <c r="M164">
        <f t="shared" si="25"/>
        <v>0</v>
      </c>
      <c r="N164" t="s">
        <v>68</v>
      </c>
      <c r="O164">
        <f t="shared" si="26"/>
        <v>0</v>
      </c>
      <c r="P164" t="s">
        <v>68</v>
      </c>
      <c r="S164">
        <f t="shared" si="27"/>
        <v>0</v>
      </c>
      <c r="T164" t="str">
        <f t="shared" si="28"/>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A164">
        <v>0</v>
      </c>
      <c r="AB164">
        <v>0</v>
      </c>
      <c r="AC164">
        <v>0</v>
      </c>
      <c r="AD164">
        <v>0</v>
      </c>
      <c r="AE164">
        <v>0</v>
      </c>
      <c r="AF164">
        <v>0</v>
      </c>
      <c r="AG164">
        <v>0</v>
      </c>
      <c r="AH164">
        <v>0</v>
      </c>
      <c r="AI164">
        <v>0</v>
      </c>
      <c r="AJ164">
        <v>0</v>
      </c>
      <c r="AK164">
        <v>0</v>
      </c>
      <c r="AL164">
        <v>0</v>
      </c>
      <c r="AM164">
        <v>0</v>
      </c>
      <c r="AN164">
        <v>0</v>
      </c>
      <c r="AO164">
        <f t="shared" si="29"/>
        <v>0</v>
      </c>
      <c r="AP164">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N/A")</f>
        <v>0</v>
      </c>
      <c r="AQ164">
        <f>IF(ISNUMBER(M164),1,0)+IF(ISNUMBER(SCORECARDS!H164),1,0)+IF(ISNUMBER(SCORECARDS!I164),1,0)+IF(ISNUMBER(SCORECARDS!J164),1,0)+IF(ISNUMBER(ISCAM_Score!K165),1,0)+IF(ISNUMBER(O164),1,0)+IF(COUNT(W164:Z164)&gt;0,1,0)</f>
        <v>3</v>
      </c>
    </row>
    <row r="165" spans="1:43" ht="16.05" customHeight="1" x14ac:dyDescent="0.3">
      <c r="A165" t="s">
        <v>433</v>
      </c>
      <c r="B165" t="s">
        <v>434</v>
      </c>
      <c r="C165" t="s">
        <v>183</v>
      </c>
      <c r="D165" t="s">
        <v>65</v>
      </c>
      <c r="G165" t="s">
        <v>74</v>
      </c>
      <c r="J165" t="s">
        <v>128</v>
      </c>
      <c r="L165">
        <v>0</v>
      </c>
      <c r="M165">
        <f t="shared" si="25"/>
        <v>0</v>
      </c>
      <c r="N165" t="s">
        <v>68</v>
      </c>
      <c r="O165">
        <f t="shared" si="26"/>
        <v>0</v>
      </c>
      <c r="P165" t="s">
        <v>68</v>
      </c>
      <c r="S165">
        <f t="shared" si="27"/>
        <v>0</v>
      </c>
      <c r="T165" t="str">
        <f t="shared" si="28"/>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A165">
        <v>0</v>
      </c>
      <c r="AB165">
        <v>0</v>
      </c>
      <c r="AC165">
        <v>0</v>
      </c>
      <c r="AD165">
        <v>0</v>
      </c>
      <c r="AE165">
        <v>0</v>
      </c>
      <c r="AF165">
        <v>0</v>
      </c>
      <c r="AG165">
        <v>0</v>
      </c>
      <c r="AH165">
        <v>0</v>
      </c>
      <c r="AI165">
        <v>0</v>
      </c>
      <c r="AJ165">
        <v>0</v>
      </c>
      <c r="AK165">
        <v>0</v>
      </c>
      <c r="AL165">
        <v>0</v>
      </c>
      <c r="AM165">
        <v>0</v>
      </c>
      <c r="AN165">
        <v>0</v>
      </c>
      <c r="AO165">
        <f t="shared" si="29"/>
        <v>0</v>
      </c>
      <c r="AP165">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N/A")</f>
        <v>0</v>
      </c>
      <c r="AQ165">
        <f>IF(ISNUMBER(M165),1,0)+IF(ISNUMBER(SCORECARDS!H165),1,0)+IF(ISNUMBER(SCORECARDS!I165),1,0)+IF(ISNUMBER(SCORECARDS!J165),1,0)+IF(ISNUMBER(ISCAM_Score!K166),1,0)+IF(ISNUMBER(O165),1,0)+IF(COUNT(W165:Z165)&gt;0,1,0)</f>
        <v>3</v>
      </c>
    </row>
    <row r="166" spans="1:43" ht="16.05" customHeight="1" x14ac:dyDescent="0.3">
      <c r="A166" t="s">
        <v>435</v>
      </c>
      <c r="B166" t="s">
        <v>436</v>
      </c>
      <c r="C166" t="s">
        <v>248</v>
      </c>
      <c r="D166" t="s">
        <v>73</v>
      </c>
      <c r="G166" t="s">
        <v>74</v>
      </c>
      <c r="J166" t="s">
        <v>67</v>
      </c>
      <c r="L166">
        <v>0</v>
      </c>
      <c r="M166">
        <f t="shared" si="25"/>
        <v>0</v>
      </c>
      <c r="N166" t="s">
        <v>68</v>
      </c>
      <c r="O166">
        <f t="shared" si="26"/>
        <v>0</v>
      </c>
      <c r="P166" t="s">
        <v>68</v>
      </c>
      <c r="S166">
        <f t="shared" si="27"/>
        <v>0</v>
      </c>
      <c r="T166" t="str">
        <f t="shared" si="28"/>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A166">
        <v>0</v>
      </c>
      <c r="AB166">
        <v>0</v>
      </c>
      <c r="AC166">
        <v>0</v>
      </c>
      <c r="AD166">
        <v>0</v>
      </c>
      <c r="AE166">
        <v>0</v>
      </c>
      <c r="AF166">
        <v>0</v>
      </c>
      <c r="AG166">
        <v>0</v>
      </c>
      <c r="AH166">
        <v>0</v>
      </c>
      <c r="AI166">
        <v>0</v>
      </c>
      <c r="AJ166">
        <v>0</v>
      </c>
      <c r="AK166">
        <v>0</v>
      </c>
      <c r="AL166">
        <v>0</v>
      </c>
      <c r="AM166">
        <v>0</v>
      </c>
      <c r="AN166">
        <v>0</v>
      </c>
      <c r="AO166">
        <f t="shared" si="29"/>
        <v>0</v>
      </c>
      <c r="AP166">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N/A")</f>
        <v>0</v>
      </c>
      <c r="AQ166">
        <f>IF(ISNUMBER(M166),1,0)+IF(ISNUMBER(SCORECARDS!H166),1,0)+IF(ISNUMBER(SCORECARDS!I166),1,0)+IF(ISNUMBER(SCORECARDS!J166),1,0)+IF(ISNUMBER(ISCAM_Score!K167),1,0)+IF(ISNUMBER(O166),1,0)+IF(COUNT(W166:Z166)&gt;0,1,0)</f>
        <v>3</v>
      </c>
    </row>
    <row r="167" spans="1:43" ht="16.05" customHeight="1" x14ac:dyDescent="0.3">
      <c r="A167" t="s">
        <v>437</v>
      </c>
      <c r="B167" t="s">
        <v>438</v>
      </c>
      <c r="C167" t="s">
        <v>143</v>
      </c>
      <c r="D167" t="s">
        <v>73</v>
      </c>
      <c r="E167">
        <v>4097</v>
      </c>
      <c r="F167">
        <v>2</v>
      </c>
      <c r="G167" t="s">
        <v>66</v>
      </c>
      <c r="J167" t="s">
        <v>67</v>
      </c>
      <c r="L167">
        <v>0</v>
      </c>
      <c r="M167">
        <f t="shared" si="25"/>
        <v>0</v>
      </c>
      <c r="N167" t="s">
        <v>68</v>
      </c>
      <c r="O167">
        <f t="shared" si="26"/>
        <v>0</v>
      </c>
      <c r="P167" t="s">
        <v>68</v>
      </c>
      <c r="S167">
        <f t="shared" si="27"/>
        <v>0</v>
      </c>
      <c r="T167" t="str">
        <f t="shared" si="28"/>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A167">
        <v>0</v>
      </c>
      <c r="AB167">
        <v>0</v>
      </c>
      <c r="AC167">
        <v>0</v>
      </c>
      <c r="AD167">
        <v>0</v>
      </c>
      <c r="AE167">
        <v>0</v>
      </c>
      <c r="AF167">
        <v>0</v>
      </c>
      <c r="AG167">
        <v>0</v>
      </c>
      <c r="AH167">
        <v>0</v>
      </c>
      <c r="AI167">
        <v>0</v>
      </c>
      <c r="AJ167">
        <v>0</v>
      </c>
      <c r="AK167">
        <v>0</v>
      </c>
      <c r="AL167">
        <v>0</v>
      </c>
      <c r="AM167">
        <v>0</v>
      </c>
      <c r="AN167">
        <v>0</v>
      </c>
      <c r="AO167">
        <f t="shared" si="29"/>
        <v>0</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N/A")</f>
        <v>0</v>
      </c>
      <c r="AQ167">
        <f>IF(ISNUMBER(M167),1,0)+IF(ISNUMBER(SCORECARDS!H167),1,0)+IF(ISNUMBER(SCORECARDS!I167),1,0)+IF(ISNUMBER(SCORECARDS!J167),1,0)+IF(ISNUMBER(ISCAM_Score!K168),1,0)+IF(ISNUMBER(O167),1,0)+IF(COUNT(W167:Z167)&gt;0,1,0)</f>
        <v>3</v>
      </c>
    </row>
    <row r="168" spans="1:43" ht="16.05" customHeight="1" x14ac:dyDescent="0.3">
      <c r="A168" t="s">
        <v>439</v>
      </c>
      <c r="B168" t="s">
        <v>440</v>
      </c>
      <c r="C168" t="s">
        <v>116</v>
      </c>
      <c r="D168" t="s">
        <v>73</v>
      </c>
      <c r="E168">
        <v>19111.5</v>
      </c>
      <c r="F168">
        <v>1</v>
      </c>
      <c r="G168" t="s">
        <v>66</v>
      </c>
      <c r="J168" t="s">
        <v>67</v>
      </c>
      <c r="L168">
        <v>0</v>
      </c>
      <c r="M168">
        <f t="shared" si="25"/>
        <v>0</v>
      </c>
      <c r="N168" t="s">
        <v>68</v>
      </c>
      <c r="O168">
        <f t="shared" si="26"/>
        <v>0</v>
      </c>
      <c r="P168" t="s">
        <v>68</v>
      </c>
      <c r="S168">
        <f t="shared" si="27"/>
        <v>0</v>
      </c>
      <c r="T168" t="str">
        <f t="shared" si="28"/>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A168">
        <v>0</v>
      </c>
      <c r="AB168">
        <v>0</v>
      </c>
      <c r="AC168">
        <v>0</v>
      </c>
      <c r="AD168">
        <v>0</v>
      </c>
      <c r="AE168">
        <v>0</v>
      </c>
      <c r="AF168">
        <v>0</v>
      </c>
      <c r="AG168">
        <v>0</v>
      </c>
      <c r="AH168">
        <v>0</v>
      </c>
      <c r="AI168">
        <v>0</v>
      </c>
      <c r="AJ168">
        <v>0</v>
      </c>
      <c r="AK168">
        <v>0</v>
      </c>
      <c r="AL168">
        <v>0</v>
      </c>
      <c r="AM168">
        <v>0</v>
      </c>
      <c r="AN168">
        <v>0</v>
      </c>
      <c r="AO168">
        <f t="shared" si="29"/>
        <v>0</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N/A")</f>
        <v>0</v>
      </c>
      <c r="AQ168">
        <f>IF(ISNUMBER(M168),1,0)+IF(ISNUMBER(SCORECARDS!H168),1,0)+IF(ISNUMBER(SCORECARDS!I168),1,0)+IF(ISNUMBER(SCORECARDS!J168),1,0)+IF(ISNUMBER(ISCAM_Score!K169),1,0)+IF(ISNUMBER(O168),1,0)+IF(COUNT(W168:Z168)&gt;0,1,0)</f>
        <v>3</v>
      </c>
    </row>
    <row r="169" spans="1:43" ht="16.05" customHeight="1" x14ac:dyDescent="0.3">
      <c r="A169" t="s">
        <v>441</v>
      </c>
      <c r="B169" t="s">
        <v>442</v>
      </c>
      <c r="C169" t="s">
        <v>154</v>
      </c>
      <c r="D169" t="s">
        <v>65</v>
      </c>
      <c r="G169" t="s">
        <v>74</v>
      </c>
      <c r="J169" t="s">
        <v>67</v>
      </c>
      <c r="L169">
        <v>0</v>
      </c>
      <c r="M169">
        <f t="shared" si="25"/>
        <v>0</v>
      </c>
      <c r="N169" t="s">
        <v>68</v>
      </c>
      <c r="O169">
        <f t="shared" si="26"/>
        <v>0</v>
      </c>
      <c r="P169" t="s">
        <v>68</v>
      </c>
      <c r="S169">
        <f t="shared" si="27"/>
        <v>0</v>
      </c>
      <c r="T169" t="str">
        <f t="shared" si="28"/>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A169">
        <v>0</v>
      </c>
      <c r="AB169">
        <v>0</v>
      </c>
      <c r="AC169">
        <v>0</v>
      </c>
      <c r="AD169">
        <v>0</v>
      </c>
      <c r="AE169">
        <v>0</v>
      </c>
      <c r="AF169">
        <v>0</v>
      </c>
      <c r="AG169">
        <v>0</v>
      </c>
      <c r="AH169">
        <v>0</v>
      </c>
      <c r="AI169">
        <v>0</v>
      </c>
      <c r="AJ169">
        <v>0</v>
      </c>
      <c r="AK169">
        <v>0</v>
      </c>
      <c r="AL169">
        <v>0</v>
      </c>
      <c r="AM169">
        <v>0</v>
      </c>
      <c r="AN169">
        <v>0</v>
      </c>
      <c r="AO169">
        <f t="shared" si="29"/>
        <v>0</v>
      </c>
      <c r="AP169">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N/A")</f>
        <v>0</v>
      </c>
      <c r="AQ169">
        <f>IF(ISNUMBER(M169),1,0)+IF(ISNUMBER(SCORECARDS!H169),1,0)+IF(ISNUMBER(SCORECARDS!I169),1,0)+IF(ISNUMBER(SCORECARDS!J169),1,0)+IF(ISNUMBER(ISCAM_Score!K170),1,0)+IF(ISNUMBER(O169),1,0)+IF(COUNT(W169:Z169)&gt;0,1,0)</f>
        <v>3</v>
      </c>
    </row>
    <row r="170" spans="1:43" ht="16.05" customHeight="1" x14ac:dyDescent="0.3">
      <c r="A170" t="s">
        <v>443</v>
      </c>
      <c r="B170" t="s">
        <v>444</v>
      </c>
      <c r="C170" t="s">
        <v>113</v>
      </c>
      <c r="D170" t="s">
        <v>73</v>
      </c>
      <c r="E170">
        <v>1265261.8999999999</v>
      </c>
      <c r="F170">
        <v>6</v>
      </c>
      <c r="G170" t="s">
        <v>66</v>
      </c>
      <c r="J170" t="s">
        <v>67</v>
      </c>
      <c r="L170">
        <v>0</v>
      </c>
      <c r="M170">
        <f t="shared" si="25"/>
        <v>0</v>
      </c>
      <c r="N170" t="s">
        <v>68</v>
      </c>
      <c r="O170">
        <f t="shared" si="26"/>
        <v>0</v>
      </c>
      <c r="P170" t="s">
        <v>68</v>
      </c>
      <c r="S170">
        <f t="shared" si="27"/>
        <v>0</v>
      </c>
      <c r="T170" t="str">
        <f t="shared" si="28"/>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A170">
        <v>0</v>
      </c>
      <c r="AB170">
        <v>0</v>
      </c>
      <c r="AC170">
        <v>0</v>
      </c>
      <c r="AD170">
        <v>0</v>
      </c>
      <c r="AE170">
        <v>0</v>
      </c>
      <c r="AF170">
        <v>0</v>
      </c>
      <c r="AG170">
        <v>0</v>
      </c>
      <c r="AH170">
        <v>0</v>
      </c>
      <c r="AI170">
        <v>0</v>
      </c>
      <c r="AJ170">
        <v>0</v>
      </c>
      <c r="AK170">
        <v>0</v>
      </c>
      <c r="AL170">
        <v>0</v>
      </c>
      <c r="AM170">
        <v>0</v>
      </c>
      <c r="AN170">
        <v>0</v>
      </c>
      <c r="AO170">
        <f t="shared" si="29"/>
        <v>0</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N/A")</f>
        <v>0</v>
      </c>
      <c r="AQ170">
        <f>IF(ISNUMBER(M170),1,0)+IF(ISNUMBER(SCORECARDS!H170),1,0)+IF(ISNUMBER(SCORECARDS!I170),1,0)+IF(ISNUMBER(SCORECARDS!J170),1,0)+IF(ISNUMBER(ISCAM_Score!K171),1,0)+IF(ISNUMBER(O170),1,0)+IF(COUNT(W170:Z170)&gt;0,1,0)</f>
        <v>3</v>
      </c>
    </row>
    <row r="171" spans="1:43" ht="16.05" customHeight="1" x14ac:dyDescent="0.3">
      <c r="A171" t="s">
        <v>445</v>
      </c>
      <c r="B171" t="s">
        <v>446</v>
      </c>
      <c r="C171" t="s">
        <v>143</v>
      </c>
      <c r="D171" t="s">
        <v>65</v>
      </c>
      <c r="G171" t="s">
        <v>74</v>
      </c>
      <c r="H171" t="s">
        <v>66</v>
      </c>
      <c r="J171" t="s">
        <v>67</v>
      </c>
      <c r="K171" t="s">
        <v>417</v>
      </c>
      <c r="L171">
        <v>0</v>
      </c>
      <c r="M171">
        <f t="shared" si="25"/>
        <v>0</v>
      </c>
      <c r="N171" t="s">
        <v>68</v>
      </c>
      <c r="O171">
        <f t="shared" si="26"/>
        <v>0.6</v>
      </c>
      <c r="P171" t="s">
        <v>68</v>
      </c>
      <c r="Q171">
        <v>698</v>
      </c>
      <c r="R171">
        <v>921.1</v>
      </c>
      <c r="S171">
        <f t="shared" si="27"/>
        <v>15.2</v>
      </c>
      <c r="T171" t="str">
        <f t="shared" si="28"/>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A171">
        <v>0</v>
      </c>
      <c r="AB171">
        <v>0</v>
      </c>
      <c r="AC171">
        <v>0</v>
      </c>
      <c r="AD171">
        <v>0</v>
      </c>
      <c r="AE171">
        <v>0</v>
      </c>
      <c r="AF171">
        <v>0</v>
      </c>
      <c r="AG171">
        <v>0</v>
      </c>
      <c r="AH171">
        <v>0</v>
      </c>
      <c r="AI171">
        <v>0</v>
      </c>
      <c r="AJ171">
        <v>0</v>
      </c>
      <c r="AK171">
        <v>0</v>
      </c>
      <c r="AL171">
        <v>0</v>
      </c>
      <c r="AM171">
        <v>0</v>
      </c>
      <c r="AN171">
        <v>0</v>
      </c>
      <c r="AO171">
        <f t="shared" si="29"/>
        <v>0</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N/A")</f>
        <v>0.15208333333333332</v>
      </c>
      <c r="AQ171">
        <f>IF(ISNUMBER(M171),1,0)+IF(ISNUMBER(SCORECARDS!H171),1,0)+IF(ISNUMBER(SCORECARDS!I171),1,0)+IF(ISNUMBER(SCORECARDS!J171),1,0)+IF(ISNUMBER(ISCAM_Score!K172),1,0)+IF(ISNUMBER(O171),1,0)+IF(COUNT(W171:Z171)&gt;0,1,0)</f>
        <v>3</v>
      </c>
    </row>
    <row r="172" spans="1:43" ht="16.05" customHeight="1" x14ac:dyDescent="0.3">
      <c r="A172" t="s">
        <v>447</v>
      </c>
      <c r="B172" t="s">
        <v>448</v>
      </c>
      <c r="C172" t="s">
        <v>116</v>
      </c>
      <c r="D172" t="s">
        <v>65</v>
      </c>
      <c r="E172">
        <v>0</v>
      </c>
      <c r="G172" t="s">
        <v>74</v>
      </c>
      <c r="J172" t="s">
        <v>67</v>
      </c>
      <c r="L172">
        <v>0</v>
      </c>
      <c r="M172">
        <f t="shared" si="25"/>
        <v>0</v>
      </c>
      <c r="N172" t="s">
        <v>68</v>
      </c>
      <c r="O172">
        <f t="shared" si="26"/>
        <v>0</v>
      </c>
      <c r="P172" t="s">
        <v>68</v>
      </c>
      <c r="S172">
        <f t="shared" si="27"/>
        <v>0</v>
      </c>
      <c r="T172" t="str">
        <f t="shared" si="28"/>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A172">
        <v>0</v>
      </c>
      <c r="AB172">
        <v>0</v>
      </c>
      <c r="AC172">
        <v>0</v>
      </c>
      <c r="AD172">
        <v>0</v>
      </c>
      <c r="AE172">
        <v>0</v>
      </c>
      <c r="AF172">
        <v>0</v>
      </c>
      <c r="AG172">
        <v>0</v>
      </c>
      <c r="AH172">
        <v>0</v>
      </c>
      <c r="AI172">
        <v>0</v>
      </c>
      <c r="AJ172">
        <v>0</v>
      </c>
      <c r="AK172">
        <v>0</v>
      </c>
      <c r="AL172">
        <v>0</v>
      </c>
      <c r="AM172">
        <v>0</v>
      </c>
      <c r="AN172">
        <v>0</v>
      </c>
      <c r="AO172">
        <f t="shared" si="29"/>
        <v>0</v>
      </c>
      <c r="AP172">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N/A")</f>
        <v>0</v>
      </c>
      <c r="AQ172">
        <f>IF(ISNUMBER(M172),1,0)+IF(ISNUMBER(SCORECARDS!H172),1,0)+IF(ISNUMBER(SCORECARDS!I172),1,0)+IF(ISNUMBER(SCORECARDS!J172),1,0)+IF(ISNUMBER(ISCAM_Score!K173),1,0)+IF(ISNUMBER(O172),1,0)+IF(COUNT(W172:Z172)&gt;0,1,0)</f>
        <v>3</v>
      </c>
    </row>
    <row r="173" spans="1:43" ht="16.05" customHeight="1" x14ac:dyDescent="0.3">
      <c r="A173" t="s">
        <v>449</v>
      </c>
      <c r="B173" t="s">
        <v>450</v>
      </c>
      <c r="C173" t="s">
        <v>183</v>
      </c>
      <c r="D173" t="s">
        <v>65</v>
      </c>
      <c r="G173" t="s">
        <v>74</v>
      </c>
      <c r="J173" t="s">
        <v>128</v>
      </c>
      <c r="L173">
        <v>0</v>
      </c>
      <c r="M173">
        <f t="shared" si="25"/>
        <v>0</v>
      </c>
      <c r="N173" t="s">
        <v>68</v>
      </c>
      <c r="O173">
        <f t="shared" si="26"/>
        <v>0</v>
      </c>
      <c r="P173" t="s">
        <v>68</v>
      </c>
      <c r="S173">
        <f t="shared" si="27"/>
        <v>0</v>
      </c>
      <c r="T173" t="str">
        <f t="shared" si="28"/>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A173">
        <v>0</v>
      </c>
      <c r="AB173">
        <v>0</v>
      </c>
      <c r="AC173">
        <v>0</v>
      </c>
      <c r="AD173">
        <v>0</v>
      </c>
      <c r="AE173">
        <v>0</v>
      </c>
      <c r="AF173">
        <v>0</v>
      </c>
      <c r="AG173">
        <v>0</v>
      </c>
      <c r="AH173">
        <v>0</v>
      </c>
      <c r="AI173">
        <v>0</v>
      </c>
      <c r="AJ173">
        <v>0</v>
      </c>
      <c r="AK173">
        <v>0</v>
      </c>
      <c r="AL173">
        <v>0</v>
      </c>
      <c r="AM173">
        <v>0</v>
      </c>
      <c r="AN173">
        <v>0</v>
      </c>
      <c r="AO173">
        <f t="shared" si="29"/>
        <v>0</v>
      </c>
      <c r="AP173">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N/A")</f>
        <v>0</v>
      </c>
      <c r="AQ173">
        <f>IF(ISNUMBER(M173),1,0)+IF(ISNUMBER(SCORECARDS!H173),1,0)+IF(ISNUMBER(SCORECARDS!I173),1,0)+IF(ISNUMBER(SCORECARDS!J173),1,0)+IF(ISNUMBER(ISCAM_Score!K174),1,0)+IF(ISNUMBER(O173),1,0)+IF(COUNT(W173:Z173)&gt;0,1,0)</f>
        <v>3</v>
      </c>
    </row>
    <row r="174" spans="1:43" ht="16.05" customHeight="1" x14ac:dyDescent="0.3">
      <c r="A174" t="s">
        <v>451</v>
      </c>
      <c r="C174" t="s">
        <v>452</v>
      </c>
      <c r="L174">
        <v>0</v>
      </c>
      <c r="M174">
        <f t="shared" si="25"/>
        <v>0</v>
      </c>
      <c r="N174" t="s">
        <v>68</v>
      </c>
      <c r="O174">
        <f t="shared" si="26"/>
        <v>0</v>
      </c>
      <c r="P174" t="s">
        <v>68</v>
      </c>
      <c r="S174">
        <f t="shared" si="27"/>
        <v>0</v>
      </c>
      <c r="T174" t="str">
        <f t="shared" si="28"/>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A174">
        <v>0</v>
      </c>
      <c r="AB174">
        <v>0</v>
      </c>
      <c r="AC174">
        <v>0</v>
      </c>
      <c r="AD174">
        <v>0</v>
      </c>
      <c r="AE174">
        <v>0</v>
      </c>
      <c r="AF174">
        <v>0</v>
      </c>
      <c r="AG174">
        <v>0</v>
      </c>
      <c r="AH174">
        <v>0</v>
      </c>
      <c r="AI174">
        <v>0</v>
      </c>
      <c r="AJ174">
        <v>0</v>
      </c>
      <c r="AK174">
        <v>0</v>
      </c>
      <c r="AL174">
        <v>0</v>
      </c>
      <c r="AM174">
        <v>0</v>
      </c>
      <c r="AN174">
        <v>0</v>
      </c>
      <c r="AO174">
        <f t="shared" si="29"/>
        <v>0</v>
      </c>
      <c r="AP174">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N/A")</f>
        <v>0</v>
      </c>
      <c r="AQ174">
        <f>IF(ISNUMBER(M174),1,0)+IF(ISNUMBER(SCORECARDS!H174),1,0)+IF(ISNUMBER(SCORECARDS!I174),1,0)+IF(ISNUMBER(SCORECARDS!J174),1,0)+IF(ISNUMBER(ISCAM_Score!K175),1,0)+IF(ISNUMBER(O174),1,0)+IF(COUNT(W174:Z174)&gt;0,1,0)</f>
        <v>3</v>
      </c>
    </row>
    <row r="175" spans="1:43" ht="16.05" customHeight="1" x14ac:dyDescent="0.3">
      <c r="A175" t="s">
        <v>453</v>
      </c>
      <c r="B175" t="s">
        <v>454</v>
      </c>
      <c r="C175" t="s">
        <v>113</v>
      </c>
      <c r="D175" t="s">
        <v>73</v>
      </c>
      <c r="E175">
        <v>7723335.0299999993</v>
      </c>
      <c r="F175">
        <v>17</v>
      </c>
      <c r="G175" t="s">
        <v>66</v>
      </c>
      <c r="J175" t="s">
        <v>67</v>
      </c>
      <c r="L175">
        <v>3861667.52</v>
      </c>
      <c r="M175">
        <f t="shared" si="25"/>
        <v>50</v>
      </c>
      <c r="N175" t="s">
        <v>68</v>
      </c>
      <c r="O175">
        <f t="shared" si="26"/>
        <v>0</v>
      </c>
      <c r="P175" t="s">
        <v>68</v>
      </c>
      <c r="S175">
        <f t="shared" si="27"/>
        <v>26</v>
      </c>
      <c r="T175" t="str">
        <f t="shared" si="28"/>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A175">
        <v>0</v>
      </c>
      <c r="AB175">
        <v>0</v>
      </c>
      <c r="AC175">
        <v>0</v>
      </c>
      <c r="AD175">
        <v>0</v>
      </c>
      <c r="AE175">
        <v>0</v>
      </c>
      <c r="AF175">
        <v>0</v>
      </c>
      <c r="AG175">
        <v>0</v>
      </c>
      <c r="AH175">
        <v>0</v>
      </c>
      <c r="AI175">
        <v>0</v>
      </c>
      <c r="AJ175">
        <v>0</v>
      </c>
      <c r="AK175">
        <v>0</v>
      </c>
      <c r="AL175">
        <v>0</v>
      </c>
      <c r="AM175">
        <v>0</v>
      </c>
      <c r="AN175">
        <v>0</v>
      </c>
      <c r="AO175">
        <f t="shared" si="29"/>
        <v>0</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N/A")</f>
        <v>0.26041666666666669</v>
      </c>
      <c r="AQ175">
        <f>IF(ISNUMBER(M175),1,0)+IF(ISNUMBER(SCORECARDS!H175),1,0)+IF(ISNUMBER(SCORECARDS!I175),1,0)+IF(ISNUMBER(SCORECARDS!J175),1,0)+IF(ISNUMBER(ISCAM_Score!K176),1,0)+IF(ISNUMBER(O175),1,0)+IF(COUNT(W175:Z175)&gt;0,1,0)</f>
        <v>3</v>
      </c>
    </row>
    <row r="176" spans="1:43" ht="16.05" customHeight="1" x14ac:dyDescent="0.3">
      <c r="A176" t="s">
        <v>455</v>
      </c>
      <c r="B176" t="s">
        <v>456</v>
      </c>
      <c r="C176" t="s">
        <v>116</v>
      </c>
      <c r="D176" t="s">
        <v>65</v>
      </c>
      <c r="E176">
        <v>300233.07</v>
      </c>
      <c r="F176">
        <v>2</v>
      </c>
      <c r="G176" t="s">
        <v>66</v>
      </c>
      <c r="J176" t="s">
        <v>67</v>
      </c>
      <c r="L176">
        <v>0</v>
      </c>
      <c r="M176">
        <f t="shared" si="25"/>
        <v>0</v>
      </c>
      <c r="N176" t="s">
        <v>68</v>
      </c>
      <c r="O176">
        <f t="shared" si="26"/>
        <v>0</v>
      </c>
      <c r="P176" t="s">
        <v>68</v>
      </c>
      <c r="S176">
        <f t="shared" si="27"/>
        <v>0</v>
      </c>
      <c r="T176" t="str">
        <f t="shared" si="28"/>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A176">
        <v>0</v>
      </c>
      <c r="AB176">
        <v>0</v>
      </c>
      <c r="AC176">
        <v>0</v>
      </c>
      <c r="AD176">
        <v>0</v>
      </c>
      <c r="AE176">
        <v>0</v>
      </c>
      <c r="AF176">
        <v>0</v>
      </c>
      <c r="AG176">
        <v>0</v>
      </c>
      <c r="AH176">
        <v>0</v>
      </c>
      <c r="AI176">
        <v>0</v>
      </c>
      <c r="AJ176">
        <v>0</v>
      </c>
      <c r="AK176">
        <v>0</v>
      </c>
      <c r="AL176">
        <v>0</v>
      </c>
      <c r="AM176">
        <v>0</v>
      </c>
      <c r="AN176">
        <v>0</v>
      </c>
      <c r="AO176">
        <f t="shared" si="29"/>
        <v>0</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N/A")</f>
        <v>0</v>
      </c>
      <c r="AQ176">
        <f>IF(ISNUMBER(M176),1,0)+IF(ISNUMBER(SCORECARDS!H176),1,0)+IF(ISNUMBER(SCORECARDS!I176),1,0)+IF(ISNUMBER(SCORECARDS!J176),1,0)+IF(ISNUMBER(ISCAM_Score!K177),1,0)+IF(ISNUMBER(O176),1,0)+IF(COUNT(W176:Z176)&gt;0,1,0)</f>
        <v>3</v>
      </c>
    </row>
  </sheetData>
  <mergeCells count="1">
    <mergeCell ref="A1:S1"/>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1037</v>
      </c>
      <c r="B1" s="65"/>
      <c r="C1" s="65"/>
      <c r="D1" s="65"/>
      <c r="E1" s="65"/>
      <c r="F1" s="65"/>
      <c r="G1" s="65"/>
      <c r="H1" s="65"/>
      <c r="I1" s="65"/>
      <c r="J1" s="65"/>
      <c r="K1" s="65"/>
      <c r="L1" s="65"/>
      <c r="M1" s="65"/>
      <c r="N1" s="65"/>
      <c r="O1" s="65"/>
    </row>
    <row r="2" spans="1:16" ht="22.05" customHeight="1" x14ac:dyDescent="0.3">
      <c r="A2" t="s">
        <v>21</v>
      </c>
      <c r="B2" t="s">
        <v>913</v>
      </c>
      <c r="C2" t="s">
        <v>1038</v>
      </c>
      <c r="D2" t="s">
        <v>1039</v>
      </c>
      <c r="E2" t="s">
        <v>1040</v>
      </c>
      <c r="F2" t="s">
        <v>32</v>
      </c>
      <c r="G2" t="s">
        <v>33</v>
      </c>
      <c r="H2" t="s">
        <v>1041</v>
      </c>
      <c r="I2" t="s">
        <v>1042</v>
      </c>
      <c r="J2" t="s">
        <v>1043</v>
      </c>
      <c r="K2" t="s">
        <v>1044</v>
      </c>
      <c r="L2" t="s">
        <v>1045</v>
      </c>
      <c r="M2" t="s">
        <v>986</v>
      </c>
      <c r="N2" t="s">
        <v>1046</v>
      </c>
      <c r="O2" t="s">
        <v>1047</v>
      </c>
      <c r="P2" t="s">
        <v>1048</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IFERROR(MATRIZ_174!L3,0)</f>
        <v>2553623.31</v>
      </c>
      <c r="G3">
        <f>IFERROR(MATRIZ_174!M3,0)</f>
        <v>50</v>
      </c>
      <c r="H3" t="str">
        <f>IF(NORMALIZADO!CC3="","",NORMALIZADO!CC3)</f>
        <v/>
      </c>
      <c r="I3" t="str">
        <f>IF(NORMALIZADO!CF3="","",NORMALIZADO!CF3)</f>
        <v/>
      </c>
      <c r="J3" t="str">
        <f>IF(NORMALIZADO!CG3="","",NORMALIZADO!CG3)</f>
        <v/>
      </c>
      <c r="K3">
        <f>IFERROR(INDEX(MATRIZ_174!$U:$U,MATCH(A3,MATRIZ_174!$A:$A,0))*100,"")</f>
        <v>100</v>
      </c>
      <c r="L3">
        <f>IFERROR(MATRIZ_174!O3,0)</f>
        <v>0</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f>IFERROR(MATRIZ_174!L4,0)</f>
        <v>0</v>
      </c>
      <c r="G4">
        <f>IFERROR(MATRIZ_174!M4,0)</f>
        <v>0</v>
      </c>
      <c r="H4" t="str">
        <f>IF(NORMALIZADO!CC4="","",NORMALIZADO!CC4)</f>
        <v/>
      </c>
      <c r="I4" t="str">
        <f>IF(NORMALIZADO!CF4="","",NORMALIZADO!CF4)</f>
        <v/>
      </c>
      <c r="J4" t="str">
        <f>IF(NORMALIZADO!CG4="","",NORMALIZADO!CG4)</f>
        <v/>
      </c>
      <c r="K4">
        <f>IFERROR(INDEX(MATRIZ_174!$U:$U,MATCH(A4,MATRIZ_174!$A:$A,0))*100,"")</f>
        <v>100</v>
      </c>
      <c r="L4">
        <f>IFERROR(MATRIZ_174!O4,0)</f>
        <v>0</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IFERROR(MATRIZ_174!L5,0)</f>
        <v>4801984.0599999996</v>
      </c>
      <c r="G5">
        <f>IFERROR(MATRIZ_174!M5,0)</f>
        <v>50</v>
      </c>
      <c r="H5" t="str">
        <f>IF(NORMALIZADO!CC5="","",NORMALIZADO!CC5)</f>
        <v/>
      </c>
      <c r="I5" t="str">
        <f>IF(NORMALIZADO!CF5="","",NORMALIZADO!CF5)</f>
        <v/>
      </c>
      <c r="J5" t="str">
        <f>IF(NORMALIZADO!CG5="","",NORMALIZADO!CG5)</f>
        <v/>
      </c>
      <c r="K5">
        <f>IFERROR(INDEX(MATRIZ_174!$U:$U,MATCH(A5,MATRIZ_174!$A:$A,0))*100,"")</f>
        <v>100</v>
      </c>
      <c r="L5">
        <f>IFERROR(MATRIZ_174!O5,0)</f>
        <v>0</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f>IFERROR(MATRIZ_174!L6,0)</f>
        <v>0</v>
      </c>
      <c r="G6">
        <f>IFERROR(MATRIZ_174!M6,0)</f>
        <v>0</v>
      </c>
      <c r="H6" t="str">
        <f>IF(NORMALIZADO!CC6="","",NORMALIZADO!CC6)</f>
        <v/>
      </c>
      <c r="I6" t="str">
        <f>IF(NORMALIZADO!CF6="","",NORMALIZADO!CF6)</f>
        <v/>
      </c>
      <c r="J6" t="str">
        <f>IF(NORMALIZADO!CG6="","",NORMALIZADO!CG6)</f>
        <v/>
      </c>
      <c r="K6">
        <f>IFERROR(INDEX(MATRIZ_174!$U:$U,MATCH(A6,MATRIZ_174!$A:$A,0))*100,"")</f>
        <v>100</v>
      </c>
      <c r="L6">
        <f>IFERROR(MATRIZ_174!O6,0)</f>
        <v>0</v>
      </c>
      <c r="N6" t="str">
        <f>IFERROR(ISCAM_Score!AC7,"")</f>
        <v>⬜  Pendiente de instrumento</v>
      </c>
      <c r="O6" t="s">
        <v>80</v>
      </c>
      <c r="P6" t="str">
        <f>IFERROR(INDEX(MATRIZ_174!$C:$C,MATCH(A6,MATRIZ_174!$A:$A,0)),"")</f>
        <v>CUSCO</v>
      </c>
    </row>
    <row r="7" spans="1:16" ht="16.05" customHeight="1" x14ac:dyDescent="0.3">
      <c r="A7" t="s">
        <v>83</v>
      </c>
      <c r="B7" t="s">
        <v>84</v>
      </c>
      <c r="C7" s="36" t="str">
        <f>IFERROR(ISCAM_Score!AL8,"—")</f>
        <v>—</v>
      </c>
      <c r="D7" t="str">
        <f t="shared" si="0"/>
        <v>— Sin Inst.2</v>
      </c>
      <c r="E7" t="str">
        <f t="shared" si="1"/>
        <v/>
      </c>
      <c r="F7">
        <f>IFERROR(MATRIZ_174!L7,0)</f>
        <v>0</v>
      </c>
      <c r="G7">
        <f>IFERROR(MATRIZ_174!M7,0)</f>
        <v>0</v>
      </c>
      <c r="H7" t="str">
        <f>IF(NORMALIZADO!CC7="","",NORMALIZADO!CC7)</f>
        <v/>
      </c>
      <c r="I7" t="str">
        <f>IF(NORMALIZADO!CF7="","",NORMALIZADO!CF7)</f>
        <v/>
      </c>
      <c r="J7" t="str">
        <f>IF(NORMALIZADO!CG7="","",NORMALIZADO!CG7)</f>
        <v/>
      </c>
      <c r="K7">
        <f>IFERROR(INDEX(MATRIZ_174!$U:$U,MATCH(A7,MATRIZ_174!$A:$A,0))*100,"")</f>
        <v>100</v>
      </c>
      <c r="L7">
        <f>IFERROR(MATRIZ_174!O7,0)</f>
        <v>0</v>
      </c>
      <c r="N7" t="str">
        <f>IFERROR(ISCAM_Score!AC8,"")</f>
        <v>⬜  Pendiente de instrumento</v>
      </c>
      <c r="O7" t="s">
        <v>80</v>
      </c>
      <c r="P7" t="str">
        <f>IFERROR(INDEX(MATRIZ_174!$C:$C,MATCH(A7,MATRIZ_174!$A:$A,0)),"")</f>
        <v>CUSCO</v>
      </c>
    </row>
    <row r="8" spans="1:16" ht="16.05" customHeight="1" x14ac:dyDescent="0.3">
      <c r="A8" t="s">
        <v>86</v>
      </c>
      <c r="B8" t="s">
        <v>87</v>
      </c>
      <c r="C8" s="36" t="str">
        <f>IFERROR(ISCAM_Score!AL9,"—")</f>
        <v>—</v>
      </c>
      <c r="D8" t="str">
        <f t="shared" si="0"/>
        <v>— Sin Inst.2</v>
      </c>
      <c r="E8" t="str">
        <f t="shared" si="1"/>
        <v/>
      </c>
      <c r="F8">
        <f>IFERROR(MATRIZ_174!L8,0)</f>
        <v>1238541.75</v>
      </c>
      <c r="G8">
        <f>IFERROR(MATRIZ_174!M8,0)</f>
        <v>50</v>
      </c>
      <c r="H8" t="str">
        <f>IF(NORMALIZADO!CC8="","",NORMALIZADO!CC8)</f>
        <v/>
      </c>
      <c r="I8" t="str">
        <f>IF(NORMALIZADO!CF8="","",NORMALIZADO!CF8)</f>
        <v/>
      </c>
      <c r="J8" t="str">
        <f>IF(NORMALIZADO!CG8="","",NORMALIZADO!CG8)</f>
        <v/>
      </c>
      <c r="K8">
        <f>IFERROR(INDEX(MATRIZ_174!$U:$U,MATCH(A8,MATRIZ_174!$A:$A,0))*100,"")</f>
        <v>100</v>
      </c>
      <c r="L8">
        <f>IFERROR(MATRIZ_174!O8,0)</f>
        <v>0</v>
      </c>
      <c r="N8" t="str">
        <f>IFERROR(ISCAM_Score!AC9,"")</f>
        <v>⬜  Pendiente de instrumento</v>
      </c>
      <c r="O8" t="s">
        <v>80</v>
      </c>
      <c r="P8" t="str">
        <f>IFERROR(INDEX(MATRIZ_174!$C:$C,MATCH(A8,MATRIZ_174!$A:$A,0)),"")</f>
        <v>CUSCO</v>
      </c>
    </row>
    <row r="9" spans="1:16" ht="16.05" customHeight="1" x14ac:dyDescent="0.3">
      <c r="A9" t="s">
        <v>88</v>
      </c>
      <c r="B9" t="s">
        <v>89</v>
      </c>
      <c r="C9" s="36" t="str">
        <f>IFERROR(ISCAM_Score!AL10,"—")</f>
        <v>—</v>
      </c>
      <c r="D9" t="str">
        <f t="shared" si="0"/>
        <v>— Sin Inst.2</v>
      </c>
      <c r="E9" t="str">
        <f t="shared" si="1"/>
        <v/>
      </c>
      <c r="F9">
        <f>IFERROR(MATRIZ_174!L9,0)</f>
        <v>0</v>
      </c>
      <c r="G9">
        <f>IFERROR(MATRIZ_174!M9,0)</f>
        <v>0</v>
      </c>
      <c r="H9" t="str">
        <f>IF(NORMALIZADO!CC9="","",NORMALIZADO!CC9)</f>
        <v/>
      </c>
      <c r="I9" t="str">
        <f>IF(NORMALIZADO!CF9="","",NORMALIZADO!CF9)</f>
        <v/>
      </c>
      <c r="J9" t="str">
        <f>IF(NORMALIZADO!CG9="","",NORMALIZADO!CG9)</f>
        <v/>
      </c>
      <c r="K9">
        <f>IFERROR(INDEX(MATRIZ_174!$U:$U,MATCH(A9,MATRIZ_174!$A:$A,0))*100,"")</f>
        <v>100</v>
      </c>
      <c r="L9">
        <f>IFERROR(MATRIZ_174!O9,0)</f>
        <v>0</v>
      </c>
      <c r="N9" t="str">
        <f>IFERROR(ISCAM_Score!AC10,"")</f>
        <v>⬜  Pendiente de instrumento</v>
      </c>
      <c r="O9" t="s">
        <v>80</v>
      </c>
      <c r="P9" t="str">
        <f>IFERROR(INDEX(MATRIZ_174!$C:$C,MATCH(A9,MATRIZ_174!$A:$A,0)),"")</f>
        <v>CUSCO</v>
      </c>
    </row>
    <row r="10" spans="1:16" ht="16.05" customHeight="1" x14ac:dyDescent="0.3">
      <c r="A10" t="s">
        <v>90</v>
      </c>
      <c r="B10" t="s">
        <v>91</v>
      </c>
      <c r="C10" s="36" t="str">
        <f>IFERROR(ISCAM_Score!AL11,"—")</f>
        <v>—</v>
      </c>
      <c r="D10" t="str">
        <f t="shared" si="0"/>
        <v>— Sin Inst.2</v>
      </c>
      <c r="E10" t="str">
        <f t="shared" si="1"/>
        <v/>
      </c>
      <c r="F10">
        <f>IFERROR(MATRIZ_174!L10,0)</f>
        <v>0</v>
      </c>
      <c r="G10">
        <f>IFERROR(MATRIZ_174!M10,0)</f>
        <v>0</v>
      </c>
      <c r="H10" t="str">
        <f>IF(NORMALIZADO!CC10="","",NORMALIZADO!CC10)</f>
        <v/>
      </c>
      <c r="I10" t="str">
        <f>IF(NORMALIZADO!CF10="","",NORMALIZADO!CF10)</f>
        <v/>
      </c>
      <c r="J10" t="str">
        <f>IF(NORMALIZADO!CG10="","",NORMALIZADO!CG10)</f>
        <v/>
      </c>
      <c r="K10">
        <f>IFERROR(INDEX(MATRIZ_174!$U:$U,MATCH(A10,MATRIZ_174!$A:$A,0))*100,"")</f>
        <v>100</v>
      </c>
      <c r="L10">
        <f>IFERROR(MATRIZ_174!O10,0)</f>
        <v>0</v>
      </c>
      <c r="N10" t="str">
        <f>IFERROR(ISCAM_Score!AC11,"")</f>
        <v>⬜  Pendiente de instrumento</v>
      </c>
      <c r="O10" t="s">
        <v>80</v>
      </c>
      <c r="P10" t="str">
        <f>IFERROR(INDEX(MATRIZ_174!$C:$C,MATCH(A10,MATRIZ_174!$A:$A,0)),"")</f>
        <v>CUSCO</v>
      </c>
    </row>
    <row r="11" spans="1:16" ht="16.05" customHeight="1" x14ac:dyDescent="0.3">
      <c r="A11" t="s">
        <v>93</v>
      </c>
      <c r="B11" t="s">
        <v>94</v>
      </c>
      <c r="C11" s="36" t="str">
        <f>IFERROR(ISCAM_Score!AL12,"—")</f>
        <v>—</v>
      </c>
      <c r="D11" t="str">
        <f t="shared" si="0"/>
        <v>— Sin Inst.2</v>
      </c>
      <c r="E11" t="str">
        <f t="shared" si="1"/>
        <v/>
      </c>
      <c r="F11">
        <f>IFERROR(MATRIZ_174!L11,0)</f>
        <v>0</v>
      </c>
      <c r="G11">
        <f>IFERROR(MATRIZ_174!M11,0)</f>
        <v>0</v>
      </c>
      <c r="H11" t="str">
        <f>IF(NORMALIZADO!CC11="","",NORMALIZADO!CC11)</f>
        <v/>
      </c>
      <c r="I11" t="str">
        <f>IF(NORMALIZADO!CF11="","",NORMALIZADO!CF11)</f>
        <v/>
      </c>
      <c r="J11" t="str">
        <f>IF(NORMALIZADO!CG11="","",NORMALIZADO!CG11)</f>
        <v/>
      </c>
      <c r="K11">
        <f>IFERROR(INDEX(MATRIZ_174!$U:$U,MATCH(A11,MATRIZ_174!$A:$A,0))*100,"")</f>
        <v>100</v>
      </c>
      <c r="L11">
        <f>IFERROR(MATRIZ_174!O11,0)</f>
        <v>0</v>
      </c>
      <c r="N11" t="str">
        <f>IFERROR(ISCAM_Score!AC12,"")</f>
        <v>⬜  Pendiente de instrumento</v>
      </c>
      <c r="O11" t="s">
        <v>80</v>
      </c>
      <c r="P11" t="str">
        <f>IFERROR(INDEX(MATRIZ_174!$C:$C,MATCH(A11,MATRIZ_174!$A:$A,0)),"")</f>
        <v>CUSCO</v>
      </c>
    </row>
    <row r="12" spans="1:16" ht="16.05" customHeight="1" x14ac:dyDescent="0.3">
      <c r="A12" t="s">
        <v>95</v>
      </c>
      <c r="B12" t="s">
        <v>96</v>
      </c>
      <c r="C12" s="36" t="str">
        <f>IFERROR(ISCAM_Score!AL13,"—")</f>
        <v>—</v>
      </c>
      <c r="D12" t="str">
        <f t="shared" si="0"/>
        <v>— Sin Inst.2</v>
      </c>
      <c r="E12" t="str">
        <f t="shared" si="1"/>
        <v/>
      </c>
      <c r="F12">
        <f>IFERROR(MATRIZ_174!L12,0)</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0</v>
      </c>
      <c r="N12" t="str">
        <f>IFERROR(ISCAM_Score!AC13,"")</f>
        <v>⬜  Pendiente de instrumento</v>
      </c>
      <c r="O12" t="s">
        <v>80</v>
      </c>
      <c r="P12" t="str">
        <f>IFERROR(INDEX(MATRIZ_174!$C:$C,MATCH(A12,MATRIZ_174!$A:$A,0)),"")</f>
        <v>CUSCO</v>
      </c>
    </row>
    <row r="13" spans="1:16" ht="16.05" customHeight="1" x14ac:dyDescent="0.3">
      <c r="A13" t="s">
        <v>98</v>
      </c>
      <c r="B13" t="s">
        <v>99</v>
      </c>
      <c r="C13" s="36" t="str">
        <f>IFERROR(ISCAM_Score!AL14,"—")</f>
        <v>—</v>
      </c>
      <c r="D13" t="str">
        <f t="shared" si="0"/>
        <v>— Sin Inst.2</v>
      </c>
      <c r="E13" t="str">
        <f t="shared" si="1"/>
        <v/>
      </c>
      <c r="F13">
        <f>IFERROR(MATRIZ_174!L13,0)</f>
        <v>0</v>
      </c>
      <c r="G13">
        <f>IFERROR(MATRIZ_174!M13,0)</f>
        <v>0</v>
      </c>
      <c r="H13" t="str">
        <f>IF(NORMALIZADO!CC13="","",NORMALIZADO!CC13)</f>
        <v/>
      </c>
      <c r="I13" t="str">
        <f>IF(NORMALIZADO!CF13="","",NORMALIZADO!CF13)</f>
        <v/>
      </c>
      <c r="J13" t="str">
        <f>IF(NORMALIZADO!CG13="","",NORMALIZADO!CG13)</f>
        <v/>
      </c>
      <c r="K13">
        <f>IFERROR(INDEX(MATRIZ_174!$U:$U,MATCH(A13,MATRIZ_174!$A:$A,0))*100,"")</f>
        <v>100</v>
      </c>
      <c r="L13">
        <f>IFERROR(MATRIZ_174!O13,0)</f>
        <v>0</v>
      </c>
      <c r="N13" t="str">
        <f>IFERROR(ISCAM_Score!AC14,"")</f>
        <v>⬜  Pendiente de instrumento</v>
      </c>
      <c r="O13" t="s">
        <v>80</v>
      </c>
      <c r="P13" t="str">
        <f>IFERROR(INDEX(MATRIZ_174!$C:$C,MATCH(A13,MATRIZ_174!$A:$A,0)),"")</f>
        <v>CUSCO</v>
      </c>
    </row>
    <row r="14" spans="1:16" ht="16.05" customHeight="1" x14ac:dyDescent="0.3">
      <c r="A14" t="s">
        <v>101</v>
      </c>
      <c r="B14" t="s">
        <v>102</v>
      </c>
      <c r="C14" s="36" t="str">
        <f>IFERROR(ISCAM_Score!AL15,"—")</f>
        <v>—</v>
      </c>
      <c r="D14" t="str">
        <f t="shared" si="0"/>
        <v>— Sin Inst.2</v>
      </c>
      <c r="E14" t="str">
        <f t="shared" si="1"/>
        <v/>
      </c>
      <c r="F14">
        <f>IFERROR(MATRIZ_174!L14,0)</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f>IFERROR(MATRIZ_174!O14,0)</f>
        <v>0</v>
      </c>
      <c r="N14" t="str">
        <f>IFERROR(ISCAM_Score!AC15,"")</f>
        <v>⬜  Pendiente de instrumento</v>
      </c>
      <c r="O14" t="s">
        <v>72</v>
      </c>
      <c r="P14" t="str">
        <f>IFERROR(INDEX(MATRIZ_174!$C:$C,MATCH(A14,MATRIZ_174!$A:$A,0)),"")</f>
        <v>AYACUCHO</v>
      </c>
    </row>
    <row r="15" spans="1:16" ht="16.05" customHeight="1" x14ac:dyDescent="0.3">
      <c r="A15" t="s">
        <v>103</v>
      </c>
      <c r="B15" t="s">
        <v>104</v>
      </c>
      <c r="C15" s="36" t="str">
        <f>IFERROR(ISCAM_Score!AL16,"—")</f>
        <v>—</v>
      </c>
      <c r="D15" t="str">
        <f t="shared" si="0"/>
        <v>— Sin Inst.2</v>
      </c>
      <c r="E15" t="str">
        <f t="shared" si="1"/>
        <v/>
      </c>
      <c r="F15">
        <f>IFERROR(MATRIZ_174!L15,0)</f>
        <v>0</v>
      </c>
      <c r="G15">
        <f>IFERROR(MATRIZ_174!M15,0)</f>
        <v>0</v>
      </c>
      <c r="H15" t="str">
        <f>IF(NORMALIZADO!CC15="","",NORMALIZADO!CC15)</f>
        <v/>
      </c>
      <c r="I15" t="str">
        <f>IF(NORMALIZADO!CF15="","",NORMALIZADO!CF15)</f>
        <v/>
      </c>
      <c r="J15" t="str">
        <f>IF(NORMALIZADO!CG15="","",NORMALIZADO!CG15)</f>
        <v/>
      </c>
      <c r="K15">
        <f>IFERROR(INDEX(MATRIZ_174!$U:$U,MATCH(A15,MATRIZ_174!$A:$A,0))*100,"")</f>
        <v>100</v>
      </c>
      <c r="L15">
        <f>IFERROR(MATRIZ_174!O15,0)</f>
        <v>0</v>
      </c>
      <c r="N15" t="str">
        <f>IFERROR(ISCAM_Score!AC16,"")</f>
        <v>⬜  Pendiente de instrumento</v>
      </c>
      <c r="O15" t="s">
        <v>64</v>
      </c>
      <c r="P15" t="str">
        <f>IFERROR(INDEX(MATRIZ_174!$C:$C,MATCH(A15,MATRIZ_174!$A:$A,0)),"")</f>
        <v>PUNO</v>
      </c>
    </row>
    <row r="16" spans="1:16" ht="16.05" customHeight="1" x14ac:dyDescent="0.3">
      <c r="A16" t="s">
        <v>105</v>
      </c>
      <c r="B16" t="s">
        <v>106</v>
      </c>
      <c r="C16" s="36" t="str">
        <f>IFERROR(ISCAM_Score!AL17,"—")</f>
        <v>—</v>
      </c>
      <c r="D16" t="str">
        <f t="shared" si="0"/>
        <v>— Sin Inst.2</v>
      </c>
      <c r="E16" t="str">
        <f t="shared" si="1"/>
        <v/>
      </c>
      <c r="F16">
        <f>IFERROR(MATRIZ_174!L16,0)</f>
        <v>0</v>
      </c>
      <c r="G16">
        <f>IFERROR(MATRIZ_174!M16,0)</f>
        <v>0</v>
      </c>
      <c r="H16" t="str">
        <f>IF(NORMALIZADO!CC16="","",NORMALIZADO!CC16)</f>
        <v/>
      </c>
      <c r="I16" t="str">
        <f>IF(NORMALIZADO!CF16="","",NORMALIZADO!CF16)</f>
        <v/>
      </c>
      <c r="J16" t="str">
        <f>IF(NORMALIZADO!CG16="","",NORMALIZADO!CG16)</f>
        <v/>
      </c>
      <c r="K16">
        <f>IFERROR(INDEX(MATRIZ_174!$U:$U,MATCH(A16,MATRIZ_174!$A:$A,0))*100,"")</f>
        <v>100</v>
      </c>
      <c r="L16">
        <f>IFERROR(MATRIZ_174!O16,0)</f>
        <v>0</v>
      </c>
      <c r="N16" t="str">
        <f>IFERROR(ISCAM_Score!AC17,"")</f>
        <v>⬜  Pendiente de instrumento</v>
      </c>
      <c r="O16" t="s">
        <v>107</v>
      </c>
      <c r="P16" t="str">
        <f>IFERROR(INDEX(MATRIZ_174!$C:$C,MATCH(A16,MATRIZ_174!$A:$A,0)),"")</f>
        <v>PIURA</v>
      </c>
    </row>
    <row r="17" spans="1:16" ht="16.05" customHeight="1" x14ac:dyDescent="0.3">
      <c r="A17" t="s">
        <v>108</v>
      </c>
      <c r="B17" t="s">
        <v>109</v>
      </c>
      <c r="C17" s="36" t="str">
        <f>IFERROR(ISCAM_Score!AL18,"—")</f>
        <v>—</v>
      </c>
      <c r="D17" t="str">
        <f t="shared" si="0"/>
        <v>— Sin Inst.2</v>
      </c>
      <c r="E17" t="str">
        <f t="shared" si="1"/>
        <v/>
      </c>
      <c r="F17">
        <f>IFERROR(MATRIZ_174!L17,0)</f>
        <v>0</v>
      </c>
      <c r="G17">
        <f>IFERROR(MATRIZ_174!M17,0)</f>
        <v>0</v>
      </c>
      <c r="H17" t="str">
        <f>IF(NORMALIZADO!CC17="","",NORMALIZADO!CC17)</f>
        <v/>
      </c>
      <c r="I17" t="str">
        <f>IF(NORMALIZADO!CF17="","",NORMALIZADO!CF17)</f>
        <v/>
      </c>
      <c r="J17" t="str">
        <f>IF(NORMALIZADO!CG17="","",NORMALIZADO!CG17)</f>
        <v/>
      </c>
      <c r="K17">
        <f>IFERROR(INDEX(MATRIZ_174!$U:$U,MATCH(A17,MATRIZ_174!$A:$A,0))*100,"")</f>
        <v>100</v>
      </c>
      <c r="L17">
        <f>IFERROR(MATRIZ_174!O17,0)</f>
        <v>0</v>
      </c>
      <c r="N17" t="str">
        <f>IFERROR(ISCAM_Score!AC18,"")</f>
        <v>⬜  Pendiente de instrumento</v>
      </c>
      <c r="O17" t="s">
        <v>80</v>
      </c>
      <c r="P17" t="str">
        <f>IFERROR(INDEX(MATRIZ_174!$C:$C,MATCH(A17,MATRIZ_174!$A:$A,0)),"")</f>
        <v>CUSCO</v>
      </c>
    </row>
    <row r="18" spans="1:16" ht="16.05" customHeight="1" x14ac:dyDescent="0.3">
      <c r="A18" t="s">
        <v>111</v>
      </c>
      <c r="B18" t="s">
        <v>112</v>
      </c>
      <c r="C18" s="36" t="str">
        <f>IFERROR(ISCAM_Score!AL19,"—")</f>
        <v>—</v>
      </c>
      <c r="D18" t="str">
        <f t="shared" si="0"/>
        <v>— Sin Inst.2</v>
      </c>
      <c r="E18" t="str">
        <f t="shared" si="1"/>
        <v/>
      </c>
      <c r="F18">
        <f>IFERROR(MATRIZ_174!L18,0)</f>
        <v>0</v>
      </c>
      <c r="G18">
        <f>IFERROR(MATRIZ_174!M18,0)</f>
        <v>0</v>
      </c>
      <c r="H18" t="str">
        <f>IF(NORMALIZADO!CC18="","",NORMALIZADO!CC18)</f>
        <v/>
      </c>
      <c r="I18" t="str">
        <f>IF(NORMALIZADO!CF18="","",NORMALIZADO!CF18)</f>
        <v/>
      </c>
      <c r="J18" t="str">
        <f>IF(NORMALIZADO!CG18="","",NORMALIZADO!CG18)</f>
        <v/>
      </c>
      <c r="K18">
        <f>IFERROR(INDEX(MATRIZ_174!$U:$U,MATCH(A18,MATRIZ_174!$A:$A,0))*100,"")</f>
        <v>100</v>
      </c>
      <c r="L18">
        <f>IFERROR(MATRIZ_174!O18,0)</f>
        <v>0</v>
      </c>
      <c r="N18" t="str">
        <f>IFERROR(ISCAM_Score!AC19,"")</f>
        <v>⬜  Pendiente de instrumento</v>
      </c>
      <c r="O18" t="s">
        <v>113</v>
      </c>
      <c r="P18" t="str">
        <f>IFERROR(INDEX(MATRIZ_174!$C:$C,MATCH(A18,MATRIZ_174!$A:$A,0)),"")</f>
        <v>UCAYALI</v>
      </c>
    </row>
    <row r="19" spans="1:16" ht="16.05" customHeight="1" x14ac:dyDescent="0.3">
      <c r="A19" t="s">
        <v>114</v>
      </c>
      <c r="B19" t="s">
        <v>115</v>
      </c>
      <c r="C19" s="36" t="str">
        <f>IFERROR(ISCAM_Score!AL20,"—")</f>
        <v>—</v>
      </c>
      <c r="D19" t="str">
        <f t="shared" si="0"/>
        <v>— Sin Inst.2</v>
      </c>
      <c r="E19" t="str">
        <f t="shared" si="1"/>
        <v/>
      </c>
      <c r="F19">
        <f>IFERROR(MATRIZ_174!L19,0)</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f>IFERROR(MATRIZ_174!O19,0)</f>
        <v>0</v>
      </c>
      <c r="N19" t="str">
        <f>IFERROR(ISCAM_Score!AC20,"")</f>
        <v>⬜  Pendiente de instrumento</v>
      </c>
      <c r="O19" t="s">
        <v>116</v>
      </c>
      <c r="P19" t="str">
        <f>IFERROR(INDEX(MATRIZ_174!$C:$C,MATCH(A19,MATRIZ_174!$A:$A,0)),"")</f>
        <v>AMAZONAS</v>
      </c>
    </row>
    <row r="20" spans="1:16" ht="16.05" customHeight="1" x14ac:dyDescent="0.3">
      <c r="A20" t="s">
        <v>117</v>
      </c>
      <c r="B20" t="s">
        <v>118</v>
      </c>
      <c r="C20" s="36" t="str">
        <f>IFERROR(ISCAM_Score!AL21,"—")</f>
        <v>—</v>
      </c>
      <c r="D20" t="str">
        <f t="shared" si="0"/>
        <v>— Sin Inst.2</v>
      </c>
      <c r="E20" t="str">
        <f t="shared" si="1"/>
        <v/>
      </c>
      <c r="F20">
        <f>IFERROR(MATRIZ_174!L20,0)</f>
        <v>0</v>
      </c>
      <c r="G20">
        <f>IFERROR(MATRIZ_174!M20,0)</f>
        <v>0</v>
      </c>
      <c r="H20" t="str">
        <f>IF(NORMALIZADO!CC20="","",NORMALIZADO!CC20)</f>
        <v/>
      </c>
      <c r="I20" t="str">
        <f>IF(NORMALIZADO!CF20="","",NORMALIZADO!CF20)</f>
        <v/>
      </c>
      <c r="J20" t="str">
        <f>IF(NORMALIZADO!CG20="","",NORMALIZADO!CG20)</f>
        <v/>
      </c>
      <c r="K20">
        <f>IFERROR(INDEX(MATRIZ_174!$U:$U,MATCH(A20,MATRIZ_174!$A:$A,0))*100,"")</f>
        <v>100</v>
      </c>
      <c r="L20">
        <f>IFERROR(MATRIZ_174!O20,0)</f>
        <v>0</v>
      </c>
      <c r="N20" t="str">
        <f>IFERROR(ISCAM_Score!AC21,"")</f>
        <v>⬜  Pendiente de instrumento</v>
      </c>
      <c r="O20" t="s">
        <v>80</v>
      </c>
      <c r="P20" t="str">
        <f>IFERROR(INDEX(MATRIZ_174!$C:$C,MATCH(A20,MATRIZ_174!$A:$A,0)),"")</f>
        <v>CUSCO</v>
      </c>
    </row>
    <row r="21" spans="1:16" ht="16.05" customHeight="1" x14ac:dyDescent="0.3">
      <c r="A21" t="s">
        <v>119</v>
      </c>
      <c r="B21" t="s">
        <v>120</v>
      </c>
      <c r="C21" s="36" t="str">
        <f>IFERROR(ISCAM_Score!AL22,"—")</f>
        <v>—</v>
      </c>
      <c r="D21" t="str">
        <f t="shared" si="0"/>
        <v>— Sin Inst.2</v>
      </c>
      <c r="E21" t="str">
        <f t="shared" si="1"/>
        <v/>
      </c>
      <c r="F21">
        <f>IFERROR(MATRIZ_174!L21,0)</f>
        <v>0</v>
      </c>
      <c r="G21">
        <f>IFERROR(MATRIZ_174!M21,0)</f>
        <v>0</v>
      </c>
      <c r="H21" t="str">
        <f>IF(NORMALIZADO!CC21="","",NORMALIZADO!CC21)</f>
        <v/>
      </c>
      <c r="I21" t="str">
        <f>IF(NORMALIZADO!CF21="","",NORMALIZADO!CF21)</f>
        <v/>
      </c>
      <c r="J21" t="str">
        <f>IF(NORMALIZADO!CG21="","",NORMALIZADO!CG21)</f>
        <v/>
      </c>
      <c r="K21">
        <f>IFERROR(INDEX(MATRIZ_174!$U:$U,MATCH(A21,MATRIZ_174!$A:$A,0))*100,"")</f>
        <v>100</v>
      </c>
      <c r="L21">
        <f>IFERROR(MATRIZ_174!O21,0)</f>
        <v>0</v>
      </c>
      <c r="N21" t="str">
        <f>IFERROR(ISCAM_Score!AC22,"")</f>
        <v>⬜  Pendiente de instrumento</v>
      </c>
      <c r="O21" t="s">
        <v>113</v>
      </c>
      <c r="P21" t="str">
        <f>IFERROR(INDEX(MATRIZ_174!$C:$C,MATCH(A21,MATRIZ_174!$A:$A,0)),"")</f>
        <v>UCAYALI</v>
      </c>
    </row>
    <row r="22" spans="1:16" ht="16.05" customHeight="1" x14ac:dyDescent="0.3">
      <c r="A22" t="s">
        <v>121</v>
      </c>
      <c r="B22" t="s">
        <v>122</v>
      </c>
      <c r="C22" s="36" t="str">
        <f>IFERROR(ISCAM_Score!AL23,"—")</f>
        <v>—</v>
      </c>
      <c r="D22" t="str">
        <f t="shared" si="0"/>
        <v>— Sin Inst.2</v>
      </c>
      <c r="E22" t="str">
        <f t="shared" si="1"/>
        <v/>
      </c>
      <c r="F22">
        <f>IFERROR(MATRIZ_174!L22,0)</f>
        <v>0</v>
      </c>
      <c r="G22">
        <f>IFERROR(MATRIZ_174!M22,0)</f>
        <v>0</v>
      </c>
      <c r="H22" t="str">
        <f>IF(NORMALIZADO!CC22="","",NORMALIZADO!CC22)</f>
        <v/>
      </c>
      <c r="I22" t="str">
        <f>IF(NORMALIZADO!CF22="","",NORMALIZADO!CF22)</f>
        <v/>
      </c>
      <c r="J22" t="str">
        <f>IF(NORMALIZADO!CG22="","",NORMALIZADO!CG22)</f>
        <v/>
      </c>
      <c r="K22">
        <f>IFERROR(INDEX(MATRIZ_174!$U:$U,MATCH(A22,MATRIZ_174!$A:$A,0))*100,"")</f>
        <v>100</v>
      </c>
      <c r="L22">
        <f>IFERROR(MATRIZ_174!O22,0)</f>
        <v>0</v>
      </c>
      <c r="N22" t="str">
        <f>IFERROR(ISCAM_Score!AC23,"")</f>
        <v>⬜  Pendiente de instrumento</v>
      </c>
      <c r="O22" t="s">
        <v>123</v>
      </c>
      <c r="P22" t="str">
        <f>IFERROR(INDEX(MATRIZ_174!$C:$C,MATCH(A22,MATRIZ_174!$A:$A,0)),"")</f>
        <v>HUANUCO</v>
      </c>
    </row>
    <row r="23" spans="1:16" ht="16.05" customHeight="1" x14ac:dyDescent="0.3">
      <c r="A23" t="s">
        <v>124</v>
      </c>
      <c r="B23" t="s">
        <v>125</v>
      </c>
      <c r="C23" s="36" t="str">
        <f>IFERROR(ISCAM_Score!AL24,"—")</f>
        <v>—</v>
      </c>
      <c r="D23" t="str">
        <f t="shared" si="0"/>
        <v>— Sin Inst.2</v>
      </c>
      <c r="E23" t="str">
        <f t="shared" si="1"/>
        <v/>
      </c>
      <c r="F23">
        <f>IFERROR(MATRIZ_174!L23,0)</f>
        <v>0</v>
      </c>
      <c r="G23">
        <f>IFERROR(MATRIZ_174!M23,0)</f>
        <v>0</v>
      </c>
      <c r="H23" t="str">
        <f>IF(NORMALIZADO!CC23="","",NORMALIZADO!CC23)</f>
        <v/>
      </c>
      <c r="I23" t="str">
        <f>IF(NORMALIZADO!CF23="","",NORMALIZADO!CF23)</f>
        <v/>
      </c>
      <c r="J23" t="str">
        <f>IF(NORMALIZADO!CG23="","",NORMALIZADO!CG23)</f>
        <v/>
      </c>
      <c r="K23">
        <f>IFERROR(INDEX(MATRIZ_174!$U:$U,MATCH(A23,MATRIZ_174!$A:$A,0))*100,"")</f>
        <v>100</v>
      </c>
      <c r="L23">
        <f>IFERROR(MATRIZ_174!O23,0)</f>
        <v>0</v>
      </c>
      <c r="N23" t="str">
        <f>IFERROR(ISCAM_Score!AC24,"")</f>
        <v>⬜  Pendiente de instrumento</v>
      </c>
      <c r="O23" t="s">
        <v>113</v>
      </c>
      <c r="P23" t="str">
        <f>IFERROR(INDEX(MATRIZ_174!$C:$C,MATCH(A23,MATRIZ_174!$A:$A,0)),"")</f>
        <v>UCAYALI</v>
      </c>
    </row>
    <row r="24" spans="1:16" ht="16.05" customHeight="1" x14ac:dyDescent="0.3">
      <c r="A24" t="s">
        <v>126</v>
      </c>
      <c r="B24" t="s">
        <v>127</v>
      </c>
      <c r="C24" s="36" t="str">
        <f>IFERROR(ISCAM_Score!AL25,"—")</f>
        <v>—</v>
      </c>
      <c r="D24" t="str">
        <f t="shared" si="0"/>
        <v>— Sin Inst.2</v>
      </c>
      <c r="E24" t="str">
        <f t="shared" si="1"/>
        <v/>
      </c>
      <c r="F24">
        <f>IFERROR(MATRIZ_174!L24,0)</f>
        <v>0</v>
      </c>
      <c r="G24">
        <f>IFERROR(MATRIZ_174!M24,0)</f>
        <v>0</v>
      </c>
      <c r="H24" t="str">
        <f>IF(NORMALIZADO!CC24="","",NORMALIZADO!CC24)</f>
        <v/>
      </c>
      <c r="I24" t="str">
        <f>IF(NORMALIZADO!CF24="","",NORMALIZADO!CF24)</f>
        <v/>
      </c>
      <c r="J24" t="str">
        <f>IF(NORMALIZADO!CG24="","",NORMALIZADO!CG24)</f>
        <v/>
      </c>
      <c r="K24">
        <f>IFERROR(INDEX(MATRIZ_174!$U:$U,MATCH(A24,MATRIZ_174!$A:$A,0))*100,"")</f>
        <v>100</v>
      </c>
      <c r="L24">
        <f>IFERROR(MATRIZ_174!O24,0)</f>
        <v>0</v>
      </c>
      <c r="N24" t="str">
        <f>IFERROR(ISCAM_Score!AC25,"")</f>
        <v>⬜  Pendiente de instrumento</v>
      </c>
      <c r="O24" t="s">
        <v>113</v>
      </c>
      <c r="P24" t="str">
        <f>IFERROR(INDEX(MATRIZ_174!$C:$C,MATCH(A24,MATRIZ_174!$A:$A,0)),"")</f>
        <v>UCAYALI</v>
      </c>
    </row>
    <row r="25" spans="1:16" ht="16.05" customHeight="1" x14ac:dyDescent="0.3">
      <c r="A25" t="s">
        <v>129</v>
      </c>
      <c r="B25" t="s">
        <v>130</v>
      </c>
      <c r="C25" s="36" t="str">
        <f>IFERROR(ISCAM_Score!AL26,"—")</f>
        <v>—</v>
      </c>
      <c r="D25" t="str">
        <f t="shared" si="0"/>
        <v>— Sin Inst.2</v>
      </c>
      <c r="E25" t="str">
        <f t="shared" si="1"/>
        <v/>
      </c>
      <c r="F25">
        <f>IFERROR(MATRIZ_174!L25,0)</f>
        <v>0</v>
      </c>
      <c r="G25">
        <f>IFERROR(MATRIZ_174!M25,0)</f>
        <v>0</v>
      </c>
      <c r="H25" t="str">
        <f>IF(NORMALIZADO!CC25="","",NORMALIZADO!CC25)</f>
        <v/>
      </c>
      <c r="I25" t="str">
        <f>IF(NORMALIZADO!CF25="","",NORMALIZADO!CF25)</f>
        <v/>
      </c>
      <c r="J25" t="str">
        <f>IF(NORMALIZADO!CG25="","",NORMALIZADO!CG25)</f>
        <v/>
      </c>
      <c r="K25">
        <f>IFERROR(INDEX(MATRIZ_174!$U:$U,MATCH(A25,MATRIZ_174!$A:$A,0))*100,"")</f>
        <v>100</v>
      </c>
      <c r="L25">
        <f>IFERROR(MATRIZ_174!O25,0)</f>
        <v>0</v>
      </c>
      <c r="N25" t="str">
        <f>IFERROR(ISCAM_Score!AC26,"")</f>
        <v>⬜  Pendiente de instrumento</v>
      </c>
      <c r="O25" t="s">
        <v>113</v>
      </c>
      <c r="P25" t="str">
        <f>IFERROR(INDEX(MATRIZ_174!$C:$C,MATCH(A25,MATRIZ_174!$A:$A,0)),"")</f>
        <v>UCAYALI</v>
      </c>
    </row>
    <row r="26" spans="1:16" ht="16.05" customHeight="1" x14ac:dyDescent="0.3">
      <c r="A26" t="s">
        <v>131</v>
      </c>
      <c r="B26" t="s">
        <v>132</v>
      </c>
      <c r="C26" s="36" t="str">
        <f>IFERROR(ISCAM_Score!AL27,"—")</f>
        <v>—</v>
      </c>
      <c r="D26" t="str">
        <f t="shared" si="0"/>
        <v>— Sin Inst.2</v>
      </c>
      <c r="E26" t="str">
        <f t="shared" si="1"/>
        <v/>
      </c>
      <c r="F26">
        <f>IFERROR(MATRIZ_174!L26,0)</f>
        <v>0</v>
      </c>
      <c r="G26">
        <f>IFERROR(MATRIZ_174!M26,0)</f>
        <v>0</v>
      </c>
      <c r="H26" t="str">
        <f>IF(NORMALIZADO!CC26="","",NORMALIZADO!CC26)</f>
        <v/>
      </c>
      <c r="I26" t="str">
        <f>IF(NORMALIZADO!CF26="","",NORMALIZADO!CF26)</f>
        <v/>
      </c>
      <c r="J26" t="str">
        <f>IF(NORMALIZADO!CG26="","",NORMALIZADO!CG26)</f>
        <v/>
      </c>
      <c r="K26">
        <f>IFERROR(INDEX(MATRIZ_174!$U:$U,MATCH(A26,MATRIZ_174!$A:$A,0))*100,"")</f>
        <v>100</v>
      </c>
      <c r="L26">
        <f>IFERROR(MATRIZ_174!O26,0)</f>
        <v>0</v>
      </c>
      <c r="N26" t="str">
        <f>IFERROR(ISCAM_Score!AC27,"")</f>
        <v>⬜  Pendiente de instrumento</v>
      </c>
      <c r="O26" t="s">
        <v>113</v>
      </c>
      <c r="P26" t="str">
        <f>IFERROR(INDEX(MATRIZ_174!$C:$C,MATCH(A26,MATRIZ_174!$A:$A,0)),"")</f>
        <v>UCAYALI</v>
      </c>
    </row>
    <row r="27" spans="1:16" ht="16.05" customHeight="1" x14ac:dyDescent="0.3">
      <c r="A27" t="s">
        <v>133</v>
      </c>
      <c r="B27" t="s">
        <v>134</v>
      </c>
      <c r="C27" s="36" t="str">
        <f>IFERROR(ISCAM_Score!AL28,"—")</f>
        <v>—</v>
      </c>
      <c r="D27" t="str">
        <f t="shared" si="0"/>
        <v>— Sin Inst.2</v>
      </c>
      <c r="E27" t="str">
        <f t="shared" si="1"/>
        <v/>
      </c>
      <c r="F27">
        <f>IFERROR(MATRIZ_174!L27,0)</f>
        <v>0</v>
      </c>
      <c r="G27">
        <f>IFERROR(MATRIZ_174!M27,0)</f>
        <v>0</v>
      </c>
      <c r="H27" t="str">
        <f>IF(NORMALIZADO!CC27="","",NORMALIZADO!CC27)</f>
        <v/>
      </c>
      <c r="I27" t="str">
        <f>IF(NORMALIZADO!CF27="","",NORMALIZADO!CF27)</f>
        <v/>
      </c>
      <c r="J27" t="str">
        <f>IF(NORMALIZADO!CG27="","",NORMALIZADO!CG27)</f>
        <v/>
      </c>
      <c r="K27">
        <f>IFERROR(INDEX(MATRIZ_174!$U:$U,MATCH(A27,MATRIZ_174!$A:$A,0))*100,"")</f>
        <v>100</v>
      </c>
      <c r="L27">
        <f>IFERROR(MATRIZ_174!O27,0)</f>
        <v>0</v>
      </c>
      <c r="N27" t="str">
        <f>IFERROR(ISCAM_Score!AC28,"")</f>
        <v>⬜  Pendiente de instrumento</v>
      </c>
      <c r="O27" t="s">
        <v>113</v>
      </c>
      <c r="P27" t="str">
        <f>IFERROR(INDEX(MATRIZ_174!$C:$C,MATCH(A27,MATRIZ_174!$A:$A,0)),"")</f>
        <v>UCAYALI</v>
      </c>
    </row>
    <row r="28" spans="1:16" ht="16.05" customHeight="1" x14ac:dyDescent="0.3">
      <c r="A28" t="s">
        <v>135</v>
      </c>
      <c r="B28" t="s">
        <v>136</v>
      </c>
      <c r="C28" s="36" t="str">
        <f>IFERROR(ISCAM_Score!AL29,"—")</f>
        <v>—</v>
      </c>
      <c r="D28" t="str">
        <f t="shared" si="0"/>
        <v>— Sin Inst.2</v>
      </c>
      <c r="E28" t="str">
        <f t="shared" si="1"/>
        <v/>
      </c>
      <c r="F28">
        <f>IFERROR(MATRIZ_174!L28,0)</f>
        <v>0</v>
      </c>
      <c r="G28">
        <f>IFERROR(MATRIZ_174!M28,0)</f>
        <v>0</v>
      </c>
      <c r="H28" t="str">
        <f>IF(NORMALIZADO!CC28="","",NORMALIZADO!CC28)</f>
        <v/>
      </c>
      <c r="I28" t="str">
        <f>IF(NORMALIZADO!CF28="","",NORMALIZADO!CF28)</f>
        <v/>
      </c>
      <c r="J28" t="str">
        <f>IF(NORMALIZADO!CG28="","",NORMALIZADO!CG28)</f>
        <v/>
      </c>
      <c r="K28">
        <f>IFERROR(INDEX(MATRIZ_174!$U:$U,MATCH(A28,MATRIZ_174!$A:$A,0))*100,"")</f>
        <v>100</v>
      </c>
      <c r="L28">
        <f>IFERROR(MATRIZ_174!O28,0)</f>
        <v>0</v>
      </c>
      <c r="N28" t="str">
        <f>IFERROR(ISCAM_Score!AC29,"")</f>
        <v>⬜  Pendiente de instrumento</v>
      </c>
      <c r="O28" t="s">
        <v>113</v>
      </c>
      <c r="P28" t="str">
        <f>IFERROR(INDEX(MATRIZ_174!$C:$C,MATCH(A28,MATRIZ_174!$A:$A,0)),"")</f>
        <v>UCAYALI</v>
      </c>
    </row>
    <row r="29" spans="1:16" ht="16.05" customHeight="1" x14ac:dyDescent="0.3">
      <c r="A29" t="s">
        <v>137</v>
      </c>
      <c r="B29" t="s">
        <v>138</v>
      </c>
      <c r="C29" s="36" t="str">
        <f>IFERROR(ISCAM_Score!AL30,"—")</f>
        <v>—</v>
      </c>
      <c r="D29" t="str">
        <f t="shared" si="0"/>
        <v>— Sin Inst.2</v>
      </c>
      <c r="E29" t="str">
        <f t="shared" si="1"/>
        <v/>
      </c>
      <c r="F29">
        <f>IFERROR(MATRIZ_174!L29,0)</f>
        <v>0</v>
      </c>
      <c r="G29">
        <f>IFERROR(MATRIZ_174!M29,0)</f>
        <v>0</v>
      </c>
      <c r="H29" t="str">
        <f>IF(NORMALIZADO!CC29="","",NORMALIZADO!CC29)</f>
        <v/>
      </c>
      <c r="I29" t="str">
        <f>IF(NORMALIZADO!CF29="","",NORMALIZADO!CF29)</f>
        <v/>
      </c>
      <c r="J29" t="str">
        <f>IF(NORMALIZADO!CG29="","",NORMALIZADO!CG29)</f>
        <v/>
      </c>
      <c r="K29">
        <f>IFERROR(INDEX(MATRIZ_174!$U:$U,MATCH(A29,MATRIZ_174!$A:$A,0))*100,"")</f>
        <v>100</v>
      </c>
      <c r="L29">
        <f>IFERROR(MATRIZ_174!O29,0)</f>
        <v>0</v>
      </c>
      <c r="N29" t="str">
        <f>IFERROR(ISCAM_Score!AC30,"")</f>
        <v>⬜  Pendiente de instrumento</v>
      </c>
      <c r="O29" t="s">
        <v>113</v>
      </c>
      <c r="P29" t="str">
        <f>IFERROR(INDEX(MATRIZ_174!$C:$C,MATCH(A29,MATRIZ_174!$A:$A,0)),"")</f>
        <v>UCAYALI</v>
      </c>
    </row>
    <row r="30" spans="1:16" ht="16.05" customHeight="1" x14ac:dyDescent="0.3">
      <c r="A30" t="s">
        <v>139</v>
      </c>
      <c r="B30" t="s">
        <v>140</v>
      </c>
      <c r="C30" s="36" t="str">
        <f>IFERROR(ISCAM_Score!AL31,"—")</f>
        <v>—</v>
      </c>
      <c r="D30" t="str">
        <f t="shared" si="0"/>
        <v>— Sin Inst.2</v>
      </c>
      <c r="E30" t="str">
        <f t="shared" si="1"/>
        <v/>
      </c>
      <c r="F30">
        <f>IFERROR(MATRIZ_174!L30,0)</f>
        <v>0</v>
      </c>
      <c r="G30">
        <f>IFERROR(MATRIZ_174!M30,0)</f>
        <v>0</v>
      </c>
      <c r="H30" t="str">
        <f>IF(NORMALIZADO!CC30="","",NORMALIZADO!CC30)</f>
        <v/>
      </c>
      <c r="I30" t="str">
        <f>IF(NORMALIZADO!CF30="","",NORMALIZADO!CF30)</f>
        <v/>
      </c>
      <c r="J30" t="str">
        <f>IF(NORMALIZADO!CG30="","",NORMALIZADO!CG30)</f>
        <v/>
      </c>
      <c r="K30">
        <f>IFERROR(INDEX(MATRIZ_174!$U:$U,MATCH(A30,MATRIZ_174!$A:$A,0))*100,"")</f>
        <v>100</v>
      </c>
      <c r="L30">
        <f>IFERROR(MATRIZ_174!O30,0)</f>
        <v>0</v>
      </c>
      <c r="N30" t="str">
        <f>IFERROR(ISCAM_Score!AC31,"")</f>
        <v>⬜  Pendiente de instrumento</v>
      </c>
      <c r="O30" t="s">
        <v>64</v>
      </c>
      <c r="P30" t="str">
        <f>IFERROR(INDEX(MATRIZ_174!$C:$C,MATCH(A30,MATRIZ_174!$A:$A,0)),"")</f>
        <v>PUNO</v>
      </c>
    </row>
    <row r="31" spans="1:16" ht="16.05" customHeight="1" x14ac:dyDescent="0.3">
      <c r="A31" t="s">
        <v>141</v>
      </c>
      <c r="B31" t="s">
        <v>142</v>
      </c>
      <c r="C31" s="36" t="str">
        <f>IFERROR(ISCAM_Score!AL32,"—")</f>
        <v>—</v>
      </c>
      <c r="D31" t="str">
        <f t="shared" si="0"/>
        <v>— Sin Inst.2</v>
      </c>
      <c r="E31" t="str">
        <f t="shared" si="1"/>
        <v/>
      </c>
      <c r="F31">
        <f>IFERROR(MATRIZ_174!L31,0)</f>
        <v>0</v>
      </c>
      <c r="G31">
        <f>IFERROR(MATRIZ_174!M31,0)</f>
        <v>0</v>
      </c>
      <c r="H31" t="str">
        <f>IF(NORMALIZADO!CC31="","",NORMALIZADO!CC31)</f>
        <v/>
      </c>
      <c r="I31" t="str">
        <f>IF(NORMALIZADO!CF31="","",NORMALIZADO!CF31)</f>
        <v/>
      </c>
      <c r="J31" t="str">
        <f>IF(NORMALIZADO!CG31="","",NORMALIZADO!CG31)</f>
        <v/>
      </c>
      <c r="K31">
        <f>IFERROR(INDEX(MATRIZ_174!$U:$U,MATCH(A31,MATRIZ_174!$A:$A,0))*100,"")</f>
        <v>100</v>
      </c>
      <c r="L31">
        <f>IFERROR(MATRIZ_174!O31,0)</f>
        <v>0</v>
      </c>
      <c r="N31" t="str">
        <f>IFERROR(ISCAM_Score!AC32,"")</f>
        <v>⬜  Pendiente de instrumento</v>
      </c>
      <c r="O31" t="s">
        <v>143</v>
      </c>
      <c r="P31" t="str">
        <f>IFERROR(INDEX(MATRIZ_174!$C:$C,MATCH(A31,MATRIZ_174!$A:$A,0)),"")</f>
        <v>SAN MARTIN</v>
      </c>
    </row>
    <row r="32" spans="1:16" ht="16.05" customHeight="1" x14ac:dyDescent="0.3">
      <c r="A32" t="s">
        <v>144</v>
      </c>
      <c r="B32" t="s">
        <v>145</v>
      </c>
      <c r="C32" s="36" t="str">
        <f>IFERROR(ISCAM_Score!AL33,"—")</f>
        <v>—</v>
      </c>
      <c r="D32" t="str">
        <f t="shared" si="0"/>
        <v>— Sin Inst.2</v>
      </c>
      <c r="E32" t="str">
        <f t="shared" si="1"/>
        <v/>
      </c>
      <c r="F32">
        <f>IFERROR(MATRIZ_174!L32,0)</f>
        <v>0</v>
      </c>
      <c r="G32">
        <f>IFERROR(MATRIZ_174!M32,0)</f>
        <v>0</v>
      </c>
      <c r="H32" t="str">
        <f>IF(NORMALIZADO!CC32="","",NORMALIZADO!CC32)</f>
        <v/>
      </c>
      <c r="I32" t="str">
        <f>IF(NORMALIZADO!CF32="","",NORMALIZADO!CF32)</f>
        <v/>
      </c>
      <c r="J32" t="str">
        <f>IF(NORMALIZADO!CG32="","",NORMALIZADO!CG32)</f>
        <v/>
      </c>
      <c r="K32">
        <f>IFERROR(INDEX(MATRIZ_174!$U:$U,MATCH(A32,MATRIZ_174!$A:$A,0))*100,"")</f>
        <v>100</v>
      </c>
      <c r="L32">
        <f>IFERROR(MATRIZ_174!O32,0)</f>
        <v>0</v>
      </c>
      <c r="N32" t="str">
        <f>IFERROR(ISCAM_Score!AC33,"")</f>
        <v>⬜  Pendiente de instrumento</v>
      </c>
      <c r="O32" t="s">
        <v>143</v>
      </c>
      <c r="P32" t="str">
        <f>IFERROR(INDEX(MATRIZ_174!$C:$C,MATCH(A32,MATRIZ_174!$A:$A,0)),"")</f>
        <v>SAN MARTIN</v>
      </c>
    </row>
    <row r="33" spans="1:16" ht="16.05" customHeight="1" x14ac:dyDescent="0.3">
      <c r="A33" t="s">
        <v>146</v>
      </c>
      <c r="B33" t="s">
        <v>147</v>
      </c>
      <c r="C33" s="36" t="str">
        <f>IFERROR(ISCAM_Score!AL34,"—")</f>
        <v>—</v>
      </c>
      <c r="D33" t="str">
        <f t="shared" si="0"/>
        <v>— Sin Inst.2</v>
      </c>
      <c r="E33" t="str">
        <f t="shared" si="1"/>
        <v/>
      </c>
      <c r="F33">
        <f>IFERROR(MATRIZ_174!L33,0)</f>
        <v>0</v>
      </c>
      <c r="G33">
        <f>IFERROR(MATRIZ_174!M33,0)</f>
        <v>0</v>
      </c>
      <c r="H33" t="str">
        <f>IF(NORMALIZADO!CC33="","",NORMALIZADO!CC33)</f>
        <v/>
      </c>
      <c r="I33" t="str">
        <f>IF(NORMALIZADO!CF33="","",NORMALIZADO!CF33)</f>
        <v/>
      </c>
      <c r="J33" t="str">
        <f>IF(NORMALIZADO!CG33="","",NORMALIZADO!CG33)</f>
        <v/>
      </c>
      <c r="K33">
        <f>IFERROR(INDEX(MATRIZ_174!$U:$U,MATCH(A33,MATRIZ_174!$A:$A,0))*100,"")</f>
        <v>100</v>
      </c>
      <c r="L33">
        <f>IFERROR(MATRIZ_174!O33,0)</f>
        <v>0</v>
      </c>
      <c r="N33" t="str">
        <f>IFERROR(ISCAM_Score!AC34,"")</f>
        <v>⬜  Pendiente de instrumento</v>
      </c>
      <c r="O33" t="s">
        <v>143</v>
      </c>
      <c r="P33" t="str">
        <f>IFERROR(INDEX(MATRIZ_174!$C:$C,MATCH(A33,MATRIZ_174!$A:$A,0)),"")</f>
        <v>SAN MARTIN</v>
      </c>
    </row>
    <row r="34" spans="1:16" ht="16.05" customHeight="1" x14ac:dyDescent="0.3">
      <c r="A34" t="s">
        <v>148</v>
      </c>
      <c r="B34" t="s">
        <v>149</v>
      </c>
      <c r="C34" s="36" t="str">
        <f>IFERROR(ISCAM_Score!AL35,"—")</f>
        <v>—</v>
      </c>
      <c r="D34" t="str">
        <f t="shared" si="0"/>
        <v>— Sin Inst.2</v>
      </c>
      <c r="E34" t="str">
        <f t="shared" si="1"/>
        <v/>
      </c>
      <c r="F34">
        <f>IFERROR(MATRIZ_174!L34,0)</f>
        <v>0</v>
      </c>
      <c r="G34">
        <f>IFERROR(MATRIZ_174!M34,0)</f>
        <v>0</v>
      </c>
      <c r="H34" t="str">
        <f>IF(NORMALIZADO!CC34="","",NORMALIZADO!CC34)</f>
        <v/>
      </c>
      <c r="I34" t="str">
        <f>IF(NORMALIZADO!CF34="","",NORMALIZADO!CF34)</f>
        <v/>
      </c>
      <c r="J34" t="str">
        <f>IF(NORMALIZADO!CG34="","",NORMALIZADO!CG34)</f>
        <v/>
      </c>
      <c r="K34">
        <f>IFERROR(INDEX(MATRIZ_174!$U:$U,MATCH(A34,MATRIZ_174!$A:$A,0))*100,"")</f>
        <v>100</v>
      </c>
      <c r="L34">
        <f>IFERROR(MATRIZ_174!O34,0)</f>
        <v>0</v>
      </c>
      <c r="N34" t="str">
        <f>IFERROR(ISCAM_Score!AC35,"")</f>
        <v>⬜  Pendiente de instrumento</v>
      </c>
      <c r="O34" t="s">
        <v>143</v>
      </c>
      <c r="P34" t="str">
        <f>IFERROR(INDEX(MATRIZ_174!$C:$C,MATCH(A34,MATRIZ_174!$A:$A,0)),"")</f>
        <v>SAN MARTIN</v>
      </c>
    </row>
    <row r="35" spans="1:16" ht="16.05" customHeight="1" x14ac:dyDescent="0.3">
      <c r="A35" t="s">
        <v>150</v>
      </c>
      <c r="B35" t="s">
        <v>151</v>
      </c>
      <c r="C35" s="36" t="str">
        <f>IFERROR(ISCAM_Score!AL36,"—")</f>
        <v>—</v>
      </c>
      <c r="D35" t="str">
        <f t="shared" ref="D35:D66" si="2">IF(C35="—","— Sin Inst.2",IF(C35&lt;34,"🔴  Crítico",IF(C35&lt;67,"🟡  Vulnerable","🟢  Preparado")))</f>
        <v>— Sin Inst.2</v>
      </c>
      <c r="E35" t="str">
        <f t="shared" ref="E35:E66" si="3">IFERROR(RANK(C35,C:C,-1),"")</f>
        <v/>
      </c>
      <c r="F35">
        <f>IFERROR(MATRIZ_174!L35,0)</f>
        <v>965726.35</v>
      </c>
      <c r="G35">
        <f>IFERROR(MATRIZ_174!M35,0)</f>
        <v>50</v>
      </c>
      <c r="H35" t="str">
        <f>IF(NORMALIZADO!CC35="","",NORMALIZADO!CC35)</f>
        <v/>
      </c>
      <c r="I35" t="str">
        <f>IF(NORMALIZADO!CF35="","",NORMALIZADO!CF35)</f>
        <v/>
      </c>
      <c r="J35" t="str">
        <f>IF(NORMALIZADO!CG35="","",NORMALIZADO!CG35)</f>
        <v/>
      </c>
      <c r="K35">
        <f>IFERROR(INDEX(MATRIZ_174!$U:$U,MATCH(A35,MATRIZ_174!$A:$A,0))*100,"")</f>
        <v>100</v>
      </c>
      <c r="L35">
        <f>IFERROR(MATRIZ_174!O35,0)</f>
        <v>0</v>
      </c>
      <c r="N35" t="str">
        <f>IFERROR(ISCAM_Score!AC36,"")</f>
        <v>⬜  Pendiente de instrumento</v>
      </c>
      <c r="O35" t="s">
        <v>80</v>
      </c>
      <c r="P35" t="str">
        <f>IFERROR(INDEX(MATRIZ_174!$C:$C,MATCH(A35,MATRIZ_174!$A:$A,0)),"")</f>
        <v>CUSCO</v>
      </c>
    </row>
    <row r="36" spans="1:16" ht="16.05" customHeight="1" x14ac:dyDescent="0.3">
      <c r="A36" t="s">
        <v>152</v>
      </c>
      <c r="B36" t="s">
        <v>153</v>
      </c>
      <c r="C36" s="36" t="str">
        <f>IFERROR(ISCAM_Score!AL37,"—")</f>
        <v>—</v>
      </c>
      <c r="D36" t="str">
        <f t="shared" si="2"/>
        <v>— Sin Inst.2</v>
      </c>
      <c r="E36" t="str">
        <f t="shared" si="3"/>
        <v/>
      </c>
      <c r="F36">
        <f>IFERROR(MATRIZ_174!L36,0)</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154</v>
      </c>
      <c r="P36" t="str">
        <f>IFERROR(INDEX(MATRIZ_174!$C:$C,MATCH(A36,MATRIZ_174!$A:$A,0)),"")</f>
        <v>CAJAMARCA</v>
      </c>
    </row>
    <row r="37" spans="1:16" ht="16.05" customHeight="1" x14ac:dyDescent="0.3">
      <c r="A37" t="s">
        <v>155</v>
      </c>
      <c r="B37" t="s">
        <v>156</v>
      </c>
      <c r="C37" s="36" t="str">
        <f>IFERROR(ISCAM_Score!AL38,"—")</f>
        <v>—</v>
      </c>
      <c r="D37" t="str">
        <f t="shared" si="2"/>
        <v>— Sin Inst.2</v>
      </c>
      <c r="E37" t="str">
        <f t="shared" si="3"/>
        <v/>
      </c>
      <c r="F37">
        <f>IFERROR(MATRIZ_174!L37,0)</f>
        <v>0</v>
      </c>
      <c r="G37">
        <f>IFERROR(MATRIZ_174!M37,0)</f>
        <v>0</v>
      </c>
      <c r="H37" t="str">
        <f>IF(NORMALIZADO!CC37="","",NORMALIZADO!CC37)</f>
        <v/>
      </c>
      <c r="I37" t="str">
        <f>IF(NORMALIZADO!CF37="","",NORMALIZADO!CF37)</f>
        <v/>
      </c>
      <c r="J37" t="str">
        <f>IF(NORMALIZADO!CG37="","",NORMALIZADO!CG37)</f>
        <v/>
      </c>
      <c r="K37">
        <f>IFERROR(INDEX(MATRIZ_174!$U:$U,MATCH(A37,MATRIZ_174!$A:$A,0))*100,"")</f>
        <v>100</v>
      </c>
      <c r="L37">
        <f>IFERROR(MATRIZ_174!O37,0)</f>
        <v>0</v>
      </c>
      <c r="N37" t="str">
        <f>IFERROR(ISCAM_Score!AC38,"")</f>
        <v>⬜  Pendiente de instrumento</v>
      </c>
      <c r="O37" t="s">
        <v>116</v>
      </c>
      <c r="P37" t="str">
        <f>IFERROR(INDEX(MATRIZ_174!$C:$C,MATCH(A37,MATRIZ_174!$A:$A,0)),"")</f>
        <v>AMAZONAS</v>
      </c>
    </row>
    <row r="38" spans="1:16" ht="16.05" customHeight="1" x14ac:dyDescent="0.3">
      <c r="A38" t="s">
        <v>157</v>
      </c>
      <c r="B38" t="s">
        <v>158</v>
      </c>
      <c r="C38" s="36" t="str">
        <f>IFERROR(ISCAM_Score!AL39,"—")</f>
        <v>—</v>
      </c>
      <c r="D38" t="str">
        <f t="shared" si="2"/>
        <v>— Sin Inst.2</v>
      </c>
      <c r="E38" t="str">
        <f t="shared" si="3"/>
        <v/>
      </c>
      <c r="F38">
        <f>IFERROR(MATRIZ_174!L38,0)</f>
        <v>0</v>
      </c>
      <c r="G38">
        <f>IFERROR(MATRIZ_174!M38,0)</f>
        <v>0</v>
      </c>
      <c r="H38" t="str">
        <f>IF(NORMALIZADO!CC38="","",NORMALIZADO!CC38)</f>
        <v/>
      </c>
      <c r="I38" t="str">
        <f>IF(NORMALIZADO!CF38="","",NORMALIZADO!CF38)</f>
        <v/>
      </c>
      <c r="J38" t="str">
        <f>IF(NORMALIZADO!CG38="","",NORMALIZADO!CG38)</f>
        <v/>
      </c>
      <c r="K38">
        <f>IFERROR(INDEX(MATRIZ_174!$U:$U,MATCH(A38,MATRIZ_174!$A:$A,0))*100,"")</f>
        <v>100</v>
      </c>
      <c r="L38">
        <f>IFERROR(MATRIZ_174!O38,0)</f>
        <v>0</v>
      </c>
      <c r="N38" t="str">
        <f>IFERROR(ISCAM_Score!AC39,"")</f>
        <v>⬜  Pendiente de instrumento</v>
      </c>
      <c r="O38" t="s">
        <v>116</v>
      </c>
      <c r="P38" t="str">
        <f>IFERROR(INDEX(MATRIZ_174!$C:$C,MATCH(A38,MATRIZ_174!$A:$A,0)),"")</f>
        <v>AMAZONAS</v>
      </c>
    </row>
    <row r="39" spans="1:16" ht="16.05" customHeight="1" x14ac:dyDescent="0.3">
      <c r="A39" t="s">
        <v>159</v>
      </c>
      <c r="B39" t="s">
        <v>160</v>
      </c>
      <c r="C39" s="36" t="str">
        <f>IFERROR(ISCAM_Score!AL40,"—")</f>
        <v>—</v>
      </c>
      <c r="D39" t="str">
        <f t="shared" si="2"/>
        <v>— Sin Inst.2</v>
      </c>
      <c r="E39" t="str">
        <f t="shared" si="3"/>
        <v/>
      </c>
      <c r="F39">
        <f>IFERROR(MATRIZ_174!L39,0)</f>
        <v>587607.64</v>
      </c>
      <c r="G39">
        <f>IFERROR(MATRIZ_174!M39,0)</f>
        <v>50</v>
      </c>
      <c r="H39" t="str">
        <f>IF(NORMALIZADO!CC39="","",NORMALIZADO!CC39)</f>
        <v/>
      </c>
      <c r="I39" t="str">
        <f>IF(NORMALIZADO!CF39="","",NORMALIZADO!CF39)</f>
        <v/>
      </c>
      <c r="J39" t="str">
        <f>IF(NORMALIZADO!CG39="","",NORMALIZADO!CG39)</f>
        <v/>
      </c>
      <c r="K39">
        <f>IFERROR(INDEX(MATRIZ_174!$U:$U,MATCH(A39,MATRIZ_174!$A:$A,0))*100,"")</f>
        <v>100</v>
      </c>
      <c r="L39">
        <f>IFERROR(MATRIZ_174!O39,0)</f>
        <v>0</v>
      </c>
      <c r="N39" t="str">
        <f>IFERROR(ISCAM_Score!AC40,"")</f>
        <v>⬜  Pendiente de instrumento</v>
      </c>
      <c r="O39" t="s">
        <v>116</v>
      </c>
      <c r="P39" t="str">
        <f>IFERROR(INDEX(MATRIZ_174!$C:$C,MATCH(A39,MATRIZ_174!$A:$A,0)),"")</f>
        <v>AMAZONAS</v>
      </c>
    </row>
    <row r="40" spans="1:16" ht="16.05" customHeight="1" x14ac:dyDescent="0.3">
      <c r="A40" t="s">
        <v>161</v>
      </c>
      <c r="B40" t="s">
        <v>162</v>
      </c>
      <c r="C40" s="36" t="str">
        <f>IFERROR(ISCAM_Score!AL41,"—")</f>
        <v>—</v>
      </c>
      <c r="D40" t="str">
        <f t="shared" si="2"/>
        <v>— Sin Inst.2</v>
      </c>
      <c r="E40" t="str">
        <f t="shared" si="3"/>
        <v/>
      </c>
      <c r="F40">
        <f>IFERROR(MATRIZ_174!L40,0)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f>IFERROR(MATRIZ_174!O40,0)</f>
        <v>0</v>
      </c>
      <c r="N40" t="str">
        <f>IFERROR(ISCAM_Score!AC41,"")</f>
        <v>⬜  Pendiente de instrumento</v>
      </c>
      <c r="O40" t="s">
        <v>116</v>
      </c>
      <c r="P40" t="str">
        <f>IFERROR(INDEX(MATRIZ_174!$C:$C,MATCH(A40,MATRIZ_174!$A:$A,0)),"")</f>
        <v>AMAZONAS</v>
      </c>
    </row>
    <row r="41" spans="1:16" ht="16.05" customHeight="1" x14ac:dyDescent="0.3">
      <c r="A41" t="s">
        <v>163</v>
      </c>
      <c r="B41" t="s">
        <v>164</v>
      </c>
      <c r="C41" s="36" t="str">
        <f>IFERROR(ISCAM_Score!AL42,"—")</f>
        <v>—</v>
      </c>
      <c r="D41" t="str">
        <f t="shared" si="2"/>
        <v>— Sin Inst.2</v>
      </c>
      <c r="E41" t="str">
        <f t="shared" si="3"/>
        <v/>
      </c>
      <c r="F41">
        <f>IFERROR(MATRIZ_174!L41,0)</f>
        <v>0</v>
      </c>
      <c r="G41">
        <f>IFERROR(MATRIZ_174!M41,0)</f>
        <v>0</v>
      </c>
      <c r="H41" t="str">
        <f>IF(NORMALIZADO!CC41="","",NORMALIZADO!CC41)</f>
        <v/>
      </c>
      <c r="I41" t="str">
        <f>IF(NORMALIZADO!CF41="","",NORMALIZADO!CF41)</f>
        <v/>
      </c>
      <c r="J41" t="str">
        <f>IF(NORMALIZADO!CG41="","",NORMALIZADO!CG41)</f>
        <v/>
      </c>
      <c r="K41">
        <f>IFERROR(INDEX(MATRIZ_174!$U:$U,MATCH(A41,MATRIZ_174!$A:$A,0))*100,"")</f>
        <v>100</v>
      </c>
      <c r="L41">
        <f>IFERROR(MATRIZ_174!O41,0)</f>
        <v>0</v>
      </c>
      <c r="N41" t="str">
        <f>IFERROR(ISCAM_Score!AC42,"")</f>
        <v>⬜  Pendiente de instrumento</v>
      </c>
      <c r="O41" t="s">
        <v>116</v>
      </c>
      <c r="P41" t="str">
        <f>IFERROR(INDEX(MATRIZ_174!$C:$C,MATCH(A41,MATRIZ_174!$A:$A,0)),"")</f>
        <v>AMAZONAS</v>
      </c>
    </row>
    <row r="42" spans="1:16" ht="16.05" customHeight="1" x14ac:dyDescent="0.3">
      <c r="A42" t="s">
        <v>165</v>
      </c>
      <c r="B42" t="s">
        <v>166</v>
      </c>
      <c r="C42" s="36" t="str">
        <f>IFERROR(ISCAM_Score!AL43,"—")</f>
        <v>—</v>
      </c>
      <c r="D42" t="str">
        <f t="shared" si="2"/>
        <v>— Sin Inst.2</v>
      </c>
      <c r="E42" t="str">
        <f t="shared" si="3"/>
        <v/>
      </c>
      <c r="F42">
        <f>IFERROR(MATRIZ_174!L42,0)</f>
        <v>408500</v>
      </c>
      <c r="G42">
        <f>IFERROR(MATRIZ_174!M42,0)</f>
        <v>50</v>
      </c>
      <c r="H42" t="str">
        <f>IF(NORMALIZADO!CC42="","",NORMALIZADO!CC42)</f>
        <v/>
      </c>
      <c r="I42" t="str">
        <f>IF(NORMALIZADO!CF42="","",NORMALIZADO!CF42)</f>
        <v/>
      </c>
      <c r="J42" t="str">
        <f>IF(NORMALIZADO!CG42="","",NORMALIZADO!CG42)</f>
        <v/>
      </c>
      <c r="K42">
        <f>IFERROR(INDEX(MATRIZ_174!$U:$U,MATCH(A42,MATRIZ_174!$A:$A,0))*100,"")</f>
        <v>100</v>
      </c>
      <c r="L42">
        <f>IFERROR(MATRIZ_174!O42,0)</f>
        <v>0</v>
      </c>
      <c r="N42" t="str">
        <f>IFERROR(ISCAM_Score!AC43,"")</f>
        <v>⬜  Pendiente de instrumento</v>
      </c>
      <c r="O42" t="s">
        <v>107</v>
      </c>
      <c r="P42" t="str">
        <f>IFERROR(INDEX(MATRIZ_174!$C:$C,MATCH(A42,MATRIZ_174!$A:$A,0)),"")</f>
        <v>PIURA</v>
      </c>
    </row>
    <row r="43" spans="1:16" ht="16.05" customHeight="1" x14ac:dyDescent="0.3">
      <c r="A43" t="s">
        <v>167</v>
      </c>
      <c r="B43" t="s">
        <v>168</v>
      </c>
      <c r="C43" s="36" t="str">
        <f>IFERROR(ISCAM_Score!AL44,"—")</f>
        <v>—</v>
      </c>
      <c r="D43" t="str">
        <f t="shared" si="2"/>
        <v>— Sin Inst.2</v>
      </c>
      <c r="E43" t="str">
        <f t="shared" si="3"/>
        <v/>
      </c>
      <c r="F43">
        <f>IFERROR(MATRIZ_174!L43,0)</f>
        <v>0</v>
      </c>
      <c r="G43">
        <f>IFERROR(MATRIZ_174!M43,0)</f>
        <v>0</v>
      </c>
      <c r="H43" t="str">
        <f>IF(NORMALIZADO!CC43="","",NORMALIZADO!CC43)</f>
        <v/>
      </c>
      <c r="I43" t="str">
        <f>IF(NORMALIZADO!CF43="","",NORMALIZADO!CF43)</f>
        <v/>
      </c>
      <c r="J43" t="str">
        <f>IF(NORMALIZADO!CG43="","",NORMALIZADO!CG43)</f>
        <v/>
      </c>
      <c r="K43">
        <f>IFERROR(INDEX(MATRIZ_174!$U:$U,MATCH(A43,MATRIZ_174!$A:$A,0))*100,"")</f>
        <v>100</v>
      </c>
      <c r="L43">
        <f>IFERROR(MATRIZ_174!O43,0)</f>
        <v>0</v>
      </c>
      <c r="N43" t="str">
        <f>IFERROR(ISCAM_Score!AC44,"")</f>
        <v>⬜  Pendiente de instrumento</v>
      </c>
      <c r="O43" t="s">
        <v>77</v>
      </c>
      <c r="P43" t="str">
        <f>IFERROR(INDEX(MATRIZ_174!$C:$C,MATCH(A43,MATRIZ_174!$A:$A,0)),"")</f>
        <v>JUNIN</v>
      </c>
    </row>
    <row r="44" spans="1:16" ht="16.05" customHeight="1" x14ac:dyDescent="0.3">
      <c r="A44" t="s">
        <v>169</v>
      </c>
      <c r="B44" t="s">
        <v>170</v>
      </c>
      <c r="C44" s="36" t="str">
        <f>IFERROR(ISCAM_Score!AL45,"—")</f>
        <v>—</v>
      </c>
      <c r="D44" t="str">
        <f t="shared" si="2"/>
        <v>— Sin Inst.2</v>
      </c>
      <c r="E44" t="str">
        <f t="shared" si="3"/>
        <v/>
      </c>
      <c r="F44">
        <f>IFERROR(MATRIZ_174!L44,0)</f>
        <v>0</v>
      </c>
      <c r="G44">
        <f>IFERROR(MATRIZ_174!M44,0)</f>
        <v>0</v>
      </c>
      <c r="H44" t="str">
        <f>IF(NORMALIZADO!CC44="","",NORMALIZADO!CC44)</f>
        <v/>
      </c>
      <c r="I44" t="str">
        <f>IF(NORMALIZADO!CF44="","",NORMALIZADO!CF44)</f>
        <v/>
      </c>
      <c r="J44" t="str">
        <f>IF(NORMALIZADO!CG44="","",NORMALIZADO!CG44)</f>
        <v/>
      </c>
      <c r="K44">
        <f>IFERROR(INDEX(MATRIZ_174!$U:$U,MATCH(A44,MATRIZ_174!$A:$A,0))*100,"")</f>
        <v>100</v>
      </c>
      <c r="L44">
        <f>IFERROR(MATRIZ_174!O44,0)</f>
        <v>0</v>
      </c>
      <c r="N44" t="str">
        <f>IFERROR(ISCAM_Score!AC45,"")</f>
        <v>⬜  Pendiente de instrumento</v>
      </c>
      <c r="O44" t="s">
        <v>77</v>
      </c>
      <c r="P44" t="str">
        <f>IFERROR(INDEX(MATRIZ_174!$C:$C,MATCH(A44,MATRIZ_174!$A:$A,0)),"")</f>
        <v>JUNIN</v>
      </c>
    </row>
    <row r="45" spans="1:16" ht="16.05" customHeight="1" x14ac:dyDescent="0.3">
      <c r="A45" t="s">
        <v>171</v>
      </c>
      <c r="B45" t="s">
        <v>172</v>
      </c>
      <c r="C45" s="36" t="str">
        <f>IFERROR(ISCAM_Score!AL46,"—")</f>
        <v>—</v>
      </c>
      <c r="D45" t="str">
        <f t="shared" si="2"/>
        <v>— Sin Inst.2</v>
      </c>
      <c r="E45" t="str">
        <f t="shared" si="3"/>
        <v/>
      </c>
      <c r="F45">
        <f>IFERROR(MATRIZ_174!L45,0)</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f>IFERROR(MATRIZ_174!O45,0)</f>
        <v>0</v>
      </c>
      <c r="N45" t="str">
        <f>IFERROR(ISCAM_Score!AC46,"")</f>
        <v>⬜  Pendiente de instrumento</v>
      </c>
      <c r="O45" t="s">
        <v>77</v>
      </c>
      <c r="P45" t="str">
        <f>IFERROR(INDEX(MATRIZ_174!$C:$C,MATCH(A45,MATRIZ_174!$A:$A,0)),"")</f>
        <v>JUNIN</v>
      </c>
    </row>
    <row r="46" spans="1:16" ht="16.05" customHeight="1" x14ac:dyDescent="0.3">
      <c r="A46" t="s">
        <v>173</v>
      </c>
      <c r="B46" t="s">
        <v>174</v>
      </c>
      <c r="C46" s="36" t="str">
        <f>IFERROR(ISCAM_Score!AL47,"—")</f>
        <v>—</v>
      </c>
      <c r="D46" t="str">
        <f t="shared" si="2"/>
        <v>— Sin Inst.2</v>
      </c>
      <c r="E46" t="str">
        <f t="shared" si="3"/>
        <v/>
      </c>
      <c r="F46">
        <f>IFERROR(MATRIZ_174!L46,0)</f>
        <v>0</v>
      </c>
      <c r="G46">
        <f>IFERROR(MATRIZ_174!M46,0)</f>
        <v>0</v>
      </c>
      <c r="H46" t="str">
        <f>IF(NORMALIZADO!CC46="","",NORMALIZADO!CC46)</f>
        <v/>
      </c>
      <c r="I46" t="str">
        <f>IF(NORMALIZADO!CF46="","",NORMALIZADO!CF46)</f>
        <v/>
      </c>
      <c r="J46" t="str">
        <f>IF(NORMALIZADO!CG46="","",NORMALIZADO!CG46)</f>
        <v/>
      </c>
      <c r="K46">
        <f>IFERROR(INDEX(MATRIZ_174!$U:$U,MATCH(A46,MATRIZ_174!$A:$A,0))*100,"")</f>
        <v>100</v>
      </c>
      <c r="L46">
        <f>IFERROR(MATRIZ_174!O46,0)</f>
        <v>0</v>
      </c>
      <c r="N46" t="str">
        <f>IFERROR(ISCAM_Score!AC47,"")</f>
        <v>⬜  Pendiente de instrumento</v>
      </c>
      <c r="O46" t="s">
        <v>77</v>
      </c>
      <c r="P46" t="str">
        <f>IFERROR(INDEX(MATRIZ_174!$C:$C,MATCH(A46,MATRIZ_174!$A:$A,0)),"")</f>
        <v>JUNIN</v>
      </c>
    </row>
    <row r="47" spans="1:16" ht="16.05" customHeight="1" x14ac:dyDescent="0.3">
      <c r="A47" t="s">
        <v>175</v>
      </c>
      <c r="B47" t="s">
        <v>176</v>
      </c>
      <c r="C47" s="36" t="str">
        <f>IFERROR(ISCAM_Score!AL48,"—")</f>
        <v>—</v>
      </c>
      <c r="D47" t="str">
        <f t="shared" si="2"/>
        <v>— Sin Inst.2</v>
      </c>
      <c r="E47" t="str">
        <f t="shared" si="3"/>
        <v/>
      </c>
      <c r="F47">
        <f>IFERROR(MATRIZ_174!L47,0)</f>
        <v>0</v>
      </c>
      <c r="G47">
        <f>IFERROR(MATRIZ_174!M47,0)</f>
        <v>0</v>
      </c>
      <c r="H47" t="str">
        <f>IF(NORMALIZADO!CC47="","",NORMALIZADO!CC47)</f>
        <v/>
      </c>
      <c r="I47" t="str">
        <f>IF(NORMALIZADO!CF47="","",NORMALIZADO!CF47)</f>
        <v/>
      </c>
      <c r="J47" t="str">
        <f>IF(NORMALIZADO!CG47="","",NORMALIZADO!CG47)</f>
        <v/>
      </c>
      <c r="K47">
        <f>IFERROR(INDEX(MATRIZ_174!$U:$U,MATCH(A47,MATRIZ_174!$A:$A,0))*100,"")</f>
        <v>100</v>
      </c>
      <c r="L47">
        <f>IFERROR(MATRIZ_174!O47,0)</f>
        <v>0</v>
      </c>
      <c r="N47" t="str">
        <f>IFERROR(ISCAM_Score!AC48,"")</f>
        <v>⬜  Pendiente de instrumento</v>
      </c>
      <c r="O47" t="s">
        <v>77</v>
      </c>
      <c r="P47" t="str">
        <f>IFERROR(INDEX(MATRIZ_174!$C:$C,MATCH(A47,MATRIZ_174!$A:$A,0)),"")</f>
        <v>JUNIN</v>
      </c>
    </row>
    <row r="48" spans="1:16" ht="16.05" customHeight="1" x14ac:dyDescent="0.3">
      <c r="A48" t="s">
        <v>177</v>
      </c>
      <c r="B48" t="s">
        <v>178</v>
      </c>
      <c r="C48" s="36" t="str">
        <f>IFERROR(ISCAM_Score!AL49,"—")</f>
        <v>—</v>
      </c>
      <c r="D48" t="str">
        <f t="shared" si="2"/>
        <v>— Sin Inst.2</v>
      </c>
      <c r="E48" t="str">
        <f t="shared" si="3"/>
        <v/>
      </c>
      <c r="F48">
        <f>IFERROR(MATRIZ_174!L48,0)</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f>IFERROR(MATRIZ_174!O48,0)</f>
        <v>0</v>
      </c>
      <c r="N48" t="str">
        <f>IFERROR(ISCAM_Score!AC49,"")</f>
        <v>⬜  Pendiente de instrumento</v>
      </c>
      <c r="O48" t="s">
        <v>77</v>
      </c>
      <c r="P48" t="str">
        <f>IFERROR(INDEX(MATRIZ_174!$C:$C,MATCH(A48,MATRIZ_174!$A:$A,0)),"")</f>
        <v>JUNIN</v>
      </c>
    </row>
    <row r="49" spans="1:16" ht="16.05" customHeight="1" x14ac:dyDescent="0.3">
      <c r="A49" t="s">
        <v>179</v>
      </c>
      <c r="B49" t="s">
        <v>180</v>
      </c>
      <c r="C49" s="36" t="str">
        <f>IFERROR(ISCAM_Score!AL50,"—")</f>
        <v>—</v>
      </c>
      <c r="D49" t="str">
        <f t="shared" si="2"/>
        <v>— Sin Inst.2</v>
      </c>
      <c r="E49" t="str">
        <f t="shared" si="3"/>
        <v/>
      </c>
      <c r="F49">
        <f>IFERROR(MATRIZ_174!L49,0)</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f>IFERROR(MATRIZ_174!O49,0)</f>
        <v>0</v>
      </c>
      <c r="N49" t="str">
        <f>IFERROR(ISCAM_Score!AC50,"")</f>
        <v>⬜  Pendiente de instrumento</v>
      </c>
      <c r="O49" t="s">
        <v>77</v>
      </c>
      <c r="P49" t="str">
        <f>IFERROR(INDEX(MATRIZ_174!$C:$C,MATCH(A49,MATRIZ_174!$A:$A,0)),"")</f>
        <v>JUNIN</v>
      </c>
    </row>
    <row r="50" spans="1:16" ht="16.05" customHeight="1" x14ac:dyDescent="0.3">
      <c r="A50" t="s">
        <v>181</v>
      </c>
      <c r="B50" t="s">
        <v>182</v>
      </c>
      <c r="C50" s="36" t="str">
        <f>IFERROR(ISCAM_Score!AL51,"—")</f>
        <v>—</v>
      </c>
      <c r="D50" t="str">
        <f t="shared" si="2"/>
        <v>— Sin Inst.2</v>
      </c>
      <c r="E50" t="str">
        <f t="shared" si="3"/>
        <v/>
      </c>
      <c r="F50">
        <f>IFERROR(MATRIZ_174!L50,0)</f>
        <v>0</v>
      </c>
      <c r="G50">
        <f>IFERROR(MATRIZ_174!M50,0)</f>
        <v>0</v>
      </c>
      <c r="H50" t="str">
        <f>IF(NORMALIZADO!CC50="","",NORMALIZADO!CC50)</f>
        <v/>
      </c>
      <c r="I50" t="str">
        <f>IF(NORMALIZADO!CF50="","",NORMALIZADO!CF50)</f>
        <v/>
      </c>
      <c r="J50" t="str">
        <f>IF(NORMALIZADO!CG50="","",NORMALIZADO!CG50)</f>
        <v/>
      </c>
      <c r="K50">
        <f>IFERROR(INDEX(MATRIZ_174!$U:$U,MATCH(A50,MATRIZ_174!$A:$A,0))*100,"")</f>
        <v>100</v>
      </c>
      <c r="L50">
        <f>IFERROR(MATRIZ_174!O50,0)</f>
        <v>0</v>
      </c>
      <c r="N50" t="str">
        <f>IFERROR(ISCAM_Score!AC51,"")</f>
        <v>⬜  Pendiente de instrumento</v>
      </c>
      <c r="O50" t="s">
        <v>183</v>
      </c>
      <c r="P50" t="str">
        <f>IFERROR(INDEX(MATRIZ_174!$C:$C,MATCH(A50,MATRIZ_174!$A:$A,0)),"")</f>
        <v>LAMBAYEQUE</v>
      </c>
    </row>
    <row r="51" spans="1:16" ht="16.05" customHeight="1" x14ac:dyDescent="0.3">
      <c r="A51" t="s">
        <v>184</v>
      </c>
      <c r="B51" t="s">
        <v>185</v>
      </c>
      <c r="C51" s="36" t="str">
        <f>IFERROR(ISCAM_Score!AL52,"—")</f>
        <v>—</v>
      </c>
      <c r="D51" t="str">
        <f t="shared" si="2"/>
        <v>— Sin Inst.2</v>
      </c>
      <c r="E51" t="str">
        <f t="shared" si="3"/>
        <v/>
      </c>
      <c r="F51">
        <f>IFERROR(MATRIZ_174!L51,0)</f>
        <v>0</v>
      </c>
      <c r="G51">
        <f>IFERROR(MATRIZ_174!M51,0)</f>
        <v>0</v>
      </c>
      <c r="H51" t="str">
        <f>IF(NORMALIZADO!CC51="","",NORMALIZADO!CC51)</f>
        <v/>
      </c>
      <c r="I51" t="str">
        <f>IF(NORMALIZADO!CF51="","",NORMALIZADO!CF51)</f>
        <v/>
      </c>
      <c r="J51" t="str">
        <f>IF(NORMALIZADO!CG51="","",NORMALIZADO!CG51)</f>
        <v/>
      </c>
      <c r="K51">
        <f>IFERROR(INDEX(MATRIZ_174!$U:$U,MATCH(A51,MATRIZ_174!$A:$A,0))*100,"")</f>
        <v>100</v>
      </c>
      <c r="L51">
        <f>IFERROR(MATRIZ_174!O51,0)</f>
        <v>0</v>
      </c>
      <c r="N51" t="str">
        <f>IFERROR(ISCAM_Score!AC52,"")</f>
        <v>⬜  Pendiente de instrumento</v>
      </c>
      <c r="O51" t="s">
        <v>154</v>
      </c>
      <c r="P51" t="str">
        <f>IFERROR(INDEX(MATRIZ_174!$C:$C,MATCH(A51,MATRIZ_174!$A:$A,0)),"")</f>
        <v>CAJAMARCA</v>
      </c>
    </row>
    <row r="52" spans="1:16" ht="16.05" customHeight="1" x14ac:dyDescent="0.3">
      <c r="A52" t="s">
        <v>186</v>
      </c>
      <c r="B52" t="s">
        <v>187</v>
      </c>
      <c r="C52" s="36" t="str">
        <f>IFERROR(ISCAM_Score!AL53,"—")</f>
        <v>—</v>
      </c>
      <c r="D52" t="str">
        <f t="shared" si="2"/>
        <v>— Sin Inst.2</v>
      </c>
      <c r="E52" t="str">
        <f t="shared" si="3"/>
        <v/>
      </c>
      <c r="F52">
        <f>IFERROR(MATRIZ_174!L52,0)</f>
        <v>0</v>
      </c>
      <c r="G52">
        <f>IFERROR(MATRIZ_174!M52,0)</f>
        <v>0</v>
      </c>
      <c r="H52" t="str">
        <f>IF(NORMALIZADO!CC52="","",NORMALIZADO!CC52)</f>
        <v/>
      </c>
      <c r="I52" t="str">
        <f>IF(NORMALIZADO!CF52="","",NORMALIZADO!CF52)</f>
        <v/>
      </c>
      <c r="J52" t="str">
        <f>IF(NORMALIZADO!CG52="","",NORMALIZADO!CG52)</f>
        <v/>
      </c>
      <c r="K52">
        <f>IFERROR(INDEX(MATRIZ_174!$U:$U,MATCH(A52,MATRIZ_174!$A:$A,0))*100,"")</f>
        <v>100</v>
      </c>
      <c r="L52">
        <f>IFERROR(MATRIZ_174!O52,0)</f>
        <v>0</v>
      </c>
      <c r="N52" t="str">
        <f>IFERROR(ISCAM_Score!AC53,"")</f>
        <v>⬜  Pendiente de instrumento</v>
      </c>
      <c r="O52" t="s">
        <v>80</v>
      </c>
      <c r="P52" t="str">
        <f>IFERROR(INDEX(MATRIZ_174!$C:$C,MATCH(A52,MATRIZ_174!$A:$A,0)),"")</f>
        <v>CUSCO</v>
      </c>
    </row>
    <row r="53" spans="1:16" ht="16.05" customHeight="1" x14ac:dyDescent="0.3">
      <c r="A53" t="s">
        <v>188</v>
      </c>
      <c r="B53" t="s">
        <v>189</v>
      </c>
      <c r="C53" s="36" t="str">
        <f>IFERROR(ISCAM_Score!AL54,"—")</f>
        <v>—</v>
      </c>
      <c r="D53" t="str">
        <f t="shared" si="2"/>
        <v>— Sin Inst.2</v>
      </c>
      <c r="E53" t="str">
        <f t="shared" si="3"/>
        <v/>
      </c>
      <c r="F53">
        <f>IFERROR(MATRIZ_174!L53,0)</f>
        <v>0</v>
      </c>
      <c r="G53">
        <f>IFERROR(MATRIZ_174!M53,0)</f>
        <v>0</v>
      </c>
      <c r="H53" t="str">
        <f>IF(NORMALIZADO!CC53="","",NORMALIZADO!CC53)</f>
        <v/>
      </c>
      <c r="I53" t="str">
        <f>IF(NORMALIZADO!CF53="","",NORMALIZADO!CF53)</f>
        <v/>
      </c>
      <c r="J53" t="str">
        <f>IF(NORMALIZADO!CG53="","",NORMALIZADO!CG53)</f>
        <v/>
      </c>
      <c r="K53">
        <f>IFERROR(INDEX(MATRIZ_174!$U:$U,MATCH(A53,MATRIZ_174!$A:$A,0))*100,"")</f>
        <v>100</v>
      </c>
      <c r="L53">
        <f>IFERROR(MATRIZ_174!O53,0)</f>
        <v>0</v>
      </c>
      <c r="N53" t="str">
        <f>IFERROR(ISCAM_Score!AC54,"")</f>
        <v>⬜  Pendiente de instrumento</v>
      </c>
      <c r="O53" t="s">
        <v>143</v>
      </c>
      <c r="P53" t="str">
        <f>IFERROR(INDEX(MATRIZ_174!$C:$C,MATCH(A53,MATRIZ_174!$A:$A,0)),"")</f>
        <v>SAN MARTIN</v>
      </c>
    </row>
    <row r="54" spans="1:16" ht="16.05" customHeight="1" x14ac:dyDescent="0.3">
      <c r="A54" t="s">
        <v>190</v>
      </c>
      <c r="B54" t="s">
        <v>191</v>
      </c>
      <c r="C54" s="36" t="str">
        <f>IFERROR(ISCAM_Score!AL55,"—")</f>
        <v>—</v>
      </c>
      <c r="D54" t="str">
        <f t="shared" si="2"/>
        <v>— Sin Inst.2</v>
      </c>
      <c r="E54" t="str">
        <f t="shared" si="3"/>
        <v/>
      </c>
      <c r="F54">
        <f>IFERROR(MATRIZ_174!L54,0)</f>
        <v>0</v>
      </c>
      <c r="G54">
        <f>IFERROR(MATRIZ_174!M54,0)</f>
        <v>0</v>
      </c>
      <c r="H54" t="str">
        <f>IF(NORMALIZADO!CC54="","",NORMALIZADO!CC54)</f>
        <v/>
      </c>
      <c r="I54" t="str">
        <f>IF(NORMALIZADO!CF54="","",NORMALIZADO!CF54)</f>
        <v/>
      </c>
      <c r="J54" t="str">
        <f>IF(NORMALIZADO!CG54="","",NORMALIZADO!CG54)</f>
        <v/>
      </c>
      <c r="K54">
        <f>IFERROR(INDEX(MATRIZ_174!$U:$U,MATCH(A54,MATRIZ_174!$A:$A,0))*100,"")</f>
        <v>100</v>
      </c>
      <c r="L54">
        <f>IFERROR(MATRIZ_174!O54,0)</f>
        <v>0</v>
      </c>
      <c r="N54" t="str">
        <f>IFERROR(ISCAM_Score!AC55,"")</f>
        <v>⬜  Pendiente de instrumento</v>
      </c>
      <c r="O54" t="s">
        <v>143</v>
      </c>
      <c r="P54" t="str">
        <f>IFERROR(INDEX(MATRIZ_174!$C:$C,MATCH(A54,MATRIZ_174!$A:$A,0)),"")</f>
        <v>SAN MARTIN</v>
      </c>
    </row>
    <row r="55" spans="1:16" ht="16.05" customHeight="1" x14ac:dyDescent="0.3">
      <c r="A55" t="s">
        <v>192</v>
      </c>
      <c r="B55" t="s">
        <v>193</v>
      </c>
      <c r="C55" s="36" t="str">
        <f>IFERROR(ISCAM_Score!AL56,"—")</f>
        <v>—</v>
      </c>
      <c r="D55" t="str">
        <f t="shared" si="2"/>
        <v>— Sin Inst.2</v>
      </c>
      <c r="E55" t="str">
        <f t="shared" si="3"/>
        <v/>
      </c>
      <c r="F55">
        <f>IFERROR(MATRIZ_174!L55,0)</f>
        <v>0</v>
      </c>
      <c r="G55">
        <f>IFERROR(MATRIZ_174!M55,0)</f>
        <v>0</v>
      </c>
      <c r="H55" t="str">
        <f>IF(NORMALIZADO!CC55="","",NORMALIZADO!CC55)</f>
        <v/>
      </c>
      <c r="I55" t="str">
        <f>IF(NORMALIZADO!CF55="","",NORMALIZADO!CF55)</f>
        <v/>
      </c>
      <c r="J55" t="str">
        <f>IF(NORMALIZADO!CG55="","",NORMALIZADO!CG55)</f>
        <v/>
      </c>
      <c r="K55">
        <f>IFERROR(INDEX(MATRIZ_174!$U:$U,MATCH(A55,MATRIZ_174!$A:$A,0))*100,"")</f>
        <v>100</v>
      </c>
      <c r="L55">
        <f>IFERROR(MATRIZ_174!O55,0)</f>
        <v>0</v>
      </c>
      <c r="N55" t="str">
        <f>IFERROR(ISCAM_Score!AC56,"")</f>
        <v>⬜  Pendiente de instrumento</v>
      </c>
      <c r="O55" t="s">
        <v>143</v>
      </c>
      <c r="P55" t="str">
        <f>IFERROR(INDEX(MATRIZ_174!$C:$C,MATCH(A55,MATRIZ_174!$A:$A,0)),"")</f>
        <v>SAN MARTIN</v>
      </c>
    </row>
    <row r="56" spans="1:16" ht="16.05" customHeight="1" x14ac:dyDescent="0.3">
      <c r="A56" t="s">
        <v>194</v>
      </c>
      <c r="B56" t="s">
        <v>195</v>
      </c>
      <c r="C56" s="36" t="str">
        <f>IFERROR(ISCAM_Score!AL57,"—")</f>
        <v>—</v>
      </c>
      <c r="D56" t="str">
        <f t="shared" si="2"/>
        <v>— Sin Inst.2</v>
      </c>
      <c r="E56" t="str">
        <f t="shared" si="3"/>
        <v/>
      </c>
      <c r="F56">
        <f>IFERROR(MATRIZ_174!L56,0)</f>
        <v>0</v>
      </c>
      <c r="G56">
        <f>IFERROR(MATRIZ_174!M56,0)</f>
        <v>0</v>
      </c>
      <c r="H56" t="str">
        <f>IF(NORMALIZADO!CC56="","",NORMALIZADO!CC56)</f>
        <v/>
      </c>
      <c r="I56" t="str">
        <f>IF(NORMALIZADO!CF56="","",NORMALIZADO!CF56)</f>
        <v/>
      </c>
      <c r="J56" t="str">
        <f>IF(NORMALIZADO!CG56="","",NORMALIZADO!CG56)</f>
        <v/>
      </c>
      <c r="K56">
        <f>IFERROR(INDEX(MATRIZ_174!$U:$U,MATCH(A56,MATRIZ_174!$A:$A,0))*100,"")</f>
        <v>100</v>
      </c>
      <c r="L56">
        <f>IFERROR(MATRIZ_174!O56,0)</f>
        <v>0</v>
      </c>
      <c r="N56" t="str">
        <f>IFERROR(ISCAM_Score!AC57,"")</f>
        <v>⬜  Pendiente de instrumento</v>
      </c>
      <c r="O56" t="s">
        <v>196</v>
      </c>
      <c r="P56" t="str">
        <f>IFERROR(INDEX(MATRIZ_174!$C:$C,MATCH(A56,MATRIZ_174!$A:$A,0)),"")</f>
        <v>LORETO</v>
      </c>
    </row>
    <row r="57" spans="1:16" ht="16.05" customHeight="1" x14ac:dyDescent="0.3">
      <c r="A57" t="s">
        <v>197</v>
      </c>
      <c r="B57" t="s">
        <v>198</v>
      </c>
      <c r="C57" s="36" t="str">
        <f>IFERROR(ISCAM_Score!AL58,"—")</f>
        <v>—</v>
      </c>
      <c r="D57" t="str">
        <f t="shared" si="2"/>
        <v>— Sin Inst.2</v>
      </c>
      <c r="E57" t="str">
        <f t="shared" si="3"/>
        <v/>
      </c>
      <c r="F57">
        <f>IFERROR(MATRIZ_174!L57,0)</f>
        <v>0</v>
      </c>
      <c r="G57">
        <f>IFERROR(MATRIZ_174!M57,0)</f>
        <v>0</v>
      </c>
      <c r="H57" t="str">
        <f>IF(NORMALIZADO!CC57="","",NORMALIZADO!CC57)</f>
        <v/>
      </c>
      <c r="I57" t="str">
        <f>IF(NORMALIZADO!CF57="","",NORMALIZADO!CF57)</f>
        <v/>
      </c>
      <c r="J57" t="str">
        <f>IF(NORMALIZADO!CG57="","",NORMALIZADO!CG57)</f>
        <v/>
      </c>
      <c r="K57">
        <f>IFERROR(INDEX(MATRIZ_174!$U:$U,MATCH(A57,MATRIZ_174!$A:$A,0))*100,"")</f>
        <v>100</v>
      </c>
      <c r="L57">
        <f>IFERROR(MATRIZ_174!O57,0)</f>
        <v>0</v>
      </c>
      <c r="N57" t="str">
        <f>IFERROR(ISCAM_Score!AC58,"")</f>
        <v>⬜  Pendiente de instrumento</v>
      </c>
      <c r="O57" t="s">
        <v>80</v>
      </c>
      <c r="P57" t="str">
        <f>IFERROR(INDEX(MATRIZ_174!$C:$C,MATCH(A57,MATRIZ_174!$A:$A,0)),"")</f>
        <v>CUSCO</v>
      </c>
    </row>
    <row r="58" spans="1:16" ht="16.05" customHeight="1" x14ac:dyDescent="0.3">
      <c r="A58" t="s">
        <v>199</v>
      </c>
      <c r="B58" t="s">
        <v>200</v>
      </c>
      <c r="C58" s="36" t="str">
        <f>IFERROR(ISCAM_Score!AL59,"—")</f>
        <v>—</v>
      </c>
      <c r="D58" t="str">
        <f t="shared" si="2"/>
        <v>— Sin Inst.2</v>
      </c>
      <c r="E58" t="str">
        <f t="shared" si="3"/>
        <v/>
      </c>
      <c r="F58">
        <f>IFERROR(MATRIZ_174!L58,0)</f>
        <v>52920</v>
      </c>
      <c r="G58">
        <f>IFERROR(MATRIZ_174!M58,0)</f>
        <v>50</v>
      </c>
      <c r="H58" t="str">
        <f>IF(NORMALIZADO!CC58="","",NORMALIZADO!CC58)</f>
        <v/>
      </c>
      <c r="I58" t="str">
        <f>IF(NORMALIZADO!CF58="","",NORMALIZADO!CF58)</f>
        <v/>
      </c>
      <c r="J58" t="str">
        <f>IF(NORMALIZADO!CG58="","",NORMALIZADO!CG58)</f>
        <v/>
      </c>
      <c r="K58">
        <f>IFERROR(INDEX(MATRIZ_174!$U:$U,MATCH(A58,MATRIZ_174!$A:$A,0))*100,"")</f>
        <v>100</v>
      </c>
      <c r="L58">
        <f>IFERROR(MATRIZ_174!O58,0)</f>
        <v>0</v>
      </c>
      <c r="N58" t="str">
        <f>IFERROR(ISCAM_Score!AC59,"")</f>
        <v>⬜  Pendiente de instrumento</v>
      </c>
      <c r="O58" t="s">
        <v>107</v>
      </c>
      <c r="P58" t="str">
        <f>IFERROR(INDEX(MATRIZ_174!$C:$C,MATCH(A58,MATRIZ_174!$A:$A,0)),"")</f>
        <v>PIURA</v>
      </c>
    </row>
    <row r="59" spans="1:16" ht="16.05" customHeight="1" x14ac:dyDescent="0.3">
      <c r="A59" t="s">
        <v>201</v>
      </c>
      <c r="B59" t="s">
        <v>202</v>
      </c>
      <c r="C59" s="36" t="str">
        <f>IFERROR(ISCAM_Score!AL60,"—")</f>
        <v>—</v>
      </c>
      <c r="D59" t="str">
        <f t="shared" si="2"/>
        <v>— Sin Inst.2</v>
      </c>
      <c r="E59" t="str">
        <f t="shared" si="3"/>
        <v/>
      </c>
      <c r="F59">
        <f>IFERROR(MATRIZ_174!L59,0)</f>
        <v>0</v>
      </c>
      <c r="G59">
        <f>IFERROR(MATRIZ_174!M59,0)</f>
        <v>0</v>
      </c>
      <c r="H59" t="str">
        <f>IF(NORMALIZADO!CC59="","",NORMALIZADO!CC59)</f>
        <v/>
      </c>
      <c r="I59" t="str">
        <f>IF(NORMALIZADO!CF59="","",NORMALIZADO!CF59)</f>
        <v/>
      </c>
      <c r="J59" t="str">
        <f>IF(NORMALIZADO!CG59="","",NORMALIZADO!CG59)</f>
        <v/>
      </c>
      <c r="K59">
        <f>IFERROR(INDEX(MATRIZ_174!$U:$U,MATCH(A59,MATRIZ_174!$A:$A,0))*100,"")</f>
        <v>100</v>
      </c>
      <c r="L59">
        <f>IFERROR(MATRIZ_174!O59,0)</f>
        <v>0</v>
      </c>
      <c r="N59" t="str">
        <f>IFERROR(ISCAM_Score!AC60,"")</f>
        <v>⬜  Pendiente de instrumento</v>
      </c>
      <c r="O59" t="s">
        <v>107</v>
      </c>
      <c r="P59" t="str">
        <f>IFERROR(INDEX(MATRIZ_174!$C:$C,MATCH(A59,MATRIZ_174!$A:$A,0)),"")</f>
        <v>PIURA</v>
      </c>
    </row>
    <row r="60" spans="1:16" ht="16.05" customHeight="1" x14ac:dyDescent="0.3">
      <c r="A60" t="s">
        <v>203</v>
      </c>
      <c r="B60" t="s">
        <v>204</v>
      </c>
      <c r="C60" s="36" t="str">
        <f>IFERROR(ISCAM_Score!AL61,"—")</f>
        <v>—</v>
      </c>
      <c r="D60" t="str">
        <f t="shared" si="2"/>
        <v>— Sin Inst.2</v>
      </c>
      <c r="E60" t="str">
        <f t="shared" si="3"/>
        <v/>
      </c>
      <c r="F60">
        <f>IFERROR(MATRIZ_174!L60,0)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f>IFERROR(MATRIZ_174!O60,0)</f>
        <v>0</v>
      </c>
      <c r="N60" t="str">
        <f>IFERROR(ISCAM_Score!AC61,"")</f>
        <v>⬜  Pendiente de instrumento</v>
      </c>
      <c r="O60" t="s">
        <v>205</v>
      </c>
      <c r="P60" t="str">
        <f>IFERROR(INDEX(MATRIZ_174!$C:$C,MATCH(A60,MATRIZ_174!$A:$A,0)),"")</f>
        <v>APURIMAC</v>
      </c>
    </row>
    <row r="61" spans="1:16" ht="16.05" customHeight="1" x14ac:dyDescent="0.3">
      <c r="A61" t="s">
        <v>206</v>
      </c>
      <c r="B61" t="s">
        <v>207</v>
      </c>
      <c r="C61" s="36" t="str">
        <f>IFERROR(ISCAM_Score!AL62,"—")</f>
        <v>—</v>
      </c>
      <c r="D61" t="str">
        <f t="shared" si="2"/>
        <v>— Sin Inst.2</v>
      </c>
      <c r="E61" t="str">
        <f t="shared" si="3"/>
        <v/>
      </c>
      <c r="F61">
        <f>IFERROR(MATRIZ_174!L61,0)</f>
        <v>0</v>
      </c>
      <c r="G61">
        <f>IFERROR(MATRIZ_174!M61,0)</f>
        <v>0</v>
      </c>
      <c r="H61" t="str">
        <f>IF(NORMALIZADO!CC61="","",NORMALIZADO!CC61)</f>
        <v/>
      </c>
      <c r="I61" t="str">
        <f>IF(NORMALIZADO!CF61="","",NORMALIZADO!CF61)</f>
        <v/>
      </c>
      <c r="J61" t="str">
        <f>IF(NORMALIZADO!CG61="","",NORMALIZADO!CG61)</f>
        <v/>
      </c>
      <c r="K61">
        <f>IFERROR(INDEX(MATRIZ_174!$U:$U,MATCH(A61,MATRIZ_174!$A:$A,0))*100,"")</f>
        <v>100</v>
      </c>
      <c r="L61">
        <f>IFERROR(MATRIZ_174!O61,0)</f>
        <v>0</v>
      </c>
      <c r="N61" t="str">
        <f>IFERROR(ISCAM_Score!AC62,"")</f>
        <v>⬜  Pendiente de instrumento</v>
      </c>
      <c r="O61" t="s">
        <v>123</v>
      </c>
      <c r="P61" t="str">
        <f>IFERROR(INDEX(MATRIZ_174!$C:$C,MATCH(A61,MATRIZ_174!$A:$A,0)),"")</f>
        <v>HUANUCO</v>
      </c>
    </row>
    <row r="62" spans="1:16" ht="16.05" customHeight="1" x14ac:dyDescent="0.3">
      <c r="A62" t="s">
        <v>208</v>
      </c>
      <c r="B62" t="s">
        <v>209</v>
      </c>
      <c r="C62" s="36" t="str">
        <f>IFERROR(ISCAM_Score!AL63,"—")</f>
        <v>—</v>
      </c>
      <c r="D62" t="str">
        <f t="shared" si="2"/>
        <v>— Sin Inst.2</v>
      </c>
      <c r="E62" t="str">
        <f t="shared" si="3"/>
        <v/>
      </c>
      <c r="F62">
        <f>IFERROR(MATRIZ_174!L62,0)</f>
        <v>0</v>
      </c>
      <c r="G62">
        <f>IFERROR(MATRIZ_174!M62,0)</f>
        <v>0</v>
      </c>
      <c r="H62" t="str">
        <f>IF(NORMALIZADO!CC62="","",NORMALIZADO!CC62)</f>
        <v/>
      </c>
      <c r="I62" t="str">
        <f>IF(NORMALIZADO!CF62="","",NORMALIZADO!CF62)</f>
        <v/>
      </c>
      <c r="J62" t="str">
        <f>IF(NORMALIZADO!CG62="","",NORMALIZADO!CG62)</f>
        <v/>
      </c>
      <c r="K62">
        <f>IFERROR(INDEX(MATRIZ_174!$U:$U,MATCH(A62,MATRIZ_174!$A:$A,0))*100,"")</f>
        <v>100</v>
      </c>
      <c r="L62">
        <f>IFERROR(MATRIZ_174!O62,0)</f>
        <v>0</v>
      </c>
      <c r="N62" t="str">
        <f>IFERROR(ISCAM_Score!AC63,"")</f>
        <v>⬜  Pendiente de instrumento</v>
      </c>
      <c r="O62" t="s">
        <v>107</v>
      </c>
      <c r="P62" t="str">
        <f>IFERROR(INDEX(MATRIZ_174!$C:$C,MATCH(A62,MATRIZ_174!$A:$A,0)),"")</f>
        <v>PIURA</v>
      </c>
    </row>
    <row r="63" spans="1:16" ht="16.05" customHeight="1" x14ac:dyDescent="0.3">
      <c r="A63" t="s">
        <v>210</v>
      </c>
      <c r="B63" t="s">
        <v>211</v>
      </c>
      <c r="C63" s="36" t="str">
        <f>IFERROR(ISCAM_Score!AL64,"—")</f>
        <v>—</v>
      </c>
      <c r="D63" t="str">
        <f t="shared" si="2"/>
        <v>— Sin Inst.2</v>
      </c>
      <c r="E63" t="str">
        <f t="shared" si="3"/>
        <v/>
      </c>
      <c r="F63">
        <f>IFERROR(MATRIZ_174!L63,0)</f>
        <v>0</v>
      </c>
      <c r="G63">
        <f>IFERROR(MATRIZ_174!M63,0)</f>
        <v>0</v>
      </c>
      <c r="H63" t="str">
        <f>IF(NORMALIZADO!CC63="","",NORMALIZADO!CC63)</f>
        <v/>
      </c>
      <c r="I63" t="str">
        <f>IF(NORMALIZADO!CF63="","",NORMALIZADO!CF63)</f>
        <v/>
      </c>
      <c r="J63" t="str">
        <f>IF(NORMALIZADO!CG63="","",NORMALIZADO!CG63)</f>
        <v/>
      </c>
      <c r="K63">
        <f>IFERROR(INDEX(MATRIZ_174!$U:$U,MATCH(A63,MATRIZ_174!$A:$A,0))*100,"")</f>
        <v>100</v>
      </c>
      <c r="L63">
        <f>IFERROR(MATRIZ_174!O63,0)</f>
        <v>0</v>
      </c>
      <c r="N63" t="str">
        <f>IFERROR(ISCAM_Score!AC64,"")</f>
        <v>⬜  Pendiente de instrumento</v>
      </c>
      <c r="O63" t="s">
        <v>107</v>
      </c>
      <c r="P63" t="str">
        <f>IFERROR(INDEX(MATRIZ_174!$C:$C,MATCH(A63,MATRIZ_174!$A:$A,0)),"")</f>
        <v>PIURA</v>
      </c>
    </row>
    <row r="64" spans="1:16" ht="16.05" customHeight="1" x14ac:dyDescent="0.3">
      <c r="A64" t="s">
        <v>212</v>
      </c>
      <c r="B64" t="s">
        <v>213</v>
      </c>
      <c r="C64" s="36" t="str">
        <f>IFERROR(ISCAM_Score!AL65,"—")</f>
        <v>—</v>
      </c>
      <c r="D64" t="str">
        <f t="shared" si="2"/>
        <v>— Sin Inst.2</v>
      </c>
      <c r="E64" t="str">
        <f t="shared" si="3"/>
        <v/>
      </c>
      <c r="F64">
        <f>IFERROR(MATRIZ_174!L64,0)</f>
        <v>0</v>
      </c>
      <c r="G64">
        <f>IFERROR(MATRIZ_174!M64,0)</f>
        <v>0</v>
      </c>
      <c r="H64" t="str">
        <f>IF(NORMALIZADO!CC64="","",NORMALIZADO!CC64)</f>
        <v/>
      </c>
      <c r="I64" t="str">
        <f>IF(NORMALIZADO!CF64="","",NORMALIZADO!CF64)</f>
        <v/>
      </c>
      <c r="J64" t="str">
        <f>IF(NORMALIZADO!CG64="","",NORMALIZADO!CG64)</f>
        <v/>
      </c>
      <c r="K64">
        <f>IFERROR(INDEX(MATRIZ_174!$U:$U,MATCH(A64,MATRIZ_174!$A:$A,0))*100,"")</f>
        <v>100</v>
      </c>
      <c r="L64">
        <f>IFERROR(MATRIZ_174!O64,0)</f>
        <v>0</v>
      </c>
      <c r="N64" t="str">
        <f>IFERROR(ISCAM_Score!AC65,"")</f>
        <v>⬜  Pendiente de instrumento</v>
      </c>
      <c r="O64" t="s">
        <v>143</v>
      </c>
      <c r="P64" t="str">
        <f>IFERROR(INDEX(MATRIZ_174!$C:$C,MATCH(A64,MATRIZ_174!$A:$A,0)),"")</f>
        <v>SAN MARTIN</v>
      </c>
    </row>
    <row r="65" spans="1:16" ht="16.05" customHeight="1" x14ac:dyDescent="0.3">
      <c r="A65" t="s">
        <v>214</v>
      </c>
      <c r="B65" t="s">
        <v>215</v>
      </c>
      <c r="C65" s="36" t="str">
        <f>IFERROR(ISCAM_Score!AL66,"—")</f>
        <v>—</v>
      </c>
      <c r="D65" t="str">
        <f t="shared" si="2"/>
        <v>— Sin Inst.2</v>
      </c>
      <c r="E65" t="str">
        <f t="shared" si="3"/>
        <v/>
      </c>
      <c r="F65">
        <f>IFERROR(MATRIZ_174!L65,0)</f>
        <v>0</v>
      </c>
      <c r="G65">
        <f>IFERROR(MATRIZ_174!M65,0)</f>
        <v>0</v>
      </c>
      <c r="H65" t="str">
        <f>IF(NORMALIZADO!CC65="","",NORMALIZADO!CC65)</f>
        <v/>
      </c>
      <c r="I65" t="str">
        <f>IF(NORMALIZADO!CF65="","",NORMALIZADO!CF65)</f>
        <v/>
      </c>
      <c r="J65" t="str">
        <f>IF(NORMALIZADO!CG65="","",NORMALIZADO!CG65)</f>
        <v/>
      </c>
      <c r="K65">
        <f>IFERROR(INDEX(MATRIZ_174!$U:$U,MATCH(A65,MATRIZ_174!$A:$A,0))*100,"")</f>
        <v>100</v>
      </c>
      <c r="L65">
        <f>IFERROR(MATRIZ_174!O65,0)</f>
        <v>0</v>
      </c>
      <c r="N65" t="str">
        <f>IFERROR(ISCAM_Score!AC66,"")</f>
        <v>⬜  Pendiente de instrumento</v>
      </c>
      <c r="O65" t="s">
        <v>143</v>
      </c>
      <c r="P65" t="str">
        <f>IFERROR(INDEX(MATRIZ_174!$C:$C,MATCH(A65,MATRIZ_174!$A:$A,0)),"")</f>
        <v>SAN MARTIN</v>
      </c>
    </row>
    <row r="66" spans="1:16" ht="16.05" customHeight="1" x14ac:dyDescent="0.3">
      <c r="A66" t="s">
        <v>216</v>
      </c>
      <c r="B66" t="s">
        <v>217</v>
      </c>
      <c r="C66" s="36" t="str">
        <f>IFERROR(ISCAM_Score!AL67,"—")</f>
        <v>—</v>
      </c>
      <c r="D66" t="str">
        <f t="shared" si="2"/>
        <v>— Sin Inst.2</v>
      </c>
      <c r="E66" t="str">
        <f t="shared" si="3"/>
        <v/>
      </c>
      <c r="F66">
        <f>IFERROR(MATRIZ_174!L66,0)</f>
        <v>0</v>
      </c>
      <c r="G66">
        <f>IFERROR(MATRIZ_174!M66,0)</f>
        <v>0</v>
      </c>
      <c r="H66" t="str">
        <f>IF(NORMALIZADO!CC66="","",NORMALIZADO!CC66)</f>
        <v/>
      </c>
      <c r="I66" t="str">
        <f>IF(NORMALIZADO!CF66="","",NORMALIZADO!CF66)</f>
        <v/>
      </c>
      <c r="J66" t="str">
        <f>IF(NORMALIZADO!CG66="","",NORMALIZADO!CG66)</f>
        <v/>
      </c>
      <c r="K66">
        <f>IFERROR(INDEX(MATRIZ_174!$U:$U,MATCH(A66,MATRIZ_174!$A:$A,0))*100,"")</f>
        <v>100</v>
      </c>
      <c r="L66">
        <f>IFERROR(MATRIZ_174!O66,0)</f>
        <v>0</v>
      </c>
      <c r="N66" t="str">
        <f>IFERROR(ISCAM_Score!AC67,"")</f>
        <v>⬜  Pendiente de instrumento</v>
      </c>
      <c r="O66" t="s">
        <v>80</v>
      </c>
      <c r="P66" t="str">
        <f>IFERROR(INDEX(MATRIZ_174!$C:$C,MATCH(A66,MATRIZ_174!$A:$A,0)),"")</f>
        <v>CUSCO</v>
      </c>
    </row>
    <row r="67" spans="1:16" ht="16.05" customHeight="1" x14ac:dyDescent="0.3">
      <c r="A67" t="s">
        <v>218</v>
      </c>
      <c r="B67" t="s">
        <v>219</v>
      </c>
      <c r="C67" s="36" t="str">
        <f>IFERROR(ISCAM_Score!AL68,"—")</f>
        <v>—</v>
      </c>
      <c r="D67" t="str">
        <f t="shared" ref="D67:D98" si="4">IF(C67="—","— Sin Inst.2",IF(C67&lt;34,"🔴  Crítico",IF(C67&lt;67,"🟡  Vulnerable","🟢  Preparado")))</f>
        <v>— Sin Inst.2</v>
      </c>
      <c r="E67" t="str">
        <f t="shared" ref="E67:E98" si="5">IFERROR(RANK(C67,C:C,-1),"")</f>
        <v/>
      </c>
      <c r="F67">
        <f>IFERROR(MATRIZ_174!L67,0)</f>
        <v>0</v>
      </c>
      <c r="G67">
        <f>IFERROR(MATRIZ_174!M67,0)</f>
        <v>0</v>
      </c>
      <c r="H67" t="str">
        <f>IF(NORMALIZADO!CC67="","",NORMALIZADO!CC67)</f>
        <v/>
      </c>
      <c r="I67" t="str">
        <f>IF(NORMALIZADO!CF67="","",NORMALIZADO!CF67)</f>
        <v/>
      </c>
      <c r="J67" t="str">
        <f>IF(NORMALIZADO!CG67="","",NORMALIZADO!CG67)</f>
        <v/>
      </c>
      <c r="K67">
        <f>IFERROR(INDEX(MATRIZ_174!$U:$U,MATCH(A67,MATRIZ_174!$A:$A,0))*100,"")</f>
        <v>100</v>
      </c>
      <c r="L67">
        <f>IFERROR(MATRIZ_174!O67,0)</f>
        <v>0</v>
      </c>
      <c r="N67" t="str">
        <f>IFERROR(ISCAM_Score!AC68,"")</f>
        <v>⬜  Pendiente de instrumento</v>
      </c>
      <c r="O67" t="s">
        <v>116</v>
      </c>
      <c r="P67" t="str">
        <f>IFERROR(INDEX(MATRIZ_174!$C:$C,MATCH(A67,MATRIZ_174!$A:$A,0)),"")</f>
        <v>AMAZONAS</v>
      </c>
    </row>
    <row r="68" spans="1:16" ht="16.05" customHeight="1" x14ac:dyDescent="0.3">
      <c r="A68" t="s">
        <v>220</v>
      </c>
      <c r="B68" t="s">
        <v>221</v>
      </c>
      <c r="C68" s="36" t="str">
        <f>IFERROR(ISCAM_Score!AL69,"—")</f>
        <v>—</v>
      </c>
      <c r="D68" t="str">
        <f t="shared" si="4"/>
        <v>— Sin Inst.2</v>
      </c>
      <c r="E68" t="str">
        <f t="shared" si="5"/>
        <v/>
      </c>
      <c r="F68">
        <f>IFERROR(MATRIZ_174!L68,0)</f>
        <v>0</v>
      </c>
      <c r="G68">
        <f>IFERROR(MATRIZ_174!M68,0)</f>
        <v>0</v>
      </c>
      <c r="H68" t="str">
        <f>IF(NORMALIZADO!CC68="","",NORMALIZADO!CC68)</f>
        <v/>
      </c>
      <c r="I68" t="str">
        <f>IF(NORMALIZADO!CF68="","",NORMALIZADO!CF68)</f>
        <v/>
      </c>
      <c r="J68" t="str">
        <f>IF(NORMALIZADO!CG68="","",NORMALIZADO!CG68)</f>
        <v/>
      </c>
      <c r="K68">
        <f>IFERROR(INDEX(MATRIZ_174!$U:$U,MATCH(A68,MATRIZ_174!$A:$A,0))*100,"")</f>
        <v>100</v>
      </c>
      <c r="L68">
        <f>IFERROR(MATRIZ_174!O68,0)</f>
        <v>0</v>
      </c>
      <c r="N68" t="str">
        <f>IFERROR(ISCAM_Score!AC69,"")</f>
        <v>⬜  Pendiente de instrumento</v>
      </c>
      <c r="O68" t="s">
        <v>116</v>
      </c>
      <c r="P68" t="str">
        <f>IFERROR(INDEX(MATRIZ_174!$C:$C,MATCH(A68,MATRIZ_174!$A:$A,0)),"")</f>
        <v>AMAZONAS</v>
      </c>
    </row>
    <row r="69" spans="1:16" ht="16.05" customHeight="1" x14ac:dyDescent="0.3">
      <c r="A69" t="s">
        <v>222</v>
      </c>
      <c r="B69" t="s">
        <v>223</v>
      </c>
      <c r="C69" s="36" t="str">
        <f>IFERROR(ISCAM_Score!AL70,"—")</f>
        <v>—</v>
      </c>
      <c r="D69" t="str">
        <f t="shared" si="4"/>
        <v>— Sin Inst.2</v>
      </c>
      <c r="E69" t="str">
        <f t="shared" si="5"/>
        <v/>
      </c>
      <c r="F69">
        <f>IFERROR(MATRIZ_174!L69,0)</f>
        <v>0</v>
      </c>
      <c r="G69">
        <f>IFERROR(MATRIZ_174!M69,0)</f>
        <v>0</v>
      </c>
      <c r="H69" t="str">
        <f>IF(NORMALIZADO!CC69="","",NORMALIZADO!CC69)</f>
        <v/>
      </c>
      <c r="I69" t="str">
        <f>IF(NORMALIZADO!CF69="","",NORMALIZADO!CF69)</f>
        <v/>
      </c>
      <c r="J69" t="str">
        <f>IF(NORMALIZADO!CG69="","",NORMALIZADO!CG69)</f>
        <v/>
      </c>
      <c r="K69">
        <f>IFERROR(INDEX(MATRIZ_174!$U:$U,MATCH(A69,MATRIZ_174!$A:$A,0))*100,"")</f>
        <v>100</v>
      </c>
      <c r="L69">
        <f>IFERROR(MATRIZ_174!O69,0)</f>
        <v>0</v>
      </c>
      <c r="N69" t="str">
        <f>IFERROR(ISCAM_Score!AC70,"")</f>
        <v>⬜  Pendiente de instrumento</v>
      </c>
      <c r="O69" t="s">
        <v>183</v>
      </c>
      <c r="P69" t="str">
        <f>IFERROR(INDEX(MATRIZ_174!$C:$C,MATCH(A69,MATRIZ_174!$A:$A,0)),"")</f>
        <v>LAMBAYEQUE</v>
      </c>
    </row>
    <row r="70" spans="1:16" ht="16.05" customHeight="1" x14ac:dyDescent="0.3">
      <c r="A70" t="s">
        <v>224</v>
      </c>
      <c r="B70" t="s">
        <v>225</v>
      </c>
      <c r="C70" s="36" t="str">
        <f>IFERROR(ISCAM_Score!AL71,"—")</f>
        <v>—</v>
      </c>
      <c r="D70" t="str">
        <f t="shared" si="4"/>
        <v>— Sin Inst.2</v>
      </c>
      <c r="E70" t="str">
        <f t="shared" si="5"/>
        <v/>
      </c>
      <c r="F70">
        <f>IFERROR(MATRIZ_174!L70,0)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0</v>
      </c>
      <c r="N70" t="str">
        <f>IFERROR(ISCAM_Score!AC71,"")</f>
        <v>⬜  Pendiente de instrumento</v>
      </c>
      <c r="O70" t="s">
        <v>143</v>
      </c>
      <c r="P70" t="str">
        <f>IFERROR(INDEX(MATRIZ_174!$C:$C,MATCH(A70,MATRIZ_174!$A:$A,0)),"")</f>
        <v>SAN MARTIN</v>
      </c>
    </row>
    <row r="71" spans="1:16" ht="16.05" customHeight="1" x14ac:dyDescent="0.3">
      <c r="A71" t="s">
        <v>228</v>
      </c>
      <c r="B71" t="s">
        <v>229</v>
      </c>
      <c r="C71" s="36" t="str">
        <f>IFERROR(ISCAM_Score!AL72,"—")</f>
        <v>—</v>
      </c>
      <c r="D71" t="str">
        <f t="shared" si="4"/>
        <v>— Sin Inst.2</v>
      </c>
      <c r="E71" t="str">
        <f t="shared" si="5"/>
        <v/>
      </c>
      <c r="F71">
        <f>IFERROR(MATRIZ_174!L71,0)</f>
        <v>0</v>
      </c>
      <c r="G71">
        <f>IFERROR(MATRIZ_174!M71,0)</f>
        <v>0</v>
      </c>
      <c r="H71" t="str">
        <f>IF(NORMALIZADO!CC71="","",NORMALIZADO!CC71)</f>
        <v/>
      </c>
      <c r="I71" t="str">
        <f>IF(NORMALIZADO!CF71="","",NORMALIZADO!CF71)</f>
        <v/>
      </c>
      <c r="J71" t="str">
        <f>IF(NORMALIZADO!CG71="","",NORMALIZADO!CG71)</f>
        <v/>
      </c>
      <c r="K71">
        <f>IFERROR(INDEX(MATRIZ_174!$U:$U,MATCH(A71,MATRIZ_174!$A:$A,0))*100,"")</f>
        <v>100</v>
      </c>
      <c r="L71">
        <f>IFERROR(MATRIZ_174!O71,0)</f>
        <v>0</v>
      </c>
      <c r="N71" t="str">
        <f>IFERROR(ISCAM_Score!AC72,"")</f>
        <v>⬜  Pendiente de instrumento</v>
      </c>
      <c r="O71" t="s">
        <v>143</v>
      </c>
      <c r="P71" t="str">
        <f>IFERROR(INDEX(MATRIZ_174!$C:$C,MATCH(A71,MATRIZ_174!$A:$A,0)),"")</f>
        <v>SAN MARTIN</v>
      </c>
    </row>
    <row r="72" spans="1:16" ht="16.05" customHeight="1" x14ac:dyDescent="0.3">
      <c r="A72" t="s">
        <v>230</v>
      </c>
      <c r="B72" t="s">
        <v>231</v>
      </c>
      <c r="C72" s="36" t="str">
        <f>IFERROR(ISCAM_Score!AL73,"—")</f>
        <v>—</v>
      </c>
      <c r="D72" t="str">
        <f t="shared" si="4"/>
        <v>— Sin Inst.2</v>
      </c>
      <c r="E72" t="str">
        <f t="shared" si="5"/>
        <v/>
      </c>
      <c r="F72">
        <f>IFERROR(MATRIZ_174!L72,0)</f>
        <v>1413037.5</v>
      </c>
      <c r="G72">
        <f>IFERROR(MATRIZ_174!M72,0)</f>
        <v>50</v>
      </c>
      <c r="H72" t="str">
        <f>IF(NORMALIZADO!CC72="","",NORMALIZADO!CC72)</f>
        <v/>
      </c>
      <c r="I72" t="str">
        <f>IF(NORMALIZADO!CF72="","",NORMALIZADO!CF72)</f>
        <v/>
      </c>
      <c r="J72" t="str">
        <f>IF(NORMALIZADO!CG72="","",NORMALIZADO!CG72)</f>
        <v/>
      </c>
      <c r="K72">
        <f>IFERROR(INDEX(MATRIZ_174!$U:$U,MATCH(A72,MATRIZ_174!$A:$A,0))*100,"")</f>
        <v>100</v>
      </c>
      <c r="L72">
        <f>IFERROR(MATRIZ_174!O72,0)</f>
        <v>0</v>
      </c>
      <c r="N72" t="str">
        <f>IFERROR(ISCAM_Score!AC73,"")</f>
        <v>⬜  Pendiente de instrumento</v>
      </c>
      <c r="O72" t="s">
        <v>143</v>
      </c>
      <c r="P72" t="str">
        <f>IFERROR(INDEX(MATRIZ_174!$C:$C,MATCH(A72,MATRIZ_174!$A:$A,0)),"")</f>
        <v>SAN MARTIN</v>
      </c>
    </row>
    <row r="73" spans="1:16" ht="16.05" customHeight="1" x14ac:dyDescent="0.3">
      <c r="A73" t="s">
        <v>232</v>
      </c>
      <c r="B73" t="s">
        <v>233</v>
      </c>
      <c r="C73" s="36" t="str">
        <f>IFERROR(ISCAM_Score!AL74,"—")</f>
        <v>—</v>
      </c>
      <c r="D73" t="str">
        <f t="shared" si="4"/>
        <v>— Sin Inst.2</v>
      </c>
      <c r="E73" t="str">
        <f t="shared" si="5"/>
        <v/>
      </c>
      <c r="F73">
        <f>IFERROR(MATRIZ_174!L73,0)</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0</v>
      </c>
      <c r="N73" t="str">
        <f>IFERROR(ISCAM_Score!AC74,"")</f>
        <v>⬜  Pendiente de instrumento</v>
      </c>
      <c r="O73" t="s">
        <v>143</v>
      </c>
      <c r="P73" t="str">
        <f>IFERROR(INDEX(MATRIZ_174!$C:$C,MATCH(A73,MATRIZ_174!$A:$A,0)),"")</f>
        <v>SAN MARTIN</v>
      </c>
    </row>
    <row r="74" spans="1:16" ht="16.05" customHeight="1" x14ac:dyDescent="0.3">
      <c r="A74" t="s">
        <v>236</v>
      </c>
      <c r="B74" t="s">
        <v>237</v>
      </c>
      <c r="C74" s="36" t="str">
        <f>IFERROR(ISCAM_Score!AL75,"—")</f>
        <v>—</v>
      </c>
      <c r="D74" t="str">
        <f t="shared" si="4"/>
        <v>— Sin Inst.2</v>
      </c>
      <c r="E74" t="str">
        <f t="shared" si="5"/>
        <v/>
      </c>
      <c r="F74">
        <f>IFERROR(MATRIZ_174!L74,0)</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f>IFERROR(MATRIZ_174!O74,0)</f>
        <v>0</v>
      </c>
      <c r="N74" t="str">
        <f>IFERROR(ISCAM_Score!AC75,"")</f>
        <v>⬜  Pendiente de instrumento</v>
      </c>
      <c r="O74" t="s">
        <v>143</v>
      </c>
      <c r="P74" t="str">
        <f>IFERROR(INDEX(MATRIZ_174!$C:$C,MATCH(A74,MATRIZ_174!$A:$A,0)),"")</f>
        <v>SAN MARTIN</v>
      </c>
    </row>
    <row r="75" spans="1:16" ht="16.05" customHeight="1" x14ac:dyDescent="0.3">
      <c r="A75" t="s">
        <v>238</v>
      </c>
      <c r="B75" t="s">
        <v>239</v>
      </c>
      <c r="C75" s="36" t="str">
        <f>IFERROR(ISCAM_Score!AL76,"—")</f>
        <v>—</v>
      </c>
      <c r="D75" t="str">
        <f t="shared" si="4"/>
        <v>— Sin Inst.2</v>
      </c>
      <c r="E75" t="str">
        <f t="shared" si="5"/>
        <v/>
      </c>
      <c r="F75">
        <f>IFERROR(MATRIZ_174!L75,0)</f>
        <v>0</v>
      </c>
      <c r="G75">
        <f>IFERROR(MATRIZ_174!M75,0)</f>
        <v>0</v>
      </c>
      <c r="H75" t="str">
        <f>IF(NORMALIZADO!CC75="","",NORMALIZADO!CC75)</f>
        <v/>
      </c>
      <c r="I75" t="str">
        <f>IF(NORMALIZADO!CF75="","",NORMALIZADO!CF75)</f>
        <v/>
      </c>
      <c r="J75" t="str">
        <f>IF(NORMALIZADO!CG75="","",NORMALIZADO!CG75)</f>
        <v/>
      </c>
      <c r="K75">
        <f>IFERROR(INDEX(MATRIZ_174!$U:$U,MATCH(A75,MATRIZ_174!$A:$A,0))*100,"")</f>
        <v>100</v>
      </c>
      <c r="L75">
        <f>IFERROR(MATRIZ_174!O75,0)</f>
        <v>0</v>
      </c>
      <c r="N75" t="str">
        <f>IFERROR(ISCAM_Score!AC76,"")</f>
        <v>⬜  Pendiente de instrumento</v>
      </c>
      <c r="O75" t="s">
        <v>196</v>
      </c>
      <c r="P75" t="str">
        <f>IFERROR(INDEX(MATRIZ_174!$C:$C,MATCH(A75,MATRIZ_174!$A:$A,0)),"")</f>
        <v>LORETO</v>
      </c>
    </row>
    <row r="76" spans="1:16" ht="16.05" customHeight="1" x14ac:dyDescent="0.3">
      <c r="A76" t="s">
        <v>240</v>
      </c>
      <c r="B76" t="s">
        <v>241</v>
      </c>
      <c r="C76" s="36" t="str">
        <f>IFERROR(ISCAM_Score!AL77,"—")</f>
        <v>—</v>
      </c>
      <c r="D76" t="str">
        <f t="shared" si="4"/>
        <v>— Sin Inst.2</v>
      </c>
      <c r="E76" t="str">
        <f t="shared" si="5"/>
        <v/>
      </c>
      <c r="F76">
        <f>IFERROR(MATRIZ_174!L76,0)</f>
        <v>0</v>
      </c>
      <c r="G76">
        <f>IFERROR(MATRIZ_174!M76,0)</f>
        <v>0</v>
      </c>
      <c r="H76" t="str">
        <f>IF(NORMALIZADO!CC76="","",NORMALIZADO!CC76)</f>
        <v/>
      </c>
      <c r="I76" t="str">
        <f>IF(NORMALIZADO!CF76="","",NORMALIZADO!CF76)</f>
        <v/>
      </c>
      <c r="J76" t="str">
        <f>IF(NORMALIZADO!CG76="","",NORMALIZADO!CG76)</f>
        <v/>
      </c>
      <c r="K76">
        <f>IFERROR(INDEX(MATRIZ_174!$U:$U,MATCH(A76,MATRIZ_174!$A:$A,0))*100,"")</f>
        <v>100</v>
      </c>
      <c r="L76">
        <f>IFERROR(MATRIZ_174!O76,0)</f>
        <v>0</v>
      </c>
      <c r="N76" t="str">
        <f>IFERROR(ISCAM_Score!AC77,"")</f>
        <v>⬜  Pendiente de instrumento</v>
      </c>
      <c r="O76" t="s">
        <v>196</v>
      </c>
      <c r="P76" t="str">
        <f>IFERROR(INDEX(MATRIZ_174!$C:$C,MATCH(A76,MATRIZ_174!$A:$A,0)),"")</f>
        <v>LORETO</v>
      </c>
    </row>
    <row r="77" spans="1:16" ht="16.05" customHeight="1" x14ac:dyDescent="0.3">
      <c r="A77" t="s">
        <v>242</v>
      </c>
      <c r="B77" t="s">
        <v>243</v>
      </c>
      <c r="C77" s="36" t="str">
        <f>IFERROR(ISCAM_Score!AL78,"—")</f>
        <v>—</v>
      </c>
      <c r="D77" t="str">
        <f t="shared" si="4"/>
        <v>— Sin Inst.2</v>
      </c>
      <c r="E77" t="str">
        <f t="shared" si="5"/>
        <v/>
      </c>
      <c r="F77">
        <f>IFERROR(MATRIZ_174!L77,0)</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f>IFERROR(MATRIZ_174!O77,0)</f>
        <v>0</v>
      </c>
      <c r="N77" t="str">
        <f>IFERROR(ISCAM_Score!AC78,"")</f>
        <v>⬜  Pendiente de instrumento</v>
      </c>
      <c r="O77" t="s">
        <v>154</v>
      </c>
      <c r="P77" t="str">
        <f>IFERROR(INDEX(MATRIZ_174!$C:$C,MATCH(A77,MATRIZ_174!$A:$A,0)),"")</f>
        <v>CAJAMARCA</v>
      </c>
    </row>
    <row r="78" spans="1:16" ht="16.05" customHeight="1" x14ac:dyDescent="0.3">
      <c r="A78" t="s">
        <v>244</v>
      </c>
      <c r="B78" t="s">
        <v>245</v>
      </c>
      <c r="C78" s="36" t="str">
        <f>IFERROR(ISCAM_Score!AL79,"—")</f>
        <v>—</v>
      </c>
      <c r="D78" t="str">
        <f t="shared" si="4"/>
        <v>— Sin Inst.2</v>
      </c>
      <c r="E78" t="str">
        <f t="shared" si="5"/>
        <v/>
      </c>
      <c r="F78">
        <f>IFERROR(MATRIZ_174!L78,0)</f>
        <v>0</v>
      </c>
      <c r="G78">
        <f>IFERROR(MATRIZ_174!M78,0)</f>
        <v>0</v>
      </c>
      <c r="H78" t="str">
        <f>IF(NORMALIZADO!CC78="","",NORMALIZADO!CC78)</f>
        <v/>
      </c>
      <c r="I78" t="str">
        <f>IF(NORMALIZADO!CF78="","",NORMALIZADO!CF78)</f>
        <v/>
      </c>
      <c r="J78" t="str">
        <f>IF(NORMALIZADO!CG78="","",NORMALIZADO!CG78)</f>
        <v/>
      </c>
      <c r="K78">
        <f>IFERROR(INDEX(MATRIZ_174!$U:$U,MATCH(A78,MATRIZ_174!$A:$A,0))*100,"")</f>
        <v>100</v>
      </c>
      <c r="L78">
        <f>IFERROR(MATRIZ_174!O78,0)</f>
        <v>0</v>
      </c>
      <c r="N78" t="str">
        <f>IFERROR(ISCAM_Score!AC79,"")</f>
        <v>⬜  Pendiente de instrumento</v>
      </c>
      <c r="O78" t="s">
        <v>123</v>
      </c>
      <c r="P78" t="str">
        <f>IFERROR(INDEX(MATRIZ_174!$C:$C,MATCH(A78,MATRIZ_174!$A:$A,0)),"")</f>
        <v>HUANUCO</v>
      </c>
    </row>
    <row r="79" spans="1:16" ht="16.05" customHeight="1" x14ac:dyDescent="0.3">
      <c r="A79" t="s">
        <v>246</v>
      </c>
      <c r="B79" t="s">
        <v>247</v>
      </c>
      <c r="C79" s="36" t="str">
        <f>IFERROR(ISCAM_Score!AL80,"—")</f>
        <v>—</v>
      </c>
      <c r="D79" t="str">
        <f t="shared" si="4"/>
        <v>— Sin Inst.2</v>
      </c>
      <c r="E79" t="str">
        <f t="shared" si="5"/>
        <v/>
      </c>
      <c r="F79">
        <f>IFERROR(MATRIZ_174!L79,0)</f>
        <v>0</v>
      </c>
      <c r="G79">
        <f>IFERROR(MATRIZ_174!M79,0)</f>
        <v>0</v>
      </c>
      <c r="H79" t="str">
        <f>IF(NORMALIZADO!CC79="","",NORMALIZADO!CC79)</f>
        <v/>
      </c>
      <c r="I79" t="str">
        <f>IF(NORMALIZADO!CF79="","",NORMALIZADO!CF79)</f>
        <v/>
      </c>
      <c r="J79" t="str">
        <f>IF(NORMALIZADO!CG79="","",NORMALIZADO!CG79)</f>
        <v/>
      </c>
      <c r="K79">
        <f>IFERROR(INDEX(MATRIZ_174!$U:$U,MATCH(A79,MATRIZ_174!$A:$A,0))*100,"")</f>
        <v>100</v>
      </c>
      <c r="L79">
        <f>IFERROR(MATRIZ_174!O79,0)</f>
        <v>0</v>
      </c>
      <c r="N79" t="str">
        <f>IFERROR(ISCAM_Score!AC80,"")</f>
        <v>⬜  Pendiente de instrumento</v>
      </c>
      <c r="O79" t="s">
        <v>248</v>
      </c>
      <c r="P79" t="str">
        <f>IFERROR(INDEX(MATRIZ_174!$C:$C,MATCH(A79,MATRIZ_174!$A:$A,0)),"")</f>
        <v>MADRE DE DIOS</v>
      </c>
    </row>
    <row r="80" spans="1:16" ht="16.05" customHeight="1" x14ac:dyDescent="0.3">
      <c r="A80" t="s">
        <v>249</v>
      </c>
      <c r="B80" t="s">
        <v>250</v>
      </c>
      <c r="C80" s="36" t="str">
        <f>IFERROR(ISCAM_Score!AL81,"—")</f>
        <v>—</v>
      </c>
      <c r="D80" t="str">
        <f t="shared" si="4"/>
        <v>— Sin Inst.2</v>
      </c>
      <c r="E80" t="str">
        <f t="shared" si="5"/>
        <v/>
      </c>
      <c r="F80">
        <f>IFERROR(MATRIZ_174!L80,0)</f>
        <v>0</v>
      </c>
      <c r="G80">
        <f>IFERROR(MATRIZ_174!M80,0)</f>
        <v>0</v>
      </c>
      <c r="H80" t="str">
        <f>IF(NORMALIZADO!CC80="","",NORMALIZADO!CC80)</f>
        <v/>
      </c>
      <c r="I80" t="str">
        <f>IF(NORMALIZADO!CF80="","",NORMALIZADO!CF80)</f>
        <v/>
      </c>
      <c r="J80" t="str">
        <f>IF(NORMALIZADO!CG80="","",NORMALIZADO!CG80)</f>
        <v/>
      </c>
      <c r="K80">
        <f>IFERROR(INDEX(MATRIZ_174!$U:$U,MATCH(A80,MATRIZ_174!$A:$A,0))*100,"")</f>
        <v>100</v>
      </c>
      <c r="L80">
        <f>IFERROR(MATRIZ_174!O80,0)</f>
        <v>0</v>
      </c>
      <c r="N80" t="str">
        <f>IFERROR(ISCAM_Score!AC81,"")</f>
        <v>⬜  Pendiente de instrumento</v>
      </c>
      <c r="O80" t="s">
        <v>116</v>
      </c>
      <c r="P80" t="str">
        <f>IFERROR(INDEX(MATRIZ_174!$C:$C,MATCH(A80,MATRIZ_174!$A:$A,0)),"")</f>
        <v>AMAZONAS</v>
      </c>
    </row>
    <row r="81" spans="1:16" ht="16.05" customHeight="1" x14ac:dyDescent="0.3">
      <c r="A81" t="s">
        <v>253</v>
      </c>
      <c r="B81" t="s">
        <v>254</v>
      </c>
      <c r="C81" s="36" t="str">
        <f>IFERROR(ISCAM_Score!AL82,"—")</f>
        <v>—</v>
      </c>
      <c r="D81" t="str">
        <f t="shared" si="4"/>
        <v>— Sin Inst.2</v>
      </c>
      <c r="E81" t="str">
        <f t="shared" si="5"/>
        <v/>
      </c>
      <c r="F81">
        <f>IFERROR(MATRIZ_174!L81,0)</f>
        <v>0</v>
      </c>
      <c r="G81">
        <f>IFERROR(MATRIZ_174!M81,0)</f>
        <v>0</v>
      </c>
      <c r="H81" t="str">
        <f>IF(NORMALIZADO!CC81="","",NORMALIZADO!CC81)</f>
        <v/>
      </c>
      <c r="I81" t="str">
        <f>IF(NORMALIZADO!CF81="","",NORMALIZADO!CF81)</f>
        <v/>
      </c>
      <c r="J81" t="str">
        <f>IF(NORMALIZADO!CG81="","",NORMALIZADO!CG81)</f>
        <v/>
      </c>
      <c r="K81">
        <f>IFERROR(INDEX(MATRIZ_174!$U:$U,MATCH(A81,MATRIZ_174!$A:$A,0))*100,"")</f>
        <v>100</v>
      </c>
      <c r="L81">
        <f>IFERROR(MATRIZ_174!O81,0)</f>
        <v>0</v>
      </c>
      <c r="N81" t="str">
        <f>IFERROR(ISCAM_Score!AC82,"")</f>
        <v>⬜  Pendiente de instrumento</v>
      </c>
      <c r="O81" t="s">
        <v>80</v>
      </c>
      <c r="P81" t="str">
        <f>IFERROR(INDEX(MATRIZ_174!$C:$C,MATCH(A81,MATRIZ_174!$A:$A,0)),"")</f>
        <v>CUSCO</v>
      </c>
    </row>
    <row r="82" spans="1:16" ht="16.05" customHeight="1" x14ac:dyDescent="0.3">
      <c r="A82" t="s">
        <v>255</v>
      </c>
      <c r="B82" t="s">
        <v>256</v>
      </c>
      <c r="C82" s="36" t="str">
        <f>IFERROR(ISCAM_Score!AL83,"—")</f>
        <v>—</v>
      </c>
      <c r="D82" t="str">
        <f t="shared" si="4"/>
        <v>— Sin Inst.2</v>
      </c>
      <c r="E82" t="str">
        <f t="shared" si="5"/>
        <v/>
      </c>
      <c r="F82">
        <f>IFERROR(MATRIZ_174!L82,0)</f>
        <v>717861.85</v>
      </c>
      <c r="G82">
        <f>IFERROR(MATRIZ_174!M82,0)</f>
        <v>50</v>
      </c>
      <c r="H82" t="str">
        <f>IF(NORMALIZADO!CC82="","",NORMALIZADO!CC82)</f>
        <v/>
      </c>
      <c r="I82" t="str">
        <f>IF(NORMALIZADO!CF82="","",NORMALIZADO!CF82)</f>
        <v/>
      </c>
      <c r="J82" t="str">
        <f>IF(NORMALIZADO!CG82="","",NORMALIZADO!CG82)</f>
        <v/>
      </c>
      <c r="K82">
        <f>IFERROR(INDEX(MATRIZ_174!$U:$U,MATCH(A82,MATRIZ_174!$A:$A,0))*100,"")</f>
        <v>100</v>
      </c>
      <c r="L82">
        <f>IFERROR(MATRIZ_174!O82,0)</f>
        <v>0</v>
      </c>
      <c r="N82" t="str">
        <f>IFERROR(ISCAM_Score!AC83,"")</f>
        <v>⬜  Pendiente de instrumento</v>
      </c>
      <c r="O82" t="s">
        <v>257</v>
      </c>
      <c r="P82" t="str">
        <f>IFERROR(INDEX(MATRIZ_174!$C:$C,MATCH(A82,MATRIZ_174!$A:$A,0)),"")</f>
        <v>PASCO</v>
      </c>
    </row>
    <row r="83" spans="1:16" ht="16.05" customHeight="1" x14ac:dyDescent="0.3">
      <c r="A83" t="s">
        <v>258</v>
      </c>
      <c r="B83" t="s">
        <v>259</v>
      </c>
      <c r="C83" s="36" t="str">
        <f>IFERROR(ISCAM_Score!AL84,"—")</f>
        <v>—</v>
      </c>
      <c r="D83" t="str">
        <f t="shared" si="4"/>
        <v>— Sin Inst.2</v>
      </c>
      <c r="E83" t="str">
        <f t="shared" si="5"/>
        <v/>
      </c>
      <c r="F83">
        <f>IFERROR(MATRIZ_174!L83,0)</f>
        <v>0</v>
      </c>
      <c r="G83">
        <f>IFERROR(MATRIZ_174!M83,0)</f>
        <v>0</v>
      </c>
      <c r="H83" t="str">
        <f>IF(NORMALIZADO!CC83="","",NORMALIZADO!CC83)</f>
        <v/>
      </c>
      <c r="I83" t="str">
        <f>IF(NORMALIZADO!CF83="","",NORMALIZADO!CF83)</f>
        <v/>
      </c>
      <c r="J83" t="str">
        <f>IF(NORMALIZADO!CG83="","",NORMALIZADO!CG83)</f>
        <v/>
      </c>
      <c r="K83">
        <f>IFERROR(INDEX(MATRIZ_174!$U:$U,MATCH(A83,MATRIZ_174!$A:$A,0))*100,"")</f>
        <v>100</v>
      </c>
      <c r="L83">
        <f>IFERROR(MATRIZ_174!O83,0)</f>
        <v>0</v>
      </c>
      <c r="N83" t="str">
        <f>IFERROR(ISCAM_Score!AC84,"")</f>
        <v>⬜  Pendiente de instrumento</v>
      </c>
      <c r="O83" t="s">
        <v>257</v>
      </c>
      <c r="P83" t="str">
        <f>IFERROR(INDEX(MATRIZ_174!$C:$C,MATCH(A83,MATRIZ_174!$A:$A,0)),"")</f>
        <v>PASCO</v>
      </c>
    </row>
    <row r="84" spans="1:16" ht="16.05" customHeight="1" x14ac:dyDescent="0.3">
      <c r="A84" t="s">
        <v>260</v>
      </c>
      <c r="B84" t="s">
        <v>261</v>
      </c>
      <c r="C84" s="36" t="str">
        <f>IFERROR(ISCAM_Score!AL85,"—")</f>
        <v>—</v>
      </c>
      <c r="D84" t="str">
        <f t="shared" si="4"/>
        <v>— Sin Inst.2</v>
      </c>
      <c r="E84" t="str">
        <f t="shared" si="5"/>
        <v/>
      </c>
      <c r="F84">
        <f>IFERROR(MATRIZ_174!L84,0)</f>
        <v>0</v>
      </c>
      <c r="G84">
        <f>IFERROR(MATRIZ_174!M84,0)</f>
        <v>0</v>
      </c>
      <c r="H84" t="str">
        <f>IF(NORMALIZADO!CC84="","",NORMALIZADO!CC84)</f>
        <v/>
      </c>
      <c r="I84" t="str">
        <f>IF(NORMALIZADO!CF84="","",NORMALIZADO!CF84)</f>
        <v/>
      </c>
      <c r="J84" t="str">
        <f>IF(NORMALIZADO!CG84="","",NORMALIZADO!CG84)</f>
        <v/>
      </c>
      <c r="K84">
        <f>IFERROR(INDEX(MATRIZ_174!$U:$U,MATCH(A84,MATRIZ_174!$A:$A,0))*100,"")</f>
        <v>100</v>
      </c>
      <c r="L84">
        <f>IFERROR(MATRIZ_174!O84,0)</f>
        <v>0</v>
      </c>
      <c r="N84" t="str">
        <f>IFERROR(ISCAM_Score!AC85,"")</f>
        <v>⬜  Pendiente de instrumento</v>
      </c>
      <c r="O84" t="s">
        <v>77</v>
      </c>
      <c r="P84" t="str">
        <f>IFERROR(INDEX(MATRIZ_174!$C:$C,MATCH(A84,MATRIZ_174!$A:$A,0)),"")</f>
        <v>JUNIN</v>
      </c>
    </row>
    <row r="85" spans="1:16" ht="16.05" customHeight="1" x14ac:dyDescent="0.3">
      <c r="A85" t="s">
        <v>262</v>
      </c>
      <c r="B85" t="s">
        <v>263</v>
      </c>
      <c r="C85" s="36" t="str">
        <f>IFERROR(ISCAM_Score!AL86,"—")</f>
        <v>—</v>
      </c>
      <c r="D85" t="str">
        <f t="shared" si="4"/>
        <v>— Sin Inst.2</v>
      </c>
      <c r="E85" t="str">
        <f t="shared" si="5"/>
        <v/>
      </c>
      <c r="F85">
        <f>IFERROR(MATRIZ_174!L85,0)</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f>IFERROR(MATRIZ_174!O85,0)</f>
        <v>0</v>
      </c>
      <c r="N85" t="str">
        <f>IFERROR(ISCAM_Score!AC86,"")</f>
        <v>⬜  Pendiente de instrumento</v>
      </c>
      <c r="O85" t="s">
        <v>77</v>
      </c>
      <c r="P85" t="str">
        <f>IFERROR(INDEX(MATRIZ_174!$C:$C,MATCH(A85,MATRIZ_174!$A:$A,0)),"")</f>
        <v>JUNIN</v>
      </c>
    </row>
    <row r="86" spans="1:16" ht="16.05" customHeight="1" x14ac:dyDescent="0.3">
      <c r="A86" t="s">
        <v>264</v>
      </c>
      <c r="B86" t="s">
        <v>265</v>
      </c>
      <c r="C86" s="36" t="str">
        <f>IFERROR(ISCAM_Score!AL87,"—")</f>
        <v>—</v>
      </c>
      <c r="D86" t="str">
        <f t="shared" si="4"/>
        <v>— Sin Inst.2</v>
      </c>
      <c r="E86" t="str">
        <f t="shared" si="5"/>
        <v/>
      </c>
      <c r="F86">
        <f>IFERROR(MATRIZ_174!L86,0)</f>
        <v>0</v>
      </c>
      <c r="G86">
        <f>IFERROR(MATRIZ_174!M86,0)</f>
        <v>0</v>
      </c>
      <c r="H86" t="str">
        <f>IF(NORMALIZADO!CC86="","",NORMALIZADO!CC86)</f>
        <v/>
      </c>
      <c r="I86" t="str">
        <f>IF(NORMALIZADO!CF86="","",NORMALIZADO!CF86)</f>
        <v/>
      </c>
      <c r="J86" t="str">
        <f>IF(NORMALIZADO!CG86="","",NORMALIZADO!CG86)</f>
        <v/>
      </c>
      <c r="K86">
        <f>IFERROR(INDEX(MATRIZ_174!$U:$U,MATCH(A86,MATRIZ_174!$A:$A,0))*100,"")</f>
        <v>100</v>
      </c>
      <c r="L86">
        <f>IFERROR(MATRIZ_174!O86,0)</f>
        <v>0</v>
      </c>
      <c r="N86" t="str">
        <f>IFERROR(ISCAM_Score!AC87,"")</f>
        <v>⬜  Pendiente de instrumento</v>
      </c>
      <c r="O86" t="s">
        <v>257</v>
      </c>
      <c r="P86" t="str">
        <f>IFERROR(INDEX(MATRIZ_174!$C:$C,MATCH(A86,MATRIZ_174!$A:$A,0)),"")</f>
        <v>PASCO</v>
      </c>
    </row>
    <row r="87" spans="1:16" ht="16.05" customHeight="1" x14ac:dyDescent="0.3">
      <c r="A87" t="s">
        <v>266</v>
      </c>
      <c r="B87" t="s">
        <v>267</v>
      </c>
      <c r="C87" s="36" t="str">
        <f>IFERROR(ISCAM_Score!AL88,"—")</f>
        <v>—</v>
      </c>
      <c r="D87" t="str">
        <f t="shared" si="4"/>
        <v>— Sin Inst.2</v>
      </c>
      <c r="E87" t="str">
        <f t="shared" si="5"/>
        <v/>
      </c>
      <c r="F87">
        <f>IFERROR(MATRIZ_174!L87,0)</f>
        <v>0</v>
      </c>
      <c r="G87">
        <f>IFERROR(MATRIZ_174!M87,0)</f>
        <v>0</v>
      </c>
      <c r="H87" t="str">
        <f>IF(NORMALIZADO!CC87="","",NORMALIZADO!CC87)</f>
        <v/>
      </c>
      <c r="I87" t="str">
        <f>IF(NORMALIZADO!CF87="","",NORMALIZADO!CF87)</f>
        <v/>
      </c>
      <c r="J87" t="str">
        <f>IF(NORMALIZADO!CG87="","",NORMALIZADO!CG87)</f>
        <v/>
      </c>
      <c r="K87">
        <f>IFERROR(INDEX(MATRIZ_174!$U:$U,MATCH(A87,MATRIZ_174!$A:$A,0))*100,"")</f>
        <v>100</v>
      </c>
      <c r="L87">
        <f>IFERROR(MATRIZ_174!O87,0)</f>
        <v>0</v>
      </c>
      <c r="N87" t="str">
        <f>IFERROR(ISCAM_Score!AC88,"")</f>
        <v>⬜  Pendiente de instrumento</v>
      </c>
      <c r="O87" t="s">
        <v>257</v>
      </c>
      <c r="P87" t="str">
        <f>IFERROR(INDEX(MATRIZ_174!$C:$C,MATCH(A87,MATRIZ_174!$A:$A,0)),"")</f>
        <v>PASCO</v>
      </c>
    </row>
    <row r="88" spans="1:16" ht="16.05" customHeight="1" x14ac:dyDescent="0.3">
      <c r="A88" t="s">
        <v>268</v>
      </c>
      <c r="B88" t="s">
        <v>269</v>
      </c>
      <c r="C88" s="36" t="str">
        <f>IFERROR(ISCAM_Score!AL89,"—")</f>
        <v>—</v>
      </c>
      <c r="D88" t="str">
        <f t="shared" si="4"/>
        <v>— Sin Inst.2</v>
      </c>
      <c r="E88" t="str">
        <f t="shared" si="5"/>
        <v/>
      </c>
      <c r="F88">
        <f>IFERROR(MATRIZ_174!L88,0)</f>
        <v>0</v>
      </c>
      <c r="G88">
        <f>IFERROR(MATRIZ_174!M88,0)</f>
        <v>0</v>
      </c>
      <c r="H88" t="str">
        <f>IF(NORMALIZADO!CC88="","",NORMALIZADO!CC88)</f>
        <v/>
      </c>
      <c r="I88" t="str">
        <f>IF(NORMALIZADO!CF88="","",NORMALIZADO!CF88)</f>
        <v/>
      </c>
      <c r="J88" t="str">
        <f>IF(NORMALIZADO!CG88="","",NORMALIZADO!CG88)</f>
        <v/>
      </c>
      <c r="K88">
        <f>IFERROR(INDEX(MATRIZ_174!$U:$U,MATCH(A88,MATRIZ_174!$A:$A,0))*100,"")</f>
        <v>100</v>
      </c>
      <c r="L88">
        <f>IFERROR(MATRIZ_174!O88,0)</f>
        <v>0</v>
      </c>
      <c r="N88" t="str">
        <f>IFERROR(ISCAM_Score!AC89,"")</f>
        <v>⬜  Pendiente de instrumento</v>
      </c>
      <c r="O88" t="s">
        <v>257</v>
      </c>
      <c r="P88" t="str">
        <f>IFERROR(INDEX(MATRIZ_174!$C:$C,MATCH(A88,MATRIZ_174!$A:$A,0)),"")</f>
        <v>PASCO</v>
      </c>
    </row>
    <row r="89" spans="1:16" ht="16.05" customHeight="1" x14ac:dyDescent="0.3">
      <c r="A89" t="s">
        <v>270</v>
      </c>
      <c r="B89" t="s">
        <v>271</v>
      </c>
      <c r="C89" s="36" t="str">
        <f>IFERROR(ISCAM_Score!AL90,"—")</f>
        <v>—</v>
      </c>
      <c r="D89" t="str">
        <f t="shared" si="4"/>
        <v>— Sin Inst.2</v>
      </c>
      <c r="E89" t="str">
        <f t="shared" si="5"/>
        <v/>
      </c>
      <c r="F89">
        <f>IFERROR(MATRIZ_174!L89,0)</f>
        <v>0</v>
      </c>
      <c r="G89">
        <f>IFERROR(MATRIZ_174!M89,0)</f>
        <v>0</v>
      </c>
      <c r="H89" t="str">
        <f>IF(NORMALIZADO!CC89="","",NORMALIZADO!CC89)</f>
        <v/>
      </c>
      <c r="I89" t="str">
        <f>IF(NORMALIZADO!CF89="","",NORMALIZADO!CF89)</f>
        <v/>
      </c>
      <c r="J89" t="str">
        <f>IF(NORMALIZADO!CG89="","",NORMALIZADO!CG89)</f>
        <v/>
      </c>
      <c r="K89">
        <f>IFERROR(INDEX(MATRIZ_174!$U:$U,MATCH(A89,MATRIZ_174!$A:$A,0))*100,"")</f>
        <v>100</v>
      </c>
      <c r="L89">
        <f>IFERROR(MATRIZ_174!O89,0)</f>
        <v>0</v>
      </c>
      <c r="N89" t="str">
        <f>IFERROR(ISCAM_Score!AC90,"")</f>
        <v>⬜  Pendiente de instrumento</v>
      </c>
      <c r="O89" t="s">
        <v>257</v>
      </c>
      <c r="P89" t="str">
        <f>IFERROR(INDEX(MATRIZ_174!$C:$C,MATCH(A89,MATRIZ_174!$A:$A,0)),"")</f>
        <v>PASCO</v>
      </c>
    </row>
    <row r="90" spans="1:16" ht="16.05" customHeight="1" x14ac:dyDescent="0.3">
      <c r="A90" t="s">
        <v>272</v>
      </c>
      <c r="B90" t="s">
        <v>273</v>
      </c>
      <c r="C90" s="36" t="str">
        <f>IFERROR(ISCAM_Score!AL91,"—")</f>
        <v>—</v>
      </c>
      <c r="D90" t="str">
        <f t="shared" si="4"/>
        <v>— Sin Inst.2</v>
      </c>
      <c r="E90" t="str">
        <f t="shared" si="5"/>
        <v/>
      </c>
      <c r="F90">
        <f>IFERROR(MATRIZ_174!L90,0)</f>
        <v>0</v>
      </c>
      <c r="G90">
        <f>IFERROR(MATRIZ_174!M90,0)</f>
        <v>0</v>
      </c>
      <c r="H90" t="str">
        <f>IF(NORMALIZADO!CC90="","",NORMALIZADO!CC90)</f>
        <v/>
      </c>
      <c r="I90" t="str">
        <f>IF(NORMALIZADO!CF90="","",NORMALIZADO!CF90)</f>
        <v/>
      </c>
      <c r="J90" t="str">
        <f>IF(NORMALIZADO!CG90="","",NORMALIZADO!CG90)</f>
        <v/>
      </c>
      <c r="K90">
        <f>IFERROR(INDEX(MATRIZ_174!$U:$U,MATCH(A90,MATRIZ_174!$A:$A,0))*100,"")</f>
        <v>100</v>
      </c>
      <c r="L90">
        <f>IFERROR(MATRIZ_174!O90,0)</f>
        <v>0</v>
      </c>
      <c r="N90" t="str">
        <f>IFERROR(ISCAM_Score!AC91,"")</f>
        <v>⬜  Pendiente de instrumento</v>
      </c>
      <c r="O90" t="s">
        <v>77</v>
      </c>
      <c r="P90" t="str">
        <f>IFERROR(INDEX(MATRIZ_174!$C:$C,MATCH(A90,MATRIZ_174!$A:$A,0)),"")</f>
        <v>JUNIN</v>
      </c>
    </row>
    <row r="91" spans="1:16" ht="16.05" customHeight="1" x14ac:dyDescent="0.3">
      <c r="A91" t="s">
        <v>274</v>
      </c>
      <c r="B91" t="s">
        <v>275</v>
      </c>
      <c r="C91" s="36" t="str">
        <f>IFERROR(ISCAM_Score!AL92,"—")</f>
        <v>—</v>
      </c>
      <c r="D91" t="str">
        <f t="shared" si="4"/>
        <v>— Sin Inst.2</v>
      </c>
      <c r="E91" t="str">
        <f t="shared" si="5"/>
        <v/>
      </c>
      <c r="F91">
        <f>IFERROR(MATRIZ_174!L91,0)</f>
        <v>0</v>
      </c>
      <c r="G91">
        <f>IFERROR(MATRIZ_174!M91,0)</f>
        <v>0</v>
      </c>
      <c r="H91" t="str">
        <f>IF(NORMALIZADO!CC91="","",NORMALIZADO!CC91)</f>
        <v/>
      </c>
      <c r="I91" t="str">
        <f>IF(NORMALIZADO!CF91="","",NORMALIZADO!CF91)</f>
        <v/>
      </c>
      <c r="J91" t="str">
        <f>IF(NORMALIZADO!CG91="","",NORMALIZADO!CG91)</f>
        <v/>
      </c>
      <c r="K91">
        <f>IFERROR(INDEX(MATRIZ_174!$U:$U,MATCH(A91,MATRIZ_174!$A:$A,0))*100,"")</f>
        <v>100</v>
      </c>
      <c r="L91">
        <f>IFERROR(MATRIZ_174!O91,0)</f>
        <v>0</v>
      </c>
      <c r="N91" t="str">
        <f>IFERROR(ISCAM_Score!AC92,"")</f>
        <v>⬜  Pendiente de instrumento</v>
      </c>
      <c r="O91" t="s">
        <v>77</v>
      </c>
      <c r="P91" t="str">
        <f>IFERROR(INDEX(MATRIZ_174!$C:$C,MATCH(A91,MATRIZ_174!$A:$A,0)),"")</f>
        <v>JUNIN</v>
      </c>
    </row>
    <row r="92" spans="1:16" ht="16.05" customHeight="1" x14ac:dyDescent="0.3">
      <c r="A92" t="s">
        <v>276</v>
      </c>
      <c r="B92" t="s">
        <v>277</v>
      </c>
      <c r="C92" s="36" t="str">
        <f>IFERROR(ISCAM_Score!AL93,"—")</f>
        <v>—</v>
      </c>
      <c r="D92" t="str">
        <f t="shared" si="4"/>
        <v>— Sin Inst.2</v>
      </c>
      <c r="E92" t="str">
        <f t="shared" si="5"/>
        <v/>
      </c>
      <c r="F92">
        <f>IFERROR(MATRIZ_174!L92,0)</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f>IFERROR(MATRIZ_174!O92,0)</f>
        <v>0</v>
      </c>
      <c r="N92" t="str">
        <f>IFERROR(ISCAM_Score!AC93,"")</f>
        <v>⬜  Pendiente de instrumento</v>
      </c>
      <c r="O92" t="s">
        <v>154</v>
      </c>
      <c r="P92" t="str">
        <f>IFERROR(INDEX(MATRIZ_174!$C:$C,MATCH(A92,MATRIZ_174!$A:$A,0)),"")</f>
        <v>CAJAMARCA</v>
      </c>
    </row>
    <row r="93" spans="1:16" ht="16.05" customHeight="1" x14ac:dyDescent="0.3">
      <c r="A93" t="s">
        <v>278</v>
      </c>
      <c r="B93" t="s">
        <v>279</v>
      </c>
      <c r="C93" s="36" t="str">
        <f>IFERROR(ISCAM_Score!AL94,"—")</f>
        <v>—</v>
      </c>
      <c r="D93" t="str">
        <f t="shared" si="4"/>
        <v>— Sin Inst.2</v>
      </c>
      <c r="E93" t="str">
        <f t="shared" si="5"/>
        <v/>
      </c>
      <c r="F93">
        <f>IFERROR(MATRIZ_174!L93,0)</f>
        <v>0</v>
      </c>
      <c r="G93">
        <f>IFERROR(MATRIZ_174!M93,0)</f>
        <v>0</v>
      </c>
      <c r="H93" t="str">
        <f>IF(NORMALIZADO!CC93="","",NORMALIZADO!CC93)</f>
        <v/>
      </c>
      <c r="I93" t="str">
        <f>IF(NORMALIZADO!CF93="","",NORMALIZADO!CF93)</f>
        <v/>
      </c>
      <c r="J93" t="str">
        <f>IF(NORMALIZADO!CG93="","",NORMALIZADO!CG93)</f>
        <v/>
      </c>
      <c r="K93">
        <f>IFERROR(INDEX(MATRIZ_174!$U:$U,MATCH(A93,MATRIZ_174!$A:$A,0))*100,"")</f>
        <v>100</v>
      </c>
      <c r="L93">
        <f>IFERROR(MATRIZ_174!O93,0)</f>
        <v>0</v>
      </c>
      <c r="N93" t="str">
        <f>IFERROR(ISCAM_Score!AC94,"")</f>
        <v>⬜  Pendiente de instrumento</v>
      </c>
      <c r="O93" t="s">
        <v>143</v>
      </c>
      <c r="P93" t="str">
        <f>IFERROR(INDEX(MATRIZ_174!$C:$C,MATCH(A93,MATRIZ_174!$A:$A,0)),"")</f>
        <v>SAN MARTIN</v>
      </c>
    </row>
    <row r="94" spans="1:16" ht="16.05" customHeight="1" x14ac:dyDescent="0.3">
      <c r="A94" t="s">
        <v>280</v>
      </c>
      <c r="B94" t="s">
        <v>281</v>
      </c>
      <c r="C94" s="36" t="str">
        <f>IFERROR(ISCAM_Score!AL95,"—")</f>
        <v>—</v>
      </c>
      <c r="D94" t="str">
        <f t="shared" si="4"/>
        <v>— Sin Inst.2</v>
      </c>
      <c r="E94" t="str">
        <f t="shared" si="5"/>
        <v/>
      </c>
      <c r="F94">
        <f>IFERROR(MATRIZ_174!L94,0)</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f>IFERROR(MATRIZ_174!O94,0)</f>
        <v>0</v>
      </c>
      <c r="N94" t="str">
        <f>IFERROR(ISCAM_Score!AC95,"")</f>
        <v>⬜  Pendiente de instrumento</v>
      </c>
      <c r="O94" t="s">
        <v>143</v>
      </c>
      <c r="P94" t="str">
        <f>IFERROR(INDEX(MATRIZ_174!$C:$C,MATCH(A94,MATRIZ_174!$A:$A,0)),"")</f>
        <v>SAN MARTIN</v>
      </c>
    </row>
    <row r="95" spans="1:16" ht="16.05" customHeight="1" x14ac:dyDescent="0.3">
      <c r="A95" t="s">
        <v>282</v>
      </c>
      <c r="B95" t="s">
        <v>283</v>
      </c>
      <c r="C95" s="36" t="str">
        <f>IFERROR(ISCAM_Score!AL96,"—")</f>
        <v>—</v>
      </c>
      <c r="D95" t="str">
        <f t="shared" si="4"/>
        <v>— Sin Inst.2</v>
      </c>
      <c r="E95" t="str">
        <f t="shared" si="5"/>
        <v/>
      </c>
      <c r="F95">
        <f>IFERROR(MATRIZ_174!L95,0)</f>
        <v>0</v>
      </c>
      <c r="G95">
        <f>IFERROR(MATRIZ_174!M95,0)</f>
        <v>0</v>
      </c>
      <c r="H95" t="str">
        <f>IF(NORMALIZADO!CC95="","",NORMALIZADO!CC95)</f>
        <v/>
      </c>
      <c r="I95" t="str">
        <f>IF(NORMALIZADO!CF95="","",NORMALIZADO!CF95)</f>
        <v/>
      </c>
      <c r="J95" t="str">
        <f>IF(NORMALIZADO!CG95="","",NORMALIZADO!CG95)</f>
        <v/>
      </c>
      <c r="K95">
        <f>IFERROR(INDEX(MATRIZ_174!$U:$U,MATCH(A95,MATRIZ_174!$A:$A,0))*100,"")</f>
        <v>100</v>
      </c>
      <c r="L95">
        <f>IFERROR(MATRIZ_174!O95,0)</f>
        <v>0</v>
      </c>
      <c r="N95" t="str">
        <f>IFERROR(ISCAM_Score!AC96,"")</f>
        <v>⬜  Pendiente de instrumento</v>
      </c>
      <c r="O95" t="s">
        <v>123</v>
      </c>
      <c r="P95" t="str">
        <f>IFERROR(INDEX(MATRIZ_174!$C:$C,MATCH(A95,MATRIZ_174!$A:$A,0)),"")</f>
        <v>HUANUCO</v>
      </c>
    </row>
    <row r="96" spans="1:16" ht="16.05" customHeight="1" x14ac:dyDescent="0.3">
      <c r="A96" t="s">
        <v>284</v>
      </c>
      <c r="B96" t="s">
        <v>285</v>
      </c>
      <c r="C96" s="36" t="str">
        <f>IFERROR(ISCAM_Score!AL97,"—")</f>
        <v>—</v>
      </c>
      <c r="D96" t="str">
        <f t="shared" si="4"/>
        <v>— Sin Inst.2</v>
      </c>
      <c r="E96" t="str">
        <f t="shared" si="5"/>
        <v/>
      </c>
      <c r="F96">
        <f>IFERROR(MATRIZ_174!L96,0)</f>
        <v>0</v>
      </c>
      <c r="G96">
        <f>IFERROR(MATRIZ_174!M96,0)</f>
        <v>0</v>
      </c>
      <c r="H96" t="str">
        <f>IF(NORMALIZADO!CC96="","",NORMALIZADO!CC96)</f>
        <v/>
      </c>
      <c r="I96" t="str">
        <f>IF(NORMALIZADO!CF96="","",NORMALIZADO!CF96)</f>
        <v/>
      </c>
      <c r="J96" t="str">
        <f>IF(NORMALIZADO!CG96="","",NORMALIZADO!CG96)</f>
        <v/>
      </c>
      <c r="K96">
        <f>IFERROR(INDEX(MATRIZ_174!$U:$U,MATCH(A96,MATRIZ_174!$A:$A,0))*100,"")</f>
        <v>100</v>
      </c>
      <c r="L96">
        <f>IFERROR(MATRIZ_174!O96,0)</f>
        <v>0</v>
      </c>
      <c r="N96" t="str">
        <f>IFERROR(ISCAM_Score!AC97,"")</f>
        <v>⬜  Pendiente de instrumento</v>
      </c>
      <c r="O96" t="s">
        <v>123</v>
      </c>
      <c r="P96" t="str">
        <f>IFERROR(INDEX(MATRIZ_174!$C:$C,MATCH(A96,MATRIZ_174!$A:$A,0)),"")</f>
        <v>HUANUCO</v>
      </c>
    </row>
    <row r="97" spans="1:16" ht="16.05" customHeight="1" x14ac:dyDescent="0.3">
      <c r="A97" t="s">
        <v>286</v>
      </c>
      <c r="B97" t="s">
        <v>287</v>
      </c>
      <c r="C97" s="36" t="str">
        <f>IFERROR(ISCAM_Score!AL98,"—")</f>
        <v>—</v>
      </c>
      <c r="D97" t="str">
        <f t="shared" si="4"/>
        <v>— Sin Inst.2</v>
      </c>
      <c r="E97" t="str">
        <f t="shared" si="5"/>
        <v/>
      </c>
      <c r="F97">
        <f>IFERROR(MATRIZ_174!L97,0)</f>
        <v>0</v>
      </c>
      <c r="G97">
        <f>IFERROR(MATRIZ_174!M97,0)</f>
        <v>0</v>
      </c>
      <c r="H97" t="str">
        <f>IF(NORMALIZADO!CC97="","",NORMALIZADO!CC97)</f>
        <v/>
      </c>
      <c r="I97" t="str">
        <f>IF(NORMALIZADO!CF97="","",NORMALIZADO!CF97)</f>
        <v/>
      </c>
      <c r="J97" t="str">
        <f>IF(NORMALIZADO!CG97="","",NORMALIZADO!CG97)</f>
        <v/>
      </c>
      <c r="K97">
        <f>IFERROR(INDEX(MATRIZ_174!$U:$U,MATCH(A97,MATRIZ_174!$A:$A,0))*100,"")</f>
        <v>100</v>
      </c>
      <c r="L97">
        <f>IFERROR(MATRIZ_174!O97,0)</f>
        <v>0</v>
      </c>
      <c r="N97" t="str">
        <f>IFERROR(ISCAM_Score!AC98,"")</f>
        <v>⬜  Pendiente de instrumento</v>
      </c>
      <c r="O97" t="s">
        <v>123</v>
      </c>
      <c r="P97" t="str">
        <f>IFERROR(INDEX(MATRIZ_174!$C:$C,MATCH(A97,MATRIZ_174!$A:$A,0)),"")</f>
        <v>HUANUCO</v>
      </c>
    </row>
    <row r="98" spans="1:16" ht="16.05" customHeight="1" x14ac:dyDescent="0.3">
      <c r="A98" t="s">
        <v>288</v>
      </c>
      <c r="B98" t="s">
        <v>289</v>
      </c>
      <c r="C98" s="36" t="str">
        <f>IFERROR(ISCAM_Score!AL99,"—")</f>
        <v>—</v>
      </c>
      <c r="D98" t="str">
        <f t="shared" si="4"/>
        <v>— Sin Inst.2</v>
      </c>
      <c r="E98" t="str">
        <f t="shared" si="5"/>
        <v/>
      </c>
      <c r="F98">
        <f>IFERROR(MATRIZ_174!L98,0)</f>
        <v>0</v>
      </c>
      <c r="G98">
        <f>IFERROR(MATRIZ_174!M98,0)</f>
        <v>0</v>
      </c>
      <c r="H98" t="str">
        <f>IF(NORMALIZADO!CC98="","",NORMALIZADO!CC98)</f>
        <v/>
      </c>
      <c r="I98" t="str">
        <f>IF(NORMALIZADO!CF98="","",NORMALIZADO!CF98)</f>
        <v/>
      </c>
      <c r="J98" t="str">
        <f>IF(NORMALIZADO!CG98="","",NORMALIZADO!CG98)</f>
        <v/>
      </c>
      <c r="K98">
        <f>IFERROR(INDEX(MATRIZ_174!$U:$U,MATCH(A98,MATRIZ_174!$A:$A,0))*100,"")</f>
        <v>100</v>
      </c>
      <c r="L98">
        <f>IFERROR(MATRIZ_174!O98,0)</f>
        <v>0</v>
      </c>
      <c r="N98" t="str">
        <f>IFERROR(ISCAM_Score!AC99,"")</f>
        <v>⬜  Pendiente de instrumento</v>
      </c>
      <c r="O98" t="s">
        <v>123</v>
      </c>
      <c r="P98" t="str">
        <f>IFERROR(INDEX(MATRIZ_174!$C:$C,MATCH(A98,MATRIZ_174!$A:$A,0)),"")</f>
        <v>HUANUCO</v>
      </c>
    </row>
    <row r="99" spans="1:16" ht="16.05" customHeight="1" x14ac:dyDescent="0.3">
      <c r="A99" t="s">
        <v>290</v>
      </c>
      <c r="B99" t="s">
        <v>291</v>
      </c>
      <c r="C99" s="36" t="str">
        <f>IFERROR(ISCAM_Score!AL100,"—")</f>
        <v>—</v>
      </c>
      <c r="D99" t="str">
        <f t="shared" ref="D99:D130" si="6">IF(C99="—","— Sin Inst.2",IF(C99&lt;34,"🔴  Crítico",IF(C99&lt;67,"🟡  Vulnerable","🟢  Preparado")))</f>
        <v>— Sin Inst.2</v>
      </c>
      <c r="E99" t="str">
        <f t="shared" ref="E99:E130" si="7">IFERROR(RANK(C99,C:C,-1),"")</f>
        <v/>
      </c>
      <c r="F99">
        <f>IFERROR(MATRIZ_174!L99,0)</f>
        <v>0</v>
      </c>
      <c r="G99">
        <f>IFERROR(MATRIZ_174!M99,0)</f>
        <v>0</v>
      </c>
      <c r="H99" t="str">
        <f>IF(NORMALIZADO!CC99="","",NORMALIZADO!CC99)</f>
        <v/>
      </c>
      <c r="I99" t="str">
        <f>IF(NORMALIZADO!CF99="","",NORMALIZADO!CF99)</f>
        <v/>
      </c>
      <c r="J99" t="str">
        <f>IF(NORMALIZADO!CG99="","",NORMALIZADO!CG99)</f>
        <v/>
      </c>
      <c r="K99">
        <f>IFERROR(INDEX(MATRIZ_174!$U:$U,MATCH(A99,MATRIZ_174!$A:$A,0))*100,"")</f>
        <v>100</v>
      </c>
      <c r="L99">
        <f>IFERROR(MATRIZ_174!O99,0)</f>
        <v>0</v>
      </c>
      <c r="N99" t="str">
        <f>IFERROR(ISCAM_Score!AC100,"")</f>
        <v>⬜  Pendiente de instrumento</v>
      </c>
      <c r="O99" t="s">
        <v>123</v>
      </c>
      <c r="P99" t="str">
        <f>IFERROR(INDEX(MATRIZ_174!$C:$C,MATCH(A99,MATRIZ_174!$A:$A,0)),"")</f>
        <v>HUANUCO</v>
      </c>
    </row>
    <row r="100" spans="1:16" ht="16.05" customHeight="1" x14ac:dyDescent="0.3">
      <c r="A100" t="s">
        <v>293</v>
      </c>
      <c r="B100" t="s">
        <v>294</v>
      </c>
      <c r="C100" s="36" t="str">
        <f>IFERROR(ISCAM_Score!AL101,"—")</f>
        <v>—</v>
      </c>
      <c r="D100" t="str">
        <f t="shared" si="6"/>
        <v>— Sin Inst.2</v>
      </c>
      <c r="E100" t="str">
        <f t="shared" si="7"/>
        <v/>
      </c>
      <c r="F100">
        <f>IFERROR(MATRIZ_174!L100,0)</f>
        <v>0</v>
      </c>
      <c r="G100">
        <f>IFERROR(MATRIZ_174!M100,0)</f>
        <v>0</v>
      </c>
      <c r="H100" t="str">
        <f>IF(NORMALIZADO!CC100="","",NORMALIZADO!CC100)</f>
        <v/>
      </c>
      <c r="I100" t="str">
        <f>IF(NORMALIZADO!CF100="","",NORMALIZADO!CF100)</f>
        <v/>
      </c>
      <c r="J100" t="str">
        <f>IF(NORMALIZADO!CG100="","",NORMALIZADO!CG100)</f>
        <v/>
      </c>
      <c r="K100">
        <f>IFERROR(INDEX(MATRIZ_174!$U:$U,MATCH(A100,MATRIZ_174!$A:$A,0))*100,"")</f>
        <v>100</v>
      </c>
      <c r="L100">
        <f>IFERROR(MATRIZ_174!O100,0)</f>
        <v>0</v>
      </c>
      <c r="N100" t="str">
        <f>IFERROR(ISCAM_Score!AC101,"")</f>
        <v>⬜  Pendiente de instrumento</v>
      </c>
      <c r="O100" t="s">
        <v>80</v>
      </c>
      <c r="P100" t="str">
        <f>IFERROR(INDEX(MATRIZ_174!$C:$C,MATCH(A100,MATRIZ_174!$A:$A,0)),"")</f>
        <v>CUSCO</v>
      </c>
    </row>
    <row r="101" spans="1:16" ht="16.05" customHeight="1" x14ac:dyDescent="0.3">
      <c r="A101" t="s">
        <v>295</v>
      </c>
      <c r="B101" t="s">
        <v>296</v>
      </c>
      <c r="C101" s="36" t="str">
        <f>IFERROR(ISCAM_Score!AL102,"—")</f>
        <v>—</v>
      </c>
      <c r="D101" t="str">
        <f t="shared" si="6"/>
        <v>— Sin Inst.2</v>
      </c>
      <c r="E101" t="str">
        <f t="shared" si="7"/>
        <v/>
      </c>
      <c r="F101">
        <f>IFERROR(MATRIZ_174!L101,0)</f>
        <v>0</v>
      </c>
      <c r="G101">
        <f>IFERROR(MATRIZ_174!M101,0)</f>
        <v>0</v>
      </c>
      <c r="H101" t="str">
        <f>IF(NORMALIZADO!CC101="","",NORMALIZADO!CC101)</f>
        <v/>
      </c>
      <c r="I101" t="str">
        <f>IF(NORMALIZADO!CF101="","",NORMALIZADO!CF101)</f>
        <v/>
      </c>
      <c r="J101" t="str">
        <f>IF(NORMALIZADO!CG101="","",NORMALIZADO!CG101)</f>
        <v/>
      </c>
      <c r="K101">
        <f>IFERROR(INDEX(MATRIZ_174!$U:$U,MATCH(A101,MATRIZ_174!$A:$A,0))*100,"")</f>
        <v>100</v>
      </c>
      <c r="L101">
        <f>IFERROR(MATRIZ_174!O101,0)</f>
        <v>0</v>
      </c>
      <c r="N101" t="str">
        <f>IFERROR(ISCAM_Score!AC102,"")</f>
        <v>⬜  Pendiente de instrumento</v>
      </c>
      <c r="O101" t="s">
        <v>116</v>
      </c>
      <c r="P101" t="str">
        <f>IFERROR(INDEX(MATRIZ_174!$C:$C,MATCH(A101,MATRIZ_174!$A:$A,0)),"")</f>
        <v>AMAZONAS</v>
      </c>
    </row>
    <row r="102" spans="1:16" ht="16.05" customHeight="1" x14ac:dyDescent="0.3">
      <c r="A102" t="s">
        <v>297</v>
      </c>
      <c r="B102" t="s">
        <v>298</v>
      </c>
      <c r="C102" s="36" t="str">
        <f>IFERROR(ISCAM_Score!AL103,"—")</f>
        <v>—</v>
      </c>
      <c r="D102" t="str">
        <f t="shared" si="6"/>
        <v>— Sin Inst.2</v>
      </c>
      <c r="E102" t="str">
        <f t="shared" si="7"/>
        <v/>
      </c>
      <c r="F102">
        <f>IFERROR(MATRIZ_174!L102,0)</f>
        <v>0</v>
      </c>
      <c r="G102">
        <f>IFERROR(MATRIZ_174!M102,0)</f>
        <v>0</v>
      </c>
      <c r="H102" t="str">
        <f>IF(NORMALIZADO!CC102="","",NORMALIZADO!CC102)</f>
        <v/>
      </c>
      <c r="I102" t="str">
        <f>IF(NORMALIZADO!CF102="","",NORMALIZADO!CF102)</f>
        <v/>
      </c>
      <c r="J102" t="str">
        <f>IF(NORMALIZADO!CG102="","",NORMALIZADO!CG102)</f>
        <v/>
      </c>
      <c r="K102">
        <f>IFERROR(INDEX(MATRIZ_174!$U:$U,MATCH(A102,MATRIZ_174!$A:$A,0))*100,"")</f>
        <v>100</v>
      </c>
      <c r="L102">
        <f>IFERROR(MATRIZ_174!O102,0)</f>
        <v>0</v>
      </c>
      <c r="N102" t="str">
        <f>IFERROR(ISCAM_Score!AC103,"")</f>
        <v>⬜  Pendiente de instrumento</v>
      </c>
      <c r="O102" t="s">
        <v>123</v>
      </c>
      <c r="P102" t="str">
        <f>IFERROR(INDEX(MATRIZ_174!$C:$C,MATCH(A102,MATRIZ_174!$A:$A,0)),"")</f>
        <v>HUANUCO</v>
      </c>
    </row>
    <row r="103" spans="1:16" ht="16.05" customHeight="1" x14ac:dyDescent="0.3">
      <c r="A103" t="s">
        <v>299</v>
      </c>
      <c r="B103" t="s">
        <v>300</v>
      </c>
      <c r="C103" s="36" t="str">
        <f>IFERROR(ISCAM_Score!AL104,"—")</f>
        <v>—</v>
      </c>
      <c r="D103" t="str">
        <f t="shared" si="6"/>
        <v>— Sin Inst.2</v>
      </c>
      <c r="E103" t="str">
        <f t="shared" si="7"/>
        <v/>
      </c>
      <c r="F103">
        <f>IFERROR(MATRIZ_174!L103,0)</f>
        <v>0</v>
      </c>
      <c r="G103">
        <f>IFERROR(MATRIZ_174!M103,0)</f>
        <v>0</v>
      </c>
      <c r="H103" t="str">
        <f>IF(NORMALIZADO!CC103="","",NORMALIZADO!CC103)</f>
        <v/>
      </c>
      <c r="I103" t="str">
        <f>IF(NORMALIZADO!CF103="","",NORMALIZADO!CF103)</f>
        <v/>
      </c>
      <c r="J103" t="str">
        <f>IF(NORMALIZADO!CG103="","",NORMALIZADO!CG103)</f>
        <v/>
      </c>
      <c r="K103">
        <f>IFERROR(INDEX(MATRIZ_174!$U:$U,MATCH(A103,MATRIZ_174!$A:$A,0))*100,"")</f>
        <v>100</v>
      </c>
      <c r="L103">
        <f>IFERROR(MATRIZ_174!O103,0)</f>
        <v>0</v>
      </c>
      <c r="N103" t="str">
        <f>IFERROR(ISCAM_Score!AC104,"")</f>
        <v>⬜  Pendiente de instrumento</v>
      </c>
      <c r="O103" t="s">
        <v>196</v>
      </c>
      <c r="P103" t="str">
        <f>IFERROR(INDEX(MATRIZ_174!$C:$C,MATCH(A103,MATRIZ_174!$A:$A,0)),"")</f>
        <v>LORETO</v>
      </c>
    </row>
    <row r="104" spans="1:16" ht="16.05" customHeight="1" x14ac:dyDescent="0.3">
      <c r="A104" t="s">
        <v>301</v>
      </c>
      <c r="B104" t="s">
        <v>302</v>
      </c>
      <c r="C104" s="36" t="str">
        <f>IFERROR(ISCAM_Score!AL105,"—")</f>
        <v>—</v>
      </c>
      <c r="D104" t="str">
        <f t="shared" si="6"/>
        <v>— Sin Inst.2</v>
      </c>
      <c r="E104" t="str">
        <f t="shared" si="7"/>
        <v/>
      </c>
      <c r="F104">
        <f>IFERROR(MATRIZ_174!L104,0)</f>
        <v>0</v>
      </c>
      <c r="G104">
        <f>IFERROR(MATRIZ_174!M104,0)</f>
        <v>0</v>
      </c>
      <c r="H104" t="str">
        <f>IF(NORMALIZADO!CC104="","",NORMALIZADO!CC104)</f>
        <v/>
      </c>
      <c r="I104" t="str">
        <f>IF(NORMALIZADO!CF104="","",NORMALIZADO!CF104)</f>
        <v/>
      </c>
      <c r="J104" t="str">
        <f>IF(NORMALIZADO!CG104="","",NORMALIZADO!CG104)</f>
        <v/>
      </c>
      <c r="K104">
        <f>IFERROR(INDEX(MATRIZ_174!$U:$U,MATCH(A104,MATRIZ_174!$A:$A,0))*100,"")</f>
        <v>100</v>
      </c>
      <c r="L104">
        <f>IFERROR(MATRIZ_174!O104,0)</f>
        <v>0</v>
      </c>
      <c r="N104" t="str">
        <f>IFERROR(ISCAM_Score!AC105,"")</f>
        <v>⬜  Pendiente de instrumento</v>
      </c>
      <c r="O104" t="s">
        <v>248</v>
      </c>
      <c r="P104" t="str">
        <f>IFERROR(INDEX(MATRIZ_174!$C:$C,MATCH(A104,MATRIZ_174!$A:$A,0)),"")</f>
        <v>MADRE DE DIOS</v>
      </c>
    </row>
    <row r="105" spans="1:16" ht="16.05" customHeight="1" x14ac:dyDescent="0.3">
      <c r="A105" t="s">
        <v>303</v>
      </c>
      <c r="B105" t="s">
        <v>304</v>
      </c>
      <c r="C105" s="36" t="str">
        <f>IFERROR(ISCAM_Score!AL106,"—")</f>
        <v>—</v>
      </c>
      <c r="D105" t="str">
        <f t="shared" si="6"/>
        <v>— Sin Inst.2</v>
      </c>
      <c r="E105" t="str">
        <f t="shared" si="7"/>
        <v/>
      </c>
      <c r="F105">
        <f>IFERROR(MATRIZ_174!L105,0)</f>
        <v>0</v>
      </c>
      <c r="G105">
        <f>IFERROR(MATRIZ_174!M105,0)</f>
        <v>0</v>
      </c>
      <c r="H105" t="str">
        <f>IF(NORMALIZADO!CC105="","",NORMALIZADO!CC105)</f>
        <v/>
      </c>
      <c r="I105" t="str">
        <f>IF(NORMALIZADO!CF105="","",NORMALIZADO!CF105)</f>
        <v/>
      </c>
      <c r="J105" t="str">
        <f>IF(NORMALIZADO!CG105="","",NORMALIZADO!CG105)</f>
        <v/>
      </c>
      <c r="K105">
        <f>IFERROR(INDEX(MATRIZ_174!$U:$U,MATCH(A105,MATRIZ_174!$A:$A,0))*100,"")</f>
        <v>100</v>
      </c>
      <c r="L105">
        <f>IFERROR(MATRIZ_174!O105,0)</f>
        <v>0</v>
      </c>
      <c r="N105" t="str">
        <f>IFERROR(ISCAM_Score!AC106,"")</f>
        <v>⬜  Pendiente de instrumento</v>
      </c>
      <c r="O105" t="s">
        <v>116</v>
      </c>
      <c r="P105" t="str">
        <f>IFERROR(INDEX(MATRIZ_174!$C:$C,MATCH(A105,MATRIZ_174!$A:$A,0)),"")</f>
        <v>AMAZONAS</v>
      </c>
    </row>
    <row r="106" spans="1:16" ht="16.05" customHeight="1" x14ac:dyDescent="0.3">
      <c r="A106" t="s">
        <v>305</v>
      </c>
      <c r="B106" t="s">
        <v>306</v>
      </c>
      <c r="C106" s="36" t="str">
        <f>IFERROR(ISCAM_Score!AL107,"—")</f>
        <v>—</v>
      </c>
      <c r="D106" t="str">
        <f t="shared" si="6"/>
        <v>— Sin Inst.2</v>
      </c>
      <c r="E106" t="str">
        <f t="shared" si="7"/>
        <v/>
      </c>
      <c r="F106">
        <f>IFERROR(MATRIZ_174!L106,0)</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0</v>
      </c>
      <c r="N106" t="str">
        <f>IFERROR(ISCAM_Score!AC107,"")</f>
        <v>⬜  Pendiente de instrumento</v>
      </c>
      <c r="O106" t="s">
        <v>143</v>
      </c>
      <c r="P106" t="str">
        <f>IFERROR(INDEX(MATRIZ_174!$C:$C,MATCH(A106,MATRIZ_174!$A:$A,0)),"")</f>
        <v>SAN MARTIN</v>
      </c>
    </row>
    <row r="107" spans="1:16" ht="16.05" customHeight="1" x14ac:dyDescent="0.3">
      <c r="A107" t="s">
        <v>307</v>
      </c>
      <c r="B107" t="s">
        <v>308</v>
      </c>
      <c r="C107" s="36" t="str">
        <f>IFERROR(ISCAM_Score!AL108,"—")</f>
        <v>—</v>
      </c>
      <c r="D107" t="str">
        <f t="shared" si="6"/>
        <v>— Sin Inst.2</v>
      </c>
      <c r="E107" t="str">
        <f t="shared" si="7"/>
        <v/>
      </c>
      <c r="F107">
        <f>IFERROR(MATRIZ_174!L107,0)</f>
        <v>0</v>
      </c>
      <c r="G107">
        <f>IFERROR(MATRIZ_174!M107,0)</f>
        <v>0</v>
      </c>
      <c r="H107" t="str">
        <f>IF(NORMALIZADO!CC107="","",NORMALIZADO!CC107)</f>
        <v/>
      </c>
      <c r="I107" t="str">
        <f>IF(NORMALIZADO!CF107="","",NORMALIZADO!CF107)</f>
        <v/>
      </c>
      <c r="J107" t="str">
        <f>IF(NORMALIZADO!CG107="","",NORMALIZADO!CG107)</f>
        <v/>
      </c>
      <c r="K107">
        <f>IFERROR(INDEX(MATRIZ_174!$U:$U,MATCH(A107,MATRIZ_174!$A:$A,0))*100,"")</f>
        <v>100</v>
      </c>
      <c r="L107">
        <f>IFERROR(MATRIZ_174!O107,0)</f>
        <v>0</v>
      </c>
      <c r="N107" t="str">
        <f>IFERROR(ISCAM_Score!AC108,"")</f>
        <v>⬜  Pendiente de instrumento</v>
      </c>
      <c r="O107" t="s">
        <v>113</v>
      </c>
      <c r="P107" t="str">
        <f>IFERROR(INDEX(MATRIZ_174!$C:$C,MATCH(A107,MATRIZ_174!$A:$A,0)),"")</f>
        <v>UCAYALI</v>
      </c>
    </row>
    <row r="108" spans="1:16" ht="16.05" customHeight="1" x14ac:dyDescent="0.3">
      <c r="A108" t="s">
        <v>309</v>
      </c>
      <c r="B108" t="s">
        <v>310</v>
      </c>
      <c r="C108" s="36" t="str">
        <f>IFERROR(ISCAM_Score!AL109,"—")</f>
        <v>—</v>
      </c>
      <c r="D108" t="str">
        <f t="shared" si="6"/>
        <v>— Sin Inst.2</v>
      </c>
      <c r="E108" t="str">
        <f t="shared" si="7"/>
        <v/>
      </c>
      <c r="F108">
        <f>IFERROR(MATRIZ_174!L108,0)</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f>IFERROR(MATRIZ_174!O108,0)</f>
        <v>0</v>
      </c>
      <c r="N108" t="str">
        <f>IFERROR(ISCAM_Score!AC109,"")</f>
        <v>⬜  Pendiente de instrumento</v>
      </c>
      <c r="O108" t="s">
        <v>113</v>
      </c>
      <c r="P108" t="str">
        <f>IFERROR(INDEX(MATRIZ_174!$C:$C,MATCH(A108,MATRIZ_174!$A:$A,0)),"")</f>
        <v>UCAYALI</v>
      </c>
    </row>
    <row r="109" spans="1:16" ht="16.05" customHeight="1" x14ac:dyDescent="0.3">
      <c r="A109" t="s">
        <v>311</v>
      </c>
      <c r="B109" t="s">
        <v>312</v>
      </c>
      <c r="C109" s="36" t="str">
        <f>IFERROR(ISCAM_Score!AL110,"—")</f>
        <v>—</v>
      </c>
      <c r="D109" t="str">
        <f t="shared" si="6"/>
        <v>— Sin Inst.2</v>
      </c>
      <c r="E109" t="str">
        <f t="shared" si="7"/>
        <v/>
      </c>
      <c r="F109">
        <f>IFERROR(MATRIZ_174!L109,0)</f>
        <v>0</v>
      </c>
      <c r="G109">
        <f>IFERROR(MATRIZ_174!M109,0)</f>
        <v>0</v>
      </c>
      <c r="H109" t="str">
        <f>IF(NORMALIZADO!CC109="","",NORMALIZADO!CC109)</f>
        <v/>
      </c>
      <c r="I109" t="str">
        <f>IF(NORMALIZADO!CF109="","",NORMALIZADO!CF109)</f>
        <v/>
      </c>
      <c r="J109" t="str">
        <f>IF(NORMALIZADO!CG109="","",NORMALIZADO!CG109)</f>
        <v/>
      </c>
      <c r="K109">
        <f>IFERROR(INDEX(MATRIZ_174!$U:$U,MATCH(A109,MATRIZ_174!$A:$A,0))*100,"")</f>
        <v>100</v>
      </c>
      <c r="L109">
        <f>IFERROR(MATRIZ_174!O109,0)</f>
        <v>0</v>
      </c>
      <c r="N109" t="str">
        <f>IFERROR(ISCAM_Score!AC110,"")</f>
        <v>⬜  Pendiente de instrumento</v>
      </c>
      <c r="O109" t="s">
        <v>72</v>
      </c>
      <c r="P109" t="str">
        <f>IFERROR(INDEX(MATRIZ_174!$C:$C,MATCH(A109,MATRIZ_174!$A:$A,0)),"")</f>
        <v>AYACUCHO</v>
      </c>
    </row>
    <row r="110" spans="1:16" ht="16.05" customHeight="1" x14ac:dyDescent="0.3">
      <c r="A110" t="s">
        <v>313</v>
      </c>
      <c r="B110" t="s">
        <v>314</v>
      </c>
      <c r="C110" s="36" t="str">
        <f>IFERROR(ISCAM_Score!AL111,"—")</f>
        <v>—</v>
      </c>
      <c r="D110" t="str">
        <f t="shared" si="6"/>
        <v>— Sin Inst.2</v>
      </c>
      <c r="E110" t="str">
        <f t="shared" si="7"/>
        <v/>
      </c>
      <c r="F110">
        <f>IFERROR(MATRIZ_174!L110,0)</f>
        <v>0</v>
      </c>
      <c r="G110">
        <f>IFERROR(MATRIZ_174!M110,0)</f>
        <v>0</v>
      </c>
      <c r="H110" t="str">
        <f>IF(NORMALIZADO!CC110="","",NORMALIZADO!CC110)</f>
        <v/>
      </c>
      <c r="I110" t="str">
        <f>IF(NORMALIZADO!CF110="","",NORMALIZADO!CF110)</f>
        <v/>
      </c>
      <c r="J110" t="str">
        <f>IF(NORMALIZADO!CG110="","",NORMALIZADO!CG110)</f>
        <v/>
      </c>
      <c r="K110">
        <f>IFERROR(INDEX(MATRIZ_174!$U:$U,MATCH(A110,MATRIZ_174!$A:$A,0))*100,"")</f>
        <v>100</v>
      </c>
      <c r="L110">
        <f>IFERROR(MATRIZ_174!O110,0)</f>
        <v>0</v>
      </c>
      <c r="N110" t="str">
        <f>IFERROR(ISCAM_Score!AC111,"")</f>
        <v>⬜  Pendiente de instrumento</v>
      </c>
      <c r="O110" t="s">
        <v>123</v>
      </c>
      <c r="P110" t="str">
        <f>IFERROR(INDEX(MATRIZ_174!$C:$C,MATCH(A110,MATRIZ_174!$A:$A,0)),"")</f>
        <v>HUANUCO</v>
      </c>
    </row>
    <row r="111" spans="1:16" ht="16.05" customHeight="1" x14ac:dyDescent="0.3">
      <c r="A111" t="s">
        <v>315</v>
      </c>
      <c r="B111" t="s">
        <v>316</v>
      </c>
      <c r="C111" s="36" t="str">
        <f>IFERROR(ISCAM_Score!AL112,"—")</f>
        <v>—</v>
      </c>
      <c r="D111" t="str">
        <f t="shared" si="6"/>
        <v>— Sin Inst.2</v>
      </c>
      <c r="E111" t="str">
        <f t="shared" si="7"/>
        <v/>
      </c>
      <c r="F111">
        <f>IFERROR(MATRIZ_174!L111,0)</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f>IFERROR(MATRIZ_174!O111,0)</f>
        <v>0</v>
      </c>
      <c r="N111" t="str">
        <f>IFERROR(ISCAM_Score!AC112,"")</f>
        <v>⬜  Pendiente de instrumento</v>
      </c>
      <c r="O111" t="s">
        <v>116</v>
      </c>
      <c r="P111" t="str">
        <f>IFERROR(INDEX(MATRIZ_174!$C:$C,MATCH(A111,MATRIZ_174!$A:$A,0)),"")</f>
        <v>AMAZONAS</v>
      </c>
    </row>
    <row r="112" spans="1:16" ht="16.05" customHeight="1" x14ac:dyDescent="0.3">
      <c r="A112" t="s">
        <v>317</v>
      </c>
      <c r="B112" t="s">
        <v>318</v>
      </c>
      <c r="C112" s="36" t="str">
        <f>IFERROR(ISCAM_Score!AL113,"—")</f>
        <v>—</v>
      </c>
      <c r="D112" t="str">
        <f t="shared" si="6"/>
        <v>— Sin Inst.2</v>
      </c>
      <c r="E112" t="str">
        <f t="shared" si="7"/>
        <v/>
      </c>
      <c r="F112">
        <f>IFERROR(MATRIZ_174!L112,0)</f>
        <v>0</v>
      </c>
      <c r="G112">
        <f>IFERROR(MATRIZ_174!M112,0)</f>
        <v>0</v>
      </c>
      <c r="H112" t="str">
        <f>IF(NORMALIZADO!CC112="","",NORMALIZADO!CC112)</f>
        <v/>
      </c>
      <c r="I112" t="str">
        <f>IF(NORMALIZADO!CF112="","",NORMALIZADO!CF112)</f>
        <v/>
      </c>
      <c r="J112" t="str">
        <f>IF(NORMALIZADO!CG112="","",NORMALIZADO!CG112)</f>
        <v/>
      </c>
      <c r="K112">
        <f>IFERROR(INDEX(MATRIZ_174!$U:$U,MATCH(A112,MATRIZ_174!$A:$A,0))*100,"")</f>
        <v>100</v>
      </c>
      <c r="L112">
        <f>IFERROR(MATRIZ_174!O112,0)</f>
        <v>0</v>
      </c>
      <c r="N112" t="str">
        <f>IFERROR(ISCAM_Score!AC113,"")</f>
        <v>⬜  Pendiente de instrumento</v>
      </c>
      <c r="O112" t="s">
        <v>123</v>
      </c>
      <c r="P112" t="str">
        <f>IFERROR(INDEX(MATRIZ_174!$C:$C,MATCH(A112,MATRIZ_174!$A:$A,0)),"")</f>
        <v>HUANUCO</v>
      </c>
    </row>
    <row r="113" spans="1:16" ht="16.05" customHeight="1" x14ac:dyDescent="0.3">
      <c r="A113" t="s">
        <v>319</v>
      </c>
      <c r="B113" t="s">
        <v>320</v>
      </c>
      <c r="C113" s="36" t="str">
        <f>IFERROR(ISCAM_Score!AL114,"—")</f>
        <v>—</v>
      </c>
      <c r="D113" t="str">
        <f t="shared" si="6"/>
        <v>— Sin Inst.2</v>
      </c>
      <c r="E113" t="str">
        <f t="shared" si="7"/>
        <v/>
      </c>
      <c r="F113">
        <f>IFERROR(MATRIZ_174!L113,0)</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f>IFERROR(MATRIZ_174!O113,0)</f>
        <v>0</v>
      </c>
      <c r="N113" t="str">
        <f>IFERROR(ISCAM_Score!AC114,"")</f>
        <v>⬜  Pendiente de instrumento</v>
      </c>
      <c r="O113" t="s">
        <v>154</v>
      </c>
      <c r="P113" t="str">
        <f>IFERROR(INDEX(MATRIZ_174!$C:$C,MATCH(A113,MATRIZ_174!$A:$A,0)),"")</f>
        <v>CAJAMARCA</v>
      </c>
    </row>
    <row r="114" spans="1:16" ht="16.05" customHeight="1" x14ac:dyDescent="0.3">
      <c r="A114" t="s">
        <v>321</v>
      </c>
      <c r="B114" t="s">
        <v>322</v>
      </c>
      <c r="C114" s="36" t="str">
        <f>IFERROR(ISCAM_Score!AL115,"—")</f>
        <v>—</v>
      </c>
      <c r="D114" t="str">
        <f t="shared" si="6"/>
        <v>— Sin Inst.2</v>
      </c>
      <c r="E114" t="str">
        <f t="shared" si="7"/>
        <v/>
      </c>
      <c r="F114">
        <f>IFERROR(MATRIZ_174!L114,0)</f>
        <v>0</v>
      </c>
      <c r="G114">
        <f>IFERROR(MATRIZ_174!M114,0)</f>
        <v>0</v>
      </c>
      <c r="H114" t="str">
        <f>IF(NORMALIZADO!CC114="","",NORMALIZADO!CC114)</f>
        <v/>
      </c>
      <c r="I114" t="str">
        <f>IF(NORMALIZADO!CF114="","",NORMALIZADO!CF114)</f>
        <v/>
      </c>
      <c r="J114" t="str">
        <f>IF(NORMALIZADO!CG114="","",NORMALIZADO!CG114)</f>
        <v/>
      </c>
      <c r="K114">
        <f>IFERROR(INDEX(MATRIZ_174!$U:$U,MATCH(A114,MATRIZ_174!$A:$A,0))*100,"")</f>
        <v>100</v>
      </c>
      <c r="L114">
        <f>IFERROR(MATRIZ_174!O114,0)</f>
        <v>0</v>
      </c>
      <c r="N114" t="str">
        <f>IFERROR(ISCAM_Score!AC115,"")</f>
        <v>⬜  Pendiente de instrumento</v>
      </c>
      <c r="O114" t="s">
        <v>248</v>
      </c>
      <c r="P114" t="str">
        <f>IFERROR(INDEX(MATRIZ_174!$C:$C,MATCH(A114,MATRIZ_174!$A:$A,0)),"")</f>
        <v>MADRE DE DIOS</v>
      </c>
    </row>
    <row r="115" spans="1:16" ht="16.05" customHeight="1" x14ac:dyDescent="0.3">
      <c r="A115" t="s">
        <v>323</v>
      </c>
      <c r="B115" t="s">
        <v>324</v>
      </c>
      <c r="C115" s="36" t="str">
        <f>IFERROR(ISCAM_Score!AL116,"—")</f>
        <v>—</v>
      </c>
      <c r="D115" t="str">
        <f t="shared" si="6"/>
        <v>— Sin Inst.2</v>
      </c>
      <c r="E115" t="str">
        <f t="shared" si="7"/>
        <v/>
      </c>
      <c r="F115">
        <f>IFERROR(MATRIZ_174!L115,0)</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f>IFERROR(MATRIZ_174!O115,0)</f>
        <v>0</v>
      </c>
      <c r="N115" t="str">
        <f>IFERROR(ISCAM_Score!AC116,"")</f>
        <v>⬜  Pendiente de instrumento</v>
      </c>
      <c r="O115" t="s">
        <v>143</v>
      </c>
      <c r="P115" t="str">
        <f>IFERROR(INDEX(MATRIZ_174!$C:$C,MATCH(A115,MATRIZ_174!$A:$A,0)),"")</f>
        <v>SAN MARTIN</v>
      </c>
    </row>
    <row r="116" spans="1:16" ht="16.05" customHeight="1" x14ac:dyDescent="0.3">
      <c r="A116" t="s">
        <v>325</v>
      </c>
      <c r="B116" t="s">
        <v>326</v>
      </c>
      <c r="C116" s="36" t="str">
        <f>IFERROR(ISCAM_Score!AL117,"—")</f>
        <v>—</v>
      </c>
      <c r="D116" t="str">
        <f t="shared" si="6"/>
        <v>— Sin Inst.2</v>
      </c>
      <c r="E116" t="str">
        <f t="shared" si="7"/>
        <v/>
      </c>
      <c r="F116">
        <f>IFERROR(MATRIZ_174!L116,0)</f>
        <v>0</v>
      </c>
      <c r="G116">
        <f>IFERROR(MATRIZ_174!M116,0)</f>
        <v>0</v>
      </c>
      <c r="H116" t="str">
        <f>IF(NORMALIZADO!CC116="","",NORMALIZADO!CC116)</f>
        <v/>
      </c>
      <c r="I116" t="str">
        <f>IF(NORMALIZADO!CF116="","",NORMALIZADO!CF116)</f>
        <v/>
      </c>
      <c r="J116" t="str">
        <f>IF(NORMALIZADO!CG116="","",NORMALIZADO!CG116)</f>
        <v/>
      </c>
      <c r="K116">
        <f>IFERROR(INDEX(MATRIZ_174!$U:$U,MATCH(A116,MATRIZ_174!$A:$A,0))*100,"")</f>
        <v>100</v>
      </c>
      <c r="L116">
        <f>IFERROR(MATRIZ_174!O116,0)</f>
        <v>0</v>
      </c>
      <c r="N116" t="str">
        <f>IFERROR(ISCAM_Score!AC117,"")</f>
        <v>⬜  Pendiente de instrumento</v>
      </c>
      <c r="O116" t="s">
        <v>248</v>
      </c>
      <c r="P116" t="str">
        <f>IFERROR(INDEX(MATRIZ_174!$C:$C,MATCH(A116,MATRIZ_174!$A:$A,0)),"")</f>
        <v>MADRE DE DIOS</v>
      </c>
    </row>
    <row r="117" spans="1:16" ht="16.05" customHeight="1" x14ac:dyDescent="0.3">
      <c r="A117" t="s">
        <v>327</v>
      </c>
      <c r="B117" t="s">
        <v>328</v>
      </c>
      <c r="C117" s="36" t="str">
        <f>IFERROR(ISCAM_Score!AL118,"—")</f>
        <v>—</v>
      </c>
      <c r="D117" t="str">
        <f t="shared" si="6"/>
        <v>— Sin Inst.2</v>
      </c>
      <c r="E117" t="str">
        <f t="shared" si="7"/>
        <v/>
      </c>
      <c r="F117">
        <f>IFERROR(MATRIZ_174!L117,0)</f>
        <v>0</v>
      </c>
      <c r="G117">
        <f>IFERROR(MATRIZ_174!M117,0)</f>
        <v>0</v>
      </c>
      <c r="H117" t="str">
        <f>IF(NORMALIZADO!CC117="","",NORMALIZADO!CC117)</f>
        <v/>
      </c>
      <c r="I117" t="str">
        <f>IF(NORMALIZADO!CF117="","",NORMALIZADO!CF117)</f>
        <v/>
      </c>
      <c r="J117" t="str">
        <f>IF(NORMALIZADO!CG117="","",NORMALIZADO!CG117)</f>
        <v/>
      </c>
      <c r="K117">
        <f>IFERROR(INDEX(MATRIZ_174!$U:$U,MATCH(A117,MATRIZ_174!$A:$A,0))*100,"")</f>
        <v>100</v>
      </c>
      <c r="L117">
        <f>IFERROR(MATRIZ_174!O117,0)</f>
        <v>0</v>
      </c>
      <c r="N117" t="str">
        <f>IFERROR(ISCAM_Score!AC118,"")</f>
        <v>⬜  Pendiente de instrumento</v>
      </c>
      <c r="O117" t="s">
        <v>183</v>
      </c>
      <c r="P117" t="str">
        <f>IFERROR(INDEX(MATRIZ_174!$C:$C,MATCH(A117,MATRIZ_174!$A:$A,0)),"")</f>
        <v>LAMBAYEQUE</v>
      </c>
    </row>
    <row r="118" spans="1:16" ht="16.05" customHeight="1" x14ac:dyDescent="0.3">
      <c r="A118" t="s">
        <v>329</v>
      </c>
      <c r="B118" t="s">
        <v>330</v>
      </c>
      <c r="C118" s="36" t="str">
        <f>IFERROR(ISCAM_Score!AL119,"—")</f>
        <v>—</v>
      </c>
      <c r="D118" t="str">
        <f t="shared" si="6"/>
        <v>— Sin Inst.2</v>
      </c>
      <c r="E118" t="str">
        <f t="shared" si="7"/>
        <v/>
      </c>
      <c r="F118">
        <f>IFERROR(MATRIZ_174!L118,0)</f>
        <v>0</v>
      </c>
      <c r="G118">
        <f>IFERROR(MATRIZ_174!M118,0)</f>
        <v>0</v>
      </c>
      <c r="H118" t="str">
        <f>IF(NORMALIZADO!CC118="","",NORMALIZADO!CC118)</f>
        <v/>
      </c>
      <c r="I118" t="str">
        <f>IF(NORMALIZADO!CF118="","",NORMALIZADO!CF118)</f>
        <v/>
      </c>
      <c r="J118" t="str">
        <f>IF(NORMALIZADO!CG118="","",NORMALIZADO!CG118)</f>
        <v/>
      </c>
      <c r="K118">
        <f>IFERROR(INDEX(MATRIZ_174!$U:$U,MATCH(A118,MATRIZ_174!$A:$A,0))*100,"")</f>
        <v>100</v>
      </c>
      <c r="L118">
        <f>IFERROR(MATRIZ_174!O118,0)</f>
        <v>0</v>
      </c>
      <c r="N118" t="str">
        <f>IFERROR(ISCAM_Score!AC119,"")</f>
        <v>⬜  Pendiente de instrumento</v>
      </c>
      <c r="O118" t="s">
        <v>113</v>
      </c>
      <c r="P118" t="str">
        <f>IFERROR(INDEX(MATRIZ_174!$C:$C,MATCH(A118,MATRIZ_174!$A:$A,0)),"")</f>
        <v>UCAYALI</v>
      </c>
    </row>
    <row r="119" spans="1:16" ht="16.05" customHeight="1" x14ac:dyDescent="0.3">
      <c r="A119" t="s">
        <v>331</v>
      </c>
      <c r="B119" t="s">
        <v>332</v>
      </c>
      <c r="C119" s="36" t="str">
        <f>IFERROR(ISCAM_Score!AL120,"—")</f>
        <v>—</v>
      </c>
      <c r="D119" t="str">
        <f t="shared" si="6"/>
        <v>— Sin Inst.2</v>
      </c>
      <c r="E119" t="str">
        <f t="shared" si="7"/>
        <v/>
      </c>
      <c r="F119">
        <f>IFERROR(MATRIZ_174!L119,0)</f>
        <v>0</v>
      </c>
      <c r="G119">
        <f>IFERROR(MATRIZ_174!M119,0)</f>
        <v>0</v>
      </c>
      <c r="H119" t="str">
        <f>IF(NORMALIZADO!CC119="","",NORMALIZADO!CC119)</f>
        <v/>
      </c>
      <c r="I119" t="str">
        <f>IF(NORMALIZADO!CF119="","",NORMALIZADO!CF119)</f>
        <v/>
      </c>
      <c r="J119" t="str">
        <f>IF(NORMALIZADO!CG119="","",NORMALIZADO!CG119)</f>
        <v/>
      </c>
      <c r="K119">
        <f>IFERROR(INDEX(MATRIZ_174!$U:$U,MATCH(A119,MATRIZ_174!$A:$A,0))*100,"")</f>
        <v>100</v>
      </c>
      <c r="L119">
        <f>IFERROR(MATRIZ_174!O119,0)</f>
        <v>0</v>
      </c>
      <c r="N119" t="str">
        <f>IFERROR(ISCAM_Score!AC120,"")</f>
        <v>⬜  Pendiente de instrumento</v>
      </c>
      <c r="O119" t="s">
        <v>113</v>
      </c>
      <c r="P119" t="str">
        <f>IFERROR(INDEX(MATRIZ_174!$C:$C,MATCH(A119,MATRIZ_174!$A:$A,0)),"")</f>
        <v>UCAYALI</v>
      </c>
    </row>
    <row r="120" spans="1:16" ht="16.05" customHeight="1" x14ac:dyDescent="0.3">
      <c r="A120" t="s">
        <v>333</v>
      </c>
      <c r="B120" t="s">
        <v>334</v>
      </c>
      <c r="C120" s="36" t="str">
        <f>IFERROR(ISCAM_Score!AL121,"—")</f>
        <v>—</v>
      </c>
      <c r="D120" t="str">
        <f t="shared" si="6"/>
        <v>— Sin Inst.2</v>
      </c>
      <c r="E120" t="str">
        <f t="shared" si="7"/>
        <v/>
      </c>
      <c r="F120">
        <f>IFERROR(MATRIZ_174!L120,0)</f>
        <v>0</v>
      </c>
      <c r="G120">
        <f>IFERROR(MATRIZ_174!M120,0)</f>
        <v>0</v>
      </c>
      <c r="H120" t="str">
        <f>IF(NORMALIZADO!CC120="","",NORMALIZADO!CC120)</f>
        <v/>
      </c>
      <c r="I120" t="str">
        <f>IF(NORMALIZADO!CF120="","",NORMALIZADO!CF120)</f>
        <v/>
      </c>
      <c r="J120" t="str">
        <f>IF(NORMALIZADO!CG120="","",NORMALIZADO!CG120)</f>
        <v/>
      </c>
      <c r="K120">
        <f>IFERROR(INDEX(MATRIZ_174!$U:$U,MATCH(A120,MATRIZ_174!$A:$A,0))*100,"")</f>
        <v>100</v>
      </c>
      <c r="L120">
        <f>IFERROR(MATRIZ_174!O120,0)</f>
        <v>0</v>
      </c>
      <c r="N120" t="str">
        <f>IFERROR(ISCAM_Score!AC121,"")</f>
        <v>⬜  Pendiente de instrumento</v>
      </c>
      <c r="O120" t="s">
        <v>154</v>
      </c>
      <c r="P120" t="str">
        <f>IFERROR(INDEX(MATRIZ_174!$C:$C,MATCH(A120,MATRIZ_174!$A:$A,0)),"")</f>
        <v>CAJAMARCA</v>
      </c>
    </row>
    <row r="121" spans="1:16" ht="16.05" customHeight="1" x14ac:dyDescent="0.3">
      <c r="A121" t="s">
        <v>335</v>
      </c>
      <c r="B121" t="s">
        <v>336</v>
      </c>
      <c r="C121" s="36" t="str">
        <f>IFERROR(ISCAM_Score!AL122,"—")</f>
        <v>—</v>
      </c>
      <c r="D121" t="str">
        <f t="shared" si="6"/>
        <v>— Sin Inst.2</v>
      </c>
      <c r="E121" t="str">
        <f t="shared" si="7"/>
        <v/>
      </c>
      <c r="F121">
        <f>IFERROR(MATRIZ_174!L121,0)</f>
        <v>0</v>
      </c>
      <c r="G121">
        <f>IFERROR(MATRIZ_174!M121,0)</f>
        <v>0</v>
      </c>
      <c r="H121" t="str">
        <f>IF(NORMALIZADO!CC121="","",NORMALIZADO!CC121)</f>
        <v/>
      </c>
      <c r="I121" t="str">
        <f>IF(NORMALIZADO!CF121="","",NORMALIZADO!CF121)</f>
        <v/>
      </c>
      <c r="J121" t="str">
        <f>IF(NORMALIZADO!CG121="","",NORMALIZADO!CG121)</f>
        <v/>
      </c>
      <c r="K121">
        <f>IFERROR(INDEX(MATRIZ_174!$U:$U,MATCH(A121,MATRIZ_174!$A:$A,0))*100,"")</f>
        <v>100</v>
      </c>
      <c r="L121">
        <f>IFERROR(MATRIZ_174!O121,0)</f>
        <v>0</v>
      </c>
      <c r="N121" t="str">
        <f>IFERROR(ISCAM_Score!AC122,"")</f>
        <v>⬜  Pendiente de instrumento</v>
      </c>
      <c r="O121" t="s">
        <v>257</v>
      </c>
      <c r="P121" t="str">
        <f>IFERROR(INDEX(MATRIZ_174!$C:$C,MATCH(A121,MATRIZ_174!$A:$A,0)),"")</f>
        <v>PASCO</v>
      </c>
    </row>
    <row r="122" spans="1:16" ht="16.05" customHeight="1" x14ac:dyDescent="0.3">
      <c r="A122" t="s">
        <v>337</v>
      </c>
      <c r="B122" t="s">
        <v>338</v>
      </c>
      <c r="C122" s="36" t="str">
        <f>IFERROR(ISCAM_Score!AL123,"—")</f>
        <v>—</v>
      </c>
      <c r="D122" t="str">
        <f t="shared" si="6"/>
        <v>— Sin Inst.2</v>
      </c>
      <c r="E122" t="str">
        <f t="shared" si="7"/>
        <v/>
      </c>
      <c r="F122">
        <f>IFERROR(MATRIZ_174!L122,0)</f>
        <v>0</v>
      </c>
      <c r="G122">
        <f>IFERROR(MATRIZ_174!M122,0)</f>
        <v>0</v>
      </c>
      <c r="H122" t="str">
        <f>IF(NORMALIZADO!CC122="","",NORMALIZADO!CC122)</f>
        <v/>
      </c>
      <c r="I122" t="str">
        <f>IF(NORMALIZADO!CF122="","",NORMALIZADO!CF122)</f>
        <v/>
      </c>
      <c r="J122" t="str">
        <f>IF(NORMALIZADO!CG122="","",NORMALIZADO!CG122)</f>
        <v/>
      </c>
      <c r="K122">
        <f>IFERROR(INDEX(MATRIZ_174!$U:$U,MATCH(A122,MATRIZ_174!$A:$A,0))*100,"")</f>
        <v>100</v>
      </c>
      <c r="L122">
        <f>IFERROR(MATRIZ_174!O122,0)</f>
        <v>0</v>
      </c>
      <c r="N122" t="str">
        <f>IFERROR(ISCAM_Score!AC123,"")</f>
        <v>⬜  Pendiente de instrumento</v>
      </c>
      <c r="O122" t="s">
        <v>123</v>
      </c>
      <c r="P122" t="str">
        <f>IFERROR(INDEX(MATRIZ_174!$C:$C,MATCH(A122,MATRIZ_174!$A:$A,0)),"")</f>
        <v>HUANUCO</v>
      </c>
    </row>
    <row r="123" spans="1:16" ht="16.05" customHeight="1" x14ac:dyDescent="0.3">
      <c r="A123" t="s">
        <v>339</v>
      </c>
      <c r="B123" t="s">
        <v>340</v>
      </c>
      <c r="C123" s="36" t="str">
        <f>IFERROR(ISCAM_Score!AL124,"—")</f>
        <v>—</v>
      </c>
      <c r="D123" t="str">
        <f t="shared" si="6"/>
        <v>— Sin Inst.2</v>
      </c>
      <c r="E123" t="str">
        <f t="shared" si="7"/>
        <v/>
      </c>
      <c r="F123">
        <f>IFERROR(MATRIZ_174!L123,0)</f>
        <v>0</v>
      </c>
      <c r="G123">
        <f>IFERROR(MATRIZ_174!M123,0)</f>
        <v>0</v>
      </c>
      <c r="H123" t="str">
        <f>IF(NORMALIZADO!CC123="","",NORMALIZADO!CC123)</f>
        <v/>
      </c>
      <c r="I123" t="str">
        <f>IF(NORMALIZADO!CF123="","",NORMALIZADO!CF123)</f>
        <v/>
      </c>
      <c r="J123" t="str">
        <f>IF(NORMALIZADO!CG123="","",NORMALIZADO!CG123)</f>
        <v/>
      </c>
      <c r="K123">
        <f>IFERROR(INDEX(MATRIZ_174!$U:$U,MATCH(A123,MATRIZ_174!$A:$A,0))*100,"")</f>
        <v>100</v>
      </c>
      <c r="L123">
        <f>IFERROR(MATRIZ_174!O123,0)</f>
        <v>0</v>
      </c>
      <c r="N123" t="str">
        <f>IFERROR(ISCAM_Score!AC124,"")</f>
        <v>⬜  Pendiente de instrumento</v>
      </c>
      <c r="O123" t="s">
        <v>77</v>
      </c>
      <c r="P123" t="str">
        <f>IFERROR(INDEX(MATRIZ_174!$C:$C,MATCH(A123,MATRIZ_174!$A:$A,0)),"")</f>
        <v>JUNIN</v>
      </c>
    </row>
    <row r="124" spans="1:16" ht="16.05" customHeight="1" x14ac:dyDescent="0.3">
      <c r="A124" t="s">
        <v>341</v>
      </c>
      <c r="B124" t="s">
        <v>342</v>
      </c>
      <c r="C124" s="36" t="str">
        <f>IFERROR(ISCAM_Score!AL125,"—")</f>
        <v>—</v>
      </c>
      <c r="D124" t="str">
        <f t="shared" si="6"/>
        <v>— Sin Inst.2</v>
      </c>
      <c r="E124" t="str">
        <f t="shared" si="7"/>
        <v/>
      </c>
      <c r="F124">
        <f>IFERROR(MATRIZ_174!L124,0)</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0</v>
      </c>
      <c r="N124" t="str">
        <f>IFERROR(ISCAM_Score!AC125,"")</f>
        <v>⬜  Pendiente de instrumento</v>
      </c>
      <c r="O124" t="s">
        <v>116</v>
      </c>
      <c r="P124" t="str">
        <f>IFERROR(INDEX(MATRIZ_174!$C:$C,MATCH(A124,MATRIZ_174!$A:$A,0)),"")</f>
        <v>AMAZONAS</v>
      </c>
    </row>
    <row r="125" spans="1:16" ht="16.05" customHeight="1" x14ac:dyDescent="0.3">
      <c r="A125" t="s">
        <v>345</v>
      </c>
      <c r="B125" t="s">
        <v>346</v>
      </c>
      <c r="C125" s="36" t="str">
        <f>IFERROR(ISCAM_Score!AL126,"—")</f>
        <v>—</v>
      </c>
      <c r="D125" t="str">
        <f t="shared" si="6"/>
        <v>— Sin Inst.2</v>
      </c>
      <c r="E125" t="str">
        <f t="shared" si="7"/>
        <v/>
      </c>
      <c r="F125">
        <f>IFERROR(MATRIZ_174!L125,0)</f>
        <v>0</v>
      </c>
      <c r="G125">
        <f>IFERROR(MATRIZ_174!M125,0)</f>
        <v>0</v>
      </c>
      <c r="H125" t="str">
        <f>IF(NORMALIZADO!CC125="","",NORMALIZADO!CC125)</f>
        <v/>
      </c>
      <c r="I125" t="str">
        <f>IF(NORMALIZADO!CF125="","",NORMALIZADO!CF125)</f>
        <v/>
      </c>
      <c r="J125" t="str">
        <f>IF(NORMALIZADO!CG125="","",NORMALIZADO!CG125)</f>
        <v/>
      </c>
      <c r="K125">
        <f>IFERROR(INDEX(MATRIZ_174!$U:$U,MATCH(A125,MATRIZ_174!$A:$A,0))*100,"")</f>
        <v>100</v>
      </c>
      <c r="L125">
        <f>IFERROR(MATRIZ_174!O125,0)</f>
        <v>0</v>
      </c>
      <c r="N125" t="str">
        <f>IFERROR(ISCAM_Score!AC126,"")</f>
        <v>⬜  Pendiente de instrumento</v>
      </c>
      <c r="O125" t="s">
        <v>77</v>
      </c>
      <c r="P125" t="str">
        <f>IFERROR(INDEX(MATRIZ_174!$C:$C,MATCH(A125,MATRIZ_174!$A:$A,0)),"")</f>
        <v>JUNIN</v>
      </c>
    </row>
    <row r="126" spans="1:16" ht="16.05" customHeight="1" x14ac:dyDescent="0.3">
      <c r="A126" t="s">
        <v>347</v>
      </c>
      <c r="B126" t="s">
        <v>348</v>
      </c>
      <c r="C126" s="36" t="str">
        <f>IFERROR(ISCAM_Score!AL127,"—")</f>
        <v>—</v>
      </c>
      <c r="D126" t="str">
        <f t="shared" si="6"/>
        <v>— Sin Inst.2</v>
      </c>
      <c r="E126" t="str">
        <f t="shared" si="7"/>
        <v/>
      </c>
      <c r="F126">
        <f>IFERROR(MATRIZ_174!L126,0)</f>
        <v>0</v>
      </c>
      <c r="G126">
        <f>IFERROR(MATRIZ_174!M126,0)</f>
        <v>0</v>
      </c>
      <c r="H126" t="str">
        <f>IF(NORMALIZADO!CC126="","",NORMALIZADO!CC126)</f>
        <v/>
      </c>
      <c r="I126" t="str">
        <f>IF(NORMALIZADO!CF126="","",NORMALIZADO!CF126)</f>
        <v/>
      </c>
      <c r="J126" t="str">
        <f>IF(NORMALIZADO!CG126="","",NORMALIZADO!CG126)</f>
        <v/>
      </c>
      <c r="K126">
        <f>IFERROR(INDEX(MATRIZ_174!$U:$U,MATCH(A126,MATRIZ_174!$A:$A,0))*100,"")</f>
        <v>100</v>
      </c>
      <c r="L126">
        <f>IFERROR(MATRIZ_174!O126,0)</f>
        <v>0</v>
      </c>
      <c r="N126" t="str">
        <f>IFERROR(ISCAM_Score!AC127,"")</f>
        <v>⬜  Pendiente de instrumento</v>
      </c>
      <c r="O126" t="s">
        <v>77</v>
      </c>
      <c r="P126" t="str">
        <f>IFERROR(INDEX(MATRIZ_174!$C:$C,MATCH(A126,MATRIZ_174!$A:$A,0)),"")</f>
        <v>JUNIN</v>
      </c>
    </row>
    <row r="127" spans="1:16" ht="16.05" customHeight="1" x14ac:dyDescent="0.3">
      <c r="A127" t="s">
        <v>349</v>
      </c>
      <c r="B127" t="s">
        <v>350</v>
      </c>
      <c r="C127" s="36" t="str">
        <f>IFERROR(ISCAM_Score!AL128,"—")</f>
        <v>—</v>
      </c>
      <c r="D127" t="str">
        <f t="shared" si="6"/>
        <v>— Sin Inst.2</v>
      </c>
      <c r="E127" t="str">
        <f t="shared" si="7"/>
        <v/>
      </c>
      <c r="F127">
        <f>IFERROR(MATRIZ_174!L127,0)</f>
        <v>0</v>
      </c>
      <c r="G127">
        <f>IFERROR(MATRIZ_174!M127,0)</f>
        <v>0</v>
      </c>
      <c r="H127" t="str">
        <f>IF(NORMALIZADO!CC127="","",NORMALIZADO!CC127)</f>
        <v/>
      </c>
      <c r="I127" t="str">
        <f>IF(NORMALIZADO!CF127="","",NORMALIZADO!CF127)</f>
        <v/>
      </c>
      <c r="J127" t="str">
        <f>IF(NORMALIZADO!CG127="","",NORMALIZADO!CG127)</f>
        <v/>
      </c>
      <c r="K127">
        <f>IFERROR(INDEX(MATRIZ_174!$U:$U,MATCH(A127,MATRIZ_174!$A:$A,0))*100,"")</f>
        <v>100</v>
      </c>
      <c r="L127">
        <f>IFERROR(MATRIZ_174!O127,0)</f>
        <v>0</v>
      </c>
      <c r="N127" t="str">
        <f>IFERROR(ISCAM_Score!AC128,"")</f>
        <v>⬜  Pendiente de instrumento</v>
      </c>
      <c r="O127" t="s">
        <v>77</v>
      </c>
      <c r="P127" t="str">
        <f>IFERROR(INDEX(MATRIZ_174!$C:$C,MATCH(A127,MATRIZ_174!$A:$A,0)),"")</f>
        <v>JUNIN</v>
      </c>
    </row>
    <row r="128" spans="1:16" ht="16.05" customHeight="1" x14ac:dyDescent="0.3">
      <c r="A128" t="s">
        <v>351</v>
      </c>
      <c r="B128" t="s">
        <v>352</v>
      </c>
      <c r="C128" s="36" t="str">
        <f>IFERROR(ISCAM_Score!AL129,"—")</f>
        <v>—</v>
      </c>
      <c r="D128" t="str">
        <f t="shared" si="6"/>
        <v>— Sin Inst.2</v>
      </c>
      <c r="E128" t="str">
        <f t="shared" si="7"/>
        <v/>
      </c>
      <c r="F128">
        <f>IFERROR(MATRIZ_174!L128,0)</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f>IFERROR(MATRIZ_174!O128,0)</f>
        <v>0</v>
      </c>
      <c r="N128" t="str">
        <f>IFERROR(ISCAM_Score!AC129,"")</f>
        <v>⬜  Pendiente de instrumento</v>
      </c>
      <c r="O128" t="s">
        <v>116</v>
      </c>
      <c r="P128" t="str">
        <f>IFERROR(INDEX(MATRIZ_174!$C:$C,MATCH(A128,MATRIZ_174!$A:$A,0)),"")</f>
        <v>AMAZONAS</v>
      </c>
    </row>
    <row r="129" spans="1:16" ht="16.05" customHeight="1" x14ac:dyDescent="0.3">
      <c r="A129" t="s">
        <v>353</v>
      </c>
      <c r="B129" t="s">
        <v>354</v>
      </c>
      <c r="C129" s="36" t="str">
        <f>IFERROR(ISCAM_Score!AL130,"—")</f>
        <v>—</v>
      </c>
      <c r="D129" t="str">
        <f t="shared" si="6"/>
        <v>— Sin Inst.2</v>
      </c>
      <c r="E129" t="str">
        <f t="shared" si="7"/>
        <v/>
      </c>
      <c r="F129">
        <f>IFERROR(MATRIZ_174!L129,0)</f>
        <v>0</v>
      </c>
      <c r="G129">
        <f>IFERROR(MATRIZ_174!M129,0)</f>
        <v>0</v>
      </c>
      <c r="H129" t="str">
        <f>IF(NORMALIZADO!CC129="","",NORMALIZADO!CC129)</f>
        <v/>
      </c>
      <c r="I129" t="str">
        <f>IF(NORMALIZADO!CF129="","",NORMALIZADO!CF129)</f>
        <v/>
      </c>
      <c r="J129" t="str">
        <f>IF(NORMALIZADO!CG129="","",NORMALIZADO!CG129)</f>
        <v/>
      </c>
      <c r="K129">
        <f>IFERROR(INDEX(MATRIZ_174!$U:$U,MATCH(A129,MATRIZ_174!$A:$A,0))*100,"")</f>
        <v>100</v>
      </c>
      <c r="L129">
        <f>IFERROR(MATRIZ_174!O129,0)</f>
        <v>0</v>
      </c>
      <c r="N129" t="str">
        <f>IFERROR(ISCAM_Score!AC130,"")</f>
        <v>⬜  Pendiente de instrumento</v>
      </c>
      <c r="O129" t="s">
        <v>113</v>
      </c>
      <c r="P129" t="str">
        <f>IFERROR(INDEX(MATRIZ_174!$C:$C,MATCH(A129,MATRIZ_174!$A:$A,0)),"")</f>
        <v>UCAYALI</v>
      </c>
    </row>
    <row r="130" spans="1:16" ht="16.05" customHeight="1" x14ac:dyDescent="0.3">
      <c r="A130" t="s">
        <v>355</v>
      </c>
      <c r="B130" t="s">
        <v>356</v>
      </c>
      <c r="C130" s="36" t="str">
        <f>IFERROR(ISCAM_Score!AL131,"—")</f>
        <v>—</v>
      </c>
      <c r="D130" t="str">
        <f t="shared" si="6"/>
        <v>— Sin Inst.2</v>
      </c>
      <c r="E130" t="str">
        <f t="shared" si="7"/>
        <v/>
      </c>
      <c r="F130">
        <f>IFERROR(MATRIZ_174!L130,0)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0</v>
      </c>
      <c r="N130" t="str">
        <f>IFERROR(ISCAM_Score!AC131,"")</f>
        <v>⬜  Pendiente de instrumento</v>
      </c>
      <c r="O130" t="s">
        <v>257</v>
      </c>
      <c r="P130" t="str">
        <f>IFERROR(INDEX(MATRIZ_174!$C:$C,MATCH(A130,MATRIZ_174!$A:$A,0)),"")</f>
        <v>PASCO</v>
      </c>
    </row>
    <row r="131" spans="1:16" ht="16.05" customHeight="1" x14ac:dyDescent="0.3">
      <c r="A131" t="s">
        <v>358</v>
      </c>
      <c r="B131" t="s">
        <v>359</v>
      </c>
      <c r="C131" s="36" t="str">
        <f>IFERROR(ISCAM_Score!AL132,"—")</f>
        <v>—</v>
      </c>
      <c r="D131" t="str">
        <f t="shared" ref="D131:D162" si="8">IF(C131="—","— Sin Inst.2",IF(C131&lt;34,"🔴  Crítico",IF(C131&lt;67,"🟡  Vulnerable","🟢  Preparado")))</f>
        <v>— Sin Inst.2</v>
      </c>
      <c r="E131" t="str">
        <f t="shared" ref="E131:E162" si="9">IFERROR(RANK(C131,C:C,-1),"")</f>
        <v/>
      </c>
      <c r="F131">
        <f>IFERROR(MATRIZ_174!L131,0)</f>
        <v>0</v>
      </c>
      <c r="G131">
        <f>IFERROR(MATRIZ_174!M131,0)</f>
        <v>0</v>
      </c>
      <c r="H131" t="str">
        <f>IF(NORMALIZADO!CC131="","",NORMALIZADO!CC131)</f>
        <v/>
      </c>
      <c r="I131" t="str">
        <f>IF(NORMALIZADO!CF131="","",NORMALIZADO!CF131)</f>
        <v/>
      </c>
      <c r="J131" t="str">
        <f>IF(NORMALIZADO!CG131="","",NORMALIZADO!CG131)</f>
        <v/>
      </c>
      <c r="K131">
        <f>IFERROR(INDEX(MATRIZ_174!$U:$U,MATCH(A131,MATRIZ_174!$A:$A,0))*100,"")</f>
        <v>100</v>
      </c>
      <c r="L131">
        <f>IFERROR(MATRIZ_174!O131,0)</f>
        <v>0</v>
      </c>
      <c r="N131" t="str">
        <f>IFERROR(ISCAM_Score!AC132,"")</f>
        <v>⬜  Pendiente de instrumento</v>
      </c>
      <c r="O131" t="s">
        <v>77</v>
      </c>
      <c r="P131" t="str">
        <f>IFERROR(INDEX(MATRIZ_174!$C:$C,MATCH(A131,MATRIZ_174!$A:$A,0)),"")</f>
        <v>JUNIN</v>
      </c>
    </row>
    <row r="132" spans="1:16" ht="16.05" customHeight="1" x14ac:dyDescent="0.3">
      <c r="A132" t="s">
        <v>360</v>
      </c>
      <c r="B132" t="s">
        <v>361</v>
      </c>
      <c r="C132" s="36" t="str">
        <f>IFERROR(ISCAM_Score!AL133,"—")</f>
        <v>—</v>
      </c>
      <c r="D132" t="str">
        <f t="shared" si="8"/>
        <v>— Sin Inst.2</v>
      </c>
      <c r="E132" t="str">
        <f t="shared" si="9"/>
        <v/>
      </c>
      <c r="F132">
        <f>IFERROR(MATRIZ_174!L132,0)</f>
        <v>0</v>
      </c>
      <c r="G132">
        <f>IFERROR(MATRIZ_174!M132,0)</f>
        <v>0</v>
      </c>
      <c r="H132" t="str">
        <f>IF(NORMALIZADO!CC132="","",NORMALIZADO!CC132)</f>
        <v/>
      </c>
      <c r="I132" t="str">
        <f>IF(NORMALIZADO!CF132="","",NORMALIZADO!CF132)</f>
        <v/>
      </c>
      <c r="J132" t="str">
        <f>IF(NORMALIZADO!CG132="","",NORMALIZADO!CG132)</f>
        <v/>
      </c>
      <c r="K132">
        <f>IFERROR(INDEX(MATRIZ_174!$U:$U,MATCH(A132,MATRIZ_174!$A:$A,0))*100,"")</f>
        <v>100</v>
      </c>
      <c r="L132">
        <f>IFERROR(MATRIZ_174!O132,0)</f>
        <v>0</v>
      </c>
      <c r="N132" t="str">
        <f>IFERROR(ISCAM_Score!AC133,"")</f>
        <v>⬜  Pendiente de instrumento</v>
      </c>
      <c r="O132" t="s">
        <v>113</v>
      </c>
      <c r="P132" t="str">
        <f>IFERROR(INDEX(MATRIZ_174!$C:$C,MATCH(A132,MATRIZ_174!$A:$A,0)),"")</f>
        <v>UCAYALI</v>
      </c>
    </row>
    <row r="133" spans="1:16" ht="16.05" customHeight="1" x14ac:dyDescent="0.3">
      <c r="A133" t="s">
        <v>362</v>
      </c>
      <c r="B133" t="s">
        <v>363</v>
      </c>
      <c r="C133" s="36" t="str">
        <f>IFERROR(ISCAM_Score!AL134,"—")</f>
        <v>—</v>
      </c>
      <c r="D133" t="str">
        <f t="shared" si="8"/>
        <v>— Sin Inst.2</v>
      </c>
      <c r="E133" t="str">
        <f t="shared" si="9"/>
        <v/>
      </c>
      <c r="F133">
        <f>IFERROR(MATRIZ_174!L133,0)</f>
        <v>0</v>
      </c>
      <c r="G133">
        <f>IFERROR(MATRIZ_174!M133,0)</f>
        <v>0</v>
      </c>
      <c r="H133" t="str">
        <f>IF(NORMALIZADO!CC133="","",NORMALIZADO!CC133)</f>
        <v/>
      </c>
      <c r="I133" t="str">
        <f>IF(NORMALIZADO!CF133="","",NORMALIZADO!CF133)</f>
        <v/>
      </c>
      <c r="J133" t="str">
        <f>IF(NORMALIZADO!CG133="","",NORMALIZADO!CG133)</f>
        <v/>
      </c>
      <c r="K133">
        <f>IFERROR(INDEX(MATRIZ_174!$U:$U,MATCH(A133,MATRIZ_174!$A:$A,0))*100,"")</f>
        <v>100</v>
      </c>
      <c r="L133">
        <f>IFERROR(MATRIZ_174!O133,0)</f>
        <v>0</v>
      </c>
      <c r="N133" t="str">
        <f>IFERROR(ISCAM_Score!AC134,"")</f>
        <v>⬜  Pendiente de instrumento</v>
      </c>
      <c r="O133" t="s">
        <v>107</v>
      </c>
      <c r="P133" t="str">
        <f>IFERROR(INDEX(MATRIZ_174!$C:$C,MATCH(A133,MATRIZ_174!$A:$A,0)),"")</f>
        <v>PIURA</v>
      </c>
    </row>
    <row r="134" spans="1:16" ht="16.05" customHeight="1" x14ac:dyDescent="0.3">
      <c r="A134" t="s">
        <v>364</v>
      </c>
      <c r="B134" t="s">
        <v>365</v>
      </c>
      <c r="C134" s="36" t="str">
        <f>IFERROR(ISCAM_Score!AL135,"—")</f>
        <v>—</v>
      </c>
      <c r="D134" t="str">
        <f t="shared" si="8"/>
        <v>— Sin Inst.2</v>
      </c>
      <c r="E134" t="str">
        <f t="shared" si="9"/>
        <v/>
      </c>
      <c r="F134">
        <f>IFERROR(MATRIZ_174!L134,0)</f>
        <v>0</v>
      </c>
      <c r="G134">
        <f>IFERROR(MATRIZ_174!M134,0)</f>
        <v>0</v>
      </c>
      <c r="H134" t="str">
        <f>IF(NORMALIZADO!CC134="","",NORMALIZADO!CC134)</f>
        <v/>
      </c>
      <c r="I134" t="str">
        <f>IF(NORMALIZADO!CF134="","",NORMALIZADO!CF134)</f>
        <v/>
      </c>
      <c r="J134" t="str">
        <f>IF(NORMALIZADO!CG134="","",NORMALIZADO!CG134)</f>
        <v/>
      </c>
      <c r="K134">
        <f>IFERROR(INDEX(MATRIZ_174!$U:$U,MATCH(A134,MATRIZ_174!$A:$A,0))*100,"")</f>
        <v>100</v>
      </c>
      <c r="L134">
        <f>IFERROR(MATRIZ_174!O134,0)</f>
        <v>0</v>
      </c>
      <c r="N134" t="str">
        <f>IFERROR(ISCAM_Score!AC135,"")</f>
        <v>⬜  Pendiente de instrumento</v>
      </c>
      <c r="O134" t="s">
        <v>77</v>
      </c>
      <c r="P134" t="str">
        <f>IFERROR(INDEX(MATRIZ_174!$C:$C,MATCH(A134,MATRIZ_174!$A:$A,0)),"")</f>
        <v>JUNIN</v>
      </c>
    </row>
    <row r="135" spans="1:16" ht="16.05" customHeight="1" x14ac:dyDescent="0.3">
      <c r="A135" t="s">
        <v>368</v>
      </c>
      <c r="B135" t="s">
        <v>369</v>
      </c>
      <c r="C135" s="36" t="str">
        <f>IFERROR(ISCAM_Score!AL136,"—")</f>
        <v>—</v>
      </c>
      <c r="D135" t="str">
        <f t="shared" si="8"/>
        <v>— Sin Inst.2</v>
      </c>
      <c r="E135" t="str">
        <f t="shared" si="9"/>
        <v/>
      </c>
      <c r="F135">
        <f>IFERROR(MATRIZ_174!L135,0)</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0</v>
      </c>
      <c r="N135" t="str">
        <f>IFERROR(ISCAM_Score!AC136,"")</f>
        <v>⬜  Pendiente de instrumento</v>
      </c>
      <c r="O135" t="s">
        <v>143</v>
      </c>
      <c r="P135" t="str">
        <f>IFERROR(INDEX(MATRIZ_174!$C:$C,MATCH(A135,MATRIZ_174!$A:$A,0)),"")</f>
        <v>SAN MARTIN</v>
      </c>
    </row>
    <row r="136" spans="1:16" ht="16.05" customHeight="1" x14ac:dyDescent="0.3">
      <c r="A136" t="s">
        <v>371</v>
      </c>
      <c r="B136" t="s">
        <v>372</v>
      </c>
      <c r="C136" s="36" t="str">
        <f>IFERROR(ISCAM_Score!AL137,"—")</f>
        <v>—</v>
      </c>
      <c r="D136" t="str">
        <f t="shared" si="8"/>
        <v>— Sin Inst.2</v>
      </c>
      <c r="E136" t="str">
        <f t="shared" si="9"/>
        <v/>
      </c>
      <c r="F136">
        <f>IFERROR(MATRIZ_174!L136,0)</f>
        <v>0</v>
      </c>
      <c r="G136">
        <f>IFERROR(MATRIZ_174!M136,0)</f>
        <v>0</v>
      </c>
      <c r="H136" t="str">
        <f>IF(NORMALIZADO!CC136="","",NORMALIZADO!CC136)</f>
        <v/>
      </c>
      <c r="I136" t="str">
        <f>IF(NORMALIZADO!CF136="","",NORMALIZADO!CF136)</f>
        <v/>
      </c>
      <c r="J136" t="str">
        <f>IF(NORMALIZADO!CG136="","",NORMALIZADO!CG136)</f>
        <v/>
      </c>
      <c r="K136">
        <f>IFERROR(INDEX(MATRIZ_174!$U:$U,MATCH(A136,MATRIZ_174!$A:$A,0))*100,"")</f>
        <v>100</v>
      </c>
      <c r="L136">
        <f>IFERROR(MATRIZ_174!O136,0)</f>
        <v>0</v>
      </c>
      <c r="N136" t="str">
        <f>IFERROR(ISCAM_Score!AC137,"")</f>
        <v>⬜  Pendiente de instrumento</v>
      </c>
      <c r="O136" t="s">
        <v>77</v>
      </c>
      <c r="P136" t="str">
        <f>IFERROR(INDEX(MATRIZ_174!$C:$C,MATCH(A136,MATRIZ_174!$A:$A,0)),"")</f>
        <v>JUNIN</v>
      </c>
    </row>
    <row r="137" spans="1:16" ht="16.05" customHeight="1" x14ac:dyDescent="0.3">
      <c r="A137" t="s">
        <v>373</v>
      </c>
      <c r="B137" t="s">
        <v>374</v>
      </c>
      <c r="C137" s="36" t="str">
        <f>IFERROR(ISCAM_Score!AL138,"—")</f>
        <v>—</v>
      </c>
      <c r="D137" t="str">
        <f t="shared" si="8"/>
        <v>— Sin Inst.2</v>
      </c>
      <c r="E137" t="str">
        <f t="shared" si="9"/>
        <v/>
      </c>
      <c r="F137">
        <f>IFERROR(MATRIZ_174!L137,0)</f>
        <v>0</v>
      </c>
      <c r="G137">
        <f>IFERROR(MATRIZ_174!M137,0)</f>
        <v>0</v>
      </c>
      <c r="H137" t="str">
        <f>IF(NORMALIZADO!CC137="","",NORMALIZADO!CC137)</f>
        <v/>
      </c>
      <c r="I137" t="str">
        <f>IF(NORMALIZADO!CF137="","",NORMALIZADO!CF137)</f>
        <v/>
      </c>
      <c r="J137" t="str">
        <f>IF(NORMALIZADO!CG137="","",NORMALIZADO!CG137)</f>
        <v/>
      </c>
      <c r="K137">
        <f>IFERROR(INDEX(MATRIZ_174!$U:$U,MATCH(A137,MATRIZ_174!$A:$A,0))*100,"")</f>
        <v>100</v>
      </c>
      <c r="L137">
        <f>IFERROR(MATRIZ_174!O137,0)</f>
        <v>0</v>
      </c>
      <c r="N137" t="str">
        <f>IFERROR(ISCAM_Score!AC138,"")</f>
        <v>⬜  Pendiente de instrumento</v>
      </c>
      <c r="O137" t="s">
        <v>80</v>
      </c>
      <c r="P137" t="str">
        <f>IFERROR(INDEX(MATRIZ_174!$C:$C,MATCH(A137,MATRIZ_174!$A:$A,0)),"")</f>
        <v>CUSCO</v>
      </c>
    </row>
    <row r="138" spans="1:16" ht="16.05" customHeight="1" x14ac:dyDescent="0.3">
      <c r="A138" t="s">
        <v>375</v>
      </c>
      <c r="B138" t="s">
        <v>376</v>
      </c>
      <c r="C138" s="36" t="str">
        <f>IFERROR(ISCAM_Score!AL139,"—")</f>
        <v>—</v>
      </c>
      <c r="D138" t="str">
        <f t="shared" si="8"/>
        <v>— Sin Inst.2</v>
      </c>
      <c r="E138" t="str">
        <f t="shared" si="9"/>
        <v/>
      </c>
      <c r="F138">
        <f>IFERROR(MATRIZ_174!L138,0)</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f>IFERROR(MATRIZ_174!O138,0)</f>
        <v>0</v>
      </c>
      <c r="N138" t="str">
        <f>IFERROR(ISCAM_Score!AC139,"")</f>
        <v>⬜  Pendiente de instrumento</v>
      </c>
      <c r="O138" t="s">
        <v>116</v>
      </c>
      <c r="P138" t="str">
        <f>IFERROR(INDEX(MATRIZ_174!$C:$C,MATCH(A138,MATRIZ_174!$A:$A,0)),"")</f>
        <v>AMAZONAS</v>
      </c>
    </row>
    <row r="139" spans="1:16" ht="16.05" customHeight="1" x14ac:dyDescent="0.3">
      <c r="A139" t="s">
        <v>377</v>
      </c>
      <c r="B139" t="s">
        <v>378</v>
      </c>
      <c r="C139" s="36" t="str">
        <f>IFERROR(ISCAM_Score!AL140,"—")</f>
        <v>—</v>
      </c>
      <c r="D139" t="str">
        <f t="shared" si="8"/>
        <v>— Sin Inst.2</v>
      </c>
      <c r="E139" t="str">
        <f t="shared" si="9"/>
        <v/>
      </c>
      <c r="F139">
        <f>IFERROR(MATRIZ_174!L139,0)</f>
        <v>0</v>
      </c>
      <c r="G139">
        <f>IFERROR(MATRIZ_174!M139,0)</f>
        <v>0</v>
      </c>
      <c r="H139" t="str">
        <f>IF(NORMALIZADO!CC139="","",NORMALIZADO!CC139)</f>
        <v/>
      </c>
      <c r="I139" t="str">
        <f>IF(NORMALIZADO!CF139="","",NORMALIZADO!CF139)</f>
        <v/>
      </c>
      <c r="J139" t="str">
        <f>IF(NORMALIZADO!CG139="","",NORMALIZADO!CG139)</f>
        <v/>
      </c>
      <c r="K139">
        <f>IFERROR(INDEX(MATRIZ_174!$U:$U,MATCH(A139,MATRIZ_174!$A:$A,0))*100,"")</f>
        <v>100</v>
      </c>
      <c r="L139">
        <f>IFERROR(MATRIZ_174!O139,0)</f>
        <v>0</v>
      </c>
      <c r="N139" t="str">
        <f>IFERROR(ISCAM_Score!AC140,"")</f>
        <v>⬜  Pendiente de instrumento</v>
      </c>
      <c r="O139" t="s">
        <v>196</v>
      </c>
      <c r="P139" t="str">
        <f>IFERROR(INDEX(MATRIZ_174!$C:$C,MATCH(A139,MATRIZ_174!$A:$A,0)),"")</f>
        <v>LORETO</v>
      </c>
    </row>
    <row r="140" spans="1:16" ht="16.05" customHeight="1" x14ac:dyDescent="0.3">
      <c r="A140" t="s">
        <v>379</v>
      </c>
      <c r="B140" t="s">
        <v>380</v>
      </c>
      <c r="C140" s="36" t="str">
        <f>IFERROR(ISCAM_Score!AL141,"—")</f>
        <v>—</v>
      </c>
      <c r="D140" t="str">
        <f t="shared" si="8"/>
        <v>— Sin Inst.2</v>
      </c>
      <c r="E140" t="str">
        <f t="shared" si="9"/>
        <v/>
      </c>
      <c r="F140">
        <f>IFERROR(MATRIZ_174!L140,0)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f>IFERROR(MATRIZ_174!O140,0)</f>
        <v>0</v>
      </c>
      <c r="N140" t="str">
        <f>IFERROR(ISCAM_Score!AC141,"")</f>
        <v>⬜  Pendiente de instrumento</v>
      </c>
      <c r="O140" t="s">
        <v>77</v>
      </c>
      <c r="P140" t="str">
        <f>IFERROR(INDEX(MATRIZ_174!$C:$C,MATCH(A140,MATRIZ_174!$A:$A,0)),"")</f>
        <v>JUNIN</v>
      </c>
    </row>
    <row r="141" spans="1:16" ht="16.05" customHeight="1" x14ac:dyDescent="0.3">
      <c r="A141" t="s">
        <v>381</v>
      </c>
      <c r="B141" t="s">
        <v>382</v>
      </c>
      <c r="C141" s="36" t="str">
        <f>IFERROR(ISCAM_Score!AL142,"—")</f>
        <v>—</v>
      </c>
      <c r="D141" t="str">
        <f t="shared" si="8"/>
        <v>— Sin Inst.2</v>
      </c>
      <c r="E141" t="str">
        <f t="shared" si="9"/>
        <v/>
      </c>
      <c r="F141">
        <f>IFERROR(MATRIZ_174!L141,0)</f>
        <v>0</v>
      </c>
      <c r="G141">
        <f>IFERROR(MATRIZ_174!M141,0)</f>
        <v>0</v>
      </c>
      <c r="H141" t="str">
        <f>IF(NORMALIZADO!CC141="","",NORMALIZADO!CC141)</f>
        <v/>
      </c>
      <c r="I141" t="str">
        <f>IF(NORMALIZADO!CF141="","",NORMALIZADO!CF141)</f>
        <v/>
      </c>
      <c r="J141" t="str">
        <f>IF(NORMALIZADO!CG141="","",NORMALIZADO!CG141)</f>
        <v/>
      </c>
      <c r="K141">
        <f>IFERROR(INDEX(MATRIZ_174!$U:$U,MATCH(A141,MATRIZ_174!$A:$A,0))*100,"")</f>
        <v>100</v>
      </c>
      <c r="L141">
        <f>IFERROR(MATRIZ_174!O141,0)</f>
        <v>0</v>
      </c>
      <c r="N141" t="str">
        <f>IFERROR(ISCAM_Score!AC142,"")</f>
        <v>⬜  Pendiente de instrumento</v>
      </c>
      <c r="O141" t="s">
        <v>80</v>
      </c>
      <c r="P141" t="str">
        <f>IFERROR(INDEX(MATRIZ_174!$C:$C,MATCH(A141,MATRIZ_174!$A:$A,0)),"")</f>
        <v>CUSCO</v>
      </c>
    </row>
    <row r="142" spans="1:16" ht="16.05" customHeight="1" x14ac:dyDescent="0.3">
      <c r="A142" t="s">
        <v>383</v>
      </c>
      <c r="B142" t="s">
        <v>384</v>
      </c>
      <c r="C142" s="36" t="str">
        <f>IFERROR(ISCAM_Score!AL143,"—")</f>
        <v>—</v>
      </c>
      <c r="D142" t="str">
        <f t="shared" si="8"/>
        <v>— Sin Inst.2</v>
      </c>
      <c r="E142" t="str">
        <f t="shared" si="9"/>
        <v/>
      </c>
      <c r="F142">
        <f>IFERROR(MATRIZ_174!L142,0)</f>
        <v>0</v>
      </c>
      <c r="G142">
        <f>IFERROR(MATRIZ_174!M142,0)</f>
        <v>0</v>
      </c>
      <c r="H142" t="str">
        <f>IF(NORMALIZADO!CC142="","",NORMALIZADO!CC142)</f>
        <v/>
      </c>
      <c r="I142" t="str">
        <f>IF(NORMALIZADO!CF142="","",NORMALIZADO!CF142)</f>
        <v/>
      </c>
      <c r="J142" t="str">
        <f>IF(NORMALIZADO!CG142="","",NORMALIZADO!CG142)</f>
        <v/>
      </c>
      <c r="K142">
        <f>IFERROR(INDEX(MATRIZ_174!$U:$U,MATCH(A142,MATRIZ_174!$A:$A,0))*100,"")</f>
        <v>100</v>
      </c>
      <c r="L142">
        <f>IFERROR(MATRIZ_174!O142,0)</f>
        <v>0</v>
      </c>
      <c r="N142" t="str">
        <f>IFERROR(ISCAM_Score!AC143,"")</f>
        <v>⬜  Pendiente de instrumento</v>
      </c>
      <c r="O142" t="s">
        <v>80</v>
      </c>
      <c r="P142" t="str">
        <f>IFERROR(INDEX(MATRIZ_174!$C:$C,MATCH(A142,MATRIZ_174!$A:$A,0)),"")</f>
        <v>CUSCO</v>
      </c>
    </row>
    <row r="143" spans="1:16" ht="16.05" customHeight="1" x14ac:dyDescent="0.3">
      <c r="A143" t="s">
        <v>385</v>
      </c>
      <c r="B143" t="s">
        <v>386</v>
      </c>
      <c r="C143" s="36" t="str">
        <f>IFERROR(ISCAM_Score!AL144,"—")</f>
        <v>—</v>
      </c>
      <c r="D143" t="str">
        <f t="shared" si="8"/>
        <v>— Sin Inst.2</v>
      </c>
      <c r="E143" t="str">
        <f t="shared" si="9"/>
        <v/>
      </c>
      <c r="F143">
        <f>IFERROR(MATRIZ_174!L143,0)</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0</v>
      </c>
      <c r="N143" t="str">
        <f>IFERROR(ISCAM_Score!AC144,"")</f>
        <v>⬜  Pendiente de instrumento</v>
      </c>
      <c r="O143" t="s">
        <v>143</v>
      </c>
      <c r="P143" t="str">
        <f>IFERROR(INDEX(MATRIZ_174!$C:$C,MATCH(A143,MATRIZ_174!$A:$A,0)),"")</f>
        <v>SAN MARTIN</v>
      </c>
    </row>
    <row r="144" spans="1:16" ht="16.05" customHeight="1" x14ac:dyDescent="0.3">
      <c r="A144" t="s">
        <v>388</v>
      </c>
      <c r="B144" t="s">
        <v>389</v>
      </c>
      <c r="C144" s="36" t="str">
        <f>IFERROR(ISCAM_Score!AL145,"—")</f>
        <v>—</v>
      </c>
      <c r="D144" t="str">
        <f t="shared" si="8"/>
        <v>— Sin Inst.2</v>
      </c>
      <c r="E144" t="str">
        <f t="shared" si="9"/>
        <v/>
      </c>
      <c r="F144">
        <f>IFERROR(MATRIZ_174!L144,0)</f>
        <v>0</v>
      </c>
      <c r="G144">
        <f>IFERROR(MATRIZ_174!M144,0)</f>
        <v>0</v>
      </c>
      <c r="H144" t="str">
        <f>IF(NORMALIZADO!CC144="","",NORMALIZADO!CC144)</f>
        <v/>
      </c>
      <c r="I144" t="str">
        <f>IF(NORMALIZADO!CF144="","",NORMALIZADO!CF144)</f>
        <v/>
      </c>
      <c r="J144" t="str">
        <f>IF(NORMALIZADO!CG144="","",NORMALIZADO!CG144)</f>
        <v/>
      </c>
      <c r="K144">
        <f>IFERROR(INDEX(MATRIZ_174!$U:$U,MATCH(A144,MATRIZ_174!$A:$A,0))*100,"")</f>
        <v>100</v>
      </c>
      <c r="L144">
        <f>IFERROR(MATRIZ_174!O144,0)</f>
        <v>0</v>
      </c>
      <c r="N144" t="str">
        <f>IFERROR(ISCAM_Score!AC145,"")</f>
        <v>⬜  Pendiente de instrumento</v>
      </c>
      <c r="O144" t="s">
        <v>80</v>
      </c>
      <c r="P144" t="str">
        <f>IFERROR(INDEX(MATRIZ_174!$C:$C,MATCH(A144,MATRIZ_174!$A:$A,0)),"")</f>
        <v>CUSCO</v>
      </c>
    </row>
    <row r="145" spans="1:16" ht="16.05" customHeight="1" x14ac:dyDescent="0.3">
      <c r="A145" t="s">
        <v>390</v>
      </c>
      <c r="B145" t="s">
        <v>391</v>
      </c>
      <c r="C145" s="36" t="str">
        <f>IFERROR(ISCAM_Score!AL146,"—")</f>
        <v>—</v>
      </c>
      <c r="D145" t="str">
        <f t="shared" si="8"/>
        <v>— Sin Inst.2</v>
      </c>
      <c r="E145" t="str">
        <f t="shared" si="9"/>
        <v/>
      </c>
      <c r="F145">
        <f>IFERROR(MATRIZ_174!L145,0)</f>
        <v>0</v>
      </c>
      <c r="G145">
        <f>IFERROR(MATRIZ_174!M145,0)</f>
        <v>0</v>
      </c>
      <c r="H145" t="str">
        <f>IF(NORMALIZADO!CC145="","",NORMALIZADO!CC145)</f>
        <v/>
      </c>
      <c r="I145" t="str">
        <f>IF(NORMALIZADO!CF145="","",NORMALIZADO!CF145)</f>
        <v/>
      </c>
      <c r="J145" t="str">
        <f>IF(NORMALIZADO!CG145="","",NORMALIZADO!CG145)</f>
        <v/>
      </c>
      <c r="K145">
        <f>IFERROR(INDEX(MATRIZ_174!$U:$U,MATCH(A145,MATRIZ_174!$A:$A,0))*100,"")</f>
        <v>100</v>
      </c>
      <c r="L145">
        <f>IFERROR(MATRIZ_174!O145,0)</f>
        <v>0</v>
      </c>
      <c r="N145" t="str">
        <f>IFERROR(ISCAM_Score!AC146,"")</f>
        <v>⬜  Pendiente de instrumento</v>
      </c>
      <c r="O145" t="s">
        <v>80</v>
      </c>
      <c r="P145" t="str">
        <f>IFERROR(INDEX(MATRIZ_174!$C:$C,MATCH(A145,MATRIZ_174!$A:$A,0)),"")</f>
        <v>CUSCO</v>
      </c>
    </row>
    <row r="146" spans="1:16" ht="16.05" customHeight="1" x14ac:dyDescent="0.3">
      <c r="A146" t="s">
        <v>392</v>
      </c>
      <c r="B146" t="s">
        <v>393</v>
      </c>
      <c r="C146" s="36" t="str">
        <f>IFERROR(ISCAM_Score!AL147,"—")</f>
        <v>—</v>
      </c>
      <c r="D146" t="str">
        <f t="shared" si="8"/>
        <v>— Sin Inst.2</v>
      </c>
      <c r="E146" t="str">
        <f t="shared" si="9"/>
        <v/>
      </c>
      <c r="F146">
        <f>IFERROR(MATRIZ_174!L146,0)</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0</v>
      </c>
      <c r="N146" t="str">
        <f>IFERROR(ISCAM_Score!AC147,"")</f>
        <v>⬜  Pendiente de instrumento</v>
      </c>
      <c r="O146" t="s">
        <v>77</v>
      </c>
      <c r="P146" t="str">
        <f>IFERROR(INDEX(MATRIZ_174!$C:$C,MATCH(A146,MATRIZ_174!$A:$A,0)),"")</f>
        <v>JUNIN</v>
      </c>
    </row>
    <row r="147" spans="1:16" ht="16.05" customHeight="1" x14ac:dyDescent="0.3">
      <c r="A147" t="s">
        <v>395</v>
      </c>
      <c r="B147" t="s">
        <v>396</v>
      </c>
      <c r="C147" s="36" t="str">
        <f>IFERROR(ISCAM_Score!AL148,"—")</f>
        <v>—</v>
      </c>
      <c r="D147" t="str">
        <f t="shared" si="8"/>
        <v>— Sin Inst.2</v>
      </c>
      <c r="E147" t="str">
        <f t="shared" si="9"/>
        <v/>
      </c>
      <c r="F147">
        <f>IFERROR(MATRIZ_174!L147,0)</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f>IFERROR(MATRIZ_174!O147,0)</f>
        <v>0</v>
      </c>
      <c r="N147" t="str">
        <f>IFERROR(ISCAM_Score!AC148,"")</f>
        <v>⬜  Pendiente de instrumento</v>
      </c>
      <c r="O147" t="s">
        <v>248</v>
      </c>
      <c r="P147" t="str">
        <f>IFERROR(INDEX(MATRIZ_174!$C:$C,MATCH(A147,MATRIZ_174!$A:$A,0)),"")</f>
        <v>MADRE DE DIOS</v>
      </c>
    </row>
    <row r="148" spans="1:16" ht="16.05" customHeight="1" x14ac:dyDescent="0.3">
      <c r="A148" t="s">
        <v>397</v>
      </c>
      <c r="B148" t="s">
        <v>398</v>
      </c>
      <c r="C148" s="36" t="str">
        <f>IFERROR(ISCAM_Score!AL149,"—")</f>
        <v>—</v>
      </c>
      <c r="D148" t="str">
        <f t="shared" si="8"/>
        <v>— Sin Inst.2</v>
      </c>
      <c r="E148" t="str">
        <f t="shared" si="9"/>
        <v/>
      </c>
      <c r="F148">
        <f>IFERROR(MATRIZ_174!L148,0)</f>
        <v>0</v>
      </c>
      <c r="G148">
        <f>IFERROR(MATRIZ_174!M148,0)</f>
        <v>0</v>
      </c>
      <c r="H148" t="str">
        <f>IF(NORMALIZADO!CC148="","",NORMALIZADO!CC148)</f>
        <v/>
      </c>
      <c r="I148" t="str">
        <f>IF(NORMALIZADO!CF148="","",NORMALIZADO!CF148)</f>
        <v/>
      </c>
      <c r="J148" t="str">
        <f>IF(NORMALIZADO!CG148="","",NORMALIZADO!CG148)</f>
        <v/>
      </c>
      <c r="K148">
        <f>IFERROR(INDEX(MATRIZ_174!$U:$U,MATCH(A148,MATRIZ_174!$A:$A,0))*100,"")</f>
        <v>100</v>
      </c>
      <c r="L148">
        <f>IFERROR(MATRIZ_174!O148,0)</f>
        <v>0</v>
      </c>
      <c r="N148" t="str">
        <f>IFERROR(ISCAM_Score!AC149,"")</f>
        <v>⬜  Pendiente de instrumento</v>
      </c>
      <c r="O148" t="s">
        <v>80</v>
      </c>
      <c r="P148" t="str">
        <f>IFERROR(INDEX(MATRIZ_174!$C:$C,MATCH(A148,MATRIZ_174!$A:$A,0)),"")</f>
        <v>CUSCO</v>
      </c>
    </row>
    <row r="149" spans="1:16" ht="16.05" customHeight="1" x14ac:dyDescent="0.3">
      <c r="A149" t="s">
        <v>399</v>
      </c>
      <c r="B149" t="s">
        <v>400</v>
      </c>
      <c r="C149" s="36" t="str">
        <f>IFERROR(ISCAM_Score!AL150,"—")</f>
        <v>—</v>
      </c>
      <c r="D149" t="str">
        <f t="shared" si="8"/>
        <v>— Sin Inst.2</v>
      </c>
      <c r="E149" t="str">
        <f t="shared" si="9"/>
        <v/>
      </c>
      <c r="F149">
        <f>IFERROR(MATRIZ_174!L149,0)</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154</v>
      </c>
      <c r="P149" t="str">
        <f>IFERROR(INDEX(MATRIZ_174!$C:$C,MATCH(A149,MATRIZ_174!$A:$A,0)),"")</f>
        <v>CAJAMARCA</v>
      </c>
    </row>
    <row r="150" spans="1:16" ht="16.05" customHeight="1" x14ac:dyDescent="0.3">
      <c r="A150" t="s">
        <v>401</v>
      </c>
      <c r="B150" t="s">
        <v>402</v>
      </c>
      <c r="C150" s="36" t="str">
        <f>IFERROR(ISCAM_Score!AL151,"—")</f>
        <v>—</v>
      </c>
      <c r="D150" t="str">
        <f t="shared" si="8"/>
        <v>— Sin Inst.2</v>
      </c>
      <c r="E150" t="str">
        <f t="shared" si="9"/>
        <v/>
      </c>
      <c r="F150">
        <f>IFERROR(MATRIZ_174!L150,0)</f>
        <v>0</v>
      </c>
      <c r="G150">
        <f>IFERROR(MATRIZ_174!M150,0)</f>
        <v>0</v>
      </c>
      <c r="H150" t="str">
        <f>IF(NORMALIZADO!CC150="","",NORMALIZADO!CC150)</f>
        <v/>
      </c>
      <c r="I150" t="str">
        <f>IF(NORMALIZADO!CF150="","",NORMALIZADO!CF150)</f>
        <v/>
      </c>
      <c r="J150" t="str">
        <f>IF(NORMALIZADO!CG150="","",NORMALIZADO!CG150)</f>
        <v/>
      </c>
      <c r="K150">
        <f>IFERROR(INDEX(MATRIZ_174!$U:$U,MATCH(A150,MATRIZ_174!$A:$A,0))*100,"")</f>
        <v>100</v>
      </c>
      <c r="L150">
        <f>IFERROR(MATRIZ_174!O150,0)</f>
        <v>0</v>
      </c>
      <c r="N150" t="str">
        <f>IFERROR(ISCAM_Score!AC151,"")</f>
        <v>⬜  Pendiente de instrumento</v>
      </c>
      <c r="O150" t="s">
        <v>107</v>
      </c>
      <c r="P150" t="str">
        <f>IFERROR(INDEX(MATRIZ_174!$C:$C,MATCH(A150,MATRIZ_174!$A:$A,0)),"")</f>
        <v>PIURA</v>
      </c>
    </row>
    <row r="151" spans="1:16" ht="16.05" customHeight="1" x14ac:dyDescent="0.3">
      <c r="A151" t="s">
        <v>403</v>
      </c>
      <c r="B151" t="s">
        <v>404</v>
      </c>
      <c r="C151" s="36" t="str">
        <f>IFERROR(ISCAM_Score!AL152,"—")</f>
        <v>—</v>
      </c>
      <c r="D151" t="str">
        <f t="shared" si="8"/>
        <v>— Sin Inst.2</v>
      </c>
      <c r="E151" t="str">
        <f t="shared" si="9"/>
        <v/>
      </c>
      <c r="F151">
        <f>IFERROR(MATRIZ_174!L151,0)</f>
        <v>0</v>
      </c>
      <c r="G151">
        <f>IFERROR(MATRIZ_174!M151,0)</f>
        <v>0</v>
      </c>
      <c r="H151" t="str">
        <f>IF(NORMALIZADO!CC151="","",NORMALIZADO!CC151)</f>
        <v/>
      </c>
      <c r="I151" t="str">
        <f>IF(NORMALIZADO!CF151="","",NORMALIZADO!CF151)</f>
        <v/>
      </c>
      <c r="J151" t="str">
        <f>IF(NORMALIZADO!CG151="","",NORMALIZADO!CG151)</f>
        <v/>
      </c>
      <c r="K151">
        <f>IFERROR(INDEX(MATRIZ_174!$U:$U,MATCH(A151,MATRIZ_174!$A:$A,0))*100,"")</f>
        <v>100</v>
      </c>
      <c r="L151">
        <f>IFERROR(MATRIZ_174!O151,0)</f>
        <v>0</v>
      </c>
      <c r="N151" t="str">
        <f>IFERROR(ISCAM_Score!AC152,"")</f>
        <v>⬜  Pendiente de instrumento</v>
      </c>
      <c r="O151" t="s">
        <v>183</v>
      </c>
      <c r="P151" t="str">
        <f>IFERROR(INDEX(MATRIZ_174!$C:$C,MATCH(A151,MATRIZ_174!$A:$A,0)),"")</f>
        <v>LAMBAYEQUE</v>
      </c>
    </row>
    <row r="152" spans="1:16" ht="16.05" customHeight="1" x14ac:dyDescent="0.3">
      <c r="A152" t="s">
        <v>405</v>
      </c>
      <c r="B152" t="s">
        <v>406</v>
      </c>
      <c r="C152" s="36" t="str">
        <f>IFERROR(ISCAM_Score!AL153,"—")</f>
        <v>—</v>
      </c>
      <c r="D152" t="str">
        <f t="shared" si="8"/>
        <v>— Sin Inst.2</v>
      </c>
      <c r="E152" t="str">
        <f t="shared" si="9"/>
        <v/>
      </c>
      <c r="F152">
        <f>IFERROR(MATRIZ_174!L152,0)</f>
        <v>0</v>
      </c>
      <c r="G152">
        <f>IFERROR(MATRIZ_174!M152,0)</f>
        <v>0</v>
      </c>
      <c r="H152" t="str">
        <f>IF(NORMALIZADO!CC152="","",NORMALIZADO!CC152)</f>
        <v/>
      </c>
      <c r="I152" t="str">
        <f>IF(NORMALIZADO!CF152="","",NORMALIZADO!CF152)</f>
        <v/>
      </c>
      <c r="J152" t="str">
        <f>IF(NORMALIZADO!CG152="","",NORMALIZADO!CG152)</f>
        <v/>
      </c>
      <c r="K152">
        <f>IFERROR(INDEX(MATRIZ_174!$U:$U,MATCH(A152,MATRIZ_174!$A:$A,0))*100,"")</f>
        <v>100</v>
      </c>
      <c r="L152">
        <f>IFERROR(MATRIZ_174!O152,0)</f>
        <v>0</v>
      </c>
      <c r="N152" t="str">
        <f>IFERROR(ISCAM_Score!AC153,"")</f>
        <v>⬜  Pendiente de instrumento</v>
      </c>
      <c r="O152" t="s">
        <v>80</v>
      </c>
      <c r="P152" t="str">
        <f>IFERROR(INDEX(MATRIZ_174!$C:$C,MATCH(A152,MATRIZ_174!$A:$A,0)),"")</f>
        <v>CUSCO</v>
      </c>
    </row>
    <row r="153" spans="1:16" ht="16.05" customHeight="1" x14ac:dyDescent="0.3">
      <c r="A153" t="s">
        <v>407</v>
      </c>
      <c r="B153" t="s">
        <v>408</v>
      </c>
      <c r="C153" s="36" t="str">
        <f>IFERROR(ISCAM_Score!AL154,"—")</f>
        <v>—</v>
      </c>
      <c r="D153" t="str">
        <f t="shared" si="8"/>
        <v>— Sin Inst.2</v>
      </c>
      <c r="E153" t="str">
        <f t="shared" si="9"/>
        <v/>
      </c>
      <c r="F153">
        <f>IFERROR(MATRIZ_174!L153,0)</f>
        <v>0</v>
      </c>
      <c r="G153">
        <f>IFERROR(MATRIZ_174!M153,0)</f>
        <v>0</v>
      </c>
      <c r="H153" t="str">
        <f>IF(NORMALIZADO!CC153="","",NORMALIZADO!CC153)</f>
        <v/>
      </c>
      <c r="I153" t="str">
        <f>IF(NORMALIZADO!CF153="","",NORMALIZADO!CF153)</f>
        <v/>
      </c>
      <c r="J153" t="str">
        <f>IF(NORMALIZADO!CG153="","",NORMALIZADO!CG153)</f>
        <v/>
      </c>
      <c r="K153">
        <f>IFERROR(INDEX(MATRIZ_174!$U:$U,MATCH(A153,MATRIZ_174!$A:$A,0))*100,"")</f>
        <v>100</v>
      </c>
      <c r="L153">
        <f>IFERROR(MATRIZ_174!O153,0)</f>
        <v>0</v>
      </c>
      <c r="N153" t="str">
        <f>IFERROR(ISCAM_Score!AC154,"")</f>
        <v>⬜  Pendiente de instrumento</v>
      </c>
      <c r="O153" t="s">
        <v>80</v>
      </c>
      <c r="P153" t="str">
        <f>IFERROR(INDEX(MATRIZ_174!$C:$C,MATCH(A153,MATRIZ_174!$A:$A,0)),"")</f>
        <v>CUSCO</v>
      </c>
    </row>
    <row r="154" spans="1:16" ht="16.05" customHeight="1" x14ac:dyDescent="0.3">
      <c r="A154" t="s">
        <v>409</v>
      </c>
      <c r="B154" t="s">
        <v>410</v>
      </c>
      <c r="C154" s="36" t="str">
        <f>IFERROR(ISCAM_Score!AL155,"—")</f>
        <v>—</v>
      </c>
      <c r="D154" t="str">
        <f t="shared" si="8"/>
        <v>— Sin Inst.2</v>
      </c>
      <c r="E154" t="str">
        <f t="shared" si="9"/>
        <v/>
      </c>
      <c r="F154">
        <f>IFERROR(MATRIZ_174!L154,0)</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v>
      </c>
      <c r="N154" t="str">
        <f>IFERROR(ISCAM_Score!AC155,"")</f>
        <v>⬜  Pendiente de instrumento</v>
      </c>
      <c r="O154" t="s">
        <v>77</v>
      </c>
      <c r="P154" t="str">
        <f>IFERROR(INDEX(MATRIZ_174!$C:$C,MATCH(A154,MATRIZ_174!$A:$A,0)),"")</f>
        <v>JUNIN</v>
      </c>
    </row>
    <row r="155" spans="1:16" ht="16.05" customHeight="1" x14ac:dyDescent="0.3">
      <c r="A155" t="s">
        <v>411</v>
      </c>
      <c r="B155" t="s">
        <v>412</v>
      </c>
      <c r="C155" s="36" t="str">
        <f>IFERROR(ISCAM_Score!AL156,"—")</f>
        <v>—</v>
      </c>
      <c r="D155" t="str">
        <f t="shared" si="8"/>
        <v>— Sin Inst.2</v>
      </c>
      <c r="E155" t="str">
        <f t="shared" si="9"/>
        <v/>
      </c>
      <c r="F155">
        <f>IFERROR(MATRIZ_174!L155,0)</f>
        <v>0</v>
      </c>
      <c r="G155">
        <f>IFERROR(MATRIZ_174!M155,0)</f>
        <v>0</v>
      </c>
      <c r="H155" t="str">
        <f>IF(NORMALIZADO!CC155="","",NORMALIZADO!CC155)</f>
        <v/>
      </c>
      <c r="I155" t="str">
        <f>IF(NORMALIZADO!CF155="","",NORMALIZADO!CF155)</f>
        <v/>
      </c>
      <c r="J155" t="str">
        <f>IF(NORMALIZADO!CG155="","",NORMALIZADO!CG155)</f>
        <v/>
      </c>
      <c r="K155">
        <f>IFERROR(INDEX(MATRIZ_174!$U:$U,MATCH(A155,MATRIZ_174!$A:$A,0))*100,"")</f>
        <v>100</v>
      </c>
      <c r="L155">
        <f>IFERROR(MATRIZ_174!O155,0)</f>
        <v>0</v>
      </c>
      <c r="N155" t="str">
        <f>IFERROR(ISCAM_Score!AC156,"")</f>
        <v>⬜  Pendiente de instrumento</v>
      </c>
      <c r="O155" t="s">
        <v>113</v>
      </c>
      <c r="P155" t="str">
        <f>IFERROR(INDEX(MATRIZ_174!$C:$C,MATCH(A155,MATRIZ_174!$A:$A,0)),"")</f>
        <v>UCAYALI</v>
      </c>
    </row>
    <row r="156" spans="1:16" ht="16.05" customHeight="1" x14ac:dyDescent="0.3">
      <c r="A156" t="s">
        <v>413</v>
      </c>
      <c r="B156" t="s">
        <v>414</v>
      </c>
      <c r="C156" s="36" t="str">
        <f>IFERROR(ISCAM_Score!AL157,"—")</f>
        <v>—</v>
      </c>
      <c r="D156" t="str">
        <f t="shared" si="8"/>
        <v>— Sin Inst.2</v>
      </c>
      <c r="E156" t="str">
        <f t="shared" si="9"/>
        <v/>
      </c>
      <c r="F156">
        <f>IFERROR(MATRIZ_174!L156,0)</f>
        <v>0</v>
      </c>
      <c r="G156">
        <f>IFERROR(MATRIZ_174!M156,0)</f>
        <v>0</v>
      </c>
      <c r="H156" t="str">
        <f>IF(NORMALIZADO!CC156="","",NORMALIZADO!CC156)</f>
        <v/>
      </c>
      <c r="I156" t="str">
        <f>IF(NORMALIZADO!CF156="","",NORMALIZADO!CF156)</f>
        <v/>
      </c>
      <c r="J156" t="str">
        <f>IF(NORMALIZADO!CG156="","",NORMALIZADO!CG156)</f>
        <v/>
      </c>
      <c r="K156">
        <f>IFERROR(INDEX(MATRIZ_174!$U:$U,MATCH(A156,MATRIZ_174!$A:$A,0))*100,"")</f>
        <v>100</v>
      </c>
      <c r="L156">
        <f>IFERROR(MATRIZ_174!O156,0)</f>
        <v>0</v>
      </c>
      <c r="N156" t="str">
        <f>IFERROR(ISCAM_Score!AC157,"")</f>
        <v>⬜  Pendiente de instrumento</v>
      </c>
      <c r="O156" t="s">
        <v>183</v>
      </c>
      <c r="P156" t="str">
        <f>IFERROR(INDEX(MATRIZ_174!$C:$C,MATCH(A156,MATRIZ_174!$A:$A,0)),"")</f>
        <v>LAMBAYEQUE</v>
      </c>
    </row>
    <row r="157" spans="1:16" ht="16.05" customHeight="1" x14ac:dyDescent="0.3">
      <c r="A157" t="s">
        <v>415</v>
      </c>
      <c r="B157" t="s">
        <v>416</v>
      </c>
      <c r="C157" s="36" t="str">
        <f>IFERROR(ISCAM_Score!AL158,"—")</f>
        <v>—</v>
      </c>
      <c r="D157" t="str">
        <f t="shared" si="8"/>
        <v>— Sin Inst.2</v>
      </c>
      <c r="E157" t="str">
        <f t="shared" si="9"/>
        <v/>
      </c>
      <c r="F157">
        <f>IFERROR(MATRIZ_174!L157,0)</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0</v>
      </c>
      <c r="N157" t="str">
        <f>IFERROR(ISCAM_Score!AC158,"")</f>
        <v>⬜  Pendiente de instrumento</v>
      </c>
      <c r="O157" t="s">
        <v>143</v>
      </c>
      <c r="P157" t="str">
        <f>IFERROR(INDEX(MATRIZ_174!$C:$C,MATCH(A157,MATRIZ_174!$A:$A,0)),"")</f>
        <v>SAN MARTIN</v>
      </c>
    </row>
    <row r="158" spans="1:16" ht="16.05" customHeight="1" x14ac:dyDescent="0.3">
      <c r="A158" t="s">
        <v>418</v>
      </c>
      <c r="B158" t="s">
        <v>419</v>
      </c>
      <c r="C158" s="36" t="str">
        <f>IFERROR(ISCAM_Score!AL159,"—")</f>
        <v>—</v>
      </c>
      <c r="D158" t="str">
        <f t="shared" si="8"/>
        <v>— Sin Inst.2</v>
      </c>
      <c r="E158" t="str">
        <f t="shared" si="9"/>
        <v/>
      </c>
      <c r="F158">
        <f>IFERROR(MATRIZ_174!L158,0)</f>
        <v>0</v>
      </c>
      <c r="G158">
        <f>IFERROR(MATRIZ_174!M158,0)</f>
        <v>0</v>
      </c>
      <c r="H158" t="str">
        <f>IF(NORMALIZADO!CC158="","",NORMALIZADO!CC158)</f>
        <v/>
      </c>
      <c r="I158" t="str">
        <f>IF(NORMALIZADO!CF158="","",NORMALIZADO!CF158)</f>
        <v/>
      </c>
      <c r="J158" t="str">
        <f>IF(NORMALIZADO!CG158="","",NORMALIZADO!CG158)</f>
        <v/>
      </c>
      <c r="K158">
        <f>IFERROR(INDEX(MATRIZ_174!$U:$U,MATCH(A158,MATRIZ_174!$A:$A,0))*100,"")</f>
        <v>100</v>
      </c>
      <c r="L158">
        <f>IFERROR(MATRIZ_174!O158,0)</f>
        <v>0</v>
      </c>
      <c r="N158" t="str">
        <f>IFERROR(ISCAM_Score!AC159,"")</f>
        <v>⬜  Pendiente de instrumento</v>
      </c>
      <c r="O158" t="s">
        <v>77</v>
      </c>
      <c r="P158" t="str">
        <f>IFERROR(INDEX(MATRIZ_174!$C:$C,MATCH(A158,MATRIZ_174!$A:$A,0)),"")</f>
        <v>JUNIN</v>
      </c>
    </row>
    <row r="159" spans="1:16" ht="16.05" customHeight="1" x14ac:dyDescent="0.3">
      <c r="A159" t="s">
        <v>420</v>
      </c>
      <c r="B159" t="s">
        <v>421</v>
      </c>
      <c r="C159" s="36" t="str">
        <f>IFERROR(ISCAM_Score!AL160,"—")</f>
        <v>—</v>
      </c>
      <c r="D159" t="str">
        <f t="shared" si="8"/>
        <v>— Sin Inst.2</v>
      </c>
      <c r="E159" t="str">
        <f t="shared" si="9"/>
        <v/>
      </c>
      <c r="F159">
        <f>IFERROR(MATRIZ_174!L159,0)</f>
        <v>0</v>
      </c>
      <c r="G159">
        <f>IFERROR(MATRIZ_174!M159,0)</f>
        <v>0</v>
      </c>
      <c r="H159" t="str">
        <f>IF(NORMALIZADO!CC159="","",NORMALIZADO!CC159)</f>
        <v/>
      </c>
      <c r="I159" t="str">
        <f>IF(NORMALIZADO!CF159="","",NORMALIZADO!CF159)</f>
        <v/>
      </c>
      <c r="J159" t="str">
        <f>IF(NORMALIZADO!CG159="","",NORMALIZADO!CG159)</f>
        <v/>
      </c>
      <c r="K159">
        <f>IFERROR(INDEX(MATRIZ_174!$U:$U,MATCH(A159,MATRIZ_174!$A:$A,0))*100,"")</f>
        <v>100</v>
      </c>
      <c r="L159">
        <f>IFERROR(MATRIZ_174!O159,0)</f>
        <v>0</v>
      </c>
      <c r="N159" t="str">
        <f>IFERROR(ISCAM_Score!AC160,"")</f>
        <v>⬜  Pendiente de instrumento</v>
      </c>
      <c r="O159" t="s">
        <v>143</v>
      </c>
      <c r="P159" t="str">
        <f>IFERROR(INDEX(MATRIZ_174!$C:$C,MATCH(A159,MATRIZ_174!$A:$A,0)),"")</f>
        <v>SAN MARTIN</v>
      </c>
    </row>
    <row r="160" spans="1:16" ht="16.05" customHeight="1" x14ac:dyDescent="0.3">
      <c r="A160" t="s">
        <v>422</v>
      </c>
      <c r="B160" t="s">
        <v>423</v>
      </c>
      <c r="C160" s="36" t="str">
        <f>IFERROR(ISCAM_Score!AL161,"—")</f>
        <v>—</v>
      </c>
      <c r="D160" t="str">
        <f t="shared" si="8"/>
        <v>— Sin Inst.2</v>
      </c>
      <c r="E160" t="str">
        <f t="shared" si="9"/>
        <v/>
      </c>
      <c r="F160">
        <f>IFERROR(MATRIZ_174!L160,0)</f>
        <v>0</v>
      </c>
      <c r="G160">
        <f>IFERROR(MATRIZ_174!M160,0)</f>
        <v>0</v>
      </c>
      <c r="H160" t="str">
        <f>IF(NORMALIZADO!CC160="","",NORMALIZADO!CC160)</f>
        <v/>
      </c>
      <c r="I160" t="str">
        <f>IF(NORMALIZADO!CF160="","",NORMALIZADO!CF160)</f>
        <v/>
      </c>
      <c r="J160" t="str">
        <f>IF(NORMALIZADO!CG160="","",NORMALIZADO!CG160)</f>
        <v/>
      </c>
      <c r="K160">
        <f>IFERROR(INDEX(MATRIZ_174!$U:$U,MATCH(A160,MATRIZ_174!$A:$A,0))*100,"")</f>
        <v>100</v>
      </c>
      <c r="L160">
        <f>IFERROR(MATRIZ_174!O160,0)</f>
        <v>0</v>
      </c>
      <c r="N160" t="str">
        <f>IFERROR(ISCAM_Score!AC161,"")</f>
        <v>⬜  Pendiente de instrumento</v>
      </c>
      <c r="O160" t="s">
        <v>107</v>
      </c>
      <c r="P160" t="str">
        <f>IFERROR(INDEX(MATRIZ_174!$C:$C,MATCH(A160,MATRIZ_174!$A:$A,0)),"")</f>
        <v>PIURA</v>
      </c>
    </row>
    <row r="161" spans="1:16" ht="16.05" customHeight="1" x14ac:dyDescent="0.3">
      <c r="A161" t="s">
        <v>425</v>
      </c>
      <c r="B161" t="s">
        <v>426</v>
      </c>
      <c r="C161" s="36" t="str">
        <f>IFERROR(ISCAM_Score!AL162,"—")</f>
        <v>—</v>
      </c>
      <c r="D161" t="str">
        <f t="shared" si="8"/>
        <v>— Sin Inst.2</v>
      </c>
      <c r="E161" t="str">
        <f t="shared" si="9"/>
        <v/>
      </c>
      <c r="F161">
        <f>IFERROR(MATRIZ_174!L161,0)</f>
        <v>0</v>
      </c>
      <c r="G161">
        <f>IFERROR(MATRIZ_174!M161,0)</f>
        <v>0</v>
      </c>
      <c r="H161" t="str">
        <f>IF(NORMALIZADO!CC161="","",NORMALIZADO!CC161)</f>
        <v/>
      </c>
      <c r="I161" t="str">
        <f>IF(NORMALIZADO!CF161="","",NORMALIZADO!CF161)</f>
        <v/>
      </c>
      <c r="J161" t="str">
        <f>IF(NORMALIZADO!CG161="","",NORMALIZADO!CG161)</f>
        <v/>
      </c>
      <c r="K161">
        <f>IFERROR(INDEX(MATRIZ_174!$U:$U,MATCH(A161,MATRIZ_174!$A:$A,0))*100,"")</f>
        <v>100</v>
      </c>
      <c r="L161">
        <f>IFERROR(MATRIZ_174!O161,0)</f>
        <v>0</v>
      </c>
      <c r="N161" t="str">
        <f>IFERROR(ISCAM_Score!AC162,"")</f>
        <v>⬜  Pendiente de instrumento</v>
      </c>
      <c r="O161" t="s">
        <v>183</v>
      </c>
      <c r="P161" t="str">
        <f>IFERROR(INDEX(MATRIZ_174!$C:$C,MATCH(A161,MATRIZ_174!$A:$A,0)),"")</f>
        <v>LAMBAYEQUE</v>
      </c>
    </row>
    <row r="162" spans="1:16" ht="16.05" customHeight="1" x14ac:dyDescent="0.3">
      <c r="A162" t="s">
        <v>427</v>
      </c>
      <c r="B162" t="s">
        <v>428</v>
      </c>
      <c r="C162" s="36" t="str">
        <f>IFERROR(ISCAM_Score!AL163,"—")</f>
        <v>—</v>
      </c>
      <c r="D162" t="str">
        <f t="shared" si="8"/>
        <v>— Sin Inst.2</v>
      </c>
      <c r="E162" t="str">
        <f t="shared" si="9"/>
        <v/>
      </c>
      <c r="F162">
        <f>IFERROR(MATRIZ_174!L162,0)</f>
        <v>0</v>
      </c>
      <c r="G162">
        <f>IFERROR(MATRIZ_174!M162,0)</f>
        <v>0</v>
      </c>
      <c r="H162" t="str">
        <f>IF(NORMALIZADO!CC162="","",NORMALIZADO!CC162)</f>
        <v/>
      </c>
      <c r="I162" t="str">
        <f>IF(NORMALIZADO!CF162="","",NORMALIZADO!CF162)</f>
        <v/>
      </c>
      <c r="J162" t="str">
        <f>IF(NORMALIZADO!CG162="","",NORMALIZADO!CG162)</f>
        <v/>
      </c>
      <c r="K162">
        <f>IFERROR(INDEX(MATRIZ_174!$U:$U,MATCH(A162,MATRIZ_174!$A:$A,0))*100,"")</f>
        <v>100</v>
      </c>
      <c r="L162">
        <f>IFERROR(MATRIZ_174!O162,0)</f>
        <v>0</v>
      </c>
      <c r="N162" t="str">
        <f>IFERROR(ISCAM_Score!AC163,"")</f>
        <v>⬜  Pendiente de instrumento</v>
      </c>
      <c r="O162" t="s">
        <v>107</v>
      </c>
      <c r="P162" t="str">
        <f>IFERROR(INDEX(MATRIZ_174!$C:$C,MATCH(A162,MATRIZ_174!$A:$A,0)),"")</f>
        <v>PIURA</v>
      </c>
    </row>
    <row r="163" spans="1:16" ht="16.05" customHeight="1" x14ac:dyDescent="0.3">
      <c r="A163" t="s">
        <v>429</v>
      </c>
      <c r="B163" t="s">
        <v>430</v>
      </c>
      <c r="C163" s="36" t="str">
        <f>IFERROR(ISCAM_Score!AL164,"—")</f>
        <v>—</v>
      </c>
      <c r="D163" t="str">
        <f t="shared" ref="D163:D176" si="10">IF(C163="—","— Sin Inst.2",IF(C163&lt;34,"🔴  Crítico",IF(C163&lt;67,"🟡  Vulnerable","🟢  Preparado")))</f>
        <v>— Sin Inst.2</v>
      </c>
      <c r="E163" t="str">
        <f t="shared" ref="E163:E176" si="11">IFERROR(RANK(C163,C:C,-1),"")</f>
        <v/>
      </c>
      <c r="F163">
        <f>IFERROR(MATRIZ_174!L163,0)</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f>IFERROR(MATRIZ_174!O163,0)</f>
        <v>0</v>
      </c>
      <c r="N163" t="str">
        <f>IFERROR(ISCAM_Score!AC164,"")</f>
        <v>⬜  Pendiente de instrumento</v>
      </c>
      <c r="O163" t="s">
        <v>154</v>
      </c>
      <c r="P163" t="str">
        <f>IFERROR(INDEX(MATRIZ_174!$C:$C,MATCH(A163,MATRIZ_174!$A:$A,0)),"")</f>
        <v>CAJAMARCA</v>
      </c>
    </row>
    <row r="164" spans="1:16" ht="16.05" customHeight="1" x14ac:dyDescent="0.3">
      <c r="A164" t="s">
        <v>431</v>
      </c>
      <c r="B164" t="s">
        <v>432</v>
      </c>
      <c r="C164" s="36" t="str">
        <f>IFERROR(ISCAM_Score!AL165,"—")</f>
        <v>—</v>
      </c>
      <c r="D164" t="str">
        <f t="shared" si="10"/>
        <v>— Sin Inst.2</v>
      </c>
      <c r="E164" t="str">
        <f t="shared" si="11"/>
        <v/>
      </c>
      <c r="F164">
        <f>IFERROR(MATRIZ_174!L164,0)</f>
        <v>0</v>
      </c>
      <c r="G164">
        <f>IFERROR(MATRIZ_174!M164,0)</f>
        <v>0</v>
      </c>
      <c r="H164" t="str">
        <f>IF(NORMALIZADO!CC164="","",NORMALIZADO!CC164)</f>
        <v/>
      </c>
      <c r="I164" t="str">
        <f>IF(NORMALIZADO!CF164="","",NORMALIZADO!CF164)</f>
        <v/>
      </c>
      <c r="J164" t="str">
        <f>IF(NORMALIZADO!CG164="","",NORMALIZADO!CG164)</f>
        <v/>
      </c>
      <c r="K164">
        <f>IFERROR(INDEX(MATRIZ_174!$U:$U,MATCH(A164,MATRIZ_174!$A:$A,0))*100,"")</f>
        <v>100</v>
      </c>
      <c r="L164">
        <f>IFERROR(MATRIZ_174!O164,0)</f>
        <v>0</v>
      </c>
      <c r="N164" t="str">
        <f>IFERROR(ISCAM_Score!AC165,"")</f>
        <v>⬜  Pendiente de instrumento</v>
      </c>
      <c r="O164" t="s">
        <v>116</v>
      </c>
      <c r="P164" t="str">
        <f>IFERROR(INDEX(MATRIZ_174!$C:$C,MATCH(A164,MATRIZ_174!$A:$A,0)),"")</f>
        <v>AMAZONAS</v>
      </c>
    </row>
    <row r="165" spans="1:16" ht="16.05" customHeight="1" x14ac:dyDescent="0.3">
      <c r="A165" t="s">
        <v>433</v>
      </c>
      <c r="B165" t="s">
        <v>434</v>
      </c>
      <c r="C165" s="36" t="str">
        <f>IFERROR(ISCAM_Score!AL166,"—")</f>
        <v>—</v>
      </c>
      <c r="D165" t="str">
        <f t="shared" si="10"/>
        <v>— Sin Inst.2</v>
      </c>
      <c r="E165" t="str">
        <f t="shared" si="11"/>
        <v/>
      </c>
      <c r="F165">
        <f>IFERROR(MATRIZ_174!L165,0)</f>
        <v>0</v>
      </c>
      <c r="G165">
        <f>IFERROR(MATRIZ_174!M165,0)</f>
        <v>0</v>
      </c>
      <c r="H165" t="str">
        <f>IF(NORMALIZADO!CC165="","",NORMALIZADO!CC165)</f>
        <v/>
      </c>
      <c r="I165" t="str">
        <f>IF(NORMALIZADO!CF165="","",NORMALIZADO!CF165)</f>
        <v/>
      </c>
      <c r="J165" t="str">
        <f>IF(NORMALIZADO!CG165="","",NORMALIZADO!CG165)</f>
        <v/>
      </c>
      <c r="K165">
        <f>IFERROR(INDEX(MATRIZ_174!$U:$U,MATCH(A165,MATRIZ_174!$A:$A,0))*100,"")</f>
        <v>100</v>
      </c>
      <c r="L165">
        <f>IFERROR(MATRIZ_174!O165,0)</f>
        <v>0</v>
      </c>
      <c r="N165" t="str">
        <f>IFERROR(ISCAM_Score!AC166,"")</f>
        <v>⬜  Pendiente de instrumento</v>
      </c>
      <c r="O165" t="s">
        <v>183</v>
      </c>
      <c r="P165" t="str">
        <f>IFERROR(INDEX(MATRIZ_174!$C:$C,MATCH(A165,MATRIZ_174!$A:$A,0)),"")</f>
        <v>LAMBAYEQUE</v>
      </c>
    </row>
    <row r="166" spans="1:16" ht="16.05" customHeight="1" x14ac:dyDescent="0.3">
      <c r="A166" t="s">
        <v>435</v>
      </c>
      <c r="B166" t="s">
        <v>436</v>
      </c>
      <c r="C166" s="36" t="str">
        <f>IFERROR(ISCAM_Score!AL167,"—")</f>
        <v>—</v>
      </c>
      <c r="D166" t="str">
        <f t="shared" si="10"/>
        <v>— Sin Inst.2</v>
      </c>
      <c r="E166" t="str">
        <f t="shared" si="11"/>
        <v/>
      </c>
      <c r="F166">
        <f>IFERROR(MATRIZ_174!L166,0)</f>
        <v>0</v>
      </c>
      <c r="G166">
        <f>IFERROR(MATRIZ_174!M166,0)</f>
        <v>0</v>
      </c>
      <c r="H166" t="str">
        <f>IF(NORMALIZADO!CC166="","",NORMALIZADO!CC166)</f>
        <v/>
      </c>
      <c r="I166" t="str">
        <f>IF(NORMALIZADO!CF166="","",NORMALIZADO!CF166)</f>
        <v/>
      </c>
      <c r="J166" t="str">
        <f>IF(NORMALIZADO!CG166="","",NORMALIZADO!CG166)</f>
        <v/>
      </c>
      <c r="K166">
        <f>IFERROR(INDEX(MATRIZ_174!$U:$U,MATCH(A166,MATRIZ_174!$A:$A,0))*100,"")</f>
        <v>100</v>
      </c>
      <c r="L166">
        <f>IFERROR(MATRIZ_174!O166,0)</f>
        <v>0</v>
      </c>
      <c r="N166" t="str">
        <f>IFERROR(ISCAM_Score!AC167,"")</f>
        <v>⬜  Pendiente de instrumento</v>
      </c>
      <c r="O166" t="s">
        <v>248</v>
      </c>
      <c r="P166" t="str">
        <f>IFERROR(INDEX(MATRIZ_174!$C:$C,MATCH(A166,MATRIZ_174!$A:$A,0)),"")</f>
        <v>MADRE DE DIOS</v>
      </c>
    </row>
    <row r="167" spans="1:16" ht="16.05" customHeight="1" x14ac:dyDescent="0.3">
      <c r="A167" t="s">
        <v>437</v>
      </c>
      <c r="B167" t="s">
        <v>438</v>
      </c>
      <c r="C167" s="36" t="str">
        <f>IFERROR(ISCAM_Score!AL168,"—")</f>
        <v>—</v>
      </c>
      <c r="D167" t="str">
        <f t="shared" si="10"/>
        <v>— Sin Inst.2</v>
      </c>
      <c r="E167" t="str">
        <f t="shared" si="11"/>
        <v/>
      </c>
      <c r="F167">
        <f>IFERROR(MATRIZ_174!L167,0)</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f>IFERROR(MATRIZ_174!O167,0)</f>
        <v>0</v>
      </c>
      <c r="N167" t="str">
        <f>IFERROR(ISCAM_Score!AC168,"")</f>
        <v>⬜  Pendiente de instrumento</v>
      </c>
      <c r="O167" t="s">
        <v>143</v>
      </c>
      <c r="P167" t="str">
        <f>IFERROR(INDEX(MATRIZ_174!$C:$C,MATCH(A167,MATRIZ_174!$A:$A,0)),"")</f>
        <v>SAN MARTIN</v>
      </c>
    </row>
    <row r="168" spans="1:16" ht="16.05" customHeight="1" x14ac:dyDescent="0.3">
      <c r="A168" t="s">
        <v>439</v>
      </c>
      <c r="B168" t="s">
        <v>440</v>
      </c>
      <c r="C168" s="36" t="str">
        <f>IFERROR(ISCAM_Score!AL169,"—")</f>
        <v>—</v>
      </c>
      <c r="D168" t="str">
        <f t="shared" si="10"/>
        <v>— Sin Inst.2</v>
      </c>
      <c r="E168" t="str">
        <f t="shared" si="11"/>
        <v/>
      </c>
      <c r="F168">
        <f>IFERROR(MATRIZ_174!L168,0)</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f>IFERROR(MATRIZ_174!O168,0)</f>
        <v>0</v>
      </c>
      <c r="N168" t="str">
        <f>IFERROR(ISCAM_Score!AC169,"")</f>
        <v>⬜  Pendiente de instrumento</v>
      </c>
      <c r="O168" t="s">
        <v>116</v>
      </c>
      <c r="P168" t="str">
        <f>IFERROR(INDEX(MATRIZ_174!$C:$C,MATCH(A168,MATRIZ_174!$A:$A,0)),"")</f>
        <v>AMAZONAS</v>
      </c>
    </row>
    <row r="169" spans="1:16" ht="16.05" customHeight="1" x14ac:dyDescent="0.3">
      <c r="A169" t="s">
        <v>441</v>
      </c>
      <c r="B169" t="s">
        <v>442</v>
      </c>
      <c r="C169" s="36" t="str">
        <f>IFERROR(ISCAM_Score!AL170,"—")</f>
        <v>—</v>
      </c>
      <c r="D169" t="str">
        <f t="shared" si="10"/>
        <v>— Sin Inst.2</v>
      </c>
      <c r="E169" t="str">
        <f t="shared" si="11"/>
        <v/>
      </c>
      <c r="F169">
        <f>IFERROR(MATRIZ_174!L169,0)</f>
        <v>0</v>
      </c>
      <c r="G169">
        <f>IFERROR(MATRIZ_174!M169,0)</f>
        <v>0</v>
      </c>
      <c r="H169" t="str">
        <f>IF(NORMALIZADO!CC169="","",NORMALIZADO!CC169)</f>
        <v/>
      </c>
      <c r="I169" t="str">
        <f>IF(NORMALIZADO!CF169="","",NORMALIZADO!CF169)</f>
        <v/>
      </c>
      <c r="J169" t="str">
        <f>IF(NORMALIZADO!CG169="","",NORMALIZADO!CG169)</f>
        <v/>
      </c>
      <c r="K169">
        <f>IFERROR(INDEX(MATRIZ_174!$U:$U,MATCH(A169,MATRIZ_174!$A:$A,0))*100,"")</f>
        <v>100</v>
      </c>
      <c r="L169">
        <f>IFERROR(MATRIZ_174!O169,0)</f>
        <v>0</v>
      </c>
      <c r="N169" t="str">
        <f>IFERROR(ISCAM_Score!AC170,"")</f>
        <v>⬜  Pendiente de instrumento</v>
      </c>
      <c r="O169" t="s">
        <v>154</v>
      </c>
      <c r="P169" t="str">
        <f>IFERROR(INDEX(MATRIZ_174!$C:$C,MATCH(A169,MATRIZ_174!$A:$A,0)),"")</f>
        <v>CAJAMARCA</v>
      </c>
    </row>
    <row r="170" spans="1:16" ht="16.05" customHeight="1" x14ac:dyDescent="0.3">
      <c r="A170" t="s">
        <v>443</v>
      </c>
      <c r="B170" t="s">
        <v>444</v>
      </c>
      <c r="C170" s="36" t="str">
        <f>IFERROR(ISCAM_Score!AL171,"—")</f>
        <v>—</v>
      </c>
      <c r="D170" t="str">
        <f t="shared" si="10"/>
        <v>— Sin Inst.2</v>
      </c>
      <c r="E170" t="str">
        <f t="shared" si="11"/>
        <v/>
      </c>
      <c r="F170">
        <f>IFERROR(MATRIZ_174!L170,0)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f>IFERROR(MATRIZ_174!O170,0)</f>
        <v>0</v>
      </c>
      <c r="N170" t="str">
        <f>IFERROR(ISCAM_Score!AC171,"")</f>
        <v>⬜  Pendiente de instrumento</v>
      </c>
      <c r="O170" t="s">
        <v>113</v>
      </c>
      <c r="P170" t="str">
        <f>IFERROR(INDEX(MATRIZ_174!$C:$C,MATCH(A170,MATRIZ_174!$A:$A,0)),"")</f>
        <v>UCAYALI</v>
      </c>
    </row>
    <row r="171" spans="1:16" ht="16.05" customHeight="1" x14ac:dyDescent="0.3">
      <c r="A171" t="s">
        <v>445</v>
      </c>
      <c r="B171" t="s">
        <v>446</v>
      </c>
      <c r="C171" s="36" t="str">
        <f>IFERROR(ISCAM_Score!AL172,"—")</f>
        <v>—</v>
      </c>
      <c r="D171" t="str">
        <f t="shared" si="10"/>
        <v>— Sin Inst.2</v>
      </c>
      <c r="E171" t="str">
        <f t="shared" si="11"/>
        <v/>
      </c>
      <c r="F171">
        <f>IFERROR(MATRIZ_174!L171,0)</f>
        <v>0</v>
      </c>
      <c r="G171">
        <f>IFERROR(MATRIZ_174!M171,0)</f>
        <v>0</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143</v>
      </c>
      <c r="P171" t="str">
        <f>IFERROR(INDEX(MATRIZ_174!$C:$C,MATCH(A171,MATRIZ_174!$A:$A,0)),"")</f>
        <v>SAN MARTIN</v>
      </c>
    </row>
    <row r="172" spans="1:16" ht="16.05" customHeight="1" x14ac:dyDescent="0.3">
      <c r="A172" t="s">
        <v>447</v>
      </c>
      <c r="B172" t="s">
        <v>448</v>
      </c>
      <c r="C172" s="36" t="str">
        <f>IFERROR(ISCAM_Score!AL173,"—")</f>
        <v>—</v>
      </c>
      <c r="D172" t="str">
        <f t="shared" si="10"/>
        <v>— Sin Inst.2</v>
      </c>
      <c r="E172" t="str">
        <f t="shared" si="11"/>
        <v/>
      </c>
      <c r="F172">
        <f>IFERROR(MATRIZ_174!L172,0)</f>
        <v>0</v>
      </c>
      <c r="G172">
        <f>IFERROR(MATRIZ_174!M172,0)</f>
        <v>0</v>
      </c>
      <c r="H172" t="str">
        <f>IF(NORMALIZADO!CC172="","",NORMALIZADO!CC172)</f>
        <v/>
      </c>
      <c r="I172" t="str">
        <f>IF(NORMALIZADO!CF172="","",NORMALIZADO!CF172)</f>
        <v/>
      </c>
      <c r="J172" t="str">
        <f>IF(NORMALIZADO!CG172="","",NORMALIZADO!CG172)</f>
        <v/>
      </c>
      <c r="K172">
        <f>IFERROR(INDEX(MATRIZ_174!$U:$U,MATCH(A172,MATRIZ_174!$A:$A,0))*100,"")</f>
        <v>100</v>
      </c>
      <c r="L172">
        <f>IFERROR(MATRIZ_174!O172,0)</f>
        <v>0</v>
      </c>
      <c r="N172" t="str">
        <f>IFERROR(ISCAM_Score!AC173,"")</f>
        <v>⬜  Pendiente de instrumento</v>
      </c>
      <c r="O172" t="s">
        <v>116</v>
      </c>
      <c r="P172" t="str">
        <f>IFERROR(INDEX(MATRIZ_174!$C:$C,MATCH(A172,MATRIZ_174!$A:$A,0)),"")</f>
        <v>AMAZONAS</v>
      </c>
    </row>
    <row r="173" spans="1:16" ht="16.05" customHeight="1" x14ac:dyDescent="0.3">
      <c r="A173" t="s">
        <v>449</v>
      </c>
      <c r="B173" t="s">
        <v>450</v>
      </c>
      <c r="C173" s="36" t="str">
        <f>IFERROR(ISCAM_Score!AL174,"—")</f>
        <v>—</v>
      </c>
      <c r="D173" t="str">
        <f t="shared" si="10"/>
        <v>— Sin Inst.2</v>
      </c>
      <c r="E173" t="str">
        <f t="shared" si="11"/>
        <v/>
      </c>
      <c r="F173">
        <f>IFERROR(MATRIZ_174!L173,0)</f>
        <v>0</v>
      </c>
      <c r="G173">
        <f>IFERROR(MATRIZ_174!M173,0)</f>
        <v>0</v>
      </c>
      <c r="H173" t="str">
        <f>IF(NORMALIZADO!CC173="","",NORMALIZADO!CC173)</f>
        <v/>
      </c>
      <c r="I173" t="str">
        <f>IF(NORMALIZADO!CF173="","",NORMALIZADO!CF173)</f>
        <v/>
      </c>
      <c r="J173" t="str">
        <f>IF(NORMALIZADO!CG173="","",NORMALIZADO!CG173)</f>
        <v/>
      </c>
      <c r="K173">
        <f>IFERROR(INDEX(MATRIZ_174!$U:$U,MATCH(A173,MATRIZ_174!$A:$A,0))*100,"")</f>
        <v>100</v>
      </c>
      <c r="L173">
        <f>IFERROR(MATRIZ_174!O173,0)</f>
        <v>0</v>
      </c>
      <c r="N173" t="str">
        <f>IFERROR(ISCAM_Score!AC174,"")</f>
        <v>⬜  Pendiente de instrumento</v>
      </c>
      <c r="O173" t="s">
        <v>183</v>
      </c>
      <c r="P173" t="str">
        <f>IFERROR(INDEX(MATRIZ_174!$C:$C,MATCH(A173,MATRIZ_174!$A:$A,0)),"")</f>
        <v>LAMBAYEQUE</v>
      </c>
    </row>
    <row r="174" spans="1:16" ht="16.05" customHeight="1" x14ac:dyDescent="0.3">
      <c r="A174" t="s">
        <v>451</v>
      </c>
      <c r="C174" s="36" t="str">
        <f>IFERROR(ISCAM_Score!AL175,"—")</f>
        <v>—</v>
      </c>
      <c r="D174" t="str">
        <f t="shared" si="10"/>
        <v>— Sin Inst.2</v>
      </c>
      <c r="E174" t="str">
        <f t="shared" si="11"/>
        <v/>
      </c>
      <c r="F174">
        <f>IFERROR(MATRIZ_174!L174,0)</f>
        <v>0</v>
      </c>
      <c r="G174">
        <f>IFERROR(MATRIZ_174!M174,0)</f>
        <v>0</v>
      </c>
      <c r="H174" t="str">
        <f>IF(NORMALIZADO!CC174="","",NORMALIZADO!CC174)</f>
        <v/>
      </c>
      <c r="I174" t="str">
        <f>IF(NORMALIZADO!CF174="","",NORMALIZADO!CF174)</f>
        <v/>
      </c>
      <c r="J174" t="str">
        <f>IF(NORMALIZADO!CG174="","",NORMALIZADO!CG174)</f>
        <v/>
      </c>
      <c r="K174">
        <f>IFERROR(INDEX(MATRIZ_174!$U:$U,MATCH(A174,MATRIZ_174!$A:$A,0))*100,"")</f>
        <v>100</v>
      </c>
      <c r="L174">
        <f>IFERROR(MATRIZ_174!O174,0)</f>
        <v>0</v>
      </c>
      <c r="N174" t="str">
        <f>IFERROR(ISCAM_Score!AC175,"")</f>
        <v>⬜  Pendiente de instrumento</v>
      </c>
      <c r="P174" t="str">
        <f>IFERROR(INDEX(MATRIZ_174!$C:$C,MATCH(A174,MATRIZ_174!$A:$A,0)),"")</f>
        <v>OTROS</v>
      </c>
    </row>
    <row r="175" spans="1:16" ht="16.05" customHeight="1" x14ac:dyDescent="0.3">
      <c r="A175" t="s">
        <v>453</v>
      </c>
      <c r="B175" t="s">
        <v>454</v>
      </c>
      <c r="C175" s="36" t="str">
        <f>IFERROR(ISCAM_Score!AL176,"—")</f>
        <v>—</v>
      </c>
      <c r="D175" t="str">
        <f t="shared" si="10"/>
        <v>— Sin Inst.2</v>
      </c>
      <c r="E175" t="str">
        <f t="shared" si="11"/>
        <v/>
      </c>
      <c r="F175">
        <f>IFERROR(MATRIZ_174!L175,0)</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f>IFERROR(MATRIZ_174!O175,0)</f>
        <v>0</v>
      </c>
      <c r="N175" t="str">
        <f>IFERROR(ISCAM_Score!AC176,"")</f>
        <v>⬜  Pendiente de instrumento</v>
      </c>
      <c r="O175" t="s">
        <v>113</v>
      </c>
      <c r="P175" t="str">
        <f>IFERROR(INDEX(MATRIZ_174!$C:$C,MATCH(A175,MATRIZ_174!$A:$A,0)),"")</f>
        <v>UCAYALI</v>
      </c>
    </row>
    <row r="176" spans="1:16" ht="16.05" customHeight="1" x14ac:dyDescent="0.3">
      <c r="A176" t="s">
        <v>455</v>
      </c>
      <c r="B176" t="s">
        <v>456</v>
      </c>
      <c r="C176" s="36" t="str">
        <f>IFERROR(ISCAM_Score!AL177,"—")</f>
        <v>—</v>
      </c>
      <c r="D176" t="str">
        <f t="shared" si="10"/>
        <v>— Sin Inst.2</v>
      </c>
      <c r="E176" t="str">
        <f t="shared" si="11"/>
        <v/>
      </c>
      <c r="F176">
        <f>IFERROR(MATRIZ_174!L176,0)</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f>IFERROR(MATRIZ_174!O176,0)</f>
        <v>0</v>
      </c>
      <c r="N176" t="str">
        <f>IFERROR(ISCAM_Score!AC177,"")</f>
        <v>⬜  Pendiente de instrumento</v>
      </c>
      <c r="O176" t="s">
        <v>116</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1049</v>
      </c>
      <c r="B179" s="65"/>
      <c r="C179" s="65"/>
      <c r="D179" s="65"/>
      <c r="E179" s="65"/>
      <c r="F179" s="65"/>
      <c r="G179" s="65"/>
      <c r="K179" t="str">
        <f>IFERROR(INDEX(MATRIZ_174!$U:$U,MATCH(A179,MATRIZ_174!$A:$A,0)),"")</f>
        <v/>
      </c>
    </row>
    <row r="180" spans="1:11" ht="18" customHeight="1" x14ac:dyDescent="0.3">
      <c r="A180" t="s">
        <v>1050</v>
      </c>
      <c r="B180" s="65">
        <f>COUNTA(A3:A176)</f>
        <v>174</v>
      </c>
      <c r="C180" s="65"/>
      <c r="D180" s="65"/>
      <c r="K180" t="str">
        <f>IFERROR(INDEX(MATRIZ_174!$U:$U,MATCH(A180,MATRIZ_174!$A:$A,0)),"")</f>
        <v/>
      </c>
    </row>
    <row r="181" spans="1:11" ht="18" customHeight="1" x14ac:dyDescent="0.3">
      <c r="A181" t="s">
        <v>1051</v>
      </c>
      <c r="B181" s="65">
        <f>COUNTIF(F3:F176,"&gt;0")</f>
        <v>36</v>
      </c>
      <c r="C181" s="65"/>
      <c r="D181" s="65"/>
      <c r="K181" t="str">
        <f>IFERROR(INDEX(MATRIZ_174!$U:$U,MATCH(A181,MATRIZ_174!$A:$A,0)),"")</f>
        <v/>
      </c>
    </row>
    <row r="182" spans="1:11" ht="18" customHeight="1" x14ac:dyDescent="0.3">
      <c r="A182" t="s">
        <v>1052</v>
      </c>
      <c r="B182" s="65">
        <f>COUNTIF(C3:C176,"&lt;34")-COUNTIF(C3:C176,0)</f>
        <v>0</v>
      </c>
      <c r="C182" s="65"/>
      <c r="D182" s="65"/>
      <c r="K182" t="str">
        <f>IFERROR(INDEX(MATRIZ_174!$U:$U,MATCH(A182,MATRIZ_174!$A:$A,0)),"")</f>
        <v/>
      </c>
    </row>
    <row r="183" spans="1:11" ht="18" customHeight="1" x14ac:dyDescent="0.3">
      <c r="A183" t="s">
        <v>1053</v>
      </c>
      <c r="B183" s="65">
        <f>COUNTIFS(C3:C176,"&gt;=34",C3:C176,"&lt;67")</f>
        <v>0</v>
      </c>
      <c r="C183" s="65"/>
      <c r="D183" s="65"/>
      <c r="K183" t="str">
        <f>IFERROR(INDEX(MATRIZ_174!$U:$U,MATCH(A183,MATRIZ_174!$A:$A,0)),"")</f>
        <v/>
      </c>
    </row>
    <row r="184" spans="1:11" ht="18" customHeight="1" x14ac:dyDescent="0.3">
      <c r="A184" t="s">
        <v>1054</v>
      </c>
      <c r="B184" s="65">
        <f>COUNTIF(C3:C176,"&gt;=67")</f>
        <v>0</v>
      </c>
      <c r="C184" s="65"/>
      <c r="D184" s="65"/>
      <c r="K184" t="str">
        <f>IFERROR(INDEX(MATRIZ_174!$U:$U,MATCH(A184,MATRIZ_174!$A:$A,0)),"")</f>
        <v/>
      </c>
    </row>
    <row r="185" spans="1:11" ht="18" customHeight="1" x14ac:dyDescent="0.3">
      <c r="A185" t="s">
        <v>1088</v>
      </c>
      <c r="B185" s="65">
        <f>COUNTIF(C3:C176,"—")</f>
        <v>174</v>
      </c>
      <c r="C185" s="65"/>
      <c r="D185" s="65"/>
      <c r="K185" t="str">
        <f>IFERROR(INDEX(MATRIZ_174!$U:$U,MATCH(A185,MATRIZ_174!$A:$A,0)),"")</f>
        <v/>
      </c>
    </row>
    <row r="186" spans="1:11" ht="18" customHeight="1" x14ac:dyDescent="0.3">
      <c r="A186" t="s">
        <v>1101</v>
      </c>
      <c r="B186" s="65">
        <f>IFERROR(ROUND(AVERAGE(MATRIZ_174!S3:S176),1),"N/A")</f>
        <v>6</v>
      </c>
      <c r="C186" s="65"/>
      <c r="D186" s="65"/>
      <c r="K186" t="str">
        <f>IFERROR(INDEX(MATRIZ_174!$U:$U,MATCH(A186,MATRIZ_174!$A:$A,0)),"")</f>
        <v/>
      </c>
    </row>
    <row r="187" spans="1:11" ht="18" customHeight="1" x14ac:dyDescent="0.3">
      <c r="A187" t="s">
        <v>1055</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1056</v>
      </c>
      <c r="B1" s="65"/>
      <c r="C1" s="65"/>
      <c r="D1" s="65"/>
      <c r="E1" s="65"/>
      <c r="F1" s="65"/>
      <c r="G1" s="65"/>
      <c r="H1" s="65"/>
      <c r="I1" s="65"/>
      <c r="J1" s="65"/>
    </row>
    <row r="2" spans="1:13" x14ac:dyDescent="0.3">
      <c r="A2" t="s">
        <v>1057</v>
      </c>
      <c r="B2" t="s">
        <v>1058</v>
      </c>
      <c r="C2" t="s">
        <v>1059</v>
      </c>
      <c r="D2" t="s">
        <v>1060</v>
      </c>
      <c r="E2" t="s">
        <v>1061</v>
      </c>
      <c r="F2" t="s">
        <v>1062</v>
      </c>
      <c r="G2" t="s">
        <v>1063</v>
      </c>
      <c r="H2" t="s">
        <v>1064</v>
      </c>
      <c r="I2" t="s">
        <v>1065</v>
      </c>
      <c r="J2" t="s">
        <v>1066</v>
      </c>
      <c r="K2" t="s">
        <v>1067</v>
      </c>
      <c r="L2" t="s">
        <v>1068</v>
      </c>
      <c r="M2" t="s">
        <v>1084</v>
      </c>
    </row>
    <row r="3" spans="1:13" ht="18" customHeight="1" x14ac:dyDescent="0.3">
      <c r="A3" t="s">
        <v>143</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116</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154</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113</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257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107</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205</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248</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196</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183</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452</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1069</v>
      </c>
      <c r="B20" s="65"/>
      <c r="C20" s="65"/>
      <c r="D20" s="65"/>
      <c r="E20" s="65"/>
      <c r="F20" s="65"/>
      <c r="G20" s="65"/>
    </row>
    <row r="21" spans="1:13" ht="18" customHeight="1" x14ac:dyDescent="0.3">
      <c r="A21" s="65" t="s">
        <v>1070</v>
      </c>
      <c r="B21" s="65"/>
      <c r="C21" s="65"/>
      <c r="D21" s="65"/>
      <c r="E21" s="65"/>
      <c r="F21" s="65"/>
      <c r="G21" s="65"/>
    </row>
    <row r="22" spans="1:13" ht="18" customHeight="1" x14ac:dyDescent="0.3">
      <c r="A22" s="65" t="s">
        <v>1071</v>
      </c>
      <c r="B22" s="65"/>
      <c r="C22" s="65"/>
      <c r="D22" s="65"/>
      <c r="E22" s="65"/>
      <c r="F22" s="65"/>
      <c r="G22" s="65"/>
    </row>
    <row r="23" spans="1:13" ht="18" customHeight="1" x14ac:dyDescent="0.3">
      <c r="A23" s="65" t="s">
        <v>1072</v>
      </c>
      <c r="B23" s="65"/>
      <c r="C23" s="65"/>
      <c r="D23" s="65"/>
      <c r="E23" s="65"/>
      <c r="F23" s="65"/>
      <c r="G23" s="65"/>
    </row>
    <row r="24" spans="1:13" ht="18" customHeight="1" x14ac:dyDescent="0.3">
      <c r="A24" s="65" t="s">
        <v>1105</v>
      </c>
      <c r="B24" s="65"/>
      <c r="C24" s="65"/>
      <c r="D24" s="65"/>
      <c r="E24" s="65"/>
      <c r="F24" s="65"/>
      <c r="G24" s="65"/>
    </row>
    <row r="26" spans="1:13" x14ac:dyDescent="0.3">
      <c r="A26" s="65" t="s">
        <v>1104</v>
      </c>
      <c r="B26" s="65"/>
      <c r="C26" s="65"/>
      <c r="D26" s="65"/>
      <c r="E26" s="65"/>
      <c r="F26" s="65"/>
      <c r="G26" s="65"/>
    </row>
    <row r="28" spans="1:13" x14ac:dyDescent="0.3">
      <c r="A28" s="44" t="s">
        <v>1073</v>
      </c>
    </row>
    <row r="29" spans="1:13" x14ac:dyDescent="0.3">
      <c r="A29" s="45" t="s">
        <v>24</v>
      </c>
      <c r="B29" s="45" t="s">
        <v>1074</v>
      </c>
      <c r="C29" s="45" t="s">
        <v>998</v>
      </c>
      <c r="D29" s="45" t="s">
        <v>1075</v>
      </c>
      <c r="E29" s="45" t="s">
        <v>1002</v>
      </c>
      <c r="F29" s="45" t="s">
        <v>1076</v>
      </c>
      <c r="G29" s="45" t="s">
        <v>1077</v>
      </c>
      <c r="H29" s="45" t="s">
        <v>1028</v>
      </c>
    </row>
    <row r="30" spans="1:13" x14ac:dyDescent="0.3">
      <c r="A30" s="46" t="s">
        <v>65</v>
      </c>
      <c r="B30" s="47">
        <f>COUNTIF(MATRIZ_174!$D$3:$D$176,A30)</f>
        <v>80</v>
      </c>
      <c r="C30" s="48" t="str">
        <f>IFERROR(AVERAGEIF(MATRIZ_174!$D$3:$D$176,$A30,ISCAM_Score!$AK$4:$AK$177),"—")</f>
        <v>—</v>
      </c>
      <c r="D30" s="48">
        <f>IFERROR(AVERAGEIF(MATRIZ_174!$D$3:$D$176,$A30,ISCAM_Score!$AI$4:$AI$177),"—")</f>
        <v>8.2057291666666657E-2</v>
      </c>
      <c r="E30" s="48" t="str">
        <f>IFERROR(AVERAGEIF(MATRIZ_174!$D$3:$D$176,$A30,ISCAM_Score!$AL$4:$AL$177),"—")</f>
        <v>—</v>
      </c>
      <c r="F30" s="48" t="str">
        <f>IFERROR(AVERAGEIF(MATRIZ_174!$D$3:$D$176,$A30,ISCAM_Score!$Z$4:$Z$177),"—")</f>
        <v>—</v>
      </c>
      <c r="G30" s="48">
        <f>IFERROR(AVERAGEIF(MATRIZ_174!$D$3:$D$176,$A30,ISCAM_Score!$AA$4:$AA$177),"—")</f>
        <v>51.147499999999994</v>
      </c>
      <c r="H30" s="48" t="str">
        <f>IFERROR(AVERAGEIF(MATRIZ_174!$D$3:$D$176,$A30,ISCAM_Score!$AB$4:$AB$177),"—")</f>
        <v>—</v>
      </c>
    </row>
    <row r="31" spans="1:13" x14ac:dyDescent="0.3">
      <c r="A31" s="46" t="s">
        <v>73</v>
      </c>
      <c r="B31" s="47">
        <f>COUNTIF(MATRIZ_174!$D$3:$D$176,A31)</f>
        <v>83</v>
      </c>
      <c r="C31" s="48" t="str">
        <f>IFERROR(AVERAGEIF(MATRIZ_174!$D$3:$D$176,$A31,ISCAM_Score!$AK$4:$AK$177),"—")</f>
        <v>—</v>
      </c>
      <c r="D31" s="48">
        <f>IFERROR(AVERAGEIF(MATRIZ_174!$D$3:$D$176,$A31,ISCAM_Score!$AI$4:$AI$177),"—")</f>
        <v>3.8905622489959837E-2</v>
      </c>
      <c r="E31" s="48" t="str">
        <f>IFERROR(AVERAGEIF(MATRIZ_174!$D$3:$D$176,$A31,ISCAM_Score!$AL$4:$AL$177),"—")</f>
        <v>—</v>
      </c>
      <c r="F31" s="48" t="str">
        <f>IFERROR(AVERAGEIF(MATRIZ_174!$D$3:$D$176,$A31,ISCAM_Score!$Z$4:$Z$177),"—")</f>
        <v>—</v>
      </c>
      <c r="G31" s="48">
        <f>IFERROR(AVERAGEIF(MATRIZ_174!$D$3:$D$176,$A31,ISCAM_Score!$AA$4:$AA$177),"—")</f>
        <v>51.566265060240966</v>
      </c>
      <c r="H31" s="48" t="str">
        <f>IFERROR(AVERAGEIF(MATRIZ_174!$D$3:$D$176,$A31,ISCAM_Score!$AB$4:$AB$177),"—")</f>
        <v>—</v>
      </c>
    </row>
    <row r="32" spans="1:13" x14ac:dyDescent="0.3">
      <c r="A32" s="47" t="s">
        <v>1078</v>
      </c>
      <c r="B32" s="47">
        <f>COUNTBLANK(MATRIZ_174!$D$3:$D$176)</f>
        <v>10</v>
      </c>
      <c r="C32" s="48" t="str">
        <f>IFERROR(AVERAGEIF(MATRIZ_174!$D$3:$D$176,"",ISCAM_Score!$AK$4:$AK$177),"—")</f>
        <v>—</v>
      </c>
      <c r="D32" s="48">
        <f>IFERROR(AVERAGEIF(MATRIZ_174!$D$3:$D$176,"",ISCAM_Score!$AI$4:$AI$177),"—")</f>
        <v>6.7708333333333329E-2</v>
      </c>
      <c r="E32" s="48" t="str">
        <f>IFERROR(AVERAGEIF(MATRIZ_174!$D$3:$D$176,"",ISCAM_Score!$AL$4:$AL$177),"—")</f>
        <v>—</v>
      </c>
      <c r="F32" s="48" t="str">
        <f>IFERROR(AVERAGEIF(MATRIZ_174!$D$3:$D$176,"",ISCAM_Score!$Z$4:$Z$177),"—")</f>
        <v>—</v>
      </c>
      <c r="G32" s="48">
        <f>IFERROR(AVERAGEIF(MATRIZ_174!$D$3:$D$176,"",ISCAM_Score!$AA$4:$AA$177),"—")</f>
        <v>50.8</v>
      </c>
      <c r="H32" s="48" t="str">
        <f>IFERROR(AVERAGEIF(MATRIZ_174!$D$3:$D$176,"",ISCAM_Score!$AB$4:$AB$177),"—")</f>
        <v>—</v>
      </c>
    </row>
    <row r="34" spans="1:2" x14ac:dyDescent="0.3">
      <c r="A34" t="s">
        <v>1079</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1080</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2026-10-15T18:48:23Z</dcterms:modified>
</cp:coreProperties>
</file>